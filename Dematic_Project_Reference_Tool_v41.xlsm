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Instructions" sheetId="5" state="visible" r:id="rId5"/>
  </sheets>
  <definedNames>
    <definedName name="_xlnm._FilterDatabase" localSheetId="0" hidden="1">'Project Database'!$A$1:$AP$504</definedName>
  </definedNames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C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D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E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F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G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H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I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J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K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L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M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N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O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2">
    <numFmt numFmtId="164" formatCode="#,##0.00&quot; M&quot;"/>
    <numFmt numFmtId="165" formatCode="0.0%"/>
  </numFmts>
  <fonts count="37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</fonts>
  <fills count="28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76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</cellXfs>
  <cellStyles count="1">
    <cellStyle name="Normal" xfId="0" builtinId="0"/>
  </cellStyles>
  <dxfs count="3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C5" dT="2026-08-27T01:56:43.02" personId="{BE8A153B-FB32-44A0-B175-14E1F655B442}" id="{D697F934-33A5-4362-8F8A-FBBF7074724E}">
    <text xml:space="preserve">Task No - 5000
</text>
  </threadedComment>
  <threadedComment ref="AD5" dT="2026-08-27T01:56:54.04" personId="{BE8A153B-FB32-44A0-B175-14E1F655B442}" id="{E0DBF5F8-7F49-4118-8720-97AB7CA0C788}">
    <text xml:space="preserve">Task Number 7300
</text>
  </threadedComment>
  <threadedComment ref="AE5" dT="2026-08-27T01:57:38.16" personId="{BE8A153B-FB32-44A0-B175-14E1F655B442}" id="{5F2C9931-CFCE-4CBB-AF48-4424C6C74487}">
    <text>Task No - 6100</text>
  </threadedComment>
  <threadedComment ref="AF5" dT="2026-08-27T01:57:54.35" personId="{BE8A153B-FB32-44A0-B175-14E1F655B442}" id="{B5BDC888-C10A-4BA0-9A4D-36C557B0FE11}">
    <text>Task No - 6200</text>
  </threadedComment>
  <threadedComment ref="AG5" dT="2026-08-27T01:58:26.72" personId="{BE8A153B-FB32-44A0-B175-14E1F655B442}" id="{29719A38-F856-43BC-9D87-6CAA8B958DCF}">
    <text>Task No - 6300</text>
  </threadedComment>
  <threadedComment ref="AH5" dT="2026-08-27T01:58:46.30" personId="{BE8A153B-FB32-44A0-B175-14E1F655B442}" id="{925DBB45-B3A5-4118-B786-1CD08A46CD9F}">
    <text>Task No - 6400</text>
  </threadedComment>
  <threadedComment ref="AI5" dT="2026-08-27T01:59:07.13" personId="{BE8A153B-FB32-44A0-B175-14E1F655B442}" id="{8D61AD9F-B5B4-46C7-9366-1CD91C795959}">
    <text>Task No - 6500 6510 6520 6530</text>
  </threadedComment>
  <threadedComment ref="AJ5" dT="2026-08-27T01:59:31.95" personId="{BE8A153B-FB32-44A0-B175-14E1F655B442}" id="{2012CEBF-9DA0-46AB-990E-ACDEECDFBAF5}">
    <text xml:space="preserve">Task No - 6600 </text>
  </threadedComment>
  <threadedComment ref="AK5" dT="2026-08-27T02:01:02.91" personId="{BE8A153B-FB32-44A0-B175-14E1F655B442}" id="{C73F9FBE-F06A-459E-9927-9E8A69C8F17D}">
    <text>Task No 6620</text>
  </threadedComment>
  <threadedComment ref="AL5" dT="2026-08-27T02:01:21.72" personId="{BE8A153B-FB32-44A0-B175-14E1F655B442}" id="{24D4C3A5-822B-421F-8CCA-89DA8714184B}">
    <text>Task No - 6630</text>
  </threadedComment>
  <threadedComment ref="AM5" dT="2026-08-27T02:01:39.51" personId="{BE8A153B-FB32-44A0-B175-14E1F655B442}" id="{12533FAD-5700-4564-B547-BEDCDD91B6D0}">
    <text>Task No - 7000</text>
  </threadedComment>
  <threadedComment ref="AN5" dT="2026-08-27T02:01:55.86" personId="{BE8A153B-FB32-44A0-B175-14E1F655B442}" id="{44924316-329F-41A6-ACF0-CA4CD4C3E125}">
    <text>Task No - 7100 7150</text>
  </threadedComment>
  <threadedComment ref="AO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Q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44.5546875" customWidth="1" style="74" min="26" max="26"/>
    <col width="50" customWidth="1" style="74" min="27" max="27"/>
    <col width="14" customWidth="1" style="74" min="28" max="28"/>
    <col width="11.33203125" customWidth="1" style="74" min="29" max="29"/>
    <col width="10.33203125" customWidth="1" style="74" min="30" max="30"/>
    <col width="8.44140625" customWidth="1" style="74" min="31" max="31"/>
    <col width="11" customWidth="1" style="74" min="32" max="32"/>
    <col width="13" customWidth="1" style="74" min="33" max="33"/>
    <col width="9.5546875" customWidth="1" style="74" min="35" max="35"/>
    <col width="17.33203125" customWidth="1" style="74" min="36" max="36"/>
    <col width="11.44140625" customWidth="1" style="74" min="39" max="39"/>
    <col width="10" customWidth="1" style="74" min="41" max="41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55" t="inlineStr">
        <is>
          <t>Manhour Cost (% of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82" t="inlineStr">
        <is>
          <t>ATTRIBUTES</t>
        </is>
      </c>
      <c r="AA3" s="72" t="n"/>
      <c r="AB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21" t="n"/>
      <c r="AA4" s="21" t="n"/>
      <c r="AB4" s="21" t="n"/>
      <c r="AC4" s="22" t="n"/>
      <c r="AD4" s="22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</row>
    <row r="5" ht="36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Shuttles</t>
        </is>
      </c>
      <c r="H5" s="24" t="inlineStr">
        <is>
          <t>Tote Locations</t>
        </is>
      </c>
      <c r="I5" s="25" t="inlineStr">
        <is>
          <t>Robots</t>
        </is>
      </c>
      <c r="J5" s="25" t="inlineStr">
        <is>
          <t>Tote Locations</t>
        </is>
      </c>
      <c r="K5" s="26" t="inlineStr">
        <is>
          <t>Shuttles</t>
        </is>
      </c>
      <c r="L5" s="26" t="inlineStr">
        <is>
          <t>Pallet Locations</t>
        </is>
      </c>
      <c r="M5" s="27" t="inlineStr">
        <is>
          <t>Cranes</t>
        </is>
      </c>
      <c r="N5" s="27" t="inlineStr">
        <is>
          <t>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Mechanical
Eng</t>
        </is>
      </c>
      <c r="R5" s="24" t="inlineStr">
        <is>
          <t>Controls
Eng</t>
        </is>
      </c>
      <c r="S5" s="24" t="inlineStr">
        <is>
          <t>Systems
Eng</t>
        </is>
      </c>
      <c r="T5" s="24" t="inlineStr">
        <is>
          <t>Software
Eng</t>
        </is>
      </c>
      <c r="U5" s="29" t="inlineStr">
        <is>
          <t>M&amp;E
Installation</t>
        </is>
      </c>
      <c r="V5" s="29" t="inlineStr">
        <is>
          <t>Commissioning</t>
        </is>
      </c>
      <c r="W5" s="12" t="inlineStr">
        <is>
          <t>Total
Timeline (wks)</t>
        </is>
      </c>
      <c r="X5" s="24" t="inlineStr">
        <is>
          <t>Currency</t>
        </is>
      </c>
      <c r="Y5" s="24" t="inlineStr">
        <is>
          <t>Value (M)</t>
        </is>
      </c>
      <c r="Z5" s="82" t="inlineStr">
        <is>
          <t>Automation
Equipment</t>
        </is>
      </c>
      <c r="AA5" s="82" t="inlineStr">
        <is>
          <t>Notes / Lessons Learned</t>
        </is>
      </c>
      <c r="AB5" s="30" t="inlineStr">
        <is>
          <t>ID Check</t>
        </is>
      </c>
      <c r="AC5" s="31" t="inlineStr">
        <is>
          <t>Mech Inst</t>
        </is>
      </c>
      <c r="AD5" s="31" t="inlineStr">
        <is>
          <t>Elec Inst</t>
        </is>
      </c>
      <c r="AE5" s="31" t="inlineStr">
        <is>
          <t>Project Management</t>
        </is>
      </c>
      <c r="AF5" s="31" t="inlineStr">
        <is>
          <t>Systems Eng</t>
        </is>
      </c>
      <c r="AG5" s="31" t="inlineStr">
        <is>
          <t>Mechanical Eng</t>
        </is>
      </c>
      <c r="AH5" s="31" t="inlineStr">
        <is>
          <t>Structural Engineering</t>
        </is>
      </c>
      <c r="AI5" s="31" t="inlineStr">
        <is>
          <t>Site Sup</t>
        </is>
      </c>
      <c r="AJ5" s="31" t="inlineStr">
        <is>
          <t>Controls Commissioning</t>
        </is>
      </c>
      <c r="AK5" s="31" t="inlineStr">
        <is>
          <t>Systems Commissioning</t>
        </is>
      </c>
      <c r="AL5" s="31" t="inlineStr">
        <is>
          <t>Service Commissioning</t>
        </is>
      </c>
      <c r="AM5" s="31" t="inlineStr">
        <is>
          <t>Controls Eng</t>
        </is>
      </c>
      <c r="AN5" s="31" t="inlineStr">
        <is>
          <t>Controls Purchase</t>
        </is>
      </c>
      <c r="AO5" s="31" t="inlineStr">
        <is>
          <t>Software Eng</t>
        </is>
      </c>
      <c r="AP5" s="31" t="inlineStr">
        <is>
          <t>Misc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32" t="inlineStr">
        <is>
          <t>Hybotics APP Autobagger Carton Reducting Lidding Sealer Tote Stacker DeStacker MCS</t>
        </is>
      </c>
      <c r="AA6" s="32" t="n"/>
      <c r="AB6" s="36">
        <f>IF(A6="","",IF(COUNTIF($A$6:$A$504,A6)&gt;1,"⚠ Duplicate",""))</f>
        <v/>
      </c>
      <c r="AC6" s="37" t="n">
        <v>0</v>
      </c>
      <c r="AD6" s="37" t="n">
        <v>0</v>
      </c>
      <c r="AE6" s="37" t="n">
        <v>0</v>
      </c>
      <c r="AF6" s="37" t="n">
        <v>0</v>
      </c>
      <c r="AG6" s="37" t="n">
        <v>0</v>
      </c>
      <c r="AH6" s="37" t="n">
        <v>0</v>
      </c>
      <c r="AI6" s="37" t="n">
        <v>0</v>
      </c>
      <c r="AJ6" s="37" t="n">
        <v>0</v>
      </c>
      <c r="AK6" s="37" t="n">
        <v>0</v>
      </c>
      <c r="AL6" s="37" t="n">
        <v>0</v>
      </c>
      <c r="AM6" s="37" t="n">
        <v>0</v>
      </c>
      <c r="AN6" s="37" t="n">
        <v>0</v>
      </c>
      <c r="AO6" s="37" t="n">
        <v>0</v>
      </c>
      <c r="AP6" s="37" t="n">
        <v>0</v>
      </c>
      <c r="AQ6" s="10" t="n"/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38" t="inlineStr">
        <is>
          <t xml:space="preserve">SRM BK25 </t>
        </is>
      </c>
      <c r="AA7" s="38" t="inlineStr">
        <is>
          <t>2 SRM Cranes in 1 Aisle Configuration</t>
        </is>
      </c>
      <c r="AB7" s="41">
        <f>IF(A7="","",IF(COUNTIF($A$6:$A$504,A7)&gt;1,"⚠ Duplicate",""))</f>
        <v/>
      </c>
      <c r="AC7" s="42" t="n">
        <v>0.011</v>
      </c>
      <c r="AD7" s="42" t="n">
        <v>0.011</v>
      </c>
      <c r="AE7" s="42" t="n">
        <v>0.011</v>
      </c>
      <c r="AF7" s="42" t="n">
        <v>0.004</v>
      </c>
      <c r="AG7" s="42" t="n">
        <v>0.01</v>
      </c>
      <c r="AH7" s="42" t="n">
        <v>0.008</v>
      </c>
      <c r="AI7" s="42" t="n">
        <v>0.008</v>
      </c>
      <c r="AJ7" s="42" t="n">
        <v>0.021</v>
      </c>
      <c r="AK7" s="42" t="n">
        <v>0.021</v>
      </c>
      <c r="AL7" s="42" t="n">
        <v>0.021</v>
      </c>
      <c r="AM7" s="42" t="n">
        <v>0.03</v>
      </c>
      <c r="AN7" s="42" t="n">
        <v>0.03</v>
      </c>
      <c r="AO7" s="42" t="n">
        <v>0.003</v>
      </c>
      <c r="AP7" s="37" t="n">
        <v>0.001</v>
      </c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32" t="inlineStr">
        <is>
          <t>AutoStore</t>
        </is>
      </c>
      <c r="AA8" s="32" t="n"/>
      <c r="AB8" s="36">
        <f>IF(A8="","",IF(COUNTIF($A$6:$A$504,A8)&gt;1,"⚠ Duplicate",""))</f>
        <v/>
      </c>
      <c r="AC8" s="43" t="n">
        <v>0.05</v>
      </c>
      <c r="AD8" s="43" t="n">
        <v>0.05</v>
      </c>
      <c r="AE8" s="43" t="n">
        <v>0.05</v>
      </c>
      <c r="AF8" s="43" t="n">
        <v>0.07000000000000001</v>
      </c>
      <c r="AG8" s="43" t="n">
        <v>0.09</v>
      </c>
      <c r="AH8" s="43" t="n">
        <v>0.06</v>
      </c>
      <c r="AI8" s="43" t="n">
        <v>0.06</v>
      </c>
      <c r="AJ8" s="43" t="n">
        <v>0.01</v>
      </c>
      <c r="AK8" s="43" t="n">
        <v>0.01</v>
      </c>
      <c r="AL8" s="43" t="n">
        <v>0.01</v>
      </c>
      <c r="AM8" s="43" t="n">
        <v>0.01</v>
      </c>
      <c r="AN8" s="43" t="n">
        <v>0.01</v>
      </c>
      <c r="AO8" s="43" t="n">
        <v>0.04</v>
      </c>
      <c r="AP8" s="37" t="n">
        <v>0.001</v>
      </c>
      <c r="AQ8" s="10" t="n"/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38" t="inlineStr">
        <is>
          <t>AutoStore</t>
        </is>
      </c>
      <c r="AA9" s="38" t="n"/>
      <c r="AB9" s="41">
        <f>IF(A9="","",IF(COUNTIF($A$6:$A$504,A9)&gt;1,"⚠ Duplicate",""))</f>
        <v/>
      </c>
      <c r="AC9" s="42" t="n">
        <v>0.05</v>
      </c>
      <c r="AD9" s="42" t="n">
        <v>0.05</v>
      </c>
      <c r="AE9" s="42" t="n">
        <v>0.05</v>
      </c>
      <c r="AF9" s="42" t="n">
        <v>0.07000000000000001</v>
      </c>
      <c r="AG9" s="42" t="n">
        <v>0.09</v>
      </c>
      <c r="AH9" s="42" t="n">
        <v>0.06</v>
      </c>
      <c r="AI9" s="42" t="n">
        <v>0.06</v>
      </c>
      <c r="AJ9" s="42" t="n">
        <v>0.01</v>
      </c>
      <c r="AK9" s="42" t="n">
        <v>0.01</v>
      </c>
      <c r="AL9" s="42" t="n">
        <v>0.01</v>
      </c>
      <c r="AM9" s="42" t="n">
        <v>0.01</v>
      </c>
      <c r="AN9" s="42" t="n">
        <v>0.01</v>
      </c>
      <c r="AO9" s="42" t="n">
        <v>0.04</v>
      </c>
      <c r="AP9" s="37" t="n">
        <v>0.001</v>
      </c>
      <c r="AQ9" s="10" t="n"/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32" t="inlineStr">
        <is>
          <t>AutoStore</t>
        </is>
      </c>
      <c r="AA10" s="32" t="n"/>
      <c r="AB10" s="36">
        <f>IF(A10="","",IF(COUNTIF($A$6:$A$504,A10)&gt;1,"⚠ Duplicate",""))</f>
        <v/>
      </c>
      <c r="AC10" s="43" t="n">
        <v>0.05</v>
      </c>
      <c r="AD10" s="43" t="n">
        <v>0.05</v>
      </c>
      <c r="AE10" s="43" t="n">
        <v>0.05</v>
      </c>
      <c r="AF10" s="43" t="n">
        <v>0.07000000000000001</v>
      </c>
      <c r="AG10" s="43" t="n">
        <v>0.09</v>
      </c>
      <c r="AH10" s="43" t="n">
        <v>0.06</v>
      </c>
      <c r="AI10" s="43" t="n">
        <v>0.06</v>
      </c>
      <c r="AJ10" s="43" t="n">
        <v>0.01</v>
      </c>
      <c r="AK10" s="43" t="n">
        <v>0.01</v>
      </c>
      <c r="AL10" s="43" t="n">
        <v>0.01</v>
      </c>
      <c r="AM10" s="43" t="n">
        <v>0.01</v>
      </c>
      <c r="AN10" s="43" t="n">
        <v>0.01</v>
      </c>
      <c r="AO10" s="43" t="n">
        <v>0.04</v>
      </c>
      <c r="AP10" s="37" t="n">
        <v>0.001</v>
      </c>
      <c r="AQ10" s="10" t="n"/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38" t="inlineStr">
        <is>
          <t>DMS MCS Elten Tote Palletising Case Lidding</t>
        </is>
      </c>
      <c r="AA11" s="38" t="n"/>
      <c r="AB11" s="41">
        <f>IF(A11="","",IF(COUNTIF($A$6:$A$504,A11)&gt;1,"⚠ Duplicate",""))</f>
        <v/>
      </c>
      <c r="AC11" s="37" t="n">
        <v>0</v>
      </c>
      <c r="AD11" s="37" t="n">
        <v>0</v>
      </c>
      <c r="AE11" s="37" t="n">
        <v>0</v>
      </c>
      <c r="AF11" s="37" t="n">
        <v>0</v>
      </c>
      <c r="AG11" s="37" t="n">
        <v>0</v>
      </c>
      <c r="AH11" s="37" t="n">
        <v>0</v>
      </c>
      <c r="AI11" s="37" t="n">
        <v>0</v>
      </c>
      <c r="AJ11" s="37" t="n">
        <v>0</v>
      </c>
      <c r="AK11" s="37" t="n">
        <v>0</v>
      </c>
      <c r="AL11" s="37" t="n">
        <v>0</v>
      </c>
      <c r="AM11" s="37" t="n">
        <v>0</v>
      </c>
      <c r="AN11" s="37" t="n">
        <v>0</v>
      </c>
      <c r="AO11" s="37" t="n">
        <v>0</v>
      </c>
      <c r="AP11" s="37" t="n">
        <v>0</v>
      </c>
      <c r="AQ11" s="10" t="n"/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32" t="inlineStr">
        <is>
          <t>2 Way Shuttle BK25</t>
        </is>
      </c>
      <c r="AA12" s="32" t="n"/>
      <c r="AB12" s="36">
        <f>IF(A12="","",IF(COUNTIF($A$6:$A$504,A12)&gt;1,"⚠ Duplicate",""))</f>
        <v/>
      </c>
      <c r="AC12" s="37" t="n">
        <v>0</v>
      </c>
      <c r="AD12" s="37" t="n">
        <v>0</v>
      </c>
      <c r="AE12" s="37" t="n">
        <v>0</v>
      </c>
      <c r="AF12" s="37" t="n">
        <v>0</v>
      </c>
      <c r="AG12" s="37" t="n">
        <v>0</v>
      </c>
      <c r="AH12" s="37" t="n">
        <v>0</v>
      </c>
      <c r="AI12" s="37" t="n">
        <v>0</v>
      </c>
      <c r="AJ12" s="37" t="n">
        <v>0</v>
      </c>
      <c r="AK12" s="37" t="n">
        <v>0</v>
      </c>
      <c r="AL12" s="37" t="n">
        <v>0</v>
      </c>
      <c r="AM12" s="37" t="n">
        <v>0</v>
      </c>
      <c r="AN12" s="37" t="n">
        <v>0</v>
      </c>
      <c r="AO12" s="37" t="n">
        <v>0</v>
      </c>
      <c r="AP12" s="37" t="n">
        <v>0</v>
      </c>
      <c r="AQ12" s="10" t="n"/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38" t="inlineStr">
        <is>
          <t>DMS</t>
        </is>
      </c>
      <c r="AA13" s="38" t="n"/>
      <c r="AB13" s="41">
        <f>IF(A13="","",IF(COUNTIF($A$6:$A$504,A13)&gt;1,"⚠ Duplicate",""))</f>
        <v/>
      </c>
      <c r="AC13" s="42" t="n">
        <v>0.05</v>
      </c>
      <c r="AD13" s="42" t="n">
        <v>0.05</v>
      </c>
      <c r="AE13" s="42" t="n">
        <v>0.05</v>
      </c>
      <c r="AF13" s="42" t="n">
        <v>0.07000000000000001</v>
      </c>
      <c r="AG13" s="42" t="n">
        <v>0.09</v>
      </c>
      <c r="AH13" s="42" t="n">
        <v>0.06</v>
      </c>
      <c r="AI13" s="42" t="n">
        <v>0.06</v>
      </c>
      <c r="AJ13" s="42" t="n">
        <v>0.01</v>
      </c>
      <c r="AK13" s="42" t="n">
        <v>0.01</v>
      </c>
      <c r="AL13" s="42" t="n">
        <v>0.01</v>
      </c>
      <c r="AM13" s="42" t="n">
        <v>0.01</v>
      </c>
      <c r="AN13" s="42" t="n">
        <v>0.01</v>
      </c>
      <c r="AO13" s="42" t="n">
        <v>0.04</v>
      </c>
      <c r="AP13" s="37" t="n">
        <v>0.001</v>
      </c>
      <c r="AQ13" s="10" t="n"/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32" t="inlineStr">
        <is>
          <t>MCS</t>
        </is>
      </c>
      <c r="AA14" s="32" t="n"/>
      <c r="AB14" s="36">
        <f>IF(A14="","",IF(COUNTIF($A$6:$A$504,A14)&gt;1,"⚠ Duplicate",""))</f>
        <v/>
      </c>
      <c r="AC14" s="43" t="n">
        <v>0.05</v>
      </c>
      <c r="AD14" s="43" t="n">
        <v>0.05</v>
      </c>
      <c r="AE14" s="43" t="n">
        <v>0.05</v>
      </c>
      <c r="AF14" s="43" t="n">
        <v>0.07000000000000001</v>
      </c>
      <c r="AG14" s="43" t="n">
        <v>0.09</v>
      </c>
      <c r="AH14" s="43" t="n">
        <v>0.06</v>
      </c>
      <c r="AI14" s="43" t="n">
        <v>0.06</v>
      </c>
      <c r="AJ14" s="43" t="n">
        <v>0.01</v>
      </c>
      <c r="AK14" s="43" t="n">
        <v>0.01</v>
      </c>
      <c r="AL14" s="43" t="n">
        <v>0.01</v>
      </c>
      <c r="AM14" s="43" t="n">
        <v>0.01</v>
      </c>
      <c r="AN14" s="43" t="n">
        <v>0.01</v>
      </c>
      <c r="AO14" s="43" t="n">
        <v>0.04</v>
      </c>
      <c r="AP14" s="37" t="n">
        <v>0.001</v>
      </c>
      <c r="AQ14" s="10" t="n"/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38" t="inlineStr">
        <is>
          <t>4WS Pallet</t>
        </is>
      </c>
      <c r="AA15" s="38" t="n"/>
      <c r="AB15" s="41">
        <f>IF(A15="","",IF(COUNTIF($A$6:$A$504,A15)&gt;1,"⚠ Duplicate",""))</f>
        <v/>
      </c>
      <c r="AC15" s="42" t="n">
        <v>0.05</v>
      </c>
      <c r="AD15" s="42" t="n">
        <v>0.05</v>
      </c>
      <c r="AE15" s="42" t="n">
        <v>0.05</v>
      </c>
      <c r="AF15" s="42" t="n">
        <v>0.07000000000000001</v>
      </c>
      <c r="AG15" s="42" t="n">
        <v>0.09</v>
      </c>
      <c r="AH15" s="42" t="n">
        <v>0.06</v>
      </c>
      <c r="AI15" s="42" t="n">
        <v>0.06</v>
      </c>
      <c r="AJ15" s="42" t="n">
        <v>0.01</v>
      </c>
      <c r="AK15" s="42" t="n">
        <v>0.01</v>
      </c>
      <c r="AL15" s="42" t="n">
        <v>0.01</v>
      </c>
      <c r="AM15" s="42" t="n">
        <v>0.01</v>
      </c>
      <c r="AN15" s="42" t="n">
        <v>0.01</v>
      </c>
      <c r="AO15" s="42" t="n">
        <v>0.04</v>
      </c>
      <c r="AP15" s="37" t="n">
        <v>0.001</v>
      </c>
      <c r="AQ15" s="10" t="n"/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32" t="inlineStr">
        <is>
          <t>Autostore</t>
        </is>
      </c>
      <c r="AA16" s="32" t="n"/>
      <c r="AB16" s="36">
        <f>IF(A16="","",IF(COUNTIF($A$6:$A$504,A16)&gt;1,"⚠ Duplicate",""))</f>
        <v/>
      </c>
      <c r="AC16" s="37" t="n">
        <v>0</v>
      </c>
      <c r="AD16" s="37" t="n">
        <v>0</v>
      </c>
      <c r="AE16" s="37" t="n">
        <v>0</v>
      </c>
      <c r="AF16" s="37" t="n">
        <v>0</v>
      </c>
      <c r="AG16" s="37" t="n">
        <v>0</v>
      </c>
      <c r="AH16" s="37" t="n">
        <v>0</v>
      </c>
      <c r="AI16" s="37" t="n">
        <v>0</v>
      </c>
      <c r="AJ16" s="37" t="n">
        <v>0</v>
      </c>
      <c r="AK16" s="37" t="n">
        <v>0</v>
      </c>
      <c r="AL16" s="37" t="n">
        <v>0</v>
      </c>
      <c r="AM16" s="37" t="n">
        <v>0</v>
      </c>
      <c r="AN16" s="37" t="n">
        <v>0</v>
      </c>
      <c r="AO16" s="37" t="n">
        <v>0</v>
      </c>
      <c r="AP16" s="37" t="n">
        <v>0</v>
      </c>
      <c r="AQ16" s="10" t="n"/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38" t="inlineStr">
        <is>
          <t>Autostore</t>
        </is>
      </c>
      <c r="AA17" s="38" t="n"/>
      <c r="AB17" s="41">
        <f>IF(A17="","",IF(COUNTIF($A$6:$A$504,A17)&gt;1,"⚠ Duplicate",""))</f>
        <v/>
      </c>
      <c r="AC17" s="37" t="n">
        <v>0</v>
      </c>
      <c r="AD17" s="37" t="n">
        <v>0</v>
      </c>
      <c r="AE17" s="37" t="n">
        <v>0</v>
      </c>
      <c r="AF17" s="37" t="n">
        <v>0</v>
      </c>
      <c r="AG17" s="37" t="n">
        <v>0</v>
      </c>
      <c r="AH17" s="37" t="n">
        <v>0</v>
      </c>
      <c r="AI17" s="37" t="n">
        <v>0</v>
      </c>
      <c r="AJ17" s="37" t="n">
        <v>0</v>
      </c>
      <c r="AK17" s="37" t="n">
        <v>0</v>
      </c>
      <c r="AL17" s="37" t="n">
        <v>0</v>
      </c>
      <c r="AM17" s="37" t="n">
        <v>0</v>
      </c>
      <c r="AN17" s="37" t="n">
        <v>0</v>
      </c>
      <c r="AO17" s="37" t="n">
        <v>0</v>
      </c>
      <c r="AP17" s="37" t="n">
        <v>0</v>
      </c>
      <c r="AQ17" s="10" t="n"/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32" t="n"/>
      <c r="AA18" s="32" t="n"/>
      <c r="AB18" s="36">
        <f>IF(A18="","",IF(COUNTIF($A$6:$A$504,A18)&gt;1,"⚠ Duplicate",""))</f>
        <v/>
      </c>
      <c r="AC18" s="43" t="n">
        <v>0.05</v>
      </c>
      <c r="AD18" s="43" t="n">
        <v>0.05</v>
      </c>
      <c r="AE18" s="43" t="n">
        <v>0.05</v>
      </c>
      <c r="AF18" s="43" t="n">
        <v>0.07000000000000001</v>
      </c>
      <c r="AG18" s="43" t="n">
        <v>0.09</v>
      </c>
      <c r="AH18" s="43" t="n">
        <v>0.06</v>
      </c>
      <c r="AI18" s="43" t="n">
        <v>0.06</v>
      </c>
      <c r="AJ18" s="43" t="n">
        <v>0.01</v>
      </c>
      <c r="AK18" s="43" t="n">
        <v>0.01</v>
      </c>
      <c r="AL18" s="43" t="n">
        <v>0.01</v>
      </c>
      <c r="AM18" s="43" t="n">
        <v>0.01</v>
      </c>
      <c r="AN18" s="43" t="n">
        <v>0.01</v>
      </c>
      <c r="AO18" s="43" t="n">
        <v>0.04</v>
      </c>
      <c r="AP18" s="37" t="n">
        <v>0.001</v>
      </c>
      <c r="AQ18" s="10" t="n"/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38" t="inlineStr">
        <is>
          <t xml:space="preserve">SRM BK25 Shuttlecar RGV </t>
        </is>
      </c>
      <c r="AA19" s="38" t="n"/>
      <c r="AB19" s="41">
        <f>IF(A19="","",IF(COUNTIF($A$6:$A$504,A19)&gt;1,"⚠ Duplicate",""))</f>
        <v/>
      </c>
      <c r="AC19" s="37" t="n">
        <v>0</v>
      </c>
      <c r="AD19" s="37" t="n">
        <v>0</v>
      </c>
      <c r="AE19" s="37" t="n">
        <v>0</v>
      </c>
      <c r="AF19" s="37" t="n">
        <v>0</v>
      </c>
      <c r="AG19" s="37" t="n">
        <v>0</v>
      </c>
      <c r="AH19" s="37" t="n">
        <v>0</v>
      </c>
      <c r="AI19" s="37" t="n">
        <v>0</v>
      </c>
      <c r="AJ19" s="37" t="n">
        <v>0</v>
      </c>
      <c r="AK19" s="37" t="n">
        <v>0</v>
      </c>
      <c r="AL19" s="37" t="n">
        <v>0</v>
      </c>
      <c r="AM19" s="37" t="n">
        <v>0</v>
      </c>
      <c r="AN19" s="37" t="n">
        <v>0</v>
      </c>
      <c r="AO19" s="37" t="n">
        <v>0</v>
      </c>
      <c r="AP19" s="37" t="n">
        <v>0</v>
      </c>
      <c r="AQ19" s="68" t="n"/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32" t="inlineStr">
        <is>
          <t>SRM BK25 MCS DMS AMCAP MCP FMCF RGV LIFTER PALLET ELTEN SCHWINGHANDL NORIN SUZHOU MARKEM IMAJE METTLER TOLEDO</t>
        </is>
      </c>
      <c r="AA20" s="32" t="n"/>
      <c r="AB20" s="36">
        <f>IF(A20="","",IF(COUNTIF($A$6:$A$504,A20)&gt;1,"⚠ Duplicate",""))</f>
        <v/>
      </c>
      <c r="AC20" s="37" t="n">
        <v>0</v>
      </c>
      <c r="AD20" s="37" t="n">
        <v>0</v>
      </c>
      <c r="AE20" s="37" t="n">
        <v>0</v>
      </c>
      <c r="AF20" s="37" t="n">
        <v>0</v>
      </c>
      <c r="AG20" s="37" t="n">
        <v>0</v>
      </c>
      <c r="AH20" s="37" t="n">
        <v>0</v>
      </c>
      <c r="AI20" s="37" t="n">
        <v>0</v>
      </c>
      <c r="AJ20" s="37" t="n">
        <v>0</v>
      </c>
      <c r="AK20" s="37" t="n">
        <v>0</v>
      </c>
      <c r="AL20" s="37" t="n">
        <v>0</v>
      </c>
      <c r="AM20" s="37" t="n">
        <v>0</v>
      </c>
      <c r="AN20" s="37" t="n">
        <v>0</v>
      </c>
      <c r="AO20" s="37" t="n">
        <v>0</v>
      </c>
      <c r="AP20" s="37" t="n">
        <v>0</v>
      </c>
      <c r="AQ20" s="10" t="n"/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38" t="inlineStr">
        <is>
          <t>Autostore</t>
        </is>
      </c>
      <c r="AA21" s="38" t="n"/>
      <c r="AB21" s="41">
        <f>IF(A21="","",IF(COUNTIF($A$6:$A$504,A21)&gt;1,"⚠ Duplicate",""))</f>
        <v/>
      </c>
      <c r="AC21" s="42" t="n">
        <v>0.05</v>
      </c>
      <c r="AD21" s="42" t="n">
        <v>0.05</v>
      </c>
      <c r="AE21" s="42" t="n">
        <v>0.05</v>
      </c>
      <c r="AF21" s="42" t="n">
        <v>0.07000000000000001</v>
      </c>
      <c r="AG21" s="42" t="n">
        <v>0.09</v>
      </c>
      <c r="AH21" s="42" t="n">
        <v>0.06</v>
      </c>
      <c r="AI21" s="42" t="n">
        <v>0.06</v>
      </c>
      <c r="AJ21" s="42" t="n">
        <v>0.01</v>
      </c>
      <c r="AK21" s="42" t="n">
        <v>0.01</v>
      </c>
      <c r="AL21" s="42" t="n">
        <v>0.01</v>
      </c>
      <c r="AM21" s="42" t="n">
        <v>0.01</v>
      </c>
      <c r="AN21" s="42" t="n">
        <v>0.01</v>
      </c>
      <c r="AO21" s="42" t="n">
        <v>0.04</v>
      </c>
      <c r="AP21" s="37" t="n">
        <v>0.001</v>
      </c>
      <c r="AQ21" s="10" t="n"/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32" t="inlineStr">
        <is>
          <t>XB Sorter CBS crossbelt MCS</t>
        </is>
      </c>
      <c r="AA22" s="32" t="n"/>
      <c r="AB22" s="36">
        <f>IF(A22="","",IF(COUNTIF($A$6:$A$504,A22)&gt;1,"⚠ Duplicate",""))</f>
        <v/>
      </c>
      <c r="AC22" s="37" t="n">
        <v>0</v>
      </c>
      <c r="AD22" s="37" t="n">
        <v>0</v>
      </c>
      <c r="AE22" s="37" t="n">
        <v>0</v>
      </c>
      <c r="AF22" s="37" t="n">
        <v>0</v>
      </c>
      <c r="AG22" s="37" t="n">
        <v>0</v>
      </c>
      <c r="AH22" s="37" t="n">
        <v>0</v>
      </c>
      <c r="AI22" s="37" t="n">
        <v>0</v>
      </c>
      <c r="AJ22" s="37" t="n">
        <v>0</v>
      </c>
      <c r="AK22" s="37" t="n">
        <v>0</v>
      </c>
      <c r="AL22" s="37" t="n">
        <v>0</v>
      </c>
      <c r="AM22" s="37" t="n">
        <v>0</v>
      </c>
      <c r="AN22" s="37" t="n">
        <v>0</v>
      </c>
      <c r="AO22" s="37" t="n">
        <v>0</v>
      </c>
      <c r="AP22" s="37" t="n">
        <v>0</v>
      </c>
      <c r="AQ22" s="10" t="n"/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38" t="inlineStr">
        <is>
          <t xml:space="preserve">SRM BK25 </t>
        </is>
      </c>
      <c r="AA23" s="38" t="n"/>
      <c r="AB23" s="41">
        <f>IF(A23="","",IF(COUNTIF($A$6:$A$504,A23)&gt;1,"⚠ Duplicate",""))</f>
        <v/>
      </c>
      <c r="AC23" s="42" t="n">
        <v>0.05</v>
      </c>
      <c r="AD23" s="42" t="n">
        <v>0.05</v>
      </c>
      <c r="AE23" s="42" t="n">
        <v>0.05</v>
      </c>
      <c r="AF23" s="42" t="n">
        <v>0.07000000000000001</v>
      </c>
      <c r="AG23" s="42" t="n">
        <v>0.09</v>
      </c>
      <c r="AH23" s="42" t="n">
        <v>0.06</v>
      </c>
      <c r="AI23" s="42" t="n">
        <v>0.06</v>
      </c>
      <c r="AJ23" s="42" t="n">
        <v>0.01</v>
      </c>
      <c r="AK23" s="42" t="n">
        <v>0.01</v>
      </c>
      <c r="AL23" s="42" t="n">
        <v>0.01</v>
      </c>
      <c r="AM23" s="42" t="n">
        <v>0.01</v>
      </c>
      <c r="AN23" s="42" t="n">
        <v>0.01</v>
      </c>
      <c r="AO23" s="42" t="n">
        <v>0.04</v>
      </c>
      <c r="AP23" s="37" t="n">
        <v>0.001</v>
      </c>
      <c r="AQ23" s="10" t="n"/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32" t="inlineStr">
        <is>
          <t>ASRS MCS DMS</t>
        </is>
      </c>
      <c r="AA24" s="32" t="n"/>
      <c r="AB24" s="36">
        <f>IF(A24="","",IF(COUNTIF($A$6:$A$504,A24)&gt;1,"⚠ Duplicate",""))</f>
        <v/>
      </c>
      <c r="AC24" s="43" t="n">
        <v>0.05</v>
      </c>
      <c r="AD24" s="43" t="n">
        <v>0.05</v>
      </c>
      <c r="AE24" s="43" t="n">
        <v>0.05</v>
      </c>
      <c r="AF24" s="43" t="n">
        <v>0.07000000000000001</v>
      </c>
      <c r="AG24" s="43" t="n">
        <v>0.09</v>
      </c>
      <c r="AH24" s="43" t="n">
        <v>0.06</v>
      </c>
      <c r="AI24" s="43" t="n">
        <v>0.06</v>
      </c>
      <c r="AJ24" s="43" t="n">
        <v>0.01</v>
      </c>
      <c r="AK24" s="43" t="n">
        <v>0.01</v>
      </c>
      <c r="AL24" s="43" t="n">
        <v>0.01</v>
      </c>
      <c r="AM24" s="43" t="n">
        <v>0.01</v>
      </c>
      <c r="AN24" s="43" t="n">
        <v>0.01</v>
      </c>
      <c r="AO24" s="43" t="n">
        <v>0.04</v>
      </c>
      <c r="AP24" s="37" t="n">
        <v>0.001</v>
      </c>
      <c r="AQ24" s="10" t="n"/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38" t="inlineStr">
        <is>
          <t>SRM BK25</t>
        </is>
      </c>
      <c r="AA25" s="38" t="n"/>
      <c r="AB25" s="41">
        <f>IF(A25="","",IF(COUNTIF($A$6:$A$504,A25)&gt;1,"⚠ Duplicate",""))</f>
        <v/>
      </c>
      <c r="AC25" s="42" t="n">
        <v>0.05</v>
      </c>
      <c r="AD25" s="42" t="n">
        <v>0.05</v>
      </c>
      <c r="AE25" s="42" t="n">
        <v>0.05</v>
      </c>
      <c r="AF25" s="42" t="n">
        <v>0.07000000000000001</v>
      </c>
      <c r="AG25" s="42" t="n">
        <v>0.09</v>
      </c>
      <c r="AH25" s="42" t="n">
        <v>0.06</v>
      </c>
      <c r="AI25" s="42" t="n">
        <v>0.06</v>
      </c>
      <c r="AJ25" s="42" t="n">
        <v>0.01</v>
      </c>
      <c r="AK25" s="42" t="n">
        <v>0.01</v>
      </c>
      <c r="AL25" s="42" t="n">
        <v>0.01</v>
      </c>
      <c r="AM25" s="42" t="n">
        <v>0.01</v>
      </c>
      <c r="AN25" s="42" t="n">
        <v>0.01</v>
      </c>
      <c r="AO25" s="42" t="n">
        <v>0.04</v>
      </c>
      <c r="AP25" s="37" t="n">
        <v>0.001</v>
      </c>
      <c r="AQ25" s="10" t="n"/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32" t="inlineStr">
        <is>
          <t>SRM BK25 MCS DMS AMCAP MCP FMCF RGV LIFTER PALLET ELTEN SCHWINGHANDL NORIN SUZHOU MARKEM IMAJE METTLER TOLEDO</t>
        </is>
      </c>
      <c r="AA26" s="32" t="inlineStr">
        <is>
          <t>Actual timeline is much, much worse compared to handover</t>
        </is>
      </c>
      <c r="AB26" s="36">
        <f>IF(A26="","",IF(COUNTIF($A$6:$A$504,A26)&gt;1,"⚠ Duplicate",""))</f>
        <v/>
      </c>
      <c r="AC26" s="37" t="n">
        <v>0</v>
      </c>
      <c r="AD26" s="37" t="n">
        <v>0</v>
      </c>
      <c r="AE26" s="37" t="n">
        <v>0</v>
      </c>
      <c r="AF26" s="37" t="n">
        <v>0</v>
      </c>
      <c r="AG26" s="37" t="n">
        <v>0</v>
      </c>
      <c r="AH26" s="37" t="n">
        <v>0</v>
      </c>
      <c r="AI26" s="37" t="n">
        <v>0</v>
      </c>
      <c r="AJ26" s="37" t="n">
        <v>0</v>
      </c>
      <c r="AK26" s="37" t="n">
        <v>0</v>
      </c>
      <c r="AL26" s="37" t="n">
        <v>0</v>
      </c>
      <c r="AM26" s="37" t="n">
        <v>0</v>
      </c>
      <c r="AN26" s="37" t="n">
        <v>0</v>
      </c>
      <c r="AO26" s="37" t="n">
        <v>0</v>
      </c>
      <c r="AP26" s="37" t="n">
        <v>0</v>
      </c>
      <c r="AQ26" s="10" t="n"/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38" t="inlineStr">
        <is>
          <t>SRM BK25 Shuttlecar</t>
        </is>
      </c>
      <c r="AA27" s="38" t="n"/>
      <c r="AB27" s="41">
        <f>IF(A27="","",IF(COUNTIF($A$6:$A$504,A27)&gt;1,"⚠ Duplicate",""))</f>
        <v/>
      </c>
      <c r="AC27" s="37" t="n">
        <v>0</v>
      </c>
      <c r="AD27" s="37" t="n">
        <v>0</v>
      </c>
      <c r="AE27" s="37" t="n">
        <v>0</v>
      </c>
      <c r="AF27" s="37" t="n">
        <v>0</v>
      </c>
      <c r="AG27" s="37" t="n">
        <v>0</v>
      </c>
      <c r="AH27" s="37" t="n">
        <v>0</v>
      </c>
      <c r="AI27" s="37" t="n">
        <v>0</v>
      </c>
      <c r="AJ27" s="37" t="n">
        <v>0</v>
      </c>
      <c r="AK27" s="37" t="n">
        <v>0</v>
      </c>
      <c r="AL27" s="37" t="n">
        <v>0</v>
      </c>
      <c r="AM27" s="37" t="n">
        <v>0</v>
      </c>
      <c r="AN27" s="37" t="n">
        <v>0</v>
      </c>
      <c r="AO27" s="37" t="n">
        <v>0</v>
      </c>
      <c r="AP27" s="37" t="n">
        <v>0</v>
      </c>
      <c r="AQ27" s="10" t="n"/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32" t="inlineStr">
        <is>
          <t>Autostore</t>
        </is>
      </c>
      <c r="AA28" s="32" t="n"/>
      <c r="AB28" s="36">
        <f>IF(A28="","",IF(COUNTIF($A$6:$A$504,A28)&gt;1,"⚠ Duplicate",""))</f>
        <v/>
      </c>
      <c r="AC28" s="37" t="n">
        <v>0</v>
      </c>
      <c r="AD28" s="37" t="n">
        <v>0</v>
      </c>
      <c r="AE28" s="37" t="n">
        <v>0</v>
      </c>
      <c r="AF28" s="37" t="n">
        <v>0</v>
      </c>
      <c r="AG28" s="37" t="n">
        <v>0</v>
      </c>
      <c r="AH28" s="37" t="n">
        <v>0</v>
      </c>
      <c r="AI28" s="37" t="n">
        <v>0</v>
      </c>
      <c r="AJ28" s="37" t="n">
        <v>0</v>
      </c>
      <c r="AK28" s="37" t="n">
        <v>0</v>
      </c>
      <c r="AL28" s="37" t="n">
        <v>0</v>
      </c>
      <c r="AM28" s="37" t="n">
        <v>0</v>
      </c>
      <c r="AN28" s="37" t="n">
        <v>0</v>
      </c>
      <c r="AO28" s="37" t="n">
        <v>0</v>
      </c>
      <c r="AP28" s="37" t="n">
        <v>0</v>
      </c>
      <c r="AQ28" s="10" t="n"/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38" t="inlineStr">
        <is>
          <t>Autostore MCS</t>
        </is>
      </c>
      <c r="AA29" s="38" t="n"/>
      <c r="AB29" s="41">
        <f>IF(A29="","",IF(COUNTIF($A$6:$A$504,A29)&gt;1,"⚠ Duplicate",""))</f>
        <v/>
      </c>
      <c r="AC29" s="37" t="n">
        <v>0</v>
      </c>
      <c r="AD29" s="37" t="n">
        <v>0</v>
      </c>
      <c r="AE29" s="37" t="n">
        <v>0</v>
      </c>
      <c r="AF29" s="37" t="n">
        <v>0</v>
      </c>
      <c r="AG29" s="37" t="n">
        <v>0</v>
      </c>
      <c r="AH29" s="37" t="n">
        <v>0</v>
      </c>
      <c r="AI29" s="37" t="n">
        <v>0</v>
      </c>
      <c r="AJ29" s="37" t="n">
        <v>0</v>
      </c>
      <c r="AK29" s="37" t="n">
        <v>0</v>
      </c>
      <c r="AL29" s="37" t="n">
        <v>0</v>
      </c>
      <c r="AM29" s="37" t="n">
        <v>0</v>
      </c>
      <c r="AN29" s="37" t="n">
        <v>0</v>
      </c>
      <c r="AO29" s="37" t="n">
        <v>0</v>
      </c>
      <c r="AP29" s="37" t="n">
        <v>0</v>
      </c>
      <c r="AQ29" s="10" t="n"/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32" t="inlineStr">
        <is>
          <t>Autostore PTL</t>
        </is>
      </c>
      <c r="AA30" s="32" t="n"/>
      <c r="AB30" s="36">
        <f>IF(A30="","",IF(COUNTIF($A$6:$A$504,A30)&gt;1,"⚠ Duplicate",""))</f>
        <v/>
      </c>
      <c r="AC30" s="43" t="n">
        <v>0.05985533802247048</v>
      </c>
      <c r="AD30" s="43" t="n">
        <v>0</v>
      </c>
      <c r="AE30" s="43" t="n">
        <v>0.04870852701722641</v>
      </c>
      <c r="AF30" s="43" t="n">
        <v>0.005023804116824426</v>
      </c>
      <c r="AG30" s="43" t="n">
        <v>0.08714148677968518</v>
      </c>
      <c r="AH30" s="43" t="n">
        <v>0</v>
      </c>
      <c r="AI30" s="43" t="n">
        <v>0.03602870021356722</v>
      </c>
      <c r="AJ30" s="43" t="n">
        <v>0.0007519604156778079</v>
      </c>
      <c r="AK30" s="43" t="n">
        <v>0</v>
      </c>
      <c r="AL30" s="43" t="n">
        <v>0.02176747645695123</v>
      </c>
      <c r="AM30" s="43" t="n">
        <v>0.002879828389139048</v>
      </c>
      <c r="AN30" s="43" t="n">
        <v>0</v>
      </c>
      <c r="AO30" s="43" t="n">
        <v>0.07060868402455088</v>
      </c>
      <c r="AP30" s="37" t="n">
        <v>0.02288249766353828</v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38" t="inlineStr">
        <is>
          <t>XB Sorter CBS crossbelt MCS PTL Mezzanine Rack</t>
        </is>
      </c>
      <c r="AA31" s="38" t="n"/>
      <c r="AB31" s="41">
        <f>IF(A31="","",IF(COUNTIF($A$6:$A$504,A31)&gt;1,"⚠ Duplicate",""))</f>
        <v/>
      </c>
      <c r="AC31" s="37" t="n">
        <v>0</v>
      </c>
      <c r="AD31" s="37" t="n">
        <v>0</v>
      </c>
      <c r="AE31" s="37" t="n">
        <v>0</v>
      </c>
      <c r="AF31" s="37" t="n">
        <v>0</v>
      </c>
      <c r="AG31" s="37" t="n">
        <v>0</v>
      </c>
      <c r="AH31" s="37" t="n">
        <v>0</v>
      </c>
      <c r="AI31" s="37" t="n">
        <v>0</v>
      </c>
      <c r="AJ31" s="37" t="n">
        <v>0</v>
      </c>
      <c r="AK31" s="37" t="n">
        <v>0</v>
      </c>
      <c r="AL31" s="37" t="n">
        <v>0</v>
      </c>
      <c r="AM31" s="37" t="n">
        <v>0</v>
      </c>
      <c r="AN31" s="37" t="n">
        <v>0</v>
      </c>
      <c r="AO31" s="37" t="n">
        <v>0</v>
      </c>
      <c r="AP31" s="37" t="n">
        <v>0</v>
      </c>
      <c r="AQ31" s="10" t="n"/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32" t="inlineStr">
        <is>
          <t xml:space="preserve">XB Sorter CBS crossbelt MCS </t>
        </is>
      </c>
      <c r="AA32" s="32" t="inlineStr">
        <is>
          <t>Purely sortation system only</t>
        </is>
      </c>
      <c r="AB32" s="36">
        <f>IF(A32="","",IF(COUNTIF($A$6:$A$504,A32)&gt;1,"⚠ Duplicate",""))</f>
        <v/>
      </c>
      <c r="AC32" s="43" t="n">
        <v>0.05</v>
      </c>
      <c r="AD32" s="43" t="n">
        <v>0.05</v>
      </c>
      <c r="AE32" s="43" t="n">
        <v>0.05</v>
      </c>
      <c r="AF32" s="43" t="n">
        <v>0.07000000000000001</v>
      </c>
      <c r="AG32" s="43" t="n">
        <v>0.09</v>
      </c>
      <c r="AH32" s="43" t="n">
        <v>0.06</v>
      </c>
      <c r="AI32" s="43" t="n">
        <v>0.06</v>
      </c>
      <c r="AJ32" s="43" t="n">
        <v>0.01</v>
      </c>
      <c r="AK32" s="43" t="n">
        <v>0.01</v>
      </c>
      <c r="AL32" s="43" t="n">
        <v>0.01</v>
      </c>
      <c r="AM32" s="43" t="n">
        <v>0.01</v>
      </c>
      <c r="AN32" s="43" t="n">
        <v>0.01</v>
      </c>
      <c r="AO32" s="43" t="n">
        <v>0.04</v>
      </c>
      <c r="AP32" s="37" t="n">
        <v>0.001</v>
      </c>
      <c r="AQ32" s="10" t="n"/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38" t="inlineStr">
        <is>
          <t>SRM BK25 MCS DMS 2WS AMCAP MCP FMCF RGV LIFTER PALLET ELTEN SCHWINGHANDL NORIN SUZHOU MARKEM IMAJE METTLER TOLEDO KAIXIN</t>
        </is>
      </c>
      <c r="AA33" s="38" t="n"/>
      <c r="AB33" s="41">
        <f>IF(A33="","",IF(COUNTIF($A$6:$A$504,A33)&gt;1,"⚠ Duplicate",""))</f>
        <v/>
      </c>
      <c r="AC33" s="37" t="n">
        <v>0</v>
      </c>
      <c r="AD33" s="37" t="n">
        <v>0</v>
      </c>
      <c r="AE33" s="37" t="n">
        <v>0</v>
      </c>
      <c r="AF33" s="37" t="n">
        <v>0</v>
      </c>
      <c r="AG33" s="37" t="n">
        <v>0</v>
      </c>
      <c r="AH33" s="37" t="n">
        <v>0</v>
      </c>
      <c r="AI33" s="37" t="n">
        <v>0</v>
      </c>
      <c r="AJ33" s="37" t="n">
        <v>0</v>
      </c>
      <c r="AK33" s="37" t="n">
        <v>0</v>
      </c>
      <c r="AL33" s="37" t="n">
        <v>0</v>
      </c>
      <c r="AM33" s="37" t="n">
        <v>0</v>
      </c>
      <c r="AN33" s="37" t="n">
        <v>0</v>
      </c>
      <c r="AO33" s="37" t="n">
        <v>0</v>
      </c>
      <c r="AP33" s="37" t="n">
        <v>0</v>
      </c>
      <c r="AQ33" s="10" t="n"/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32" t="inlineStr">
        <is>
          <t>SRM  BK25 DMS MCS ELTEN QIMAROX Mezz PTL Robot Layer Picker</t>
        </is>
      </c>
      <c r="AA34" s="32" t="n"/>
      <c r="AB34" s="36">
        <f>IF(A34="","",IF(COUNTIF($A$6:$A$504,A34)&gt;1,"⚠ Duplicate",""))</f>
        <v/>
      </c>
      <c r="AC34" s="37" t="n">
        <v>0</v>
      </c>
      <c r="AD34" s="37" t="n">
        <v>0</v>
      </c>
      <c r="AE34" s="37" t="n">
        <v>0</v>
      </c>
      <c r="AF34" s="37" t="n">
        <v>0</v>
      </c>
      <c r="AG34" s="37" t="n">
        <v>0</v>
      </c>
      <c r="AH34" s="37" t="n">
        <v>0</v>
      </c>
      <c r="AI34" s="37" t="n">
        <v>0</v>
      </c>
      <c r="AJ34" s="37" t="n">
        <v>0</v>
      </c>
      <c r="AK34" s="37" t="n">
        <v>0</v>
      </c>
      <c r="AL34" s="37" t="n">
        <v>0</v>
      </c>
      <c r="AM34" s="37" t="n">
        <v>0</v>
      </c>
      <c r="AN34" s="37" t="n">
        <v>0</v>
      </c>
      <c r="AO34" s="37" t="n">
        <v>0</v>
      </c>
      <c r="AP34" s="37" t="n">
        <v>0</v>
      </c>
      <c r="AQ34" s="10" t="n"/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38" t="inlineStr">
        <is>
          <t>Autostore</t>
        </is>
      </c>
      <c r="AA35" s="38" t="n"/>
      <c r="AB35" s="41">
        <f>IF(A35="","",IF(COUNTIF($A$6:$A$504,A35)&gt;1,"⚠ Duplicate",""))</f>
        <v/>
      </c>
      <c r="AC35" s="37" t="n">
        <v>0</v>
      </c>
      <c r="AD35" s="37" t="n">
        <v>0</v>
      </c>
      <c r="AE35" s="37" t="n">
        <v>0.04872205363088507</v>
      </c>
      <c r="AF35" s="37" t="n">
        <v>0</v>
      </c>
      <c r="AG35" s="37" t="n">
        <v>0.00628505670706197</v>
      </c>
      <c r="AH35" s="37" t="n">
        <v>0</v>
      </c>
      <c r="AI35" s="37" t="n">
        <v>0.02412028341525975</v>
      </c>
      <c r="AJ35" s="37" t="n">
        <v>0.08882880145980918</v>
      </c>
      <c r="AK35" s="37" t="n">
        <v>0</v>
      </c>
      <c r="AL35" s="37" t="n">
        <v>0</v>
      </c>
      <c r="AM35" s="37" t="n">
        <v>0</v>
      </c>
      <c r="AN35" s="37" t="n">
        <v>0</v>
      </c>
      <c r="AO35" s="37" t="n">
        <v>0.02466168959396852</v>
      </c>
      <c r="AP35" s="37" t="n">
        <v>0</v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32" t="inlineStr">
        <is>
          <t>SRM BK25</t>
        </is>
      </c>
      <c r="AA36" s="32" t="inlineStr">
        <is>
          <t>Racking not in scope</t>
        </is>
      </c>
      <c r="AB36" s="36">
        <f>IF(A36="","",IF(COUNTIF($A$6:$A$504,A36)&gt;1,"⚠ Duplicate",""))</f>
        <v/>
      </c>
      <c r="AC36" s="43" t="n">
        <v>0.03963368956135951</v>
      </c>
      <c r="AD36" s="43" t="n">
        <v>0.03064751543143669</v>
      </c>
      <c r="AE36" s="43" t="n">
        <v>0.05305254388165813</v>
      </c>
      <c r="AF36" s="43" t="n">
        <v>0.003816509500807946</v>
      </c>
      <c r="AG36" s="43" t="n">
        <v>0.01538381475811512</v>
      </c>
      <c r="AH36" s="43" t="n">
        <v>0</v>
      </c>
      <c r="AI36" s="43" t="n">
        <v>0.02036504009462588</v>
      </c>
      <c r="AJ36" s="43" t="n">
        <v>0.02504583169153374</v>
      </c>
      <c r="AK36" s="43" t="n">
        <v>0.004009411108903849</v>
      </c>
      <c r="AL36" s="43" t="n">
        <v>0.01035387219753341</v>
      </c>
      <c r="AM36" s="43" t="n">
        <v>0.03458066536155243</v>
      </c>
      <c r="AN36" s="43" t="n">
        <v>0.04804784179532302</v>
      </c>
      <c r="AO36" s="43" t="n">
        <v>0.0230248248254304</v>
      </c>
      <c r="AP36" s="37" t="n">
        <v>0.002444267322475879</v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38" t="inlineStr">
        <is>
          <t>Autostore</t>
        </is>
      </c>
      <c r="AA37" s="38" t="n"/>
      <c r="AB37" s="41">
        <f>IF(A37="","",IF(COUNTIF($A$6:$A$504,A37)&gt;1,"⚠ Duplicate",""))</f>
        <v/>
      </c>
      <c r="AC37" s="37" t="n">
        <v>0.03444602869956017</v>
      </c>
      <c r="AD37" s="37" t="n">
        <v>0</v>
      </c>
      <c r="AE37" s="37" t="n">
        <v>0.03257704845718964</v>
      </c>
      <c r="AF37" s="37" t="n">
        <v>0</v>
      </c>
      <c r="AG37" s="37" t="n">
        <v>0.03643363590853829</v>
      </c>
      <c r="AH37" s="37" t="n">
        <v>0</v>
      </c>
      <c r="AI37" s="37" t="n">
        <v>0.01501799918725192</v>
      </c>
      <c r="AJ37" s="37" t="n">
        <v>0</v>
      </c>
      <c r="AK37" s="37" t="n">
        <v>0</v>
      </c>
      <c r="AL37" s="37" t="n">
        <v>0.0002521243361430617</v>
      </c>
      <c r="AM37" s="37" t="n">
        <v>0.004086945559514623</v>
      </c>
      <c r="AN37" s="37" t="n">
        <v>0</v>
      </c>
      <c r="AO37" s="37" t="n">
        <v>0.09428801895920387</v>
      </c>
      <c r="AP37" s="37" t="n">
        <v>4.438077898621939e-05</v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32" t="inlineStr">
        <is>
          <t>Autostore</t>
        </is>
      </c>
      <c r="AA38" s="32" t="inlineStr">
        <is>
          <t>First Plexus project, longer everything.</t>
        </is>
      </c>
      <c r="AB38" s="36">
        <f>IF(A38="","",IF(COUNTIF($A$6:$A$504,A38)&gt;1,"⚠ Duplicate",""))</f>
        <v/>
      </c>
      <c r="AC38" s="37" t="n">
        <v>0.03058565202536138</v>
      </c>
      <c r="AD38" s="37" t="n">
        <v>0.00663291136018963</v>
      </c>
      <c r="AE38" s="37" t="n">
        <v>0.05198480292583055</v>
      </c>
      <c r="AF38" s="37" t="n">
        <v>0</v>
      </c>
      <c r="AG38" s="37" t="n">
        <v>0.005716881067445528</v>
      </c>
      <c r="AH38" s="37" t="n">
        <v>0</v>
      </c>
      <c r="AI38" s="37" t="n">
        <v>0.01031931406655589</v>
      </c>
      <c r="AJ38" s="37" t="n">
        <v>0</v>
      </c>
      <c r="AK38" s="37" t="n">
        <v>0</v>
      </c>
      <c r="AL38" s="37" t="n">
        <v>0</v>
      </c>
      <c r="AM38" s="37" t="n">
        <v>0</v>
      </c>
      <c r="AN38" s="37" t="n">
        <v>0</v>
      </c>
      <c r="AO38" s="37" t="n">
        <v>0.1442547011430668</v>
      </c>
      <c r="AP38" s="37" t="n">
        <v>0</v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38" t="inlineStr">
        <is>
          <t>Autostore MCS</t>
        </is>
      </c>
      <c r="AA39" s="38" t="inlineStr">
        <is>
          <t xml:space="preserve">Delayed progressive shipment schedule, 35 weeks additional on top of total timeline </t>
        </is>
      </c>
      <c r="AB39" s="41">
        <f>IF(A39="","",IF(COUNTIF($A$6:$A$504,A39)&gt;1,"⚠ Duplicate",""))</f>
        <v/>
      </c>
      <c r="AC39" s="37" t="n">
        <v>0</v>
      </c>
      <c r="AD39" s="37" t="n">
        <v>0</v>
      </c>
      <c r="AE39" s="37" t="n">
        <v>0</v>
      </c>
      <c r="AF39" s="37" t="n">
        <v>0</v>
      </c>
      <c r="AG39" s="37" t="n">
        <v>0</v>
      </c>
      <c r="AH39" s="37" t="n">
        <v>0</v>
      </c>
      <c r="AI39" s="37" t="n">
        <v>0</v>
      </c>
      <c r="AJ39" s="37" t="n">
        <v>0</v>
      </c>
      <c r="AK39" s="37" t="n">
        <v>0</v>
      </c>
      <c r="AL39" s="37" t="n">
        <v>0</v>
      </c>
      <c r="AM39" s="37" t="n">
        <v>0</v>
      </c>
      <c r="AN39" s="37" t="n">
        <v>0</v>
      </c>
      <c r="AO39" s="37" t="n">
        <v>0</v>
      </c>
      <c r="AP39" s="37" t="n">
        <v>0</v>
      </c>
      <c r="AQ39" s="10" t="n"/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32" t="inlineStr">
        <is>
          <t>XB Sorter CBS crossbelt MCS DMS BK25 PTL Mezzanine Selective Rack</t>
        </is>
      </c>
      <c r="AA40" s="32" t="n"/>
      <c r="AB40" s="36">
        <f>IF(A40="","",IF(COUNTIF($A$6:$A$504,A40)&gt;1,"⚠ Duplicate",""))</f>
        <v/>
      </c>
      <c r="AC40" s="37" t="n">
        <v>0</v>
      </c>
      <c r="AD40" s="37" t="n">
        <v>0</v>
      </c>
      <c r="AE40" s="37" t="n">
        <v>0</v>
      </c>
      <c r="AF40" s="37" t="n">
        <v>0</v>
      </c>
      <c r="AG40" s="37" t="n">
        <v>0</v>
      </c>
      <c r="AH40" s="37" t="n">
        <v>0</v>
      </c>
      <c r="AI40" s="37" t="n">
        <v>0</v>
      </c>
      <c r="AJ40" s="37" t="n">
        <v>0</v>
      </c>
      <c r="AK40" s="37" t="n">
        <v>0</v>
      </c>
      <c r="AL40" s="37" t="n">
        <v>0</v>
      </c>
      <c r="AM40" s="37" t="n">
        <v>0</v>
      </c>
      <c r="AN40" s="37" t="n">
        <v>0</v>
      </c>
      <c r="AO40" s="37" t="n">
        <v>0</v>
      </c>
      <c r="AP40" s="37" t="n">
        <v>0</v>
      </c>
      <c r="AQ40" s="10" t="n"/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38" t="inlineStr">
        <is>
          <t>XB Sorter CBS Crossbelt MCS Libiao Mezzanine</t>
        </is>
      </c>
      <c r="AA41" s="38" t="n"/>
      <c r="AB41" s="41">
        <f>IF(A41="","",IF(COUNTIF($A$6:$A$504,A41)&gt;1,"⚠ Duplicate",""))</f>
        <v/>
      </c>
      <c r="AC41" s="37" t="n">
        <v>0</v>
      </c>
      <c r="AD41" s="37" t="n">
        <v>0</v>
      </c>
      <c r="AE41" s="37" t="n">
        <v>0</v>
      </c>
      <c r="AF41" s="37" t="n">
        <v>0</v>
      </c>
      <c r="AG41" s="37" t="n">
        <v>0</v>
      </c>
      <c r="AH41" s="37" t="n">
        <v>0</v>
      </c>
      <c r="AI41" s="37" t="n">
        <v>0</v>
      </c>
      <c r="AJ41" s="37" t="n">
        <v>0</v>
      </c>
      <c r="AK41" s="37" t="n">
        <v>0</v>
      </c>
      <c r="AL41" s="37" t="n">
        <v>0</v>
      </c>
      <c r="AM41" s="37" t="n">
        <v>0</v>
      </c>
      <c r="AN41" s="37" t="n">
        <v>0</v>
      </c>
      <c r="AO41" s="37" t="n">
        <v>0</v>
      </c>
      <c r="AP41" s="37" t="n">
        <v>0</v>
      </c>
      <c r="AQ41" s="10" t="n"/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32" t="inlineStr">
        <is>
          <t>4WS Pallet + AMR</t>
        </is>
      </c>
      <c r="AA42" s="32" t="n"/>
      <c r="AB42" s="36">
        <f>IF(A42="","",IF(COUNTIF($A$6:$A$504,A42)&gt;1,"⚠ Duplicate",""))</f>
        <v/>
      </c>
      <c r="AC42" s="43" t="n">
        <v>0.05</v>
      </c>
      <c r="AD42" s="43" t="n">
        <v>0.05</v>
      </c>
      <c r="AE42" s="43" t="n">
        <v>0.05</v>
      </c>
      <c r="AF42" s="43" t="n">
        <v>0.07000000000000001</v>
      </c>
      <c r="AG42" s="43" t="n">
        <v>0.09</v>
      </c>
      <c r="AH42" s="43" t="n">
        <v>0.06</v>
      </c>
      <c r="AI42" s="43" t="n">
        <v>0.06</v>
      </c>
      <c r="AJ42" s="43" t="n">
        <v>0.01</v>
      </c>
      <c r="AK42" s="43" t="n">
        <v>0.01</v>
      </c>
      <c r="AL42" s="43" t="n">
        <v>0.01</v>
      </c>
      <c r="AM42" s="43" t="n">
        <v>0.01</v>
      </c>
      <c r="AN42" s="43" t="n">
        <v>0.01</v>
      </c>
      <c r="AO42" s="43" t="n">
        <v>0.04</v>
      </c>
      <c r="AP42" s="37" t="n">
        <v>0.001</v>
      </c>
      <c r="AQ42" s="10" t="n"/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38" t="inlineStr">
        <is>
          <t>ASRS, DMS, Layer Picker</t>
        </is>
      </c>
      <c r="AA43" s="38" t="inlineStr">
        <is>
          <t>ASRS Rack Clad not Dematic scope, DMS Racking under Dematic scope</t>
        </is>
      </c>
      <c r="AB43" s="41">
        <f>IF(A43="","",IF(COUNTIF($A$6:$A$504,A43)&gt;1,"⚠ Duplicate",""))</f>
        <v/>
      </c>
      <c r="AC43" s="42" t="n">
        <v>0.052</v>
      </c>
      <c r="AD43" s="42" t="n">
        <v>0.052</v>
      </c>
      <c r="AE43" s="42" t="n">
        <v>0.052</v>
      </c>
      <c r="AF43" s="42" t="n">
        <v>0.008</v>
      </c>
      <c r="AG43" s="42" t="n">
        <v>0.022</v>
      </c>
      <c r="AH43" s="42" t="n">
        <v>0.01</v>
      </c>
      <c r="AI43" s="42" t="n">
        <v>0.01</v>
      </c>
      <c r="AJ43" s="42" t="n">
        <v>0.031</v>
      </c>
      <c r="AK43" s="42" t="n">
        <v>0.031</v>
      </c>
      <c r="AL43" s="42" t="n">
        <v>0.031</v>
      </c>
      <c r="AM43" s="42" t="n">
        <v>0.038</v>
      </c>
      <c r="AN43" s="42" t="n">
        <v>0.038</v>
      </c>
      <c r="AO43" s="42" t="n">
        <v>0</v>
      </c>
      <c r="AP43" s="37" t="n">
        <v>0.001</v>
      </c>
      <c r="AQ43" s="10" t="n"/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32" t="inlineStr">
        <is>
          <t>MCS</t>
        </is>
      </c>
      <c r="AA44" s="32" t="inlineStr">
        <is>
          <t>Zone Route Picking</t>
        </is>
      </c>
      <c r="AB44" s="36">
        <f>IF(A44="","",IF(COUNTIF($A$6:$A$504,A44)&gt;1,"⚠ Duplicate",""))</f>
        <v/>
      </c>
      <c r="AC44" s="37" t="n">
        <v>0</v>
      </c>
      <c r="AD44" s="37" t="n">
        <v>0</v>
      </c>
      <c r="AE44" s="37" t="n">
        <v>0</v>
      </c>
      <c r="AF44" s="37" t="n">
        <v>0</v>
      </c>
      <c r="AG44" s="37" t="n">
        <v>0</v>
      </c>
      <c r="AH44" s="37" t="n">
        <v>0</v>
      </c>
      <c r="AI44" s="37" t="n">
        <v>0</v>
      </c>
      <c r="AJ44" s="37" t="n">
        <v>0</v>
      </c>
      <c r="AK44" s="37" t="n">
        <v>0</v>
      </c>
      <c r="AL44" s="37" t="n">
        <v>0</v>
      </c>
      <c r="AM44" s="37" t="n">
        <v>0</v>
      </c>
      <c r="AN44" s="37" t="n">
        <v>0</v>
      </c>
      <c r="AO44" s="37" t="n">
        <v>0</v>
      </c>
      <c r="AP44" s="37" t="n">
        <v>0</v>
      </c>
      <c r="AQ44" s="10" t="n"/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38" t="inlineStr">
        <is>
          <t>ML SRM MCS BK25 DMS</t>
        </is>
      </c>
      <c r="AA45" s="38" t="inlineStr">
        <is>
          <t>2 Aisle Miniload</t>
        </is>
      </c>
      <c r="AB45" s="41">
        <f>IF(A45="","",IF(COUNTIF($A$6:$A$504,A45)&gt;1,"⚠ Duplicate",""))</f>
        <v/>
      </c>
      <c r="AC45" s="37" t="n">
        <v>0</v>
      </c>
      <c r="AD45" s="37" t="n">
        <v>0</v>
      </c>
      <c r="AE45" s="37" t="n">
        <v>0</v>
      </c>
      <c r="AF45" s="37" t="n">
        <v>0</v>
      </c>
      <c r="AG45" s="37" t="n">
        <v>0</v>
      </c>
      <c r="AH45" s="37" t="n">
        <v>0</v>
      </c>
      <c r="AI45" s="37" t="n">
        <v>0</v>
      </c>
      <c r="AJ45" s="37" t="n">
        <v>0</v>
      </c>
      <c r="AK45" s="37" t="n">
        <v>0</v>
      </c>
      <c r="AL45" s="37" t="n">
        <v>0</v>
      </c>
      <c r="AM45" s="37" t="n">
        <v>0</v>
      </c>
      <c r="AN45" s="37" t="n">
        <v>0</v>
      </c>
      <c r="AO45" s="37" t="n">
        <v>0</v>
      </c>
      <c r="AP45" s="37" t="n">
        <v>0</v>
      </c>
      <c r="AQ45" s="10" t="n"/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38" t="n"/>
      <c r="AA46" s="38" t="n"/>
      <c r="AB46" s="41">
        <f>IF(A46="","",IF(COUNTIF($A$6:$A$504,A46)&gt;1,"⚠ Duplicate",""))</f>
        <v/>
      </c>
      <c r="AC46" s="42" t="n"/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32" t="n"/>
      <c r="AA47" s="32" t="n"/>
      <c r="AB47" s="36">
        <f>IF(A47="","",IF(COUNTIF($A$6:$A$504,A47)&gt;1,"⚠ Duplicate",""))</f>
        <v/>
      </c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38" t="n"/>
      <c r="AA48" s="38" t="n"/>
      <c r="AB48" s="41">
        <f>IF(A48="","",IF(COUNTIF($A$6:$A$504,A48)&gt;1,"⚠ Duplicate",""))</f>
        <v/>
      </c>
      <c r="AC48" s="42" t="n"/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32" t="n"/>
      <c r="AA49" s="32" t="n"/>
      <c r="AB49" s="36">
        <f>IF(A49="","",IF(COUNTIF($A$6:$A$504,A49)&gt;1,"⚠ Duplicate",""))</f>
        <v/>
      </c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38" t="n"/>
      <c r="AA50" s="38" t="n"/>
      <c r="AB50" s="41">
        <f>IF(A50="","",IF(COUNTIF($A$6:$A$504,A50)&gt;1,"⚠ Duplicate",""))</f>
        <v/>
      </c>
      <c r="AC50" s="42" t="n"/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32" t="n"/>
      <c r="AA51" s="32" t="n"/>
      <c r="AB51" s="36">
        <f>IF(A51="","",IF(COUNTIF($A$6:$A$504,A51)&gt;1,"⚠ Duplicate",""))</f>
        <v/>
      </c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38" t="n"/>
      <c r="AA52" s="38" t="n"/>
      <c r="AB52" s="41">
        <f>IF(A52="","",IF(COUNTIF($A$6:$A$504,A52)&gt;1,"⚠ Duplicate",""))</f>
        <v/>
      </c>
      <c r="AC52" s="42" t="n"/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32" t="n"/>
      <c r="AA53" s="32" t="n"/>
      <c r="AB53" s="36">
        <f>IF(A53="","",IF(COUNTIF($A$6:$A$504,A53)&gt;1,"⚠ Duplicate",""))</f>
        <v/>
      </c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38" t="n"/>
      <c r="AA54" s="38" t="n"/>
      <c r="AB54" s="41">
        <f>IF(A54="","",IF(COUNTIF($A$6:$A$504,A54)&gt;1,"⚠ Duplicate",""))</f>
        <v/>
      </c>
      <c r="AC54" s="42" t="n"/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32" t="n"/>
      <c r="AA55" s="32" t="n"/>
      <c r="AB55" s="36">
        <f>IF(A55="","",IF(COUNTIF($A$6:$A$504,A55)&gt;1,"⚠ Duplicate",""))</f>
        <v/>
      </c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38" t="n"/>
      <c r="AA56" s="38" t="n"/>
      <c r="AB56" s="41">
        <f>IF(A56="","",IF(COUNTIF($A$6:$A$504,A56)&gt;1,"⚠ Duplicate",""))</f>
        <v/>
      </c>
      <c r="AC56" s="42" t="n"/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32" t="n"/>
      <c r="AA57" s="32" t="n"/>
      <c r="AB57" s="36">
        <f>IF(A57="","",IF(COUNTIF($A$6:$A$504,A57)&gt;1,"⚠ Duplicate",""))</f>
        <v/>
      </c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38" t="n"/>
      <c r="AA58" s="38" t="n"/>
      <c r="AB58" s="41">
        <f>IF(A58="","",IF(COUNTIF($A$6:$A$504,A58)&gt;1,"⚠ Duplicate",""))</f>
        <v/>
      </c>
      <c r="AC58" s="42" t="n"/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32" t="n"/>
      <c r="AA59" s="32" t="n"/>
      <c r="AB59" s="36">
        <f>IF(A59="","",IF(COUNTIF($A$6:$A$504,A59)&gt;1,"⚠ Duplicate",""))</f>
        <v/>
      </c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38" t="n"/>
      <c r="AA60" s="38" t="n"/>
      <c r="AB60" s="41">
        <f>IF(A60="","",IF(COUNTIF($A$6:$A$504,A60)&gt;1,"⚠ Duplicate",""))</f>
        <v/>
      </c>
      <c r="AC60" s="42" t="n"/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32" t="n"/>
      <c r="AA61" s="32" t="n"/>
      <c r="AB61" s="36">
        <f>IF(A61="","",IF(COUNTIF($A$6:$A$504,A61)&gt;1,"⚠ Duplicate",""))</f>
        <v/>
      </c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38" t="n"/>
      <c r="AA62" s="38" t="n"/>
      <c r="AB62" s="41">
        <f>IF(A62="","",IF(COUNTIF($A$6:$A$504,A62)&gt;1,"⚠ Duplicate",""))</f>
        <v/>
      </c>
      <c r="AC62" s="42" t="n"/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32" t="n"/>
      <c r="AA63" s="32" t="n"/>
      <c r="AB63" s="36">
        <f>IF(A63="","",IF(COUNTIF($A$6:$A$504,A63)&gt;1,"⚠ Duplicate",""))</f>
        <v/>
      </c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38" t="n"/>
      <c r="AA64" s="38" t="n"/>
      <c r="AB64" s="41">
        <f>IF(A64="","",IF(COUNTIF($A$6:$A$504,A64)&gt;1,"⚠ Duplicate",""))</f>
        <v/>
      </c>
      <c r="AC64" s="42" t="n"/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32" t="n"/>
      <c r="AA65" s="32" t="n"/>
      <c r="AB65" s="36">
        <f>IF(A65="","",IF(COUNTIF($A$6:$A$504,A65)&gt;1,"⚠ Duplicate",""))</f>
        <v/>
      </c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38" t="n"/>
      <c r="AA66" s="38" t="n"/>
      <c r="AB66" s="41">
        <f>IF(A66="","",IF(COUNTIF($A$6:$A$504,A66)&gt;1,"⚠ Duplicate",""))</f>
        <v/>
      </c>
      <c r="AC66" s="42" t="n"/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32" t="n"/>
      <c r="AA67" s="32" t="n"/>
      <c r="AB67" s="36">
        <f>IF(A67="","",IF(COUNTIF($A$6:$A$504,A67)&gt;1,"⚠ Duplicate",""))</f>
        <v/>
      </c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38" t="n"/>
      <c r="AA68" s="38" t="n"/>
      <c r="AB68" s="41">
        <f>IF(A68="","",IF(COUNTIF($A$6:$A$504,A68)&gt;1,"⚠ Duplicate",""))</f>
        <v/>
      </c>
      <c r="AC68" s="42" t="n"/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32" t="n"/>
      <c r="AA69" s="32" t="n"/>
      <c r="AB69" s="36">
        <f>IF(A69="","",IF(COUNTIF($A$6:$A$504,A69)&gt;1,"⚠ Duplicate",""))</f>
        <v/>
      </c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38" t="n"/>
      <c r="AA70" s="38" t="n"/>
      <c r="AB70" s="41">
        <f>IF(A70="","",IF(COUNTIF($A$6:$A$504,A70)&gt;1,"⚠ Duplicate",""))</f>
        <v/>
      </c>
      <c r="AC70" s="42" t="n"/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32" t="n"/>
      <c r="AA71" s="32" t="n"/>
      <c r="AB71" s="36">
        <f>IF(A71="","",IF(COUNTIF($A$6:$A$504,A71)&gt;1,"⚠ Duplicate",""))</f>
        <v/>
      </c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38" t="n"/>
      <c r="AA72" s="38" t="n"/>
      <c r="AB72" s="41">
        <f>IF(A72="","",IF(COUNTIF($A$6:$A$504,A72)&gt;1,"⚠ Duplicate",""))</f>
        <v/>
      </c>
      <c r="AC72" s="42" t="n"/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32" t="n"/>
      <c r="AA73" s="32" t="n"/>
      <c r="AB73" s="36">
        <f>IF(A73="","",IF(COUNTIF($A$6:$A$504,A73)&gt;1,"⚠ Duplicate",""))</f>
        <v/>
      </c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38" t="n"/>
      <c r="AA74" s="38" t="n"/>
      <c r="AB74" s="41">
        <f>IF(A74="","",IF(COUNTIF($A$6:$A$504,A74)&gt;1,"⚠ Duplicate",""))</f>
        <v/>
      </c>
      <c r="AC74" s="42" t="n"/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32" t="n"/>
      <c r="AA75" s="32" t="n"/>
      <c r="AB75" s="36">
        <f>IF(A75="","",IF(COUNTIF($A$6:$A$504,A75)&gt;1,"⚠ Duplicate",""))</f>
        <v/>
      </c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38" t="n"/>
      <c r="AA76" s="38" t="n"/>
      <c r="AB76" s="41">
        <f>IF(A76="","",IF(COUNTIF($A$6:$A$504,A76)&gt;1,"⚠ Duplicate",""))</f>
        <v/>
      </c>
      <c r="AC76" s="42" t="n"/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32" t="n"/>
      <c r="AA77" s="32" t="n"/>
      <c r="AB77" s="36">
        <f>IF(A77="","",IF(COUNTIF($A$6:$A$504,A77)&gt;1,"⚠ Duplicate",""))</f>
        <v/>
      </c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38" t="n"/>
      <c r="AA78" s="38" t="n"/>
      <c r="AB78" s="41">
        <f>IF(A78="","",IF(COUNTIF($A$6:$A$504,A78)&gt;1,"⚠ Duplicate",""))</f>
        <v/>
      </c>
      <c r="AC78" s="42" t="n"/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32" t="n"/>
      <c r="AA79" s="32" t="n"/>
      <c r="AB79" s="36">
        <f>IF(A79="","",IF(COUNTIF($A$6:$A$504,A79)&gt;1,"⚠ Duplicate",""))</f>
        <v/>
      </c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38" t="n"/>
      <c r="AA80" s="38" t="n"/>
      <c r="AB80" s="41">
        <f>IF(A80="","",IF(COUNTIF($A$6:$A$504,A80)&gt;1,"⚠ Duplicate",""))</f>
        <v/>
      </c>
      <c r="AC80" s="42" t="n"/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32" t="n"/>
      <c r="AA81" s="32" t="n"/>
      <c r="AB81" s="36">
        <f>IF(A81="","",IF(COUNTIF($A$6:$A$504,A81)&gt;1,"⚠ Duplicate",""))</f>
        <v/>
      </c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38" t="n"/>
      <c r="AA82" s="38" t="n"/>
      <c r="AB82" s="41">
        <f>IF(A82="","",IF(COUNTIF($A$6:$A$504,A82)&gt;1,"⚠ Duplicate",""))</f>
        <v/>
      </c>
      <c r="AC82" s="42" t="n"/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32" t="n"/>
      <c r="AA83" s="32" t="n"/>
      <c r="AB83" s="36">
        <f>IF(A83="","",IF(COUNTIF($A$6:$A$504,A83)&gt;1,"⚠ Duplicate",""))</f>
        <v/>
      </c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38" t="n"/>
      <c r="AA84" s="38" t="n"/>
      <c r="AB84" s="41">
        <f>IF(A84="","",IF(COUNTIF($A$6:$A$504,A84)&gt;1,"⚠ Duplicate",""))</f>
        <v/>
      </c>
      <c r="AC84" s="42" t="n"/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32" t="n"/>
      <c r="AA85" s="32" t="n"/>
      <c r="AB85" s="36">
        <f>IF(A85="","",IF(COUNTIF($A$6:$A$504,A85)&gt;1,"⚠ Duplicate",""))</f>
        <v/>
      </c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38" t="n"/>
      <c r="AA86" s="38" t="n"/>
      <c r="AB86" s="41">
        <f>IF(A86="","",IF(COUNTIF($A$6:$A$504,A86)&gt;1,"⚠ Duplicate",""))</f>
        <v/>
      </c>
      <c r="AC86" s="42" t="n"/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32" t="n"/>
      <c r="AA87" s="32" t="n"/>
      <c r="AB87" s="36">
        <f>IF(A87="","",IF(COUNTIF($A$6:$A$504,A87)&gt;1,"⚠ Duplicate",""))</f>
        <v/>
      </c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38" t="n"/>
      <c r="AA88" s="38" t="n"/>
      <c r="AB88" s="41">
        <f>IF(A88="","",IF(COUNTIF($A$6:$A$504,A88)&gt;1,"⚠ Duplicate",""))</f>
        <v/>
      </c>
      <c r="AC88" s="42" t="n"/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32" t="n"/>
      <c r="AA89" s="32" t="n"/>
      <c r="AB89" s="36">
        <f>IF(A89="","",IF(COUNTIF($A$6:$A$504,A89)&gt;1,"⚠ Duplicate",""))</f>
        <v/>
      </c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38" t="n"/>
      <c r="AA90" s="38" t="n"/>
      <c r="AB90" s="41">
        <f>IF(A90="","",IF(COUNTIF($A$6:$A$504,A90)&gt;1,"⚠ Duplicate",""))</f>
        <v/>
      </c>
      <c r="AC90" s="42" t="n"/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32" t="n"/>
      <c r="AA91" s="32" t="n"/>
      <c r="AB91" s="36">
        <f>IF(A91="","",IF(COUNTIF($A$6:$A$504,A91)&gt;1,"⚠ Duplicate",""))</f>
        <v/>
      </c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38" t="n"/>
      <c r="AA92" s="38" t="n"/>
      <c r="AB92" s="41">
        <f>IF(A92="","",IF(COUNTIF($A$6:$A$504,A92)&gt;1,"⚠ Duplicate",""))</f>
        <v/>
      </c>
      <c r="AC92" s="42" t="n"/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32" t="n"/>
      <c r="AA93" s="32" t="n"/>
      <c r="AB93" s="36">
        <f>IF(A93="","",IF(COUNTIF($A$6:$A$504,A93)&gt;1,"⚠ Duplicate",""))</f>
        <v/>
      </c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38" t="n"/>
      <c r="AA94" s="38" t="n"/>
      <c r="AB94" s="41">
        <f>IF(A94="","",IF(COUNTIF($A$6:$A$504,A94)&gt;1,"⚠ Duplicate",""))</f>
        <v/>
      </c>
      <c r="AC94" s="42" t="n"/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32" t="n"/>
      <c r="AA95" s="32" t="n"/>
      <c r="AB95" s="36">
        <f>IF(A95="","",IF(COUNTIF($A$6:$A$504,A95)&gt;1,"⚠ Duplicate",""))</f>
        <v/>
      </c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38" t="n"/>
      <c r="AA96" s="38" t="n"/>
      <c r="AB96" s="41">
        <f>IF(A96="","",IF(COUNTIF($A$6:$A$504,A96)&gt;1,"⚠ Duplicate",""))</f>
        <v/>
      </c>
      <c r="AC96" s="42" t="n"/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32" t="n"/>
      <c r="AA97" s="32" t="n"/>
      <c r="AB97" s="36">
        <f>IF(A97="","",IF(COUNTIF($A$6:$A$504,A97)&gt;1,"⚠ Duplicate",""))</f>
        <v/>
      </c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38" t="n"/>
      <c r="AA98" s="38" t="n"/>
      <c r="AB98" s="41">
        <f>IF(A98="","",IF(COUNTIF($A$6:$A$504,A98)&gt;1,"⚠ Duplicate",""))</f>
        <v/>
      </c>
      <c r="AC98" s="42" t="n"/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32" t="n"/>
      <c r="AA99" s="32" t="n"/>
      <c r="AB99" s="36">
        <f>IF(A99="","",IF(COUNTIF($A$6:$A$504,A99)&gt;1,"⚠ Duplicate",""))</f>
        <v/>
      </c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38" t="n"/>
      <c r="AA100" s="38" t="n"/>
      <c r="AB100" s="41">
        <f>IF(A100="","",IF(COUNTIF($A$6:$A$504,A100)&gt;1,"⚠ Duplicate",""))</f>
        <v/>
      </c>
      <c r="AC100" s="42" t="n"/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32" t="n"/>
      <c r="AA101" s="32" t="n"/>
      <c r="AB101" s="36">
        <f>IF(A101="","",IF(COUNTIF($A$6:$A$504,A101)&gt;1,"⚠ Duplicate",""))</f>
        <v/>
      </c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38" t="n"/>
      <c r="AA102" s="38" t="n"/>
      <c r="AB102" s="41">
        <f>IF(A102="","",IF(COUNTIF($A$6:$A$504,A102)&gt;1,"⚠ Duplicate",""))</f>
        <v/>
      </c>
      <c r="AC102" s="42" t="n"/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32" t="n"/>
      <c r="AA103" s="32" t="n"/>
      <c r="AB103" s="36">
        <f>IF(A103="","",IF(COUNTIF($A$6:$A$504,A103)&gt;1,"⚠ Duplicate",""))</f>
        <v/>
      </c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38" t="n"/>
      <c r="AA104" s="38" t="n"/>
      <c r="AB104" s="41">
        <f>IF(A104="","",IF(COUNTIF($A$6:$A$504,A104)&gt;1,"⚠ Duplicate",""))</f>
        <v/>
      </c>
      <c r="AC104" s="42" t="n"/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32" t="n"/>
      <c r="AA105" s="32" t="n"/>
      <c r="AB105" s="36">
        <f>IF(A105="","",IF(COUNTIF($A$6:$A$504,A105)&gt;1,"⚠ Duplicate",""))</f>
        <v/>
      </c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38" t="n"/>
      <c r="AA106" s="38" t="n"/>
      <c r="AB106" s="41">
        <f>IF(A106="","",IF(COUNTIF($A$6:$A$504,A106)&gt;1,"⚠ Duplicate",""))</f>
        <v/>
      </c>
      <c r="AC106" s="42" t="n"/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32" t="n"/>
      <c r="AA107" s="32" t="n"/>
      <c r="AB107" s="36">
        <f>IF(A107="","",IF(COUNTIF($A$6:$A$504,A107)&gt;1,"⚠ Duplicate",""))</f>
        <v/>
      </c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38" t="n"/>
      <c r="AA108" s="38" t="n"/>
      <c r="AB108" s="41">
        <f>IF(A108="","",IF(COUNTIF($A$6:$A$504,A108)&gt;1,"⚠ Duplicate",""))</f>
        <v/>
      </c>
      <c r="AC108" s="42" t="n"/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32" t="n"/>
      <c r="AA109" s="32" t="n"/>
      <c r="AB109" s="36">
        <f>IF(A109="","",IF(COUNTIF($A$6:$A$504,A109)&gt;1,"⚠ Duplicate",""))</f>
        <v/>
      </c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38" t="n"/>
      <c r="AA110" s="38" t="n"/>
      <c r="AB110" s="41">
        <f>IF(A110="","",IF(COUNTIF($A$6:$A$504,A110)&gt;1,"⚠ Duplicate",""))</f>
        <v/>
      </c>
      <c r="AC110" s="42" t="n"/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32" t="n"/>
      <c r="AA111" s="32" t="n"/>
      <c r="AB111" s="36">
        <f>IF(A111="","",IF(COUNTIF($A$6:$A$504,A111)&gt;1,"⚠ Duplicate",""))</f>
        <v/>
      </c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38" t="n"/>
      <c r="AA112" s="38" t="n"/>
      <c r="AB112" s="41">
        <f>IF(A112="","",IF(COUNTIF($A$6:$A$504,A112)&gt;1,"⚠ Duplicate",""))</f>
        <v/>
      </c>
      <c r="AC112" s="42" t="n"/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32" t="n"/>
      <c r="AA113" s="32" t="n"/>
      <c r="AB113" s="36">
        <f>IF(A113="","",IF(COUNTIF($A$6:$A$504,A113)&gt;1,"⚠ Duplicate",""))</f>
        <v/>
      </c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38" t="n"/>
      <c r="AA114" s="38" t="n"/>
      <c r="AB114" s="41">
        <f>IF(A114="","",IF(COUNTIF($A$6:$A$504,A114)&gt;1,"⚠ Duplicate",""))</f>
        <v/>
      </c>
      <c r="AC114" s="42" t="n"/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32" t="n"/>
      <c r="AA115" s="32" t="n"/>
      <c r="AB115" s="36">
        <f>IF(A115="","",IF(COUNTIF($A$6:$A$504,A115)&gt;1,"⚠ Duplicate",""))</f>
        <v/>
      </c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38" t="n"/>
      <c r="AA116" s="38" t="n"/>
      <c r="AB116" s="41">
        <f>IF(A116="","",IF(COUNTIF($A$6:$A$504,A116)&gt;1,"⚠ Duplicate",""))</f>
        <v/>
      </c>
      <c r="AC116" s="42" t="n"/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32" t="n"/>
      <c r="AA117" s="32" t="n"/>
      <c r="AB117" s="36">
        <f>IF(A117="","",IF(COUNTIF($A$6:$A$504,A117)&gt;1,"⚠ Duplicate",""))</f>
        <v/>
      </c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38" t="n"/>
      <c r="AA118" s="38" t="n"/>
      <c r="AB118" s="41">
        <f>IF(A118="","",IF(COUNTIF($A$6:$A$504,A118)&gt;1,"⚠ Duplicate",""))</f>
        <v/>
      </c>
      <c r="AC118" s="42" t="n"/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32" t="n"/>
      <c r="AA119" s="32" t="n"/>
      <c r="AB119" s="36">
        <f>IF(A119="","",IF(COUNTIF($A$6:$A$504,A119)&gt;1,"⚠ Duplicate",""))</f>
        <v/>
      </c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38" t="n"/>
      <c r="AA120" s="38" t="n"/>
      <c r="AB120" s="41">
        <f>IF(A120="","",IF(COUNTIF($A$6:$A$504,A120)&gt;1,"⚠ Duplicate",""))</f>
        <v/>
      </c>
      <c r="AC120" s="42" t="n"/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32" t="n"/>
      <c r="AA121" s="32" t="n"/>
      <c r="AB121" s="36">
        <f>IF(A121="","",IF(COUNTIF($A$6:$A$504,A121)&gt;1,"⚠ Duplicate",""))</f>
        <v/>
      </c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38" t="n"/>
      <c r="AA122" s="38" t="n"/>
      <c r="AB122" s="41">
        <f>IF(A122="","",IF(COUNTIF($A$6:$A$504,A122)&gt;1,"⚠ Duplicate",""))</f>
        <v/>
      </c>
      <c r="AC122" s="42" t="n"/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32" t="n"/>
      <c r="AA123" s="32" t="n"/>
      <c r="AB123" s="36">
        <f>IF(A123="","",IF(COUNTIF($A$6:$A$504,A123)&gt;1,"⚠ Duplicate",""))</f>
        <v/>
      </c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38" t="n"/>
      <c r="AA124" s="38" t="n"/>
      <c r="AB124" s="41">
        <f>IF(A124="","",IF(COUNTIF($A$6:$A$504,A124)&gt;1,"⚠ Duplicate",""))</f>
        <v/>
      </c>
      <c r="AC124" s="42" t="n"/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32" t="n"/>
      <c r="AA125" s="32" t="n"/>
      <c r="AB125" s="36">
        <f>IF(A125="","",IF(COUNTIF($A$6:$A$504,A125)&gt;1,"⚠ Duplicate",""))</f>
        <v/>
      </c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38" t="n"/>
      <c r="AA126" s="38" t="n"/>
      <c r="AB126" s="41">
        <f>IF(A126="","",IF(COUNTIF($A$6:$A$504,A126)&gt;1,"⚠ Duplicate",""))</f>
        <v/>
      </c>
      <c r="AC126" s="42" t="n"/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32" t="n"/>
      <c r="AA127" s="32" t="n"/>
      <c r="AB127" s="36">
        <f>IF(A127="","",IF(COUNTIF($A$6:$A$504,A127)&gt;1,"⚠ Duplicate",""))</f>
        <v/>
      </c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38" t="n"/>
      <c r="AA128" s="38" t="n"/>
      <c r="AB128" s="41">
        <f>IF(A128="","",IF(COUNTIF($A$6:$A$504,A128)&gt;1,"⚠ Duplicate",""))</f>
        <v/>
      </c>
      <c r="AC128" s="42" t="n"/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32" t="n"/>
      <c r="AA129" s="32" t="n"/>
      <c r="AB129" s="36">
        <f>IF(A129="","",IF(COUNTIF($A$6:$A$504,A129)&gt;1,"⚠ Duplicate",""))</f>
        <v/>
      </c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38" t="n"/>
      <c r="AA130" s="38" t="n"/>
      <c r="AB130" s="41">
        <f>IF(A130="","",IF(COUNTIF($A$6:$A$504,A130)&gt;1,"⚠ Duplicate",""))</f>
        <v/>
      </c>
      <c r="AC130" s="42" t="n"/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32" t="n"/>
      <c r="AA131" s="32" t="n"/>
      <c r="AB131" s="36">
        <f>IF(A131="","",IF(COUNTIF($A$6:$A$504,A131)&gt;1,"⚠ Duplicate",""))</f>
        <v/>
      </c>
      <c r="AC131" s="43" t="n"/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38" t="n"/>
      <c r="AA132" s="38" t="n"/>
      <c r="AB132" s="41">
        <f>IF(A132="","",IF(COUNTIF($A$6:$A$504,A132)&gt;1,"⚠ Duplicate",""))</f>
        <v/>
      </c>
      <c r="AC132" s="42" t="n"/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32" t="n"/>
      <c r="AA133" s="32" t="n"/>
      <c r="AB133" s="36">
        <f>IF(A133="","",IF(COUNTIF($A$6:$A$504,A133)&gt;1,"⚠ Duplicate",""))</f>
        <v/>
      </c>
      <c r="AC133" s="43" t="n"/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38" t="n"/>
      <c r="AA134" s="38" t="n"/>
      <c r="AB134" s="41">
        <f>IF(A134="","",IF(COUNTIF($A$6:$A$504,A134)&gt;1,"⚠ Duplicate",""))</f>
        <v/>
      </c>
      <c r="AC134" s="42" t="n"/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32" t="n"/>
      <c r="AA135" s="32" t="n"/>
      <c r="AB135" s="36">
        <f>IF(A135="","",IF(COUNTIF($A$6:$A$504,A135)&gt;1,"⚠ Duplicate",""))</f>
        <v/>
      </c>
      <c r="AC135" s="43" t="n"/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38" t="n"/>
      <c r="AA136" s="38" t="n"/>
      <c r="AB136" s="41">
        <f>IF(A136="","",IF(COUNTIF($A$6:$A$504,A136)&gt;1,"⚠ Duplicate",""))</f>
        <v/>
      </c>
      <c r="AC136" s="42" t="n"/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32" t="n"/>
      <c r="AA137" s="32" t="n"/>
      <c r="AB137" s="36">
        <f>IF(A137="","",IF(COUNTIF($A$6:$A$504,A137)&gt;1,"⚠ Duplicate",""))</f>
        <v/>
      </c>
      <c r="AC137" s="43" t="n"/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38" t="n"/>
      <c r="AA138" s="38" t="n"/>
      <c r="AB138" s="41">
        <f>IF(A138="","",IF(COUNTIF($A$6:$A$504,A138)&gt;1,"⚠ Duplicate",""))</f>
        <v/>
      </c>
      <c r="AC138" s="42" t="n"/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32" t="n"/>
      <c r="AA139" s="32" t="n"/>
      <c r="AB139" s="36">
        <f>IF(A139="","",IF(COUNTIF($A$6:$A$504,A139)&gt;1,"⚠ Duplicate",""))</f>
        <v/>
      </c>
      <c r="AC139" s="43" t="n"/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38" t="n"/>
      <c r="AA140" s="38" t="n"/>
      <c r="AB140" s="41">
        <f>IF(A140="","",IF(COUNTIF($A$6:$A$504,A140)&gt;1,"⚠ Duplicate",""))</f>
        <v/>
      </c>
      <c r="AC140" s="42" t="n"/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32" t="n"/>
      <c r="AA141" s="32" t="n"/>
      <c r="AB141" s="36">
        <f>IF(A141="","",IF(COUNTIF($A$6:$A$504,A141)&gt;1,"⚠ Duplicate",""))</f>
        <v/>
      </c>
      <c r="AC141" s="43" t="n"/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38" t="n"/>
      <c r="AA142" s="38" t="n"/>
      <c r="AB142" s="41">
        <f>IF(A142="","",IF(COUNTIF($A$6:$A$504,A142)&gt;1,"⚠ Duplicate",""))</f>
        <v/>
      </c>
      <c r="AC142" s="42" t="n"/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32" t="n"/>
      <c r="AA143" s="32" t="n"/>
      <c r="AB143" s="36">
        <f>IF(A143="","",IF(COUNTIF($A$6:$A$504,A143)&gt;1,"⚠ Duplicate",""))</f>
        <v/>
      </c>
      <c r="AC143" s="43" t="n"/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38" t="n"/>
      <c r="AA144" s="38" t="n"/>
      <c r="AB144" s="41">
        <f>IF(A144="","",IF(COUNTIF($A$6:$A$504,A144)&gt;1,"⚠ Duplicate",""))</f>
        <v/>
      </c>
      <c r="AC144" s="42" t="n"/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32" t="n"/>
      <c r="AA145" s="32" t="n"/>
      <c r="AB145" s="36">
        <f>IF(A145="","",IF(COUNTIF($A$6:$A$504,A145)&gt;1,"⚠ Duplicate",""))</f>
        <v/>
      </c>
      <c r="AC145" s="43" t="n"/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38" t="n"/>
      <c r="AA146" s="38" t="n"/>
      <c r="AB146" s="41">
        <f>IF(A146="","",IF(COUNTIF($A$6:$A$504,A146)&gt;1,"⚠ Duplicate",""))</f>
        <v/>
      </c>
      <c r="AC146" s="42" t="n"/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32" t="n"/>
      <c r="AA147" s="32" t="n"/>
      <c r="AB147" s="36">
        <f>IF(A147="","",IF(COUNTIF($A$6:$A$504,A147)&gt;1,"⚠ Duplicate",""))</f>
        <v/>
      </c>
      <c r="AC147" s="43" t="n"/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38" t="n"/>
      <c r="AA148" s="38" t="n"/>
      <c r="AB148" s="41">
        <f>IF(A148="","",IF(COUNTIF($A$6:$A$504,A148)&gt;1,"⚠ Duplicate",""))</f>
        <v/>
      </c>
      <c r="AC148" s="42" t="n"/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32" t="n"/>
      <c r="AA149" s="32" t="n"/>
      <c r="AB149" s="36">
        <f>IF(A149="","",IF(COUNTIF($A$6:$A$504,A149)&gt;1,"⚠ Duplicate",""))</f>
        <v/>
      </c>
      <c r="AC149" s="43" t="n"/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38" t="n"/>
      <c r="AA150" s="38" t="n"/>
      <c r="AB150" s="41">
        <f>IF(A150="","",IF(COUNTIF($A$6:$A$504,A150)&gt;1,"⚠ Duplicate",""))</f>
        <v/>
      </c>
      <c r="AC150" s="42" t="n"/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32" t="n"/>
      <c r="AA151" s="32" t="n"/>
      <c r="AB151" s="36">
        <f>IF(A151="","",IF(COUNTIF($A$6:$A$504,A151)&gt;1,"⚠ Duplicate",""))</f>
        <v/>
      </c>
      <c r="AC151" s="43" t="n"/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38" t="n"/>
      <c r="AA152" s="38" t="n"/>
      <c r="AB152" s="41">
        <f>IF(A152="","",IF(COUNTIF($A$6:$A$504,A152)&gt;1,"⚠ Duplicate",""))</f>
        <v/>
      </c>
      <c r="AC152" s="42" t="n"/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32" t="n"/>
      <c r="AA153" s="32" t="n"/>
      <c r="AB153" s="36">
        <f>IF(A153="","",IF(COUNTIF($A$6:$A$504,A153)&gt;1,"⚠ Duplicate",""))</f>
        <v/>
      </c>
      <c r="AC153" s="43" t="n"/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38" t="n"/>
      <c r="AA154" s="38" t="n"/>
      <c r="AB154" s="41">
        <f>IF(A154="","",IF(COUNTIF($A$6:$A$504,A154)&gt;1,"⚠ Duplicate",""))</f>
        <v/>
      </c>
      <c r="AC154" s="42" t="n"/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32" t="n"/>
      <c r="AA155" s="32" t="n"/>
      <c r="AB155" s="36">
        <f>IF(A155="","",IF(COUNTIF($A$6:$A$504,A155)&gt;1,"⚠ Duplicate",""))</f>
        <v/>
      </c>
      <c r="AC155" s="43" t="n"/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38" t="n"/>
      <c r="AA156" s="38" t="n"/>
      <c r="AB156" s="41">
        <f>IF(A156="","",IF(COUNTIF($A$6:$A$504,A156)&gt;1,"⚠ Duplicate",""))</f>
        <v/>
      </c>
      <c r="AC156" s="42" t="n"/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32" t="n"/>
      <c r="AA157" s="32" t="n"/>
      <c r="AB157" s="36">
        <f>IF(A157="","",IF(COUNTIF($A$6:$A$504,A157)&gt;1,"⚠ Duplicate",""))</f>
        <v/>
      </c>
      <c r="AC157" s="43" t="n"/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38" t="n"/>
      <c r="AA158" s="38" t="n"/>
      <c r="AB158" s="41">
        <f>IF(A158="","",IF(COUNTIF($A$6:$A$504,A158)&gt;1,"⚠ Duplicate",""))</f>
        <v/>
      </c>
      <c r="AC158" s="42" t="n"/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32" t="n"/>
      <c r="AA159" s="32" t="n"/>
      <c r="AB159" s="36">
        <f>IF(A159="","",IF(COUNTIF($A$6:$A$504,A159)&gt;1,"⚠ Duplicate",""))</f>
        <v/>
      </c>
      <c r="AC159" s="43" t="n"/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38" t="n"/>
      <c r="AA160" s="38" t="n"/>
      <c r="AB160" s="41">
        <f>IF(A160="","",IF(COUNTIF($A$6:$A$504,A160)&gt;1,"⚠ Duplicate",""))</f>
        <v/>
      </c>
      <c r="AC160" s="42" t="n"/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32" t="n"/>
      <c r="AA161" s="32" t="n"/>
      <c r="AB161" s="36">
        <f>IF(A161="","",IF(COUNTIF($A$6:$A$504,A161)&gt;1,"⚠ Duplicate",""))</f>
        <v/>
      </c>
      <c r="AC161" s="43" t="n"/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38" t="n"/>
      <c r="AA162" s="38" t="n"/>
      <c r="AB162" s="41">
        <f>IF(A162="","",IF(COUNTIF($A$6:$A$504,A162)&gt;1,"⚠ Duplicate",""))</f>
        <v/>
      </c>
      <c r="AC162" s="42" t="n"/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32" t="n"/>
      <c r="AA163" s="32" t="n"/>
      <c r="AB163" s="36">
        <f>IF(A163="","",IF(COUNTIF($A$6:$A$504,A163)&gt;1,"⚠ Duplicate",""))</f>
        <v/>
      </c>
      <c r="AC163" s="43" t="n"/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38" t="n"/>
      <c r="AA164" s="38" t="n"/>
      <c r="AB164" s="41">
        <f>IF(A164="","",IF(COUNTIF($A$6:$A$504,A164)&gt;1,"⚠ Duplicate",""))</f>
        <v/>
      </c>
      <c r="AC164" s="42" t="n"/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32" t="n"/>
      <c r="AA165" s="32" t="n"/>
      <c r="AB165" s="36">
        <f>IF(A165="","",IF(COUNTIF($A$6:$A$504,A165)&gt;1,"⚠ Duplicate",""))</f>
        <v/>
      </c>
      <c r="AC165" s="43" t="n"/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38" t="n"/>
      <c r="AA166" s="38" t="n"/>
      <c r="AB166" s="41">
        <f>IF(A166="","",IF(COUNTIF($A$6:$A$504,A166)&gt;1,"⚠ Duplicate",""))</f>
        <v/>
      </c>
      <c r="AC166" s="42" t="n"/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32" t="n"/>
      <c r="AA167" s="32" t="n"/>
      <c r="AB167" s="36">
        <f>IF(A167="","",IF(COUNTIF($A$6:$A$504,A167)&gt;1,"⚠ Duplicate",""))</f>
        <v/>
      </c>
      <c r="AC167" s="43" t="n"/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38" t="n"/>
      <c r="AA168" s="38" t="n"/>
      <c r="AB168" s="41">
        <f>IF(A168="","",IF(COUNTIF($A$6:$A$504,A168)&gt;1,"⚠ Duplicate",""))</f>
        <v/>
      </c>
      <c r="AC168" s="42" t="n"/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32" t="n"/>
      <c r="AA169" s="32" t="n"/>
      <c r="AB169" s="36">
        <f>IF(A169="","",IF(COUNTIF($A$6:$A$504,A169)&gt;1,"⚠ Duplicate",""))</f>
        <v/>
      </c>
      <c r="AC169" s="43" t="n"/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38" t="n"/>
      <c r="AA170" s="38" t="n"/>
      <c r="AB170" s="41">
        <f>IF(A170="","",IF(COUNTIF($A$6:$A$504,A170)&gt;1,"⚠ Duplicate",""))</f>
        <v/>
      </c>
      <c r="AC170" s="42" t="n"/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32" t="n"/>
      <c r="AA171" s="32" t="n"/>
      <c r="AB171" s="36">
        <f>IF(A171="","",IF(COUNTIF($A$6:$A$504,A171)&gt;1,"⚠ Duplicate",""))</f>
        <v/>
      </c>
      <c r="AC171" s="43" t="n"/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38" t="n"/>
      <c r="AA172" s="38" t="n"/>
      <c r="AB172" s="41">
        <f>IF(A172="","",IF(COUNTIF($A$6:$A$504,A172)&gt;1,"⚠ Duplicate",""))</f>
        <v/>
      </c>
      <c r="AC172" s="42" t="n"/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32" t="n"/>
      <c r="AA173" s="32" t="n"/>
      <c r="AB173" s="36">
        <f>IF(A173="","",IF(COUNTIF($A$6:$A$504,A173)&gt;1,"⚠ Duplicate",""))</f>
        <v/>
      </c>
      <c r="AC173" s="43" t="n"/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38" t="n"/>
      <c r="AA174" s="38" t="n"/>
      <c r="AB174" s="41">
        <f>IF(A174="","",IF(COUNTIF($A$6:$A$504,A174)&gt;1,"⚠ Duplicate",""))</f>
        <v/>
      </c>
      <c r="AC174" s="42" t="n"/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32" t="n"/>
      <c r="AA175" s="32" t="n"/>
      <c r="AB175" s="36">
        <f>IF(A175="","",IF(COUNTIF($A$6:$A$504,A175)&gt;1,"⚠ Duplicate",""))</f>
        <v/>
      </c>
      <c r="AC175" s="43" t="n"/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38" t="n"/>
      <c r="AA176" s="38" t="n"/>
      <c r="AB176" s="41">
        <f>IF(A176="","",IF(COUNTIF($A$6:$A$504,A176)&gt;1,"⚠ Duplicate",""))</f>
        <v/>
      </c>
      <c r="AC176" s="42" t="n"/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32" t="n"/>
      <c r="AA177" s="32" t="n"/>
      <c r="AB177" s="36">
        <f>IF(A177="","",IF(COUNTIF($A$6:$A$504,A177)&gt;1,"⚠ Duplicate",""))</f>
        <v/>
      </c>
      <c r="AC177" s="43" t="n"/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38" t="n"/>
      <c r="AA178" s="38" t="n"/>
      <c r="AB178" s="41">
        <f>IF(A178="","",IF(COUNTIF($A$6:$A$504,A178)&gt;1,"⚠ Duplicate",""))</f>
        <v/>
      </c>
      <c r="AC178" s="42" t="n"/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32" t="n"/>
      <c r="AA179" s="32" t="n"/>
      <c r="AB179" s="36">
        <f>IF(A179="","",IF(COUNTIF($A$6:$A$504,A179)&gt;1,"⚠ Duplicate",""))</f>
        <v/>
      </c>
      <c r="AC179" s="43" t="n"/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38" t="n"/>
      <c r="AA180" s="38" t="n"/>
      <c r="AB180" s="41">
        <f>IF(A180="","",IF(COUNTIF($A$6:$A$504,A180)&gt;1,"⚠ Duplicate",""))</f>
        <v/>
      </c>
      <c r="AC180" s="42" t="n"/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32" t="n"/>
      <c r="AA181" s="32" t="n"/>
      <c r="AB181" s="36">
        <f>IF(A181="","",IF(COUNTIF($A$6:$A$504,A181)&gt;1,"⚠ Duplicate",""))</f>
        <v/>
      </c>
      <c r="AC181" s="43" t="n"/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38" t="n"/>
      <c r="AA182" s="38" t="n"/>
      <c r="AB182" s="41">
        <f>IF(A182="","",IF(COUNTIF($A$6:$A$504,A182)&gt;1,"⚠ Duplicate",""))</f>
        <v/>
      </c>
      <c r="AC182" s="42" t="n"/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32" t="n"/>
      <c r="AA183" s="32" t="n"/>
      <c r="AB183" s="36">
        <f>IF(A183="","",IF(COUNTIF($A$6:$A$504,A183)&gt;1,"⚠ Duplicate",""))</f>
        <v/>
      </c>
      <c r="AC183" s="43" t="n"/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38" t="n"/>
      <c r="AA184" s="38" t="n"/>
      <c r="AB184" s="41">
        <f>IF(A184="","",IF(COUNTIF($A$6:$A$504,A184)&gt;1,"⚠ Duplicate",""))</f>
        <v/>
      </c>
      <c r="AC184" s="42" t="n"/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32" t="n"/>
      <c r="AA185" s="32" t="n"/>
      <c r="AB185" s="36">
        <f>IF(A185="","",IF(COUNTIF($A$6:$A$504,A185)&gt;1,"⚠ Duplicate",""))</f>
        <v/>
      </c>
      <c r="AC185" s="43" t="n"/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38" t="n"/>
      <c r="AA186" s="38" t="n"/>
      <c r="AB186" s="41">
        <f>IF(A186="","",IF(COUNTIF($A$6:$A$504,A186)&gt;1,"⚠ Duplicate",""))</f>
        <v/>
      </c>
      <c r="AC186" s="42" t="n"/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32" t="n"/>
      <c r="AA187" s="32" t="n"/>
      <c r="AB187" s="36">
        <f>IF(A187="","",IF(COUNTIF($A$6:$A$504,A187)&gt;1,"⚠ Duplicate",""))</f>
        <v/>
      </c>
      <c r="AC187" s="43" t="n"/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38" t="n"/>
      <c r="AA188" s="38" t="n"/>
      <c r="AB188" s="41">
        <f>IF(A188="","",IF(COUNTIF($A$6:$A$504,A188)&gt;1,"⚠ Duplicate",""))</f>
        <v/>
      </c>
      <c r="AC188" s="42" t="n"/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32" t="n"/>
      <c r="AA189" s="32" t="n"/>
      <c r="AB189" s="36">
        <f>IF(A189="","",IF(COUNTIF($A$6:$A$504,A189)&gt;1,"⚠ Duplicate",""))</f>
        <v/>
      </c>
      <c r="AC189" s="43" t="n"/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38" t="n"/>
      <c r="AA190" s="38" t="n"/>
      <c r="AB190" s="41">
        <f>IF(A190="","",IF(COUNTIF($A$6:$A$504,A190)&gt;1,"⚠ Duplicate",""))</f>
        <v/>
      </c>
      <c r="AC190" s="42" t="n"/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32" t="n"/>
      <c r="AA191" s="32" t="n"/>
      <c r="AB191" s="36">
        <f>IF(A191="","",IF(COUNTIF($A$6:$A$504,A191)&gt;1,"⚠ Duplicate",""))</f>
        <v/>
      </c>
      <c r="AC191" s="43" t="n"/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38" t="n"/>
      <c r="AA192" s="38" t="n"/>
      <c r="AB192" s="41">
        <f>IF(A192="","",IF(COUNTIF($A$6:$A$504,A192)&gt;1,"⚠ Duplicate",""))</f>
        <v/>
      </c>
      <c r="AC192" s="42" t="n"/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32" t="n"/>
      <c r="AA193" s="32" t="n"/>
      <c r="AB193" s="36">
        <f>IF(A193="","",IF(COUNTIF($A$6:$A$504,A193)&gt;1,"⚠ Duplicate",""))</f>
        <v/>
      </c>
      <c r="AC193" s="43" t="n"/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38" t="n"/>
      <c r="AA194" s="38" t="n"/>
      <c r="AB194" s="41">
        <f>IF(A194="","",IF(COUNTIF($A$6:$A$504,A194)&gt;1,"⚠ Duplicate",""))</f>
        <v/>
      </c>
      <c r="AC194" s="42" t="n"/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32" t="n"/>
      <c r="AA195" s="32" t="n"/>
      <c r="AB195" s="36">
        <f>IF(A195="","",IF(COUNTIF($A$6:$A$504,A195)&gt;1,"⚠ Duplicate",""))</f>
        <v/>
      </c>
      <c r="AC195" s="43" t="n"/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38" t="n"/>
      <c r="AA196" s="38" t="n"/>
      <c r="AB196" s="41">
        <f>IF(A196="","",IF(COUNTIF($A$6:$A$504,A196)&gt;1,"⚠ Duplicate",""))</f>
        <v/>
      </c>
      <c r="AC196" s="42" t="n"/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32" t="n"/>
      <c r="AA197" s="32" t="n"/>
      <c r="AB197" s="36">
        <f>IF(A197="","",IF(COUNTIF($A$6:$A$504,A197)&gt;1,"⚠ Duplicate",""))</f>
        <v/>
      </c>
      <c r="AC197" s="43" t="n"/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38" t="n"/>
      <c r="AA198" s="38" t="n"/>
      <c r="AB198" s="41">
        <f>IF(A198="","",IF(COUNTIF($A$6:$A$504,A198)&gt;1,"⚠ Duplicate",""))</f>
        <v/>
      </c>
      <c r="AC198" s="42" t="n"/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32" t="n"/>
      <c r="AA199" s="32" t="n"/>
      <c r="AB199" s="36">
        <f>IF(A199="","",IF(COUNTIF($A$6:$A$504,A199)&gt;1,"⚠ Duplicate",""))</f>
        <v/>
      </c>
      <c r="AC199" s="43" t="n"/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38" t="n"/>
      <c r="AA200" s="38" t="n"/>
      <c r="AB200" s="41">
        <f>IF(A200="","",IF(COUNTIF($A$6:$A$504,A200)&gt;1,"⚠ Duplicate",""))</f>
        <v/>
      </c>
      <c r="AC200" s="42" t="n"/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32" t="n"/>
      <c r="AA201" s="32" t="n"/>
      <c r="AB201" s="36">
        <f>IF(A201="","",IF(COUNTIF($A$6:$A$504,A201)&gt;1,"⚠ Duplicate",""))</f>
        <v/>
      </c>
      <c r="AC201" s="43" t="n"/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38" t="n"/>
      <c r="AA202" s="38" t="n"/>
      <c r="AB202" s="41">
        <f>IF(A202="","",IF(COUNTIF($A$6:$A$504,A202)&gt;1,"⚠ Duplicate",""))</f>
        <v/>
      </c>
      <c r="AC202" s="42" t="n"/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32" t="n"/>
      <c r="AA203" s="32" t="n"/>
      <c r="AB203" s="36">
        <f>IF(A203="","",IF(COUNTIF($A$6:$A$504,A203)&gt;1,"⚠ Duplicate",""))</f>
        <v/>
      </c>
      <c r="AC203" s="43" t="n"/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38" t="n"/>
      <c r="AA204" s="38" t="n"/>
      <c r="AB204" s="41">
        <f>IF(A204="","",IF(COUNTIF($A$6:$A$504,A204)&gt;1,"⚠ Duplicate",""))</f>
        <v/>
      </c>
      <c r="AC204" s="42" t="n"/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32" t="n"/>
      <c r="AA205" s="32" t="n"/>
      <c r="AB205" s="36">
        <f>IF(A205="","",IF(COUNTIF($A$6:$A$504,A205)&gt;1,"⚠ Duplicate",""))</f>
        <v/>
      </c>
      <c r="AC205" s="43" t="n"/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38" t="n"/>
      <c r="AA206" s="38" t="n"/>
      <c r="AB206" s="41">
        <f>IF(A206="","",IF(COUNTIF($A$6:$A$504,A206)&gt;1,"⚠ Duplicate",""))</f>
        <v/>
      </c>
      <c r="AC206" s="42" t="n"/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32" t="n"/>
      <c r="AA207" s="32" t="n"/>
      <c r="AB207" s="36">
        <f>IF(A207="","",IF(COUNTIF($A$6:$A$504,A207)&gt;1,"⚠ Duplicate",""))</f>
        <v/>
      </c>
      <c r="AC207" s="43" t="n"/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38" t="n"/>
      <c r="AA208" s="38" t="n"/>
      <c r="AB208" s="41">
        <f>IF(A208="","",IF(COUNTIF($A$6:$A$504,A208)&gt;1,"⚠ Duplicate",""))</f>
        <v/>
      </c>
      <c r="AC208" s="42" t="n"/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32" t="n"/>
      <c r="AA209" s="32" t="n"/>
      <c r="AB209" s="36">
        <f>IF(A209="","",IF(COUNTIF($A$6:$A$504,A209)&gt;1,"⚠ Duplicate",""))</f>
        <v/>
      </c>
      <c r="AC209" s="43" t="n"/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38" t="n"/>
      <c r="AA210" s="38" t="n"/>
      <c r="AB210" s="41">
        <f>IF(A210="","",IF(COUNTIF($A$6:$A$504,A210)&gt;1,"⚠ Duplicate",""))</f>
        <v/>
      </c>
      <c r="AC210" s="42" t="n"/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32" t="n"/>
      <c r="AA211" s="32" t="n"/>
      <c r="AB211" s="36">
        <f>IF(A211="","",IF(COUNTIF($A$6:$A$504,A211)&gt;1,"⚠ Duplicate",""))</f>
        <v/>
      </c>
      <c r="AC211" s="43" t="n"/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38" t="n"/>
      <c r="AA212" s="38" t="n"/>
      <c r="AB212" s="41">
        <f>IF(A212="","",IF(COUNTIF($A$6:$A$504,A212)&gt;1,"⚠ Duplicate",""))</f>
        <v/>
      </c>
      <c r="AC212" s="42" t="n"/>
      <c r="AD212" s="42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32" t="n"/>
      <c r="AA213" s="32" t="n"/>
      <c r="AB213" s="36">
        <f>IF(A213="","",IF(COUNTIF($A$6:$A$504,A213)&gt;1,"⚠ Duplicate",""))</f>
        <v/>
      </c>
      <c r="AC213" s="43" t="n"/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38" t="n"/>
      <c r="AA214" s="38" t="n"/>
      <c r="AB214" s="41">
        <f>IF(A214="","",IF(COUNTIF($A$6:$A$504,A214)&gt;1,"⚠ Duplicate",""))</f>
        <v/>
      </c>
      <c r="AC214" s="42" t="n"/>
      <c r="AD214" s="42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32" t="n"/>
      <c r="AA215" s="32" t="n"/>
      <c r="AB215" s="36">
        <f>IF(A215="","",IF(COUNTIF($A$6:$A$504,A215)&gt;1,"⚠ Duplicate",""))</f>
        <v/>
      </c>
      <c r="AC215" s="43" t="n"/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38" t="n"/>
      <c r="AA216" s="38" t="n"/>
      <c r="AB216" s="41">
        <f>IF(A216="","",IF(COUNTIF($A$6:$A$504,A216)&gt;1,"⚠ Duplicate",""))</f>
        <v/>
      </c>
      <c r="AC216" s="42" t="n"/>
      <c r="AD216" s="42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32" t="n"/>
      <c r="AA217" s="32" t="n"/>
      <c r="AB217" s="36">
        <f>IF(A217="","",IF(COUNTIF($A$6:$A$504,A217)&gt;1,"⚠ Duplicate",""))</f>
        <v/>
      </c>
      <c r="AC217" s="43" t="n"/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38" t="n"/>
      <c r="AA218" s="38" t="n"/>
      <c r="AB218" s="41">
        <f>IF(A218="","",IF(COUNTIF($A$6:$A$504,A218)&gt;1,"⚠ Duplicate",""))</f>
        <v/>
      </c>
      <c r="AC218" s="42" t="n"/>
      <c r="AD218" s="42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32" t="n"/>
      <c r="AA219" s="32" t="n"/>
      <c r="AB219" s="36">
        <f>IF(A219="","",IF(COUNTIF($A$6:$A$504,A219)&gt;1,"⚠ Duplicate",""))</f>
        <v/>
      </c>
      <c r="AC219" s="43" t="n"/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38" t="n"/>
      <c r="AA220" s="38" t="n"/>
      <c r="AB220" s="41">
        <f>IF(A220="","",IF(COUNTIF($A$6:$A$504,A220)&gt;1,"⚠ Duplicate",""))</f>
        <v/>
      </c>
      <c r="AC220" s="42" t="n"/>
      <c r="AD220" s="42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32" t="n"/>
      <c r="AA221" s="32" t="n"/>
      <c r="AB221" s="36">
        <f>IF(A221="","",IF(COUNTIF($A$6:$A$504,A221)&gt;1,"⚠ Duplicate",""))</f>
        <v/>
      </c>
      <c r="AC221" s="43" t="n"/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38" t="n"/>
      <c r="AA222" s="38" t="n"/>
      <c r="AB222" s="41">
        <f>IF(A222="","",IF(COUNTIF($A$6:$A$504,A222)&gt;1,"⚠ Duplicate",""))</f>
        <v/>
      </c>
      <c r="AC222" s="42" t="n"/>
      <c r="AD222" s="42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32" t="n"/>
      <c r="AA223" s="32" t="n"/>
      <c r="AB223" s="36">
        <f>IF(A223="","",IF(COUNTIF($A$6:$A$504,A223)&gt;1,"⚠ Duplicate",""))</f>
        <v/>
      </c>
      <c r="AC223" s="43" t="n"/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38" t="n"/>
      <c r="AA224" s="38" t="n"/>
      <c r="AB224" s="41">
        <f>IF(A224="","",IF(COUNTIF($A$6:$A$504,A224)&gt;1,"⚠ Duplicate",""))</f>
        <v/>
      </c>
      <c r="AC224" s="42" t="n"/>
      <c r="AD224" s="42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32" t="n"/>
      <c r="AA225" s="32" t="n"/>
      <c r="AB225" s="36">
        <f>IF(A225="","",IF(COUNTIF($A$6:$A$504,A225)&gt;1,"⚠ Duplicate",""))</f>
        <v/>
      </c>
      <c r="AC225" s="43" t="n"/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38" t="n"/>
      <c r="AA226" s="38" t="n"/>
      <c r="AB226" s="41">
        <f>IF(A226="","",IF(COUNTIF($A$6:$A$504,A226)&gt;1,"⚠ Duplicate",""))</f>
        <v/>
      </c>
      <c r="AC226" s="42" t="n"/>
      <c r="AD226" s="42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32" t="n"/>
      <c r="AA227" s="32" t="n"/>
      <c r="AB227" s="36">
        <f>IF(A227="","",IF(COUNTIF($A$6:$A$504,A227)&gt;1,"⚠ Duplicate",""))</f>
        <v/>
      </c>
      <c r="AC227" s="43" t="n"/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38" t="n"/>
      <c r="AA228" s="38" t="n"/>
      <c r="AB228" s="41">
        <f>IF(A228="","",IF(COUNTIF($A$6:$A$504,A228)&gt;1,"⚠ Duplicate",""))</f>
        <v/>
      </c>
      <c r="AC228" s="42" t="n"/>
      <c r="AD228" s="42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32" t="n"/>
      <c r="AA229" s="32" t="n"/>
      <c r="AB229" s="36">
        <f>IF(A229="","",IF(COUNTIF($A$6:$A$504,A229)&gt;1,"⚠ Duplicate",""))</f>
        <v/>
      </c>
      <c r="AC229" s="43" t="n"/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38" t="n"/>
      <c r="AA230" s="38" t="n"/>
      <c r="AB230" s="41">
        <f>IF(A230="","",IF(COUNTIF($A$6:$A$504,A230)&gt;1,"⚠ Duplicate",""))</f>
        <v/>
      </c>
      <c r="AC230" s="42" t="n"/>
      <c r="AD230" s="42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32" t="n"/>
      <c r="AA231" s="32" t="n"/>
      <c r="AB231" s="36">
        <f>IF(A231="","",IF(COUNTIF($A$6:$A$504,A231)&gt;1,"⚠ Duplicate",""))</f>
        <v/>
      </c>
      <c r="AC231" s="43" t="n"/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38" t="n"/>
      <c r="AA232" s="38" t="n"/>
      <c r="AB232" s="41">
        <f>IF(A232="","",IF(COUNTIF($A$6:$A$504,A232)&gt;1,"⚠ Duplicate",""))</f>
        <v/>
      </c>
      <c r="AC232" s="42" t="n"/>
      <c r="AD232" s="42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32" t="n"/>
      <c r="AA233" s="32" t="n"/>
      <c r="AB233" s="36">
        <f>IF(A233="","",IF(COUNTIF($A$6:$A$504,A233)&gt;1,"⚠ Duplicate",""))</f>
        <v/>
      </c>
      <c r="AC233" s="43" t="n"/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38" t="n"/>
      <c r="AA234" s="38" t="n"/>
      <c r="AB234" s="41">
        <f>IF(A234="","",IF(COUNTIF($A$6:$A$504,A234)&gt;1,"⚠ Duplicate",""))</f>
        <v/>
      </c>
      <c r="AC234" s="42" t="n"/>
      <c r="AD234" s="42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32" t="n"/>
      <c r="AA235" s="32" t="n"/>
      <c r="AB235" s="36">
        <f>IF(A235="","",IF(COUNTIF($A$6:$A$504,A235)&gt;1,"⚠ Duplicate",""))</f>
        <v/>
      </c>
      <c r="AC235" s="43" t="n"/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38" t="n"/>
      <c r="AA236" s="38" t="n"/>
      <c r="AB236" s="41">
        <f>IF(A236="","",IF(COUNTIF($A$6:$A$504,A236)&gt;1,"⚠ Duplicate",""))</f>
        <v/>
      </c>
      <c r="AC236" s="42" t="n"/>
      <c r="AD236" s="42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32" t="n"/>
      <c r="AA237" s="32" t="n"/>
      <c r="AB237" s="36">
        <f>IF(A237="","",IF(COUNTIF($A$6:$A$504,A237)&gt;1,"⚠ Duplicate",""))</f>
        <v/>
      </c>
      <c r="AC237" s="43" t="n"/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38" t="n"/>
      <c r="AA238" s="38" t="n"/>
      <c r="AB238" s="41">
        <f>IF(A238="","",IF(COUNTIF($A$6:$A$504,A238)&gt;1,"⚠ Duplicate",""))</f>
        <v/>
      </c>
      <c r="AC238" s="42" t="n"/>
      <c r="AD238" s="42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32" t="n"/>
      <c r="AA239" s="32" t="n"/>
      <c r="AB239" s="36">
        <f>IF(A239="","",IF(COUNTIF($A$6:$A$504,A239)&gt;1,"⚠ Duplicate",""))</f>
        <v/>
      </c>
      <c r="AC239" s="43" t="n"/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38" t="n"/>
      <c r="AA240" s="38" t="n"/>
      <c r="AB240" s="41">
        <f>IF(A240="","",IF(COUNTIF($A$6:$A$504,A240)&gt;1,"⚠ Duplicate",""))</f>
        <v/>
      </c>
      <c r="AC240" s="42" t="n"/>
      <c r="AD240" s="42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32" t="n"/>
      <c r="AA241" s="32" t="n"/>
      <c r="AB241" s="36">
        <f>IF(A241="","",IF(COUNTIF($A$6:$A$504,A241)&gt;1,"⚠ Duplicate",""))</f>
        <v/>
      </c>
      <c r="AC241" s="43" t="n"/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38" t="n"/>
      <c r="AA242" s="38" t="n"/>
      <c r="AB242" s="41">
        <f>IF(A242="","",IF(COUNTIF($A$6:$A$504,A242)&gt;1,"⚠ Duplicate",""))</f>
        <v/>
      </c>
      <c r="AC242" s="42" t="n"/>
      <c r="AD242" s="42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32" t="n"/>
      <c r="AA243" s="32" t="n"/>
      <c r="AB243" s="36">
        <f>IF(A243="","",IF(COUNTIF($A$6:$A$504,A243)&gt;1,"⚠ Duplicate",""))</f>
        <v/>
      </c>
      <c r="AC243" s="43" t="n"/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38" t="n"/>
      <c r="AA244" s="38" t="n"/>
      <c r="AB244" s="41">
        <f>IF(A244="","",IF(COUNTIF($A$6:$A$504,A244)&gt;1,"⚠ Duplicate",""))</f>
        <v/>
      </c>
      <c r="AC244" s="42" t="n"/>
      <c r="AD244" s="42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32" t="n"/>
      <c r="AA245" s="32" t="n"/>
      <c r="AB245" s="36">
        <f>IF(A245="","",IF(COUNTIF($A$6:$A$504,A245)&gt;1,"⚠ Duplicate",""))</f>
        <v/>
      </c>
      <c r="AC245" s="43" t="n"/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38" t="n"/>
      <c r="AA246" s="38" t="n"/>
      <c r="AB246" s="41">
        <f>IF(A246="","",IF(COUNTIF($A$6:$A$504,A246)&gt;1,"⚠ Duplicate",""))</f>
        <v/>
      </c>
      <c r="AC246" s="42" t="n"/>
      <c r="AD246" s="42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32" t="n"/>
      <c r="AA247" s="32" t="n"/>
      <c r="AB247" s="36">
        <f>IF(A247="","",IF(COUNTIF($A$6:$A$504,A247)&gt;1,"⚠ Duplicate",""))</f>
        <v/>
      </c>
      <c r="AC247" s="43" t="n"/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38" t="n"/>
      <c r="AA248" s="38" t="n"/>
      <c r="AB248" s="41">
        <f>IF(A248="","",IF(COUNTIF($A$6:$A$504,A248)&gt;1,"⚠ Duplicate",""))</f>
        <v/>
      </c>
      <c r="AC248" s="42" t="n"/>
      <c r="AD248" s="42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32" t="n"/>
      <c r="AA249" s="32" t="n"/>
      <c r="AB249" s="36">
        <f>IF(A249="","",IF(COUNTIF($A$6:$A$504,A249)&gt;1,"⚠ Duplicate",""))</f>
        <v/>
      </c>
      <c r="AC249" s="43" t="n"/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38" t="n"/>
      <c r="AA250" s="38" t="n"/>
      <c r="AB250" s="41">
        <f>IF(A250="","",IF(COUNTIF($A$6:$A$504,A250)&gt;1,"⚠ Duplicate",""))</f>
        <v/>
      </c>
      <c r="AC250" s="42" t="n"/>
      <c r="AD250" s="42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32" t="n"/>
      <c r="AA251" s="32" t="n"/>
      <c r="AB251" s="36">
        <f>IF(A251="","",IF(COUNTIF($A$6:$A$504,A251)&gt;1,"⚠ Duplicate",""))</f>
        <v/>
      </c>
      <c r="AC251" s="43" t="n"/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38" t="n"/>
      <c r="AA252" s="38" t="n"/>
      <c r="AB252" s="41">
        <f>IF(A252="","",IF(COUNTIF($A$6:$A$504,A252)&gt;1,"⚠ Duplicate",""))</f>
        <v/>
      </c>
      <c r="AC252" s="42" t="n"/>
      <c r="AD252" s="42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32" t="n"/>
      <c r="AA253" s="32" t="n"/>
      <c r="AB253" s="36">
        <f>IF(A253="","",IF(COUNTIF($A$6:$A$504,A253)&gt;1,"⚠ Duplicate",""))</f>
        <v/>
      </c>
      <c r="AC253" s="43" t="n"/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38" t="n"/>
      <c r="AA254" s="38" t="n"/>
      <c r="AB254" s="41">
        <f>IF(A254="","",IF(COUNTIF($A$6:$A$504,A254)&gt;1,"⚠ Duplicate",""))</f>
        <v/>
      </c>
      <c r="AC254" s="42" t="n"/>
      <c r="AD254" s="42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32" t="n"/>
      <c r="AA255" s="32" t="n"/>
      <c r="AB255" s="36">
        <f>IF(A255="","",IF(COUNTIF($A$6:$A$504,A255)&gt;1,"⚠ Duplicate",""))</f>
        <v/>
      </c>
      <c r="AC255" s="43" t="n"/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38" t="n"/>
      <c r="AA256" s="38" t="n"/>
      <c r="AB256" s="41">
        <f>IF(A256="","",IF(COUNTIF($A$6:$A$504,A256)&gt;1,"⚠ Duplicate",""))</f>
        <v/>
      </c>
      <c r="AC256" s="42" t="n"/>
      <c r="AD256" s="42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32" t="n"/>
      <c r="AA257" s="32" t="n"/>
      <c r="AB257" s="36">
        <f>IF(A257="","",IF(COUNTIF($A$6:$A$504,A257)&gt;1,"⚠ Duplicate",""))</f>
        <v/>
      </c>
      <c r="AC257" s="43" t="n"/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38" t="n"/>
      <c r="AA258" s="38" t="n"/>
      <c r="AB258" s="41">
        <f>IF(A258="","",IF(COUNTIF($A$6:$A$504,A258)&gt;1,"⚠ Duplicate",""))</f>
        <v/>
      </c>
      <c r="AC258" s="42" t="n"/>
      <c r="AD258" s="42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32" t="n"/>
      <c r="AA259" s="32" t="n"/>
      <c r="AB259" s="36">
        <f>IF(A259="","",IF(COUNTIF($A$6:$A$504,A259)&gt;1,"⚠ Duplicate",""))</f>
        <v/>
      </c>
      <c r="AC259" s="43" t="n"/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38" t="n"/>
      <c r="AA260" s="38" t="n"/>
      <c r="AB260" s="41">
        <f>IF(A260="","",IF(COUNTIF($A$6:$A$504,A260)&gt;1,"⚠ Duplicate",""))</f>
        <v/>
      </c>
      <c r="AC260" s="42" t="n"/>
      <c r="AD260" s="42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32" t="n"/>
      <c r="AA261" s="32" t="n"/>
      <c r="AB261" s="36">
        <f>IF(A261="","",IF(COUNTIF($A$6:$A$504,A261)&gt;1,"⚠ Duplicate",""))</f>
        <v/>
      </c>
      <c r="AC261" s="43" t="n"/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38" t="n"/>
      <c r="AA262" s="38" t="n"/>
      <c r="AB262" s="41">
        <f>IF(A262="","",IF(COUNTIF($A$6:$A$504,A262)&gt;1,"⚠ Duplicate",""))</f>
        <v/>
      </c>
      <c r="AC262" s="42" t="n"/>
      <c r="AD262" s="42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32" t="n"/>
      <c r="AA263" s="32" t="n"/>
      <c r="AB263" s="36">
        <f>IF(A263="","",IF(COUNTIF($A$6:$A$504,A263)&gt;1,"⚠ Duplicate",""))</f>
        <v/>
      </c>
      <c r="AC263" s="43" t="n"/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38" t="n"/>
      <c r="AA264" s="38" t="n"/>
      <c r="AB264" s="41">
        <f>IF(A264="","",IF(COUNTIF($A$6:$A$504,A264)&gt;1,"⚠ Duplicate",""))</f>
        <v/>
      </c>
      <c r="AC264" s="42" t="n"/>
      <c r="AD264" s="42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32" t="n"/>
      <c r="AA265" s="32" t="n"/>
      <c r="AB265" s="36">
        <f>IF(A265="","",IF(COUNTIF($A$6:$A$504,A265)&gt;1,"⚠ Duplicate",""))</f>
        <v/>
      </c>
      <c r="AC265" s="43" t="n"/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38" t="n"/>
      <c r="AA266" s="38" t="n"/>
      <c r="AB266" s="41">
        <f>IF(A266="","",IF(COUNTIF($A$6:$A$504,A266)&gt;1,"⚠ Duplicate",""))</f>
        <v/>
      </c>
      <c r="AC266" s="42" t="n"/>
      <c r="AD266" s="42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32" t="n"/>
      <c r="AA267" s="32" t="n"/>
      <c r="AB267" s="36">
        <f>IF(A267="","",IF(COUNTIF($A$6:$A$504,A267)&gt;1,"⚠ Duplicate",""))</f>
        <v/>
      </c>
      <c r="AC267" s="43" t="n"/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38" t="n"/>
      <c r="AA268" s="38" t="n"/>
      <c r="AB268" s="41">
        <f>IF(A268="","",IF(COUNTIF($A$6:$A$504,A268)&gt;1,"⚠ Duplicate",""))</f>
        <v/>
      </c>
      <c r="AC268" s="42" t="n"/>
      <c r="AD268" s="42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32" t="n"/>
      <c r="AA269" s="32" t="n"/>
      <c r="AB269" s="36">
        <f>IF(A269="","",IF(COUNTIF($A$6:$A$504,A269)&gt;1,"⚠ Duplicate",""))</f>
        <v/>
      </c>
      <c r="AC269" s="43" t="n"/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38" t="n"/>
      <c r="AA270" s="38" t="n"/>
      <c r="AB270" s="41">
        <f>IF(A270="","",IF(COUNTIF($A$6:$A$504,A270)&gt;1,"⚠ Duplicate",""))</f>
        <v/>
      </c>
      <c r="AC270" s="42" t="n"/>
      <c r="AD270" s="42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32" t="n"/>
      <c r="AA271" s="32" t="n"/>
      <c r="AB271" s="36">
        <f>IF(A271="","",IF(COUNTIF($A$6:$A$504,A271)&gt;1,"⚠ Duplicate",""))</f>
        <v/>
      </c>
      <c r="AC271" s="43" t="n"/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38" t="n"/>
      <c r="AA272" s="38" t="n"/>
      <c r="AB272" s="41">
        <f>IF(A272="","",IF(COUNTIF($A$6:$A$504,A272)&gt;1,"⚠ Duplicate",""))</f>
        <v/>
      </c>
      <c r="AC272" s="42" t="n"/>
      <c r="AD272" s="42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32" t="n"/>
      <c r="AA273" s="32" t="n"/>
      <c r="AB273" s="36">
        <f>IF(A273="","",IF(COUNTIF($A$6:$A$504,A273)&gt;1,"⚠ Duplicate",""))</f>
        <v/>
      </c>
      <c r="AC273" s="43" t="n"/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38" t="n"/>
      <c r="AA274" s="38" t="n"/>
      <c r="AB274" s="41">
        <f>IF(A274="","",IF(COUNTIF($A$6:$A$504,A274)&gt;1,"⚠ Duplicate",""))</f>
        <v/>
      </c>
      <c r="AC274" s="42" t="n"/>
      <c r="AD274" s="42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32" t="n"/>
      <c r="AA275" s="32" t="n"/>
      <c r="AB275" s="36">
        <f>IF(A275="","",IF(COUNTIF($A$6:$A$504,A275)&gt;1,"⚠ Duplicate",""))</f>
        <v/>
      </c>
      <c r="AC275" s="43" t="n"/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38" t="n"/>
      <c r="AA276" s="38" t="n"/>
      <c r="AB276" s="41">
        <f>IF(A276="","",IF(COUNTIF($A$6:$A$504,A276)&gt;1,"⚠ Duplicate",""))</f>
        <v/>
      </c>
      <c r="AC276" s="42" t="n"/>
      <c r="AD276" s="42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32" t="n"/>
      <c r="AA277" s="32" t="n"/>
      <c r="AB277" s="36">
        <f>IF(A277="","",IF(COUNTIF($A$6:$A$504,A277)&gt;1,"⚠ Duplicate",""))</f>
        <v/>
      </c>
      <c r="AC277" s="43" t="n"/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38" t="n"/>
      <c r="AA278" s="38" t="n"/>
      <c r="AB278" s="41">
        <f>IF(A278="","",IF(COUNTIF($A$6:$A$504,A278)&gt;1,"⚠ Duplicate",""))</f>
        <v/>
      </c>
      <c r="AC278" s="42" t="n"/>
      <c r="AD278" s="42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32" t="n"/>
      <c r="AA279" s="32" t="n"/>
      <c r="AB279" s="36">
        <f>IF(A279="","",IF(COUNTIF($A$6:$A$504,A279)&gt;1,"⚠ Duplicate",""))</f>
        <v/>
      </c>
      <c r="AC279" s="43" t="n"/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38" t="n"/>
      <c r="AA280" s="38" t="n"/>
      <c r="AB280" s="41">
        <f>IF(A280="","",IF(COUNTIF($A$6:$A$504,A280)&gt;1,"⚠ Duplicate",""))</f>
        <v/>
      </c>
      <c r="AC280" s="42" t="n"/>
      <c r="AD280" s="42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32" t="n"/>
      <c r="AA281" s="32" t="n"/>
      <c r="AB281" s="36">
        <f>IF(A281="","",IF(COUNTIF($A$6:$A$504,A281)&gt;1,"⚠ Duplicate",""))</f>
        <v/>
      </c>
      <c r="AC281" s="43" t="n"/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38" t="n"/>
      <c r="AA282" s="38" t="n"/>
      <c r="AB282" s="41">
        <f>IF(A282="","",IF(COUNTIF($A$6:$A$504,A282)&gt;1,"⚠ Duplicate",""))</f>
        <v/>
      </c>
      <c r="AC282" s="42" t="n"/>
      <c r="AD282" s="42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32" t="n"/>
      <c r="AA283" s="32" t="n"/>
      <c r="AB283" s="36">
        <f>IF(A283="","",IF(COUNTIF($A$6:$A$504,A283)&gt;1,"⚠ Duplicate",""))</f>
        <v/>
      </c>
      <c r="AC283" s="43" t="n"/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38" t="n"/>
      <c r="AA284" s="38" t="n"/>
      <c r="AB284" s="41">
        <f>IF(A284="","",IF(COUNTIF($A$6:$A$504,A284)&gt;1,"⚠ Duplicate",""))</f>
        <v/>
      </c>
      <c r="AC284" s="42" t="n"/>
      <c r="AD284" s="42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32" t="n"/>
      <c r="AA285" s="32" t="n"/>
      <c r="AB285" s="36">
        <f>IF(A285="","",IF(COUNTIF($A$6:$A$504,A285)&gt;1,"⚠ Duplicate",""))</f>
        <v/>
      </c>
      <c r="AC285" s="43" t="n"/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38" t="n"/>
      <c r="AA286" s="38" t="n"/>
      <c r="AB286" s="41">
        <f>IF(A286="","",IF(COUNTIF($A$6:$A$504,A286)&gt;1,"⚠ Duplicate",""))</f>
        <v/>
      </c>
      <c r="AC286" s="42" t="n"/>
      <c r="AD286" s="42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32" t="n"/>
      <c r="AA287" s="32" t="n"/>
      <c r="AB287" s="36">
        <f>IF(A287="","",IF(COUNTIF($A$6:$A$504,A287)&gt;1,"⚠ Duplicate",""))</f>
        <v/>
      </c>
      <c r="AC287" s="43" t="n"/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38" t="n"/>
      <c r="AA288" s="38" t="n"/>
      <c r="AB288" s="41">
        <f>IF(A288="","",IF(COUNTIF($A$6:$A$504,A288)&gt;1,"⚠ Duplicate",""))</f>
        <v/>
      </c>
      <c r="AC288" s="42" t="n"/>
      <c r="AD288" s="42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32" t="n"/>
      <c r="AA289" s="32" t="n"/>
      <c r="AB289" s="36">
        <f>IF(A289="","",IF(COUNTIF($A$6:$A$504,A289)&gt;1,"⚠ Duplicate",""))</f>
        <v/>
      </c>
      <c r="AC289" s="43" t="n"/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38" t="n"/>
      <c r="AA290" s="38" t="n"/>
      <c r="AB290" s="41">
        <f>IF(A290="","",IF(COUNTIF($A$6:$A$504,A290)&gt;1,"⚠ Duplicate",""))</f>
        <v/>
      </c>
      <c r="AC290" s="42" t="n"/>
      <c r="AD290" s="42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32" t="n"/>
      <c r="AA291" s="32" t="n"/>
      <c r="AB291" s="36">
        <f>IF(A291="","",IF(COUNTIF($A$6:$A$504,A291)&gt;1,"⚠ Duplicate",""))</f>
        <v/>
      </c>
      <c r="AC291" s="43" t="n"/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38" t="n"/>
      <c r="AA292" s="38" t="n"/>
      <c r="AB292" s="41">
        <f>IF(A292="","",IF(COUNTIF($A$6:$A$504,A292)&gt;1,"⚠ Duplicate",""))</f>
        <v/>
      </c>
      <c r="AC292" s="42" t="n"/>
      <c r="AD292" s="42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32" t="n"/>
      <c r="AA293" s="32" t="n"/>
      <c r="AB293" s="36">
        <f>IF(A293="","",IF(COUNTIF($A$6:$A$504,A293)&gt;1,"⚠ Duplicate",""))</f>
        <v/>
      </c>
      <c r="AC293" s="43" t="n"/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38" t="n"/>
      <c r="AA294" s="38" t="n"/>
      <c r="AB294" s="41">
        <f>IF(A294="","",IF(COUNTIF($A$6:$A$504,A294)&gt;1,"⚠ Duplicate",""))</f>
        <v/>
      </c>
      <c r="AC294" s="42" t="n"/>
      <c r="AD294" s="42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32" t="n"/>
      <c r="AA295" s="32" t="n"/>
      <c r="AB295" s="36">
        <f>IF(A295="","",IF(COUNTIF($A$6:$A$504,A295)&gt;1,"⚠ Duplicate",""))</f>
        <v/>
      </c>
      <c r="AC295" s="43" t="n"/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38" t="n"/>
      <c r="AA296" s="38" t="n"/>
      <c r="AB296" s="41">
        <f>IF(A296="","",IF(COUNTIF($A$6:$A$504,A296)&gt;1,"⚠ Duplicate",""))</f>
        <v/>
      </c>
      <c r="AC296" s="42" t="n"/>
      <c r="AD296" s="42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32" t="n"/>
      <c r="AA297" s="32" t="n"/>
      <c r="AB297" s="36">
        <f>IF(A297="","",IF(COUNTIF($A$6:$A$504,A297)&gt;1,"⚠ Duplicate",""))</f>
        <v/>
      </c>
      <c r="AC297" s="43" t="n"/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38" t="n"/>
      <c r="AA298" s="38" t="n"/>
      <c r="AB298" s="41">
        <f>IF(A298="","",IF(COUNTIF($A$6:$A$504,A298)&gt;1,"⚠ Duplicate",""))</f>
        <v/>
      </c>
      <c r="AC298" s="42" t="n"/>
      <c r="AD298" s="42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32" t="n"/>
      <c r="AA299" s="32" t="n"/>
      <c r="AB299" s="36">
        <f>IF(A299="","",IF(COUNTIF($A$6:$A$504,A299)&gt;1,"⚠ Duplicate",""))</f>
        <v/>
      </c>
      <c r="AC299" s="43" t="n"/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38" t="n"/>
      <c r="AA300" s="38" t="n"/>
      <c r="AB300" s="41">
        <f>IF(A300="","",IF(COUNTIF($A$6:$A$504,A300)&gt;1,"⚠ Duplicate",""))</f>
        <v/>
      </c>
      <c r="AC300" s="42" t="n"/>
      <c r="AD300" s="42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32" t="n"/>
      <c r="AA301" s="32" t="n"/>
      <c r="AB301" s="36">
        <f>IF(A301="","",IF(COUNTIF($A$6:$A$504,A301)&gt;1,"⚠ Duplicate",""))</f>
        <v/>
      </c>
      <c r="AC301" s="43" t="n"/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38" t="n"/>
      <c r="AA302" s="38" t="n"/>
      <c r="AB302" s="41">
        <f>IF(A302="","",IF(COUNTIF($A$6:$A$504,A302)&gt;1,"⚠ Duplicate",""))</f>
        <v/>
      </c>
      <c r="AC302" s="42" t="n"/>
      <c r="AD302" s="42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32" t="n"/>
      <c r="AA303" s="32" t="n"/>
      <c r="AB303" s="36">
        <f>IF(A303="","",IF(COUNTIF($A$6:$A$504,A303)&gt;1,"⚠ Duplicate",""))</f>
        <v/>
      </c>
      <c r="AC303" s="43" t="n"/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38" t="n"/>
      <c r="AA304" s="38" t="n"/>
      <c r="AB304" s="41">
        <f>IF(A304="","",IF(COUNTIF($A$6:$A$504,A304)&gt;1,"⚠ Duplicate",""))</f>
        <v/>
      </c>
      <c r="AC304" s="42" t="n"/>
      <c r="AD304" s="42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32" t="n"/>
      <c r="AA305" s="32" t="n"/>
      <c r="AB305" s="36">
        <f>IF(A305="","",IF(COUNTIF($A$6:$A$504,A305)&gt;1,"⚠ Duplicate",""))</f>
        <v/>
      </c>
      <c r="AC305" s="43" t="n"/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38" t="n"/>
      <c r="AA306" s="38" t="n"/>
      <c r="AB306" s="41">
        <f>IF(A306="","",IF(COUNTIF($A$6:$A$504,A306)&gt;1,"⚠ Duplicate",""))</f>
        <v/>
      </c>
      <c r="AC306" s="42" t="n"/>
      <c r="AD306" s="42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32" t="n"/>
      <c r="AA307" s="32" t="n"/>
      <c r="AB307" s="36">
        <f>IF(A307="","",IF(COUNTIF($A$6:$A$504,A307)&gt;1,"⚠ Duplicate",""))</f>
        <v/>
      </c>
      <c r="AC307" s="43" t="n"/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38" t="n"/>
      <c r="AA308" s="38" t="n"/>
      <c r="AB308" s="41">
        <f>IF(A308="","",IF(COUNTIF($A$6:$A$504,A308)&gt;1,"⚠ Duplicate",""))</f>
        <v/>
      </c>
      <c r="AC308" s="42" t="n"/>
      <c r="AD308" s="42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32" t="n"/>
      <c r="AA309" s="32" t="n"/>
      <c r="AB309" s="36">
        <f>IF(A309="","",IF(COUNTIF($A$6:$A$504,A309)&gt;1,"⚠ Duplicate",""))</f>
        <v/>
      </c>
      <c r="AC309" s="43" t="n"/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38" t="n"/>
      <c r="AA310" s="38" t="n"/>
      <c r="AB310" s="41">
        <f>IF(A310="","",IF(COUNTIF($A$6:$A$504,A310)&gt;1,"⚠ Duplicate",""))</f>
        <v/>
      </c>
      <c r="AC310" s="42" t="n"/>
      <c r="AD310" s="42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32" t="n"/>
      <c r="AA311" s="32" t="n"/>
      <c r="AB311" s="36">
        <f>IF(A311="","",IF(COUNTIF($A$6:$A$504,A311)&gt;1,"⚠ Duplicate",""))</f>
        <v/>
      </c>
      <c r="AC311" s="43" t="n"/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38" t="n"/>
      <c r="AA312" s="38" t="n"/>
      <c r="AB312" s="41">
        <f>IF(A312="","",IF(COUNTIF($A$6:$A$504,A312)&gt;1,"⚠ Duplicate",""))</f>
        <v/>
      </c>
      <c r="AC312" s="42" t="n"/>
      <c r="AD312" s="42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32" t="n"/>
      <c r="AA313" s="32" t="n"/>
      <c r="AB313" s="36">
        <f>IF(A313="","",IF(COUNTIF($A$6:$A$504,A313)&gt;1,"⚠ Duplicate",""))</f>
        <v/>
      </c>
      <c r="AC313" s="43" t="n"/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38" t="n"/>
      <c r="AA314" s="38" t="n"/>
      <c r="AB314" s="41">
        <f>IF(A314="","",IF(COUNTIF($A$6:$A$504,A314)&gt;1,"⚠ Duplicate",""))</f>
        <v/>
      </c>
      <c r="AC314" s="42" t="n"/>
      <c r="AD314" s="42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32" t="n"/>
      <c r="AA315" s="32" t="n"/>
      <c r="AB315" s="36">
        <f>IF(A315="","",IF(COUNTIF($A$6:$A$504,A315)&gt;1,"⚠ Duplicate",""))</f>
        <v/>
      </c>
      <c r="AC315" s="43" t="n"/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38" t="n"/>
      <c r="AA316" s="38" t="n"/>
      <c r="AB316" s="41">
        <f>IF(A316="","",IF(COUNTIF($A$6:$A$504,A316)&gt;1,"⚠ Duplicate",""))</f>
        <v/>
      </c>
      <c r="AC316" s="42" t="n"/>
      <c r="AD316" s="42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32" t="n"/>
      <c r="AA317" s="32" t="n"/>
      <c r="AB317" s="36">
        <f>IF(A317="","",IF(COUNTIF($A$6:$A$504,A317)&gt;1,"⚠ Duplicate",""))</f>
        <v/>
      </c>
      <c r="AC317" s="43" t="n"/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38" t="n"/>
      <c r="AA318" s="38" t="n"/>
      <c r="AB318" s="41">
        <f>IF(A318="","",IF(COUNTIF($A$6:$A$504,A318)&gt;1,"⚠ Duplicate",""))</f>
        <v/>
      </c>
      <c r="AC318" s="42" t="n"/>
      <c r="AD318" s="42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32" t="n"/>
      <c r="AA319" s="32" t="n"/>
      <c r="AB319" s="36">
        <f>IF(A319="","",IF(COUNTIF($A$6:$A$504,A319)&gt;1,"⚠ Duplicate",""))</f>
        <v/>
      </c>
      <c r="AC319" s="43" t="n"/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38" t="n"/>
      <c r="AA320" s="38" t="n"/>
      <c r="AB320" s="41">
        <f>IF(A320="","",IF(COUNTIF($A$6:$A$504,A320)&gt;1,"⚠ Duplicate",""))</f>
        <v/>
      </c>
      <c r="AC320" s="42" t="n"/>
      <c r="AD320" s="42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32" t="n"/>
      <c r="AA321" s="32" t="n"/>
      <c r="AB321" s="36">
        <f>IF(A321="","",IF(COUNTIF($A$6:$A$504,A321)&gt;1,"⚠ Duplicate",""))</f>
        <v/>
      </c>
      <c r="AC321" s="43" t="n"/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38" t="n"/>
      <c r="AA322" s="38" t="n"/>
      <c r="AB322" s="41">
        <f>IF(A322="","",IF(COUNTIF($A$6:$A$504,A322)&gt;1,"⚠ Duplicate",""))</f>
        <v/>
      </c>
      <c r="AC322" s="42" t="n"/>
      <c r="AD322" s="42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32" t="n"/>
      <c r="AA323" s="32" t="n"/>
      <c r="AB323" s="36">
        <f>IF(A323="","",IF(COUNTIF($A$6:$A$504,A323)&gt;1,"⚠ Duplicate",""))</f>
        <v/>
      </c>
      <c r="AC323" s="43" t="n"/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38" t="n"/>
      <c r="AA324" s="38" t="n"/>
      <c r="AB324" s="41">
        <f>IF(A324="","",IF(COUNTIF($A$6:$A$504,A324)&gt;1,"⚠ Duplicate",""))</f>
        <v/>
      </c>
      <c r="AC324" s="42" t="n"/>
      <c r="AD324" s="42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32" t="n"/>
      <c r="AA325" s="32" t="n"/>
      <c r="AB325" s="36">
        <f>IF(A325="","",IF(COUNTIF($A$6:$A$504,A325)&gt;1,"⚠ Duplicate",""))</f>
        <v/>
      </c>
      <c r="AC325" s="43" t="n"/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38" t="n"/>
      <c r="AA326" s="38" t="n"/>
      <c r="AB326" s="41">
        <f>IF(A326="","",IF(COUNTIF($A$6:$A$504,A326)&gt;1,"⚠ Duplicate",""))</f>
        <v/>
      </c>
      <c r="AC326" s="42" t="n"/>
      <c r="AD326" s="42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32" t="n"/>
      <c r="AA327" s="32" t="n"/>
      <c r="AB327" s="36">
        <f>IF(A327="","",IF(COUNTIF($A$6:$A$504,A327)&gt;1,"⚠ Duplicate",""))</f>
        <v/>
      </c>
      <c r="AC327" s="43" t="n"/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38" t="n"/>
      <c r="AA328" s="38" t="n"/>
      <c r="AB328" s="41">
        <f>IF(A328="","",IF(COUNTIF($A$6:$A$504,A328)&gt;1,"⚠ Duplicate",""))</f>
        <v/>
      </c>
      <c r="AC328" s="42" t="n"/>
      <c r="AD328" s="42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32" t="n"/>
      <c r="AA329" s="32" t="n"/>
      <c r="AB329" s="36">
        <f>IF(A329="","",IF(COUNTIF($A$6:$A$504,A329)&gt;1,"⚠ Duplicate",""))</f>
        <v/>
      </c>
      <c r="AC329" s="43" t="n"/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38" t="n"/>
      <c r="AA330" s="38" t="n"/>
      <c r="AB330" s="41">
        <f>IF(A330="","",IF(COUNTIF($A$6:$A$504,A330)&gt;1,"⚠ Duplicate",""))</f>
        <v/>
      </c>
      <c r="AC330" s="42" t="n"/>
      <c r="AD330" s="42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32" t="n"/>
      <c r="AA331" s="32" t="n"/>
      <c r="AB331" s="36">
        <f>IF(A331="","",IF(COUNTIF($A$6:$A$504,A331)&gt;1,"⚠ Duplicate",""))</f>
        <v/>
      </c>
      <c r="AC331" s="43" t="n"/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38" t="n"/>
      <c r="AA332" s="38" t="n"/>
      <c r="AB332" s="41">
        <f>IF(A332="","",IF(COUNTIF($A$6:$A$504,A332)&gt;1,"⚠ Duplicate",""))</f>
        <v/>
      </c>
      <c r="AC332" s="42" t="n"/>
      <c r="AD332" s="42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32" t="n"/>
      <c r="AA333" s="32" t="n"/>
      <c r="AB333" s="36">
        <f>IF(A333="","",IF(COUNTIF($A$6:$A$504,A333)&gt;1,"⚠ Duplicate",""))</f>
        <v/>
      </c>
      <c r="AC333" s="43" t="n"/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38" t="n"/>
      <c r="AA334" s="38" t="n"/>
      <c r="AB334" s="41">
        <f>IF(A334="","",IF(COUNTIF($A$6:$A$504,A334)&gt;1,"⚠ Duplicate",""))</f>
        <v/>
      </c>
      <c r="AC334" s="42" t="n"/>
      <c r="AD334" s="42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32" t="n"/>
      <c r="AA335" s="32" t="n"/>
      <c r="AB335" s="36">
        <f>IF(A335="","",IF(COUNTIF($A$6:$A$504,A335)&gt;1,"⚠ Duplicate",""))</f>
        <v/>
      </c>
      <c r="AC335" s="43" t="n"/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38" t="n"/>
      <c r="AA336" s="38" t="n"/>
      <c r="AB336" s="41">
        <f>IF(A336="","",IF(COUNTIF($A$6:$A$504,A336)&gt;1,"⚠ Duplicate",""))</f>
        <v/>
      </c>
      <c r="AC336" s="42" t="n"/>
      <c r="AD336" s="42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32" t="n"/>
      <c r="AA337" s="32" t="n"/>
      <c r="AB337" s="36">
        <f>IF(A337="","",IF(COUNTIF($A$6:$A$504,A337)&gt;1,"⚠ Duplicate",""))</f>
        <v/>
      </c>
      <c r="AC337" s="43" t="n"/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38" t="n"/>
      <c r="AA338" s="38" t="n"/>
      <c r="AB338" s="41">
        <f>IF(A338="","",IF(COUNTIF($A$6:$A$504,A338)&gt;1,"⚠ Duplicate",""))</f>
        <v/>
      </c>
      <c r="AC338" s="42" t="n"/>
      <c r="AD338" s="42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32" t="n"/>
      <c r="AA339" s="32" t="n"/>
      <c r="AB339" s="36">
        <f>IF(A339="","",IF(COUNTIF($A$6:$A$504,A339)&gt;1,"⚠ Duplicate",""))</f>
        <v/>
      </c>
      <c r="AC339" s="43" t="n"/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38" t="n"/>
      <c r="AA340" s="38" t="n"/>
      <c r="AB340" s="41">
        <f>IF(A340="","",IF(COUNTIF($A$6:$A$504,A340)&gt;1,"⚠ Duplicate",""))</f>
        <v/>
      </c>
      <c r="AC340" s="42" t="n"/>
      <c r="AD340" s="42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32" t="n"/>
      <c r="AA341" s="32" t="n"/>
      <c r="AB341" s="36">
        <f>IF(A341="","",IF(COUNTIF($A$6:$A$504,A341)&gt;1,"⚠ Duplicate",""))</f>
        <v/>
      </c>
      <c r="AC341" s="43" t="n"/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38" t="n"/>
      <c r="AA342" s="38" t="n"/>
      <c r="AB342" s="41">
        <f>IF(A342="","",IF(COUNTIF($A$6:$A$504,A342)&gt;1,"⚠ Duplicate",""))</f>
        <v/>
      </c>
      <c r="AC342" s="42" t="n"/>
      <c r="AD342" s="42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32" t="n"/>
      <c r="AA343" s="32" t="n"/>
      <c r="AB343" s="36">
        <f>IF(A343="","",IF(COUNTIF($A$6:$A$504,A343)&gt;1,"⚠ Duplicate",""))</f>
        <v/>
      </c>
      <c r="AC343" s="43" t="n"/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38" t="n"/>
      <c r="AA344" s="38" t="n"/>
      <c r="AB344" s="41">
        <f>IF(A344="","",IF(COUNTIF($A$6:$A$504,A344)&gt;1,"⚠ Duplicate",""))</f>
        <v/>
      </c>
      <c r="AC344" s="42" t="n"/>
      <c r="AD344" s="42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32" t="n"/>
      <c r="AA345" s="32" t="n"/>
      <c r="AB345" s="36">
        <f>IF(A345="","",IF(COUNTIF($A$6:$A$504,A345)&gt;1,"⚠ Duplicate",""))</f>
        <v/>
      </c>
      <c r="AC345" s="43" t="n"/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38" t="n"/>
      <c r="AA346" s="38" t="n"/>
      <c r="AB346" s="41">
        <f>IF(A346="","",IF(COUNTIF($A$6:$A$504,A346)&gt;1,"⚠ Duplicate",""))</f>
        <v/>
      </c>
      <c r="AC346" s="42" t="n"/>
      <c r="AD346" s="42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32" t="n"/>
      <c r="AA347" s="32" t="n"/>
      <c r="AB347" s="36">
        <f>IF(A347="","",IF(COUNTIF($A$6:$A$504,A347)&gt;1,"⚠ Duplicate",""))</f>
        <v/>
      </c>
      <c r="AC347" s="43" t="n"/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38" t="n"/>
      <c r="AA348" s="38" t="n"/>
      <c r="AB348" s="41">
        <f>IF(A348="","",IF(COUNTIF($A$6:$A$504,A348)&gt;1,"⚠ Duplicate",""))</f>
        <v/>
      </c>
      <c r="AC348" s="42" t="n"/>
      <c r="AD348" s="42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32" t="n"/>
      <c r="AA349" s="32" t="n"/>
      <c r="AB349" s="36">
        <f>IF(A349="","",IF(COUNTIF($A$6:$A$504,A349)&gt;1,"⚠ Duplicate",""))</f>
        <v/>
      </c>
      <c r="AC349" s="43" t="n"/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38" t="n"/>
      <c r="AA350" s="38" t="n"/>
      <c r="AB350" s="41">
        <f>IF(A350="","",IF(COUNTIF($A$6:$A$504,A350)&gt;1,"⚠ Duplicate",""))</f>
        <v/>
      </c>
      <c r="AC350" s="42" t="n"/>
      <c r="AD350" s="42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32" t="n"/>
      <c r="AA351" s="32" t="n"/>
      <c r="AB351" s="36">
        <f>IF(A351="","",IF(COUNTIF($A$6:$A$504,A351)&gt;1,"⚠ Duplicate",""))</f>
        <v/>
      </c>
      <c r="AC351" s="43" t="n"/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38" t="n"/>
      <c r="AA352" s="38" t="n"/>
      <c r="AB352" s="41">
        <f>IF(A352="","",IF(COUNTIF($A$6:$A$504,A352)&gt;1,"⚠ Duplicate",""))</f>
        <v/>
      </c>
      <c r="AC352" s="42" t="n"/>
      <c r="AD352" s="42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32" t="n"/>
      <c r="AA353" s="32" t="n"/>
      <c r="AB353" s="36">
        <f>IF(A353="","",IF(COUNTIF($A$6:$A$504,A353)&gt;1,"⚠ Duplicate",""))</f>
        <v/>
      </c>
      <c r="AC353" s="43" t="n"/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38" t="n"/>
      <c r="AA354" s="38" t="n"/>
      <c r="AB354" s="41">
        <f>IF(A354="","",IF(COUNTIF($A$6:$A$504,A354)&gt;1,"⚠ Duplicate",""))</f>
        <v/>
      </c>
      <c r="AC354" s="42" t="n"/>
      <c r="AD354" s="42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32" t="n"/>
      <c r="AA355" s="32" t="n"/>
      <c r="AB355" s="36">
        <f>IF(A355="","",IF(COUNTIF($A$6:$A$504,A355)&gt;1,"⚠ Duplicate",""))</f>
        <v/>
      </c>
      <c r="AC355" s="43" t="n"/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38" t="n"/>
      <c r="AA356" s="38" t="n"/>
      <c r="AB356" s="41">
        <f>IF(A356="","",IF(COUNTIF($A$6:$A$504,A356)&gt;1,"⚠ Duplicate",""))</f>
        <v/>
      </c>
      <c r="AC356" s="42" t="n"/>
      <c r="AD356" s="42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32" t="n"/>
      <c r="AA357" s="32" t="n"/>
      <c r="AB357" s="36">
        <f>IF(A357="","",IF(COUNTIF($A$6:$A$504,A357)&gt;1,"⚠ Duplicate",""))</f>
        <v/>
      </c>
      <c r="AC357" s="43" t="n"/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38" t="n"/>
      <c r="AA358" s="38" t="n"/>
      <c r="AB358" s="41">
        <f>IF(A358="","",IF(COUNTIF($A$6:$A$504,A358)&gt;1,"⚠ Duplicate",""))</f>
        <v/>
      </c>
      <c r="AC358" s="42" t="n"/>
      <c r="AD358" s="42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32" t="n"/>
      <c r="AA359" s="32" t="n"/>
      <c r="AB359" s="36">
        <f>IF(A359="","",IF(COUNTIF($A$6:$A$504,A359)&gt;1,"⚠ Duplicate",""))</f>
        <v/>
      </c>
      <c r="AC359" s="43" t="n"/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38" t="n"/>
      <c r="AA360" s="38" t="n"/>
      <c r="AB360" s="41">
        <f>IF(A360="","",IF(COUNTIF($A$6:$A$504,A360)&gt;1,"⚠ Duplicate",""))</f>
        <v/>
      </c>
      <c r="AC360" s="42" t="n"/>
      <c r="AD360" s="42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32" t="n"/>
      <c r="AA361" s="32" t="n"/>
      <c r="AB361" s="36">
        <f>IF(A361="","",IF(COUNTIF($A$6:$A$504,A361)&gt;1,"⚠ Duplicate",""))</f>
        <v/>
      </c>
      <c r="AC361" s="43" t="n"/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38" t="n"/>
      <c r="AA362" s="38" t="n"/>
      <c r="AB362" s="41">
        <f>IF(A362="","",IF(COUNTIF($A$6:$A$504,A362)&gt;1,"⚠ Duplicate",""))</f>
        <v/>
      </c>
      <c r="AC362" s="42" t="n"/>
      <c r="AD362" s="42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32" t="n"/>
      <c r="AA363" s="32" t="n"/>
      <c r="AB363" s="36">
        <f>IF(A363="","",IF(COUNTIF($A$6:$A$504,A363)&gt;1,"⚠ Duplicate",""))</f>
        <v/>
      </c>
      <c r="AC363" s="43" t="n"/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38" t="n"/>
      <c r="AA364" s="38" t="n"/>
      <c r="AB364" s="41">
        <f>IF(A364="","",IF(COUNTIF($A$6:$A$504,A364)&gt;1,"⚠ Duplicate",""))</f>
        <v/>
      </c>
      <c r="AC364" s="42" t="n"/>
      <c r="AD364" s="42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32" t="n"/>
      <c r="AA365" s="32" t="n"/>
      <c r="AB365" s="36">
        <f>IF(A365="","",IF(COUNTIF($A$6:$A$504,A365)&gt;1,"⚠ Duplicate",""))</f>
        <v/>
      </c>
      <c r="AC365" s="43" t="n"/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38" t="n"/>
      <c r="AA366" s="38" t="n"/>
      <c r="AB366" s="41">
        <f>IF(A366="","",IF(COUNTIF($A$6:$A$504,A366)&gt;1,"⚠ Duplicate",""))</f>
        <v/>
      </c>
      <c r="AC366" s="42" t="n"/>
      <c r="AD366" s="42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32" t="n"/>
      <c r="AA367" s="32" t="n"/>
      <c r="AB367" s="36">
        <f>IF(A367="","",IF(COUNTIF($A$6:$A$504,A367)&gt;1,"⚠ Duplicate",""))</f>
        <v/>
      </c>
      <c r="AC367" s="43" t="n"/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38" t="n"/>
      <c r="AA368" s="38" t="n"/>
      <c r="AB368" s="41">
        <f>IF(A368="","",IF(COUNTIF($A$6:$A$504,A368)&gt;1,"⚠ Duplicate",""))</f>
        <v/>
      </c>
      <c r="AC368" s="42" t="n"/>
      <c r="AD368" s="42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32" t="n"/>
      <c r="AA369" s="32" t="n"/>
      <c r="AB369" s="36">
        <f>IF(A369="","",IF(COUNTIF($A$6:$A$504,A369)&gt;1,"⚠ Duplicate",""))</f>
        <v/>
      </c>
      <c r="AC369" s="43" t="n"/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38" t="n"/>
      <c r="AA370" s="38" t="n"/>
      <c r="AB370" s="41">
        <f>IF(A370="","",IF(COUNTIF($A$6:$A$504,A370)&gt;1,"⚠ Duplicate",""))</f>
        <v/>
      </c>
      <c r="AC370" s="42" t="n"/>
      <c r="AD370" s="42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32" t="n"/>
      <c r="AA371" s="32" t="n"/>
      <c r="AB371" s="36">
        <f>IF(A371="","",IF(COUNTIF($A$6:$A$504,A371)&gt;1,"⚠ Duplicate",""))</f>
        <v/>
      </c>
      <c r="AC371" s="43" t="n"/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38" t="n"/>
      <c r="AA372" s="38" t="n"/>
      <c r="AB372" s="41">
        <f>IF(A372="","",IF(COUNTIF($A$6:$A$504,A372)&gt;1,"⚠ Duplicate",""))</f>
        <v/>
      </c>
      <c r="AC372" s="42" t="n"/>
      <c r="AD372" s="42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32" t="n"/>
      <c r="AA373" s="32" t="n"/>
      <c r="AB373" s="36">
        <f>IF(A373="","",IF(COUNTIF($A$6:$A$504,A373)&gt;1,"⚠ Duplicate",""))</f>
        <v/>
      </c>
      <c r="AC373" s="43" t="n"/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38" t="n"/>
      <c r="AA374" s="38" t="n"/>
      <c r="AB374" s="41">
        <f>IF(A374="","",IF(COUNTIF($A$6:$A$504,A374)&gt;1,"⚠ Duplicate",""))</f>
        <v/>
      </c>
      <c r="AC374" s="42" t="n"/>
      <c r="AD374" s="42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32" t="n"/>
      <c r="AA375" s="32" t="n"/>
      <c r="AB375" s="36">
        <f>IF(A375="","",IF(COUNTIF($A$6:$A$504,A375)&gt;1,"⚠ Duplicate",""))</f>
        <v/>
      </c>
      <c r="AC375" s="43" t="n"/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38" t="n"/>
      <c r="AA376" s="38" t="n"/>
      <c r="AB376" s="41">
        <f>IF(A376="","",IF(COUNTIF($A$6:$A$504,A376)&gt;1,"⚠ Duplicate",""))</f>
        <v/>
      </c>
      <c r="AC376" s="42" t="n"/>
      <c r="AD376" s="42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32" t="n"/>
      <c r="AA377" s="32" t="n"/>
      <c r="AB377" s="36">
        <f>IF(A377="","",IF(COUNTIF($A$6:$A$504,A377)&gt;1,"⚠ Duplicate",""))</f>
        <v/>
      </c>
      <c r="AC377" s="43" t="n"/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38" t="n"/>
      <c r="AA378" s="38" t="n"/>
      <c r="AB378" s="41">
        <f>IF(A378="","",IF(COUNTIF($A$6:$A$504,A378)&gt;1,"⚠ Duplicate",""))</f>
        <v/>
      </c>
      <c r="AC378" s="42" t="n"/>
      <c r="AD378" s="42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32" t="n"/>
      <c r="AA379" s="32" t="n"/>
      <c r="AB379" s="36">
        <f>IF(A379="","",IF(COUNTIF($A$6:$A$504,A379)&gt;1,"⚠ Duplicate",""))</f>
        <v/>
      </c>
      <c r="AC379" s="43" t="n"/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38" t="n"/>
      <c r="AA380" s="38" t="n"/>
      <c r="AB380" s="41">
        <f>IF(A380="","",IF(COUNTIF($A$6:$A$504,A380)&gt;1,"⚠ Duplicate",""))</f>
        <v/>
      </c>
      <c r="AC380" s="42" t="n"/>
      <c r="AD380" s="42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32" t="n"/>
      <c r="AA381" s="32" t="n"/>
      <c r="AB381" s="36">
        <f>IF(A381="","",IF(COUNTIF($A$6:$A$504,A381)&gt;1,"⚠ Duplicate",""))</f>
        <v/>
      </c>
      <c r="AC381" s="43" t="n"/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38" t="n"/>
      <c r="AA382" s="38" t="n"/>
      <c r="AB382" s="41">
        <f>IF(A382="","",IF(COUNTIF($A$6:$A$504,A382)&gt;1,"⚠ Duplicate",""))</f>
        <v/>
      </c>
      <c r="AC382" s="42" t="n"/>
      <c r="AD382" s="42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32" t="n"/>
      <c r="AA383" s="32" t="n"/>
      <c r="AB383" s="36">
        <f>IF(A383="","",IF(COUNTIF($A$6:$A$504,A383)&gt;1,"⚠ Duplicate",""))</f>
        <v/>
      </c>
      <c r="AC383" s="43" t="n"/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38" t="n"/>
      <c r="AA384" s="38" t="n"/>
      <c r="AB384" s="41">
        <f>IF(A384="","",IF(COUNTIF($A$6:$A$504,A384)&gt;1,"⚠ Duplicate",""))</f>
        <v/>
      </c>
      <c r="AC384" s="42" t="n"/>
      <c r="AD384" s="42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32" t="n"/>
      <c r="AA385" s="32" t="n"/>
      <c r="AB385" s="36">
        <f>IF(A385="","",IF(COUNTIF($A$6:$A$504,A385)&gt;1,"⚠ Duplicate",""))</f>
        <v/>
      </c>
      <c r="AC385" s="43" t="n"/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38" t="n"/>
      <c r="AA386" s="38" t="n"/>
      <c r="AB386" s="41">
        <f>IF(A386="","",IF(COUNTIF($A$6:$A$504,A386)&gt;1,"⚠ Duplicate",""))</f>
        <v/>
      </c>
      <c r="AC386" s="42" t="n"/>
      <c r="AD386" s="42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32" t="n"/>
      <c r="AA387" s="32" t="n"/>
      <c r="AB387" s="36">
        <f>IF(A387="","",IF(COUNTIF($A$6:$A$504,A387)&gt;1,"⚠ Duplicate",""))</f>
        <v/>
      </c>
      <c r="AC387" s="43" t="n"/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38" t="n"/>
      <c r="AA388" s="38" t="n"/>
      <c r="AB388" s="41">
        <f>IF(A388="","",IF(COUNTIF($A$6:$A$504,A388)&gt;1,"⚠ Duplicate",""))</f>
        <v/>
      </c>
      <c r="AC388" s="42" t="n"/>
      <c r="AD388" s="42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32" t="n"/>
      <c r="AA389" s="32" t="n"/>
      <c r="AB389" s="36">
        <f>IF(A389="","",IF(COUNTIF($A$6:$A$504,A389)&gt;1,"⚠ Duplicate",""))</f>
        <v/>
      </c>
      <c r="AC389" s="43" t="n"/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38" t="n"/>
      <c r="AA390" s="38" t="n"/>
      <c r="AB390" s="41">
        <f>IF(A390="","",IF(COUNTIF($A$6:$A$504,A390)&gt;1,"⚠ Duplicate",""))</f>
        <v/>
      </c>
      <c r="AC390" s="42" t="n"/>
      <c r="AD390" s="42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32" t="n"/>
      <c r="AA391" s="32" t="n"/>
      <c r="AB391" s="36">
        <f>IF(A391="","",IF(COUNTIF($A$6:$A$504,A391)&gt;1,"⚠ Duplicate",""))</f>
        <v/>
      </c>
      <c r="AC391" s="43" t="n"/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38" t="n"/>
      <c r="AA392" s="38" t="n"/>
      <c r="AB392" s="41">
        <f>IF(A392="","",IF(COUNTIF($A$6:$A$504,A392)&gt;1,"⚠ Duplicate",""))</f>
        <v/>
      </c>
      <c r="AC392" s="42" t="n"/>
      <c r="AD392" s="42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32" t="n"/>
      <c r="AA393" s="32" t="n"/>
      <c r="AB393" s="36">
        <f>IF(A393="","",IF(COUNTIF($A$6:$A$504,A393)&gt;1,"⚠ Duplicate",""))</f>
        <v/>
      </c>
      <c r="AC393" s="43" t="n"/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38" t="n"/>
      <c r="AA394" s="38" t="n"/>
      <c r="AB394" s="41">
        <f>IF(A394="","",IF(COUNTIF($A$6:$A$504,A394)&gt;1,"⚠ Duplicate",""))</f>
        <v/>
      </c>
      <c r="AC394" s="42" t="n"/>
      <c r="AD394" s="42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32" t="n"/>
      <c r="AA395" s="32" t="n"/>
      <c r="AB395" s="36">
        <f>IF(A395="","",IF(COUNTIF($A$6:$A$504,A395)&gt;1,"⚠ Duplicate",""))</f>
        <v/>
      </c>
      <c r="AC395" s="43" t="n"/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38" t="n"/>
      <c r="AA396" s="38" t="n"/>
      <c r="AB396" s="41">
        <f>IF(A396="","",IF(COUNTIF($A$6:$A$504,A396)&gt;1,"⚠ Duplicate",""))</f>
        <v/>
      </c>
      <c r="AC396" s="42" t="n"/>
      <c r="AD396" s="42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32" t="n"/>
      <c r="AA397" s="32" t="n"/>
      <c r="AB397" s="36">
        <f>IF(A397="","",IF(COUNTIF($A$6:$A$504,A397)&gt;1,"⚠ Duplicate",""))</f>
        <v/>
      </c>
      <c r="AC397" s="43" t="n"/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38" t="n"/>
      <c r="AA398" s="38" t="n"/>
      <c r="AB398" s="41">
        <f>IF(A398="","",IF(COUNTIF($A$6:$A$504,A398)&gt;1,"⚠ Duplicate",""))</f>
        <v/>
      </c>
      <c r="AC398" s="42" t="n"/>
      <c r="AD398" s="42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32" t="n"/>
      <c r="AA399" s="32" t="n"/>
      <c r="AB399" s="36">
        <f>IF(A399="","",IF(COUNTIF($A$6:$A$504,A399)&gt;1,"⚠ Duplicate",""))</f>
        <v/>
      </c>
      <c r="AC399" s="43" t="n"/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38" t="n"/>
      <c r="AA400" s="38" t="n"/>
      <c r="AB400" s="41">
        <f>IF(A400="","",IF(COUNTIF($A$6:$A$504,A400)&gt;1,"⚠ Duplicate",""))</f>
        <v/>
      </c>
      <c r="AC400" s="42" t="n"/>
      <c r="AD400" s="42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32" t="n"/>
      <c r="AA401" s="32" t="n"/>
      <c r="AB401" s="36">
        <f>IF(A401="","",IF(COUNTIF($A$6:$A$504,A401)&gt;1,"⚠ Duplicate",""))</f>
        <v/>
      </c>
      <c r="AC401" s="43" t="n"/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38" t="n"/>
      <c r="AA402" s="38" t="n"/>
      <c r="AB402" s="41">
        <f>IF(A402="","",IF(COUNTIF($A$6:$A$504,A402)&gt;1,"⚠ Duplicate",""))</f>
        <v/>
      </c>
      <c r="AC402" s="42" t="n"/>
      <c r="AD402" s="42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32" t="n"/>
      <c r="AA403" s="32" t="n"/>
      <c r="AB403" s="36">
        <f>IF(A403="","",IF(COUNTIF($A$6:$A$504,A403)&gt;1,"⚠ Duplicate",""))</f>
        <v/>
      </c>
      <c r="AC403" s="43" t="n"/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38" t="n"/>
      <c r="AA404" s="38" t="n"/>
      <c r="AB404" s="41">
        <f>IF(A404="","",IF(COUNTIF($A$6:$A$504,A404)&gt;1,"⚠ Duplicate",""))</f>
        <v/>
      </c>
      <c r="AC404" s="42" t="n"/>
      <c r="AD404" s="42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32" t="n"/>
      <c r="AA405" s="32" t="n"/>
      <c r="AB405" s="36">
        <f>IF(A405="","",IF(COUNTIF($A$6:$A$504,A405)&gt;1,"⚠ Duplicate",""))</f>
        <v/>
      </c>
      <c r="AC405" s="43" t="n"/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38" t="n"/>
      <c r="AA406" s="38" t="n"/>
      <c r="AB406" s="41">
        <f>IF(A406="","",IF(COUNTIF($A$6:$A$504,A406)&gt;1,"⚠ Duplicate",""))</f>
        <v/>
      </c>
      <c r="AC406" s="42" t="n"/>
      <c r="AD406" s="42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32" t="n"/>
      <c r="AA407" s="32" t="n"/>
      <c r="AB407" s="36">
        <f>IF(A407="","",IF(COUNTIF($A$6:$A$504,A407)&gt;1,"⚠ Duplicate",""))</f>
        <v/>
      </c>
      <c r="AC407" s="43" t="n"/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38" t="n"/>
      <c r="AA408" s="38" t="n"/>
      <c r="AB408" s="41">
        <f>IF(A408="","",IF(COUNTIF($A$6:$A$504,A408)&gt;1,"⚠ Duplicate",""))</f>
        <v/>
      </c>
      <c r="AC408" s="42" t="n"/>
      <c r="AD408" s="42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32" t="n"/>
      <c r="AA409" s="32" t="n"/>
      <c r="AB409" s="36">
        <f>IF(A409="","",IF(COUNTIF($A$6:$A$504,A409)&gt;1,"⚠ Duplicate",""))</f>
        <v/>
      </c>
      <c r="AC409" s="43" t="n"/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38" t="n"/>
      <c r="AA410" s="38" t="n"/>
      <c r="AB410" s="41">
        <f>IF(A410="","",IF(COUNTIF($A$6:$A$504,A410)&gt;1,"⚠ Duplicate",""))</f>
        <v/>
      </c>
      <c r="AC410" s="42" t="n"/>
      <c r="AD410" s="42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32" t="n"/>
      <c r="AA411" s="32" t="n"/>
      <c r="AB411" s="36">
        <f>IF(A411="","",IF(COUNTIF($A$6:$A$504,A411)&gt;1,"⚠ Duplicate",""))</f>
        <v/>
      </c>
      <c r="AC411" s="43" t="n"/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38" t="n"/>
      <c r="AA412" s="38" t="n"/>
      <c r="AB412" s="41">
        <f>IF(A412="","",IF(COUNTIF($A$6:$A$504,A412)&gt;1,"⚠ Duplicate",""))</f>
        <v/>
      </c>
      <c r="AC412" s="42" t="n"/>
      <c r="AD412" s="42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32" t="n"/>
      <c r="AA413" s="32" t="n"/>
      <c r="AB413" s="36">
        <f>IF(A413="","",IF(COUNTIF($A$6:$A$504,A413)&gt;1,"⚠ Duplicate",""))</f>
        <v/>
      </c>
      <c r="AC413" s="43" t="n"/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38" t="n"/>
      <c r="AA414" s="38" t="n"/>
      <c r="AB414" s="41">
        <f>IF(A414="","",IF(COUNTIF($A$6:$A$504,A414)&gt;1,"⚠ Duplicate",""))</f>
        <v/>
      </c>
      <c r="AC414" s="42" t="n"/>
      <c r="AD414" s="42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32" t="n"/>
      <c r="AA415" s="32" t="n"/>
      <c r="AB415" s="36">
        <f>IF(A415="","",IF(COUNTIF($A$6:$A$504,A415)&gt;1,"⚠ Duplicate",""))</f>
        <v/>
      </c>
      <c r="AC415" s="43" t="n"/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38" t="n"/>
      <c r="AA416" s="38" t="n"/>
      <c r="AB416" s="41">
        <f>IF(A416="","",IF(COUNTIF($A$6:$A$504,A416)&gt;1,"⚠ Duplicate",""))</f>
        <v/>
      </c>
      <c r="AC416" s="42" t="n"/>
      <c r="AD416" s="42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32" t="n"/>
      <c r="AA417" s="32" t="n"/>
      <c r="AB417" s="36">
        <f>IF(A417="","",IF(COUNTIF($A$6:$A$504,A417)&gt;1,"⚠ Duplicate",""))</f>
        <v/>
      </c>
      <c r="AC417" s="43" t="n"/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38" t="n"/>
      <c r="AA418" s="38" t="n"/>
      <c r="AB418" s="41">
        <f>IF(A418="","",IF(COUNTIF($A$6:$A$504,A418)&gt;1,"⚠ Duplicate",""))</f>
        <v/>
      </c>
      <c r="AC418" s="42" t="n"/>
      <c r="AD418" s="42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32" t="n"/>
      <c r="AA419" s="32" t="n"/>
      <c r="AB419" s="36">
        <f>IF(A419="","",IF(COUNTIF($A$6:$A$504,A419)&gt;1,"⚠ Duplicate",""))</f>
        <v/>
      </c>
      <c r="AC419" s="43" t="n"/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38" t="n"/>
      <c r="AA420" s="38" t="n"/>
      <c r="AB420" s="41">
        <f>IF(A420="","",IF(COUNTIF($A$6:$A$504,A420)&gt;1,"⚠ Duplicate",""))</f>
        <v/>
      </c>
      <c r="AC420" s="42" t="n"/>
      <c r="AD420" s="42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32" t="n"/>
      <c r="AA421" s="32" t="n"/>
      <c r="AB421" s="36">
        <f>IF(A421="","",IF(COUNTIF($A$6:$A$504,A421)&gt;1,"⚠ Duplicate",""))</f>
        <v/>
      </c>
      <c r="AC421" s="43" t="n"/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38" t="n"/>
      <c r="AA422" s="38" t="n"/>
      <c r="AB422" s="41">
        <f>IF(A422="","",IF(COUNTIF($A$6:$A$504,A422)&gt;1,"⚠ Duplicate",""))</f>
        <v/>
      </c>
      <c r="AC422" s="42" t="n"/>
      <c r="AD422" s="42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32" t="n"/>
      <c r="AA423" s="32" t="n"/>
      <c r="AB423" s="36">
        <f>IF(A423="","",IF(COUNTIF($A$6:$A$504,A423)&gt;1,"⚠ Duplicate",""))</f>
        <v/>
      </c>
      <c r="AC423" s="43" t="n"/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38" t="n"/>
      <c r="AA424" s="38" t="n"/>
      <c r="AB424" s="41">
        <f>IF(A424="","",IF(COUNTIF($A$6:$A$504,A424)&gt;1,"⚠ Duplicate",""))</f>
        <v/>
      </c>
      <c r="AC424" s="42" t="n"/>
      <c r="AD424" s="42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32" t="n"/>
      <c r="AA425" s="32" t="n"/>
      <c r="AB425" s="36">
        <f>IF(A425="","",IF(COUNTIF($A$6:$A$504,A425)&gt;1,"⚠ Duplicate",""))</f>
        <v/>
      </c>
      <c r="AC425" s="43" t="n"/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38" t="n"/>
      <c r="AA426" s="38" t="n"/>
      <c r="AB426" s="41">
        <f>IF(A426="","",IF(COUNTIF($A$6:$A$504,A426)&gt;1,"⚠ Duplicate",""))</f>
        <v/>
      </c>
      <c r="AC426" s="42" t="n"/>
      <c r="AD426" s="42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32" t="n"/>
      <c r="AA427" s="32" t="n"/>
      <c r="AB427" s="36">
        <f>IF(A427="","",IF(COUNTIF($A$6:$A$504,A427)&gt;1,"⚠ Duplicate",""))</f>
        <v/>
      </c>
      <c r="AC427" s="43" t="n"/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38" t="n"/>
      <c r="AA428" s="38" t="n"/>
      <c r="AB428" s="41">
        <f>IF(A428="","",IF(COUNTIF($A$6:$A$504,A428)&gt;1,"⚠ Duplicate",""))</f>
        <v/>
      </c>
      <c r="AC428" s="42" t="n"/>
      <c r="AD428" s="42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32" t="n"/>
      <c r="AA429" s="32" t="n"/>
      <c r="AB429" s="36">
        <f>IF(A429="","",IF(COUNTIF($A$6:$A$504,A429)&gt;1,"⚠ Duplicate",""))</f>
        <v/>
      </c>
      <c r="AC429" s="43" t="n"/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38" t="n"/>
      <c r="AA430" s="38" t="n"/>
      <c r="AB430" s="41">
        <f>IF(A430="","",IF(COUNTIF($A$6:$A$504,A430)&gt;1,"⚠ Duplicate",""))</f>
        <v/>
      </c>
      <c r="AC430" s="42" t="n"/>
      <c r="AD430" s="42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32" t="n"/>
      <c r="AA431" s="32" t="n"/>
      <c r="AB431" s="36">
        <f>IF(A431="","",IF(COUNTIF($A$6:$A$504,A431)&gt;1,"⚠ Duplicate",""))</f>
        <v/>
      </c>
      <c r="AC431" s="43" t="n"/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38" t="n"/>
      <c r="AA432" s="38" t="n"/>
      <c r="AB432" s="41">
        <f>IF(A432="","",IF(COUNTIF($A$6:$A$504,A432)&gt;1,"⚠ Duplicate",""))</f>
        <v/>
      </c>
      <c r="AC432" s="42" t="n"/>
      <c r="AD432" s="42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32" t="n"/>
      <c r="AA433" s="32" t="n"/>
      <c r="AB433" s="36">
        <f>IF(A433="","",IF(COUNTIF($A$6:$A$504,A433)&gt;1,"⚠ Duplicate",""))</f>
        <v/>
      </c>
      <c r="AC433" s="43" t="n"/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38" t="n"/>
      <c r="AA434" s="38" t="n"/>
      <c r="AB434" s="41">
        <f>IF(A434="","",IF(COUNTIF($A$6:$A$504,A434)&gt;1,"⚠ Duplicate",""))</f>
        <v/>
      </c>
      <c r="AC434" s="42" t="n"/>
      <c r="AD434" s="42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32" t="n"/>
      <c r="AA435" s="32" t="n"/>
      <c r="AB435" s="36">
        <f>IF(A435="","",IF(COUNTIF($A$6:$A$504,A435)&gt;1,"⚠ Duplicate",""))</f>
        <v/>
      </c>
      <c r="AC435" s="43" t="n"/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38" t="n"/>
      <c r="AA436" s="38" t="n"/>
      <c r="AB436" s="41">
        <f>IF(A436="","",IF(COUNTIF($A$6:$A$504,A436)&gt;1,"⚠ Duplicate",""))</f>
        <v/>
      </c>
      <c r="AC436" s="42" t="n"/>
      <c r="AD436" s="42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32" t="n"/>
      <c r="AA437" s="32" t="n"/>
      <c r="AB437" s="36">
        <f>IF(A437="","",IF(COUNTIF($A$6:$A$504,A437)&gt;1,"⚠ Duplicate",""))</f>
        <v/>
      </c>
      <c r="AC437" s="43" t="n"/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38" t="n"/>
      <c r="AA438" s="38" t="n"/>
      <c r="AB438" s="41">
        <f>IF(A438="","",IF(COUNTIF($A$6:$A$504,A438)&gt;1,"⚠ Duplicate",""))</f>
        <v/>
      </c>
      <c r="AC438" s="42" t="n"/>
      <c r="AD438" s="42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32" t="n"/>
      <c r="AA439" s="32" t="n"/>
      <c r="AB439" s="36">
        <f>IF(A439="","",IF(COUNTIF($A$6:$A$504,A439)&gt;1,"⚠ Duplicate",""))</f>
        <v/>
      </c>
      <c r="AC439" s="43" t="n"/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38" t="n"/>
      <c r="AA440" s="38" t="n"/>
      <c r="AB440" s="41">
        <f>IF(A440="","",IF(COUNTIF($A$6:$A$504,A440)&gt;1,"⚠ Duplicate",""))</f>
        <v/>
      </c>
      <c r="AC440" s="42" t="n"/>
      <c r="AD440" s="42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32" t="n"/>
      <c r="AA441" s="32" t="n"/>
      <c r="AB441" s="36">
        <f>IF(A441="","",IF(COUNTIF($A$6:$A$504,A441)&gt;1,"⚠ Duplicate",""))</f>
        <v/>
      </c>
      <c r="AC441" s="43" t="n"/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38" t="n"/>
      <c r="AA442" s="38" t="n"/>
      <c r="AB442" s="41">
        <f>IF(A442="","",IF(COUNTIF($A$6:$A$504,A442)&gt;1,"⚠ Duplicate",""))</f>
        <v/>
      </c>
      <c r="AC442" s="42" t="n"/>
      <c r="AD442" s="42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32" t="n"/>
      <c r="AA443" s="32" t="n"/>
      <c r="AB443" s="36">
        <f>IF(A443="","",IF(COUNTIF($A$6:$A$504,A443)&gt;1,"⚠ Duplicate",""))</f>
        <v/>
      </c>
      <c r="AC443" s="43" t="n"/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38" t="n"/>
      <c r="AA444" s="38" t="n"/>
      <c r="AB444" s="41">
        <f>IF(A444="","",IF(COUNTIF($A$6:$A$504,A444)&gt;1,"⚠ Duplicate",""))</f>
        <v/>
      </c>
      <c r="AC444" s="42" t="n"/>
      <c r="AD444" s="42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32" t="n"/>
      <c r="AA445" s="32" t="n"/>
      <c r="AB445" s="36">
        <f>IF(A445="","",IF(COUNTIF($A$6:$A$504,A445)&gt;1,"⚠ Duplicate",""))</f>
        <v/>
      </c>
      <c r="AC445" s="43" t="n"/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38" t="n"/>
      <c r="AA446" s="38" t="n"/>
      <c r="AB446" s="41">
        <f>IF(A446="","",IF(COUNTIF($A$6:$A$504,A446)&gt;1,"⚠ Duplicate",""))</f>
        <v/>
      </c>
      <c r="AC446" s="42" t="n"/>
      <c r="AD446" s="42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32" t="n"/>
      <c r="AA447" s="32" t="n"/>
      <c r="AB447" s="36">
        <f>IF(A447="","",IF(COUNTIF($A$6:$A$504,A447)&gt;1,"⚠ Duplicate",""))</f>
        <v/>
      </c>
      <c r="AC447" s="43" t="n"/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38" t="n"/>
      <c r="AA448" s="38" t="n"/>
      <c r="AB448" s="41">
        <f>IF(A448="","",IF(COUNTIF($A$6:$A$504,A448)&gt;1,"⚠ Duplicate",""))</f>
        <v/>
      </c>
      <c r="AC448" s="42" t="n"/>
      <c r="AD448" s="42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32" t="n"/>
      <c r="AA449" s="32" t="n"/>
      <c r="AB449" s="36">
        <f>IF(A449="","",IF(COUNTIF($A$6:$A$504,A449)&gt;1,"⚠ Duplicate",""))</f>
        <v/>
      </c>
      <c r="AC449" s="43" t="n"/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38" t="n"/>
      <c r="AA450" s="38" t="n"/>
      <c r="AB450" s="41">
        <f>IF(A450="","",IF(COUNTIF($A$6:$A$504,A450)&gt;1,"⚠ Duplicate",""))</f>
        <v/>
      </c>
      <c r="AC450" s="42" t="n"/>
      <c r="AD450" s="42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32" t="n"/>
      <c r="AA451" s="32" t="n"/>
      <c r="AB451" s="36">
        <f>IF(A451="","",IF(COUNTIF($A$6:$A$504,A451)&gt;1,"⚠ Duplicate",""))</f>
        <v/>
      </c>
      <c r="AC451" s="43" t="n"/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38" t="n"/>
      <c r="AA452" s="38" t="n"/>
      <c r="AB452" s="41">
        <f>IF(A452="","",IF(COUNTIF($A$6:$A$504,A452)&gt;1,"⚠ Duplicate",""))</f>
        <v/>
      </c>
      <c r="AC452" s="42" t="n"/>
      <c r="AD452" s="42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32" t="n"/>
      <c r="AA453" s="32" t="n"/>
      <c r="AB453" s="36">
        <f>IF(A453="","",IF(COUNTIF($A$6:$A$504,A453)&gt;1,"⚠ Duplicate",""))</f>
        <v/>
      </c>
      <c r="AC453" s="43" t="n"/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38" t="n"/>
      <c r="AA454" s="38" t="n"/>
      <c r="AB454" s="41">
        <f>IF(A454="","",IF(COUNTIF($A$6:$A$504,A454)&gt;1,"⚠ Duplicate",""))</f>
        <v/>
      </c>
      <c r="AC454" s="42" t="n"/>
      <c r="AD454" s="42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32" t="n"/>
      <c r="AA455" s="32" t="n"/>
      <c r="AB455" s="36">
        <f>IF(A455="","",IF(COUNTIF($A$6:$A$504,A455)&gt;1,"⚠ Duplicate",""))</f>
        <v/>
      </c>
      <c r="AC455" s="43" t="n"/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38" t="n"/>
      <c r="AA456" s="38" t="n"/>
      <c r="AB456" s="41">
        <f>IF(A456="","",IF(COUNTIF($A$6:$A$504,A456)&gt;1,"⚠ Duplicate",""))</f>
        <v/>
      </c>
      <c r="AC456" s="42" t="n"/>
      <c r="AD456" s="42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32" t="n"/>
      <c r="AA457" s="32" t="n"/>
      <c r="AB457" s="36">
        <f>IF(A457="","",IF(COUNTIF($A$6:$A$504,A457)&gt;1,"⚠ Duplicate",""))</f>
        <v/>
      </c>
      <c r="AC457" s="43" t="n"/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38" t="n"/>
      <c r="AA458" s="38" t="n"/>
      <c r="AB458" s="41">
        <f>IF(A458="","",IF(COUNTIF($A$6:$A$504,A458)&gt;1,"⚠ Duplicate",""))</f>
        <v/>
      </c>
      <c r="AC458" s="42" t="n"/>
      <c r="AD458" s="42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32" t="n"/>
      <c r="AA459" s="32" t="n"/>
      <c r="AB459" s="36">
        <f>IF(A459="","",IF(COUNTIF($A$6:$A$504,A459)&gt;1,"⚠ Duplicate",""))</f>
        <v/>
      </c>
      <c r="AC459" s="43" t="n"/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38" t="n"/>
      <c r="AA460" s="38" t="n"/>
      <c r="AB460" s="41">
        <f>IF(A460="","",IF(COUNTIF($A$6:$A$504,A460)&gt;1,"⚠ Duplicate",""))</f>
        <v/>
      </c>
      <c r="AC460" s="42" t="n"/>
      <c r="AD460" s="42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32" t="n"/>
      <c r="AA461" s="32" t="n"/>
      <c r="AB461" s="36">
        <f>IF(A461="","",IF(COUNTIF($A$6:$A$504,A461)&gt;1,"⚠ Duplicate",""))</f>
        <v/>
      </c>
      <c r="AC461" s="43" t="n"/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38" t="n"/>
      <c r="AA462" s="38" t="n"/>
      <c r="AB462" s="41">
        <f>IF(A462="","",IF(COUNTIF($A$6:$A$504,A462)&gt;1,"⚠ Duplicate",""))</f>
        <v/>
      </c>
      <c r="AC462" s="42" t="n"/>
      <c r="AD462" s="42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32" t="n"/>
      <c r="AA463" s="32" t="n"/>
      <c r="AB463" s="36">
        <f>IF(A463="","",IF(COUNTIF($A$6:$A$504,A463)&gt;1,"⚠ Duplicate",""))</f>
        <v/>
      </c>
      <c r="AC463" s="43" t="n"/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38" t="n"/>
      <c r="AA464" s="38" t="n"/>
      <c r="AB464" s="41">
        <f>IF(A464="","",IF(COUNTIF($A$6:$A$504,A464)&gt;1,"⚠ Duplicate",""))</f>
        <v/>
      </c>
      <c r="AC464" s="42" t="n"/>
      <c r="AD464" s="42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32" t="n"/>
      <c r="AA465" s="32" t="n"/>
      <c r="AB465" s="36">
        <f>IF(A465="","",IF(COUNTIF($A$6:$A$504,A465)&gt;1,"⚠ Duplicate",""))</f>
        <v/>
      </c>
      <c r="AC465" s="43" t="n"/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38" t="n"/>
      <c r="AA466" s="38" t="n"/>
      <c r="AB466" s="41">
        <f>IF(A466="","",IF(COUNTIF($A$6:$A$504,A466)&gt;1,"⚠ Duplicate",""))</f>
        <v/>
      </c>
      <c r="AC466" s="42" t="n"/>
      <c r="AD466" s="42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32" t="n"/>
      <c r="AA467" s="32" t="n"/>
      <c r="AB467" s="36">
        <f>IF(A467="","",IF(COUNTIF($A$6:$A$504,A467)&gt;1,"⚠ Duplicate",""))</f>
        <v/>
      </c>
      <c r="AC467" s="43" t="n"/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38" t="n"/>
      <c r="AA468" s="38" t="n"/>
      <c r="AB468" s="41">
        <f>IF(A468="","",IF(COUNTIF($A$6:$A$504,A468)&gt;1,"⚠ Duplicate",""))</f>
        <v/>
      </c>
      <c r="AC468" s="42" t="n"/>
      <c r="AD468" s="42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32" t="n"/>
      <c r="AA469" s="32" t="n"/>
      <c r="AB469" s="36">
        <f>IF(A469="","",IF(COUNTIF($A$6:$A$504,A469)&gt;1,"⚠ Duplicate",""))</f>
        <v/>
      </c>
      <c r="AC469" s="43" t="n"/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38" t="n"/>
      <c r="AA470" s="38" t="n"/>
      <c r="AB470" s="41">
        <f>IF(A470="","",IF(COUNTIF($A$6:$A$504,A470)&gt;1,"⚠ Duplicate",""))</f>
        <v/>
      </c>
      <c r="AC470" s="42" t="n"/>
      <c r="AD470" s="42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32" t="n"/>
      <c r="AA471" s="32" t="n"/>
      <c r="AB471" s="36">
        <f>IF(A471="","",IF(COUNTIF($A$6:$A$504,A471)&gt;1,"⚠ Duplicate",""))</f>
        <v/>
      </c>
      <c r="AC471" s="43" t="n"/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38" t="n"/>
      <c r="AA472" s="38" t="n"/>
      <c r="AB472" s="41">
        <f>IF(A472="","",IF(COUNTIF($A$6:$A$504,A472)&gt;1,"⚠ Duplicate",""))</f>
        <v/>
      </c>
      <c r="AC472" s="42" t="n"/>
      <c r="AD472" s="42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32" t="n"/>
      <c r="AA473" s="32" t="n"/>
      <c r="AB473" s="36">
        <f>IF(A473="","",IF(COUNTIF($A$6:$A$504,A473)&gt;1,"⚠ Duplicate",""))</f>
        <v/>
      </c>
      <c r="AC473" s="43" t="n"/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38" t="n"/>
      <c r="AA474" s="38" t="n"/>
      <c r="AB474" s="41">
        <f>IF(A474="","",IF(COUNTIF($A$6:$A$504,A474)&gt;1,"⚠ Duplicate",""))</f>
        <v/>
      </c>
      <c r="AC474" s="42" t="n"/>
      <c r="AD474" s="42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32" t="n"/>
      <c r="AA475" s="32" t="n"/>
      <c r="AB475" s="36">
        <f>IF(A475="","",IF(COUNTIF($A$6:$A$504,A475)&gt;1,"⚠ Duplicate",""))</f>
        <v/>
      </c>
      <c r="AC475" s="43" t="n"/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38" t="n"/>
      <c r="AA476" s="38" t="n"/>
      <c r="AB476" s="41">
        <f>IF(A476="","",IF(COUNTIF($A$6:$A$504,A476)&gt;1,"⚠ Duplicate",""))</f>
        <v/>
      </c>
      <c r="AC476" s="42" t="n"/>
      <c r="AD476" s="42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32" t="n"/>
      <c r="AA477" s="32" t="n"/>
      <c r="AB477" s="36">
        <f>IF(A477="","",IF(COUNTIF($A$6:$A$504,A477)&gt;1,"⚠ Duplicate",""))</f>
        <v/>
      </c>
      <c r="AC477" s="43" t="n"/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38" t="n"/>
      <c r="AA478" s="38" t="n"/>
      <c r="AB478" s="41">
        <f>IF(A478="","",IF(COUNTIF($A$6:$A$504,A478)&gt;1,"⚠ Duplicate",""))</f>
        <v/>
      </c>
      <c r="AC478" s="42" t="n"/>
      <c r="AD478" s="42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32" t="n"/>
      <c r="AA479" s="32" t="n"/>
      <c r="AB479" s="36">
        <f>IF(A479="","",IF(COUNTIF($A$6:$A$504,A479)&gt;1,"⚠ Duplicate",""))</f>
        <v/>
      </c>
      <c r="AC479" s="43" t="n"/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38" t="n"/>
      <c r="AA480" s="38" t="n"/>
      <c r="AB480" s="41">
        <f>IF(A480="","",IF(COUNTIF($A$6:$A$504,A480)&gt;1,"⚠ Duplicate",""))</f>
        <v/>
      </c>
      <c r="AC480" s="42" t="n"/>
      <c r="AD480" s="42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32" t="n"/>
      <c r="AA481" s="32" t="n"/>
      <c r="AB481" s="36">
        <f>IF(A481="","",IF(COUNTIF($A$6:$A$504,A481)&gt;1,"⚠ Duplicate",""))</f>
        <v/>
      </c>
      <c r="AC481" s="43" t="n"/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38" t="n"/>
      <c r="AA482" s="38" t="n"/>
      <c r="AB482" s="41">
        <f>IF(A482="","",IF(COUNTIF($A$6:$A$504,A482)&gt;1,"⚠ Duplicate",""))</f>
        <v/>
      </c>
      <c r="AC482" s="42" t="n"/>
      <c r="AD482" s="42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32" t="n"/>
      <c r="AA483" s="32" t="n"/>
      <c r="AB483" s="36">
        <f>IF(A483="","",IF(COUNTIF($A$6:$A$504,A483)&gt;1,"⚠ Duplicate",""))</f>
        <v/>
      </c>
      <c r="AC483" s="43" t="n"/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38" t="n"/>
      <c r="AA484" s="38" t="n"/>
      <c r="AB484" s="41">
        <f>IF(A484="","",IF(COUNTIF($A$6:$A$504,A484)&gt;1,"⚠ Duplicate",""))</f>
        <v/>
      </c>
      <c r="AC484" s="42" t="n"/>
      <c r="AD484" s="42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32" t="n"/>
      <c r="AA485" s="32" t="n"/>
      <c r="AB485" s="36">
        <f>IF(A485="","",IF(COUNTIF($A$6:$A$504,A485)&gt;1,"⚠ Duplicate",""))</f>
        <v/>
      </c>
      <c r="AC485" s="43" t="n"/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38" t="n"/>
      <c r="AA486" s="38" t="n"/>
      <c r="AB486" s="41">
        <f>IF(A486="","",IF(COUNTIF($A$6:$A$504,A486)&gt;1,"⚠ Duplicate",""))</f>
        <v/>
      </c>
      <c r="AC486" s="42" t="n"/>
      <c r="AD486" s="42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32" t="n"/>
      <c r="AA487" s="32" t="n"/>
      <c r="AB487" s="36">
        <f>IF(A487="","",IF(COUNTIF($A$6:$A$504,A487)&gt;1,"⚠ Duplicate",""))</f>
        <v/>
      </c>
      <c r="AC487" s="43" t="n"/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38" t="n"/>
      <c r="AA488" s="38" t="n"/>
      <c r="AB488" s="41">
        <f>IF(A488="","",IF(COUNTIF($A$6:$A$504,A488)&gt;1,"⚠ Duplicate",""))</f>
        <v/>
      </c>
      <c r="AC488" s="42" t="n"/>
      <c r="AD488" s="42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32" t="n"/>
      <c r="AA489" s="32" t="n"/>
      <c r="AB489" s="36">
        <f>IF(A489="","",IF(COUNTIF($A$6:$A$504,A489)&gt;1,"⚠ Duplicate",""))</f>
        <v/>
      </c>
      <c r="AC489" s="43" t="n"/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38" t="n"/>
      <c r="AA490" s="38" t="n"/>
      <c r="AB490" s="41">
        <f>IF(A490="","",IF(COUNTIF($A$6:$A$504,A490)&gt;1,"⚠ Duplicate",""))</f>
        <v/>
      </c>
      <c r="AC490" s="42" t="n"/>
      <c r="AD490" s="42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32" t="n"/>
      <c r="AA491" s="32" t="n"/>
      <c r="AB491" s="36">
        <f>IF(A491="","",IF(COUNTIF($A$6:$A$504,A491)&gt;1,"⚠ Duplicate",""))</f>
        <v/>
      </c>
      <c r="AC491" s="43" t="n"/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38" t="n"/>
      <c r="AA492" s="38" t="n"/>
      <c r="AB492" s="41">
        <f>IF(A492="","",IF(COUNTIF($A$6:$A$504,A492)&gt;1,"⚠ Duplicate",""))</f>
        <v/>
      </c>
      <c r="AC492" s="42" t="n"/>
      <c r="AD492" s="42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32" t="n"/>
      <c r="AA493" s="32" t="n"/>
      <c r="AB493" s="36">
        <f>IF(A493="","",IF(COUNTIF($A$6:$A$504,A493)&gt;1,"⚠ Duplicate",""))</f>
        <v/>
      </c>
      <c r="AC493" s="43" t="n"/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38" t="n"/>
      <c r="AA494" s="38" t="n"/>
      <c r="AB494" s="41">
        <f>IF(A494="","",IF(COUNTIF($A$6:$A$504,A494)&gt;1,"⚠ Duplicate",""))</f>
        <v/>
      </c>
      <c r="AC494" s="42" t="n"/>
      <c r="AD494" s="42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32" t="n"/>
      <c r="AA495" s="32" t="n"/>
      <c r="AB495" s="36">
        <f>IF(A495="","",IF(COUNTIF($A$6:$A$504,A495)&gt;1,"⚠ Duplicate",""))</f>
        <v/>
      </c>
      <c r="AC495" s="43" t="n"/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38" t="n"/>
      <c r="AA496" s="38" t="n"/>
      <c r="AB496" s="41">
        <f>IF(A496="","",IF(COUNTIF($A$6:$A$504,A496)&gt;1,"⚠ Duplicate",""))</f>
        <v/>
      </c>
      <c r="AC496" s="42" t="n"/>
      <c r="AD496" s="42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32" t="n"/>
      <c r="AA497" s="32" t="n"/>
      <c r="AB497" s="36">
        <f>IF(A497="","",IF(COUNTIF($A$6:$A$504,A497)&gt;1,"⚠ Duplicate",""))</f>
        <v/>
      </c>
      <c r="AC497" s="43" t="n"/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38" t="n"/>
      <c r="AA498" s="38" t="n"/>
      <c r="AB498" s="41">
        <f>IF(A498="","",IF(COUNTIF($A$6:$A$504,A498)&gt;1,"⚠ Duplicate",""))</f>
        <v/>
      </c>
      <c r="AC498" s="42" t="n"/>
      <c r="AD498" s="42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32" t="n"/>
      <c r="AA499" s="32" t="n"/>
      <c r="AB499" s="36">
        <f>IF(A499="","",IF(COUNTIF($A$6:$A$504,A499)&gt;1,"⚠ Duplicate",""))</f>
        <v/>
      </c>
      <c r="AC499" s="43" t="n"/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38" t="n"/>
      <c r="AA500" s="38" t="n"/>
      <c r="AB500" s="41">
        <f>IF(A500="","",IF(COUNTIF($A$6:$A$504,A500)&gt;1,"⚠ Duplicate",""))</f>
        <v/>
      </c>
      <c r="AC500" s="42" t="n"/>
      <c r="AD500" s="42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32" t="n"/>
      <c r="AA501" s="32" t="n"/>
      <c r="AB501" s="36">
        <f>IF(A501="","",IF(COUNTIF($A$6:$A$504,A501)&gt;1,"⚠ Duplicate",""))</f>
        <v/>
      </c>
      <c r="AC501" s="43" t="n"/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38" t="n"/>
      <c r="AA502" s="38" t="n"/>
      <c r="AB502" s="41">
        <f>IF(A502="","",IF(COUNTIF($A$6:$A$504,A502)&gt;1,"⚠ Duplicate",""))</f>
        <v/>
      </c>
      <c r="AC502" s="42" t="n"/>
      <c r="AD502" s="42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32" t="n"/>
      <c r="AA503" s="32" t="n"/>
      <c r="AB503" s="36">
        <f>IF(A503="","",IF(COUNTIF($A$6:$A$504,A503)&gt;1,"⚠ Duplicate",""))</f>
        <v/>
      </c>
      <c r="AC503" s="43" t="n"/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38" t="n"/>
      <c r="AA504" s="38" t="n"/>
      <c r="AB504" s="41">
        <f>IF(A504="","",IF(COUNTIF($A$6:$A$504,A504)&gt;1,"⚠ Duplicate",""))</f>
        <v/>
      </c>
      <c r="AC504" s="42" t="n"/>
      <c r="AD504" s="42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</row>
  </sheetData>
  <autoFilter ref="A1:AP504">
    <filterColumn colId="28" hiddenButton="0" showButton="0"/>
    <filterColumn colId="29" hiddenButton="0" showButton="0"/>
    <filterColumn colId="30" hiddenButton="0" showButton="0"/>
    <filterColumn colId="31" hiddenButton="0" showButton="0"/>
    <filterColumn colId="32" hiddenButton="0" showButton="0"/>
    <filterColumn colId="33" hiddenButton="0" showButton="0"/>
    <filterColumn colId="34" hiddenButton="0" showButton="0"/>
    <filterColumn colId="35" hiddenButton="0" showButton="0"/>
    <filterColumn colId="36" hiddenButton="0" showButton="0"/>
    <filterColumn colId="37" hiddenButton="0" showButton="0"/>
    <filterColumn colId="38" hiddenButton="0" showButton="0"/>
    <filterColumn colId="39" hiddenButton="0" showButton="0"/>
    <filterColumn colId="40" hiddenButton="0" showButton="0"/>
  </autoFilter>
  <mergeCells count="14">
    <mergeCell ref="O3:P3"/>
    <mergeCell ref="Q4:T4"/>
    <mergeCell ref="Z3:AB3"/>
    <mergeCell ref="AA2:AB2"/>
    <mergeCell ref="U4:V4"/>
    <mergeCell ref="X3:Y3"/>
    <mergeCell ref="M3:N3"/>
    <mergeCell ref="AC1:AP3"/>
    <mergeCell ref="A3:F3"/>
    <mergeCell ref="A2:Z2"/>
    <mergeCell ref="G3:H3"/>
    <mergeCell ref="Q3:V3"/>
    <mergeCell ref="K3:L3"/>
    <mergeCell ref="I3:J3"/>
  </mergeCells>
  <conditionalFormatting sqref="A6:AP504">
    <cfRule type="expression" priority="8" dxfId="2">
      <formula>$F6="Yes"</formula>
    </cfRule>
  </conditionalFormatting>
  <conditionalFormatting sqref="A6:A504">
    <cfRule type="expression" priority="9" dxfId="1">
      <formula>AND(A6&lt;&gt;"",COUNTIF($A$6:$A$504,A6)&gt;1)</formula>
    </cfRule>
  </conditionalFormatting>
  <conditionalFormatting sqref="AC36:AP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5:AP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7:AP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8:AP3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0:AP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8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C6:AP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.6640625" customWidth="1" style="74" min="23" max="23"/>
  </cols>
  <sheetData>
    <row r="1" ht="36" customHeight="1" s="74">
      <c r="A1" s="157" t="inlineStr">
        <is>
          <t>DEMATIC  | Project Search &amp; Schedule Estimator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58" t="inlineStr">
        <is>
          <t>All</t>
        </is>
      </c>
      <c r="M5" s="159" t="n"/>
      <c r="N5" s="159" t="n"/>
      <c r="O5" s="159" t="n"/>
      <c r="P5" s="159" t="n"/>
      <c r="Q5" s="160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58" t="n"/>
      <c r="M6" s="159" t="n"/>
      <c r="N6" s="159" t="n"/>
      <c r="O6" s="159" t="n"/>
      <c r="P6" s="159" t="n"/>
      <c r="Q6" s="160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1" t="n"/>
      <c r="M7" s="159" t="n"/>
      <c r="N7" s="159" t="n"/>
      <c r="O7" s="159" t="n"/>
      <c r="P7" s="159" t="n"/>
      <c r="Q7" s="160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58" t="inlineStr">
        <is>
          <t>All</t>
        </is>
      </c>
      <c r="M8" s="159" t="n"/>
      <c r="N8" s="159" t="n"/>
      <c r="O8" s="159" t="n"/>
      <c r="P8" s="159" t="n"/>
      <c r="Q8" s="160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2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3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4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5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</row>
    <row r="22" ht="14.25" customHeight="1" s="74">
      <c r="A22" s="3" t="n"/>
    </row>
    <row r="23" ht="24" customHeight="1" s="74">
      <c r="A23" s="165" t="inlineStr">
        <is>
          <t xml:space="preserve">  📅  ESTIMATED SCHEDULE &amp; MANHOUR COST  —  from closest match</t>
        </is>
      </c>
      <c r="R23" s="3" t="n"/>
      <c r="S23" s="3" t="n"/>
      <c r="T23" s="3" t="n"/>
      <c r="U23" s="3" t="n"/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3" t="n"/>
      <c r="S24" s="3" t="n"/>
      <c r="T24" s="3" t="n"/>
      <c r="U24" s="3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3" t="n"/>
      <c r="S25" s="3" t="n"/>
      <c r="T25" s="3" t="n"/>
      <c r="U25" s="3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IFERROR(INDEX('Project Database'!C:C,MATCH(INDEX(_Helper!A2:A501,MATCH(LARGE(_Helper!BH2:BH501,1),_Helper!BH2:BH501,0)),'Project Database'!A:A,0)),"-")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3" t="n"/>
      <c r="S26" s="3" t="n"/>
      <c r="T26" s="3" t="n"/>
      <c r="U26" s="3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  <c r="O27" s="3" t="n"/>
      <c r="P27" s="3" t="n"/>
      <c r="Q27" s="3" t="n"/>
      <c r="R27" s="3" t="n"/>
      <c r="S27" s="3" t="n"/>
      <c r="T27" s="3" t="n"/>
      <c r="U27" s="3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  <c r="O28" s="3" t="n"/>
      <c r="P28" s="3" t="n"/>
      <c r="Q28" s="3" t="n"/>
      <c r="R28" s="3" t="n"/>
      <c r="S28" s="3" t="n"/>
      <c r="T28" s="3" t="n"/>
      <c r="U28" s="3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  <c r="O29" s="3" t="n"/>
      <c r="P29" s="3" t="n"/>
      <c r="Q29" s="3" t="n"/>
      <c r="R29" s="3" t="n"/>
      <c r="S29" s="3" t="n"/>
      <c r="T29" s="3" t="n"/>
      <c r="U29" s="3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  <c r="O30" s="3" t="n"/>
      <c r="P30" s="3" t="n"/>
      <c r="Q30" s="3" t="n"/>
      <c r="R30" s="3" t="n"/>
      <c r="S30" s="3" t="n"/>
      <c r="T30" s="3" t="n"/>
      <c r="U30" s="3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  <c r="O31" s="3" t="n"/>
      <c r="P31" s="3" t="n"/>
      <c r="Q31" s="3" t="n"/>
      <c r="R31" s="3" t="n"/>
      <c r="S31" s="3" t="n"/>
      <c r="T31" s="3" t="n"/>
      <c r="U31" s="3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  <c r="O32" s="3" t="n"/>
      <c r="P32" s="3" t="n"/>
      <c r="Q32" s="3" t="n"/>
      <c r="R32" s="3" t="n"/>
      <c r="S32" s="3" t="n"/>
      <c r="T32" s="3" t="n"/>
      <c r="U32" s="3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  <c r="O33" s="3" t="n"/>
      <c r="P33" s="3" t="n"/>
      <c r="Q33" s="3" t="n"/>
      <c r="R33" s="3" t="n"/>
      <c r="S33" s="3" t="n"/>
      <c r="T33" s="3" t="n"/>
      <c r="U33" s="3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3" t="n"/>
      <c r="P34" s="3" t="n"/>
      <c r="Q34" s="3" t="n"/>
      <c r="R34" s="3" t="n"/>
      <c r="S34" s="3" t="n"/>
      <c r="T34" s="3" t="n"/>
      <c r="U34" s="3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% of Project Cost</t>
        </is>
      </c>
      <c r="L35" s="88" t="n"/>
      <c r="M35" s="88" t="n"/>
      <c r="N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IFERROR(IF(INDEX(_Helper!A2:A501,MATCH(LARGE(_Helper!BH2:BH501,1),_Helper!BH2:BH501,0))="","-",INDEX(_Helper!BJ2:BJ501,MATCH(LARGE(_Helper!BH2:BH501,1),_Helper!BH2:BH501,0))),"-")</f>
        <v/>
      </c>
      <c r="L36" s="94" t="n"/>
      <c r="M36" s="94" t="n"/>
      <c r="N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IFERROR(IF(INDEX(_Helper!A2:A501,MATCH(LARGE(_Helper!BH2:BH501,1),_Helper!BH2:BH501,0))="","-",INDEX(_Helper!BK2:BK501,MATCH(LARGE(_Helper!BH2:BH501,1),_Helper!BH2:BH501,0))),"-")</f>
        <v/>
      </c>
      <c r="L37" s="94" t="n"/>
      <c r="M37" s="94" t="n"/>
      <c r="N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IFERROR(IF(INDEX(_Helper!A2:A501,MATCH(LARGE(_Helper!BH2:BH501,1),_Helper!BH2:BH501,0))="","-",INDEX(_Helper!BL2:BL501,MATCH(LARGE(_Helper!BH2:BH501,1),_Helper!BH2:BH501,0))),"-")</f>
        <v/>
      </c>
      <c r="L38" s="94" t="n"/>
      <c r="M38" s="94" t="n"/>
      <c r="N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IFERROR(IF(INDEX(_Helper!A2:A501,MATCH(LARGE(_Helper!BH2:BH501,1),_Helper!BH2:BH501,0))="","-",INDEX(_Helper!BM2:BM501,MATCH(LARGE(_Helper!BH2:BH501,1),_Helper!BH2:BH501,0))),"-")</f>
        <v/>
      </c>
      <c r="L39" s="94" t="n"/>
      <c r="M39" s="94" t="n"/>
      <c r="N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IFERROR(IF(INDEX(_Helper!A2:A501,MATCH(LARGE(_Helper!BH2:BH501,1),_Helper!BH2:BH501,0))="","-",INDEX(_Helper!BN2:BN501,MATCH(LARGE(_Helper!BH2:BH501,1),_Helper!BH2:BH501,0))),"-")</f>
        <v/>
      </c>
      <c r="L40" s="94" t="n"/>
      <c r="M40" s="94" t="n"/>
      <c r="N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IFERROR(IF(INDEX(_Helper!A2:A501,MATCH(LARGE(_Helper!BH2:BH501,1),_Helper!BH2:BH501,0))="","-",INDEX(_Helper!BO2:BO501,MATCH(LARGE(_Helper!BH2:BH501,1),_Helper!BH2:BH501,0))),"-")</f>
        <v/>
      </c>
      <c r="L41" s="94" t="n"/>
      <c r="M41" s="94" t="n"/>
      <c r="N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IFERROR(IF(INDEX(_Helper!A2:A501,MATCH(LARGE(_Helper!BH2:BH501,1),_Helper!BH2:BH501,0))="","-",INDEX(_Helper!BP2:BP501,MATCH(LARGE(_Helper!BH2:BH501,1),_Helper!BH2:BH501,0))),"-")</f>
        <v/>
      </c>
      <c r="L42" s="94" t="n"/>
      <c r="M42" s="94" t="n"/>
      <c r="N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IFERROR(IF(INDEX(_Helper!A2:A501,MATCH(LARGE(_Helper!BH2:BH501,1),_Helper!BH2:BH501,0))="","-",INDEX(_Helper!BQ2:BQ501,MATCH(LARGE(_Helper!BH2:BH501,1),_Helper!BH2:BH501,0))),"-")</f>
        <v/>
      </c>
      <c r="L43" s="94" t="n"/>
      <c r="M43" s="94" t="n"/>
      <c r="N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IFERROR(IF(INDEX(_Helper!A2:A501,MATCH(LARGE(_Helper!BH2:BH501,1),_Helper!BH2:BH501,0))="","-",INDEX(_Helper!BR2:BR501,MATCH(LARGE(_Helper!BH2:BH501,1),_Helper!BH2:BH501,0))),"-")</f>
        <v/>
      </c>
      <c r="L44" s="94" t="n"/>
      <c r="M44" s="94" t="n"/>
      <c r="N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IFERROR(IF(INDEX(_Helper!A2:A501,MATCH(LARGE(_Helper!BH2:BH501,1),_Helper!BH2:BH501,0))="","-",INDEX(_Helper!BS2:BS501,MATCH(LARGE(_Helper!BH2:BH501,1),_Helper!BH2:BH501,0))),"-")</f>
        <v/>
      </c>
      <c r="L45" s="94" t="n"/>
      <c r="M45" s="94" t="n"/>
      <c r="N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IFERROR(IF(INDEX(_Helper!A2:A501,MATCH(LARGE(_Helper!BH2:BH501,1),_Helper!BH2:BH501,0))="","-",INDEX(_Helper!BT2:BT501,MATCH(LARGE(_Helper!BH2:BH501,1),_Helper!BH2:BH501,0))),"-")</f>
        <v/>
      </c>
      <c r="L46" s="94" t="n"/>
      <c r="M46" s="94" t="n"/>
      <c r="N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IFERROR(IF(INDEX(_Helper!A2:A501,MATCH(LARGE(_Helper!BH2:BH501,1),_Helper!BH2:BH501,0))="","-",INDEX(_Helper!BU2:BU501,MATCH(LARGE(_Helper!BH2:BH501,1),_Helper!BH2:BH501,0))),"-")</f>
        <v/>
      </c>
      <c r="L47" s="94" t="n"/>
      <c r="M47" s="94" t="n"/>
      <c r="N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IFERROR(IF(INDEX(_Helper!A2:A501,MATCH(LARGE(_Helper!BH2:BH501,1),_Helper!BH2:BH501,0))="","-",INDEX(_Helper!BV2:BV501,MATCH(LARGE(_Helper!BH2:BH501,1),_Helper!BH2:BH501,0))),"-")</f>
        <v/>
      </c>
      <c r="L48" s="94" t="n"/>
      <c r="M48" s="94" t="n"/>
      <c r="N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IFERROR(IF(INDEX(_Helper!A2:A501,MATCH(LARGE(_Helper!BH2:BH501,1),_Helper!BH2:BH501,0))="","-",INDEX(_Helper!BW2:BW501,MATCH(LARGE(_Helper!BH2:BH501,1),_Helper!BH2:BH501,0))),"-")</f>
        <v/>
      </c>
      <c r="L49" s="94" t="n"/>
      <c r="M49" s="94" t="n"/>
      <c r="N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IFERROR(IF(INDEX(_Helper!A2:A501,MATCH(LARGE(_Helper!BH2:BH501,1),_Helper!BH2:BH501,0))="","-",INDEX(_Helper!BX2:BX501,MATCH(LARGE(_Helper!BH2:BH501,1),_Helper!BH2:BH501,0))),"-")</f>
        <v/>
      </c>
      <c r="L50" s="94" t="n"/>
      <c r="M50" s="94" t="n"/>
      <c r="N50" s="94" t="n"/>
    </row>
    <row r="51" ht="15.75" customHeight="1" s="74">
      <c r="R51" s="3" t="n"/>
      <c r="S51" s="3" t="n"/>
      <c r="T51" s="3" t="n"/>
      <c r="U51" s="3" t="n"/>
    </row>
    <row r="52" ht="15" customHeight="1" s="74">
      <c r="A52" s="3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3" t="n"/>
      <c r="R52" s="3" t="n"/>
      <c r="S52" s="3" t="n"/>
      <c r="T52" s="3" t="n"/>
      <c r="U52" s="3" t="n"/>
    </row>
    <row r="53" ht="21.75" customHeight="1" s="74">
      <c r="A53" s="165" t="inlineStr">
        <is>
          <t xml:space="preserve">  SYSTEM MATCH SCORECARD  —  closest match breakdown</t>
        </is>
      </c>
      <c r="R53" s="3" t="n"/>
      <c r="S53" s="3" t="n"/>
      <c r="T53" s="3" t="n"/>
      <c r="U53" s="3" t="n"/>
    </row>
    <row r="54" ht="19.5" customHeight="1" s="74">
      <c r="A54" s="127" t="inlineStr">
        <is>
          <t>System</t>
        </is>
      </c>
      <c r="B54" s="88" t="n"/>
      <c r="C54" s="88" t="n"/>
      <c r="D54" s="88" t="n"/>
      <c r="E54" s="88" t="n"/>
      <c r="F54" s="87" t="inlineStr">
        <is>
          <t>Score</t>
        </is>
      </c>
      <c r="G54" s="88" t="n"/>
      <c r="H54" s="88" t="n"/>
      <c r="I54" s="87" t="inlineStr">
        <is>
          <t>Status</t>
        </is>
      </c>
      <c r="J54" s="88" t="n"/>
      <c r="K54" s="88" t="n"/>
      <c r="L54" s="87" t="inlineStr">
        <is>
          <t>Match Strength  ◀──────────────▶</t>
        </is>
      </c>
      <c r="M54" s="88" t="n"/>
      <c r="N54" s="88" t="n"/>
      <c r="O54" s="88" t="n"/>
      <c r="P54" s="88" t="n"/>
      <c r="Q54" s="88" t="n"/>
      <c r="R54" s="3" t="n"/>
      <c r="S54" s="3" t="n"/>
      <c r="T54" s="3" t="n"/>
      <c r="U54" s="3" t="n"/>
    </row>
    <row r="55" ht="24" customHeight="1" s="74">
      <c r="A55" s="95" t="inlineStr">
        <is>
          <t>Multishuttle</t>
        </is>
      </c>
      <c r="B55" s="72" t="n"/>
      <c r="C55" s="72" t="n"/>
      <c r="D55" s="72" t="n"/>
      <c r="E55" s="72" t="n"/>
      <c r="F55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94" t="n"/>
      <c r="H55" s="94" t="n"/>
      <c r="I55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91" t="n"/>
      <c r="K55" s="91" t="n"/>
      <c r="L55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91" t="n"/>
      <c r="N55" s="91" t="n"/>
      <c r="O55" s="91" t="n"/>
      <c r="P55" s="91" t="n"/>
      <c r="Q55" s="91" t="n"/>
      <c r="R55" s="3" t="n"/>
      <c r="S55" s="3" t="n"/>
      <c r="T55" s="3" t="n"/>
      <c r="U55" s="3" t="n"/>
    </row>
    <row r="56" ht="24" customHeight="1" s="74">
      <c r="A56" s="131" t="inlineStr">
        <is>
          <t>AutoStore</t>
        </is>
      </c>
      <c r="B56" s="72" t="n"/>
      <c r="C56" s="72" t="n"/>
      <c r="D56" s="72" t="n"/>
      <c r="E56" s="72" t="n"/>
      <c r="F56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94" t="n"/>
      <c r="H56" s="94" t="n"/>
      <c r="I56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91" t="n"/>
      <c r="K56" s="91" t="n"/>
      <c r="L56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91" t="n"/>
      <c r="N56" s="91" t="n"/>
      <c r="O56" s="91" t="n"/>
      <c r="P56" s="91" t="n"/>
      <c r="Q56" s="91" t="n"/>
      <c r="R56" s="3" t="n"/>
      <c r="S56" s="3" t="n"/>
      <c r="T56" s="3" t="n"/>
      <c r="U56" s="3" t="n"/>
    </row>
    <row r="57" ht="24" customHeight="1" s="74">
      <c r="A57" s="105" t="inlineStr">
        <is>
          <t>Pallet Shuttle</t>
        </is>
      </c>
      <c r="B57" s="72" t="n"/>
      <c r="C57" s="72" t="n"/>
      <c r="D57" s="72" t="n"/>
      <c r="E57" s="72" t="n"/>
      <c r="F57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94" t="n"/>
      <c r="H57" s="94" t="n"/>
      <c r="I57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91" t="n"/>
      <c r="K57" s="91" t="n"/>
      <c r="L57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91" t="n"/>
      <c r="N57" s="91" t="n"/>
      <c r="O57" s="91" t="n"/>
      <c r="P57" s="91" t="n"/>
      <c r="Q57" s="91" t="n"/>
      <c r="R57" s="3" t="n"/>
      <c r="S57" s="3" t="n"/>
      <c r="T57" s="3" t="n"/>
      <c r="U57" s="3" t="n"/>
    </row>
    <row r="58" ht="24" customHeight="1" s="74">
      <c r="A58" s="133" t="inlineStr">
        <is>
          <t>SRM Crane</t>
        </is>
      </c>
      <c r="B58" s="72" t="n"/>
      <c r="C58" s="72" t="n"/>
      <c r="D58" s="72" t="n"/>
      <c r="E58" s="72" t="n"/>
      <c r="F58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94" t="n"/>
      <c r="H58" s="94" t="n"/>
      <c r="I58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91" t="n"/>
      <c r="K58" s="91" t="n"/>
      <c r="L58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89" t="inlineStr">
        <is>
          <t>Conveyors</t>
        </is>
      </c>
      <c r="B59" s="72" t="n"/>
      <c r="C59" s="72" t="n"/>
      <c r="D59" s="72" t="n"/>
      <c r="E59" s="72" t="n"/>
      <c r="F59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94" t="n"/>
      <c r="H59" s="94" t="n"/>
      <c r="I59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2" t="inlineStr">
        <is>
          <t>Keywords</t>
        </is>
      </c>
      <c r="B60" s="72" t="n"/>
      <c r="C60" s="72" t="n"/>
      <c r="D60" s="72" t="n"/>
      <c r="E60" s="72" t="n"/>
      <c r="F60" s="126">
        <f>IF('Smart Search'!G13=0,"—",TEXT(IFERROR(INDEX(_Helper!BD2:BD501,MATCH(LARGE(_Helper!BH2:BH501,1),_Helper!BH2:BH501,0))/IFERROR(1/'Smart Search'!H13,0),0),"0%"))</f>
        <v/>
      </c>
      <c r="G60" s="94" t="n"/>
      <c r="H60" s="94" t="n"/>
      <c r="I60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91" t="n"/>
      <c r="K60" s="91" t="n"/>
      <c r="L60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15.75" customHeight="1" s="74">
      <c r="A61" s="166" t="inlineStr">
        <is>
          <t xml:space="preserve">  ✅ Strong ≥ 70%     🟡 Partial 30–69%     ❌ Weak &lt; 30%     — System not included in search</t>
        </is>
      </c>
      <c r="R61" s="3" t="n"/>
      <c r="S61" s="3" t="n"/>
      <c r="T61" s="3" t="n"/>
      <c r="U61" s="3" t="n"/>
    </row>
  </sheetData>
  <mergeCells count="108">
    <mergeCell ref="I54:K54"/>
    <mergeCell ref="K48:N48"/>
    <mergeCell ref="I10:Q11"/>
    <mergeCell ref="I56:K56"/>
    <mergeCell ref="L8:Q8"/>
    <mergeCell ref="A43:J43"/>
    <mergeCell ref="K38:N38"/>
    <mergeCell ref="L54:Q54"/>
    <mergeCell ref="K49:N49"/>
    <mergeCell ref="I8:K8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A32:J32"/>
    <mergeCell ref="L5:Q5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A14:U14"/>
    <mergeCell ref="A55:E55"/>
    <mergeCell ref="A1:G1"/>
    <mergeCell ref="I9:Q9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58:E58"/>
    <mergeCell ref="F59:H59"/>
    <mergeCell ref="A42:J42"/>
    <mergeCell ref="F55:H55"/>
    <mergeCell ref="K27:N27"/>
    <mergeCell ref="A47:J47"/>
    <mergeCell ref="E10:G10"/>
    <mergeCell ref="K42:N42"/>
    <mergeCell ref="A60:E60"/>
    <mergeCell ref="O25:Q25"/>
    <mergeCell ref="A28:J28"/>
    <mergeCell ref="K28:N28"/>
    <mergeCell ref="A61:Q61"/>
    <mergeCell ref="I55:K55"/>
    <mergeCell ref="I5:K5"/>
    <mergeCell ref="A30:J30"/>
    <mergeCell ref="K25:N25"/>
    <mergeCell ref="F58:H58"/>
    <mergeCell ref="K30:N30"/>
    <mergeCell ref="L6:Q6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L7:Q7"/>
    <mergeCell ref="K40:N40"/>
    <mergeCell ref="A15:U15"/>
    <mergeCell ref="A53:Q53"/>
    <mergeCell ref="A27:J27"/>
    <mergeCell ref="A2:G2"/>
    <mergeCell ref="I57:K57"/>
    <mergeCell ref="I7:K7"/>
    <mergeCell ref="A33:J33"/>
    <mergeCell ref="A59:E59"/>
    <mergeCell ref="O26:Q26"/>
    <mergeCell ref="A35:J35"/>
    <mergeCell ref="I58:K58"/>
    <mergeCell ref="I12:Q12"/>
    <mergeCell ref="L58:Q58"/>
    <mergeCell ref="A54:E54"/>
    <mergeCell ref="K34:N34"/>
    <mergeCell ref="A39:J39"/>
    <mergeCell ref="L60:Q60"/>
    <mergeCell ref="F56:H56"/>
    <mergeCell ref="A48:J48"/>
    <mergeCell ref="E26:J26"/>
    <mergeCell ref="A56:E56"/>
    <mergeCell ref="I4:Q4"/>
    <mergeCell ref="A45:J45"/>
    <mergeCell ref="L59:Q59"/>
    <mergeCell ref="K36:N36"/>
    <mergeCell ref="I60:K60"/>
    <mergeCell ref="A25:D25"/>
    <mergeCell ref="A23:Q23"/>
    <mergeCell ref="I6:K6"/>
    <mergeCell ref="K44:N44"/>
    <mergeCell ref="F54:H54"/>
    <mergeCell ref="A46:J46"/>
    <mergeCell ref="A37:J37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Y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TOTAL</t>
        </is>
      </c>
      <c r="BY1" s="4" t="inlineStr">
        <is>
          <t>Value numeric</t>
        </is>
      </c>
    </row>
    <row r="2" ht="15" customHeight="1" s="74">
      <c r="A2" s="66">
        <f>'Project Database'!A6</f>
        <v/>
      </c>
      <c r="B2" s="66">
        <f>'Project Database'!B6</f>
        <v/>
      </c>
      <c r="C2" s="66">
        <f>'Project Database'!G6</f>
        <v/>
      </c>
      <c r="D2" s="66">
        <f>'Project Database'!H6</f>
        <v/>
      </c>
      <c r="E2" s="66">
        <f>'Project Database'!I6</f>
        <v/>
      </c>
      <c r="F2" s="66">
        <f>'Project Database'!J6</f>
        <v/>
      </c>
      <c r="G2" s="66">
        <f>'Project Database'!K6</f>
        <v/>
      </c>
      <c r="H2" s="66">
        <f>'Project Database'!L6</f>
        <v/>
      </c>
      <c r="I2" s="66">
        <f>'Project Database'!M6</f>
        <v/>
      </c>
      <c r="J2" s="66">
        <f>'Project Database'!N6</f>
        <v/>
      </c>
      <c r="K2" s="66">
        <f>'Project Database'!O6</f>
        <v/>
      </c>
      <c r="L2" s="66">
        <f>'Project Database'!P6</f>
        <v/>
      </c>
      <c r="M2" s="66">
        <f>'Project Database'!Q6</f>
        <v/>
      </c>
      <c r="N2" s="66">
        <f>'Project Database'!R6</f>
        <v/>
      </c>
      <c r="O2" s="66">
        <f>'Project Database'!S6</f>
        <v/>
      </c>
      <c r="P2" s="66">
        <f>'Project Database'!T6</f>
        <v/>
      </c>
      <c r="Q2" s="66">
        <f>'Project Database'!U6</f>
        <v/>
      </c>
      <c r="R2" s="66">
        <f>'Project Database'!V6</f>
        <v/>
      </c>
      <c r="S2" s="66">
        <f>'Project Database'!W6</f>
        <v/>
      </c>
      <c r="T2" s="66">
        <f>'Project Database'!X6</f>
        <v/>
      </c>
      <c r="U2" s="67">
        <f>'Project Database'!Y6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'Project Database'!Z6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IF(AND('Project Database'!A6&lt;&gt;"",OR('Smart Search'!$L$5="",'Smart Search'!$L$5="All",TRIM('Project Database'!D6)=TRIM('Smart Search'!$L$5)),OR(TRIM('Smart Search'!$L$6)="",TRIM('Smart Search'!$L$6)="All",ISNUMBER(SEARCH(SUBSTITUTE(SUBSTITUTE(SUBSTITUTE(TRIM('Smart Search'!$L$6),"~","~~"),"*","~*"),"?","~?"),'Project Database'!C6))),OR('Smart Search'!$L$7="",AND('Project Database'!E6&lt;&gt;"",'Project Database'!E6='Smart Search'!$L$7)),OR('Smart Search'!$L$8="",'Smart Search'!$L$8="All",TRIM('Project Database'!F6)=TRIM('Smart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IF('Project Database'!A6="","",N('Project Database'!AC6))</f>
        <v/>
      </c>
      <c r="BK2" s="5">
        <f>IF('Project Database'!A6="","",N('Project Database'!AD6))</f>
        <v/>
      </c>
      <c r="BL2" s="5">
        <f>IF('Project Database'!A6="","",N('Project Database'!AE6))</f>
        <v/>
      </c>
      <c r="BM2" s="5">
        <f>IF('Project Database'!A6="","",N('Project Database'!AF6))</f>
        <v/>
      </c>
      <c r="BN2" s="5">
        <f>IF('Project Database'!A6="","",N('Project Database'!AG6))</f>
        <v/>
      </c>
      <c r="BO2" s="5">
        <f>IF('Project Database'!A6="","",N('Project Database'!AH6))</f>
        <v/>
      </c>
      <c r="BP2" s="5">
        <f>IF('Project Database'!A6="","",N('Project Database'!AI6))</f>
        <v/>
      </c>
      <c r="BQ2" s="5">
        <f>IF('Project Database'!A6="","",N('Project Database'!AJ6))</f>
        <v/>
      </c>
      <c r="BR2" s="5">
        <f>IF('Project Database'!A6="","",N('Project Database'!AK6))</f>
        <v/>
      </c>
      <c r="BS2" s="5">
        <f>IF('Project Database'!A6="","",N('Project Database'!AL6))</f>
        <v/>
      </c>
      <c r="BT2" s="5">
        <f>IF('Project Database'!A6="","",N('Project Database'!AM6))</f>
        <v/>
      </c>
      <c r="BU2" s="5">
        <f>IF('Project Database'!A6="","",N('Project Database'!AN6))</f>
        <v/>
      </c>
      <c r="BV2" s="5">
        <f>IF('Project Database'!A6="","",N('Project Database'!AO6))</f>
        <v/>
      </c>
      <c r="BW2" s="5">
        <f>IF('Project Database'!A6="","",N('Project Database'!AP6))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</row>
    <row r="3" ht="15" customHeight="1" s="74">
      <c r="A3" s="66">
        <f>'Project Database'!A7</f>
        <v/>
      </c>
      <c r="B3" s="66">
        <f>'Project Database'!B7</f>
        <v/>
      </c>
      <c r="C3" s="66">
        <f>'Project Database'!G7</f>
        <v/>
      </c>
      <c r="D3" s="66">
        <f>'Project Database'!H7</f>
        <v/>
      </c>
      <c r="E3" s="66">
        <f>'Project Database'!I7</f>
        <v/>
      </c>
      <c r="F3" s="66">
        <f>'Project Database'!J7</f>
        <v/>
      </c>
      <c r="G3" s="66">
        <f>'Project Database'!K7</f>
        <v/>
      </c>
      <c r="H3" s="66">
        <f>'Project Database'!L7</f>
        <v/>
      </c>
      <c r="I3" s="66">
        <f>'Project Database'!M7</f>
        <v/>
      </c>
      <c r="J3" s="66">
        <f>'Project Database'!N7</f>
        <v/>
      </c>
      <c r="K3" s="66">
        <f>'Project Database'!O7</f>
        <v/>
      </c>
      <c r="L3" s="66">
        <f>'Project Database'!P7</f>
        <v/>
      </c>
      <c r="M3" s="66">
        <f>'Project Database'!Q7</f>
        <v/>
      </c>
      <c r="N3" s="66">
        <f>'Project Database'!R7</f>
        <v/>
      </c>
      <c r="O3" s="66">
        <f>'Project Database'!S7</f>
        <v/>
      </c>
      <c r="P3" s="66">
        <f>'Project Database'!T7</f>
        <v/>
      </c>
      <c r="Q3" s="66">
        <f>'Project Database'!U7</f>
        <v/>
      </c>
      <c r="R3" s="66">
        <f>'Project Database'!V7</f>
        <v/>
      </c>
      <c r="S3" s="66">
        <f>'Project Database'!W7</f>
        <v/>
      </c>
      <c r="T3" s="66">
        <f>'Project Database'!X7</f>
        <v/>
      </c>
      <c r="U3" s="67">
        <f>'Project Database'!Y7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'Project Database'!Z7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IF(AND('Project Database'!A7&lt;&gt;"",OR('Smart Search'!$L$5="",'Smart Search'!$L$5="All",TRIM('Project Database'!D7)=TRIM('Smart Search'!$L$5)),OR(TRIM('Smart Search'!$L$6)="",TRIM('Smart Search'!$L$6)="All",ISNUMBER(SEARCH(SUBSTITUTE(SUBSTITUTE(SUBSTITUTE(TRIM('Smart Search'!$L$6),"~","~~"),"*","~*"),"?","~?"),'Project Database'!C7))),OR('Smart Search'!$L$7="",AND('Project Database'!E7&lt;&gt;"",'Project Database'!E7='Smart Search'!$L$7)),OR('Smart Search'!$L$8="",'Smart Search'!$L$8="All",TRIM('Project Database'!F7)=TRIM('Smart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IF('Project Database'!A7="","",N('Project Database'!AC7))</f>
        <v/>
      </c>
      <c r="BK3" s="5">
        <f>IF('Project Database'!A7="","",N('Project Database'!AD7))</f>
        <v/>
      </c>
      <c r="BL3" s="5">
        <f>IF('Project Database'!A7="","",N('Project Database'!AE7))</f>
        <v/>
      </c>
      <c r="BM3" s="5">
        <f>IF('Project Database'!A7="","",N('Project Database'!AF7))</f>
        <v/>
      </c>
      <c r="BN3" s="5">
        <f>IF('Project Database'!A7="","",N('Project Database'!AG7))</f>
        <v/>
      </c>
      <c r="BO3" s="5">
        <f>IF('Project Database'!A7="","",N('Project Database'!AH7))</f>
        <v/>
      </c>
      <c r="BP3" s="5">
        <f>IF('Project Database'!A7="","",N('Project Database'!AI7))</f>
        <v/>
      </c>
      <c r="BQ3" s="5">
        <f>IF('Project Database'!A7="","",N('Project Database'!AJ7))</f>
        <v/>
      </c>
      <c r="BR3" s="5">
        <f>IF('Project Database'!A7="","",N('Project Database'!AK7))</f>
        <v/>
      </c>
      <c r="BS3" s="5">
        <f>IF('Project Database'!A7="","",N('Project Database'!AL7))</f>
        <v/>
      </c>
      <c r="BT3" s="5">
        <f>IF('Project Database'!A7="","",N('Project Database'!AM7))</f>
        <v/>
      </c>
      <c r="BU3" s="5">
        <f>IF('Project Database'!A7="","",N('Project Database'!AN7))</f>
        <v/>
      </c>
      <c r="BV3" s="5">
        <f>IF('Project Database'!A7="","",N('Project Database'!AO7))</f>
        <v/>
      </c>
      <c r="BW3" s="5">
        <f>IF('Project Database'!A7="","",N('Project Database'!AP7))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</row>
    <row r="4" ht="15" customHeight="1" s="74">
      <c r="A4" s="66">
        <f>'Project Database'!A8</f>
        <v/>
      </c>
      <c r="B4" s="66">
        <f>'Project Database'!B8</f>
        <v/>
      </c>
      <c r="C4" s="66">
        <f>'Project Database'!G8</f>
        <v/>
      </c>
      <c r="D4" s="66">
        <f>'Project Database'!H8</f>
        <v/>
      </c>
      <c r="E4" s="66">
        <f>'Project Database'!I8</f>
        <v/>
      </c>
      <c r="F4" s="66">
        <f>'Project Database'!J8</f>
        <v/>
      </c>
      <c r="G4" s="66">
        <f>'Project Database'!K8</f>
        <v/>
      </c>
      <c r="H4" s="66">
        <f>'Project Database'!L8</f>
        <v/>
      </c>
      <c r="I4" s="66">
        <f>'Project Database'!M8</f>
        <v/>
      </c>
      <c r="J4" s="66">
        <f>'Project Database'!N8</f>
        <v/>
      </c>
      <c r="K4" s="66">
        <f>'Project Database'!O8</f>
        <v/>
      </c>
      <c r="L4" s="66">
        <f>'Project Database'!P8</f>
        <v/>
      </c>
      <c r="M4" s="66">
        <f>'Project Database'!Q8</f>
        <v/>
      </c>
      <c r="N4" s="66">
        <f>'Project Database'!R8</f>
        <v/>
      </c>
      <c r="O4" s="66">
        <f>'Project Database'!S8</f>
        <v/>
      </c>
      <c r="P4" s="66">
        <f>'Project Database'!T8</f>
        <v/>
      </c>
      <c r="Q4" s="66">
        <f>'Project Database'!U8</f>
        <v/>
      </c>
      <c r="R4" s="66">
        <f>'Project Database'!V8</f>
        <v/>
      </c>
      <c r="S4" s="66">
        <f>'Project Database'!W8</f>
        <v/>
      </c>
      <c r="T4" s="66">
        <f>'Project Database'!X8</f>
        <v/>
      </c>
      <c r="U4" s="67">
        <f>'Project Database'!Y8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'Project Database'!Z8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IF(AND('Project Database'!A8&lt;&gt;"",OR('Smart Search'!$L$5="",'Smart Search'!$L$5="All",TRIM('Project Database'!D8)=TRIM('Smart Search'!$L$5)),OR(TRIM('Smart Search'!$L$6)="",TRIM('Smart Search'!$L$6)="All",ISNUMBER(SEARCH(SUBSTITUTE(SUBSTITUTE(SUBSTITUTE(TRIM('Smart Search'!$L$6),"~","~~"),"*","~*"),"?","~?"),'Project Database'!C8))),OR('Smart Search'!$L$7="",AND('Project Database'!E8&lt;&gt;"",'Project Database'!E8='Smart Search'!$L$7)),OR('Smart Search'!$L$8="",'Smart Search'!$L$8="All",TRIM('Project Database'!F8)=TRIM('Smart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IF('Project Database'!A8="","",N('Project Database'!AC8))</f>
        <v/>
      </c>
      <c r="BK4" s="5">
        <f>IF('Project Database'!A8="","",N('Project Database'!AD8))</f>
        <v/>
      </c>
      <c r="BL4" s="5">
        <f>IF('Project Database'!A8="","",N('Project Database'!AE8))</f>
        <v/>
      </c>
      <c r="BM4" s="5">
        <f>IF('Project Database'!A8="","",N('Project Database'!AF8))</f>
        <v/>
      </c>
      <c r="BN4" s="5">
        <f>IF('Project Database'!A8="","",N('Project Database'!AG8))</f>
        <v/>
      </c>
      <c r="BO4" s="5">
        <f>IF('Project Database'!A8="","",N('Project Database'!AH8))</f>
        <v/>
      </c>
      <c r="BP4" s="5">
        <f>IF('Project Database'!A8="","",N('Project Database'!AI8))</f>
        <v/>
      </c>
      <c r="BQ4" s="5">
        <f>IF('Project Database'!A8="","",N('Project Database'!AJ8))</f>
        <v/>
      </c>
      <c r="BR4" s="5">
        <f>IF('Project Database'!A8="","",N('Project Database'!AK8))</f>
        <v/>
      </c>
      <c r="BS4" s="5">
        <f>IF('Project Database'!A8="","",N('Project Database'!AL8))</f>
        <v/>
      </c>
      <c r="BT4" s="5">
        <f>IF('Project Database'!A8="","",N('Project Database'!AM8))</f>
        <v/>
      </c>
      <c r="BU4" s="5">
        <f>IF('Project Database'!A8="","",N('Project Database'!AN8))</f>
        <v/>
      </c>
      <c r="BV4" s="5">
        <f>IF('Project Database'!A8="","",N('Project Database'!AO8))</f>
        <v/>
      </c>
      <c r="BW4" s="5">
        <f>IF('Project Database'!A8="","",N('Project Database'!AP8))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</row>
    <row r="5" ht="15" customHeight="1" s="74">
      <c r="A5" s="66">
        <f>'Project Database'!A9</f>
        <v/>
      </c>
      <c r="B5" s="66">
        <f>'Project Database'!B9</f>
        <v/>
      </c>
      <c r="C5" s="66">
        <f>'Project Database'!G9</f>
        <v/>
      </c>
      <c r="D5" s="66">
        <f>'Project Database'!H9</f>
        <v/>
      </c>
      <c r="E5" s="66">
        <f>'Project Database'!I9</f>
        <v/>
      </c>
      <c r="F5" s="66">
        <f>'Project Database'!J9</f>
        <v/>
      </c>
      <c r="G5" s="66">
        <f>'Project Database'!K9</f>
        <v/>
      </c>
      <c r="H5" s="66">
        <f>'Project Database'!L9</f>
        <v/>
      </c>
      <c r="I5" s="66">
        <f>'Project Database'!M9</f>
        <v/>
      </c>
      <c r="J5" s="66">
        <f>'Project Database'!N9</f>
        <v/>
      </c>
      <c r="K5" s="66">
        <f>'Project Database'!O9</f>
        <v/>
      </c>
      <c r="L5" s="66">
        <f>'Project Database'!P9</f>
        <v/>
      </c>
      <c r="M5" s="66">
        <f>'Project Database'!Q9</f>
        <v/>
      </c>
      <c r="N5" s="66">
        <f>'Project Database'!R9</f>
        <v/>
      </c>
      <c r="O5" s="66">
        <f>'Project Database'!S9</f>
        <v/>
      </c>
      <c r="P5" s="66">
        <f>'Project Database'!T9</f>
        <v/>
      </c>
      <c r="Q5" s="66">
        <f>'Project Database'!U9</f>
        <v/>
      </c>
      <c r="R5" s="66">
        <f>'Project Database'!V9</f>
        <v/>
      </c>
      <c r="S5" s="66">
        <f>'Project Database'!W9</f>
        <v/>
      </c>
      <c r="T5" s="66">
        <f>'Project Database'!X9</f>
        <v/>
      </c>
      <c r="U5" s="67">
        <f>'Project Database'!Y9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'Project Database'!Z9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IF(AND('Project Database'!A9&lt;&gt;"",OR('Smart Search'!$L$5="",'Smart Search'!$L$5="All",TRIM('Project Database'!D9)=TRIM('Smart Search'!$L$5)),OR(TRIM('Smart Search'!$L$6)="",TRIM('Smart Search'!$L$6)="All",ISNUMBER(SEARCH(SUBSTITUTE(SUBSTITUTE(SUBSTITUTE(TRIM('Smart Search'!$L$6),"~","~~"),"*","~*"),"?","~?"),'Project Database'!C9))),OR('Smart Search'!$L$7="",AND('Project Database'!E9&lt;&gt;"",'Project Database'!E9='Smart Search'!$L$7)),OR('Smart Search'!$L$8="",'Smart Search'!$L$8="All",TRIM('Project Database'!F9)=TRIM('Smart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IF('Project Database'!A9="","",N('Project Database'!AC9))</f>
        <v/>
      </c>
      <c r="BK5" s="5">
        <f>IF('Project Database'!A9="","",N('Project Database'!AD9))</f>
        <v/>
      </c>
      <c r="BL5" s="5">
        <f>IF('Project Database'!A9="","",N('Project Database'!AE9))</f>
        <v/>
      </c>
      <c r="BM5" s="5">
        <f>IF('Project Database'!A9="","",N('Project Database'!AF9))</f>
        <v/>
      </c>
      <c r="BN5" s="5">
        <f>IF('Project Database'!A9="","",N('Project Database'!AG9))</f>
        <v/>
      </c>
      <c r="BO5" s="5">
        <f>IF('Project Database'!A9="","",N('Project Database'!AH9))</f>
        <v/>
      </c>
      <c r="BP5" s="5">
        <f>IF('Project Database'!A9="","",N('Project Database'!AI9))</f>
        <v/>
      </c>
      <c r="BQ5" s="5">
        <f>IF('Project Database'!A9="","",N('Project Database'!AJ9))</f>
        <v/>
      </c>
      <c r="BR5" s="5">
        <f>IF('Project Database'!A9="","",N('Project Database'!AK9))</f>
        <v/>
      </c>
      <c r="BS5" s="5">
        <f>IF('Project Database'!A9="","",N('Project Database'!AL9))</f>
        <v/>
      </c>
      <c r="BT5" s="5">
        <f>IF('Project Database'!A9="","",N('Project Database'!AM9))</f>
        <v/>
      </c>
      <c r="BU5" s="5">
        <f>IF('Project Database'!A9="","",N('Project Database'!AN9))</f>
        <v/>
      </c>
      <c r="BV5" s="5">
        <f>IF('Project Database'!A9="","",N('Project Database'!AO9))</f>
        <v/>
      </c>
      <c r="BW5" s="5">
        <f>IF('Project Database'!A9="","",N('Project Database'!AP9))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</row>
    <row r="6" ht="15" customHeight="1" s="74">
      <c r="A6" s="66">
        <f>'Project Database'!A10</f>
        <v/>
      </c>
      <c r="B6" s="66">
        <f>'Project Database'!B10</f>
        <v/>
      </c>
      <c r="C6" s="66">
        <f>'Project Database'!G10</f>
        <v/>
      </c>
      <c r="D6" s="66">
        <f>'Project Database'!H10</f>
        <v/>
      </c>
      <c r="E6" s="66">
        <f>'Project Database'!I10</f>
        <v/>
      </c>
      <c r="F6" s="66">
        <f>'Project Database'!J10</f>
        <v/>
      </c>
      <c r="G6" s="66">
        <f>'Project Database'!K10</f>
        <v/>
      </c>
      <c r="H6" s="66">
        <f>'Project Database'!L10</f>
        <v/>
      </c>
      <c r="I6" s="66">
        <f>'Project Database'!M10</f>
        <v/>
      </c>
      <c r="J6" s="66">
        <f>'Project Database'!N10</f>
        <v/>
      </c>
      <c r="K6" s="66">
        <f>'Project Database'!O10</f>
        <v/>
      </c>
      <c r="L6" s="66">
        <f>'Project Database'!P10</f>
        <v/>
      </c>
      <c r="M6" s="66">
        <f>'Project Database'!Q10</f>
        <v/>
      </c>
      <c r="N6" s="66">
        <f>'Project Database'!R10</f>
        <v/>
      </c>
      <c r="O6" s="66">
        <f>'Project Database'!S10</f>
        <v/>
      </c>
      <c r="P6" s="66">
        <f>'Project Database'!T10</f>
        <v/>
      </c>
      <c r="Q6" s="66">
        <f>'Project Database'!U10</f>
        <v/>
      </c>
      <c r="R6" s="66">
        <f>'Project Database'!V10</f>
        <v/>
      </c>
      <c r="S6" s="66">
        <f>'Project Database'!W10</f>
        <v/>
      </c>
      <c r="T6" s="66">
        <f>'Project Database'!X10</f>
        <v/>
      </c>
      <c r="U6" s="67">
        <f>'Project Database'!Y10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'Project Database'!Z10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IF(AND('Project Database'!A10&lt;&gt;"",OR('Smart Search'!$L$5="",'Smart Search'!$L$5="All",TRIM('Project Database'!D10)=TRIM('Smart Search'!$L$5)),OR(TRIM('Smart Search'!$L$6)="",TRIM('Smart Search'!$L$6)="All",ISNUMBER(SEARCH(SUBSTITUTE(SUBSTITUTE(SUBSTITUTE(TRIM('Smart Search'!$L$6),"~","~~"),"*","~*"),"?","~?"),'Project Database'!C10))),OR('Smart Search'!$L$7="",AND('Project Database'!E10&lt;&gt;"",'Project Database'!E10='Smart Search'!$L$7)),OR('Smart Search'!$L$8="",'Smart Search'!$L$8="All",TRIM('Project Database'!F10)=TRIM('Smart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IF('Project Database'!A10="","",N('Project Database'!AC10))</f>
        <v/>
      </c>
      <c r="BK6" s="5">
        <f>IF('Project Database'!A10="","",N('Project Database'!AD10))</f>
        <v/>
      </c>
      <c r="BL6" s="5">
        <f>IF('Project Database'!A10="","",N('Project Database'!AE10))</f>
        <v/>
      </c>
      <c r="BM6" s="5">
        <f>IF('Project Database'!A10="","",N('Project Database'!AF10))</f>
        <v/>
      </c>
      <c r="BN6" s="5">
        <f>IF('Project Database'!A10="","",N('Project Database'!AG10))</f>
        <v/>
      </c>
      <c r="BO6" s="5">
        <f>IF('Project Database'!A10="","",N('Project Database'!AH10))</f>
        <v/>
      </c>
      <c r="BP6" s="5">
        <f>IF('Project Database'!A10="","",N('Project Database'!AI10))</f>
        <v/>
      </c>
      <c r="BQ6" s="5">
        <f>IF('Project Database'!A10="","",N('Project Database'!AJ10))</f>
        <v/>
      </c>
      <c r="BR6" s="5">
        <f>IF('Project Database'!A10="","",N('Project Database'!AK10))</f>
        <v/>
      </c>
      <c r="BS6" s="5">
        <f>IF('Project Database'!A10="","",N('Project Database'!AL10))</f>
        <v/>
      </c>
      <c r="BT6" s="5">
        <f>IF('Project Database'!A10="","",N('Project Database'!AM10))</f>
        <v/>
      </c>
      <c r="BU6" s="5">
        <f>IF('Project Database'!A10="","",N('Project Database'!AN10))</f>
        <v/>
      </c>
      <c r="BV6" s="5">
        <f>IF('Project Database'!A10="","",N('Project Database'!AO10))</f>
        <v/>
      </c>
      <c r="BW6" s="5">
        <f>IF('Project Database'!A10="","",N('Project Database'!AP10))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</row>
    <row r="7" ht="15" customHeight="1" s="74">
      <c r="A7" s="66">
        <f>'Project Database'!A11</f>
        <v/>
      </c>
      <c r="B7" s="66">
        <f>'Project Database'!B11</f>
        <v/>
      </c>
      <c r="C7" s="66">
        <f>'Project Database'!G11</f>
        <v/>
      </c>
      <c r="D7" s="66">
        <f>'Project Database'!H11</f>
        <v/>
      </c>
      <c r="E7" s="66">
        <f>'Project Database'!I11</f>
        <v/>
      </c>
      <c r="F7" s="66">
        <f>'Project Database'!J11</f>
        <v/>
      </c>
      <c r="G7" s="66">
        <f>'Project Database'!K11</f>
        <v/>
      </c>
      <c r="H7" s="66">
        <f>'Project Database'!L11</f>
        <v/>
      </c>
      <c r="I7" s="66">
        <f>'Project Database'!M11</f>
        <v/>
      </c>
      <c r="J7" s="66">
        <f>'Project Database'!N11</f>
        <v/>
      </c>
      <c r="K7" s="66">
        <f>'Project Database'!O11</f>
        <v/>
      </c>
      <c r="L7" s="66">
        <f>'Project Database'!P11</f>
        <v/>
      </c>
      <c r="M7" s="66">
        <f>'Project Database'!Q11</f>
        <v/>
      </c>
      <c r="N7" s="66">
        <f>'Project Database'!R11</f>
        <v/>
      </c>
      <c r="O7" s="66">
        <f>'Project Database'!S11</f>
        <v/>
      </c>
      <c r="P7" s="66">
        <f>'Project Database'!T11</f>
        <v/>
      </c>
      <c r="Q7" s="66">
        <f>'Project Database'!U11</f>
        <v/>
      </c>
      <c r="R7" s="66">
        <f>'Project Database'!V11</f>
        <v/>
      </c>
      <c r="S7" s="66">
        <f>'Project Database'!W11</f>
        <v/>
      </c>
      <c r="T7" s="66">
        <f>'Project Database'!X11</f>
        <v/>
      </c>
      <c r="U7" s="67">
        <f>'Project Database'!Y11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'Project Database'!Z11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IF(AND('Project Database'!A11&lt;&gt;"",OR('Smart Search'!$L$5="",'Smart Search'!$L$5="All",TRIM('Project Database'!D11)=TRIM('Smart Search'!$L$5)),OR(TRIM('Smart Search'!$L$6)="",TRIM('Smart Search'!$L$6)="All",ISNUMBER(SEARCH(SUBSTITUTE(SUBSTITUTE(SUBSTITUTE(TRIM('Smart Search'!$L$6),"~","~~"),"*","~*"),"?","~?"),'Project Database'!C11))),OR('Smart Search'!$L$7="",AND('Project Database'!E11&lt;&gt;"",'Project Database'!E11='Smart Search'!$L$7)),OR('Smart Search'!$L$8="",'Smart Search'!$L$8="All",TRIM('Project Database'!F11)=TRIM('Smart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IF('Project Database'!A11="","",N('Project Database'!AC11))</f>
        <v/>
      </c>
      <c r="BK7" s="5">
        <f>IF('Project Database'!A11="","",N('Project Database'!AD11))</f>
        <v/>
      </c>
      <c r="BL7" s="5">
        <f>IF('Project Database'!A11="","",N('Project Database'!AE11))</f>
        <v/>
      </c>
      <c r="BM7" s="5">
        <f>IF('Project Database'!A11="","",N('Project Database'!AF11))</f>
        <v/>
      </c>
      <c r="BN7" s="5">
        <f>IF('Project Database'!A11="","",N('Project Database'!AG11))</f>
        <v/>
      </c>
      <c r="BO7" s="5">
        <f>IF('Project Database'!A11="","",N('Project Database'!AH11))</f>
        <v/>
      </c>
      <c r="BP7" s="5">
        <f>IF('Project Database'!A11="","",N('Project Database'!AI11))</f>
        <v/>
      </c>
      <c r="BQ7" s="5">
        <f>IF('Project Database'!A11="","",N('Project Database'!AJ11))</f>
        <v/>
      </c>
      <c r="BR7" s="5">
        <f>IF('Project Database'!A11="","",N('Project Database'!AK11))</f>
        <v/>
      </c>
      <c r="BS7" s="5">
        <f>IF('Project Database'!A11="","",N('Project Database'!AL11))</f>
        <v/>
      </c>
      <c r="BT7" s="5">
        <f>IF('Project Database'!A11="","",N('Project Database'!AM11))</f>
        <v/>
      </c>
      <c r="BU7" s="5">
        <f>IF('Project Database'!A11="","",N('Project Database'!AN11))</f>
        <v/>
      </c>
      <c r="BV7" s="5">
        <f>IF('Project Database'!A11="","",N('Project Database'!AO11))</f>
        <v/>
      </c>
      <c r="BW7" s="5">
        <f>IF('Project Database'!A11="","",N('Project Database'!AP11))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</row>
    <row r="8" ht="15" customHeight="1" s="74">
      <c r="A8" s="66">
        <f>'Project Database'!A12</f>
        <v/>
      </c>
      <c r="B8" s="66">
        <f>'Project Database'!B12</f>
        <v/>
      </c>
      <c r="C8" s="66">
        <f>'Project Database'!G12</f>
        <v/>
      </c>
      <c r="D8" s="66">
        <f>'Project Database'!H12</f>
        <v/>
      </c>
      <c r="E8" s="66">
        <f>'Project Database'!I12</f>
        <v/>
      </c>
      <c r="F8" s="66">
        <f>'Project Database'!J12</f>
        <v/>
      </c>
      <c r="G8" s="66">
        <f>'Project Database'!K12</f>
        <v/>
      </c>
      <c r="H8" s="66">
        <f>'Project Database'!L12</f>
        <v/>
      </c>
      <c r="I8" s="66">
        <f>'Project Database'!M12</f>
        <v/>
      </c>
      <c r="J8" s="66">
        <f>'Project Database'!N12</f>
        <v/>
      </c>
      <c r="K8" s="66">
        <f>'Project Database'!O12</f>
        <v/>
      </c>
      <c r="L8" s="66">
        <f>'Project Database'!P12</f>
        <v/>
      </c>
      <c r="M8" s="66">
        <f>'Project Database'!Q12</f>
        <v/>
      </c>
      <c r="N8" s="66">
        <f>'Project Database'!R12</f>
        <v/>
      </c>
      <c r="O8" s="66">
        <f>'Project Database'!S12</f>
        <v/>
      </c>
      <c r="P8" s="66">
        <f>'Project Database'!T12</f>
        <v/>
      </c>
      <c r="Q8" s="66">
        <f>'Project Database'!U12</f>
        <v/>
      </c>
      <c r="R8" s="66">
        <f>'Project Database'!V12</f>
        <v/>
      </c>
      <c r="S8" s="66">
        <f>'Project Database'!W12</f>
        <v/>
      </c>
      <c r="T8" s="66">
        <f>'Project Database'!X12</f>
        <v/>
      </c>
      <c r="U8" s="67">
        <f>'Project Database'!Y12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'Project Database'!Z12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IF(AND('Project Database'!A12&lt;&gt;"",OR('Smart Search'!$L$5="",'Smart Search'!$L$5="All",TRIM('Project Database'!D12)=TRIM('Smart Search'!$L$5)),OR(TRIM('Smart Search'!$L$6)="",TRIM('Smart Search'!$L$6)="All",ISNUMBER(SEARCH(SUBSTITUTE(SUBSTITUTE(SUBSTITUTE(TRIM('Smart Search'!$L$6),"~","~~"),"*","~*"),"?","~?"),'Project Database'!C12))),OR('Smart Search'!$L$7="",AND('Project Database'!E12&lt;&gt;"",'Project Database'!E12='Smart Search'!$L$7)),OR('Smart Search'!$L$8="",'Smart Search'!$L$8="All",TRIM('Project Database'!F12)=TRIM('Smart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IF('Project Database'!A12="","",N('Project Database'!AC12))</f>
        <v/>
      </c>
      <c r="BK8" s="5">
        <f>IF('Project Database'!A12="","",N('Project Database'!AD12))</f>
        <v/>
      </c>
      <c r="BL8" s="5">
        <f>IF('Project Database'!A12="","",N('Project Database'!AE12))</f>
        <v/>
      </c>
      <c r="BM8" s="5">
        <f>IF('Project Database'!A12="","",N('Project Database'!AF12))</f>
        <v/>
      </c>
      <c r="BN8" s="5">
        <f>IF('Project Database'!A12="","",N('Project Database'!AG12))</f>
        <v/>
      </c>
      <c r="BO8" s="5">
        <f>IF('Project Database'!A12="","",N('Project Database'!AH12))</f>
        <v/>
      </c>
      <c r="BP8" s="5">
        <f>IF('Project Database'!A12="","",N('Project Database'!AI12))</f>
        <v/>
      </c>
      <c r="BQ8" s="5">
        <f>IF('Project Database'!A12="","",N('Project Database'!AJ12))</f>
        <v/>
      </c>
      <c r="BR8" s="5">
        <f>IF('Project Database'!A12="","",N('Project Database'!AK12))</f>
        <v/>
      </c>
      <c r="BS8" s="5">
        <f>IF('Project Database'!A12="","",N('Project Database'!AL12))</f>
        <v/>
      </c>
      <c r="BT8" s="5">
        <f>IF('Project Database'!A12="","",N('Project Database'!AM12))</f>
        <v/>
      </c>
      <c r="BU8" s="5">
        <f>IF('Project Database'!A12="","",N('Project Database'!AN12))</f>
        <v/>
      </c>
      <c r="BV8" s="5">
        <f>IF('Project Database'!A12="","",N('Project Database'!AO12))</f>
        <v/>
      </c>
      <c r="BW8" s="5">
        <f>IF('Project Database'!A12="","",N('Project Database'!AP12))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</row>
    <row r="9" ht="15" customHeight="1" s="74">
      <c r="A9" s="66">
        <f>'Project Database'!A13</f>
        <v/>
      </c>
      <c r="B9" s="66">
        <f>'Project Database'!B13</f>
        <v/>
      </c>
      <c r="C9" s="66">
        <f>'Project Database'!G13</f>
        <v/>
      </c>
      <c r="D9" s="66">
        <f>'Project Database'!H13</f>
        <v/>
      </c>
      <c r="E9" s="66">
        <f>'Project Database'!I13</f>
        <v/>
      </c>
      <c r="F9" s="66">
        <f>'Project Database'!J13</f>
        <v/>
      </c>
      <c r="G9" s="66">
        <f>'Project Database'!K13</f>
        <v/>
      </c>
      <c r="H9" s="66">
        <f>'Project Database'!L13</f>
        <v/>
      </c>
      <c r="I9" s="66">
        <f>'Project Database'!M13</f>
        <v/>
      </c>
      <c r="J9" s="66">
        <f>'Project Database'!N13</f>
        <v/>
      </c>
      <c r="K9" s="66">
        <f>'Project Database'!O13</f>
        <v/>
      </c>
      <c r="L9" s="66">
        <f>'Project Database'!P13</f>
        <v/>
      </c>
      <c r="M9" s="66">
        <f>'Project Database'!Q13</f>
        <v/>
      </c>
      <c r="N9" s="66">
        <f>'Project Database'!R13</f>
        <v/>
      </c>
      <c r="O9" s="66">
        <f>'Project Database'!S13</f>
        <v/>
      </c>
      <c r="P9" s="66">
        <f>'Project Database'!T13</f>
        <v/>
      </c>
      <c r="Q9" s="66">
        <f>'Project Database'!U13</f>
        <v/>
      </c>
      <c r="R9" s="66">
        <f>'Project Database'!V13</f>
        <v/>
      </c>
      <c r="S9" s="66">
        <f>'Project Database'!W13</f>
        <v/>
      </c>
      <c r="T9" s="66">
        <f>'Project Database'!X13</f>
        <v/>
      </c>
      <c r="U9" s="67">
        <f>'Project Database'!Y13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'Project Database'!Z13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IF(AND('Project Database'!A13&lt;&gt;"",OR('Smart Search'!$L$5="",'Smart Search'!$L$5="All",TRIM('Project Database'!D13)=TRIM('Smart Search'!$L$5)),OR(TRIM('Smart Search'!$L$6)="",TRIM('Smart Search'!$L$6)="All",ISNUMBER(SEARCH(SUBSTITUTE(SUBSTITUTE(SUBSTITUTE(TRIM('Smart Search'!$L$6),"~","~~"),"*","~*"),"?","~?"),'Project Database'!C13))),OR('Smart Search'!$L$7="",AND('Project Database'!E13&lt;&gt;"",'Project Database'!E13='Smart Search'!$L$7)),OR('Smart Search'!$L$8="",'Smart Search'!$L$8="All",TRIM('Project Database'!F13)=TRIM('Smart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IF('Project Database'!A13="","",N('Project Database'!AC13))</f>
        <v/>
      </c>
      <c r="BK9" s="5">
        <f>IF('Project Database'!A13="","",N('Project Database'!AD13))</f>
        <v/>
      </c>
      <c r="BL9" s="5">
        <f>IF('Project Database'!A13="","",N('Project Database'!AE13))</f>
        <v/>
      </c>
      <c r="BM9" s="5">
        <f>IF('Project Database'!A13="","",N('Project Database'!AF13))</f>
        <v/>
      </c>
      <c r="BN9" s="5">
        <f>IF('Project Database'!A13="","",N('Project Database'!AG13))</f>
        <v/>
      </c>
      <c r="BO9" s="5">
        <f>IF('Project Database'!A13="","",N('Project Database'!AH13))</f>
        <v/>
      </c>
      <c r="BP9" s="5">
        <f>IF('Project Database'!A13="","",N('Project Database'!AI13))</f>
        <v/>
      </c>
      <c r="BQ9" s="5">
        <f>IF('Project Database'!A13="","",N('Project Database'!AJ13))</f>
        <v/>
      </c>
      <c r="BR9" s="5">
        <f>IF('Project Database'!A13="","",N('Project Database'!AK13))</f>
        <v/>
      </c>
      <c r="BS9" s="5">
        <f>IF('Project Database'!A13="","",N('Project Database'!AL13))</f>
        <v/>
      </c>
      <c r="BT9" s="5">
        <f>IF('Project Database'!A13="","",N('Project Database'!AM13))</f>
        <v/>
      </c>
      <c r="BU9" s="5">
        <f>IF('Project Database'!A13="","",N('Project Database'!AN13))</f>
        <v/>
      </c>
      <c r="BV9" s="5">
        <f>IF('Project Database'!A13="","",N('Project Database'!AO13))</f>
        <v/>
      </c>
      <c r="BW9" s="5">
        <f>IF('Project Database'!A13="","",N('Project Database'!AP13))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</row>
    <row r="10" ht="15" customHeight="1" s="74">
      <c r="A10" s="66">
        <f>'Project Database'!A14</f>
        <v/>
      </c>
      <c r="B10" s="66">
        <f>'Project Database'!B14</f>
        <v/>
      </c>
      <c r="C10" s="66">
        <f>'Project Database'!G14</f>
        <v/>
      </c>
      <c r="D10" s="66">
        <f>'Project Database'!H14</f>
        <v/>
      </c>
      <c r="E10" s="66">
        <f>'Project Database'!I14</f>
        <v/>
      </c>
      <c r="F10" s="66">
        <f>'Project Database'!J14</f>
        <v/>
      </c>
      <c r="G10" s="66">
        <f>'Project Database'!K14</f>
        <v/>
      </c>
      <c r="H10" s="66">
        <f>'Project Database'!L14</f>
        <v/>
      </c>
      <c r="I10" s="66">
        <f>'Project Database'!M14</f>
        <v/>
      </c>
      <c r="J10" s="66">
        <f>'Project Database'!N14</f>
        <v/>
      </c>
      <c r="K10" s="66">
        <f>'Project Database'!O14</f>
        <v/>
      </c>
      <c r="L10" s="66">
        <f>'Project Database'!P14</f>
        <v/>
      </c>
      <c r="M10" s="66">
        <f>'Project Database'!Q14</f>
        <v/>
      </c>
      <c r="N10" s="66">
        <f>'Project Database'!R14</f>
        <v/>
      </c>
      <c r="O10" s="66">
        <f>'Project Database'!S14</f>
        <v/>
      </c>
      <c r="P10" s="66">
        <f>'Project Database'!T14</f>
        <v/>
      </c>
      <c r="Q10" s="66">
        <f>'Project Database'!U14</f>
        <v/>
      </c>
      <c r="R10" s="66">
        <f>'Project Database'!V14</f>
        <v/>
      </c>
      <c r="S10" s="66">
        <f>'Project Database'!W14</f>
        <v/>
      </c>
      <c r="T10" s="66">
        <f>'Project Database'!X14</f>
        <v/>
      </c>
      <c r="U10" s="67">
        <f>'Project Database'!Y14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'Project Database'!Z14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IF(AND('Project Database'!A14&lt;&gt;"",OR('Smart Search'!$L$5="",'Smart Search'!$L$5="All",TRIM('Project Database'!D14)=TRIM('Smart Search'!$L$5)),OR(TRIM('Smart Search'!$L$6)="",TRIM('Smart Search'!$L$6)="All",ISNUMBER(SEARCH(SUBSTITUTE(SUBSTITUTE(SUBSTITUTE(TRIM('Smart Search'!$L$6),"~","~~"),"*","~*"),"?","~?"),'Project Database'!C14))),OR('Smart Search'!$L$7="",AND('Project Database'!E14&lt;&gt;"",'Project Database'!E14='Smart Search'!$L$7)),OR('Smart Search'!$L$8="",'Smart Search'!$L$8="All",TRIM('Project Database'!F14)=TRIM('Smart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IF('Project Database'!A14="","",N('Project Database'!AC14))</f>
        <v/>
      </c>
      <c r="BK10" s="5">
        <f>IF('Project Database'!A14="","",N('Project Database'!AD14))</f>
        <v/>
      </c>
      <c r="BL10" s="5">
        <f>IF('Project Database'!A14="","",N('Project Database'!AE14))</f>
        <v/>
      </c>
      <c r="BM10" s="5">
        <f>IF('Project Database'!A14="","",N('Project Database'!AF14))</f>
        <v/>
      </c>
      <c r="BN10" s="5">
        <f>IF('Project Database'!A14="","",N('Project Database'!AG14))</f>
        <v/>
      </c>
      <c r="BO10" s="5">
        <f>IF('Project Database'!A14="","",N('Project Database'!AH14))</f>
        <v/>
      </c>
      <c r="BP10" s="5">
        <f>IF('Project Database'!A14="","",N('Project Database'!AI14))</f>
        <v/>
      </c>
      <c r="BQ10" s="5">
        <f>IF('Project Database'!A14="","",N('Project Database'!AJ14))</f>
        <v/>
      </c>
      <c r="BR10" s="5">
        <f>IF('Project Database'!A14="","",N('Project Database'!AK14))</f>
        <v/>
      </c>
      <c r="BS10" s="5">
        <f>IF('Project Database'!A14="","",N('Project Database'!AL14))</f>
        <v/>
      </c>
      <c r="BT10" s="5">
        <f>IF('Project Database'!A14="","",N('Project Database'!AM14))</f>
        <v/>
      </c>
      <c r="BU10" s="5">
        <f>IF('Project Database'!A14="","",N('Project Database'!AN14))</f>
        <v/>
      </c>
      <c r="BV10" s="5">
        <f>IF('Project Database'!A14="","",N('Project Database'!AO14))</f>
        <v/>
      </c>
      <c r="BW10" s="5">
        <f>IF('Project Database'!A14="","",N('Project Database'!AP14))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</row>
    <row r="11" ht="15" customHeight="1" s="74">
      <c r="A11" s="66">
        <f>'Project Database'!A15</f>
        <v/>
      </c>
      <c r="B11" s="66">
        <f>'Project Database'!B15</f>
        <v/>
      </c>
      <c r="C11" s="66">
        <f>'Project Database'!G15</f>
        <v/>
      </c>
      <c r="D11" s="66">
        <f>'Project Database'!H15</f>
        <v/>
      </c>
      <c r="E11" s="66">
        <f>'Project Database'!I15</f>
        <v/>
      </c>
      <c r="F11" s="66">
        <f>'Project Database'!J15</f>
        <v/>
      </c>
      <c r="G11" s="66">
        <f>'Project Database'!K15</f>
        <v/>
      </c>
      <c r="H11" s="66">
        <f>'Project Database'!L15</f>
        <v/>
      </c>
      <c r="I11" s="66">
        <f>'Project Database'!M15</f>
        <v/>
      </c>
      <c r="J11" s="66">
        <f>'Project Database'!N15</f>
        <v/>
      </c>
      <c r="K11" s="66">
        <f>'Project Database'!O15</f>
        <v/>
      </c>
      <c r="L11" s="66">
        <f>'Project Database'!P15</f>
        <v/>
      </c>
      <c r="M11" s="66">
        <f>'Project Database'!Q15</f>
        <v/>
      </c>
      <c r="N11" s="66">
        <f>'Project Database'!R15</f>
        <v/>
      </c>
      <c r="O11" s="66">
        <f>'Project Database'!S15</f>
        <v/>
      </c>
      <c r="P11" s="66">
        <f>'Project Database'!T15</f>
        <v/>
      </c>
      <c r="Q11" s="66">
        <f>'Project Database'!U15</f>
        <v/>
      </c>
      <c r="R11" s="66">
        <f>'Project Database'!V15</f>
        <v/>
      </c>
      <c r="S11" s="66">
        <f>'Project Database'!W15</f>
        <v/>
      </c>
      <c r="T11" s="66">
        <f>'Project Database'!X15</f>
        <v/>
      </c>
      <c r="U11" s="67">
        <f>'Project Database'!Y15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'Project Database'!Z15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IF(AND('Project Database'!A15&lt;&gt;"",OR('Smart Search'!$L$5="",'Smart Search'!$L$5="All",TRIM('Project Database'!D15)=TRIM('Smart Search'!$L$5)),OR(TRIM('Smart Search'!$L$6)="",TRIM('Smart Search'!$L$6)="All",ISNUMBER(SEARCH(SUBSTITUTE(SUBSTITUTE(SUBSTITUTE(TRIM('Smart Search'!$L$6),"~","~~"),"*","~*"),"?","~?"),'Project Database'!C15))),OR('Smart Search'!$L$7="",AND('Project Database'!E15&lt;&gt;"",'Project Database'!E15='Smart Search'!$L$7)),OR('Smart Search'!$L$8="",'Smart Search'!$L$8="All",TRIM('Project Database'!F15)=TRIM('Smart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IF('Project Database'!A15="","",N('Project Database'!AC15))</f>
        <v/>
      </c>
      <c r="BK11" s="5">
        <f>IF('Project Database'!A15="","",N('Project Database'!AD15))</f>
        <v/>
      </c>
      <c r="BL11" s="5">
        <f>IF('Project Database'!A15="","",N('Project Database'!AE15))</f>
        <v/>
      </c>
      <c r="BM11" s="5">
        <f>IF('Project Database'!A15="","",N('Project Database'!AF15))</f>
        <v/>
      </c>
      <c r="BN11" s="5">
        <f>IF('Project Database'!A15="","",N('Project Database'!AG15))</f>
        <v/>
      </c>
      <c r="BO11" s="5">
        <f>IF('Project Database'!A15="","",N('Project Database'!AH15))</f>
        <v/>
      </c>
      <c r="BP11" s="5">
        <f>IF('Project Database'!A15="","",N('Project Database'!AI15))</f>
        <v/>
      </c>
      <c r="BQ11" s="5">
        <f>IF('Project Database'!A15="","",N('Project Database'!AJ15))</f>
        <v/>
      </c>
      <c r="BR11" s="5">
        <f>IF('Project Database'!A15="","",N('Project Database'!AK15))</f>
        <v/>
      </c>
      <c r="BS11" s="5">
        <f>IF('Project Database'!A15="","",N('Project Database'!AL15))</f>
        <v/>
      </c>
      <c r="BT11" s="5">
        <f>IF('Project Database'!A15="","",N('Project Database'!AM15))</f>
        <v/>
      </c>
      <c r="BU11" s="5">
        <f>IF('Project Database'!A15="","",N('Project Database'!AN15))</f>
        <v/>
      </c>
      <c r="BV11" s="5">
        <f>IF('Project Database'!A15="","",N('Project Database'!AO15))</f>
        <v/>
      </c>
      <c r="BW11" s="5">
        <f>IF('Project Database'!A15="","",N('Project Database'!AP15))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</row>
    <row r="12" ht="15" customHeight="1" s="74">
      <c r="A12" s="66">
        <f>'Project Database'!A16</f>
        <v/>
      </c>
      <c r="B12" s="66">
        <f>'Project Database'!B16</f>
        <v/>
      </c>
      <c r="C12" s="66">
        <f>'Project Database'!G16</f>
        <v/>
      </c>
      <c r="D12" s="66">
        <f>'Project Database'!H16</f>
        <v/>
      </c>
      <c r="E12" s="66">
        <f>'Project Database'!I16</f>
        <v/>
      </c>
      <c r="F12" s="66">
        <f>'Project Database'!J16</f>
        <v/>
      </c>
      <c r="G12" s="66">
        <f>'Project Database'!K16</f>
        <v/>
      </c>
      <c r="H12" s="66">
        <f>'Project Database'!L16</f>
        <v/>
      </c>
      <c r="I12" s="66">
        <f>'Project Database'!M16</f>
        <v/>
      </c>
      <c r="J12" s="66">
        <f>'Project Database'!N16</f>
        <v/>
      </c>
      <c r="K12" s="66">
        <f>'Project Database'!O16</f>
        <v/>
      </c>
      <c r="L12" s="66">
        <f>'Project Database'!P16</f>
        <v/>
      </c>
      <c r="M12" s="66">
        <f>'Project Database'!Q16</f>
        <v/>
      </c>
      <c r="N12" s="66">
        <f>'Project Database'!R16</f>
        <v/>
      </c>
      <c r="O12" s="66">
        <f>'Project Database'!S16</f>
        <v/>
      </c>
      <c r="P12" s="66">
        <f>'Project Database'!T16</f>
        <v/>
      </c>
      <c r="Q12" s="66">
        <f>'Project Database'!U16</f>
        <v/>
      </c>
      <c r="R12" s="66">
        <f>'Project Database'!V16</f>
        <v/>
      </c>
      <c r="S12" s="66">
        <f>'Project Database'!W16</f>
        <v/>
      </c>
      <c r="T12" s="66">
        <f>'Project Database'!X16</f>
        <v/>
      </c>
      <c r="U12" s="67">
        <f>'Project Database'!Y16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'Project Database'!Z16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IF(AND('Project Database'!A16&lt;&gt;"",OR('Smart Search'!$L$5="",'Smart Search'!$L$5="All",TRIM('Project Database'!D16)=TRIM('Smart Search'!$L$5)),OR(TRIM('Smart Search'!$L$6)="",TRIM('Smart Search'!$L$6)="All",ISNUMBER(SEARCH(SUBSTITUTE(SUBSTITUTE(SUBSTITUTE(TRIM('Smart Search'!$L$6),"~","~~"),"*","~*"),"?","~?"),'Project Database'!C16))),OR('Smart Search'!$L$7="",AND('Project Database'!E16&lt;&gt;"",'Project Database'!E16='Smart Search'!$L$7)),OR('Smart Search'!$L$8="",'Smart Search'!$L$8="All",TRIM('Project Database'!F16)=TRIM('Smart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IF('Project Database'!A16="","",N('Project Database'!AC16))</f>
        <v/>
      </c>
      <c r="BK12" s="5">
        <f>IF('Project Database'!A16="","",N('Project Database'!AD16))</f>
        <v/>
      </c>
      <c r="BL12" s="5">
        <f>IF('Project Database'!A16="","",N('Project Database'!AE16))</f>
        <v/>
      </c>
      <c r="BM12" s="5">
        <f>IF('Project Database'!A16="","",N('Project Database'!AF16))</f>
        <v/>
      </c>
      <c r="BN12" s="5">
        <f>IF('Project Database'!A16="","",N('Project Database'!AG16))</f>
        <v/>
      </c>
      <c r="BO12" s="5">
        <f>IF('Project Database'!A16="","",N('Project Database'!AH16))</f>
        <v/>
      </c>
      <c r="BP12" s="5">
        <f>IF('Project Database'!A16="","",N('Project Database'!AI16))</f>
        <v/>
      </c>
      <c r="BQ12" s="5">
        <f>IF('Project Database'!A16="","",N('Project Database'!AJ16))</f>
        <v/>
      </c>
      <c r="BR12" s="5">
        <f>IF('Project Database'!A16="","",N('Project Database'!AK16))</f>
        <v/>
      </c>
      <c r="BS12" s="5">
        <f>IF('Project Database'!A16="","",N('Project Database'!AL16))</f>
        <v/>
      </c>
      <c r="BT12" s="5">
        <f>IF('Project Database'!A16="","",N('Project Database'!AM16))</f>
        <v/>
      </c>
      <c r="BU12" s="5">
        <f>IF('Project Database'!A16="","",N('Project Database'!AN16))</f>
        <v/>
      </c>
      <c r="BV12" s="5">
        <f>IF('Project Database'!A16="","",N('Project Database'!AO16))</f>
        <v/>
      </c>
      <c r="BW12" s="5">
        <f>IF('Project Database'!A16="","",N('Project Database'!AP16))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</row>
    <row r="13" ht="15" customHeight="1" s="74">
      <c r="A13" s="66">
        <f>'Project Database'!A17</f>
        <v/>
      </c>
      <c r="B13" s="66">
        <f>'Project Database'!B17</f>
        <v/>
      </c>
      <c r="C13" s="66">
        <f>'Project Database'!G17</f>
        <v/>
      </c>
      <c r="D13" s="66">
        <f>'Project Database'!H17</f>
        <v/>
      </c>
      <c r="E13" s="66">
        <f>'Project Database'!I17</f>
        <v/>
      </c>
      <c r="F13" s="66">
        <f>'Project Database'!J17</f>
        <v/>
      </c>
      <c r="G13" s="66">
        <f>'Project Database'!K17</f>
        <v/>
      </c>
      <c r="H13" s="66">
        <f>'Project Database'!L17</f>
        <v/>
      </c>
      <c r="I13" s="66">
        <f>'Project Database'!M17</f>
        <v/>
      </c>
      <c r="J13" s="66">
        <f>'Project Database'!N17</f>
        <v/>
      </c>
      <c r="K13" s="66">
        <f>'Project Database'!O17</f>
        <v/>
      </c>
      <c r="L13" s="66">
        <f>'Project Database'!P17</f>
        <v/>
      </c>
      <c r="M13" s="66">
        <f>'Project Database'!Q17</f>
        <v/>
      </c>
      <c r="N13" s="66">
        <f>'Project Database'!R17</f>
        <v/>
      </c>
      <c r="O13" s="66">
        <f>'Project Database'!S17</f>
        <v/>
      </c>
      <c r="P13" s="66">
        <f>'Project Database'!T17</f>
        <v/>
      </c>
      <c r="Q13" s="66">
        <f>'Project Database'!U17</f>
        <v/>
      </c>
      <c r="R13" s="66">
        <f>'Project Database'!V17</f>
        <v/>
      </c>
      <c r="S13" s="66">
        <f>'Project Database'!W17</f>
        <v/>
      </c>
      <c r="T13" s="66">
        <f>'Project Database'!X17</f>
        <v/>
      </c>
      <c r="U13" s="67">
        <f>'Project Database'!Y17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'Project Database'!Z17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IF(AND('Project Database'!A17&lt;&gt;"",OR('Smart Search'!$L$5="",'Smart Search'!$L$5="All",TRIM('Project Database'!D17)=TRIM('Smart Search'!$L$5)),OR(TRIM('Smart Search'!$L$6)="",TRIM('Smart Search'!$L$6)="All",ISNUMBER(SEARCH(SUBSTITUTE(SUBSTITUTE(SUBSTITUTE(TRIM('Smart Search'!$L$6),"~","~~"),"*","~*"),"?","~?"),'Project Database'!C17))),OR('Smart Search'!$L$7="",AND('Project Database'!E17&lt;&gt;"",'Project Database'!E17='Smart Search'!$L$7)),OR('Smart Search'!$L$8="",'Smart Search'!$L$8="All",TRIM('Project Database'!F17)=TRIM('Smart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IF('Project Database'!A17="","",N('Project Database'!AC17))</f>
        <v/>
      </c>
      <c r="BK13" s="5">
        <f>IF('Project Database'!A17="","",N('Project Database'!AD17))</f>
        <v/>
      </c>
      <c r="BL13" s="5">
        <f>IF('Project Database'!A17="","",N('Project Database'!AE17))</f>
        <v/>
      </c>
      <c r="BM13" s="5">
        <f>IF('Project Database'!A17="","",N('Project Database'!AF17))</f>
        <v/>
      </c>
      <c r="BN13" s="5">
        <f>IF('Project Database'!A17="","",N('Project Database'!AG17))</f>
        <v/>
      </c>
      <c r="BO13" s="5">
        <f>IF('Project Database'!A17="","",N('Project Database'!AH17))</f>
        <v/>
      </c>
      <c r="BP13" s="5">
        <f>IF('Project Database'!A17="","",N('Project Database'!AI17))</f>
        <v/>
      </c>
      <c r="BQ13" s="5">
        <f>IF('Project Database'!A17="","",N('Project Database'!AJ17))</f>
        <v/>
      </c>
      <c r="BR13" s="5">
        <f>IF('Project Database'!A17="","",N('Project Database'!AK17))</f>
        <v/>
      </c>
      <c r="BS13" s="5">
        <f>IF('Project Database'!A17="","",N('Project Database'!AL17))</f>
        <v/>
      </c>
      <c r="BT13" s="5">
        <f>IF('Project Database'!A17="","",N('Project Database'!AM17))</f>
        <v/>
      </c>
      <c r="BU13" s="5">
        <f>IF('Project Database'!A17="","",N('Project Database'!AN17))</f>
        <v/>
      </c>
      <c r="BV13" s="5">
        <f>IF('Project Database'!A17="","",N('Project Database'!AO17))</f>
        <v/>
      </c>
      <c r="BW13" s="5">
        <f>IF('Project Database'!A17="","",N('Project Database'!AP17))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</row>
    <row r="14" ht="15" customHeight="1" s="74">
      <c r="A14" s="66">
        <f>'Project Database'!A18</f>
        <v/>
      </c>
      <c r="B14" s="66">
        <f>'Project Database'!B18</f>
        <v/>
      </c>
      <c r="C14" s="66">
        <f>'Project Database'!G18</f>
        <v/>
      </c>
      <c r="D14" s="66">
        <f>'Project Database'!H18</f>
        <v/>
      </c>
      <c r="E14" s="66">
        <f>'Project Database'!I18</f>
        <v/>
      </c>
      <c r="F14" s="66">
        <f>'Project Database'!J18</f>
        <v/>
      </c>
      <c r="G14" s="66">
        <f>'Project Database'!K18</f>
        <v/>
      </c>
      <c r="H14" s="66">
        <f>'Project Database'!L18</f>
        <v/>
      </c>
      <c r="I14" s="66">
        <f>'Project Database'!M18</f>
        <v/>
      </c>
      <c r="J14" s="66">
        <f>'Project Database'!N18</f>
        <v/>
      </c>
      <c r="K14" s="66">
        <f>'Project Database'!O18</f>
        <v/>
      </c>
      <c r="L14" s="66">
        <f>'Project Database'!P18</f>
        <v/>
      </c>
      <c r="M14" s="66">
        <f>'Project Database'!Q18</f>
        <v/>
      </c>
      <c r="N14" s="66">
        <f>'Project Database'!R18</f>
        <v/>
      </c>
      <c r="O14" s="66">
        <f>'Project Database'!S18</f>
        <v/>
      </c>
      <c r="P14" s="66">
        <f>'Project Database'!T18</f>
        <v/>
      </c>
      <c r="Q14" s="66">
        <f>'Project Database'!U18</f>
        <v/>
      </c>
      <c r="R14" s="66">
        <f>'Project Database'!V18</f>
        <v/>
      </c>
      <c r="S14" s="66">
        <f>'Project Database'!W18</f>
        <v/>
      </c>
      <c r="T14" s="66">
        <f>'Project Database'!X18</f>
        <v/>
      </c>
      <c r="U14" s="67">
        <f>'Project Database'!Y18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'Project Database'!Z18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IF(AND('Project Database'!A18&lt;&gt;"",OR('Smart Search'!$L$5="",'Smart Search'!$L$5="All",TRIM('Project Database'!D18)=TRIM('Smart Search'!$L$5)),OR(TRIM('Smart Search'!$L$6)="",TRIM('Smart Search'!$L$6)="All",ISNUMBER(SEARCH(SUBSTITUTE(SUBSTITUTE(SUBSTITUTE(TRIM('Smart Search'!$L$6),"~","~~"),"*","~*"),"?","~?"),'Project Database'!C18))),OR('Smart Search'!$L$7="",AND('Project Database'!E18&lt;&gt;"",'Project Database'!E18='Smart Search'!$L$7)),OR('Smart Search'!$L$8="",'Smart Search'!$L$8="All",TRIM('Project Database'!F18)=TRIM('Smart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IF('Project Database'!A18="","",N('Project Database'!AC18))</f>
        <v/>
      </c>
      <c r="BK14" s="5">
        <f>IF('Project Database'!A18="","",N('Project Database'!AD18))</f>
        <v/>
      </c>
      <c r="BL14" s="5">
        <f>IF('Project Database'!A18="","",N('Project Database'!AE18))</f>
        <v/>
      </c>
      <c r="BM14" s="5">
        <f>IF('Project Database'!A18="","",N('Project Database'!AF18))</f>
        <v/>
      </c>
      <c r="BN14" s="5">
        <f>IF('Project Database'!A18="","",N('Project Database'!AG18))</f>
        <v/>
      </c>
      <c r="BO14" s="5">
        <f>IF('Project Database'!A18="","",N('Project Database'!AH18))</f>
        <v/>
      </c>
      <c r="BP14" s="5">
        <f>IF('Project Database'!A18="","",N('Project Database'!AI18))</f>
        <v/>
      </c>
      <c r="BQ14" s="5">
        <f>IF('Project Database'!A18="","",N('Project Database'!AJ18))</f>
        <v/>
      </c>
      <c r="BR14" s="5">
        <f>IF('Project Database'!A18="","",N('Project Database'!AK18))</f>
        <v/>
      </c>
      <c r="BS14" s="5">
        <f>IF('Project Database'!A18="","",N('Project Database'!AL18))</f>
        <v/>
      </c>
      <c r="BT14" s="5">
        <f>IF('Project Database'!A18="","",N('Project Database'!AM18))</f>
        <v/>
      </c>
      <c r="BU14" s="5">
        <f>IF('Project Database'!A18="","",N('Project Database'!AN18))</f>
        <v/>
      </c>
      <c r="BV14" s="5">
        <f>IF('Project Database'!A18="","",N('Project Database'!AO18))</f>
        <v/>
      </c>
      <c r="BW14" s="5">
        <f>IF('Project Database'!A18="","",N('Project Database'!AP18))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</row>
    <row r="15" ht="15" customHeight="1" s="74">
      <c r="A15" s="66">
        <f>'Project Database'!A19</f>
        <v/>
      </c>
      <c r="B15" s="66">
        <f>'Project Database'!B19</f>
        <v/>
      </c>
      <c r="C15" s="66">
        <f>'Project Database'!G19</f>
        <v/>
      </c>
      <c r="D15" s="66">
        <f>'Project Database'!H19</f>
        <v/>
      </c>
      <c r="E15" s="66">
        <f>'Project Database'!I19</f>
        <v/>
      </c>
      <c r="F15" s="66">
        <f>'Project Database'!J19</f>
        <v/>
      </c>
      <c r="G15" s="66">
        <f>'Project Database'!K19</f>
        <v/>
      </c>
      <c r="H15" s="66">
        <f>'Project Database'!L19</f>
        <v/>
      </c>
      <c r="I15" s="66">
        <f>'Project Database'!M19</f>
        <v/>
      </c>
      <c r="J15" s="66">
        <f>'Project Database'!N19</f>
        <v/>
      </c>
      <c r="K15" s="66">
        <f>'Project Database'!O19</f>
        <v/>
      </c>
      <c r="L15" s="66">
        <f>'Project Database'!P19</f>
        <v/>
      </c>
      <c r="M15" s="66">
        <f>'Project Database'!Q19</f>
        <v/>
      </c>
      <c r="N15" s="66">
        <f>'Project Database'!R19</f>
        <v/>
      </c>
      <c r="O15" s="66">
        <f>'Project Database'!S19</f>
        <v/>
      </c>
      <c r="P15" s="66">
        <f>'Project Database'!T19</f>
        <v/>
      </c>
      <c r="Q15" s="66">
        <f>'Project Database'!U19</f>
        <v/>
      </c>
      <c r="R15" s="66">
        <f>'Project Database'!V19</f>
        <v/>
      </c>
      <c r="S15" s="66">
        <f>'Project Database'!W19</f>
        <v/>
      </c>
      <c r="T15" s="66">
        <f>'Project Database'!X19</f>
        <v/>
      </c>
      <c r="U15" s="67">
        <f>'Project Database'!Y19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'Project Database'!Z19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IF(AND('Project Database'!A19&lt;&gt;"",OR('Smart Search'!$L$5="",'Smart Search'!$L$5="All",TRIM('Project Database'!D19)=TRIM('Smart Search'!$L$5)),OR(TRIM('Smart Search'!$L$6)="",TRIM('Smart Search'!$L$6)="All",ISNUMBER(SEARCH(SUBSTITUTE(SUBSTITUTE(SUBSTITUTE(TRIM('Smart Search'!$L$6),"~","~~"),"*","~*"),"?","~?"),'Project Database'!C19))),OR('Smart Search'!$L$7="",AND('Project Database'!E19&lt;&gt;"",'Project Database'!E19='Smart Search'!$L$7)),OR('Smart Search'!$L$8="",'Smart Search'!$L$8="All",TRIM('Project Database'!F19)=TRIM('Smart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IF('Project Database'!A19="","",N('Project Database'!AC19))</f>
        <v/>
      </c>
      <c r="BK15" s="5">
        <f>IF('Project Database'!A19="","",N('Project Database'!AD19))</f>
        <v/>
      </c>
      <c r="BL15" s="5">
        <f>IF('Project Database'!A19="","",N('Project Database'!AE19))</f>
        <v/>
      </c>
      <c r="BM15" s="5">
        <f>IF('Project Database'!A19="","",N('Project Database'!AF19))</f>
        <v/>
      </c>
      <c r="BN15" s="5">
        <f>IF('Project Database'!A19="","",N('Project Database'!AG19))</f>
        <v/>
      </c>
      <c r="BO15" s="5">
        <f>IF('Project Database'!A19="","",N('Project Database'!AH19))</f>
        <v/>
      </c>
      <c r="BP15" s="5">
        <f>IF('Project Database'!A19="","",N('Project Database'!AI19))</f>
        <v/>
      </c>
      <c r="BQ15" s="5">
        <f>IF('Project Database'!A19="","",N('Project Database'!AJ19))</f>
        <v/>
      </c>
      <c r="BR15" s="5">
        <f>IF('Project Database'!A19="","",N('Project Database'!AK19))</f>
        <v/>
      </c>
      <c r="BS15" s="5">
        <f>IF('Project Database'!A19="","",N('Project Database'!AL19))</f>
        <v/>
      </c>
      <c r="BT15" s="5">
        <f>IF('Project Database'!A19="","",N('Project Database'!AM19))</f>
        <v/>
      </c>
      <c r="BU15" s="5">
        <f>IF('Project Database'!A19="","",N('Project Database'!AN19))</f>
        <v/>
      </c>
      <c r="BV15" s="5">
        <f>IF('Project Database'!A19="","",N('Project Database'!AO19))</f>
        <v/>
      </c>
      <c r="BW15" s="5">
        <f>IF('Project Database'!A19="","",N('Project Database'!AP19))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</row>
    <row r="16" ht="15" customHeight="1" s="74">
      <c r="A16" s="66">
        <f>'Project Database'!A20</f>
        <v/>
      </c>
      <c r="B16" s="66">
        <f>'Project Database'!B20</f>
        <v/>
      </c>
      <c r="C16" s="66">
        <f>'Project Database'!G20</f>
        <v/>
      </c>
      <c r="D16" s="66">
        <f>'Project Database'!H20</f>
        <v/>
      </c>
      <c r="E16" s="66">
        <f>'Project Database'!I20</f>
        <v/>
      </c>
      <c r="F16" s="66">
        <f>'Project Database'!J20</f>
        <v/>
      </c>
      <c r="G16" s="66">
        <f>'Project Database'!K20</f>
        <v/>
      </c>
      <c r="H16" s="66">
        <f>'Project Database'!L20</f>
        <v/>
      </c>
      <c r="I16" s="66">
        <f>'Project Database'!M20</f>
        <v/>
      </c>
      <c r="J16" s="66">
        <f>'Project Database'!N20</f>
        <v/>
      </c>
      <c r="K16" s="66">
        <f>'Project Database'!O20</f>
        <v/>
      </c>
      <c r="L16" s="66">
        <f>'Project Database'!P20</f>
        <v/>
      </c>
      <c r="M16" s="66">
        <f>'Project Database'!Q20</f>
        <v/>
      </c>
      <c r="N16" s="66">
        <f>'Project Database'!R20</f>
        <v/>
      </c>
      <c r="O16" s="66">
        <f>'Project Database'!S20</f>
        <v/>
      </c>
      <c r="P16" s="66">
        <f>'Project Database'!T20</f>
        <v/>
      </c>
      <c r="Q16" s="66">
        <f>'Project Database'!U20</f>
        <v/>
      </c>
      <c r="R16" s="66">
        <f>'Project Database'!V20</f>
        <v/>
      </c>
      <c r="S16" s="66">
        <f>'Project Database'!W20</f>
        <v/>
      </c>
      <c r="T16" s="66">
        <f>'Project Database'!X20</f>
        <v/>
      </c>
      <c r="U16" s="67">
        <f>'Project Database'!Y20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'Project Database'!Z20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IF(AND('Project Database'!A20&lt;&gt;"",OR('Smart Search'!$L$5="",'Smart Search'!$L$5="All",TRIM('Project Database'!D20)=TRIM('Smart Search'!$L$5)),OR(TRIM('Smart Search'!$L$6)="",TRIM('Smart Search'!$L$6)="All",ISNUMBER(SEARCH(SUBSTITUTE(SUBSTITUTE(SUBSTITUTE(TRIM('Smart Search'!$L$6),"~","~~"),"*","~*"),"?","~?"),'Project Database'!C20))),OR('Smart Search'!$L$7="",AND('Project Database'!E20&lt;&gt;"",'Project Database'!E20='Smart Search'!$L$7)),OR('Smart Search'!$L$8="",'Smart Search'!$L$8="All",TRIM('Project Database'!F20)=TRIM('Smart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IF('Project Database'!A20="","",N('Project Database'!AC20))</f>
        <v/>
      </c>
      <c r="BK16" s="5">
        <f>IF('Project Database'!A20="","",N('Project Database'!AD20))</f>
        <v/>
      </c>
      <c r="BL16" s="5">
        <f>IF('Project Database'!A20="","",N('Project Database'!AE20))</f>
        <v/>
      </c>
      <c r="BM16" s="5">
        <f>IF('Project Database'!A20="","",N('Project Database'!AF20))</f>
        <v/>
      </c>
      <c r="BN16" s="5">
        <f>IF('Project Database'!A20="","",N('Project Database'!AG20))</f>
        <v/>
      </c>
      <c r="BO16" s="5">
        <f>IF('Project Database'!A20="","",N('Project Database'!AH20))</f>
        <v/>
      </c>
      <c r="BP16" s="5">
        <f>IF('Project Database'!A20="","",N('Project Database'!AI20))</f>
        <v/>
      </c>
      <c r="BQ16" s="5">
        <f>IF('Project Database'!A20="","",N('Project Database'!AJ20))</f>
        <v/>
      </c>
      <c r="BR16" s="5">
        <f>IF('Project Database'!A20="","",N('Project Database'!AK20))</f>
        <v/>
      </c>
      <c r="BS16" s="5">
        <f>IF('Project Database'!A20="","",N('Project Database'!AL20))</f>
        <v/>
      </c>
      <c r="BT16" s="5">
        <f>IF('Project Database'!A20="","",N('Project Database'!AM20))</f>
        <v/>
      </c>
      <c r="BU16" s="5">
        <f>IF('Project Database'!A20="","",N('Project Database'!AN20))</f>
        <v/>
      </c>
      <c r="BV16" s="5">
        <f>IF('Project Database'!A20="","",N('Project Database'!AO20))</f>
        <v/>
      </c>
      <c r="BW16" s="5">
        <f>IF('Project Database'!A20="","",N('Project Database'!AP20))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</row>
    <row r="17" ht="15" customHeight="1" s="74">
      <c r="A17" s="66">
        <f>'Project Database'!A21</f>
        <v/>
      </c>
      <c r="B17" s="66">
        <f>'Project Database'!B21</f>
        <v/>
      </c>
      <c r="C17" s="66">
        <f>'Project Database'!G21</f>
        <v/>
      </c>
      <c r="D17" s="66">
        <f>'Project Database'!H21</f>
        <v/>
      </c>
      <c r="E17" s="66">
        <f>'Project Database'!I21</f>
        <v/>
      </c>
      <c r="F17" s="66">
        <f>'Project Database'!J21</f>
        <v/>
      </c>
      <c r="G17" s="66">
        <f>'Project Database'!K21</f>
        <v/>
      </c>
      <c r="H17" s="66">
        <f>'Project Database'!L21</f>
        <v/>
      </c>
      <c r="I17" s="66">
        <f>'Project Database'!M21</f>
        <v/>
      </c>
      <c r="J17" s="66">
        <f>'Project Database'!N21</f>
        <v/>
      </c>
      <c r="K17" s="66">
        <f>'Project Database'!O21</f>
        <v/>
      </c>
      <c r="L17" s="66">
        <f>'Project Database'!P21</f>
        <v/>
      </c>
      <c r="M17" s="66">
        <f>'Project Database'!Q21</f>
        <v/>
      </c>
      <c r="N17" s="66">
        <f>'Project Database'!R21</f>
        <v/>
      </c>
      <c r="O17" s="66">
        <f>'Project Database'!S21</f>
        <v/>
      </c>
      <c r="P17" s="66">
        <f>'Project Database'!T21</f>
        <v/>
      </c>
      <c r="Q17" s="66">
        <f>'Project Database'!U21</f>
        <v/>
      </c>
      <c r="R17" s="66">
        <f>'Project Database'!V21</f>
        <v/>
      </c>
      <c r="S17" s="66">
        <f>'Project Database'!W21</f>
        <v/>
      </c>
      <c r="T17" s="66">
        <f>'Project Database'!X21</f>
        <v/>
      </c>
      <c r="U17" s="67">
        <f>'Project Database'!Y21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'Project Database'!Z21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IF(AND('Project Database'!A21&lt;&gt;"",OR('Smart Search'!$L$5="",'Smart Search'!$L$5="All",TRIM('Project Database'!D21)=TRIM('Smart Search'!$L$5)),OR(TRIM('Smart Search'!$L$6)="",TRIM('Smart Search'!$L$6)="All",ISNUMBER(SEARCH(SUBSTITUTE(SUBSTITUTE(SUBSTITUTE(TRIM('Smart Search'!$L$6),"~","~~"),"*","~*"),"?","~?"),'Project Database'!C21))),OR('Smart Search'!$L$7="",AND('Project Database'!E21&lt;&gt;"",'Project Database'!E21='Smart Search'!$L$7)),OR('Smart Search'!$L$8="",'Smart Search'!$L$8="All",TRIM('Project Database'!F21)=TRIM('Smart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IF('Project Database'!A21="","",N('Project Database'!AC21))</f>
        <v/>
      </c>
      <c r="BK17" s="5">
        <f>IF('Project Database'!A21="","",N('Project Database'!AD21))</f>
        <v/>
      </c>
      <c r="BL17" s="5">
        <f>IF('Project Database'!A21="","",N('Project Database'!AE21))</f>
        <v/>
      </c>
      <c r="BM17" s="5">
        <f>IF('Project Database'!A21="","",N('Project Database'!AF21))</f>
        <v/>
      </c>
      <c r="BN17" s="5">
        <f>IF('Project Database'!A21="","",N('Project Database'!AG21))</f>
        <v/>
      </c>
      <c r="BO17" s="5">
        <f>IF('Project Database'!A21="","",N('Project Database'!AH21))</f>
        <v/>
      </c>
      <c r="BP17" s="5">
        <f>IF('Project Database'!A21="","",N('Project Database'!AI21))</f>
        <v/>
      </c>
      <c r="BQ17" s="5">
        <f>IF('Project Database'!A21="","",N('Project Database'!AJ21))</f>
        <v/>
      </c>
      <c r="BR17" s="5">
        <f>IF('Project Database'!A21="","",N('Project Database'!AK21))</f>
        <v/>
      </c>
      <c r="BS17" s="5">
        <f>IF('Project Database'!A21="","",N('Project Database'!AL21))</f>
        <v/>
      </c>
      <c r="BT17" s="5">
        <f>IF('Project Database'!A21="","",N('Project Database'!AM21))</f>
        <v/>
      </c>
      <c r="BU17" s="5">
        <f>IF('Project Database'!A21="","",N('Project Database'!AN21))</f>
        <v/>
      </c>
      <c r="BV17" s="5">
        <f>IF('Project Database'!A21="","",N('Project Database'!AO21))</f>
        <v/>
      </c>
      <c r="BW17" s="5">
        <f>IF('Project Database'!A21="","",N('Project Database'!AP21))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</row>
    <row r="18" ht="15" customHeight="1" s="74">
      <c r="A18" s="66">
        <f>'Project Database'!A22</f>
        <v/>
      </c>
      <c r="B18" s="66">
        <f>'Project Database'!B22</f>
        <v/>
      </c>
      <c r="C18" s="66">
        <f>'Project Database'!G22</f>
        <v/>
      </c>
      <c r="D18" s="66">
        <f>'Project Database'!H22</f>
        <v/>
      </c>
      <c r="E18" s="66">
        <f>'Project Database'!I22</f>
        <v/>
      </c>
      <c r="F18" s="66">
        <f>'Project Database'!J22</f>
        <v/>
      </c>
      <c r="G18" s="66">
        <f>'Project Database'!K22</f>
        <v/>
      </c>
      <c r="H18" s="66">
        <f>'Project Database'!L22</f>
        <v/>
      </c>
      <c r="I18" s="66">
        <f>'Project Database'!M22</f>
        <v/>
      </c>
      <c r="J18" s="66">
        <f>'Project Database'!N22</f>
        <v/>
      </c>
      <c r="K18" s="66">
        <f>'Project Database'!O22</f>
        <v/>
      </c>
      <c r="L18" s="66">
        <f>'Project Database'!P22</f>
        <v/>
      </c>
      <c r="M18" s="66">
        <f>'Project Database'!Q22</f>
        <v/>
      </c>
      <c r="N18" s="66">
        <f>'Project Database'!R22</f>
        <v/>
      </c>
      <c r="O18" s="66">
        <f>'Project Database'!S22</f>
        <v/>
      </c>
      <c r="P18" s="66">
        <f>'Project Database'!T22</f>
        <v/>
      </c>
      <c r="Q18" s="66">
        <f>'Project Database'!U22</f>
        <v/>
      </c>
      <c r="R18" s="66">
        <f>'Project Database'!V22</f>
        <v/>
      </c>
      <c r="S18" s="66">
        <f>'Project Database'!W22</f>
        <v/>
      </c>
      <c r="T18" s="66">
        <f>'Project Database'!X22</f>
        <v/>
      </c>
      <c r="U18" s="67">
        <f>'Project Database'!Y22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'Project Database'!Z22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IF(AND('Project Database'!A22&lt;&gt;"",OR('Smart Search'!$L$5="",'Smart Search'!$L$5="All",TRIM('Project Database'!D22)=TRIM('Smart Search'!$L$5)),OR(TRIM('Smart Search'!$L$6)="",TRIM('Smart Search'!$L$6)="All",ISNUMBER(SEARCH(SUBSTITUTE(SUBSTITUTE(SUBSTITUTE(TRIM('Smart Search'!$L$6),"~","~~"),"*","~*"),"?","~?"),'Project Database'!C22))),OR('Smart Search'!$L$7="",AND('Project Database'!E22&lt;&gt;"",'Project Database'!E22='Smart Search'!$L$7)),OR('Smart Search'!$L$8="",'Smart Search'!$L$8="All",TRIM('Project Database'!F22)=TRIM('Smart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IF('Project Database'!A22="","",N('Project Database'!AC22))</f>
        <v/>
      </c>
      <c r="BK18" s="5">
        <f>IF('Project Database'!A22="","",N('Project Database'!AD22))</f>
        <v/>
      </c>
      <c r="BL18" s="5">
        <f>IF('Project Database'!A22="","",N('Project Database'!AE22))</f>
        <v/>
      </c>
      <c r="BM18" s="5">
        <f>IF('Project Database'!A22="","",N('Project Database'!AF22))</f>
        <v/>
      </c>
      <c r="BN18" s="5">
        <f>IF('Project Database'!A22="","",N('Project Database'!AG22))</f>
        <v/>
      </c>
      <c r="BO18" s="5">
        <f>IF('Project Database'!A22="","",N('Project Database'!AH22))</f>
        <v/>
      </c>
      <c r="BP18" s="5">
        <f>IF('Project Database'!A22="","",N('Project Database'!AI22))</f>
        <v/>
      </c>
      <c r="BQ18" s="5">
        <f>IF('Project Database'!A22="","",N('Project Database'!AJ22))</f>
        <v/>
      </c>
      <c r="BR18" s="5">
        <f>IF('Project Database'!A22="","",N('Project Database'!AK22))</f>
        <v/>
      </c>
      <c r="BS18" s="5">
        <f>IF('Project Database'!A22="","",N('Project Database'!AL22))</f>
        <v/>
      </c>
      <c r="BT18" s="5">
        <f>IF('Project Database'!A22="","",N('Project Database'!AM22))</f>
        <v/>
      </c>
      <c r="BU18" s="5">
        <f>IF('Project Database'!A22="","",N('Project Database'!AN22))</f>
        <v/>
      </c>
      <c r="BV18" s="5">
        <f>IF('Project Database'!A22="","",N('Project Database'!AO22))</f>
        <v/>
      </c>
      <c r="BW18" s="5">
        <f>IF('Project Database'!A22="","",N('Project Database'!AP22))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</row>
    <row r="19" ht="15" customHeight="1" s="74">
      <c r="A19" s="66">
        <f>'Project Database'!A23</f>
        <v/>
      </c>
      <c r="B19" s="66">
        <f>'Project Database'!B23</f>
        <v/>
      </c>
      <c r="C19" s="66">
        <f>'Project Database'!G23</f>
        <v/>
      </c>
      <c r="D19" s="66">
        <f>'Project Database'!H23</f>
        <v/>
      </c>
      <c r="E19" s="66">
        <f>'Project Database'!I23</f>
        <v/>
      </c>
      <c r="F19" s="66">
        <f>'Project Database'!J23</f>
        <v/>
      </c>
      <c r="G19" s="66">
        <f>'Project Database'!K23</f>
        <v/>
      </c>
      <c r="H19" s="66">
        <f>'Project Database'!L23</f>
        <v/>
      </c>
      <c r="I19" s="66">
        <f>'Project Database'!M23</f>
        <v/>
      </c>
      <c r="J19" s="66">
        <f>'Project Database'!N23</f>
        <v/>
      </c>
      <c r="K19" s="66">
        <f>'Project Database'!O23</f>
        <v/>
      </c>
      <c r="L19" s="66">
        <f>'Project Database'!P23</f>
        <v/>
      </c>
      <c r="M19" s="66">
        <f>'Project Database'!Q23</f>
        <v/>
      </c>
      <c r="N19" s="66">
        <f>'Project Database'!R23</f>
        <v/>
      </c>
      <c r="O19" s="66">
        <f>'Project Database'!S23</f>
        <v/>
      </c>
      <c r="P19" s="66">
        <f>'Project Database'!T23</f>
        <v/>
      </c>
      <c r="Q19" s="66">
        <f>'Project Database'!U23</f>
        <v/>
      </c>
      <c r="R19" s="66">
        <f>'Project Database'!V23</f>
        <v/>
      </c>
      <c r="S19" s="66">
        <f>'Project Database'!W23</f>
        <v/>
      </c>
      <c r="T19" s="66">
        <f>'Project Database'!X23</f>
        <v/>
      </c>
      <c r="U19" s="67">
        <f>'Project Database'!Y23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'Project Database'!Z23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IF(AND('Project Database'!A23&lt;&gt;"",OR('Smart Search'!$L$5="",'Smart Search'!$L$5="All",TRIM('Project Database'!D23)=TRIM('Smart Search'!$L$5)),OR(TRIM('Smart Search'!$L$6)="",TRIM('Smart Search'!$L$6)="All",ISNUMBER(SEARCH(SUBSTITUTE(SUBSTITUTE(SUBSTITUTE(TRIM('Smart Search'!$L$6),"~","~~"),"*","~*"),"?","~?"),'Project Database'!C23))),OR('Smart Search'!$L$7="",AND('Project Database'!E23&lt;&gt;"",'Project Database'!E23='Smart Search'!$L$7)),OR('Smart Search'!$L$8="",'Smart Search'!$L$8="All",TRIM('Project Database'!F23)=TRIM('Smart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IF('Project Database'!A23="","",N('Project Database'!AC23))</f>
        <v/>
      </c>
      <c r="BK19" s="5">
        <f>IF('Project Database'!A23="","",N('Project Database'!AD23))</f>
        <v/>
      </c>
      <c r="BL19" s="5">
        <f>IF('Project Database'!A23="","",N('Project Database'!AE23))</f>
        <v/>
      </c>
      <c r="BM19" s="5">
        <f>IF('Project Database'!A23="","",N('Project Database'!AF23))</f>
        <v/>
      </c>
      <c r="BN19" s="5">
        <f>IF('Project Database'!A23="","",N('Project Database'!AG23))</f>
        <v/>
      </c>
      <c r="BO19" s="5">
        <f>IF('Project Database'!A23="","",N('Project Database'!AH23))</f>
        <v/>
      </c>
      <c r="BP19" s="5">
        <f>IF('Project Database'!A23="","",N('Project Database'!AI23))</f>
        <v/>
      </c>
      <c r="BQ19" s="5">
        <f>IF('Project Database'!A23="","",N('Project Database'!AJ23))</f>
        <v/>
      </c>
      <c r="BR19" s="5">
        <f>IF('Project Database'!A23="","",N('Project Database'!AK23))</f>
        <v/>
      </c>
      <c r="BS19" s="5">
        <f>IF('Project Database'!A23="","",N('Project Database'!AL23))</f>
        <v/>
      </c>
      <c r="BT19" s="5">
        <f>IF('Project Database'!A23="","",N('Project Database'!AM23))</f>
        <v/>
      </c>
      <c r="BU19" s="5">
        <f>IF('Project Database'!A23="","",N('Project Database'!AN23))</f>
        <v/>
      </c>
      <c r="BV19" s="5">
        <f>IF('Project Database'!A23="","",N('Project Database'!AO23))</f>
        <v/>
      </c>
      <c r="BW19" s="5">
        <f>IF('Project Database'!A23="","",N('Project Database'!AP23))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</row>
    <row r="20" ht="15" customHeight="1" s="74">
      <c r="A20" s="66">
        <f>'Project Database'!A24</f>
        <v/>
      </c>
      <c r="B20" s="66">
        <f>'Project Database'!B24</f>
        <v/>
      </c>
      <c r="C20" s="66">
        <f>'Project Database'!G24</f>
        <v/>
      </c>
      <c r="D20" s="66">
        <f>'Project Database'!H24</f>
        <v/>
      </c>
      <c r="E20" s="66">
        <f>'Project Database'!I24</f>
        <v/>
      </c>
      <c r="F20" s="66">
        <f>'Project Database'!J24</f>
        <v/>
      </c>
      <c r="G20" s="66">
        <f>'Project Database'!K24</f>
        <v/>
      </c>
      <c r="H20" s="66">
        <f>'Project Database'!L24</f>
        <v/>
      </c>
      <c r="I20" s="66">
        <f>'Project Database'!M24</f>
        <v/>
      </c>
      <c r="J20" s="66">
        <f>'Project Database'!N24</f>
        <v/>
      </c>
      <c r="K20" s="66">
        <f>'Project Database'!O24</f>
        <v/>
      </c>
      <c r="L20" s="66">
        <f>'Project Database'!P24</f>
        <v/>
      </c>
      <c r="M20" s="66">
        <f>'Project Database'!Q24</f>
        <v/>
      </c>
      <c r="N20" s="66">
        <f>'Project Database'!R24</f>
        <v/>
      </c>
      <c r="O20" s="66">
        <f>'Project Database'!S24</f>
        <v/>
      </c>
      <c r="P20" s="66">
        <f>'Project Database'!T24</f>
        <v/>
      </c>
      <c r="Q20" s="66">
        <f>'Project Database'!U24</f>
        <v/>
      </c>
      <c r="R20" s="66">
        <f>'Project Database'!V24</f>
        <v/>
      </c>
      <c r="S20" s="66">
        <f>'Project Database'!W24</f>
        <v/>
      </c>
      <c r="T20" s="66">
        <f>'Project Database'!X24</f>
        <v/>
      </c>
      <c r="U20" s="67">
        <f>'Project Database'!Y24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'Project Database'!Z24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IF(AND('Project Database'!A24&lt;&gt;"",OR('Smart Search'!$L$5="",'Smart Search'!$L$5="All",TRIM('Project Database'!D24)=TRIM('Smart Search'!$L$5)),OR(TRIM('Smart Search'!$L$6)="",TRIM('Smart Search'!$L$6)="All",ISNUMBER(SEARCH(SUBSTITUTE(SUBSTITUTE(SUBSTITUTE(TRIM('Smart Search'!$L$6),"~","~~"),"*","~*"),"?","~?"),'Project Database'!C24))),OR('Smart Search'!$L$7="",AND('Project Database'!E24&lt;&gt;"",'Project Database'!E24='Smart Search'!$L$7)),OR('Smart Search'!$L$8="",'Smart Search'!$L$8="All",TRIM('Project Database'!F24)=TRIM('Smart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IF('Project Database'!A24="","",N('Project Database'!AC24))</f>
        <v/>
      </c>
      <c r="BK20" s="5">
        <f>IF('Project Database'!A24="","",N('Project Database'!AD24))</f>
        <v/>
      </c>
      <c r="BL20" s="5">
        <f>IF('Project Database'!A24="","",N('Project Database'!AE24))</f>
        <v/>
      </c>
      <c r="BM20" s="5">
        <f>IF('Project Database'!A24="","",N('Project Database'!AF24))</f>
        <v/>
      </c>
      <c r="BN20" s="5">
        <f>IF('Project Database'!A24="","",N('Project Database'!AG24))</f>
        <v/>
      </c>
      <c r="BO20" s="5">
        <f>IF('Project Database'!A24="","",N('Project Database'!AH24))</f>
        <v/>
      </c>
      <c r="BP20" s="5">
        <f>IF('Project Database'!A24="","",N('Project Database'!AI24))</f>
        <v/>
      </c>
      <c r="BQ20" s="5">
        <f>IF('Project Database'!A24="","",N('Project Database'!AJ24))</f>
        <v/>
      </c>
      <c r="BR20" s="5">
        <f>IF('Project Database'!A24="","",N('Project Database'!AK24))</f>
        <v/>
      </c>
      <c r="BS20" s="5">
        <f>IF('Project Database'!A24="","",N('Project Database'!AL24))</f>
        <v/>
      </c>
      <c r="BT20" s="5">
        <f>IF('Project Database'!A24="","",N('Project Database'!AM24))</f>
        <v/>
      </c>
      <c r="BU20" s="5">
        <f>IF('Project Database'!A24="","",N('Project Database'!AN24))</f>
        <v/>
      </c>
      <c r="BV20" s="5">
        <f>IF('Project Database'!A24="","",N('Project Database'!AO24))</f>
        <v/>
      </c>
      <c r="BW20" s="5">
        <f>IF('Project Database'!A24="","",N('Project Database'!AP24))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</row>
    <row r="21" ht="15" customHeight="1" s="74">
      <c r="A21" s="66">
        <f>'Project Database'!A25</f>
        <v/>
      </c>
      <c r="B21" s="66">
        <f>'Project Database'!B25</f>
        <v/>
      </c>
      <c r="C21" s="66">
        <f>'Project Database'!G25</f>
        <v/>
      </c>
      <c r="D21" s="66">
        <f>'Project Database'!H25</f>
        <v/>
      </c>
      <c r="E21" s="66">
        <f>'Project Database'!I25</f>
        <v/>
      </c>
      <c r="F21" s="66">
        <f>'Project Database'!J25</f>
        <v/>
      </c>
      <c r="G21" s="66">
        <f>'Project Database'!K25</f>
        <v/>
      </c>
      <c r="H21" s="66">
        <f>'Project Database'!L25</f>
        <v/>
      </c>
      <c r="I21" s="66">
        <f>'Project Database'!M25</f>
        <v/>
      </c>
      <c r="J21" s="66">
        <f>'Project Database'!N25</f>
        <v/>
      </c>
      <c r="K21" s="66">
        <f>'Project Database'!O25</f>
        <v/>
      </c>
      <c r="L21" s="66">
        <f>'Project Database'!P25</f>
        <v/>
      </c>
      <c r="M21" s="66">
        <f>'Project Database'!Q25</f>
        <v/>
      </c>
      <c r="N21" s="66">
        <f>'Project Database'!R25</f>
        <v/>
      </c>
      <c r="O21" s="66">
        <f>'Project Database'!S25</f>
        <v/>
      </c>
      <c r="P21" s="66">
        <f>'Project Database'!T25</f>
        <v/>
      </c>
      <c r="Q21" s="66">
        <f>'Project Database'!U25</f>
        <v/>
      </c>
      <c r="R21" s="66">
        <f>'Project Database'!V25</f>
        <v/>
      </c>
      <c r="S21" s="66">
        <f>'Project Database'!W25</f>
        <v/>
      </c>
      <c r="T21" s="66">
        <f>'Project Database'!X25</f>
        <v/>
      </c>
      <c r="U21" s="67">
        <f>'Project Database'!Y25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'Project Database'!Z25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IF(AND('Project Database'!A25&lt;&gt;"",OR('Smart Search'!$L$5="",'Smart Search'!$L$5="All",TRIM('Project Database'!D25)=TRIM('Smart Search'!$L$5)),OR(TRIM('Smart Search'!$L$6)="",TRIM('Smart Search'!$L$6)="All",ISNUMBER(SEARCH(SUBSTITUTE(SUBSTITUTE(SUBSTITUTE(TRIM('Smart Search'!$L$6),"~","~~"),"*","~*"),"?","~?"),'Project Database'!C25))),OR('Smart Search'!$L$7="",AND('Project Database'!E25&lt;&gt;"",'Project Database'!E25='Smart Search'!$L$7)),OR('Smart Search'!$L$8="",'Smart Search'!$L$8="All",TRIM('Project Database'!F25)=TRIM('Smart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IF('Project Database'!A25="","",N('Project Database'!AC25))</f>
        <v/>
      </c>
      <c r="BK21" s="5">
        <f>IF('Project Database'!A25="","",N('Project Database'!AD25))</f>
        <v/>
      </c>
      <c r="BL21" s="5">
        <f>IF('Project Database'!A25="","",N('Project Database'!AE25))</f>
        <v/>
      </c>
      <c r="BM21" s="5">
        <f>IF('Project Database'!A25="","",N('Project Database'!AF25))</f>
        <v/>
      </c>
      <c r="BN21" s="5">
        <f>IF('Project Database'!A25="","",N('Project Database'!AG25))</f>
        <v/>
      </c>
      <c r="BO21" s="5">
        <f>IF('Project Database'!A25="","",N('Project Database'!AH25))</f>
        <v/>
      </c>
      <c r="BP21" s="5">
        <f>IF('Project Database'!A25="","",N('Project Database'!AI25))</f>
        <v/>
      </c>
      <c r="BQ21" s="5">
        <f>IF('Project Database'!A25="","",N('Project Database'!AJ25))</f>
        <v/>
      </c>
      <c r="BR21" s="5">
        <f>IF('Project Database'!A25="","",N('Project Database'!AK25))</f>
        <v/>
      </c>
      <c r="BS21" s="5">
        <f>IF('Project Database'!A25="","",N('Project Database'!AL25))</f>
        <v/>
      </c>
      <c r="BT21" s="5">
        <f>IF('Project Database'!A25="","",N('Project Database'!AM25))</f>
        <v/>
      </c>
      <c r="BU21" s="5">
        <f>IF('Project Database'!A25="","",N('Project Database'!AN25))</f>
        <v/>
      </c>
      <c r="BV21" s="5">
        <f>IF('Project Database'!A25="","",N('Project Database'!AO25))</f>
        <v/>
      </c>
      <c r="BW21" s="5">
        <f>IF('Project Database'!A25="","",N('Project Database'!AP25))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</row>
    <row r="22" ht="15" customHeight="1" s="74">
      <c r="A22" s="66">
        <f>'Project Database'!A26</f>
        <v/>
      </c>
      <c r="B22" s="66">
        <f>'Project Database'!B26</f>
        <v/>
      </c>
      <c r="C22" s="66">
        <f>'Project Database'!G26</f>
        <v/>
      </c>
      <c r="D22" s="66">
        <f>'Project Database'!H26</f>
        <v/>
      </c>
      <c r="E22" s="66">
        <f>'Project Database'!I26</f>
        <v/>
      </c>
      <c r="F22" s="66">
        <f>'Project Database'!J26</f>
        <v/>
      </c>
      <c r="G22" s="66">
        <f>'Project Database'!K26</f>
        <v/>
      </c>
      <c r="H22" s="66">
        <f>'Project Database'!L26</f>
        <v/>
      </c>
      <c r="I22" s="66">
        <f>'Project Database'!M26</f>
        <v/>
      </c>
      <c r="J22" s="66">
        <f>'Project Database'!N26</f>
        <v/>
      </c>
      <c r="K22" s="66">
        <f>'Project Database'!O26</f>
        <v/>
      </c>
      <c r="L22" s="66">
        <f>'Project Database'!P26</f>
        <v/>
      </c>
      <c r="M22" s="66">
        <f>'Project Database'!Q26</f>
        <v/>
      </c>
      <c r="N22" s="66">
        <f>'Project Database'!R26</f>
        <v/>
      </c>
      <c r="O22" s="66">
        <f>'Project Database'!S26</f>
        <v/>
      </c>
      <c r="P22" s="66">
        <f>'Project Database'!T26</f>
        <v/>
      </c>
      <c r="Q22" s="66">
        <f>'Project Database'!U26</f>
        <v/>
      </c>
      <c r="R22" s="66">
        <f>'Project Database'!V26</f>
        <v/>
      </c>
      <c r="S22" s="66">
        <f>'Project Database'!W26</f>
        <v/>
      </c>
      <c r="T22" s="66">
        <f>'Project Database'!X26</f>
        <v/>
      </c>
      <c r="U22" s="67">
        <f>'Project Database'!Y26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'Project Database'!Z26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IF(AND('Project Database'!A26&lt;&gt;"",OR('Smart Search'!$L$5="",'Smart Search'!$L$5="All",TRIM('Project Database'!D26)=TRIM('Smart Search'!$L$5)),OR(TRIM('Smart Search'!$L$6)="",TRIM('Smart Search'!$L$6)="All",ISNUMBER(SEARCH(SUBSTITUTE(SUBSTITUTE(SUBSTITUTE(TRIM('Smart Search'!$L$6),"~","~~"),"*","~*"),"?","~?"),'Project Database'!C26))),OR('Smart Search'!$L$7="",AND('Project Database'!E26&lt;&gt;"",'Project Database'!E26='Smart Search'!$L$7)),OR('Smart Search'!$L$8="",'Smart Search'!$L$8="All",TRIM('Project Database'!F26)=TRIM('Smart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IF('Project Database'!A26="","",N('Project Database'!AC26))</f>
        <v/>
      </c>
      <c r="BK22" s="5">
        <f>IF('Project Database'!A26="","",N('Project Database'!AD26))</f>
        <v/>
      </c>
      <c r="BL22" s="5">
        <f>IF('Project Database'!A26="","",N('Project Database'!AE26))</f>
        <v/>
      </c>
      <c r="BM22" s="5">
        <f>IF('Project Database'!A26="","",N('Project Database'!AF26))</f>
        <v/>
      </c>
      <c r="BN22" s="5">
        <f>IF('Project Database'!A26="","",N('Project Database'!AG26))</f>
        <v/>
      </c>
      <c r="BO22" s="5">
        <f>IF('Project Database'!A26="","",N('Project Database'!AH26))</f>
        <v/>
      </c>
      <c r="BP22" s="5">
        <f>IF('Project Database'!A26="","",N('Project Database'!AI26))</f>
        <v/>
      </c>
      <c r="BQ22" s="5">
        <f>IF('Project Database'!A26="","",N('Project Database'!AJ26))</f>
        <v/>
      </c>
      <c r="BR22" s="5">
        <f>IF('Project Database'!A26="","",N('Project Database'!AK26))</f>
        <v/>
      </c>
      <c r="BS22" s="5">
        <f>IF('Project Database'!A26="","",N('Project Database'!AL26))</f>
        <v/>
      </c>
      <c r="BT22" s="5">
        <f>IF('Project Database'!A26="","",N('Project Database'!AM26))</f>
        <v/>
      </c>
      <c r="BU22" s="5">
        <f>IF('Project Database'!A26="","",N('Project Database'!AN26))</f>
        <v/>
      </c>
      <c r="BV22" s="5">
        <f>IF('Project Database'!A26="","",N('Project Database'!AO26))</f>
        <v/>
      </c>
      <c r="BW22" s="5">
        <f>IF('Project Database'!A26="","",N('Project Database'!AP26))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</row>
    <row r="23" ht="15" customHeight="1" s="74">
      <c r="A23" s="66">
        <f>'Project Database'!A27</f>
        <v/>
      </c>
      <c r="B23" s="66">
        <f>'Project Database'!B27</f>
        <v/>
      </c>
      <c r="C23" s="66">
        <f>'Project Database'!G27</f>
        <v/>
      </c>
      <c r="D23" s="66">
        <f>'Project Database'!H27</f>
        <v/>
      </c>
      <c r="E23" s="66">
        <f>'Project Database'!I27</f>
        <v/>
      </c>
      <c r="F23" s="66">
        <f>'Project Database'!J27</f>
        <v/>
      </c>
      <c r="G23" s="66">
        <f>'Project Database'!K27</f>
        <v/>
      </c>
      <c r="H23" s="66">
        <f>'Project Database'!L27</f>
        <v/>
      </c>
      <c r="I23" s="66">
        <f>'Project Database'!M27</f>
        <v/>
      </c>
      <c r="J23" s="66">
        <f>'Project Database'!N27</f>
        <v/>
      </c>
      <c r="K23" s="66">
        <f>'Project Database'!O27</f>
        <v/>
      </c>
      <c r="L23" s="66">
        <f>'Project Database'!P27</f>
        <v/>
      </c>
      <c r="M23" s="66">
        <f>'Project Database'!Q27</f>
        <v/>
      </c>
      <c r="N23" s="66">
        <f>'Project Database'!R27</f>
        <v/>
      </c>
      <c r="O23" s="66">
        <f>'Project Database'!S27</f>
        <v/>
      </c>
      <c r="P23" s="66">
        <f>'Project Database'!T27</f>
        <v/>
      </c>
      <c r="Q23" s="66">
        <f>'Project Database'!U27</f>
        <v/>
      </c>
      <c r="R23" s="66">
        <f>'Project Database'!V27</f>
        <v/>
      </c>
      <c r="S23" s="66">
        <f>'Project Database'!W27</f>
        <v/>
      </c>
      <c r="T23" s="66">
        <f>'Project Database'!X27</f>
        <v/>
      </c>
      <c r="U23" s="67">
        <f>'Project Database'!Y27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'Project Database'!Z27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IF(AND('Project Database'!A27&lt;&gt;"",OR('Smart Search'!$L$5="",'Smart Search'!$L$5="All",TRIM('Project Database'!D27)=TRIM('Smart Search'!$L$5)),OR(TRIM('Smart Search'!$L$6)="",TRIM('Smart Search'!$L$6)="All",ISNUMBER(SEARCH(SUBSTITUTE(SUBSTITUTE(SUBSTITUTE(TRIM('Smart Search'!$L$6),"~","~~"),"*","~*"),"?","~?"),'Project Database'!C27))),OR('Smart Search'!$L$7="",AND('Project Database'!E27&lt;&gt;"",'Project Database'!E27='Smart Search'!$L$7)),OR('Smart Search'!$L$8="",'Smart Search'!$L$8="All",TRIM('Project Database'!F27)=TRIM('Smart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IF('Project Database'!A27="","",N('Project Database'!AC27))</f>
        <v/>
      </c>
      <c r="BK23" s="5">
        <f>IF('Project Database'!A27="","",N('Project Database'!AD27))</f>
        <v/>
      </c>
      <c r="BL23" s="5">
        <f>IF('Project Database'!A27="","",N('Project Database'!AE27))</f>
        <v/>
      </c>
      <c r="BM23" s="5">
        <f>IF('Project Database'!A27="","",N('Project Database'!AF27))</f>
        <v/>
      </c>
      <c r="BN23" s="5">
        <f>IF('Project Database'!A27="","",N('Project Database'!AG27))</f>
        <v/>
      </c>
      <c r="BO23" s="5">
        <f>IF('Project Database'!A27="","",N('Project Database'!AH27))</f>
        <v/>
      </c>
      <c r="BP23" s="5">
        <f>IF('Project Database'!A27="","",N('Project Database'!AI27))</f>
        <v/>
      </c>
      <c r="BQ23" s="5">
        <f>IF('Project Database'!A27="","",N('Project Database'!AJ27))</f>
        <v/>
      </c>
      <c r="BR23" s="5">
        <f>IF('Project Database'!A27="","",N('Project Database'!AK27))</f>
        <v/>
      </c>
      <c r="BS23" s="5">
        <f>IF('Project Database'!A27="","",N('Project Database'!AL27))</f>
        <v/>
      </c>
      <c r="BT23" s="5">
        <f>IF('Project Database'!A27="","",N('Project Database'!AM27))</f>
        <v/>
      </c>
      <c r="BU23" s="5">
        <f>IF('Project Database'!A27="","",N('Project Database'!AN27))</f>
        <v/>
      </c>
      <c r="BV23" s="5">
        <f>IF('Project Database'!A27="","",N('Project Database'!AO27))</f>
        <v/>
      </c>
      <c r="BW23" s="5">
        <f>IF('Project Database'!A27="","",N('Project Database'!AP27))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</row>
    <row r="24" ht="15" customHeight="1" s="74">
      <c r="A24" s="66">
        <f>'Project Database'!A28</f>
        <v/>
      </c>
      <c r="B24" s="66">
        <f>'Project Database'!B28</f>
        <v/>
      </c>
      <c r="C24" s="66">
        <f>'Project Database'!G28</f>
        <v/>
      </c>
      <c r="D24" s="66">
        <f>'Project Database'!H28</f>
        <v/>
      </c>
      <c r="E24" s="66">
        <f>'Project Database'!I28</f>
        <v/>
      </c>
      <c r="F24" s="66">
        <f>'Project Database'!J28</f>
        <v/>
      </c>
      <c r="G24" s="66">
        <f>'Project Database'!K28</f>
        <v/>
      </c>
      <c r="H24" s="66">
        <f>'Project Database'!L28</f>
        <v/>
      </c>
      <c r="I24" s="66">
        <f>'Project Database'!M28</f>
        <v/>
      </c>
      <c r="J24" s="66">
        <f>'Project Database'!N28</f>
        <v/>
      </c>
      <c r="K24" s="66">
        <f>'Project Database'!O28</f>
        <v/>
      </c>
      <c r="L24" s="66">
        <f>'Project Database'!P28</f>
        <v/>
      </c>
      <c r="M24" s="66">
        <f>'Project Database'!Q28</f>
        <v/>
      </c>
      <c r="N24" s="66">
        <f>'Project Database'!R28</f>
        <v/>
      </c>
      <c r="O24" s="66">
        <f>'Project Database'!S28</f>
        <v/>
      </c>
      <c r="P24" s="66">
        <f>'Project Database'!T28</f>
        <v/>
      </c>
      <c r="Q24" s="66">
        <f>'Project Database'!U28</f>
        <v/>
      </c>
      <c r="R24" s="66">
        <f>'Project Database'!V28</f>
        <v/>
      </c>
      <c r="S24" s="66">
        <f>'Project Database'!W28</f>
        <v/>
      </c>
      <c r="T24" s="66">
        <f>'Project Database'!X28</f>
        <v/>
      </c>
      <c r="U24" s="67">
        <f>'Project Database'!Y28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'Project Database'!Z28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IF(AND('Project Database'!A28&lt;&gt;"",OR('Smart Search'!$L$5="",'Smart Search'!$L$5="All",TRIM('Project Database'!D28)=TRIM('Smart Search'!$L$5)),OR(TRIM('Smart Search'!$L$6)="",TRIM('Smart Search'!$L$6)="All",ISNUMBER(SEARCH(SUBSTITUTE(SUBSTITUTE(SUBSTITUTE(TRIM('Smart Search'!$L$6),"~","~~"),"*","~*"),"?","~?"),'Project Database'!C28))),OR('Smart Search'!$L$7="",AND('Project Database'!E28&lt;&gt;"",'Project Database'!E28='Smart Search'!$L$7)),OR('Smart Search'!$L$8="",'Smart Search'!$L$8="All",TRIM('Project Database'!F28)=TRIM('Smart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IF('Project Database'!A28="","",N('Project Database'!AC28))</f>
        <v/>
      </c>
      <c r="BK24" s="5">
        <f>IF('Project Database'!A28="","",N('Project Database'!AD28))</f>
        <v/>
      </c>
      <c r="BL24" s="5">
        <f>IF('Project Database'!A28="","",N('Project Database'!AE28))</f>
        <v/>
      </c>
      <c r="BM24" s="5">
        <f>IF('Project Database'!A28="","",N('Project Database'!AF28))</f>
        <v/>
      </c>
      <c r="BN24" s="5">
        <f>IF('Project Database'!A28="","",N('Project Database'!AG28))</f>
        <v/>
      </c>
      <c r="BO24" s="5">
        <f>IF('Project Database'!A28="","",N('Project Database'!AH28))</f>
        <v/>
      </c>
      <c r="BP24" s="5">
        <f>IF('Project Database'!A28="","",N('Project Database'!AI28))</f>
        <v/>
      </c>
      <c r="BQ24" s="5">
        <f>IF('Project Database'!A28="","",N('Project Database'!AJ28))</f>
        <v/>
      </c>
      <c r="BR24" s="5">
        <f>IF('Project Database'!A28="","",N('Project Database'!AK28))</f>
        <v/>
      </c>
      <c r="BS24" s="5">
        <f>IF('Project Database'!A28="","",N('Project Database'!AL28))</f>
        <v/>
      </c>
      <c r="BT24" s="5">
        <f>IF('Project Database'!A28="","",N('Project Database'!AM28))</f>
        <v/>
      </c>
      <c r="BU24" s="5">
        <f>IF('Project Database'!A28="","",N('Project Database'!AN28))</f>
        <v/>
      </c>
      <c r="BV24" s="5">
        <f>IF('Project Database'!A28="","",N('Project Database'!AO28))</f>
        <v/>
      </c>
      <c r="BW24" s="5">
        <f>IF('Project Database'!A28="","",N('Project Database'!AP28))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</row>
    <row r="25" ht="15" customHeight="1" s="74">
      <c r="A25" s="66">
        <f>'Project Database'!A29</f>
        <v/>
      </c>
      <c r="B25" s="66">
        <f>'Project Database'!B29</f>
        <v/>
      </c>
      <c r="C25" s="66">
        <f>'Project Database'!G29</f>
        <v/>
      </c>
      <c r="D25" s="66">
        <f>'Project Database'!H29</f>
        <v/>
      </c>
      <c r="E25" s="66">
        <f>'Project Database'!I29</f>
        <v/>
      </c>
      <c r="F25" s="66">
        <f>'Project Database'!J29</f>
        <v/>
      </c>
      <c r="G25" s="66">
        <f>'Project Database'!K29</f>
        <v/>
      </c>
      <c r="H25" s="66">
        <f>'Project Database'!L29</f>
        <v/>
      </c>
      <c r="I25" s="66">
        <f>'Project Database'!M29</f>
        <v/>
      </c>
      <c r="J25" s="66">
        <f>'Project Database'!N29</f>
        <v/>
      </c>
      <c r="K25" s="66">
        <f>'Project Database'!O29</f>
        <v/>
      </c>
      <c r="L25" s="66">
        <f>'Project Database'!P29</f>
        <v/>
      </c>
      <c r="M25" s="66">
        <f>'Project Database'!Q29</f>
        <v/>
      </c>
      <c r="N25" s="66">
        <f>'Project Database'!R29</f>
        <v/>
      </c>
      <c r="O25" s="66">
        <f>'Project Database'!S29</f>
        <v/>
      </c>
      <c r="P25" s="66">
        <f>'Project Database'!T29</f>
        <v/>
      </c>
      <c r="Q25" s="66">
        <f>'Project Database'!U29</f>
        <v/>
      </c>
      <c r="R25" s="66">
        <f>'Project Database'!V29</f>
        <v/>
      </c>
      <c r="S25" s="66">
        <f>'Project Database'!W29</f>
        <v/>
      </c>
      <c r="T25" s="66">
        <f>'Project Database'!X29</f>
        <v/>
      </c>
      <c r="U25" s="67">
        <f>'Project Database'!Y29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'Project Database'!Z29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IF(AND('Project Database'!A29&lt;&gt;"",OR('Smart Search'!$L$5="",'Smart Search'!$L$5="All",TRIM('Project Database'!D29)=TRIM('Smart Search'!$L$5)),OR(TRIM('Smart Search'!$L$6)="",TRIM('Smart Search'!$L$6)="All",ISNUMBER(SEARCH(SUBSTITUTE(SUBSTITUTE(SUBSTITUTE(TRIM('Smart Search'!$L$6),"~","~~"),"*","~*"),"?","~?"),'Project Database'!C29))),OR('Smart Search'!$L$7="",AND('Project Database'!E29&lt;&gt;"",'Project Database'!E29='Smart Search'!$L$7)),OR('Smart Search'!$L$8="",'Smart Search'!$L$8="All",TRIM('Project Database'!F29)=TRIM('Smart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IF('Project Database'!A29="","",N('Project Database'!AC29))</f>
        <v/>
      </c>
      <c r="BK25" s="5">
        <f>IF('Project Database'!A29="","",N('Project Database'!AD29))</f>
        <v/>
      </c>
      <c r="BL25" s="5">
        <f>IF('Project Database'!A29="","",N('Project Database'!AE29))</f>
        <v/>
      </c>
      <c r="BM25" s="5">
        <f>IF('Project Database'!A29="","",N('Project Database'!AF29))</f>
        <v/>
      </c>
      <c r="BN25" s="5">
        <f>IF('Project Database'!A29="","",N('Project Database'!AG29))</f>
        <v/>
      </c>
      <c r="BO25" s="5">
        <f>IF('Project Database'!A29="","",N('Project Database'!AH29))</f>
        <v/>
      </c>
      <c r="BP25" s="5">
        <f>IF('Project Database'!A29="","",N('Project Database'!AI29))</f>
        <v/>
      </c>
      <c r="BQ25" s="5">
        <f>IF('Project Database'!A29="","",N('Project Database'!AJ29))</f>
        <v/>
      </c>
      <c r="BR25" s="5">
        <f>IF('Project Database'!A29="","",N('Project Database'!AK29))</f>
        <v/>
      </c>
      <c r="BS25" s="5">
        <f>IF('Project Database'!A29="","",N('Project Database'!AL29))</f>
        <v/>
      </c>
      <c r="BT25" s="5">
        <f>IF('Project Database'!A29="","",N('Project Database'!AM29))</f>
        <v/>
      </c>
      <c r="BU25" s="5">
        <f>IF('Project Database'!A29="","",N('Project Database'!AN29))</f>
        <v/>
      </c>
      <c r="BV25" s="5">
        <f>IF('Project Database'!A29="","",N('Project Database'!AO29))</f>
        <v/>
      </c>
      <c r="BW25" s="5">
        <f>IF('Project Database'!A29="","",N('Project Database'!AP29))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</row>
    <row r="26" ht="15" customHeight="1" s="74">
      <c r="A26" s="66">
        <f>'Project Database'!A30</f>
        <v/>
      </c>
      <c r="B26" s="66">
        <f>'Project Database'!B30</f>
        <v/>
      </c>
      <c r="C26" s="66">
        <f>'Project Database'!G30</f>
        <v/>
      </c>
      <c r="D26" s="66">
        <f>'Project Database'!H30</f>
        <v/>
      </c>
      <c r="E26" s="66">
        <f>'Project Database'!I30</f>
        <v/>
      </c>
      <c r="F26" s="66">
        <f>'Project Database'!J30</f>
        <v/>
      </c>
      <c r="G26" s="66">
        <f>'Project Database'!K30</f>
        <v/>
      </c>
      <c r="H26" s="66">
        <f>'Project Database'!L30</f>
        <v/>
      </c>
      <c r="I26" s="66">
        <f>'Project Database'!M30</f>
        <v/>
      </c>
      <c r="J26" s="66">
        <f>'Project Database'!N30</f>
        <v/>
      </c>
      <c r="K26" s="66">
        <f>'Project Database'!O30</f>
        <v/>
      </c>
      <c r="L26" s="66">
        <f>'Project Database'!P30</f>
        <v/>
      </c>
      <c r="M26" s="66">
        <f>'Project Database'!Q30</f>
        <v/>
      </c>
      <c r="N26" s="66">
        <f>'Project Database'!R30</f>
        <v/>
      </c>
      <c r="O26" s="66">
        <f>'Project Database'!S30</f>
        <v/>
      </c>
      <c r="P26" s="66">
        <f>'Project Database'!T30</f>
        <v/>
      </c>
      <c r="Q26" s="66">
        <f>'Project Database'!U30</f>
        <v/>
      </c>
      <c r="R26" s="66">
        <f>'Project Database'!V30</f>
        <v/>
      </c>
      <c r="S26" s="66">
        <f>'Project Database'!W30</f>
        <v/>
      </c>
      <c r="T26" s="66">
        <f>'Project Database'!X30</f>
        <v/>
      </c>
      <c r="U26" s="67">
        <f>'Project Database'!Y30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'Project Database'!Z30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IF(AND('Project Database'!A30&lt;&gt;"",OR('Smart Search'!$L$5="",'Smart Search'!$L$5="All",TRIM('Project Database'!D30)=TRIM('Smart Search'!$L$5)),OR(TRIM('Smart Search'!$L$6)="",TRIM('Smart Search'!$L$6)="All",ISNUMBER(SEARCH(SUBSTITUTE(SUBSTITUTE(SUBSTITUTE(TRIM('Smart Search'!$L$6),"~","~~"),"*","~*"),"?","~?"),'Project Database'!C30))),OR('Smart Search'!$L$7="",AND('Project Database'!E30&lt;&gt;"",'Project Database'!E30='Smart Search'!$L$7)),OR('Smart Search'!$L$8="",'Smart Search'!$L$8="All",TRIM('Project Database'!F30)=TRIM('Smart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IF('Project Database'!A30="","",N('Project Database'!AC30))</f>
        <v/>
      </c>
      <c r="BK26" s="5">
        <f>IF('Project Database'!A30="","",N('Project Database'!AD30))</f>
        <v/>
      </c>
      <c r="BL26" s="5">
        <f>IF('Project Database'!A30="","",N('Project Database'!AE30))</f>
        <v/>
      </c>
      <c r="BM26" s="5">
        <f>IF('Project Database'!A30="","",N('Project Database'!AF30))</f>
        <v/>
      </c>
      <c r="BN26" s="5">
        <f>IF('Project Database'!A30="","",N('Project Database'!AG30))</f>
        <v/>
      </c>
      <c r="BO26" s="5">
        <f>IF('Project Database'!A30="","",N('Project Database'!AH30))</f>
        <v/>
      </c>
      <c r="BP26" s="5">
        <f>IF('Project Database'!A30="","",N('Project Database'!AI30))</f>
        <v/>
      </c>
      <c r="BQ26" s="5">
        <f>IF('Project Database'!A30="","",N('Project Database'!AJ30))</f>
        <v/>
      </c>
      <c r="BR26" s="5">
        <f>IF('Project Database'!A30="","",N('Project Database'!AK30))</f>
        <v/>
      </c>
      <c r="BS26" s="5">
        <f>IF('Project Database'!A30="","",N('Project Database'!AL30))</f>
        <v/>
      </c>
      <c r="BT26" s="5">
        <f>IF('Project Database'!A30="","",N('Project Database'!AM30))</f>
        <v/>
      </c>
      <c r="BU26" s="5">
        <f>IF('Project Database'!A30="","",N('Project Database'!AN30))</f>
        <v/>
      </c>
      <c r="BV26" s="5">
        <f>IF('Project Database'!A30="","",N('Project Database'!AO30))</f>
        <v/>
      </c>
      <c r="BW26" s="5">
        <f>IF('Project Database'!A30="","",N('Project Database'!AP30))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</row>
    <row r="27" ht="15" customHeight="1" s="74">
      <c r="A27" s="66">
        <f>'Project Database'!A31</f>
        <v/>
      </c>
      <c r="B27" s="66">
        <f>'Project Database'!B31</f>
        <v/>
      </c>
      <c r="C27" s="66">
        <f>'Project Database'!G31</f>
        <v/>
      </c>
      <c r="D27" s="66">
        <f>'Project Database'!H31</f>
        <v/>
      </c>
      <c r="E27" s="66">
        <f>'Project Database'!I31</f>
        <v/>
      </c>
      <c r="F27" s="66">
        <f>'Project Database'!J31</f>
        <v/>
      </c>
      <c r="G27" s="66">
        <f>'Project Database'!K31</f>
        <v/>
      </c>
      <c r="H27" s="66">
        <f>'Project Database'!L31</f>
        <v/>
      </c>
      <c r="I27" s="66">
        <f>'Project Database'!M31</f>
        <v/>
      </c>
      <c r="J27" s="66">
        <f>'Project Database'!N31</f>
        <v/>
      </c>
      <c r="K27" s="66">
        <f>'Project Database'!O31</f>
        <v/>
      </c>
      <c r="L27" s="66">
        <f>'Project Database'!P31</f>
        <v/>
      </c>
      <c r="M27" s="66">
        <f>'Project Database'!Q31</f>
        <v/>
      </c>
      <c r="N27" s="66">
        <f>'Project Database'!R31</f>
        <v/>
      </c>
      <c r="O27" s="66">
        <f>'Project Database'!S31</f>
        <v/>
      </c>
      <c r="P27" s="66">
        <f>'Project Database'!T31</f>
        <v/>
      </c>
      <c r="Q27" s="66">
        <f>'Project Database'!U31</f>
        <v/>
      </c>
      <c r="R27" s="66">
        <f>'Project Database'!V31</f>
        <v/>
      </c>
      <c r="S27" s="66">
        <f>'Project Database'!W31</f>
        <v/>
      </c>
      <c r="T27" s="66">
        <f>'Project Database'!X31</f>
        <v/>
      </c>
      <c r="U27" s="67">
        <f>'Project Database'!Y31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'Project Database'!Z31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IF(AND('Project Database'!A31&lt;&gt;"",OR('Smart Search'!$L$5="",'Smart Search'!$L$5="All",TRIM('Project Database'!D31)=TRIM('Smart Search'!$L$5)),OR(TRIM('Smart Search'!$L$6)="",TRIM('Smart Search'!$L$6)="All",ISNUMBER(SEARCH(SUBSTITUTE(SUBSTITUTE(SUBSTITUTE(TRIM('Smart Search'!$L$6),"~","~~"),"*","~*"),"?","~?"),'Project Database'!C31))),OR('Smart Search'!$L$7="",AND('Project Database'!E31&lt;&gt;"",'Project Database'!E31='Smart Search'!$L$7)),OR('Smart Search'!$L$8="",'Smart Search'!$L$8="All",TRIM('Project Database'!F31)=TRIM('Smart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IF('Project Database'!A31="","",N('Project Database'!AC31))</f>
        <v/>
      </c>
      <c r="BK27" s="5">
        <f>IF('Project Database'!A31="","",N('Project Database'!AD31))</f>
        <v/>
      </c>
      <c r="BL27" s="5">
        <f>IF('Project Database'!A31="","",N('Project Database'!AE31))</f>
        <v/>
      </c>
      <c r="BM27" s="5">
        <f>IF('Project Database'!A31="","",N('Project Database'!AF31))</f>
        <v/>
      </c>
      <c r="BN27" s="5">
        <f>IF('Project Database'!A31="","",N('Project Database'!AG31))</f>
        <v/>
      </c>
      <c r="BO27" s="5">
        <f>IF('Project Database'!A31="","",N('Project Database'!AH31))</f>
        <v/>
      </c>
      <c r="BP27" s="5">
        <f>IF('Project Database'!A31="","",N('Project Database'!AI31))</f>
        <v/>
      </c>
      <c r="BQ27" s="5">
        <f>IF('Project Database'!A31="","",N('Project Database'!AJ31))</f>
        <v/>
      </c>
      <c r="BR27" s="5">
        <f>IF('Project Database'!A31="","",N('Project Database'!AK31))</f>
        <v/>
      </c>
      <c r="BS27" s="5">
        <f>IF('Project Database'!A31="","",N('Project Database'!AL31))</f>
        <v/>
      </c>
      <c r="BT27" s="5">
        <f>IF('Project Database'!A31="","",N('Project Database'!AM31))</f>
        <v/>
      </c>
      <c r="BU27" s="5">
        <f>IF('Project Database'!A31="","",N('Project Database'!AN31))</f>
        <v/>
      </c>
      <c r="BV27" s="5">
        <f>IF('Project Database'!A31="","",N('Project Database'!AO31))</f>
        <v/>
      </c>
      <c r="BW27" s="5">
        <f>IF('Project Database'!A31="","",N('Project Database'!AP31))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</row>
    <row r="28" ht="15" customHeight="1" s="74">
      <c r="A28" s="66">
        <f>'Project Database'!A32</f>
        <v/>
      </c>
      <c r="B28" s="66">
        <f>'Project Database'!B32</f>
        <v/>
      </c>
      <c r="C28" s="66">
        <f>'Project Database'!G32</f>
        <v/>
      </c>
      <c r="D28" s="66">
        <f>'Project Database'!H32</f>
        <v/>
      </c>
      <c r="E28" s="66">
        <f>'Project Database'!I32</f>
        <v/>
      </c>
      <c r="F28" s="66">
        <f>'Project Database'!J32</f>
        <v/>
      </c>
      <c r="G28" s="66">
        <f>'Project Database'!K32</f>
        <v/>
      </c>
      <c r="H28" s="66">
        <f>'Project Database'!L32</f>
        <v/>
      </c>
      <c r="I28" s="66">
        <f>'Project Database'!M32</f>
        <v/>
      </c>
      <c r="J28" s="66">
        <f>'Project Database'!N32</f>
        <v/>
      </c>
      <c r="K28" s="66">
        <f>'Project Database'!O32</f>
        <v/>
      </c>
      <c r="L28" s="66">
        <f>'Project Database'!P32</f>
        <v/>
      </c>
      <c r="M28" s="66">
        <f>'Project Database'!Q32</f>
        <v/>
      </c>
      <c r="N28" s="66">
        <f>'Project Database'!R32</f>
        <v/>
      </c>
      <c r="O28" s="66">
        <f>'Project Database'!S32</f>
        <v/>
      </c>
      <c r="P28" s="66">
        <f>'Project Database'!T32</f>
        <v/>
      </c>
      <c r="Q28" s="66">
        <f>'Project Database'!U32</f>
        <v/>
      </c>
      <c r="R28" s="66">
        <f>'Project Database'!V32</f>
        <v/>
      </c>
      <c r="S28" s="66">
        <f>'Project Database'!W32</f>
        <v/>
      </c>
      <c r="T28" s="66">
        <f>'Project Database'!X32</f>
        <v/>
      </c>
      <c r="U28" s="67">
        <f>'Project Database'!Y32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'Project Database'!Z32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IF(AND('Project Database'!A32&lt;&gt;"",OR('Smart Search'!$L$5="",'Smart Search'!$L$5="All",TRIM('Project Database'!D32)=TRIM('Smart Search'!$L$5)),OR(TRIM('Smart Search'!$L$6)="",TRIM('Smart Search'!$L$6)="All",ISNUMBER(SEARCH(SUBSTITUTE(SUBSTITUTE(SUBSTITUTE(TRIM('Smart Search'!$L$6),"~","~~"),"*","~*"),"?","~?"),'Project Database'!C32))),OR('Smart Search'!$L$7="",AND('Project Database'!E32&lt;&gt;"",'Project Database'!E32='Smart Search'!$L$7)),OR('Smart Search'!$L$8="",'Smart Search'!$L$8="All",TRIM('Project Database'!F32)=TRIM('Smart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IF('Project Database'!A32="","",N('Project Database'!AC32))</f>
        <v/>
      </c>
      <c r="BK28" s="5">
        <f>IF('Project Database'!A32="","",N('Project Database'!AD32))</f>
        <v/>
      </c>
      <c r="BL28" s="5">
        <f>IF('Project Database'!A32="","",N('Project Database'!AE32))</f>
        <v/>
      </c>
      <c r="BM28" s="5">
        <f>IF('Project Database'!A32="","",N('Project Database'!AF32))</f>
        <v/>
      </c>
      <c r="BN28" s="5">
        <f>IF('Project Database'!A32="","",N('Project Database'!AG32))</f>
        <v/>
      </c>
      <c r="BO28" s="5">
        <f>IF('Project Database'!A32="","",N('Project Database'!AH32))</f>
        <v/>
      </c>
      <c r="BP28" s="5">
        <f>IF('Project Database'!A32="","",N('Project Database'!AI32))</f>
        <v/>
      </c>
      <c r="BQ28" s="5">
        <f>IF('Project Database'!A32="","",N('Project Database'!AJ32))</f>
        <v/>
      </c>
      <c r="BR28" s="5">
        <f>IF('Project Database'!A32="","",N('Project Database'!AK32))</f>
        <v/>
      </c>
      <c r="BS28" s="5">
        <f>IF('Project Database'!A32="","",N('Project Database'!AL32))</f>
        <v/>
      </c>
      <c r="BT28" s="5">
        <f>IF('Project Database'!A32="","",N('Project Database'!AM32))</f>
        <v/>
      </c>
      <c r="BU28" s="5">
        <f>IF('Project Database'!A32="","",N('Project Database'!AN32))</f>
        <v/>
      </c>
      <c r="BV28" s="5">
        <f>IF('Project Database'!A32="","",N('Project Database'!AO32))</f>
        <v/>
      </c>
      <c r="BW28" s="5">
        <f>IF('Project Database'!A32="","",N('Project Database'!AP32))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</row>
    <row r="29" ht="15" customHeight="1" s="74">
      <c r="A29" s="66">
        <f>'Project Database'!A33</f>
        <v/>
      </c>
      <c r="B29" s="66">
        <f>'Project Database'!B33</f>
        <v/>
      </c>
      <c r="C29" s="66">
        <f>'Project Database'!G33</f>
        <v/>
      </c>
      <c r="D29" s="66">
        <f>'Project Database'!H33</f>
        <v/>
      </c>
      <c r="E29" s="66">
        <f>'Project Database'!I33</f>
        <v/>
      </c>
      <c r="F29" s="66">
        <f>'Project Database'!J33</f>
        <v/>
      </c>
      <c r="G29" s="66">
        <f>'Project Database'!K33</f>
        <v/>
      </c>
      <c r="H29" s="66">
        <f>'Project Database'!L33</f>
        <v/>
      </c>
      <c r="I29" s="66">
        <f>'Project Database'!M33</f>
        <v/>
      </c>
      <c r="J29" s="66">
        <f>'Project Database'!N33</f>
        <v/>
      </c>
      <c r="K29" s="66">
        <f>'Project Database'!O33</f>
        <v/>
      </c>
      <c r="L29" s="66">
        <f>'Project Database'!P33</f>
        <v/>
      </c>
      <c r="M29" s="66">
        <f>'Project Database'!Q33</f>
        <v/>
      </c>
      <c r="N29" s="66">
        <f>'Project Database'!R33</f>
        <v/>
      </c>
      <c r="O29" s="66">
        <f>'Project Database'!S33</f>
        <v/>
      </c>
      <c r="P29" s="66">
        <f>'Project Database'!T33</f>
        <v/>
      </c>
      <c r="Q29" s="66">
        <f>'Project Database'!U33</f>
        <v/>
      </c>
      <c r="R29" s="66">
        <f>'Project Database'!V33</f>
        <v/>
      </c>
      <c r="S29" s="66">
        <f>'Project Database'!W33</f>
        <v/>
      </c>
      <c r="T29" s="66">
        <f>'Project Database'!X33</f>
        <v/>
      </c>
      <c r="U29" s="67">
        <f>'Project Database'!Y33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'Project Database'!Z33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IF(AND('Project Database'!A33&lt;&gt;"",OR('Smart Search'!$L$5="",'Smart Search'!$L$5="All",TRIM('Project Database'!D33)=TRIM('Smart Search'!$L$5)),OR(TRIM('Smart Search'!$L$6)="",TRIM('Smart Search'!$L$6)="All",ISNUMBER(SEARCH(SUBSTITUTE(SUBSTITUTE(SUBSTITUTE(TRIM('Smart Search'!$L$6),"~","~~"),"*","~*"),"?","~?"),'Project Database'!C33))),OR('Smart Search'!$L$7="",AND('Project Database'!E33&lt;&gt;"",'Project Database'!E33='Smart Search'!$L$7)),OR('Smart Search'!$L$8="",'Smart Search'!$L$8="All",TRIM('Project Database'!F33)=TRIM('Smart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IF('Project Database'!A33="","",N('Project Database'!AC33))</f>
        <v/>
      </c>
      <c r="BK29" s="5">
        <f>IF('Project Database'!A33="","",N('Project Database'!AD33))</f>
        <v/>
      </c>
      <c r="BL29" s="5">
        <f>IF('Project Database'!A33="","",N('Project Database'!AE33))</f>
        <v/>
      </c>
      <c r="BM29" s="5">
        <f>IF('Project Database'!A33="","",N('Project Database'!AF33))</f>
        <v/>
      </c>
      <c r="BN29" s="5">
        <f>IF('Project Database'!A33="","",N('Project Database'!AG33))</f>
        <v/>
      </c>
      <c r="BO29" s="5">
        <f>IF('Project Database'!A33="","",N('Project Database'!AH33))</f>
        <v/>
      </c>
      <c r="BP29" s="5">
        <f>IF('Project Database'!A33="","",N('Project Database'!AI33))</f>
        <v/>
      </c>
      <c r="BQ29" s="5">
        <f>IF('Project Database'!A33="","",N('Project Database'!AJ33))</f>
        <v/>
      </c>
      <c r="BR29" s="5">
        <f>IF('Project Database'!A33="","",N('Project Database'!AK33))</f>
        <v/>
      </c>
      <c r="BS29" s="5">
        <f>IF('Project Database'!A33="","",N('Project Database'!AL33))</f>
        <v/>
      </c>
      <c r="BT29" s="5">
        <f>IF('Project Database'!A33="","",N('Project Database'!AM33))</f>
        <v/>
      </c>
      <c r="BU29" s="5">
        <f>IF('Project Database'!A33="","",N('Project Database'!AN33))</f>
        <v/>
      </c>
      <c r="BV29" s="5">
        <f>IF('Project Database'!A33="","",N('Project Database'!AO33))</f>
        <v/>
      </c>
      <c r="BW29" s="5">
        <f>IF('Project Database'!A33="","",N('Project Database'!AP33))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</row>
    <row r="30" ht="15" customHeight="1" s="74">
      <c r="A30" s="66">
        <f>'Project Database'!A34</f>
        <v/>
      </c>
      <c r="B30" s="66">
        <f>'Project Database'!B34</f>
        <v/>
      </c>
      <c r="C30" s="66">
        <f>'Project Database'!G34</f>
        <v/>
      </c>
      <c r="D30" s="66">
        <f>'Project Database'!H34</f>
        <v/>
      </c>
      <c r="E30" s="66">
        <f>'Project Database'!I34</f>
        <v/>
      </c>
      <c r="F30" s="66">
        <f>'Project Database'!J34</f>
        <v/>
      </c>
      <c r="G30" s="66">
        <f>'Project Database'!K34</f>
        <v/>
      </c>
      <c r="H30" s="66">
        <f>'Project Database'!L34</f>
        <v/>
      </c>
      <c r="I30" s="66">
        <f>'Project Database'!M34</f>
        <v/>
      </c>
      <c r="J30" s="66">
        <f>'Project Database'!N34</f>
        <v/>
      </c>
      <c r="K30" s="66">
        <f>'Project Database'!O34</f>
        <v/>
      </c>
      <c r="L30" s="66">
        <f>'Project Database'!P34</f>
        <v/>
      </c>
      <c r="M30" s="66">
        <f>'Project Database'!Q34</f>
        <v/>
      </c>
      <c r="N30" s="66">
        <f>'Project Database'!R34</f>
        <v/>
      </c>
      <c r="O30" s="66">
        <f>'Project Database'!S34</f>
        <v/>
      </c>
      <c r="P30" s="66">
        <f>'Project Database'!T34</f>
        <v/>
      </c>
      <c r="Q30" s="66">
        <f>'Project Database'!U34</f>
        <v/>
      </c>
      <c r="R30" s="66">
        <f>'Project Database'!V34</f>
        <v/>
      </c>
      <c r="S30" s="66">
        <f>'Project Database'!W34</f>
        <v/>
      </c>
      <c r="T30" s="66">
        <f>'Project Database'!X34</f>
        <v/>
      </c>
      <c r="U30" s="67">
        <f>'Project Database'!Y34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'Project Database'!Z34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IF(AND('Project Database'!A34&lt;&gt;"",OR('Smart Search'!$L$5="",'Smart Search'!$L$5="All",TRIM('Project Database'!D34)=TRIM('Smart Search'!$L$5)),OR(TRIM('Smart Search'!$L$6)="",TRIM('Smart Search'!$L$6)="All",ISNUMBER(SEARCH(SUBSTITUTE(SUBSTITUTE(SUBSTITUTE(TRIM('Smart Search'!$L$6),"~","~~"),"*","~*"),"?","~?"),'Project Database'!C34))),OR('Smart Search'!$L$7="",AND('Project Database'!E34&lt;&gt;"",'Project Database'!E34='Smart Search'!$L$7)),OR('Smart Search'!$L$8="",'Smart Search'!$L$8="All",TRIM('Project Database'!F34)=TRIM('Smart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IF('Project Database'!A34="","",N('Project Database'!AC34))</f>
        <v/>
      </c>
      <c r="BK30" s="5">
        <f>IF('Project Database'!A34="","",N('Project Database'!AD34))</f>
        <v/>
      </c>
      <c r="BL30" s="5">
        <f>IF('Project Database'!A34="","",N('Project Database'!AE34))</f>
        <v/>
      </c>
      <c r="BM30" s="5">
        <f>IF('Project Database'!A34="","",N('Project Database'!AF34))</f>
        <v/>
      </c>
      <c r="BN30" s="5">
        <f>IF('Project Database'!A34="","",N('Project Database'!AG34))</f>
        <v/>
      </c>
      <c r="BO30" s="5">
        <f>IF('Project Database'!A34="","",N('Project Database'!AH34))</f>
        <v/>
      </c>
      <c r="BP30" s="5">
        <f>IF('Project Database'!A34="","",N('Project Database'!AI34))</f>
        <v/>
      </c>
      <c r="BQ30" s="5">
        <f>IF('Project Database'!A34="","",N('Project Database'!AJ34))</f>
        <v/>
      </c>
      <c r="BR30" s="5">
        <f>IF('Project Database'!A34="","",N('Project Database'!AK34))</f>
        <v/>
      </c>
      <c r="BS30" s="5">
        <f>IF('Project Database'!A34="","",N('Project Database'!AL34))</f>
        <v/>
      </c>
      <c r="BT30" s="5">
        <f>IF('Project Database'!A34="","",N('Project Database'!AM34))</f>
        <v/>
      </c>
      <c r="BU30" s="5">
        <f>IF('Project Database'!A34="","",N('Project Database'!AN34))</f>
        <v/>
      </c>
      <c r="BV30" s="5">
        <f>IF('Project Database'!A34="","",N('Project Database'!AO34))</f>
        <v/>
      </c>
      <c r="BW30" s="5">
        <f>IF('Project Database'!A34="","",N('Project Database'!AP34))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</row>
    <row r="31" ht="15" customHeight="1" s="74">
      <c r="A31" s="66">
        <f>'Project Database'!A35</f>
        <v/>
      </c>
      <c r="B31" s="66">
        <f>'Project Database'!B35</f>
        <v/>
      </c>
      <c r="C31" s="66">
        <f>'Project Database'!G35</f>
        <v/>
      </c>
      <c r="D31" s="66">
        <f>'Project Database'!H35</f>
        <v/>
      </c>
      <c r="E31" s="66">
        <f>'Project Database'!I35</f>
        <v/>
      </c>
      <c r="F31" s="66">
        <f>'Project Database'!J35</f>
        <v/>
      </c>
      <c r="G31" s="66">
        <f>'Project Database'!K35</f>
        <v/>
      </c>
      <c r="H31" s="66">
        <f>'Project Database'!L35</f>
        <v/>
      </c>
      <c r="I31" s="66">
        <f>'Project Database'!M35</f>
        <v/>
      </c>
      <c r="J31" s="66">
        <f>'Project Database'!N35</f>
        <v/>
      </c>
      <c r="K31" s="66">
        <f>'Project Database'!O35</f>
        <v/>
      </c>
      <c r="L31" s="66">
        <f>'Project Database'!P35</f>
        <v/>
      </c>
      <c r="M31" s="66">
        <f>'Project Database'!Q35</f>
        <v/>
      </c>
      <c r="N31" s="66">
        <f>'Project Database'!R35</f>
        <v/>
      </c>
      <c r="O31" s="66">
        <f>'Project Database'!S35</f>
        <v/>
      </c>
      <c r="P31" s="66">
        <f>'Project Database'!T35</f>
        <v/>
      </c>
      <c r="Q31" s="66">
        <f>'Project Database'!U35</f>
        <v/>
      </c>
      <c r="R31" s="66">
        <f>'Project Database'!V35</f>
        <v/>
      </c>
      <c r="S31" s="66">
        <f>'Project Database'!W35</f>
        <v/>
      </c>
      <c r="T31" s="66">
        <f>'Project Database'!X35</f>
        <v/>
      </c>
      <c r="U31" s="67">
        <f>'Project Database'!Y35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'Project Database'!Z35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IF(AND('Project Database'!A35&lt;&gt;"",OR('Smart Search'!$L$5="",'Smart Search'!$L$5="All",TRIM('Project Database'!D35)=TRIM('Smart Search'!$L$5)),OR(TRIM('Smart Search'!$L$6)="",TRIM('Smart Search'!$L$6)="All",ISNUMBER(SEARCH(SUBSTITUTE(SUBSTITUTE(SUBSTITUTE(TRIM('Smart Search'!$L$6),"~","~~"),"*","~*"),"?","~?"),'Project Database'!C35))),OR('Smart Search'!$L$7="",AND('Project Database'!E35&lt;&gt;"",'Project Database'!E35='Smart Search'!$L$7)),OR('Smart Search'!$L$8="",'Smart Search'!$L$8="All",TRIM('Project Database'!F35)=TRIM('Smart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IF('Project Database'!A35="","",N('Project Database'!AC35))</f>
        <v/>
      </c>
      <c r="BK31" s="5">
        <f>IF('Project Database'!A35="","",N('Project Database'!AD35))</f>
        <v/>
      </c>
      <c r="BL31" s="5">
        <f>IF('Project Database'!A35="","",N('Project Database'!AE35))</f>
        <v/>
      </c>
      <c r="BM31" s="5">
        <f>IF('Project Database'!A35="","",N('Project Database'!AF35))</f>
        <v/>
      </c>
      <c r="BN31" s="5">
        <f>IF('Project Database'!A35="","",N('Project Database'!AG35))</f>
        <v/>
      </c>
      <c r="BO31" s="5">
        <f>IF('Project Database'!A35="","",N('Project Database'!AH35))</f>
        <v/>
      </c>
      <c r="BP31" s="5">
        <f>IF('Project Database'!A35="","",N('Project Database'!AI35))</f>
        <v/>
      </c>
      <c r="BQ31" s="5">
        <f>IF('Project Database'!A35="","",N('Project Database'!AJ35))</f>
        <v/>
      </c>
      <c r="BR31" s="5">
        <f>IF('Project Database'!A35="","",N('Project Database'!AK35))</f>
        <v/>
      </c>
      <c r="BS31" s="5">
        <f>IF('Project Database'!A35="","",N('Project Database'!AL35))</f>
        <v/>
      </c>
      <c r="BT31" s="5">
        <f>IF('Project Database'!A35="","",N('Project Database'!AM35))</f>
        <v/>
      </c>
      <c r="BU31" s="5">
        <f>IF('Project Database'!A35="","",N('Project Database'!AN35))</f>
        <v/>
      </c>
      <c r="BV31" s="5">
        <f>IF('Project Database'!A35="","",N('Project Database'!AO35))</f>
        <v/>
      </c>
      <c r="BW31" s="5">
        <f>IF('Project Database'!A35="","",N('Project Database'!AP35))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</row>
    <row r="32" ht="15" customHeight="1" s="74">
      <c r="A32" s="66">
        <f>'Project Database'!A36</f>
        <v/>
      </c>
      <c r="B32" s="66">
        <f>'Project Database'!B36</f>
        <v/>
      </c>
      <c r="C32" s="66">
        <f>'Project Database'!G36</f>
        <v/>
      </c>
      <c r="D32" s="66">
        <f>'Project Database'!H36</f>
        <v/>
      </c>
      <c r="E32" s="66">
        <f>'Project Database'!I36</f>
        <v/>
      </c>
      <c r="F32" s="66">
        <f>'Project Database'!J36</f>
        <v/>
      </c>
      <c r="G32" s="66">
        <f>'Project Database'!K36</f>
        <v/>
      </c>
      <c r="H32" s="66">
        <f>'Project Database'!L36</f>
        <v/>
      </c>
      <c r="I32" s="66">
        <f>'Project Database'!M36</f>
        <v/>
      </c>
      <c r="J32" s="66">
        <f>'Project Database'!N36</f>
        <v/>
      </c>
      <c r="K32" s="66">
        <f>'Project Database'!O36</f>
        <v/>
      </c>
      <c r="L32" s="66">
        <f>'Project Database'!P36</f>
        <v/>
      </c>
      <c r="M32" s="66">
        <f>'Project Database'!Q36</f>
        <v/>
      </c>
      <c r="N32" s="66">
        <f>'Project Database'!R36</f>
        <v/>
      </c>
      <c r="O32" s="66">
        <f>'Project Database'!S36</f>
        <v/>
      </c>
      <c r="P32" s="66">
        <f>'Project Database'!T36</f>
        <v/>
      </c>
      <c r="Q32" s="66">
        <f>'Project Database'!U36</f>
        <v/>
      </c>
      <c r="R32" s="66">
        <f>'Project Database'!V36</f>
        <v/>
      </c>
      <c r="S32" s="66">
        <f>'Project Database'!W36</f>
        <v/>
      </c>
      <c r="T32" s="66">
        <f>'Project Database'!X36</f>
        <v/>
      </c>
      <c r="U32" s="67">
        <f>'Project Database'!Y36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'Project Database'!Z36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IF(AND('Project Database'!A36&lt;&gt;"",OR('Smart Search'!$L$5="",'Smart Search'!$L$5="All",TRIM('Project Database'!D36)=TRIM('Smart Search'!$L$5)),OR(TRIM('Smart Search'!$L$6)="",TRIM('Smart Search'!$L$6)="All",ISNUMBER(SEARCH(SUBSTITUTE(SUBSTITUTE(SUBSTITUTE(TRIM('Smart Search'!$L$6),"~","~~"),"*","~*"),"?","~?"),'Project Database'!C36))),OR('Smart Search'!$L$7="",AND('Project Database'!E36&lt;&gt;"",'Project Database'!E36='Smart Search'!$L$7)),OR('Smart Search'!$L$8="",'Smart Search'!$L$8="All",TRIM('Project Database'!F36)=TRIM('Smart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IF('Project Database'!A36="","",N('Project Database'!AC36))</f>
        <v/>
      </c>
      <c r="BK32" s="5">
        <f>IF('Project Database'!A36="","",N('Project Database'!AD36))</f>
        <v/>
      </c>
      <c r="BL32" s="5">
        <f>IF('Project Database'!A36="","",N('Project Database'!AE36))</f>
        <v/>
      </c>
      <c r="BM32" s="5">
        <f>IF('Project Database'!A36="","",N('Project Database'!AF36))</f>
        <v/>
      </c>
      <c r="BN32" s="5">
        <f>IF('Project Database'!A36="","",N('Project Database'!AG36))</f>
        <v/>
      </c>
      <c r="BO32" s="5">
        <f>IF('Project Database'!A36="","",N('Project Database'!AH36))</f>
        <v/>
      </c>
      <c r="BP32" s="5">
        <f>IF('Project Database'!A36="","",N('Project Database'!AI36))</f>
        <v/>
      </c>
      <c r="BQ32" s="5">
        <f>IF('Project Database'!A36="","",N('Project Database'!AJ36))</f>
        <v/>
      </c>
      <c r="BR32" s="5">
        <f>IF('Project Database'!A36="","",N('Project Database'!AK36))</f>
        <v/>
      </c>
      <c r="BS32" s="5">
        <f>IF('Project Database'!A36="","",N('Project Database'!AL36))</f>
        <v/>
      </c>
      <c r="BT32" s="5">
        <f>IF('Project Database'!A36="","",N('Project Database'!AM36))</f>
        <v/>
      </c>
      <c r="BU32" s="5">
        <f>IF('Project Database'!A36="","",N('Project Database'!AN36))</f>
        <v/>
      </c>
      <c r="BV32" s="5">
        <f>IF('Project Database'!A36="","",N('Project Database'!AO36))</f>
        <v/>
      </c>
      <c r="BW32" s="5">
        <f>IF('Project Database'!A36="","",N('Project Database'!AP36))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</row>
    <row r="33" ht="15" customHeight="1" s="74">
      <c r="A33" s="66">
        <f>'Project Database'!A37</f>
        <v/>
      </c>
      <c r="B33" s="66">
        <f>'Project Database'!B37</f>
        <v/>
      </c>
      <c r="C33" s="66">
        <f>'Project Database'!G37</f>
        <v/>
      </c>
      <c r="D33" s="66">
        <f>'Project Database'!H37</f>
        <v/>
      </c>
      <c r="E33" s="66">
        <f>'Project Database'!I37</f>
        <v/>
      </c>
      <c r="F33" s="66">
        <f>'Project Database'!J37</f>
        <v/>
      </c>
      <c r="G33" s="66">
        <f>'Project Database'!K37</f>
        <v/>
      </c>
      <c r="H33" s="66">
        <f>'Project Database'!L37</f>
        <v/>
      </c>
      <c r="I33" s="66">
        <f>'Project Database'!M37</f>
        <v/>
      </c>
      <c r="J33" s="66">
        <f>'Project Database'!N37</f>
        <v/>
      </c>
      <c r="K33" s="66">
        <f>'Project Database'!O37</f>
        <v/>
      </c>
      <c r="L33" s="66">
        <f>'Project Database'!P37</f>
        <v/>
      </c>
      <c r="M33" s="66">
        <f>'Project Database'!Q37</f>
        <v/>
      </c>
      <c r="N33" s="66">
        <f>'Project Database'!R37</f>
        <v/>
      </c>
      <c r="O33" s="66">
        <f>'Project Database'!S37</f>
        <v/>
      </c>
      <c r="P33" s="66">
        <f>'Project Database'!T37</f>
        <v/>
      </c>
      <c r="Q33" s="66">
        <f>'Project Database'!U37</f>
        <v/>
      </c>
      <c r="R33" s="66">
        <f>'Project Database'!V37</f>
        <v/>
      </c>
      <c r="S33" s="66">
        <f>'Project Database'!W37</f>
        <v/>
      </c>
      <c r="T33" s="66">
        <f>'Project Database'!X37</f>
        <v/>
      </c>
      <c r="U33" s="67">
        <f>'Project Database'!Y37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'Project Database'!Z37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IF(AND('Project Database'!A37&lt;&gt;"",OR('Smart Search'!$L$5="",'Smart Search'!$L$5="All",TRIM('Project Database'!D37)=TRIM('Smart Search'!$L$5)),OR(TRIM('Smart Search'!$L$6)="",TRIM('Smart Search'!$L$6)="All",ISNUMBER(SEARCH(SUBSTITUTE(SUBSTITUTE(SUBSTITUTE(TRIM('Smart Search'!$L$6),"~","~~"),"*","~*"),"?","~?"),'Project Database'!C37))),OR('Smart Search'!$L$7="",AND('Project Database'!E37&lt;&gt;"",'Project Database'!E37='Smart Search'!$L$7)),OR('Smart Search'!$L$8="",'Smart Search'!$L$8="All",TRIM('Project Database'!F37)=TRIM('Smart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IF('Project Database'!A37="","",N('Project Database'!AC37))</f>
        <v/>
      </c>
      <c r="BK33" s="5">
        <f>IF('Project Database'!A37="","",N('Project Database'!AD37))</f>
        <v/>
      </c>
      <c r="BL33" s="5">
        <f>IF('Project Database'!A37="","",N('Project Database'!AE37))</f>
        <v/>
      </c>
      <c r="BM33" s="5">
        <f>IF('Project Database'!A37="","",N('Project Database'!AF37))</f>
        <v/>
      </c>
      <c r="BN33" s="5">
        <f>IF('Project Database'!A37="","",N('Project Database'!AG37))</f>
        <v/>
      </c>
      <c r="BO33" s="5">
        <f>IF('Project Database'!A37="","",N('Project Database'!AH37))</f>
        <v/>
      </c>
      <c r="BP33" s="5">
        <f>IF('Project Database'!A37="","",N('Project Database'!AI37))</f>
        <v/>
      </c>
      <c r="BQ33" s="5">
        <f>IF('Project Database'!A37="","",N('Project Database'!AJ37))</f>
        <v/>
      </c>
      <c r="BR33" s="5">
        <f>IF('Project Database'!A37="","",N('Project Database'!AK37))</f>
        <v/>
      </c>
      <c r="BS33" s="5">
        <f>IF('Project Database'!A37="","",N('Project Database'!AL37))</f>
        <v/>
      </c>
      <c r="BT33" s="5">
        <f>IF('Project Database'!A37="","",N('Project Database'!AM37))</f>
        <v/>
      </c>
      <c r="BU33" s="5">
        <f>IF('Project Database'!A37="","",N('Project Database'!AN37))</f>
        <v/>
      </c>
      <c r="BV33" s="5">
        <f>IF('Project Database'!A37="","",N('Project Database'!AO37))</f>
        <v/>
      </c>
      <c r="BW33" s="5">
        <f>IF('Project Database'!A37="","",N('Project Database'!AP37))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</row>
    <row r="34" ht="15" customHeight="1" s="74">
      <c r="A34" s="66">
        <f>'Project Database'!A38</f>
        <v/>
      </c>
      <c r="B34" s="66">
        <f>'Project Database'!B38</f>
        <v/>
      </c>
      <c r="C34" s="66">
        <f>'Project Database'!G38</f>
        <v/>
      </c>
      <c r="D34" s="66">
        <f>'Project Database'!H38</f>
        <v/>
      </c>
      <c r="E34" s="66">
        <f>'Project Database'!I38</f>
        <v/>
      </c>
      <c r="F34" s="66">
        <f>'Project Database'!J38</f>
        <v/>
      </c>
      <c r="G34" s="66">
        <f>'Project Database'!K38</f>
        <v/>
      </c>
      <c r="H34" s="66">
        <f>'Project Database'!L38</f>
        <v/>
      </c>
      <c r="I34" s="66">
        <f>'Project Database'!M38</f>
        <v/>
      </c>
      <c r="J34" s="66">
        <f>'Project Database'!N38</f>
        <v/>
      </c>
      <c r="K34" s="66">
        <f>'Project Database'!O38</f>
        <v/>
      </c>
      <c r="L34" s="66">
        <f>'Project Database'!P38</f>
        <v/>
      </c>
      <c r="M34" s="66">
        <f>'Project Database'!Q38</f>
        <v/>
      </c>
      <c r="N34" s="66">
        <f>'Project Database'!R38</f>
        <v/>
      </c>
      <c r="O34" s="66">
        <f>'Project Database'!S38</f>
        <v/>
      </c>
      <c r="P34" s="66">
        <f>'Project Database'!T38</f>
        <v/>
      </c>
      <c r="Q34" s="66">
        <f>'Project Database'!U38</f>
        <v/>
      </c>
      <c r="R34" s="66">
        <f>'Project Database'!V38</f>
        <v/>
      </c>
      <c r="S34" s="66">
        <f>'Project Database'!W38</f>
        <v/>
      </c>
      <c r="T34" s="66">
        <f>'Project Database'!X38</f>
        <v/>
      </c>
      <c r="U34" s="67">
        <f>'Project Database'!Y38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'Project Database'!Z38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IF(AND('Project Database'!A38&lt;&gt;"",OR('Smart Search'!$L$5="",'Smart Search'!$L$5="All",TRIM('Project Database'!D38)=TRIM('Smart Search'!$L$5)),OR(TRIM('Smart Search'!$L$6)="",TRIM('Smart Search'!$L$6)="All",ISNUMBER(SEARCH(SUBSTITUTE(SUBSTITUTE(SUBSTITUTE(TRIM('Smart Search'!$L$6),"~","~~"),"*","~*"),"?","~?"),'Project Database'!C38))),OR('Smart Search'!$L$7="",AND('Project Database'!E38&lt;&gt;"",'Project Database'!E38='Smart Search'!$L$7)),OR('Smart Search'!$L$8="",'Smart Search'!$L$8="All",TRIM('Project Database'!F38)=TRIM('Smart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IF('Project Database'!A38="","",N('Project Database'!AC38))</f>
        <v/>
      </c>
      <c r="BK34" s="5">
        <f>IF('Project Database'!A38="","",N('Project Database'!AD38))</f>
        <v/>
      </c>
      <c r="BL34" s="5">
        <f>IF('Project Database'!A38="","",N('Project Database'!AE38))</f>
        <v/>
      </c>
      <c r="BM34" s="5">
        <f>IF('Project Database'!A38="","",N('Project Database'!AF38))</f>
        <v/>
      </c>
      <c r="BN34" s="5">
        <f>IF('Project Database'!A38="","",N('Project Database'!AG38))</f>
        <v/>
      </c>
      <c r="BO34" s="5">
        <f>IF('Project Database'!A38="","",N('Project Database'!AH38))</f>
        <v/>
      </c>
      <c r="BP34" s="5">
        <f>IF('Project Database'!A38="","",N('Project Database'!AI38))</f>
        <v/>
      </c>
      <c r="BQ34" s="5">
        <f>IF('Project Database'!A38="","",N('Project Database'!AJ38))</f>
        <v/>
      </c>
      <c r="BR34" s="5">
        <f>IF('Project Database'!A38="","",N('Project Database'!AK38))</f>
        <v/>
      </c>
      <c r="BS34" s="5">
        <f>IF('Project Database'!A38="","",N('Project Database'!AL38))</f>
        <v/>
      </c>
      <c r="BT34" s="5">
        <f>IF('Project Database'!A38="","",N('Project Database'!AM38))</f>
        <v/>
      </c>
      <c r="BU34" s="5">
        <f>IF('Project Database'!A38="","",N('Project Database'!AN38))</f>
        <v/>
      </c>
      <c r="BV34" s="5">
        <f>IF('Project Database'!A38="","",N('Project Database'!AO38))</f>
        <v/>
      </c>
      <c r="BW34" s="5">
        <f>IF('Project Database'!A38="","",N('Project Database'!AP38))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</row>
    <row r="35" ht="15" customHeight="1" s="74">
      <c r="A35" s="66">
        <f>'Project Database'!A39</f>
        <v/>
      </c>
      <c r="B35" s="66">
        <f>'Project Database'!B39</f>
        <v/>
      </c>
      <c r="C35" s="66">
        <f>'Project Database'!G39</f>
        <v/>
      </c>
      <c r="D35" s="66">
        <f>'Project Database'!H39</f>
        <v/>
      </c>
      <c r="E35" s="66">
        <f>'Project Database'!I39</f>
        <v/>
      </c>
      <c r="F35" s="66">
        <f>'Project Database'!J39</f>
        <v/>
      </c>
      <c r="G35" s="66">
        <f>'Project Database'!K39</f>
        <v/>
      </c>
      <c r="H35" s="66">
        <f>'Project Database'!L39</f>
        <v/>
      </c>
      <c r="I35" s="66">
        <f>'Project Database'!M39</f>
        <v/>
      </c>
      <c r="J35" s="66">
        <f>'Project Database'!N39</f>
        <v/>
      </c>
      <c r="K35" s="66">
        <f>'Project Database'!O39</f>
        <v/>
      </c>
      <c r="L35" s="66">
        <f>'Project Database'!P39</f>
        <v/>
      </c>
      <c r="M35" s="66">
        <f>'Project Database'!Q39</f>
        <v/>
      </c>
      <c r="N35" s="66">
        <f>'Project Database'!R39</f>
        <v/>
      </c>
      <c r="O35" s="66">
        <f>'Project Database'!S39</f>
        <v/>
      </c>
      <c r="P35" s="66">
        <f>'Project Database'!T39</f>
        <v/>
      </c>
      <c r="Q35" s="66">
        <f>'Project Database'!U39</f>
        <v/>
      </c>
      <c r="R35" s="66">
        <f>'Project Database'!V39</f>
        <v/>
      </c>
      <c r="S35" s="66">
        <f>'Project Database'!W39</f>
        <v/>
      </c>
      <c r="T35" s="66">
        <f>'Project Database'!X39</f>
        <v/>
      </c>
      <c r="U35" s="67">
        <f>'Project Database'!Y39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'Project Database'!Z39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IF(AND('Project Database'!A39&lt;&gt;"",OR('Smart Search'!$L$5="",'Smart Search'!$L$5="All",TRIM('Project Database'!D39)=TRIM('Smart Search'!$L$5)),OR(TRIM('Smart Search'!$L$6)="",TRIM('Smart Search'!$L$6)="All",ISNUMBER(SEARCH(SUBSTITUTE(SUBSTITUTE(SUBSTITUTE(TRIM('Smart Search'!$L$6),"~","~~"),"*","~*"),"?","~?"),'Project Database'!C39))),OR('Smart Search'!$L$7="",AND('Project Database'!E39&lt;&gt;"",'Project Database'!E39='Smart Search'!$L$7)),OR('Smart Search'!$L$8="",'Smart Search'!$L$8="All",TRIM('Project Database'!F39)=TRIM('Smart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IF('Project Database'!A39="","",N('Project Database'!AC39))</f>
        <v/>
      </c>
      <c r="BK35" s="5">
        <f>IF('Project Database'!A39="","",N('Project Database'!AD39))</f>
        <v/>
      </c>
      <c r="BL35" s="5">
        <f>IF('Project Database'!A39="","",N('Project Database'!AE39))</f>
        <v/>
      </c>
      <c r="BM35" s="5">
        <f>IF('Project Database'!A39="","",N('Project Database'!AF39))</f>
        <v/>
      </c>
      <c r="BN35" s="5">
        <f>IF('Project Database'!A39="","",N('Project Database'!AG39))</f>
        <v/>
      </c>
      <c r="BO35" s="5">
        <f>IF('Project Database'!A39="","",N('Project Database'!AH39))</f>
        <v/>
      </c>
      <c r="BP35" s="5">
        <f>IF('Project Database'!A39="","",N('Project Database'!AI39))</f>
        <v/>
      </c>
      <c r="BQ35" s="5">
        <f>IF('Project Database'!A39="","",N('Project Database'!AJ39))</f>
        <v/>
      </c>
      <c r="BR35" s="5">
        <f>IF('Project Database'!A39="","",N('Project Database'!AK39))</f>
        <v/>
      </c>
      <c r="BS35" s="5">
        <f>IF('Project Database'!A39="","",N('Project Database'!AL39))</f>
        <v/>
      </c>
      <c r="BT35" s="5">
        <f>IF('Project Database'!A39="","",N('Project Database'!AM39))</f>
        <v/>
      </c>
      <c r="BU35" s="5">
        <f>IF('Project Database'!A39="","",N('Project Database'!AN39))</f>
        <v/>
      </c>
      <c r="BV35" s="5">
        <f>IF('Project Database'!A39="","",N('Project Database'!AO39))</f>
        <v/>
      </c>
      <c r="BW35" s="5">
        <f>IF('Project Database'!A39="","",N('Project Database'!AP39))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</row>
    <row r="36" ht="15" customHeight="1" s="74">
      <c r="A36" s="66">
        <f>'Project Database'!A40</f>
        <v/>
      </c>
      <c r="B36" s="66">
        <f>'Project Database'!B40</f>
        <v/>
      </c>
      <c r="C36" s="66">
        <f>'Project Database'!G40</f>
        <v/>
      </c>
      <c r="D36" s="66">
        <f>'Project Database'!H40</f>
        <v/>
      </c>
      <c r="E36" s="66">
        <f>'Project Database'!I40</f>
        <v/>
      </c>
      <c r="F36" s="66">
        <f>'Project Database'!J40</f>
        <v/>
      </c>
      <c r="G36" s="66">
        <f>'Project Database'!K40</f>
        <v/>
      </c>
      <c r="H36" s="66">
        <f>'Project Database'!L40</f>
        <v/>
      </c>
      <c r="I36" s="66">
        <f>'Project Database'!M40</f>
        <v/>
      </c>
      <c r="J36" s="66">
        <f>'Project Database'!N40</f>
        <v/>
      </c>
      <c r="K36" s="66">
        <f>'Project Database'!O40</f>
        <v/>
      </c>
      <c r="L36" s="66">
        <f>'Project Database'!P40</f>
        <v/>
      </c>
      <c r="M36" s="66">
        <f>'Project Database'!Q40</f>
        <v/>
      </c>
      <c r="N36" s="66">
        <f>'Project Database'!R40</f>
        <v/>
      </c>
      <c r="O36" s="66">
        <f>'Project Database'!S40</f>
        <v/>
      </c>
      <c r="P36" s="66">
        <f>'Project Database'!T40</f>
        <v/>
      </c>
      <c r="Q36" s="66">
        <f>'Project Database'!U40</f>
        <v/>
      </c>
      <c r="R36" s="66">
        <f>'Project Database'!V40</f>
        <v/>
      </c>
      <c r="S36" s="66">
        <f>'Project Database'!W40</f>
        <v/>
      </c>
      <c r="T36" s="66">
        <f>'Project Database'!X40</f>
        <v/>
      </c>
      <c r="U36" s="67">
        <f>'Project Database'!Y40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'Project Database'!Z40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IF(AND('Project Database'!A40&lt;&gt;"",OR('Smart Search'!$L$5="",'Smart Search'!$L$5="All",TRIM('Project Database'!D40)=TRIM('Smart Search'!$L$5)),OR(TRIM('Smart Search'!$L$6)="",TRIM('Smart Search'!$L$6)="All",ISNUMBER(SEARCH(SUBSTITUTE(SUBSTITUTE(SUBSTITUTE(TRIM('Smart Search'!$L$6),"~","~~"),"*","~*"),"?","~?"),'Project Database'!C40))),OR('Smart Search'!$L$7="",AND('Project Database'!E40&lt;&gt;"",'Project Database'!E40='Smart Search'!$L$7)),OR('Smart Search'!$L$8="",'Smart Search'!$L$8="All",TRIM('Project Database'!F40)=TRIM('Smart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IF('Project Database'!A40="","",N('Project Database'!AC40))</f>
        <v/>
      </c>
      <c r="BK36" s="5">
        <f>IF('Project Database'!A40="","",N('Project Database'!AD40))</f>
        <v/>
      </c>
      <c r="BL36" s="5">
        <f>IF('Project Database'!A40="","",N('Project Database'!AE40))</f>
        <v/>
      </c>
      <c r="BM36" s="5">
        <f>IF('Project Database'!A40="","",N('Project Database'!AF40))</f>
        <v/>
      </c>
      <c r="BN36" s="5">
        <f>IF('Project Database'!A40="","",N('Project Database'!AG40))</f>
        <v/>
      </c>
      <c r="BO36" s="5">
        <f>IF('Project Database'!A40="","",N('Project Database'!AH40))</f>
        <v/>
      </c>
      <c r="BP36" s="5">
        <f>IF('Project Database'!A40="","",N('Project Database'!AI40))</f>
        <v/>
      </c>
      <c r="BQ36" s="5">
        <f>IF('Project Database'!A40="","",N('Project Database'!AJ40))</f>
        <v/>
      </c>
      <c r="BR36" s="5">
        <f>IF('Project Database'!A40="","",N('Project Database'!AK40))</f>
        <v/>
      </c>
      <c r="BS36" s="5">
        <f>IF('Project Database'!A40="","",N('Project Database'!AL40))</f>
        <v/>
      </c>
      <c r="BT36" s="5">
        <f>IF('Project Database'!A40="","",N('Project Database'!AM40))</f>
        <v/>
      </c>
      <c r="BU36" s="5">
        <f>IF('Project Database'!A40="","",N('Project Database'!AN40))</f>
        <v/>
      </c>
      <c r="BV36" s="5">
        <f>IF('Project Database'!A40="","",N('Project Database'!AO40))</f>
        <v/>
      </c>
      <c r="BW36" s="5">
        <f>IF('Project Database'!A40="","",N('Project Database'!AP40))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</row>
    <row r="37" ht="15" customHeight="1" s="74">
      <c r="A37" s="66">
        <f>'Project Database'!A41</f>
        <v/>
      </c>
      <c r="B37" s="66">
        <f>'Project Database'!B41</f>
        <v/>
      </c>
      <c r="C37" s="66">
        <f>'Project Database'!G41</f>
        <v/>
      </c>
      <c r="D37" s="66">
        <f>'Project Database'!H41</f>
        <v/>
      </c>
      <c r="E37" s="66">
        <f>'Project Database'!I41</f>
        <v/>
      </c>
      <c r="F37" s="66">
        <f>'Project Database'!J41</f>
        <v/>
      </c>
      <c r="G37" s="66">
        <f>'Project Database'!K41</f>
        <v/>
      </c>
      <c r="H37" s="66">
        <f>'Project Database'!L41</f>
        <v/>
      </c>
      <c r="I37" s="66">
        <f>'Project Database'!M41</f>
        <v/>
      </c>
      <c r="J37" s="66">
        <f>'Project Database'!N41</f>
        <v/>
      </c>
      <c r="K37" s="66">
        <f>'Project Database'!O41</f>
        <v/>
      </c>
      <c r="L37" s="66">
        <f>'Project Database'!P41</f>
        <v/>
      </c>
      <c r="M37" s="66">
        <f>'Project Database'!Q41</f>
        <v/>
      </c>
      <c r="N37" s="66">
        <f>'Project Database'!R41</f>
        <v/>
      </c>
      <c r="O37" s="66">
        <f>'Project Database'!S41</f>
        <v/>
      </c>
      <c r="P37" s="66">
        <f>'Project Database'!T41</f>
        <v/>
      </c>
      <c r="Q37" s="66">
        <f>'Project Database'!U41</f>
        <v/>
      </c>
      <c r="R37" s="66">
        <f>'Project Database'!V41</f>
        <v/>
      </c>
      <c r="S37" s="66">
        <f>'Project Database'!W41</f>
        <v/>
      </c>
      <c r="T37" s="66">
        <f>'Project Database'!X41</f>
        <v/>
      </c>
      <c r="U37" s="67">
        <f>'Project Database'!Y41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'Project Database'!Z41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IF(AND('Project Database'!A41&lt;&gt;"",OR('Smart Search'!$L$5="",'Smart Search'!$L$5="All",TRIM('Project Database'!D41)=TRIM('Smart Search'!$L$5)),OR(TRIM('Smart Search'!$L$6)="",TRIM('Smart Search'!$L$6)="All",ISNUMBER(SEARCH(SUBSTITUTE(SUBSTITUTE(SUBSTITUTE(TRIM('Smart Search'!$L$6),"~","~~"),"*","~*"),"?","~?"),'Project Database'!C41))),OR('Smart Search'!$L$7="",AND('Project Database'!E41&lt;&gt;"",'Project Database'!E41='Smart Search'!$L$7)),OR('Smart Search'!$L$8="",'Smart Search'!$L$8="All",TRIM('Project Database'!F41)=TRIM('Smart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IF('Project Database'!A41="","",N('Project Database'!AC41))</f>
        <v/>
      </c>
      <c r="BK37" s="5">
        <f>IF('Project Database'!A41="","",N('Project Database'!AD41))</f>
        <v/>
      </c>
      <c r="BL37" s="5">
        <f>IF('Project Database'!A41="","",N('Project Database'!AE41))</f>
        <v/>
      </c>
      <c r="BM37" s="5">
        <f>IF('Project Database'!A41="","",N('Project Database'!AF41))</f>
        <v/>
      </c>
      <c r="BN37" s="5">
        <f>IF('Project Database'!A41="","",N('Project Database'!AG41))</f>
        <v/>
      </c>
      <c r="BO37" s="5">
        <f>IF('Project Database'!A41="","",N('Project Database'!AH41))</f>
        <v/>
      </c>
      <c r="BP37" s="5">
        <f>IF('Project Database'!A41="","",N('Project Database'!AI41))</f>
        <v/>
      </c>
      <c r="BQ37" s="5">
        <f>IF('Project Database'!A41="","",N('Project Database'!AJ41))</f>
        <v/>
      </c>
      <c r="BR37" s="5">
        <f>IF('Project Database'!A41="","",N('Project Database'!AK41))</f>
        <v/>
      </c>
      <c r="BS37" s="5">
        <f>IF('Project Database'!A41="","",N('Project Database'!AL41))</f>
        <v/>
      </c>
      <c r="BT37" s="5">
        <f>IF('Project Database'!A41="","",N('Project Database'!AM41))</f>
        <v/>
      </c>
      <c r="BU37" s="5">
        <f>IF('Project Database'!A41="","",N('Project Database'!AN41))</f>
        <v/>
      </c>
      <c r="BV37" s="5">
        <f>IF('Project Database'!A41="","",N('Project Database'!AO41))</f>
        <v/>
      </c>
      <c r="BW37" s="5">
        <f>IF('Project Database'!A41="","",N('Project Database'!AP41))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</row>
    <row r="38" ht="15" customHeight="1" s="74">
      <c r="A38" s="66">
        <f>'Project Database'!A42</f>
        <v/>
      </c>
      <c r="B38" s="66">
        <f>'Project Database'!B42</f>
        <v/>
      </c>
      <c r="C38" s="66">
        <f>'Project Database'!G42</f>
        <v/>
      </c>
      <c r="D38" s="66">
        <f>'Project Database'!H42</f>
        <v/>
      </c>
      <c r="E38" s="66">
        <f>'Project Database'!I42</f>
        <v/>
      </c>
      <c r="F38" s="66">
        <f>'Project Database'!J42</f>
        <v/>
      </c>
      <c r="G38" s="66">
        <f>'Project Database'!K42</f>
        <v/>
      </c>
      <c r="H38" s="66">
        <f>'Project Database'!L42</f>
        <v/>
      </c>
      <c r="I38" s="66">
        <f>'Project Database'!M42</f>
        <v/>
      </c>
      <c r="J38" s="66">
        <f>'Project Database'!N42</f>
        <v/>
      </c>
      <c r="K38" s="66">
        <f>'Project Database'!O42</f>
        <v/>
      </c>
      <c r="L38" s="66">
        <f>'Project Database'!P42</f>
        <v/>
      </c>
      <c r="M38" s="66">
        <f>'Project Database'!Q42</f>
        <v/>
      </c>
      <c r="N38" s="66">
        <f>'Project Database'!R42</f>
        <v/>
      </c>
      <c r="O38" s="66">
        <f>'Project Database'!S42</f>
        <v/>
      </c>
      <c r="P38" s="66">
        <f>'Project Database'!T42</f>
        <v/>
      </c>
      <c r="Q38" s="66">
        <f>'Project Database'!U42</f>
        <v/>
      </c>
      <c r="R38" s="66">
        <f>'Project Database'!V42</f>
        <v/>
      </c>
      <c r="S38" s="66">
        <f>'Project Database'!W42</f>
        <v/>
      </c>
      <c r="T38" s="66">
        <f>'Project Database'!X42</f>
        <v/>
      </c>
      <c r="U38" s="67">
        <f>'Project Database'!Y42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'Project Database'!Z42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IF(AND('Project Database'!A42&lt;&gt;"",OR('Smart Search'!$L$5="",'Smart Search'!$L$5="All",TRIM('Project Database'!D42)=TRIM('Smart Search'!$L$5)),OR(TRIM('Smart Search'!$L$6)="",TRIM('Smart Search'!$L$6)="All",ISNUMBER(SEARCH(SUBSTITUTE(SUBSTITUTE(SUBSTITUTE(TRIM('Smart Search'!$L$6),"~","~~"),"*","~*"),"?","~?"),'Project Database'!C42))),OR('Smart Search'!$L$7="",AND('Project Database'!E42&lt;&gt;"",'Project Database'!E42='Smart Search'!$L$7)),OR('Smart Search'!$L$8="",'Smart Search'!$L$8="All",TRIM('Project Database'!F42)=TRIM('Smart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IF('Project Database'!A42="","",N('Project Database'!AC42))</f>
        <v/>
      </c>
      <c r="BK38" s="5">
        <f>IF('Project Database'!A42="","",N('Project Database'!AD42))</f>
        <v/>
      </c>
      <c r="BL38" s="5">
        <f>IF('Project Database'!A42="","",N('Project Database'!AE42))</f>
        <v/>
      </c>
      <c r="BM38" s="5">
        <f>IF('Project Database'!A42="","",N('Project Database'!AF42))</f>
        <v/>
      </c>
      <c r="BN38" s="5">
        <f>IF('Project Database'!A42="","",N('Project Database'!AG42))</f>
        <v/>
      </c>
      <c r="BO38" s="5">
        <f>IF('Project Database'!A42="","",N('Project Database'!AH42))</f>
        <v/>
      </c>
      <c r="BP38" s="5">
        <f>IF('Project Database'!A42="","",N('Project Database'!AI42))</f>
        <v/>
      </c>
      <c r="BQ38" s="5">
        <f>IF('Project Database'!A42="","",N('Project Database'!AJ42))</f>
        <v/>
      </c>
      <c r="BR38" s="5">
        <f>IF('Project Database'!A42="","",N('Project Database'!AK42))</f>
        <v/>
      </c>
      <c r="BS38" s="5">
        <f>IF('Project Database'!A42="","",N('Project Database'!AL42))</f>
        <v/>
      </c>
      <c r="BT38" s="5">
        <f>IF('Project Database'!A42="","",N('Project Database'!AM42))</f>
        <v/>
      </c>
      <c r="BU38" s="5">
        <f>IF('Project Database'!A42="","",N('Project Database'!AN42))</f>
        <v/>
      </c>
      <c r="BV38" s="5">
        <f>IF('Project Database'!A42="","",N('Project Database'!AO42))</f>
        <v/>
      </c>
      <c r="BW38" s="5">
        <f>IF('Project Database'!A42="","",N('Project Database'!AP42))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</row>
    <row r="39" ht="15" customHeight="1" s="74">
      <c r="A39" s="66">
        <f>'Project Database'!A43</f>
        <v/>
      </c>
      <c r="B39" s="66">
        <f>'Project Database'!B43</f>
        <v/>
      </c>
      <c r="C39" s="66">
        <f>'Project Database'!G43</f>
        <v/>
      </c>
      <c r="D39" s="66">
        <f>'Project Database'!H43</f>
        <v/>
      </c>
      <c r="E39" s="66">
        <f>'Project Database'!I43</f>
        <v/>
      </c>
      <c r="F39" s="66">
        <f>'Project Database'!J43</f>
        <v/>
      </c>
      <c r="G39" s="66">
        <f>'Project Database'!K43</f>
        <v/>
      </c>
      <c r="H39" s="66">
        <f>'Project Database'!L43</f>
        <v/>
      </c>
      <c r="I39" s="66">
        <f>'Project Database'!M43</f>
        <v/>
      </c>
      <c r="J39" s="66">
        <f>'Project Database'!N43</f>
        <v/>
      </c>
      <c r="K39" s="66">
        <f>'Project Database'!O43</f>
        <v/>
      </c>
      <c r="L39" s="66">
        <f>'Project Database'!P43</f>
        <v/>
      </c>
      <c r="M39" s="66">
        <f>'Project Database'!Q43</f>
        <v/>
      </c>
      <c r="N39" s="66">
        <f>'Project Database'!R43</f>
        <v/>
      </c>
      <c r="O39" s="66">
        <f>'Project Database'!S43</f>
        <v/>
      </c>
      <c r="P39" s="66">
        <f>'Project Database'!T43</f>
        <v/>
      </c>
      <c r="Q39" s="66">
        <f>'Project Database'!U43</f>
        <v/>
      </c>
      <c r="R39" s="66">
        <f>'Project Database'!V43</f>
        <v/>
      </c>
      <c r="S39" s="66">
        <f>'Project Database'!W43</f>
        <v/>
      </c>
      <c r="T39" s="66">
        <f>'Project Database'!X43</f>
        <v/>
      </c>
      <c r="U39" s="67">
        <f>'Project Database'!Y43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'Project Database'!Z43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IF(AND('Project Database'!A43&lt;&gt;"",OR('Smart Search'!$L$5="",'Smart Search'!$L$5="All",TRIM('Project Database'!D43)=TRIM('Smart Search'!$L$5)),OR(TRIM('Smart Search'!$L$6)="",TRIM('Smart Search'!$L$6)="All",ISNUMBER(SEARCH(SUBSTITUTE(SUBSTITUTE(SUBSTITUTE(TRIM('Smart Search'!$L$6),"~","~~"),"*","~*"),"?","~?"),'Project Database'!C43))),OR('Smart Search'!$L$7="",AND('Project Database'!E43&lt;&gt;"",'Project Database'!E43='Smart Search'!$L$7)),OR('Smart Search'!$L$8="",'Smart Search'!$L$8="All",TRIM('Project Database'!F43)=TRIM('Smart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IF('Project Database'!A43="","",N('Project Database'!AC43))</f>
        <v/>
      </c>
      <c r="BK39" s="5">
        <f>IF('Project Database'!A43="","",N('Project Database'!AD43))</f>
        <v/>
      </c>
      <c r="BL39" s="5">
        <f>IF('Project Database'!A43="","",N('Project Database'!AE43))</f>
        <v/>
      </c>
      <c r="BM39" s="5">
        <f>IF('Project Database'!A43="","",N('Project Database'!AF43))</f>
        <v/>
      </c>
      <c r="BN39" s="5">
        <f>IF('Project Database'!A43="","",N('Project Database'!AG43))</f>
        <v/>
      </c>
      <c r="BO39" s="5">
        <f>IF('Project Database'!A43="","",N('Project Database'!AH43))</f>
        <v/>
      </c>
      <c r="BP39" s="5">
        <f>IF('Project Database'!A43="","",N('Project Database'!AI43))</f>
        <v/>
      </c>
      <c r="BQ39" s="5">
        <f>IF('Project Database'!A43="","",N('Project Database'!AJ43))</f>
        <v/>
      </c>
      <c r="BR39" s="5">
        <f>IF('Project Database'!A43="","",N('Project Database'!AK43))</f>
        <v/>
      </c>
      <c r="BS39" s="5">
        <f>IF('Project Database'!A43="","",N('Project Database'!AL43))</f>
        <v/>
      </c>
      <c r="BT39" s="5">
        <f>IF('Project Database'!A43="","",N('Project Database'!AM43))</f>
        <v/>
      </c>
      <c r="BU39" s="5">
        <f>IF('Project Database'!A43="","",N('Project Database'!AN43))</f>
        <v/>
      </c>
      <c r="BV39" s="5">
        <f>IF('Project Database'!A43="","",N('Project Database'!AO43))</f>
        <v/>
      </c>
      <c r="BW39" s="5">
        <f>IF('Project Database'!A43="","",N('Project Database'!AP43))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</row>
    <row r="40" ht="15" customHeight="1" s="74">
      <c r="A40" s="66">
        <f>'Project Database'!A44</f>
        <v/>
      </c>
      <c r="B40" s="66">
        <f>'Project Database'!B44</f>
        <v/>
      </c>
      <c r="C40" s="66">
        <f>'Project Database'!G44</f>
        <v/>
      </c>
      <c r="D40" s="66">
        <f>'Project Database'!H44</f>
        <v/>
      </c>
      <c r="E40" s="66">
        <f>'Project Database'!I44</f>
        <v/>
      </c>
      <c r="F40" s="66">
        <f>'Project Database'!J44</f>
        <v/>
      </c>
      <c r="G40" s="66">
        <f>'Project Database'!K44</f>
        <v/>
      </c>
      <c r="H40" s="66">
        <f>'Project Database'!L44</f>
        <v/>
      </c>
      <c r="I40" s="66">
        <f>'Project Database'!M44</f>
        <v/>
      </c>
      <c r="J40" s="66">
        <f>'Project Database'!N44</f>
        <v/>
      </c>
      <c r="K40" s="66">
        <f>'Project Database'!O44</f>
        <v/>
      </c>
      <c r="L40" s="66">
        <f>'Project Database'!P44</f>
        <v/>
      </c>
      <c r="M40" s="66">
        <f>'Project Database'!Q44</f>
        <v/>
      </c>
      <c r="N40" s="66">
        <f>'Project Database'!R44</f>
        <v/>
      </c>
      <c r="O40" s="66">
        <f>'Project Database'!S44</f>
        <v/>
      </c>
      <c r="P40" s="66">
        <f>'Project Database'!T44</f>
        <v/>
      </c>
      <c r="Q40" s="66">
        <f>'Project Database'!U44</f>
        <v/>
      </c>
      <c r="R40" s="66">
        <f>'Project Database'!V44</f>
        <v/>
      </c>
      <c r="S40" s="66">
        <f>'Project Database'!W44</f>
        <v/>
      </c>
      <c r="T40" s="66">
        <f>'Project Database'!X44</f>
        <v/>
      </c>
      <c r="U40" s="67">
        <f>'Project Database'!Y44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'Project Database'!Z44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IF(AND('Project Database'!A44&lt;&gt;"",OR('Smart Search'!$L$5="",'Smart Search'!$L$5="All",TRIM('Project Database'!D44)=TRIM('Smart Search'!$L$5)),OR(TRIM('Smart Search'!$L$6)="",TRIM('Smart Search'!$L$6)="All",ISNUMBER(SEARCH(SUBSTITUTE(SUBSTITUTE(SUBSTITUTE(TRIM('Smart Search'!$L$6),"~","~~"),"*","~*"),"?","~?"),'Project Database'!C44))),OR('Smart Search'!$L$7="",AND('Project Database'!E44&lt;&gt;"",'Project Database'!E44='Smart Search'!$L$7)),OR('Smart Search'!$L$8="",'Smart Search'!$L$8="All",TRIM('Project Database'!F44)=TRIM('Smart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IF('Project Database'!A44="","",N('Project Database'!AC44))</f>
        <v/>
      </c>
      <c r="BK40" s="5">
        <f>IF('Project Database'!A44="","",N('Project Database'!AD44))</f>
        <v/>
      </c>
      <c r="BL40" s="5">
        <f>IF('Project Database'!A44="","",N('Project Database'!AE44))</f>
        <v/>
      </c>
      <c r="BM40" s="5">
        <f>IF('Project Database'!A44="","",N('Project Database'!AF44))</f>
        <v/>
      </c>
      <c r="BN40" s="5">
        <f>IF('Project Database'!A44="","",N('Project Database'!AG44))</f>
        <v/>
      </c>
      <c r="BO40" s="5">
        <f>IF('Project Database'!A44="","",N('Project Database'!AH44))</f>
        <v/>
      </c>
      <c r="BP40" s="5">
        <f>IF('Project Database'!A44="","",N('Project Database'!AI44))</f>
        <v/>
      </c>
      <c r="BQ40" s="5">
        <f>IF('Project Database'!A44="","",N('Project Database'!AJ44))</f>
        <v/>
      </c>
      <c r="BR40" s="5">
        <f>IF('Project Database'!A44="","",N('Project Database'!AK44))</f>
        <v/>
      </c>
      <c r="BS40" s="5">
        <f>IF('Project Database'!A44="","",N('Project Database'!AL44))</f>
        <v/>
      </c>
      <c r="BT40" s="5">
        <f>IF('Project Database'!A44="","",N('Project Database'!AM44))</f>
        <v/>
      </c>
      <c r="BU40" s="5">
        <f>IF('Project Database'!A44="","",N('Project Database'!AN44))</f>
        <v/>
      </c>
      <c r="BV40" s="5">
        <f>IF('Project Database'!A44="","",N('Project Database'!AO44))</f>
        <v/>
      </c>
      <c r="BW40" s="5">
        <f>IF('Project Database'!A44="","",N('Project Database'!AP44))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</row>
    <row r="41" ht="15" customHeight="1" s="74">
      <c r="A41" s="66">
        <f>'Project Database'!A45</f>
        <v/>
      </c>
      <c r="B41" s="66">
        <f>'Project Database'!B45</f>
        <v/>
      </c>
      <c r="C41" s="66">
        <f>'Project Database'!G45</f>
        <v/>
      </c>
      <c r="D41" s="66">
        <f>'Project Database'!H45</f>
        <v/>
      </c>
      <c r="E41" s="66">
        <f>'Project Database'!I45</f>
        <v/>
      </c>
      <c r="F41" s="66">
        <f>'Project Database'!J45</f>
        <v/>
      </c>
      <c r="G41" s="66">
        <f>'Project Database'!K45</f>
        <v/>
      </c>
      <c r="H41" s="66">
        <f>'Project Database'!L45</f>
        <v/>
      </c>
      <c r="I41" s="66">
        <f>'Project Database'!M45</f>
        <v/>
      </c>
      <c r="J41" s="66">
        <f>'Project Database'!N45</f>
        <v/>
      </c>
      <c r="K41" s="66">
        <f>'Project Database'!O45</f>
        <v/>
      </c>
      <c r="L41" s="66">
        <f>'Project Database'!P45</f>
        <v/>
      </c>
      <c r="M41" s="66">
        <f>'Project Database'!Q45</f>
        <v/>
      </c>
      <c r="N41" s="66">
        <f>'Project Database'!R45</f>
        <v/>
      </c>
      <c r="O41" s="66">
        <f>'Project Database'!S45</f>
        <v/>
      </c>
      <c r="P41" s="66">
        <f>'Project Database'!T45</f>
        <v/>
      </c>
      <c r="Q41" s="66">
        <f>'Project Database'!U45</f>
        <v/>
      </c>
      <c r="R41" s="66">
        <f>'Project Database'!V45</f>
        <v/>
      </c>
      <c r="S41" s="66">
        <f>'Project Database'!W45</f>
        <v/>
      </c>
      <c r="T41" s="66">
        <f>'Project Database'!X45</f>
        <v/>
      </c>
      <c r="U41" s="67">
        <f>'Project Database'!Y45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'Project Database'!Z45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IF(AND('Project Database'!A45&lt;&gt;"",OR('Smart Search'!$L$5="",'Smart Search'!$L$5="All",TRIM('Project Database'!D45)=TRIM('Smart Search'!$L$5)),OR(TRIM('Smart Search'!$L$6)="",TRIM('Smart Search'!$L$6)="All",ISNUMBER(SEARCH(SUBSTITUTE(SUBSTITUTE(SUBSTITUTE(TRIM('Smart Search'!$L$6),"~","~~"),"*","~*"),"?","~?"),'Project Database'!C45))),OR('Smart Search'!$L$7="",AND('Project Database'!E45&lt;&gt;"",'Project Database'!E45='Smart Search'!$L$7)),OR('Smart Search'!$L$8="",'Smart Search'!$L$8="All",TRIM('Project Database'!F45)=TRIM('Smart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IF('Project Database'!A45="","",N('Project Database'!AC45))</f>
        <v/>
      </c>
      <c r="BK41" s="5">
        <f>IF('Project Database'!A45="","",N('Project Database'!AD45))</f>
        <v/>
      </c>
      <c r="BL41" s="5">
        <f>IF('Project Database'!A45="","",N('Project Database'!AE45))</f>
        <v/>
      </c>
      <c r="BM41" s="5">
        <f>IF('Project Database'!A45="","",N('Project Database'!AF45))</f>
        <v/>
      </c>
      <c r="BN41" s="5">
        <f>IF('Project Database'!A45="","",N('Project Database'!AG45))</f>
        <v/>
      </c>
      <c r="BO41" s="5">
        <f>IF('Project Database'!A45="","",N('Project Database'!AH45))</f>
        <v/>
      </c>
      <c r="BP41" s="5">
        <f>IF('Project Database'!A45="","",N('Project Database'!AI45))</f>
        <v/>
      </c>
      <c r="BQ41" s="5">
        <f>IF('Project Database'!A45="","",N('Project Database'!AJ45))</f>
        <v/>
      </c>
      <c r="BR41" s="5">
        <f>IF('Project Database'!A45="","",N('Project Database'!AK45))</f>
        <v/>
      </c>
      <c r="BS41" s="5">
        <f>IF('Project Database'!A45="","",N('Project Database'!AL45))</f>
        <v/>
      </c>
      <c r="BT41" s="5">
        <f>IF('Project Database'!A45="","",N('Project Database'!AM45))</f>
        <v/>
      </c>
      <c r="BU41" s="5">
        <f>IF('Project Database'!A45="","",N('Project Database'!AN45))</f>
        <v/>
      </c>
      <c r="BV41" s="5">
        <f>IF('Project Database'!A45="","",N('Project Database'!AO45))</f>
        <v/>
      </c>
      <c r="BW41" s="5">
        <f>IF('Project Database'!A45="","",N('Project Database'!AP45))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</row>
    <row r="42" ht="15" customHeight="1" s="74">
      <c r="A42" s="66">
        <f>'Project Database'!A46</f>
        <v/>
      </c>
      <c r="B42" s="66">
        <f>'Project Database'!B46</f>
        <v/>
      </c>
      <c r="C42" s="66">
        <f>'Project Database'!G46</f>
        <v/>
      </c>
      <c r="D42" s="66">
        <f>'Project Database'!H46</f>
        <v/>
      </c>
      <c r="E42" s="66">
        <f>'Project Database'!I46</f>
        <v/>
      </c>
      <c r="F42" s="66">
        <f>'Project Database'!J46</f>
        <v/>
      </c>
      <c r="G42" s="66">
        <f>'Project Database'!K46</f>
        <v/>
      </c>
      <c r="H42" s="66">
        <f>'Project Database'!L46</f>
        <v/>
      </c>
      <c r="I42" s="66">
        <f>'Project Database'!M46</f>
        <v/>
      </c>
      <c r="J42" s="66">
        <f>'Project Database'!N46</f>
        <v/>
      </c>
      <c r="K42" s="66">
        <f>'Project Database'!O46</f>
        <v/>
      </c>
      <c r="L42" s="66">
        <f>'Project Database'!P46</f>
        <v/>
      </c>
      <c r="M42" s="66">
        <f>'Project Database'!Q46</f>
        <v/>
      </c>
      <c r="N42" s="66">
        <f>'Project Database'!R46</f>
        <v/>
      </c>
      <c r="O42" s="66">
        <f>'Project Database'!S46</f>
        <v/>
      </c>
      <c r="P42" s="66">
        <f>'Project Database'!T46</f>
        <v/>
      </c>
      <c r="Q42" s="66">
        <f>'Project Database'!U46</f>
        <v/>
      </c>
      <c r="R42" s="66">
        <f>'Project Database'!V46</f>
        <v/>
      </c>
      <c r="S42" s="66">
        <f>'Project Database'!W46</f>
        <v/>
      </c>
      <c r="T42" s="66">
        <f>'Project Database'!X46</f>
        <v/>
      </c>
      <c r="U42" s="67">
        <f>'Project Database'!Y46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'Project Database'!Z46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IF(AND('Project Database'!A46&lt;&gt;"",OR('Smart Search'!$L$5="",'Smart Search'!$L$5="All",TRIM('Project Database'!D46)=TRIM('Smart Search'!$L$5)),OR(TRIM('Smart Search'!$L$6)="",TRIM('Smart Search'!$L$6)="All",ISNUMBER(SEARCH(SUBSTITUTE(SUBSTITUTE(SUBSTITUTE(TRIM('Smart Search'!$L$6),"~","~~"),"*","~*"),"?","~?"),'Project Database'!C46))),OR('Smart Search'!$L$7="",AND('Project Database'!E46&lt;&gt;"",'Project Database'!E46='Smart Search'!$L$7)),OR('Smart Search'!$L$8="",'Smart Search'!$L$8="All",TRIM('Project Database'!F46)=TRIM('Smart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IF('Project Database'!A46="","",N('Project Database'!AC46))</f>
        <v/>
      </c>
      <c r="BK42" s="5">
        <f>IF('Project Database'!A46="","",N('Project Database'!AD46))</f>
        <v/>
      </c>
      <c r="BL42" s="5">
        <f>IF('Project Database'!A46="","",N('Project Database'!AE46))</f>
        <v/>
      </c>
      <c r="BM42" s="5">
        <f>IF('Project Database'!A46="","",N('Project Database'!AF46))</f>
        <v/>
      </c>
      <c r="BN42" s="5">
        <f>IF('Project Database'!A46="","",N('Project Database'!AG46))</f>
        <v/>
      </c>
      <c r="BO42" s="5">
        <f>IF('Project Database'!A46="","",N('Project Database'!AH46))</f>
        <v/>
      </c>
      <c r="BP42" s="5">
        <f>IF('Project Database'!A46="","",N('Project Database'!AI46))</f>
        <v/>
      </c>
      <c r="BQ42" s="5">
        <f>IF('Project Database'!A46="","",N('Project Database'!AJ46))</f>
        <v/>
      </c>
      <c r="BR42" s="5">
        <f>IF('Project Database'!A46="","",N('Project Database'!AK46))</f>
        <v/>
      </c>
      <c r="BS42" s="5">
        <f>IF('Project Database'!A46="","",N('Project Database'!AL46))</f>
        <v/>
      </c>
      <c r="BT42" s="5">
        <f>IF('Project Database'!A46="","",N('Project Database'!AM46))</f>
        <v/>
      </c>
      <c r="BU42" s="5">
        <f>IF('Project Database'!A46="","",N('Project Database'!AN46))</f>
        <v/>
      </c>
      <c r="BV42" s="5">
        <f>IF('Project Database'!A46="","",N('Project Database'!AO46))</f>
        <v/>
      </c>
      <c r="BW42" s="5">
        <f>IF('Project Database'!A46="","",N('Project Database'!AP46))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</row>
    <row r="43" ht="15" customHeight="1" s="74">
      <c r="A43" s="66">
        <f>'Project Database'!A47</f>
        <v/>
      </c>
      <c r="B43" s="66">
        <f>'Project Database'!B47</f>
        <v/>
      </c>
      <c r="C43" s="66">
        <f>'Project Database'!G47</f>
        <v/>
      </c>
      <c r="D43" s="66">
        <f>'Project Database'!H47</f>
        <v/>
      </c>
      <c r="E43" s="66">
        <f>'Project Database'!I47</f>
        <v/>
      </c>
      <c r="F43" s="66">
        <f>'Project Database'!J47</f>
        <v/>
      </c>
      <c r="G43" s="66">
        <f>'Project Database'!K47</f>
        <v/>
      </c>
      <c r="H43" s="66">
        <f>'Project Database'!L47</f>
        <v/>
      </c>
      <c r="I43" s="66">
        <f>'Project Database'!M47</f>
        <v/>
      </c>
      <c r="J43" s="66">
        <f>'Project Database'!N47</f>
        <v/>
      </c>
      <c r="K43" s="66">
        <f>'Project Database'!O47</f>
        <v/>
      </c>
      <c r="L43" s="66">
        <f>'Project Database'!P47</f>
        <v/>
      </c>
      <c r="M43" s="66">
        <f>'Project Database'!Q47</f>
        <v/>
      </c>
      <c r="N43" s="66">
        <f>'Project Database'!R47</f>
        <v/>
      </c>
      <c r="O43" s="66">
        <f>'Project Database'!S47</f>
        <v/>
      </c>
      <c r="P43" s="66">
        <f>'Project Database'!T47</f>
        <v/>
      </c>
      <c r="Q43" s="66">
        <f>'Project Database'!U47</f>
        <v/>
      </c>
      <c r="R43" s="66">
        <f>'Project Database'!V47</f>
        <v/>
      </c>
      <c r="S43" s="66">
        <f>'Project Database'!W47</f>
        <v/>
      </c>
      <c r="T43" s="66">
        <f>'Project Database'!X47</f>
        <v/>
      </c>
      <c r="U43" s="67">
        <f>'Project Database'!Y47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'Project Database'!Z47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IF(AND('Project Database'!A47&lt;&gt;"",OR('Smart Search'!$L$5="",'Smart Search'!$L$5="All",TRIM('Project Database'!D47)=TRIM('Smart Search'!$L$5)),OR(TRIM('Smart Search'!$L$6)="",TRIM('Smart Search'!$L$6)="All",ISNUMBER(SEARCH(SUBSTITUTE(SUBSTITUTE(SUBSTITUTE(TRIM('Smart Search'!$L$6),"~","~~"),"*","~*"),"?","~?"),'Project Database'!C47))),OR('Smart Search'!$L$7="",AND('Project Database'!E47&lt;&gt;"",'Project Database'!E47='Smart Search'!$L$7)),OR('Smart Search'!$L$8="",'Smart Search'!$L$8="All",TRIM('Project Database'!F47)=TRIM('Smart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IF('Project Database'!A47="","",N('Project Database'!AC47))</f>
        <v/>
      </c>
      <c r="BK43" s="5">
        <f>IF('Project Database'!A47="","",N('Project Database'!AD47))</f>
        <v/>
      </c>
      <c r="BL43" s="5">
        <f>IF('Project Database'!A47="","",N('Project Database'!AE47))</f>
        <v/>
      </c>
      <c r="BM43" s="5">
        <f>IF('Project Database'!A47="","",N('Project Database'!AF47))</f>
        <v/>
      </c>
      <c r="BN43" s="5">
        <f>IF('Project Database'!A47="","",N('Project Database'!AG47))</f>
        <v/>
      </c>
      <c r="BO43" s="5">
        <f>IF('Project Database'!A47="","",N('Project Database'!AH47))</f>
        <v/>
      </c>
      <c r="BP43" s="5">
        <f>IF('Project Database'!A47="","",N('Project Database'!AI47))</f>
        <v/>
      </c>
      <c r="BQ43" s="5">
        <f>IF('Project Database'!A47="","",N('Project Database'!AJ47))</f>
        <v/>
      </c>
      <c r="BR43" s="5">
        <f>IF('Project Database'!A47="","",N('Project Database'!AK47))</f>
        <v/>
      </c>
      <c r="BS43" s="5">
        <f>IF('Project Database'!A47="","",N('Project Database'!AL47))</f>
        <v/>
      </c>
      <c r="BT43" s="5">
        <f>IF('Project Database'!A47="","",N('Project Database'!AM47))</f>
        <v/>
      </c>
      <c r="BU43" s="5">
        <f>IF('Project Database'!A47="","",N('Project Database'!AN47))</f>
        <v/>
      </c>
      <c r="BV43" s="5">
        <f>IF('Project Database'!A47="","",N('Project Database'!AO47))</f>
        <v/>
      </c>
      <c r="BW43" s="5">
        <f>IF('Project Database'!A47="","",N('Project Database'!AP47))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</row>
    <row r="44" ht="15" customHeight="1" s="74">
      <c r="A44" s="66">
        <f>'Project Database'!A48</f>
        <v/>
      </c>
      <c r="B44" s="66">
        <f>'Project Database'!B48</f>
        <v/>
      </c>
      <c r="C44" s="66">
        <f>'Project Database'!G48</f>
        <v/>
      </c>
      <c r="D44" s="66">
        <f>'Project Database'!H48</f>
        <v/>
      </c>
      <c r="E44" s="66">
        <f>'Project Database'!I48</f>
        <v/>
      </c>
      <c r="F44" s="66">
        <f>'Project Database'!J48</f>
        <v/>
      </c>
      <c r="G44" s="66">
        <f>'Project Database'!K48</f>
        <v/>
      </c>
      <c r="H44" s="66">
        <f>'Project Database'!L48</f>
        <v/>
      </c>
      <c r="I44" s="66">
        <f>'Project Database'!M48</f>
        <v/>
      </c>
      <c r="J44" s="66">
        <f>'Project Database'!N48</f>
        <v/>
      </c>
      <c r="K44" s="66">
        <f>'Project Database'!O48</f>
        <v/>
      </c>
      <c r="L44" s="66">
        <f>'Project Database'!P48</f>
        <v/>
      </c>
      <c r="M44" s="66">
        <f>'Project Database'!Q48</f>
        <v/>
      </c>
      <c r="N44" s="66">
        <f>'Project Database'!R48</f>
        <v/>
      </c>
      <c r="O44" s="66">
        <f>'Project Database'!S48</f>
        <v/>
      </c>
      <c r="P44" s="66">
        <f>'Project Database'!T48</f>
        <v/>
      </c>
      <c r="Q44" s="66">
        <f>'Project Database'!U48</f>
        <v/>
      </c>
      <c r="R44" s="66">
        <f>'Project Database'!V48</f>
        <v/>
      </c>
      <c r="S44" s="66">
        <f>'Project Database'!W48</f>
        <v/>
      </c>
      <c r="T44" s="66">
        <f>'Project Database'!X48</f>
        <v/>
      </c>
      <c r="U44" s="67">
        <f>'Project Database'!Y48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'Project Database'!Z48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IF(AND('Project Database'!A48&lt;&gt;"",OR('Smart Search'!$L$5="",'Smart Search'!$L$5="All",TRIM('Project Database'!D48)=TRIM('Smart Search'!$L$5)),OR(TRIM('Smart Search'!$L$6)="",TRIM('Smart Search'!$L$6)="All",ISNUMBER(SEARCH(SUBSTITUTE(SUBSTITUTE(SUBSTITUTE(TRIM('Smart Search'!$L$6),"~","~~"),"*","~*"),"?","~?"),'Project Database'!C48))),OR('Smart Search'!$L$7="",AND('Project Database'!E48&lt;&gt;"",'Project Database'!E48='Smart Search'!$L$7)),OR('Smart Search'!$L$8="",'Smart Search'!$L$8="All",TRIM('Project Database'!F48)=TRIM('Smart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IF('Project Database'!A48="","",N('Project Database'!AC48))</f>
        <v/>
      </c>
      <c r="BK44" s="5">
        <f>IF('Project Database'!A48="","",N('Project Database'!AD48))</f>
        <v/>
      </c>
      <c r="BL44" s="5">
        <f>IF('Project Database'!A48="","",N('Project Database'!AE48))</f>
        <v/>
      </c>
      <c r="BM44" s="5">
        <f>IF('Project Database'!A48="","",N('Project Database'!AF48))</f>
        <v/>
      </c>
      <c r="BN44" s="5">
        <f>IF('Project Database'!A48="","",N('Project Database'!AG48))</f>
        <v/>
      </c>
      <c r="BO44" s="5">
        <f>IF('Project Database'!A48="","",N('Project Database'!AH48))</f>
        <v/>
      </c>
      <c r="BP44" s="5">
        <f>IF('Project Database'!A48="","",N('Project Database'!AI48))</f>
        <v/>
      </c>
      <c r="BQ44" s="5">
        <f>IF('Project Database'!A48="","",N('Project Database'!AJ48))</f>
        <v/>
      </c>
      <c r="BR44" s="5">
        <f>IF('Project Database'!A48="","",N('Project Database'!AK48))</f>
        <v/>
      </c>
      <c r="BS44" s="5">
        <f>IF('Project Database'!A48="","",N('Project Database'!AL48))</f>
        <v/>
      </c>
      <c r="BT44" s="5">
        <f>IF('Project Database'!A48="","",N('Project Database'!AM48))</f>
        <v/>
      </c>
      <c r="BU44" s="5">
        <f>IF('Project Database'!A48="","",N('Project Database'!AN48))</f>
        <v/>
      </c>
      <c r="BV44" s="5">
        <f>IF('Project Database'!A48="","",N('Project Database'!AO48))</f>
        <v/>
      </c>
      <c r="BW44" s="5">
        <f>IF('Project Database'!A48="","",N('Project Database'!AP48))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</row>
    <row r="45" ht="15" customHeight="1" s="74">
      <c r="A45" s="66">
        <f>'Project Database'!A49</f>
        <v/>
      </c>
      <c r="B45" s="66">
        <f>'Project Database'!B49</f>
        <v/>
      </c>
      <c r="C45" s="66">
        <f>'Project Database'!G49</f>
        <v/>
      </c>
      <c r="D45" s="66">
        <f>'Project Database'!H49</f>
        <v/>
      </c>
      <c r="E45" s="66">
        <f>'Project Database'!I49</f>
        <v/>
      </c>
      <c r="F45" s="66">
        <f>'Project Database'!J49</f>
        <v/>
      </c>
      <c r="G45" s="66">
        <f>'Project Database'!K49</f>
        <v/>
      </c>
      <c r="H45" s="66">
        <f>'Project Database'!L49</f>
        <v/>
      </c>
      <c r="I45" s="66">
        <f>'Project Database'!M49</f>
        <v/>
      </c>
      <c r="J45" s="66">
        <f>'Project Database'!N49</f>
        <v/>
      </c>
      <c r="K45" s="66">
        <f>'Project Database'!O49</f>
        <v/>
      </c>
      <c r="L45" s="66">
        <f>'Project Database'!P49</f>
        <v/>
      </c>
      <c r="M45" s="66">
        <f>'Project Database'!Q49</f>
        <v/>
      </c>
      <c r="N45" s="66">
        <f>'Project Database'!R49</f>
        <v/>
      </c>
      <c r="O45" s="66">
        <f>'Project Database'!S49</f>
        <v/>
      </c>
      <c r="P45" s="66">
        <f>'Project Database'!T49</f>
        <v/>
      </c>
      <c r="Q45" s="66">
        <f>'Project Database'!U49</f>
        <v/>
      </c>
      <c r="R45" s="66">
        <f>'Project Database'!V49</f>
        <v/>
      </c>
      <c r="S45" s="66">
        <f>'Project Database'!W49</f>
        <v/>
      </c>
      <c r="T45" s="66">
        <f>'Project Database'!X49</f>
        <v/>
      </c>
      <c r="U45" s="67">
        <f>'Project Database'!Y49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'Project Database'!Z49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IF(AND('Project Database'!A49&lt;&gt;"",OR('Smart Search'!$L$5="",'Smart Search'!$L$5="All",TRIM('Project Database'!D49)=TRIM('Smart Search'!$L$5)),OR(TRIM('Smart Search'!$L$6)="",TRIM('Smart Search'!$L$6)="All",ISNUMBER(SEARCH(SUBSTITUTE(SUBSTITUTE(SUBSTITUTE(TRIM('Smart Search'!$L$6),"~","~~"),"*","~*"),"?","~?"),'Project Database'!C49))),OR('Smart Search'!$L$7="",AND('Project Database'!E49&lt;&gt;"",'Project Database'!E49='Smart Search'!$L$7)),OR('Smart Search'!$L$8="",'Smart Search'!$L$8="All",TRIM('Project Database'!F49)=TRIM('Smart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IF('Project Database'!A49="","",N('Project Database'!AC49))</f>
        <v/>
      </c>
      <c r="BK45" s="5">
        <f>IF('Project Database'!A49="","",N('Project Database'!AD49))</f>
        <v/>
      </c>
      <c r="BL45" s="5">
        <f>IF('Project Database'!A49="","",N('Project Database'!AE49))</f>
        <v/>
      </c>
      <c r="BM45" s="5">
        <f>IF('Project Database'!A49="","",N('Project Database'!AF49))</f>
        <v/>
      </c>
      <c r="BN45" s="5">
        <f>IF('Project Database'!A49="","",N('Project Database'!AG49))</f>
        <v/>
      </c>
      <c r="BO45" s="5">
        <f>IF('Project Database'!A49="","",N('Project Database'!AH49))</f>
        <v/>
      </c>
      <c r="BP45" s="5">
        <f>IF('Project Database'!A49="","",N('Project Database'!AI49))</f>
        <v/>
      </c>
      <c r="BQ45" s="5">
        <f>IF('Project Database'!A49="","",N('Project Database'!AJ49))</f>
        <v/>
      </c>
      <c r="BR45" s="5">
        <f>IF('Project Database'!A49="","",N('Project Database'!AK49))</f>
        <v/>
      </c>
      <c r="BS45" s="5">
        <f>IF('Project Database'!A49="","",N('Project Database'!AL49))</f>
        <v/>
      </c>
      <c r="BT45" s="5">
        <f>IF('Project Database'!A49="","",N('Project Database'!AM49))</f>
        <v/>
      </c>
      <c r="BU45" s="5">
        <f>IF('Project Database'!A49="","",N('Project Database'!AN49))</f>
        <v/>
      </c>
      <c r="BV45" s="5">
        <f>IF('Project Database'!A49="","",N('Project Database'!AO49))</f>
        <v/>
      </c>
      <c r="BW45" s="5">
        <f>IF('Project Database'!A49="","",N('Project Database'!AP49))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</row>
    <row r="46" ht="15" customHeight="1" s="74">
      <c r="A46" s="66">
        <f>'Project Database'!A50</f>
        <v/>
      </c>
      <c r="B46" s="66">
        <f>'Project Database'!B50</f>
        <v/>
      </c>
      <c r="C46" s="66">
        <f>'Project Database'!G50</f>
        <v/>
      </c>
      <c r="D46" s="66">
        <f>'Project Database'!H50</f>
        <v/>
      </c>
      <c r="E46" s="66">
        <f>'Project Database'!I50</f>
        <v/>
      </c>
      <c r="F46" s="66">
        <f>'Project Database'!J50</f>
        <v/>
      </c>
      <c r="G46" s="66">
        <f>'Project Database'!K50</f>
        <v/>
      </c>
      <c r="H46" s="66">
        <f>'Project Database'!L50</f>
        <v/>
      </c>
      <c r="I46" s="66">
        <f>'Project Database'!M50</f>
        <v/>
      </c>
      <c r="J46" s="66">
        <f>'Project Database'!N50</f>
        <v/>
      </c>
      <c r="K46" s="66">
        <f>'Project Database'!O50</f>
        <v/>
      </c>
      <c r="L46" s="66">
        <f>'Project Database'!P50</f>
        <v/>
      </c>
      <c r="M46" s="66">
        <f>'Project Database'!Q50</f>
        <v/>
      </c>
      <c r="N46" s="66">
        <f>'Project Database'!R50</f>
        <v/>
      </c>
      <c r="O46" s="66">
        <f>'Project Database'!S50</f>
        <v/>
      </c>
      <c r="P46" s="66">
        <f>'Project Database'!T50</f>
        <v/>
      </c>
      <c r="Q46" s="66">
        <f>'Project Database'!U50</f>
        <v/>
      </c>
      <c r="R46" s="66">
        <f>'Project Database'!V50</f>
        <v/>
      </c>
      <c r="S46" s="66">
        <f>'Project Database'!W50</f>
        <v/>
      </c>
      <c r="T46" s="66">
        <f>'Project Database'!X50</f>
        <v/>
      </c>
      <c r="U46" s="67">
        <f>'Project Database'!Y50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'Project Database'!Z50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IF(AND('Project Database'!A50&lt;&gt;"",OR('Smart Search'!$L$5="",'Smart Search'!$L$5="All",TRIM('Project Database'!D50)=TRIM('Smart Search'!$L$5)),OR(TRIM('Smart Search'!$L$6)="",TRIM('Smart Search'!$L$6)="All",ISNUMBER(SEARCH(SUBSTITUTE(SUBSTITUTE(SUBSTITUTE(TRIM('Smart Search'!$L$6),"~","~~"),"*","~*"),"?","~?"),'Project Database'!C50))),OR('Smart Search'!$L$7="",AND('Project Database'!E50&lt;&gt;"",'Project Database'!E50='Smart Search'!$L$7)),OR('Smart Search'!$L$8="",'Smart Search'!$L$8="All",TRIM('Project Database'!F50)=TRIM('Smart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IF('Project Database'!A50="","",N('Project Database'!AC50))</f>
        <v/>
      </c>
      <c r="BK46" s="5">
        <f>IF('Project Database'!A50="","",N('Project Database'!AD50))</f>
        <v/>
      </c>
      <c r="BL46" s="5">
        <f>IF('Project Database'!A50="","",N('Project Database'!AE50))</f>
        <v/>
      </c>
      <c r="BM46" s="5">
        <f>IF('Project Database'!A50="","",N('Project Database'!AF50))</f>
        <v/>
      </c>
      <c r="BN46" s="5">
        <f>IF('Project Database'!A50="","",N('Project Database'!AG50))</f>
        <v/>
      </c>
      <c r="BO46" s="5">
        <f>IF('Project Database'!A50="","",N('Project Database'!AH50))</f>
        <v/>
      </c>
      <c r="BP46" s="5">
        <f>IF('Project Database'!A50="","",N('Project Database'!AI50))</f>
        <v/>
      </c>
      <c r="BQ46" s="5">
        <f>IF('Project Database'!A50="","",N('Project Database'!AJ50))</f>
        <v/>
      </c>
      <c r="BR46" s="5">
        <f>IF('Project Database'!A50="","",N('Project Database'!AK50))</f>
        <v/>
      </c>
      <c r="BS46" s="5">
        <f>IF('Project Database'!A50="","",N('Project Database'!AL50))</f>
        <v/>
      </c>
      <c r="BT46" s="5">
        <f>IF('Project Database'!A50="","",N('Project Database'!AM50))</f>
        <v/>
      </c>
      <c r="BU46" s="5">
        <f>IF('Project Database'!A50="","",N('Project Database'!AN50))</f>
        <v/>
      </c>
      <c r="BV46" s="5">
        <f>IF('Project Database'!A50="","",N('Project Database'!AO50))</f>
        <v/>
      </c>
      <c r="BW46" s="5">
        <f>IF('Project Database'!A50="","",N('Project Database'!AP50))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</row>
    <row r="47" ht="15" customHeight="1" s="74">
      <c r="A47" s="66">
        <f>'Project Database'!A51</f>
        <v/>
      </c>
      <c r="B47" s="66">
        <f>'Project Database'!B51</f>
        <v/>
      </c>
      <c r="C47" s="66">
        <f>'Project Database'!G51</f>
        <v/>
      </c>
      <c r="D47" s="66">
        <f>'Project Database'!H51</f>
        <v/>
      </c>
      <c r="E47" s="66">
        <f>'Project Database'!I51</f>
        <v/>
      </c>
      <c r="F47" s="66">
        <f>'Project Database'!J51</f>
        <v/>
      </c>
      <c r="G47" s="66">
        <f>'Project Database'!K51</f>
        <v/>
      </c>
      <c r="H47" s="66">
        <f>'Project Database'!L51</f>
        <v/>
      </c>
      <c r="I47" s="66">
        <f>'Project Database'!M51</f>
        <v/>
      </c>
      <c r="J47" s="66">
        <f>'Project Database'!N51</f>
        <v/>
      </c>
      <c r="K47" s="66">
        <f>'Project Database'!O51</f>
        <v/>
      </c>
      <c r="L47" s="66">
        <f>'Project Database'!P51</f>
        <v/>
      </c>
      <c r="M47" s="66">
        <f>'Project Database'!Q51</f>
        <v/>
      </c>
      <c r="N47" s="66">
        <f>'Project Database'!R51</f>
        <v/>
      </c>
      <c r="O47" s="66">
        <f>'Project Database'!S51</f>
        <v/>
      </c>
      <c r="P47" s="66">
        <f>'Project Database'!T51</f>
        <v/>
      </c>
      <c r="Q47" s="66">
        <f>'Project Database'!U51</f>
        <v/>
      </c>
      <c r="R47" s="66">
        <f>'Project Database'!V51</f>
        <v/>
      </c>
      <c r="S47" s="66">
        <f>'Project Database'!W51</f>
        <v/>
      </c>
      <c r="T47" s="66">
        <f>'Project Database'!X51</f>
        <v/>
      </c>
      <c r="U47" s="67">
        <f>'Project Database'!Y51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'Project Database'!Z51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IF(AND('Project Database'!A51&lt;&gt;"",OR('Smart Search'!$L$5="",'Smart Search'!$L$5="All",TRIM('Project Database'!D51)=TRIM('Smart Search'!$L$5)),OR(TRIM('Smart Search'!$L$6)="",TRIM('Smart Search'!$L$6)="All",ISNUMBER(SEARCH(SUBSTITUTE(SUBSTITUTE(SUBSTITUTE(TRIM('Smart Search'!$L$6),"~","~~"),"*","~*"),"?","~?"),'Project Database'!C51))),OR('Smart Search'!$L$7="",AND('Project Database'!E51&lt;&gt;"",'Project Database'!E51='Smart Search'!$L$7)),OR('Smart Search'!$L$8="",'Smart Search'!$L$8="All",TRIM('Project Database'!F51)=TRIM('Smart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IF('Project Database'!A51="","",N('Project Database'!AC51))</f>
        <v/>
      </c>
      <c r="BK47" s="5">
        <f>IF('Project Database'!A51="","",N('Project Database'!AD51))</f>
        <v/>
      </c>
      <c r="BL47" s="5">
        <f>IF('Project Database'!A51="","",N('Project Database'!AE51))</f>
        <v/>
      </c>
      <c r="BM47" s="5">
        <f>IF('Project Database'!A51="","",N('Project Database'!AF51))</f>
        <v/>
      </c>
      <c r="BN47" s="5">
        <f>IF('Project Database'!A51="","",N('Project Database'!AG51))</f>
        <v/>
      </c>
      <c r="BO47" s="5">
        <f>IF('Project Database'!A51="","",N('Project Database'!AH51))</f>
        <v/>
      </c>
      <c r="BP47" s="5">
        <f>IF('Project Database'!A51="","",N('Project Database'!AI51))</f>
        <v/>
      </c>
      <c r="BQ47" s="5">
        <f>IF('Project Database'!A51="","",N('Project Database'!AJ51))</f>
        <v/>
      </c>
      <c r="BR47" s="5">
        <f>IF('Project Database'!A51="","",N('Project Database'!AK51))</f>
        <v/>
      </c>
      <c r="BS47" s="5">
        <f>IF('Project Database'!A51="","",N('Project Database'!AL51))</f>
        <v/>
      </c>
      <c r="BT47" s="5">
        <f>IF('Project Database'!A51="","",N('Project Database'!AM51))</f>
        <v/>
      </c>
      <c r="BU47" s="5">
        <f>IF('Project Database'!A51="","",N('Project Database'!AN51))</f>
        <v/>
      </c>
      <c r="BV47" s="5">
        <f>IF('Project Database'!A51="","",N('Project Database'!AO51))</f>
        <v/>
      </c>
      <c r="BW47" s="5">
        <f>IF('Project Database'!A51="","",N('Project Database'!AP51))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</row>
    <row r="48" ht="15" customHeight="1" s="74">
      <c r="A48" s="66">
        <f>'Project Database'!A52</f>
        <v/>
      </c>
      <c r="B48" s="66">
        <f>'Project Database'!B52</f>
        <v/>
      </c>
      <c r="C48" s="66">
        <f>'Project Database'!G52</f>
        <v/>
      </c>
      <c r="D48" s="66">
        <f>'Project Database'!H52</f>
        <v/>
      </c>
      <c r="E48" s="66">
        <f>'Project Database'!I52</f>
        <v/>
      </c>
      <c r="F48" s="66">
        <f>'Project Database'!J52</f>
        <v/>
      </c>
      <c r="G48" s="66">
        <f>'Project Database'!K52</f>
        <v/>
      </c>
      <c r="H48" s="66">
        <f>'Project Database'!L52</f>
        <v/>
      </c>
      <c r="I48" s="66">
        <f>'Project Database'!M52</f>
        <v/>
      </c>
      <c r="J48" s="66">
        <f>'Project Database'!N52</f>
        <v/>
      </c>
      <c r="K48" s="66">
        <f>'Project Database'!O52</f>
        <v/>
      </c>
      <c r="L48" s="66">
        <f>'Project Database'!P52</f>
        <v/>
      </c>
      <c r="M48" s="66">
        <f>'Project Database'!Q52</f>
        <v/>
      </c>
      <c r="N48" s="66">
        <f>'Project Database'!R52</f>
        <v/>
      </c>
      <c r="O48" s="66">
        <f>'Project Database'!S52</f>
        <v/>
      </c>
      <c r="P48" s="66">
        <f>'Project Database'!T52</f>
        <v/>
      </c>
      <c r="Q48" s="66">
        <f>'Project Database'!U52</f>
        <v/>
      </c>
      <c r="R48" s="66">
        <f>'Project Database'!V52</f>
        <v/>
      </c>
      <c r="S48" s="66">
        <f>'Project Database'!W52</f>
        <v/>
      </c>
      <c r="T48" s="66">
        <f>'Project Database'!X52</f>
        <v/>
      </c>
      <c r="U48" s="67">
        <f>'Project Database'!Y52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'Project Database'!Z52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IF(AND('Project Database'!A52&lt;&gt;"",OR('Smart Search'!$L$5="",'Smart Search'!$L$5="All",TRIM('Project Database'!D52)=TRIM('Smart Search'!$L$5)),OR(TRIM('Smart Search'!$L$6)="",TRIM('Smart Search'!$L$6)="All",ISNUMBER(SEARCH(SUBSTITUTE(SUBSTITUTE(SUBSTITUTE(TRIM('Smart Search'!$L$6),"~","~~"),"*","~*"),"?","~?"),'Project Database'!C52))),OR('Smart Search'!$L$7="",AND('Project Database'!E52&lt;&gt;"",'Project Database'!E52='Smart Search'!$L$7)),OR('Smart Search'!$L$8="",'Smart Search'!$L$8="All",TRIM('Project Database'!F52)=TRIM('Smart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IF('Project Database'!A52="","",N('Project Database'!AC52))</f>
        <v/>
      </c>
      <c r="BK48" s="5">
        <f>IF('Project Database'!A52="","",N('Project Database'!AD52))</f>
        <v/>
      </c>
      <c r="BL48" s="5">
        <f>IF('Project Database'!A52="","",N('Project Database'!AE52))</f>
        <v/>
      </c>
      <c r="BM48" s="5">
        <f>IF('Project Database'!A52="","",N('Project Database'!AF52))</f>
        <v/>
      </c>
      <c r="BN48" s="5">
        <f>IF('Project Database'!A52="","",N('Project Database'!AG52))</f>
        <v/>
      </c>
      <c r="BO48" s="5">
        <f>IF('Project Database'!A52="","",N('Project Database'!AH52))</f>
        <v/>
      </c>
      <c r="BP48" s="5">
        <f>IF('Project Database'!A52="","",N('Project Database'!AI52))</f>
        <v/>
      </c>
      <c r="BQ48" s="5">
        <f>IF('Project Database'!A52="","",N('Project Database'!AJ52))</f>
        <v/>
      </c>
      <c r="BR48" s="5">
        <f>IF('Project Database'!A52="","",N('Project Database'!AK52))</f>
        <v/>
      </c>
      <c r="BS48" s="5">
        <f>IF('Project Database'!A52="","",N('Project Database'!AL52))</f>
        <v/>
      </c>
      <c r="BT48" s="5">
        <f>IF('Project Database'!A52="","",N('Project Database'!AM52))</f>
        <v/>
      </c>
      <c r="BU48" s="5">
        <f>IF('Project Database'!A52="","",N('Project Database'!AN52))</f>
        <v/>
      </c>
      <c r="BV48" s="5">
        <f>IF('Project Database'!A52="","",N('Project Database'!AO52))</f>
        <v/>
      </c>
      <c r="BW48" s="5">
        <f>IF('Project Database'!A52="","",N('Project Database'!AP52))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</row>
    <row r="49" ht="15" customHeight="1" s="74">
      <c r="A49" s="66">
        <f>'Project Database'!A53</f>
        <v/>
      </c>
      <c r="B49" s="66">
        <f>'Project Database'!B53</f>
        <v/>
      </c>
      <c r="C49" s="66">
        <f>'Project Database'!G53</f>
        <v/>
      </c>
      <c r="D49" s="66">
        <f>'Project Database'!H53</f>
        <v/>
      </c>
      <c r="E49" s="66">
        <f>'Project Database'!I53</f>
        <v/>
      </c>
      <c r="F49" s="66">
        <f>'Project Database'!J53</f>
        <v/>
      </c>
      <c r="G49" s="66">
        <f>'Project Database'!K53</f>
        <v/>
      </c>
      <c r="H49" s="66">
        <f>'Project Database'!L53</f>
        <v/>
      </c>
      <c r="I49" s="66">
        <f>'Project Database'!M53</f>
        <v/>
      </c>
      <c r="J49" s="66">
        <f>'Project Database'!N53</f>
        <v/>
      </c>
      <c r="K49" s="66">
        <f>'Project Database'!O53</f>
        <v/>
      </c>
      <c r="L49" s="66">
        <f>'Project Database'!P53</f>
        <v/>
      </c>
      <c r="M49" s="66">
        <f>'Project Database'!Q53</f>
        <v/>
      </c>
      <c r="N49" s="66">
        <f>'Project Database'!R53</f>
        <v/>
      </c>
      <c r="O49" s="66">
        <f>'Project Database'!S53</f>
        <v/>
      </c>
      <c r="P49" s="66">
        <f>'Project Database'!T53</f>
        <v/>
      </c>
      <c r="Q49" s="66">
        <f>'Project Database'!U53</f>
        <v/>
      </c>
      <c r="R49" s="66">
        <f>'Project Database'!V53</f>
        <v/>
      </c>
      <c r="S49" s="66">
        <f>'Project Database'!W53</f>
        <v/>
      </c>
      <c r="T49" s="66">
        <f>'Project Database'!X53</f>
        <v/>
      </c>
      <c r="U49" s="67">
        <f>'Project Database'!Y53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'Project Database'!Z53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IF(AND('Project Database'!A53&lt;&gt;"",OR('Smart Search'!$L$5="",'Smart Search'!$L$5="All",TRIM('Project Database'!D53)=TRIM('Smart Search'!$L$5)),OR(TRIM('Smart Search'!$L$6)="",TRIM('Smart Search'!$L$6)="All",ISNUMBER(SEARCH(SUBSTITUTE(SUBSTITUTE(SUBSTITUTE(TRIM('Smart Search'!$L$6),"~","~~"),"*","~*"),"?","~?"),'Project Database'!C53))),OR('Smart Search'!$L$7="",AND('Project Database'!E53&lt;&gt;"",'Project Database'!E53='Smart Search'!$L$7)),OR('Smart Search'!$L$8="",'Smart Search'!$L$8="All",TRIM('Project Database'!F53)=TRIM('Smart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IF('Project Database'!A53="","",N('Project Database'!AC53))</f>
        <v/>
      </c>
      <c r="BK49" s="5">
        <f>IF('Project Database'!A53="","",N('Project Database'!AD53))</f>
        <v/>
      </c>
      <c r="BL49" s="5">
        <f>IF('Project Database'!A53="","",N('Project Database'!AE53))</f>
        <v/>
      </c>
      <c r="BM49" s="5">
        <f>IF('Project Database'!A53="","",N('Project Database'!AF53))</f>
        <v/>
      </c>
      <c r="BN49" s="5">
        <f>IF('Project Database'!A53="","",N('Project Database'!AG53))</f>
        <v/>
      </c>
      <c r="BO49" s="5">
        <f>IF('Project Database'!A53="","",N('Project Database'!AH53))</f>
        <v/>
      </c>
      <c r="BP49" s="5">
        <f>IF('Project Database'!A53="","",N('Project Database'!AI53))</f>
        <v/>
      </c>
      <c r="BQ49" s="5">
        <f>IF('Project Database'!A53="","",N('Project Database'!AJ53))</f>
        <v/>
      </c>
      <c r="BR49" s="5">
        <f>IF('Project Database'!A53="","",N('Project Database'!AK53))</f>
        <v/>
      </c>
      <c r="BS49" s="5">
        <f>IF('Project Database'!A53="","",N('Project Database'!AL53))</f>
        <v/>
      </c>
      <c r="BT49" s="5">
        <f>IF('Project Database'!A53="","",N('Project Database'!AM53))</f>
        <v/>
      </c>
      <c r="BU49" s="5">
        <f>IF('Project Database'!A53="","",N('Project Database'!AN53))</f>
        <v/>
      </c>
      <c r="BV49" s="5">
        <f>IF('Project Database'!A53="","",N('Project Database'!AO53))</f>
        <v/>
      </c>
      <c r="BW49" s="5">
        <f>IF('Project Database'!A53="","",N('Project Database'!AP53))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</row>
    <row r="50" ht="15" customHeight="1" s="74">
      <c r="A50" s="66">
        <f>'Project Database'!A54</f>
        <v/>
      </c>
      <c r="B50" s="66">
        <f>'Project Database'!B54</f>
        <v/>
      </c>
      <c r="C50" s="66">
        <f>'Project Database'!G54</f>
        <v/>
      </c>
      <c r="D50" s="66">
        <f>'Project Database'!H54</f>
        <v/>
      </c>
      <c r="E50" s="66">
        <f>'Project Database'!I54</f>
        <v/>
      </c>
      <c r="F50" s="66">
        <f>'Project Database'!J54</f>
        <v/>
      </c>
      <c r="G50" s="66">
        <f>'Project Database'!K54</f>
        <v/>
      </c>
      <c r="H50" s="66">
        <f>'Project Database'!L54</f>
        <v/>
      </c>
      <c r="I50" s="66">
        <f>'Project Database'!M54</f>
        <v/>
      </c>
      <c r="J50" s="66">
        <f>'Project Database'!N54</f>
        <v/>
      </c>
      <c r="K50" s="66">
        <f>'Project Database'!O54</f>
        <v/>
      </c>
      <c r="L50" s="66">
        <f>'Project Database'!P54</f>
        <v/>
      </c>
      <c r="M50" s="66">
        <f>'Project Database'!Q54</f>
        <v/>
      </c>
      <c r="N50" s="66">
        <f>'Project Database'!R54</f>
        <v/>
      </c>
      <c r="O50" s="66">
        <f>'Project Database'!S54</f>
        <v/>
      </c>
      <c r="P50" s="66">
        <f>'Project Database'!T54</f>
        <v/>
      </c>
      <c r="Q50" s="66">
        <f>'Project Database'!U54</f>
        <v/>
      </c>
      <c r="R50" s="66">
        <f>'Project Database'!V54</f>
        <v/>
      </c>
      <c r="S50" s="66">
        <f>'Project Database'!W54</f>
        <v/>
      </c>
      <c r="T50" s="66">
        <f>'Project Database'!X54</f>
        <v/>
      </c>
      <c r="U50" s="67">
        <f>'Project Database'!Y54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'Project Database'!Z54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IF(AND('Project Database'!A54&lt;&gt;"",OR('Smart Search'!$L$5="",'Smart Search'!$L$5="All",TRIM('Project Database'!D54)=TRIM('Smart Search'!$L$5)),OR(TRIM('Smart Search'!$L$6)="",TRIM('Smart Search'!$L$6)="All",ISNUMBER(SEARCH(SUBSTITUTE(SUBSTITUTE(SUBSTITUTE(TRIM('Smart Search'!$L$6),"~","~~"),"*","~*"),"?","~?"),'Project Database'!C54))),OR('Smart Search'!$L$7="",AND('Project Database'!E54&lt;&gt;"",'Project Database'!E54='Smart Search'!$L$7)),OR('Smart Search'!$L$8="",'Smart Search'!$L$8="All",TRIM('Project Database'!F54)=TRIM('Smart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IF('Project Database'!A54="","",N('Project Database'!AC54))</f>
        <v/>
      </c>
      <c r="BK50" s="5">
        <f>IF('Project Database'!A54="","",N('Project Database'!AD54))</f>
        <v/>
      </c>
      <c r="BL50" s="5">
        <f>IF('Project Database'!A54="","",N('Project Database'!AE54))</f>
        <v/>
      </c>
      <c r="BM50" s="5">
        <f>IF('Project Database'!A54="","",N('Project Database'!AF54))</f>
        <v/>
      </c>
      <c r="BN50" s="5">
        <f>IF('Project Database'!A54="","",N('Project Database'!AG54))</f>
        <v/>
      </c>
      <c r="BO50" s="5">
        <f>IF('Project Database'!A54="","",N('Project Database'!AH54))</f>
        <v/>
      </c>
      <c r="BP50" s="5">
        <f>IF('Project Database'!A54="","",N('Project Database'!AI54))</f>
        <v/>
      </c>
      <c r="BQ50" s="5">
        <f>IF('Project Database'!A54="","",N('Project Database'!AJ54))</f>
        <v/>
      </c>
      <c r="BR50" s="5">
        <f>IF('Project Database'!A54="","",N('Project Database'!AK54))</f>
        <v/>
      </c>
      <c r="BS50" s="5">
        <f>IF('Project Database'!A54="","",N('Project Database'!AL54))</f>
        <v/>
      </c>
      <c r="BT50" s="5">
        <f>IF('Project Database'!A54="","",N('Project Database'!AM54))</f>
        <v/>
      </c>
      <c r="BU50" s="5">
        <f>IF('Project Database'!A54="","",N('Project Database'!AN54))</f>
        <v/>
      </c>
      <c r="BV50" s="5">
        <f>IF('Project Database'!A54="","",N('Project Database'!AO54))</f>
        <v/>
      </c>
      <c r="BW50" s="5">
        <f>IF('Project Database'!A54="","",N('Project Database'!AP54))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</row>
    <row r="51" ht="15" customHeight="1" s="74">
      <c r="A51" s="66">
        <f>'Project Database'!A55</f>
        <v/>
      </c>
      <c r="B51" s="66">
        <f>'Project Database'!B55</f>
        <v/>
      </c>
      <c r="C51" s="66">
        <f>'Project Database'!G55</f>
        <v/>
      </c>
      <c r="D51" s="66">
        <f>'Project Database'!H55</f>
        <v/>
      </c>
      <c r="E51" s="66">
        <f>'Project Database'!I55</f>
        <v/>
      </c>
      <c r="F51" s="66">
        <f>'Project Database'!J55</f>
        <v/>
      </c>
      <c r="G51" s="66">
        <f>'Project Database'!K55</f>
        <v/>
      </c>
      <c r="H51" s="66">
        <f>'Project Database'!L55</f>
        <v/>
      </c>
      <c r="I51" s="66">
        <f>'Project Database'!M55</f>
        <v/>
      </c>
      <c r="J51" s="66">
        <f>'Project Database'!N55</f>
        <v/>
      </c>
      <c r="K51" s="66">
        <f>'Project Database'!O55</f>
        <v/>
      </c>
      <c r="L51" s="66">
        <f>'Project Database'!P55</f>
        <v/>
      </c>
      <c r="M51" s="66">
        <f>'Project Database'!Q55</f>
        <v/>
      </c>
      <c r="N51" s="66">
        <f>'Project Database'!R55</f>
        <v/>
      </c>
      <c r="O51" s="66">
        <f>'Project Database'!S55</f>
        <v/>
      </c>
      <c r="P51" s="66">
        <f>'Project Database'!T55</f>
        <v/>
      </c>
      <c r="Q51" s="66">
        <f>'Project Database'!U55</f>
        <v/>
      </c>
      <c r="R51" s="66">
        <f>'Project Database'!V55</f>
        <v/>
      </c>
      <c r="S51" s="66">
        <f>'Project Database'!W55</f>
        <v/>
      </c>
      <c r="T51" s="66">
        <f>'Project Database'!X55</f>
        <v/>
      </c>
      <c r="U51" s="67">
        <f>'Project Database'!Y55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'Project Database'!Z55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IF(AND('Project Database'!A55&lt;&gt;"",OR('Smart Search'!$L$5="",'Smart Search'!$L$5="All",TRIM('Project Database'!D55)=TRIM('Smart Search'!$L$5)),OR(TRIM('Smart Search'!$L$6)="",TRIM('Smart Search'!$L$6)="All",ISNUMBER(SEARCH(SUBSTITUTE(SUBSTITUTE(SUBSTITUTE(TRIM('Smart Search'!$L$6),"~","~~"),"*","~*"),"?","~?"),'Project Database'!C55))),OR('Smart Search'!$L$7="",AND('Project Database'!E55&lt;&gt;"",'Project Database'!E55='Smart Search'!$L$7)),OR('Smart Search'!$L$8="",'Smart Search'!$L$8="All",TRIM('Project Database'!F55)=TRIM('Smart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IF('Project Database'!A55="","",N('Project Database'!AC55))</f>
        <v/>
      </c>
      <c r="BK51" s="5">
        <f>IF('Project Database'!A55="","",N('Project Database'!AD55))</f>
        <v/>
      </c>
      <c r="BL51" s="5">
        <f>IF('Project Database'!A55="","",N('Project Database'!AE55))</f>
        <v/>
      </c>
      <c r="BM51" s="5">
        <f>IF('Project Database'!A55="","",N('Project Database'!AF55))</f>
        <v/>
      </c>
      <c r="BN51" s="5">
        <f>IF('Project Database'!A55="","",N('Project Database'!AG55))</f>
        <v/>
      </c>
      <c r="BO51" s="5">
        <f>IF('Project Database'!A55="","",N('Project Database'!AH55))</f>
        <v/>
      </c>
      <c r="BP51" s="5">
        <f>IF('Project Database'!A55="","",N('Project Database'!AI55))</f>
        <v/>
      </c>
      <c r="BQ51" s="5">
        <f>IF('Project Database'!A55="","",N('Project Database'!AJ55))</f>
        <v/>
      </c>
      <c r="BR51" s="5">
        <f>IF('Project Database'!A55="","",N('Project Database'!AK55))</f>
        <v/>
      </c>
      <c r="BS51" s="5">
        <f>IF('Project Database'!A55="","",N('Project Database'!AL55))</f>
        <v/>
      </c>
      <c r="BT51" s="5">
        <f>IF('Project Database'!A55="","",N('Project Database'!AM55))</f>
        <v/>
      </c>
      <c r="BU51" s="5">
        <f>IF('Project Database'!A55="","",N('Project Database'!AN55))</f>
        <v/>
      </c>
      <c r="BV51" s="5">
        <f>IF('Project Database'!A55="","",N('Project Database'!AO55))</f>
        <v/>
      </c>
      <c r="BW51" s="5">
        <f>IF('Project Database'!A55="","",N('Project Database'!AP55))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</row>
    <row r="52" ht="15" customHeight="1" s="74">
      <c r="A52" s="66">
        <f>'Project Database'!A56</f>
        <v/>
      </c>
      <c r="B52" s="66">
        <f>'Project Database'!B56</f>
        <v/>
      </c>
      <c r="C52" s="66">
        <f>'Project Database'!G56</f>
        <v/>
      </c>
      <c r="D52" s="66">
        <f>'Project Database'!H56</f>
        <v/>
      </c>
      <c r="E52" s="66">
        <f>'Project Database'!I56</f>
        <v/>
      </c>
      <c r="F52" s="66">
        <f>'Project Database'!J56</f>
        <v/>
      </c>
      <c r="G52" s="66">
        <f>'Project Database'!K56</f>
        <v/>
      </c>
      <c r="H52" s="66">
        <f>'Project Database'!L56</f>
        <v/>
      </c>
      <c r="I52" s="66">
        <f>'Project Database'!M56</f>
        <v/>
      </c>
      <c r="J52" s="66">
        <f>'Project Database'!N56</f>
        <v/>
      </c>
      <c r="K52" s="66">
        <f>'Project Database'!O56</f>
        <v/>
      </c>
      <c r="L52" s="66">
        <f>'Project Database'!P56</f>
        <v/>
      </c>
      <c r="M52" s="66">
        <f>'Project Database'!Q56</f>
        <v/>
      </c>
      <c r="N52" s="66">
        <f>'Project Database'!R56</f>
        <v/>
      </c>
      <c r="O52" s="66">
        <f>'Project Database'!S56</f>
        <v/>
      </c>
      <c r="P52" s="66">
        <f>'Project Database'!T56</f>
        <v/>
      </c>
      <c r="Q52" s="66">
        <f>'Project Database'!U56</f>
        <v/>
      </c>
      <c r="R52" s="66">
        <f>'Project Database'!V56</f>
        <v/>
      </c>
      <c r="S52" s="66">
        <f>'Project Database'!W56</f>
        <v/>
      </c>
      <c r="T52" s="66">
        <f>'Project Database'!X56</f>
        <v/>
      </c>
      <c r="U52" s="67">
        <f>'Project Database'!Y56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'Project Database'!Z56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IF(AND('Project Database'!A56&lt;&gt;"",OR('Smart Search'!$L$5="",'Smart Search'!$L$5="All",TRIM('Project Database'!D56)=TRIM('Smart Search'!$L$5)),OR(TRIM('Smart Search'!$L$6)="",TRIM('Smart Search'!$L$6)="All",ISNUMBER(SEARCH(SUBSTITUTE(SUBSTITUTE(SUBSTITUTE(TRIM('Smart Search'!$L$6),"~","~~"),"*","~*"),"?","~?"),'Project Database'!C56))),OR('Smart Search'!$L$7="",AND('Project Database'!E56&lt;&gt;"",'Project Database'!E56='Smart Search'!$L$7)),OR('Smart Search'!$L$8="",'Smart Search'!$L$8="All",TRIM('Project Database'!F56)=TRIM('Smart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IF('Project Database'!A56="","",N('Project Database'!AC56))</f>
        <v/>
      </c>
      <c r="BK52" s="5">
        <f>IF('Project Database'!A56="","",N('Project Database'!AD56))</f>
        <v/>
      </c>
      <c r="BL52" s="5">
        <f>IF('Project Database'!A56="","",N('Project Database'!AE56))</f>
        <v/>
      </c>
      <c r="BM52" s="5">
        <f>IF('Project Database'!A56="","",N('Project Database'!AF56))</f>
        <v/>
      </c>
      <c r="BN52" s="5">
        <f>IF('Project Database'!A56="","",N('Project Database'!AG56))</f>
        <v/>
      </c>
      <c r="BO52" s="5">
        <f>IF('Project Database'!A56="","",N('Project Database'!AH56))</f>
        <v/>
      </c>
      <c r="BP52" s="5">
        <f>IF('Project Database'!A56="","",N('Project Database'!AI56))</f>
        <v/>
      </c>
      <c r="BQ52" s="5">
        <f>IF('Project Database'!A56="","",N('Project Database'!AJ56))</f>
        <v/>
      </c>
      <c r="BR52" s="5">
        <f>IF('Project Database'!A56="","",N('Project Database'!AK56))</f>
        <v/>
      </c>
      <c r="BS52" s="5">
        <f>IF('Project Database'!A56="","",N('Project Database'!AL56))</f>
        <v/>
      </c>
      <c r="BT52" s="5">
        <f>IF('Project Database'!A56="","",N('Project Database'!AM56))</f>
        <v/>
      </c>
      <c r="BU52" s="5">
        <f>IF('Project Database'!A56="","",N('Project Database'!AN56))</f>
        <v/>
      </c>
      <c r="BV52" s="5">
        <f>IF('Project Database'!A56="","",N('Project Database'!AO56))</f>
        <v/>
      </c>
      <c r="BW52" s="5">
        <f>IF('Project Database'!A56="","",N('Project Database'!AP56))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</row>
    <row r="53" ht="15" customHeight="1" s="74">
      <c r="A53" s="66">
        <f>'Project Database'!A57</f>
        <v/>
      </c>
      <c r="B53" s="66">
        <f>'Project Database'!B57</f>
        <v/>
      </c>
      <c r="C53" s="66">
        <f>'Project Database'!G57</f>
        <v/>
      </c>
      <c r="D53" s="66">
        <f>'Project Database'!H57</f>
        <v/>
      </c>
      <c r="E53" s="66">
        <f>'Project Database'!I57</f>
        <v/>
      </c>
      <c r="F53" s="66">
        <f>'Project Database'!J57</f>
        <v/>
      </c>
      <c r="G53" s="66">
        <f>'Project Database'!K57</f>
        <v/>
      </c>
      <c r="H53" s="66">
        <f>'Project Database'!L57</f>
        <v/>
      </c>
      <c r="I53" s="66">
        <f>'Project Database'!M57</f>
        <v/>
      </c>
      <c r="J53" s="66">
        <f>'Project Database'!N57</f>
        <v/>
      </c>
      <c r="K53" s="66">
        <f>'Project Database'!O57</f>
        <v/>
      </c>
      <c r="L53" s="66">
        <f>'Project Database'!P57</f>
        <v/>
      </c>
      <c r="M53" s="66">
        <f>'Project Database'!Q57</f>
        <v/>
      </c>
      <c r="N53" s="66">
        <f>'Project Database'!R57</f>
        <v/>
      </c>
      <c r="O53" s="66">
        <f>'Project Database'!S57</f>
        <v/>
      </c>
      <c r="P53" s="66">
        <f>'Project Database'!T57</f>
        <v/>
      </c>
      <c r="Q53" s="66">
        <f>'Project Database'!U57</f>
        <v/>
      </c>
      <c r="R53" s="66">
        <f>'Project Database'!V57</f>
        <v/>
      </c>
      <c r="S53" s="66">
        <f>'Project Database'!W57</f>
        <v/>
      </c>
      <c r="T53" s="66">
        <f>'Project Database'!X57</f>
        <v/>
      </c>
      <c r="U53" s="67">
        <f>'Project Database'!Y57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'Project Database'!Z57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IF(AND('Project Database'!A57&lt;&gt;"",OR('Smart Search'!$L$5="",'Smart Search'!$L$5="All",TRIM('Project Database'!D57)=TRIM('Smart Search'!$L$5)),OR(TRIM('Smart Search'!$L$6)="",TRIM('Smart Search'!$L$6)="All",ISNUMBER(SEARCH(SUBSTITUTE(SUBSTITUTE(SUBSTITUTE(TRIM('Smart Search'!$L$6),"~","~~"),"*","~*"),"?","~?"),'Project Database'!C57))),OR('Smart Search'!$L$7="",AND('Project Database'!E57&lt;&gt;"",'Project Database'!E57='Smart Search'!$L$7)),OR('Smart Search'!$L$8="",'Smart Search'!$L$8="All",TRIM('Project Database'!F57)=TRIM('Smart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IF('Project Database'!A57="","",N('Project Database'!AC57))</f>
        <v/>
      </c>
      <c r="BK53" s="5">
        <f>IF('Project Database'!A57="","",N('Project Database'!AD57))</f>
        <v/>
      </c>
      <c r="BL53" s="5">
        <f>IF('Project Database'!A57="","",N('Project Database'!AE57))</f>
        <v/>
      </c>
      <c r="BM53" s="5">
        <f>IF('Project Database'!A57="","",N('Project Database'!AF57))</f>
        <v/>
      </c>
      <c r="BN53" s="5">
        <f>IF('Project Database'!A57="","",N('Project Database'!AG57))</f>
        <v/>
      </c>
      <c r="BO53" s="5">
        <f>IF('Project Database'!A57="","",N('Project Database'!AH57))</f>
        <v/>
      </c>
      <c r="BP53" s="5">
        <f>IF('Project Database'!A57="","",N('Project Database'!AI57))</f>
        <v/>
      </c>
      <c r="BQ53" s="5">
        <f>IF('Project Database'!A57="","",N('Project Database'!AJ57))</f>
        <v/>
      </c>
      <c r="BR53" s="5">
        <f>IF('Project Database'!A57="","",N('Project Database'!AK57))</f>
        <v/>
      </c>
      <c r="BS53" s="5">
        <f>IF('Project Database'!A57="","",N('Project Database'!AL57))</f>
        <v/>
      </c>
      <c r="BT53" s="5">
        <f>IF('Project Database'!A57="","",N('Project Database'!AM57))</f>
        <v/>
      </c>
      <c r="BU53" s="5">
        <f>IF('Project Database'!A57="","",N('Project Database'!AN57))</f>
        <v/>
      </c>
      <c r="BV53" s="5">
        <f>IF('Project Database'!A57="","",N('Project Database'!AO57))</f>
        <v/>
      </c>
      <c r="BW53" s="5">
        <f>IF('Project Database'!A57="","",N('Project Database'!AP57))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</row>
    <row r="54" ht="15" customHeight="1" s="74">
      <c r="A54" s="66">
        <f>'Project Database'!A58</f>
        <v/>
      </c>
      <c r="B54" s="66">
        <f>'Project Database'!B58</f>
        <v/>
      </c>
      <c r="C54" s="66">
        <f>'Project Database'!G58</f>
        <v/>
      </c>
      <c r="D54" s="66">
        <f>'Project Database'!H58</f>
        <v/>
      </c>
      <c r="E54" s="66">
        <f>'Project Database'!I58</f>
        <v/>
      </c>
      <c r="F54" s="66">
        <f>'Project Database'!J58</f>
        <v/>
      </c>
      <c r="G54" s="66">
        <f>'Project Database'!K58</f>
        <v/>
      </c>
      <c r="H54" s="66">
        <f>'Project Database'!L58</f>
        <v/>
      </c>
      <c r="I54" s="66">
        <f>'Project Database'!M58</f>
        <v/>
      </c>
      <c r="J54" s="66">
        <f>'Project Database'!N58</f>
        <v/>
      </c>
      <c r="K54" s="66">
        <f>'Project Database'!O58</f>
        <v/>
      </c>
      <c r="L54" s="66">
        <f>'Project Database'!P58</f>
        <v/>
      </c>
      <c r="M54" s="66">
        <f>'Project Database'!Q58</f>
        <v/>
      </c>
      <c r="N54" s="66">
        <f>'Project Database'!R58</f>
        <v/>
      </c>
      <c r="O54" s="66">
        <f>'Project Database'!S58</f>
        <v/>
      </c>
      <c r="P54" s="66">
        <f>'Project Database'!T58</f>
        <v/>
      </c>
      <c r="Q54" s="66">
        <f>'Project Database'!U58</f>
        <v/>
      </c>
      <c r="R54" s="66">
        <f>'Project Database'!V58</f>
        <v/>
      </c>
      <c r="S54" s="66">
        <f>'Project Database'!W58</f>
        <v/>
      </c>
      <c r="T54" s="66">
        <f>'Project Database'!X58</f>
        <v/>
      </c>
      <c r="U54" s="67">
        <f>'Project Database'!Y58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'Project Database'!Z58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IF(AND('Project Database'!A58&lt;&gt;"",OR('Smart Search'!$L$5="",'Smart Search'!$L$5="All",TRIM('Project Database'!D58)=TRIM('Smart Search'!$L$5)),OR(TRIM('Smart Search'!$L$6)="",TRIM('Smart Search'!$L$6)="All",ISNUMBER(SEARCH(SUBSTITUTE(SUBSTITUTE(SUBSTITUTE(TRIM('Smart Search'!$L$6),"~","~~"),"*","~*"),"?","~?"),'Project Database'!C58))),OR('Smart Search'!$L$7="",AND('Project Database'!E58&lt;&gt;"",'Project Database'!E58='Smart Search'!$L$7)),OR('Smart Search'!$L$8="",'Smart Search'!$L$8="All",TRIM('Project Database'!F58)=TRIM('Smart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IF('Project Database'!A58="","",N('Project Database'!AC58))</f>
        <v/>
      </c>
      <c r="BK54" s="5">
        <f>IF('Project Database'!A58="","",N('Project Database'!AD58))</f>
        <v/>
      </c>
      <c r="BL54" s="5">
        <f>IF('Project Database'!A58="","",N('Project Database'!AE58))</f>
        <v/>
      </c>
      <c r="BM54" s="5">
        <f>IF('Project Database'!A58="","",N('Project Database'!AF58))</f>
        <v/>
      </c>
      <c r="BN54" s="5">
        <f>IF('Project Database'!A58="","",N('Project Database'!AG58))</f>
        <v/>
      </c>
      <c r="BO54" s="5">
        <f>IF('Project Database'!A58="","",N('Project Database'!AH58))</f>
        <v/>
      </c>
      <c r="BP54" s="5">
        <f>IF('Project Database'!A58="","",N('Project Database'!AI58))</f>
        <v/>
      </c>
      <c r="BQ54" s="5">
        <f>IF('Project Database'!A58="","",N('Project Database'!AJ58))</f>
        <v/>
      </c>
      <c r="BR54" s="5">
        <f>IF('Project Database'!A58="","",N('Project Database'!AK58))</f>
        <v/>
      </c>
      <c r="BS54" s="5">
        <f>IF('Project Database'!A58="","",N('Project Database'!AL58))</f>
        <v/>
      </c>
      <c r="BT54" s="5">
        <f>IF('Project Database'!A58="","",N('Project Database'!AM58))</f>
        <v/>
      </c>
      <c r="BU54" s="5">
        <f>IF('Project Database'!A58="","",N('Project Database'!AN58))</f>
        <v/>
      </c>
      <c r="BV54" s="5">
        <f>IF('Project Database'!A58="","",N('Project Database'!AO58))</f>
        <v/>
      </c>
      <c r="BW54" s="5">
        <f>IF('Project Database'!A58="","",N('Project Database'!AP58))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</row>
    <row r="55" ht="15" customHeight="1" s="74">
      <c r="A55" s="66">
        <f>'Project Database'!A59</f>
        <v/>
      </c>
      <c r="B55" s="66">
        <f>'Project Database'!B59</f>
        <v/>
      </c>
      <c r="C55" s="66">
        <f>'Project Database'!G59</f>
        <v/>
      </c>
      <c r="D55" s="66">
        <f>'Project Database'!H59</f>
        <v/>
      </c>
      <c r="E55" s="66">
        <f>'Project Database'!I59</f>
        <v/>
      </c>
      <c r="F55" s="66">
        <f>'Project Database'!J59</f>
        <v/>
      </c>
      <c r="G55" s="66">
        <f>'Project Database'!K59</f>
        <v/>
      </c>
      <c r="H55" s="66">
        <f>'Project Database'!L59</f>
        <v/>
      </c>
      <c r="I55" s="66">
        <f>'Project Database'!M59</f>
        <v/>
      </c>
      <c r="J55" s="66">
        <f>'Project Database'!N59</f>
        <v/>
      </c>
      <c r="K55" s="66">
        <f>'Project Database'!O59</f>
        <v/>
      </c>
      <c r="L55" s="66">
        <f>'Project Database'!P59</f>
        <v/>
      </c>
      <c r="M55" s="66">
        <f>'Project Database'!Q59</f>
        <v/>
      </c>
      <c r="N55" s="66">
        <f>'Project Database'!R59</f>
        <v/>
      </c>
      <c r="O55" s="66">
        <f>'Project Database'!S59</f>
        <v/>
      </c>
      <c r="P55" s="66">
        <f>'Project Database'!T59</f>
        <v/>
      </c>
      <c r="Q55" s="66">
        <f>'Project Database'!U59</f>
        <v/>
      </c>
      <c r="R55" s="66">
        <f>'Project Database'!V59</f>
        <v/>
      </c>
      <c r="S55" s="66">
        <f>'Project Database'!W59</f>
        <v/>
      </c>
      <c r="T55" s="66">
        <f>'Project Database'!X59</f>
        <v/>
      </c>
      <c r="U55" s="67">
        <f>'Project Database'!Y59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'Project Database'!Z59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IF(AND('Project Database'!A59&lt;&gt;"",OR('Smart Search'!$L$5="",'Smart Search'!$L$5="All",TRIM('Project Database'!D59)=TRIM('Smart Search'!$L$5)),OR(TRIM('Smart Search'!$L$6)="",TRIM('Smart Search'!$L$6)="All",ISNUMBER(SEARCH(SUBSTITUTE(SUBSTITUTE(SUBSTITUTE(TRIM('Smart Search'!$L$6),"~","~~"),"*","~*"),"?","~?"),'Project Database'!C59))),OR('Smart Search'!$L$7="",AND('Project Database'!E59&lt;&gt;"",'Project Database'!E59='Smart Search'!$L$7)),OR('Smart Search'!$L$8="",'Smart Search'!$L$8="All",TRIM('Project Database'!F59)=TRIM('Smart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IF('Project Database'!A59="","",N('Project Database'!AC59))</f>
        <v/>
      </c>
      <c r="BK55" s="5">
        <f>IF('Project Database'!A59="","",N('Project Database'!AD59))</f>
        <v/>
      </c>
      <c r="BL55" s="5">
        <f>IF('Project Database'!A59="","",N('Project Database'!AE59))</f>
        <v/>
      </c>
      <c r="BM55" s="5">
        <f>IF('Project Database'!A59="","",N('Project Database'!AF59))</f>
        <v/>
      </c>
      <c r="BN55" s="5">
        <f>IF('Project Database'!A59="","",N('Project Database'!AG59))</f>
        <v/>
      </c>
      <c r="BO55" s="5">
        <f>IF('Project Database'!A59="","",N('Project Database'!AH59))</f>
        <v/>
      </c>
      <c r="BP55" s="5">
        <f>IF('Project Database'!A59="","",N('Project Database'!AI59))</f>
        <v/>
      </c>
      <c r="BQ55" s="5">
        <f>IF('Project Database'!A59="","",N('Project Database'!AJ59))</f>
        <v/>
      </c>
      <c r="BR55" s="5">
        <f>IF('Project Database'!A59="","",N('Project Database'!AK59))</f>
        <v/>
      </c>
      <c r="BS55" s="5">
        <f>IF('Project Database'!A59="","",N('Project Database'!AL59))</f>
        <v/>
      </c>
      <c r="BT55" s="5">
        <f>IF('Project Database'!A59="","",N('Project Database'!AM59))</f>
        <v/>
      </c>
      <c r="BU55" s="5">
        <f>IF('Project Database'!A59="","",N('Project Database'!AN59))</f>
        <v/>
      </c>
      <c r="BV55" s="5">
        <f>IF('Project Database'!A59="","",N('Project Database'!AO59))</f>
        <v/>
      </c>
      <c r="BW55" s="5">
        <f>IF('Project Database'!A59="","",N('Project Database'!AP59))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</row>
    <row r="56" ht="15" customHeight="1" s="74">
      <c r="A56" s="66">
        <f>'Project Database'!A60</f>
        <v/>
      </c>
      <c r="B56" s="66">
        <f>'Project Database'!B60</f>
        <v/>
      </c>
      <c r="C56" s="66">
        <f>'Project Database'!G60</f>
        <v/>
      </c>
      <c r="D56" s="66">
        <f>'Project Database'!H60</f>
        <v/>
      </c>
      <c r="E56" s="66">
        <f>'Project Database'!I60</f>
        <v/>
      </c>
      <c r="F56" s="66">
        <f>'Project Database'!J60</f>
        <v/>
      </c>
      <c r="G56" s="66">
        <f>'Project Database'!K60</f>
        <v/>
      </c>
      <c r="H56" s="66">
        <f>'Project Database'!L60</f>
        <v/>
      </c>
      <c r="I56" s="66">
        <f>'Project Database'!M60</f>
        <v/>
      </c>
      <c r="J56" s="66">
        <f>'Project Database'!N60</f>
        <v/>
      </c>
      <c r="K56" s="66">
        <f>'Project Database'!O60</f>
        <v/>
      </c>
      <c r="L56" s="66">
        <f>'Project Database'!P60</f>
        <v/>
      </c>
      <c r="M56" s="66">
        <f>'Project Database'!Q60</f>
        <v/>
      </c>
      <c r="N56" s="66">
        <f>'Project Database'!R60</f>
        <v/>
      </c>
      <c r="O56" s="66">
        <f>'Project Database'!S60</f>
        <v/>
      </c>
      <c r="P56" s="66">
        <f>'Project Database'!T60</f>
        <v/>
      </c>
      <c r="Q56" s="66">
        <f>'Project Database'!U60</f>
        <v/>
      </c>
      <c r="R56" s="66">
        <f>'Project Database'!V60</f>
        <v/>
      </c>
      <c r="S56" s="66">
        <f>'Project Database'!W60</f>
        <v/>
      </c>
      <c r="T56" s="66">
        <f>'Project Database'!X60</f>
        <v/>
      </c>
      <c r="U56" s="67">
        <f>'Project Database'!Y60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'Project Database'!Z60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IF(AND('Project Database'!A60&lt;&gt;"",OR('Smart Search'!$L$5="",'Smart Search'!$L$5="All",TRIM('Project Database'!D60)=TRIM('Smart Search'!$L$5)),OR(TRIM('Smart Search'!$L$6)="",TRIM('Smart Search'!$L$6)="All",ISNUMBER(SEARCH(SUBSTITUTE(SUBSTITUTE(SUBSTITUTE(TRIM('Smart Search'!$L$6),"~","~~"),"*","~*"),"?","~?"),'Project Database'!C60))),OR('Smart Search'!$L$7="",AND('Project Database'!E60&lt;&gt;"",'Project Database'!E60='Smart Search'!$L$7)),OR('Smart Search'!$L$8="",'Smart Search'!$L$8="All",TRIM('Project Database'!F60)=TRIM('Smart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IF('Project Database'!A60="","",N('Project Database'!AC60))</f>
        <v/>
      </c>
      <c r="BK56" s="5">
        <f>IF('Project Database'!A60="","",N('Project Database'!AD60))</f>
        <v/>
      </c>
      <c r="BL56" s="5">
        <f>IF('Project Database'!A60="","",N('Project Database'!AE60))</f>
        <v/>
      </c>
      <c r="BM56" s="5">
        <f>IF('Project Database'!A60="","",N('Project Database'!AF60))</f>
        <v/>
      </c>
      <c r="BN56" s="5">
        <f>IF('Project Database'!A60="","",N('Project Database'!AG60))</f>
        <v/>
      </c>
      <c r="BO56" s="5">
        <f>IF('Project Database'!A60="","",N('Project Database'!AH60))</f>
        <v/>
      </c>
      <c r="BP56" s="5">
        <f>IF('Project Database'!A60="","",N('Project Database'!AI60))</f>
        <v/>
      </c>
      <c r="BQ56" s="5">
        <f>IF('Project Database'!A60="","",N('Project Database'!AJ60))</f>
        <v/>
      </c>
      <c r="BR56" s="5">
        <f>IF('Project Database'!A60="","",N('Project Database'!AK60))</f>
        <v/>
      </c>
      <c r="BS56" s="5">
        <f>IF('Project Database'!A60="","",N('Project Database'!AL60))</f>
        <v/>
      </c>
      <c r="BT56" s="5">
        <f>IF('Project Database'!A60="","",N('Project Database'!AM60))</f>
        <v/>
      </c>
      <c r="BU56" s="5">
        <f>IF('Project Database'!A60="","",N('Project Database'!AN60))</f>
        <v/>
      </c>
      <c r="BV56" s="5">
        <f>IF('Project Database'!A60="","",N('Project Database'!AO60))</f>
        <v/>
      </c>
      <c r="BW56" s="5">
        <f>IF('Project Database'!A60="","",N('Project Database'!AP60))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</row>
    <row r="57" ht="15" customHeight="1" s="74">
      <c r="A57" s="66">
        <f>'Project Database'!A61</f>
        <v/>
      </c>
      <c r="B57" s="66">
        <f>'Project Database'!B61</f>
        <v/>
      </c>
      <c r="C57" s="66">
        <f>'Project Database'!G61</f>
        <v/>
      </c>
      <c r="D57" s="66">
        <f>'Project Database'!H61</f>
        <v/>
      </c>
      <c r="E57" s="66">
        <f>'Project Database'!I61</f>
        <v/>
      </c>
      <c r="F57" s="66">
        <f>'Project Database'!J61</f>
        <v/>
      </c>
      <c r="G57" s="66">
        <f>'Project Database'!K61</f>
        <v/>
      </c>
      <c r="H57" s="66">
        <f>'Project Database'!L61</f>
        <v/>
      </c>
      <c r="I57" s="66">
        <f>'Project Database'!M61</f>
        <v/>
      </c>
      <c r="J57" s="66">
        <f>'Project Database'!N61</f>
        <v/>
      </c>
      <c r="K57" s="66">
        <f>'Project Database'!O61</f>
        <v/>
      </c>
      <c r="L57" s="66">
        <f>'Project Database'!P61</f>
        <v/>
      </c>
      <c r="M57" s="66">
        <f>'Project Database'!Q61</f>
        <v/>
      </c>
      <c r="N57" s="66">
        <f>'Project Database'!R61</f>
        <v/>
      </c>
      <c r="O57" s="66">
        <f>'Project Database'!S61</f>
        <v/>
      </c>
      <c r="P57" s="66">
        <f>'Project Database'!T61</f>
        <v/>
      </c>
      <c r="Q57" s="66">
        <f>'Project Database'!U61</f>
        <v/>
      </c>
      <c r="R57" s="66">
        <f>'Project Database'!V61</f>
        <v/>
      </c>
      <c r="S57" s="66">
        <f>'Project Database'!W61</f>
        <v/>
      </c>
      <c r="T57" s="66">
        <f>'Project Database'!X61</f>
        <v/>
      </c>
      <c r="U57" s="67">
        <f>'Project Database'!Y61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'Project Database'!Z61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IF(AND('Project Database'!A61&lt;&gt;"",OR('Smart Search'!$L$5="",'Smart Search'!$L$5="All",TRIM('Project Database'!D61)=TRIM('Smart Search'!$L$5)),OR(TRIM('Smart Search'!$L$6)="",TRIM('Smart Search'!$L$6)="All",ISNUMBER(SEARCH(SUBSTITUTE(SUBSTITUTE(SUBSTITUTE(TRIM('Smart Search'!$L$6),"~","~~"),"*","~*"),"?","~?"),'Project Database'!C61))),OR('Smart Search'!$L$7="",AND('Project Database'!E61&lt;&gt;"",'Project Database'!E61='Smart Search'!$L$7)),OR('Smart Search'!$L$8="",'Smart Search'!$L$8="All",TRIM('Project Database'!F61)=TRIM('Smart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IF('Project Database'!A61="","",N('Project Database'!AC61))</f>
        <v/>
      </c>
      <c r="BK57" s="5">
        <f>IF('Project Database'!A61="","",N('Project Database'!AD61))</f>
        <v/>
      </c>
      <c r="BL57" s="5">
        <f>IF('Project Database'!A61="","",N('Project Database'!AE61))</f>
        <v/>
      </c>
      <c r="BM57" s="5">
        <f>IF('Project Database'!A61="","",N('Project Database'!AF61))</f>
        <v/>
      </c>
      <c r="BN57" s="5">
        <f>IF('Project Database'!A61="","",N('Project Database'!AG61))</f>
        <v/>
      </c>
      <c r="BO57" s="5">
        <f>IF('Project Database'!A61="","",N('Project Database'!AH61))</f>
        <v/>
      </c>
      <c r="BP57" s="5">
        <f>IF('Project Database'!A61="","",N('Project Database'!AI61))</f>
        <v/>
      </c>
      <c r="BQ57" s="5">
        <f>IF('Project Database'!A61="","",N('Project Database'!AJ61))</f>
        <v/>
      </c>
      <c r="BR57" s="5">
        <f>IF('Project Database'!A61="","",N('Project Database'!AK61))</f>
        <v/>
      </c>
      <c r="BS57" s="5">
        <f>IF('Project Database'!A61="","",N('Project Database'!AL61))</f>
        <v/>
      </c>
      <c r="BT57" s="5">
        <f>IF('Project Database'!A61="","",N('Project Database'!AM61))</f>
        <v/>
      </c>
      <c r="BU57" s="5">
        <f>IF('Project Database'!A61="","",N('Project Database'!AN61))</f>
        <v/>
      </c>
      <c r="BV57" s="5">
        <f>IF('Project Database'!A61="","",N('Project Database'!AO61))</f>
        <v/>
      </c>
      <c r="BW57" s="5">
        <f>IF('Project Database'!A61="","",N('Project Database'!AP61))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</row>
    <row r="58" ht="15" customHeight="1" s="74">
      <c r="A58" s="66">
        <f>'Project Database'!A62</f>
        <v/>
      </c>
      <c r="B58" s="66">
        <f>'Project Database'!B62</f>
        <v/>
      </c>
      <c r="C58" s="66">
        <f>'Project Database'!G62</f>
        <v/>
      </c>
      <c r="D58" s="66">
        <f>'Project Database'!H62</f>
        <v/>
      </c>
      <c r="E58" s="66">
        <f>'Project Database'!I62</f>
        <v/>
      </c>
      <c r="F58" s="66">
        <f>'Project Database'!J62</f>
        <v/>
      </c>
      <c r="G58" s="66">
        <f>'Project Database'!K62</f>
        <v/>
      </c>
      <c r="H58" s="66">
        <f>'Project Database'!L62</f>
        <v/>
      </c>
      <c r="I58" s="66">
        <f>'Project Database'!M62</f>
        <v/>
      </c>
      <c r="J58" s="66">
        <f>'Project Database'!N62</f>
        <v/>
      </c>
      <c r="K58" s="66">
        <f>'Project Database'!O62</f>
        <v/>
      </c>
      <c r="L58" s="66">
        <f>'Project Database'!P62</f>
        <v/>
      </c>
      <c r="M58" s="66">
        <f>'Project Database'!Q62</f>
        <v/>
      </c>
      <c r="N58" s="66">
        <f>'Project Database'!R62</f>
        <v/>
      </c>
      <c r="O58" s="66">
        <f>'Project Database'!S62</f>
        <v/>
      </c>
      <c r="P58" s="66">
        <f>'Project Database'!T62</f>
        <v/>
      </c>
      <c r="Q58" s="66">
        <f>'Project Database'!U62</f>
        <v/>
      </c>
      <c r="R58" s="66">
        <f>'Project Database'!V62</f>
        <v/>
      </c>
      <c r="S58" s="66">
        <f>'Project Database'!W62</f>
        <v/>
      </c>
      <c r="T58" s="66">
        <f>'Project Database'!X62</f>
        <v/>
      </c>
      <c r="U58" s="67">
        <f>'Project Database'!Y62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'Project Database'!Z62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IF(AND('Project Database'!A62&lt;&gt;"",OR('Smart Search'!$L$5="",'Smart Search'!$L$5="All",TRIM('Project Database'!D62)=TRIM('Smart Search'!$L$5)),OR(TRIM('Smart Search'!$L$6)="",TRIM('Smart Search'!$L$6)="All",ISNUMBER(SEARCH(SUBSTITUTE(SUBSTITUTE(SUBSTITUTE(TRIM('Smart Search'!$L$6),"~","~~"),"*","~*"),"?","~?"),'Project Database'!C62))),OR('Smart Search'!$L$7="",AND('Project Database'!E62&lt;&gt;"",'Project Database'!E62='Smart Search'!$L$7)),OR('Smart Search'!$L$8="",'Smart Search'!$L$8="All",TRIM('Project Database'!F62)=TRIM('Smart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IF('Project Database'!A62="","",N('Project Database'!AC62))</f>
        <v/>
      </c>
      <c r="BK58" s="5">
        <f>IF('Project Database'!A62="","",N('Project Database'!AD62))</f>
        <v/>
      </c>
      <c r="BL58" s="5">
        <f>IF('Project Database'!A62="","",N('Project Database'!AE62))</f>
        <v/>
      </c>
      <c r="BM58" s="5">
        <f>IF('Project Database'!A62="","",N('Project Database'!AF62))</f>
        <v/>
      </c>
      <c r="BN58" s="5">
        <f>IF('Project Database'!A62="","",N('Project Database'!AG62))</f>
        <v/>
      </c>
      <c r="BO58" s="5">
        <f>IF('Project Database'!A62="","",N('Project Database'!AH62))</f>
        <v/>
      </c>
      <c r="BP58" s="5">
        <f>IF('Project Database'!A62="","",N('Project Database'!AI62))</f>
        <v/>
      </c>
      <c r="BQ58" s="5">
        <f>IF('Project Database'!A62="","",N('Project Database'!AJ62))</f>
        <v/>
      </c>
      <c r="BR58" s="5">
        <f>IF('Project Database'!A62="","",N('Project Database'!AK62))</f>
        <v/>
      </c>
      <c r="BS58" s="5">
        <f>IF('Project Database'!A62="","",N('Project Database'!AL62))</f>
        <v/>
      </c>
      <c r="BT58" s="5">
        <f>IF('Project Database'!A62="","",N('Project Database'!AM62))</f>
        <v/>
      </c>
      <c r="BU58" s="5">
        <f>IF('Project Database'!A62="","",N('Project Database'!AN62))</f>
        <v/>
      </c>
      <c r="BV58" s="5">
        <f>IF('Project Database'!A62="","",N('Project Database'!AO62))</f>
        <v/>
      </c>
      <c r="BW58" s="5">
        <f>IF('Project Database'!A62="","",N('Project Database'!AP62))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</row>
    <row r="59" ht="15" customHeight="1" s="74">
      <c r="A59" s="66">
        <f>'Project Database'!A63</f>
        <v/>
      </c>
      <c r="B59" s="66">
        <f>'Project Database'!B63</f>
        <v/>
      </c>
      <c r="C59" s="66">
        <f>'Project Database'!G63</f>
        <v/>
      </c>
      <c r="D59" s="66">
        <f>'Project Database'!H63</f>
        <v/>
      </c>
      <c r="E59" s="66">
        <f>'Project Database'!I63</f>
        <v/>
      </c>
      <c r="F59" s="66">
        <f>'Project Database'!J63</f>
        <v/>
      </c>
      <c r="G59" s="66">
        <f>'Project Database'!K63</f>
        <v/>
      </c>
      <c r="H59" s="66">
        <f>'Project Database'!L63</f>
        <v/>
      </c>
      <c r="I59" s="66">
        <f>'Project Database'!M63</f>
        <v/>
      </c>
      <c r="J59" s="66">
        <f>'Project Database'!N63</f>
        <v/>
      </c>
      <c r="K59" s="66">
        <f>'Project Database'!O63</f>
        <v/>
      </c>
      <c r="L59" s="66">
        <f>'Project Database'!P63</f>
        <v/>
      </c>
      <c r="M59" s="66">
        <f>'Project Database'!Q63</f>
        <v/>
      </c>
      <c r="N59" s="66">
        <f>'Project Database'!R63</f>
        <v/>
      </c>
      <c r="O59" s="66">
        <f>'Project Database'!S63</f>
        <v/>
      </c>
      <c r="P59" s="66">
        <f>'Project Database'!T63</f>
        <v/>
      </c>
      <c r="Q59" s="66">
        <f>'Project Database'!U63</f>
        <v/>
      </c>
      <c r="R59" s="66">
        <f>'Project Database'!V63</f>
        <v/>
      </c>
      <c r="S59" s="66">
        <f>'Project Database'!W63</f>
        <v/>
      </c>
      <c r="T59" s="66">
        <f>'Project Database'!X63</f>
        <v/>
      </c>
      <c r="U59" s="67">
        <f>'Project Database'!Y63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'Project Database'!Z63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IF(AND('Project Database'!A63&lt;&gt;"",OR('Smart Search'!$L$5="",'Smart Search'!$L$5="All",TRIM('Project Database'!D63)=TRIM('Smart Search'!$L$5)),OR(TRIM('Smart Search'!$L$6)="",TRIM('Smart Search'!$L$6)="All",ISNUMBER(SEARCH(SUBSTITUTE(SUBSTITUTE(SUBSTITUTE(TRIM('Smart Search'!$L$6),"~","~~"),"*","~*"),"?","~?"),'Project Database'!C63))),OR('Smart Search'!$L$7="",AND('Project Database'!E63&lt;&gt;"",'Project Database'!E63='Smart Search'!$L$7)),OR('Smart Search'!$L$8="",'Smart Search'!$L$8="All",TRIM('Project Database'!F63)=TRIM('Smart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IF('Project Database'!A63="","",N('Project Database'!AC63))</f>
        <v/>
      </c>
      <c r="BK59" s="5">
        <f>IF('Project Database'!A63="","",N('Project Database'!AD63))</f>
        <v/>
      </c>
      <c r="BL59" s="5">
        <f>IF('Project Database'!A63="","",N('Project Database'!AE63))</f>
        <v/>
      </c>
      <c r="BM59" s="5">
        <f>IF('Project Database'!A63="","",N('Project Database'!AF63))</f>
        <v/>
      </c>
      <c r="BN59" s="5">
        <f>IF('Project Database'!A63="","",N('Project Database'!AG63))</f>
        <v/>
      </c>
      <c r="BO59" s="5">
        <f>IF('Project Database'!A63="","",N('Project Database'!AH63))</f>
        <v/>
      </c>
      <c r="BP59" s="5">
        <f>IF('Project Database'!A63="","",N('Project Database'!AI63))</f>
        <v/>
      </c>
      <c r="BQ59" s="5">
        <f>IF('Project Database'!A63="","",N('Project Database'!AJ63))</f>
        <v/>
      </c>
      <c r="BR59" s="5">
        <f>IF('Project Database'!A63="","",N('Project Database'!AK63))</f>
        <v/>
      </c>
      <c r="BS59" s="5">
        <f>IF('Project Database'!A63="","",N('Project Database'!AL63))</f>
        <v/>
      </c>
      <c r="BT59" s="5">
        <f>IF('Project Database'!A63="","",N('Project Database'!AM63))</f>
        <v/>
      </c>
      <c r="BU59" s="5">
        <f>IF('Project Database'!A63="","",N('Project Database'!AN63))</f>
        <v/>
      </c>
      <c r="BV59" s="5">
        <f>IF('Project Database'!A63="","",N('Project Database'!AO63))</f>
        <v/>
      </c>
      <c r="BW59" s="5">
        <f>IF('Project Database'!A63="","",N('Project Database'!AP63))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</row>
    <row r="60" ht="15" customHeight="1" s="74">
      <c r="A60" s="66">
        <f>'Project Database'!A64</f>
        <v/>
      </c>
      <c r="B60" s="66">
        <f>'Project Database'!B64</f>
        <v/>
      </c>
      <c r="C60" s="66">
        <f>'Project Database'!G64</f>
        <v/>
      </c>
      <c r="D60" s="66">
        <f>'Project Database'!H64</f>
        <v/>
      </c>
      <c r="E60" s="66">
        <f>'Project Database'!I64</f>
        <v/>
      </c>
      <c r="F60" s="66">
        <f>'Project Database'!J64</f>
        <v/>
      </c>
      <c r="G60" s="66">
        <f>'Project Database'!K64</f>
        <v/>
      </c>
      <c r="H60" s="66">
        <f>'Project Database'!L64</f>
        <v/>
      </c>
      <c r="I60" s="66">
        <f>'Project Database'!M64</f>
        <v/>
      </c>
      <c r="J60" s="66">
        <f>'Project Database'!N64</f>
        <v/>
      </c>
      <c r="K60" s="66">
        <f>'Project Database'!O64</f>
        <v/>
      </c>
      <c r="L60" s="66">
        <f>'Project Database'!P64</f>
        <v/>
      </c>
      <c r="M60" s="66">
        <f>'Project Database'!Q64</f>
        <v/>
      </c>
      <c r="N60" s="66">
        <f>'Project Database'!R64</f>
        <v/>
      </c>
      <c r="O60" s="66">
        <f>'Project Database'!S64</f>
        <v/>
      </c>
      <c r="P60" s="66">
        <f>'Project Database'!T64</f>
        <v/>
      </c>
      <c r="Q60" s="66">
        <f>'Project Database'!U64</f>
        <v/>
      </c>
      <c r="R60" s="66">
        <f>'Project Database'!V64</f>
        <v/>
      </c>
      <c r="S60" s="66">
        <f>'Project Database'!W64</f>
        <v/>
      </c>
      <c r="T60" s="66">
        <f>'Project Database'!X64</f>
        <v/>
      </c>
      <c r="U60" s="67">
        <f>'Project Database'!Y64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'Project Database'!Z64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IF(AND('Project Database'!A64&lt;&gt;"",OR('Smart Search'!$L$5="",'Smart Search'!$L$5="All",TRIM('Project Database'!D64)=TRIM('Smart Search'!$L$5)),OR(TRIM('Smart Search'!$L$6)="",TRIM('Smart Search'!$L$6)="All",ISNUMBER(SEARCH(SUBSTITUTE(SUBSTITUTE(SUBSTITUTE(TRIM('Smart Search'!$L$6),"~","~~"),"*","~*"),"?","~?"),'Project Database'!C64))),OR('Smart Search'!$L$7="",AND('Project Database'!E64&lt;&gt;"",'Project Database'!E64='Smart Search'!$L$7)),OR('Smart Search'!$L$8="",'Smart Search'!$L$8="All",TRIM('Project Database'!F64)=TRIM('Smart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IF('Project Database'!A64="","",N('Project Database'!AC64))</f>
        <v/>
      </c>
      <c r="BK60" s="5">
        <f>IF('Project Database'!A64="","",N('Project Database'!AD64))</f>
        <v/>
      </c>
      <c r="BL60" s="5">
        <f>IF('Project Database'!A64="","",N('Project Database'!AE64))</f>
        <v/>
      </c>
      <c r="BM60" s="5">
        <f>IF('Project Database'!A64="","",N('Project Database'!AF64))</f>
        <v/>
      </c>
      <c r="BN60" s="5">
        <f>IF('Project Database'!A64="","",N('Project Database'!AG64))</f>
        <v/>
      </c>
      <c r="BO60" s="5">
        <f>IF('Project Database'!A64="","",N('Project Database'!AH64))</f>
        <v/>
      </c>
      <c r="BP60" s="5">
        <f>IF('Project Database'!A64="","",N('Project Database'!AI64))</f>
        <v/>
      </c>
      <c r="BQ60" s="5">
        <f>IF('Project Database'!A64="","",N('Project Database'!AJ64))</f>
        <v/>
      </c>
      <c r="BR60" s="5">
        <f>IF('Project Database'!A64="","",N('Project Database'!AK64))</f>
        <v/>
      </c>
      <c r="BS60" s="5">
        <f>IF('Project Database'!A64="","",N('Project Database'!AL64))</f>
        <v/>
      </c>
      <c r="BT60" s="5">
        <f>IF('Project Database'!A64="","",N('Project Database'!AM64))</f>
        <v/>
      </c>
      <c r="BU60" s="5">
        <f>IF('Project Database'!A64="","",N('Project Database'!AN64))</f>
        <v/>
      </c>
      <c r="BV60" s="5">
        <f>IF('Project Database'!A64="","",N('Project Database'!AO64))</f>
        <v/>
      </c>
      <c r="BW60" s="5">
        <f>IF('Project Database'!A64="","",N('Project Database'!AP64))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</row>
    <row r="61" ht="15" customHeight="1" s="74">
      <c r="A61" s="66">
        <f>'Project Database'!A65</f>
        <v/>
      </c>
      <c r="B61" s="66">
        <f>'Project Database'!B65</f>
        <v/>
      </c>
      <c r="C61" s="66">
        <f>'Project Database'!G65</f>
        <v/>
      </c>
      <c r="D61" s="66">
        <f>'Project Database'!H65</f>
        <v/>
      </c>
      <c r="E61" s="66">
        <f>'Project Database'!I65</f>
        <v/>
      </c>
      <c r="F61" s="66">
        <f>'Project Database'!J65</f>
        <v/>
      </c>
      <c r="G61" s="66">
        <f>'Project Database'!K65</f>
        <v/>
      </c>
      <c r="H61" s="66">
        <f>'Project Database'!L65</f>
        <v/>
      </c>
      <c r="I61" s="66">
        <f>'Project Database'!M65</f>
        <v/>
      </c>
      <c r="J61" s="66">
        <f>'Project Database'!N65</f>
        <v/>
      </c>
      <c r="K61" s="66">
        <f>'Project Database'!O65</f>
        <v/>
      </c>
      <c r="L61" s="66">
        <f>'Project Database'!P65</f>
        <v/>
      </c>
      <c r="M61" s="66">
        <f>'Project Database'!Q65</f>
        <v/>
      </c>
      <c r="N61" s="66">
        <f>'Project Database'!R65</f>
        <v/>
      </c>
      <c r="O61" s="66">
        <f>'Project Database'!S65</f>
        <v/>
      </c>
      <c r="P61" s="66">
        <f>'Project Database'!T65</f>
        <v/>
      </c>
      <c r="Q61" s="66">
        <f>'Project Database'!U65</f>
        <v/>
      </c>
      <c r="R61" s="66">
        <f>'Project Database'!V65</f>
        <v/>
      </c>
      <c r="S61" s="66">
        <f>'Project Database'!W65</f>
        <v/>
      </c>
      <c r="T61" s="66">
        <f>'Project Database'!X65</f>
        <v/>
      </c>
      <c r="U61" s="67">
        <f>'Project Database'!Y65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'Project Database'!Z65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IF(AND('Project Database'!A65&lt;&gt;"",OR('Smart Search'!$L$5="",'Smart Search'!$L$5="All",TRIM('Project Database'!D65)=TRIM('Smart Search'!$L$5)),OR(TRIM('Smart Search'!$L$6)="",TRIM('Smart Search'!$L$6)="All",ISNUMBER(SEARCH(SUBSTITUTE(SUBSTITUTE(SUBSTITUTE(TRIM('Smart Search'!$L$6),"~","~~"),"*","~*"),"?","~?"),'Project Database'!C65))),OR('Smart Search'!$L$7="",AND('Project Database'!E65&lt;&gt;"",'Project Database'!E65='Smart Search'!$L$7)),OR('Smart Search'!$L$8="",'Smart Search'!$L$8="All",TRIM('Project Database'!F65)=TRIM('Smart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IF('Project Database'!A65="","",N('Project Database'!AC65))</f>
        <v/>
      </c>
      <c r="BK61" s="5">
        <f>IF('Project Database'!A65="","",N('Project Database'!AD65))</f>
        <v/>
      </c>
      <c r="BL61" s="5">
        <f>IF('Project Database'!A65="","",N('Project Database'!AE65))</f>
        <v/>
      </c>
      <c r="BM61" s="5">
        <f>IF('Project Database'!A65="","",N('Project Database'!AF65))</f>
        <v/>
      </c>
      <c r="BN61" s="5">
        <f>IF('Project Database'!A65="","",N('Project Database'!AG65))</f>
        <v/>
      </c>
      <c r="BO61" s="5">
        <f>IF('Project Database'!A65="","",N('Project Database'!AH65))</f>
        <v/>
      </c>
      <c r="BP61" s="5">
        <f>IF('Project Database'!A65="","",N('Project Database'!AI65))</f>
        <v/>
      </c>
      <c r="BQ61" s="5">
        <f>IF('Project Database'!A65="","",N('Project Database'!AJ65))</f>
        <v/>
      </c>
      <c r="BR61" s="5">
        <f>IF('Project Database'!A65="","",N('Project Database'!AK65))</f>
        <v/>
      </c>
      <c r="BS61" s="5">
        <f>IF('Project Database'!A65="","",N('Project Database'!AL65))</f>
        <v/>
      </c>
      <c r="BT61" s="5">
        <f>IF('Project Database'!A65="","",N('Project Database'!AM65))</f>
        <v/>
      </c>
      <c r="BU61" s="5">
        <f>IF('Project Database'!A65="","",N('Project Database'!AN65))</f>
        <v/>
      </c>
      <c r="BV61" s="5">
        <f>IF('Project Database'!A65="","",N('Project Database'!AO65))</f>
        <v/>
      </c>
      <c r="BW61" s="5">
        <f>IF('Project Database'!A65="","",N('Project Database'!AP65))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</row>
    <row r="62" ht="15" customHeight="1" s="74">
      <c r="A62" s="66">
        <f>'Project Database'!A66</f>
        <v/>
      </c>
      <c r="B62" s="66">
        <f>'Project Database'!B66</f>
        <v/>
      </c>
      <c r="C62" s="66">
        <f>'Project Database'!G66</f>
        <v/>
      </c>
      <c r="D62" s="66">
        <f>'Project Database'!H66</f>
        <v/>
      </c>
      <c r="E62" s="66">
        <f>'Project Database'!I66</f>
        <v/>
      </c>
      <c r="F62" s="66">
        <f>'Project Database'!J66</f>
        <v/>
      </c>
      <c r="G62" s="66">
        <f>'Project Database'!K66</f>
        <v/>
      </c>
      <c r="H62" s="66">
        <f>'Project Database'!L66</f>
        <v/>
      </c>
      <c r="I62" s="66">
        <f>'Project Database'!M66</f>
        <v/>
      </c>
      <c r="J62" s="66">
        <f>'Project Database'!N66</f>
        <v/>
      </c>
      <c r="K62" s="66">
        <f>'Project Database'!O66</f>
        <v/>
      </c>
      <c r="L62" s="66">
        <f>'Project Database'!P66</f>
        <v/>
      </c>
      <c r="M62" s="66">
        <f>'Project Database'!Q66</f>
        <v/>
      </c>
      <c r="N62" s="66">
        <f>'Project Database'!R66</f>
        <v/>
      </c>
      <c r="O62" s="66">
        <f>'Project Database'!S66</f>
        <v/>
      </c>
      <c r="P62" s="66">
        <f>'Project Database'!T66</f>
        <v/>
      </c>
      <c r="Q62" s="66">
        <f>'Project Database'!U66</f>
        <v/>
      </c>
      <c r="R62" s="66">
        <f>'Project Database'!V66</f>
        <v/>
      </c>
      <c r="S62" s="66">
        <f>'Project Database'!W66</f>
        <v/>
      </c>
      <c r="T62" s="66">
        <f>'Project Database'!X66</f>
        <v/>
      </c>
      <c r="U62" s="67">
        <f>'Project Database'!Y66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'Project Database'!Z66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IF(AND('Project Database'!A66&lt;&gt;"",OR('Smart Search'!$L$5="",'Smart Search'!$L$5="All",TRIM('Project Database'!D66)=TRIM('Smart Search'!$L$5)),OR(TRIM('Smart Search'!$L$6)="",TRIM('Smart Search'!$L$6)="All",ISNUMBER(SEARCH(SUBSTITUTE(SUBSTITUTE(SUBSTITUTE(TRIM('Smart Search'!$L$6),"~","~~"),"*","~*"),"?","~?"),'Project Database'!C66))),OR('Smart Search'!$L$7="",AND('Project Database'!E66&lt;&gt;"",'Project Database'!E66='Smart Search'!$L$7)),OR('Smart Search'!$L$8="",'Smart Search'!$L$8="All",TRIM('Project Database'!F66)=TRIM('Smart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IF('Project Database'!A66="","",N('Project Database'!AC66))</f>
        <v/>
      </c>
      <c r="BK62" s="5">
        <f>IF('Project Database'!A66="","",N('Project Database'!AD66))</f>
        <v/>
      </c>
      <c r="BL62" s="5">
        <f>IF('Project Database'!A66="","",N('Project Database'!AE66))</f>
        <v/>
      </c>
      <c r="BM62" s="5">
        <f>IF('Project Database'!A66="","",N('Project Database'!AF66))</f>
        <v/>
      </c>
      <c r="BN62" s="5">
        <f>IF('Project Database'!A66="","",N('Project Database'!AG66))</f>
        <v/>
      </c>
      <c r="BO62" s="5">
        <f>IF('Project Database'!A66="","",N('Project Database'!AH66))</f>
        <v/>
      </c>
      <c r="BP62" s="5">
        <f>IF('Project Database'!A66="","",N('Project Database'!AI66))</f>
        <v/>
      </c>
      <c r="BQ62" s="5">
        <f>IF('Project Database'!A66="","",N('Project Database'!AJ66))</f>
        <v/>
      </c>
      <c r="BR62" s="5">
        <f>IF('Project Database'!A66="","",N('Project Database'!AK66))</f>
        <v/>
      </c>
      <c r="BS62" s="5">
        <f>IF('Project Database'!A66="","",N('Project Database'!AL66))</f>
        <v/>
      </c>
      <c r="BT62" s="5">
        <f>IF('Project Database'!A66="","",N('Project Database'!AM66))</f>
        <v/>
      </c>
      <c r="BU62" s="5">
        <f>IF('Project Database'!A66="","",N('Project Database'!AN66))</f>
        <v/>
      </c>
      <c r="BV62" s="5">
        <f>IF('Project Database'!A66="","",N('Project Database'!AO66))</f>
        <v/>
      </c>
      <c r="BW62" s="5">
        <f>IF('Project Database'!A66="","",N('Project Database'!AP66))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</row>
    <row r="63" ht="15" customHeight="1" s="74">
      <c r="A63" s="66">
        <f>'Project Database'!A67</f>
        <v/>
      </c>
      <c r="B63" s="66">
        <f>'Project Database'!B67</f>
        <v/>
      </c>
      <c r="C63" s="66">
        <f>'Project Database'!G67</f>
        <v/>
      </c>
      <c r="D63" s="66">
        <f>'Project Database'!H67</f>
        <v/>
      </c>
      <c r="E63" s="66">
        <f>'Project Database'!I67</f>
        <v/>
      </c>
      <c r="F63" s="66">
        <f>'Project Database'!J67</f>
        <v/>
      </c>
      <c r="G63" s="66">
        <f>'Project Database'!K67</f>
        <v/>
      </c>
      <c r="H63" s="66">
        <f>'Project Database'!L67</f>
        <v/>
      </c>
      <c r="I63" s="66">
        <f>'Project Database'!M67</f>
        <v/>
      </c>
      <c r="J63" s="66">
        <f>'Project Database'!N67</f>
        <v/>
      </c>
      <c r="K63" s="66">
        <f>'Project Database'!O67</f>
        <v/>
      </c>
      <c r="L63" s="66">
        <f>'Project Database'!P67</f>
        <v/>
      </c>
      <c r="M63" s="66">
        <f>'Project Database'!Q67</f>
        <v/>
      </c>
      <c r="N63" s="66">
        <f>'Project Database'!R67</f>
        <v/>
      </c>
      <c r="O63" s="66">
        <f>'Project Database'!S67</f>
        <v/>
      </c>
      <c r="P63" s="66">
        <f>'Project Database'!T67</f>
        <v/>
      </c>
      <c r="Q63" s="66">
        <f>'Project Database'!U67</f>
        <v/>
      </c>
      <c r="R63" s="66">
        <f>'Project Database'!V67</f>
        <v/>
      </c>
      <c r="S63" s="66">
        <f>'Project Database'!W67</f>
        <v/>
      </c>
      <c r="T63" s="66">
        <f>'Project Database'!X67</f>
        <v/>
      </c>
      <c r="U63" s="67">
        <f>'Project Database'!Y67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'Project Database'!Z67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IF(AND('Project Database'!A67&lt;&gt;"",OR('Smart Search'!$L$5="",'Smart Search'!$L$5="All",TRIM('Project Database'!D67)=TRIM('Smart Search'!$L$5)),OR(TRIM('Smart Search'!$L$6)="",TRIM('Smart Search'!$L$6)="All",ISNUMBER(SEARCH(SUBSTITUTE(SUBSTITUTE(SUBSTITUTE(TRIM('Smart Search'!$L$6),"~","~~"),"*","~*"),"?","~?"),'Project Database'!C67))),OR('Smart Search'!$L$7="",AND('Project Database'!E67&lt;&gt;"",'Project Database'!E67='Smart Search'!$L$7)),OR('Smart Search'!$L$8="",'Smart Search'!$L$8="All",TRIM('Project Database'!F67)=TRIM('Smart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IF('Project Database'!A67="","",N('Project Database'!AC67))</f>
        <v/>
      </c>
      <c r="BK63" s="5">
        <f>IF('Project Database'!A67="","",N('Project Database'!AD67))</f>
        <v/>
      </c>
      <c r="BL63" s="5">
        <f>IF('Project Database'!A67="","",N('Project Database'!AE67))</f>
        <v/>
      </c>
      <c r="BM63" s="5">
        <f>IF('Project Database'!A67="","",N('Project Database'!AF67))</f>
        <v/>
      </c>
      <c r="BN63" s="5">
        <f>IF('Project Database'!A67="","",N('Project Database'!AG67))</f>
        <v/>
      </c>
      <c r="BO63" s="5">
        <f>IF('Project Database'!A67="","",N('Project Database'!AH67))</f>
        <v/>
      </c>
      <c r="BP63" s="5">
        <f>IF('Project Database'!A67="","",N('Project Database'!AI67))</f>
        <v/>
      </c>
      <c r="BQ63" s="5">
        <f>IF('Project Database'!A67="","",N('Project Database'!AJ67))</f>
        <v/>
      </c>
      <c r="BR63" s="5">
        <f>IF('Project Database'!A67="","",N('Project Database'!AK67))</f>
        <v/>
      </c>
      <c r="BS63" s="5">
        <f>IF('Project Database'!A67="","",N('Project Database'!AL67))</f>
        <v/>
      </c>
      <c r="BT63" s="5">
        <f>IF('Project Database'!A67="","",N('Project Database'!AM67))</f>
        <v/>
      </c>
      <c r="BU63" s="5">
        <f>IF('Project Database'!A67="","",N('Project Database'!AN67))</f>
        <v/>
      </c>
      <c r="BV63" s="5">
        <f>IF('Project Database'!A67="","",N('Project Database'!AO67))</f>
        <v/>
      </c>
      <c r="BW63" s="5">
        <f>IF('Project Database'!A67="","",N('Project Database'!AP67))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</row>
    <row r="64" ht="15" customHeight="1" s="74">
      <c r="A64" s="66">
        <f>'Project Database'!A68</f>
        <v/>
      </c>
      <c r="B64" s="66">
        <f>'Project Database'!B68</f>
        <v/>
      </c>
      <c r="C64" s="66">
        <f>'Project Database'!G68</f>
        <v/>
      </c>
      <c r="D64" s="66">
        <f>'Project Database'!H68</f>
        <v/>
      </c>
      <c r="E64" s="66">
        <f>'Project Database'!I68</f>
        <v/>
      </c>
      <c r="F64" s="66">
        <f>'Project Database'!J68</f>
        <v/>
      </c>
      <c r="G64" s="66">
        <f>'Project Database'!K68</f>
        <v/>
      </c>
      <c r="H64" s="66">
        <f>'Project Database'!L68</f>
        <v/>
      </c>
      <c r="I64" s="66">
        <f>'Project Database'!M68</f>
        <v/>
      </c>
      <c r="J64" s="66">
        <f>'Project Database'!N68</f>
        <v/>
      </c>
      <c r="K64" s="66">
        <f>'Project Database'!O68</f>
        <v/>
      </c>
      <c r="L64" s="66">
        <f>'Project Database'!P68</f>
        <v/>
      </c>
      <c r="M64" s="66">
        <f>'Project Database'!Q68</f>
        <v/>
      </c>
      <c r="N64" s="66">
        <f>'Project Database'!R68</f>
        <v/>
      </c>
      <c r="O64" s="66">
        <f>'Project Database'!S68</f>
        <v/>
      </c>
      <c r="P64" s="66">
        <f>'Project Database'!T68</f>
        <v/>
      </c>
      <c r="Q64" s="66">
        <f>'Project Database'!U68</f>
        <v/>
      </c>
      <c r="R64" s="66">
        <f>'Project Database'!V68</f>
        <v/>
      </c>
      <c r="S64" s="66">
        <f>'Project Database'!W68</f>
        <v/>
      </c>
      <c r="T64" s="66">
        <f>'Project Database'!X68</f>
        <v/>
      </c>
      <c r="U64" s="67">
        <f>'Project Database'!Y68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'Project Database'!Z68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IF(AND('Project Database'!A68&lt;&gt;"",OR('Smart Search'!$L$5="",'Smart Search'!$L$5="All",TRIM('Project Database'!D68)=TRIM('Smart Search'!$L$5)),OR(TRIM('Smart Search'!$L$6)="",TRIM('Smart Search'!$L$6)="All",ISNUMBER(SEARCH(SUBSTITUTE(SUBSTITUTE(SUBSTITUTE(TRIM('Smart Search'!$L$6),"~","~~"),"*","~*"),"?","~?"),'Project Database'!C68))),OR('Smart Search'!$L$7="",AND('Project Database'!E68&lt;&gt;"",'Project Database'!E68='Smart Search'!$L$7)),OR('Smart Search'!$L$8="",'Smart Search'!$L$8="All",TRIM('Project Database'!F68)=TRIM('Smart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IF('Project Database'!A68="","",N('Project Database'!AC68))</f>
        <v/>
      </c>
      <c r="BK64" s="5">
        <f>IF('Project Database'!A68="","",N('Project Database'!AD68))</f>
        <v/>
      </c>
      <c r="BL64" s="5">
        <f>IF('Project Database'!A68="","",N('Project Database'!AE68))</f>
        <v/>
      </c>
      <c r="BM64" s="5">
        <f>IF('Project Database'!A68="","",N('Project Database'!AF68))</f>
        <v/>
      </c>
      <c r="BN64" s="5">
        <f>IF('Project Database'!A68="","",N('Project Database'!AG68))</f>
        <v/>
      </c>
      <c r="BO64" s="5">
        <f>IF('Project Database'!A68="","",N('Project Database'!AH68))</f>
        <v/>
      </c>
      <c r="BP64" s="5">
        <f>IF('Project Database'!A68="","",N('Project Database'!AI68))</f>
        <v/>
      </c>
      <c r="BQ64" s="5">
        <f>IF('Project Database'!A68="","",N('Project Database'!AJ68))</f>
        <v/>
      </c>
      <c r="BR64" s="5">
        <f>IF('Project Database'!A68="","",N('Project Database'!AK68))</f>
        <v/>
      </c>
      <c r="BS64" s="5">
        <f>IF('Project Database'!A68="","",N('Project Database'!AL68))</f>
        <v/>
      </c>
      <c r="BT64" s="5">
        <f>IF('Project Database'!A68="","",N('Project Database'!AM68))</f>
        <v/>
      </c>
      <c r="BU64" s="5">
        <f>IF('Project Database'!A68="","",N('Project Database'!AN68))</f>
        <v/>
      </c>
      <c r="BV64" s="5">
        <f>IF('Project Database'!A68="","",N('Project Database'!AO68))</f>
        <v/>
      </c>
      <c r="BW64" s="5">
        <f>IF('Project Database'!A68="","",N('Project Database'!AP68))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</row>
    <row r="65" ht="15" customHeight="1" s="74">
      <c r="A65" s="66">
        <f>'Project Database'!A69</f>
        <v/>
      </c>
      <c r="B65" s="66">
        <f>'Project Database'!B69</f>
        <v/>
      </c>
      <c r="C65" s="66">
        <f>'Project Database'!G69</f>
        <v/>
      </c>
      <c r="D65" s="66">
        <f>'Project Database'!H69</f>
        <v/>
      </c>
      <c r="E65" s="66">
        <f>'Project Database'!I69</f>
        <v/>
      </c>
      <c r="F65" s="66">
        <f>'Project Database'!J69</f>
        <v/>
      </c>
      <c r="G65" s="66">
        <f>'Project Database'!K69</f>
        <v/>
      </c>
      <c r="H65" s="66">
        <f>'Project Database'!L69</f>
        <v/>
      </c>
      <c r="I65" s="66">
        <f>'Project Database'!M69</f>
        <v/>
      </c>
      <c r="J65" s="66">
        <f>'Project Database'!N69</f>
        <v/>
      </c>
      <c r="K65" s="66">
        <f>'Project Database'!O69</f>
        <v/>
      </c>
      <c r="L65" s="66">
        <f>'Project Database'!P69</f>
        <v/>
      </c>
      <c r="M65" s="66">
        <f>'Project Database'!Q69</f>
        <v/>
      </c>
      <c r="N65" s="66">
        <f>'Project Database'!R69</f>
        <v/>
      </c>
      <c r="O65" s="66">
        <f>'Project Database'!S69</f>
        <v/>
      </c>
      <c r="P65" s="66">
        <f>'Project Database'!T69</f>
        <v/>
      </c>
      <c r="Q65" s="66">
        <f>'Project Database'!U69</f>
        <v/>
      </c>
      <c r="R65" s="66">
        <f>'Project Database'!V69</f>
        <v/>
      </c>
      <c r="S65" s="66">
        <f>'Project Database'!W69</f>
        <v/>
      </c>
      <c r="T65" s="66">
        <f>'Project Database'!X69</f>
        <v/>
      </c>
      <c r="U65" s="67">
        <f>'Project Database'!Y69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'Project Database'!Z69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IF(AND('Project Database'!A69&lt;&gt;"",OR('Smart Search'!$L$5="",'Smart Search'!$L$5="All",TRIM('Project Database'!D69)=TRIM('Smart Search'!$L$5)),OR(TRIM('Smart Search'!$L$6)="",TRIM('Smart Search'!$L$6)="All",ISNUMBER(SEARCH(SUBSTITUTE(SUBSTITUTE(SUBSTITUTE(TRIM('Smart Search'!$L$6),"~","~~"),"*","~*"),"?","~?"),'Project Database'!C69))),OR('Smart Search'!$L$7="",AND('Project Database'!E69&lt;&gt;"",'Project Database'!E69='Smart Search'!$L$7)),OR('Smart Search'!$L$8="",'Smart Search'!$L$8="All",TRIM('Project Database'!F69)=TRIM('Smart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IF('Project Database'!A69="","",N('Project Database'!AC69))</f>
        <v/>
      </c>
      <c r="BK65" s="5">
        <f>IF('Project Database'!A69="","",N('Project Database'!AD69))</f>
        <v/>
      </c>
      <c r="BL65" s="5">
        <f>IF('Project Database'!A69="","",N('Project Database'!AE69))</f>
        <v/>
      </c>
      <c r="BM65" s="5">
        <f>IF('Project Database'!A69="","",N('Project Database'!AF69))</f>
        <v/>
      </c>
      <c r="BN65" s="5">
        <f>IF('Project Database'!A69="","",N('Project Database'!AG69))</f>
        <v/>
      </c>
      <c r="BO65" s="5">
        <f>IF('Project Database'!A69="","",N('Project Database'!AH69))</f>
        <v/>
      </c>
      <c r="BP65" s="5">
        <f>IF('Project Database'!A69="","",N('Project Database'!AI69))</f>
        <v/>
      </c>
      <c r="BQ65" s="5">
        <f>IF('Project Database'!A69="","",N('Project Database'!AJ69))</f>
        <v/>
      </c>
      <c r="BR65" s="5">
        <f>IF('Project Database'!A69="","",N('Project Database'!AK69))</f>
        <v/>
      </c>
      <c r="BS65" s="5">
        <f>IF('Project Database'!A69="","",N('Project Database'!AL69))</f>
        <v/>
      </c>
      <c r="BT65" s="5">
        <f>IF('Project Database'!A69="","",N('Project Database'!AM69))</f>
        <v/>
      </c>
      <c r="BU65" s="5">
        <f>IF('Project Database'!A69="","",N('Project Database'!AN69))</f>
        <v/>
      </c>
      <c r="BV65" s="5">
        <f>IF('Project Database'!A69="","",N('Project Database'!AO69))</f>
        <v/>
      </c>
      <c r="BW65" s="5">
        <f>IF('Project Database'!A69="","",N('Project Database'!AP69))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</row>
    <row r="66" ht="15" customHeight="1" s="74">
      <c r="A66" s="66">
        <f>'Project Database'!A70</f>
        <v/>
      </c>
      <c r="B66" s="66">
        <f>'Project Database'!B70</f>
        <v/>
      </c>
      <c r="C66" s="66">
        <f>'Project Database'!G70</f>
        <v/>
      </c>
      <c r="D66" s="66">
        <f>'Project Database'!H70</f>
        <v/>
      </c>
      <c r="E66" s="66">
        <f>'Project Database'!I70</f>
        <v/>
      </c>
      <c r="F66" s="66">
        <f>'Project Database'!J70</f>
        <v/>
      </c>
      <c r="G66" s="66">
        <f>'Project Database'!K70</f>
        <v/>
      </c>
      <c r="H66" s="66">
        <f>'Project Database'!L70</f>
        <v/>
      </c>
      <c r="I66" s="66">
        <f>'Project Database'!M70</f>
        <v/>
      </c>
      <c r="J66" s="66">
        <f>'Project Database'!N70</f>
        <v/>
      </c>
      <c r="K66" s="66">
        <f>'Project Database'!O70</f>
        <v/>
      </c>
      <c r="L66" s="66">
        <f>'Project Database'!P70</f>
        <v/>
      </c>
      <c r="M66" s="66">
        <f>'Project Database'!Q70</f>
        <v/>
      </c>
      <c r="N66" s="66">
        <f>'Project Database'!R70</f>
        <v/>
      </c>
      <c r="O66" s="66">
        <f>'Project Database'!S70</f>
        <v/>
      </c>
      <c r="P66" s="66">
        <f>'Project Database'!T70</f>
        <v/>
      </c>
      <c r="Q66" s="66">
        <f>'Project Database'!U70</f>
        <v/>
      </c>
      <c r="R66" s="66">
        <f>'Project Database'!V70</f>
        <v/>
      </c>
      <c r="S66" s="66">
        <f>'Project Database'!W70</f>
        <v/>
      </c>
      <c r="T66" s="66">
        <f>'Project Database'!X70</f>
        <v/>
      </c>
      <c r="U66" s="67">
        <f>'Project Database'!Y70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'Project Database'!Z70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IF(AND('Project Database'!A70&lt;&gt;"",OR('Smart Search'!$L$5="",'Smart Search'!$L$5="All",TRIM('Project Database'!D70)=TRIM('Smart Search'!$L$5)),OR(TRIM('Smart Search'!$L$6)="",TRIM('Smart Search'!$L$6)="All",ISNUMBER(SEARCH(SUBSTITUTE(SUBSTITUTE(SUBSTITUTE(TRIM('Smart Search'!$L$6),"~","~~"),"*","~*"),"?","~?"),'Project Database'!C70))),OR('Smart Search'!$L$7="",AND('Project Database'!E70&lt;&gt;"",'Project Database'!E70='Smart Search'!$L$7)),OR('Smart Search'!$L$8="",'Smart Search'!$L$8="All",TRIM('Project Database'!F70)=TRIM('Smart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IF('Project Database'!A70="","",N('Project Database'!AC70))</f>
        <v/>
      </c>
      <c r="BK66" s="5">
        <f>IF('Project Database'!A70="","",N('Project Database'!AD70))</f>
        <v/>
      </c>
      <c r="BL66" s="5">
        <f>IF('Project Database'!A70="","",N('Project Database'!AE70))</f>
        <v/>
      </c>
      <c r="BM66" s="5">
        <f>IF('Project Database'!A70="","",N('Project Database'!AF70))</f>
        <v/>
      </c>
      <c r="BN66" s="5">
        <f>IF('Project Database'!A70="","",N('Project Database'!AG70))</f>
        <v/>
      </c>
      <c r="BO66" s="5">
        <f>IF('Project Database'!A70="","",N('Project Database'!AH70))</f>
        <v/>
      </c>
      <c r="BP66" s="5">
        <f>IF('Project Database'!A70="","",N('Project Database'!AI70))</f>
        <v/>
      </c>
      <c r="BQ66" s="5">
        <f>IF('Project Database'!A70="","",N('Project Database'!AJ70))</f>
        <v/>
      </c>
      <c r="BR66" s="5">
        <f>IF('Project Database'!A70="","",N('Project Database'!AK70))</f>
        <v/>
      </c>
      <c r="BS66" s="5">
        <f>IF('Project Database'!A70="","",N('Project Database'!AL70))</f>
        <v/>
      </c>
      <c r="BT66" s="5">
        <f>IF('Project Database'!A70="","",N('Project Database'!AM70))</f>
        <v/>
      </c>
      <c r="BU66" s="5">
        <f>IF('Project Database'!A70="","",N('Project Database'!AN70))</f>
        <v/>
      </c>
      <c r="BV66" s="5">
        <f>IF('Project Database'!A70="","",N('Project Database'!AO70))</f>
        <v/>
      </c>
      <c r="BW66" s="5">
        <f>IF('Project Database'!A70="","",N('Project Database'!AP70))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</row>
    <row r="67" ht="15" customHeight="1" s="74">
      <c r="A67" s="66">
        <f>'Project Database'!A71</f>
        <v/>
      </c>
      <c r="B67" s="66">
        <f>'Project Database'!B71</f>
        <v/>
      </c>
      <c r="C67" s="66">
        <f>'Project Database'!G71</f>
        <v/>
      </c>
      <c r="D67" s="66">
        <f>'Project Database'!H71</f>
        <v/>
      </c>
      <c r="E67" s="66">
        <f>'Project Database'!I71</f>
        <v/>
      </c>
      <c r="F67" s="66">
        <f>'Project Database'!J71</f>
        <v/>
      </c>
      <c r="G67" s="66">
        <f>'Project Database'!K71</f>
        <v/>
      </c>
      <c r="H67" s="66">
        <f>'Project Database'!L71</f>
        <v/>
      </c>
      <c r="I67" s="66">
        <f>'Project Database'!M71</f>
        <v/>
      </c>
      <c r="J67" s="66">
        <f>'Project Database'!N71</f>
        <v/>
      </c>
      <c r="K67" s="66">
        <f>'Project Database'!O71</f>
        <v/>
      </c>
      <c r="L67" s="66">
        <f>'Project Database'!P71</f>
        <v/>
      </c>
      <c r="M67" s="66">
        <f>'Project Database'!Q71</f>
        <v/>
      </c>
      <c r="N67" s="66">
        <f>'Project Database'!R71</f>
        <v/>
      </c>
      <c r="O67" s="66">
        <f>'Project Database'!S71</f>
        <v/>
      </c>
      <c r="P67" s="66">
        <f>'Project Database'!T71</f>
        <v/>
      </c>
      <c r="Q67" s="66">
        <f>'Project Database'!U71</f>
        <v/>
      </c>
      <c r="R67" s="66">
        <f>'Project Database'!V71</f>
        <v/>
      </c>
      <c r="S67" s="66">
        <f>'Project Database'!W71</f>
        <v/>
      </c>
      <c r="T67" s="66">
        <f>'Project Database'!X71</f>
        <v/>
      </c>
      <c r="U67" s="67">
        <f>'Project Database'!Y71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'Project Database'!Z71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IF(AND('Project Database'!A71&lt;&gt;"",OR('Smart Search'!$L$5="",'Smart Search'!$L$5="All",TRIM('Project Database'!D71)=TRIM('Smart Search'!$L$5)),OR(TRIM('Smart Search'!$L$6)="",TRIM('Smart Search'!$L$6)="All",ISNUMBER(SEARCH(SUBSTITUTE(SUBSTITUTE(SUBSTITUTE(TRIM('Smart Search'!$L$6),"~","~~"),"*","~*"),"?","~?"),'Project Database'!C71))),OR('Smart Search'!$L$7="",AND('Project Database'!E71&lt;&gt;"",'Project Database'!E71='Smart Search'!$L$7)),OR('Smart Search'!$L$8="",'Smart Search'!$L$8="All",TRIM('Project Database'!F71)=TRIM('Smart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IF('Project Database'!A71="","",N('Project Database'!AC71))</f>
        <v/>
      </c>
      <c r="BK67" s="5">
        <f>IF('Project Database'!A71="","",N('Project Database'!AD71))</f>
        <v/>
      </c>
      <c r="BL67" s="5">
        <f>IF('Project Database'!A71="","",N('Project Database'!AE71))</f>
        <v/>
      </c>
      <c r="BM67" s="5">
        <f>IF('Project Database'!A71="","",N('Project Database'!AF71))</f>
        <v/>
      </c>
      <c r="BN67" s="5">
        <f>IF('Project Database'!A71="","",N('Project Database'!AG71))</f>
        <v/>
      </c>
      <c r="BO67" s="5">
        <f>IF('Project Database'!A71="","",N('Project Database'!AH71))</f>
        <v/>
      </c>
      <c r="BP67" s="5">
        <f>IF('Project Database'!A71="","",N('Project Database'!AI71))</f>
        <v/>
      </c>
      <c r="BQ67" s="5">
        <f>IF('Project Database'!A71="","",N('Project Database'!AJ71))</f>
        <v/>
      </c>
      <c r="BR67" s="5">
        <f>IF('Project Database'!A71="","",N('Project Database'!AK71))</f>
        <v/>
      </c>
      <c r="BS67" s="5">
        <f>IF('Project Database'!A71="","",N('Project Database'!AL71))</f>
        <v/>
      </c>
      <c r="BT67" s="5">
        <f>IF('Project Database'!A71="","",N('Project Database'!AM71))</f>
        <v/>
      </c>
      <c r="BU67" s="5">
        <f>IF('Project Database'!A71="","",N('Project Database'!AN71))</f>
        <v/>
      </c>
      <c r="BV67" s="5">
        <f>IF('Project Database'!A71="","",N('Project Database'!AO71))</f>
        <v/>
      </c>
      <c r="BW67" s="5">
        <f>IF('Project Database'!A71="","",N('Project Database'!AP71))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</row>
    <row r="68" ht="15" customHeight="1" s="74">
      <c r="A68" s="66">
        <f>'Project Database'!A72</f>
        <v/>
      </c>
      <c r="B68" s="66">
        <f>'Project Database'!B72</f>
        <v/>
      </c>
      <c r="C68" s="66">
        <f>'Project Database'!G72</f>
        <v/>
      </c>
      <c r="D68" s="66">
        <f>'Project Database'!H72</f>
        <v/>
      </c>
      <c r="E68" s="66">
        <f>'Project Database'!I72</f>
        <v/>
      </c>
      <c r="F68" s="66">
        <f>'Project Database'!J72</f>
        <v/>
      </c>
      <c r="G68" s="66">
        <f>'Project Database'!K72</f>
        <v/>
      </c>
      <c r="H68" s="66">
        <f>'Project Database'!L72</f>
        <v/>
      </c>
      <c r="I68" s="66">
        <f>'Project Database'!M72</f>
        <v/>
      </c>
      <c r="J68" s="66">
        <f>'Project Database'!N72</f>
        <v/>
      </c>
      <c r="K68" s="66">
        <f>'Project Database'!O72</f>
        <v/>
      </c>
      <c r="L68" s="66">
        <f>'Project Database'!P72</f>
        <v/>
      </c>
      <c r="M68" s="66">
        <f>'Project Database'!Q72</f>
        <v/>
      </c>
      <c r="N68" s="66">
        <f>'Project Database'!R72</f>
        <v/>
      </c>
      <c r="O68" s="66">
        <f>'Project Database'!S72</f>
        <v/>
      </c>
      <c r="P68" s="66">
        <f>'Project Database'!T72</f>
        <v/>
      </c>
      <c r="Q68" s="66">
        <f>'Project Database'!U72</f>
        <v/>
      </c>
      <c r="R68" s="66">
        <f>'Project Database'!V72</f>
        <v/>
      </c>
      <c r="S68" s="66">
        <f>'Project Database'!W72</f>
        <v/>
      </c>
      <c r="T68" s="66">
        <f>'Project Database'!X72</f>
        <v/>
      </c>
      <c r="U68" s="67">
        <f>'Project Database'!Y72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'Project Database'!Z72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IF(AND('Project Database'!A72&lt;&gt;"",OR('Smart Search'!$L$5="",'Smart Search'!$L$5="All",TRIM('Project Database'!D72)=TRIM('Smart Search'!$L$5)),OR(TRIM('Smart Search'!$L$6)="",TRIM('Smart Search'!$L$6)="All",ISNUMBER(SEARCH(SUBSTITUTE(SUBSTITUTE(SUBSTITUTE(TRIM('Smart Search'!$L$6),"~","~~"),"*","~*"),"?","~?"),'Project Database'!C72))),OR('Smart Search'!$L$7="",AND('Project Database'!E72&lt;&gt;"",'Project Database'!E72='Smart Search'!$L$7)),OR('Smart Search'!$L$8="",'Smart Search'!$L$8="All",TRIM('Project Database'!F72)=TRIM('Smart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IF('Project Database'!A72="","",N('Project Database'!AC72))</f>
        <v/>
      </c>
      <c r="BK68" s="5">
        <f>IF('Project Database'!A72="","",N('Project Database'!AD72))</f>
        <v/>
      </c>
      <c r="BL68" s="5">
        <f>IF('Project Database'!A72="","",N('Project Database'!AE72))</f>
        <v/>
      </c>
      <c r="BM68" s="5">
        <f>IF('Project Database'!A72="","",N('Project Database'!AF72))</f>
        <v/>
      </c>
      <c r="BN68" s="5">
        <f>IF('Project Database'!A72="","",N('Project Database'!AG72))</f>
        <v/>
      </c>
      <c r="BO68" s="5">
        <f>IF('Project Database'!A72="","",N('Project Database'!AH72))</f>
        <v/>
      </c>
      <c r="BP68" s="5">
        <f>IF('Project Database'!A72="","",N('Project Database'!AI72))</f>
        <v/>
      </c>
      <c r="BQ68" s="5">
        <f>IF('Project Database'!A72="","",N('Project Database'!AJ72))</f>
        <v/>
      </c>
      <c r="BR68" s="5">
        <f>IF('Project Database'!A72="","",N('Project Database'!AK72))</f>
        <v/>
      </c>
      <c r="BS68" s="5">
        <f>IF('Project Database'!A72="","",N('Project Database'!AL72))</f>
        <v/>
      </c>
      <c r="BT68" s="5">
        <f>IF('Project Database'!A72="","",N('Project Database'!AM72))</f>
        <v/>
      </c>
      <c r="BU68" s="5">
        <f>IF('Project Database'!A72="","",N('Project Database'!AN72))</f>
        <v/>
      </c>
      <c r="BV68" s="5">
        <f>IF('Project Database'!A72="","",N('Project Database'!AO72))</f>
        <v/>
      </c>
      <c r="BW68" s="5">
        <f>IF('Project Database'!A72="","",N('Project Database'!AP72))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</row>
    <row r="69" ht="15" customHeight="1" s="74">
      <c r="A69" s="66">
        <f>'Project Database'!A73</f>
        <v/>
      </c>
      <c r="B69" s="66">
        <f>'Project Database'!B73</f>
        <v/>
      </c>
      <c r="C69" s="66">
        <f>'Project Database'!G73</f>
        <v/>
      </c>
      <c r="D69" s="66">
        <f>'Project Database'!H73</f>
        <v/>
      </c>
      <c r="E69" s="66">
        <f>'Project Database'!I73</f>
        <v/>
      </c>
      <c r="F69" s="66">
        <f>'Project Database'!J73</f>
        <v/>
      </c>
      <c r="G69" s="66">
        <f>'Project Database'!K73</f>
        <v/>
      </c>
      <c r="H69" s="66">
        <f>'Project Database'!L73</f>
        <v/>
      </c>
      <c r="I69" s="66">
        <f>'Project Database'!M73</f>
        <v/>
      </c>
      <c r="J69" s="66">
        <f>'Project Database'!N73</f>
        <v/>
      </c>
      <c r="K69" s="66">
        <f>'Project Database'!O73</f>
        <v/>
      </c>
      <c r="L69" s="66">
        <f>'Project Database'!P73</f>
        <v/>
      </c>
      <c r="M69" s="66">
        <f>'Project Database'!Q73</f>
        <v/>
      </c>
      <c r="N69" s="66">
        <f>'Project Database'!R73</f>
        <v/>
      </c>
      <c r="O69" s="66">
        <f>'Project Database'!S73</f>
        <v/>
      </c>
      <c r="P69" s="66">
        <f>'Project Database'!T73</f>
        <v/>
      </c>
      <c r="Q69" s="66">
        <f>'Project Database'!U73</f>
        <v/>
      </c>
      <c r="R69" s="66">
        <f>'Project Database'!V73</f>
        <v/>
      </c>
      <c r="S69" s="66">
        <f>'Project Database'!W73</f>
        <v/>
      </c>
      <c r="T69" s="66">
        <f>'Project Database'!X73</f>
        <v/>
      </c>
      <c r="U69" s="67">
        <f>'Project Database'!Y73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'Project Database'!Z73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IF(AND('Project Database'!A73&lt;&gt;"",OR('Smart Search'!$L$5="",'Smart Search'!$L$5="All",TRIM('Project Database'!D73)=TRIM('Smart Search'!$L$5)),OR(TRIM('Smart Search'!$L$6)="",TRIM('Smart Search'!$L$6)="All",ISNUMBER(SEARCH(SUBSTITUTE(SUBSTITUTE(SUBSTITUTE(TRIM('Smart Search'!$L$6),"~","~~"),"*","~*"),"?","~?"),'Project Database'!C73))),OR('Smart Search'!$L$7="",AND('Project Database'!E73&lt;&gt;"",'Project Database'!E73='Smart Search'!$L$7)),OR('Smart Search'!$L$8="",'Smart Search'!$L$8="All",TRIM('Project Database'!F73)=TRIM('Smart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IF('Project Database'!A73="","",N('Project Database'!AC73))</f>
        <v/>
      </c>
      <c r="BK69" s="5">
        <f>IF('Project Database'!A73="","",N('Project Database'!AD73))</f>
        <v/>
      </c>
      <c r="BL69" s="5">
        <f>IF('Project Database'!A73="","",N('Project Database'!AE73))</f>
        <v/>
      </c>
      <c r="BM69" s="5">
        <f>IF('Project Database'!A73="","",N('Project Database'!AF73))</f>
        <v/>
      </c>
      <c r="BN69" s="5">
        <f>IF('Project Database'!A73="","",N('Project Database'!AG73))</f>
        <v/>
      </c>
      <c r="BO69" s="5">
        <f>IF('Project Database'!A73="","",N('Project Database'!AH73))</f>
        <v/>
      </c>
      <c r="BP69" s="5">
        <f>IF('Project Database'!A73="","",N('Project Database'!AI73))</f>
        <v/>
      </c>
      <c r="BQ69" s="5">
        <f>IF('Project Database'!A73="","",N('Project Database'!AJ73))</f>
        <v/>
      </c>
      <c r="BR69" s="5">
        <f>IF('Project Database'!A73="","",N('Project Database'!AK73))</f>
        <v/>
      </c>
      <c r="BS69" s="5">
        <f>IF('Project Database'!A73="","",N('Project Database'!AL73))</f>
        <v/>
      </c>
      <c r="BT69" s="5">
        <f>IF('Project Database'!A73="","",N('Project Database'!AM73))</f>
        <v/>
      </c>
      <c r="BU69" s="5">
        <f>IF('Project Database'!A73="","",N('Project Database'!AN73))</f>
        <v/>
      </c>
      <c r="BV69" s="5">
        <f>IF('Project Database'!A73="","",N('Project Database'!AO73))</f>
        <v/>
      </c>
      <c r="BW69" s="5">
        <f>IF('Project Database'!A73="","",N('Project Database'!AP73))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</row>
    <row r="70" ht="15" customHeight="1" s="74">
      <c r="A70" s="66">
        <f>'Project Database'!A74</f>
        <v/>
      </c>
      <c r="B70" s="66">
        <f>'Project Database'!B74</f>
        <v/>
      </c>
      <c r="C70" s="66">
        <f>'Project Database'!G74</f>
        <v/>
      </c>
      <c r="D70" s="66">
        <f>'Project Database'!H74</f>
        <v/>
      </c>
      <c r="E70" s="66">
        <f>'Project Database'!I74</f>
        <v/>
      </c>
      <c r="F70" s="66">
        <f>'Project Database'!J74</f>
        <v/>
      </c>
      <c r="G70" s="66">
        <f>'Project Database'!K74</f>
        <v/>
      </c>
      <c r="H70" s="66">
        <f>'Project Database'!L74</f>
        <v/>
      </c>
      <c r="I70" s="66">
        <f>'Project Database'!M74</f>
        <v/>
      </c>
      <c r="J70" s="66">
        <f>'Project Database'!N74</f>
        <v/>
      </c>
      <c r="K70" s="66">
        <f>'Project Database'!O74</f>
        <v/>
      </c>
      <c r="L70" s="66">
        <f>'Project Database'!P74</f>
        <v/>
      </c>
      <c r="M70" s="66">
        <f>'Project Database'!Q74</f>
        <v/>
      </c>
      <c r="N70" s="66">
        <f>'Project Database'!R74</f>
        <v/>
      </c>
      <c r="O70" s="66">
        <f>'Project Database'!S74</f>
        <v/>
      </c>
      <c r="P70" s="66">
        <f>'Project Database'!T74</f>
        <v/>
      </c>
      <c r="Q70" s="66">
        <f>'Project Database'!U74</f>
        <v/>
      </c>
      <c r="R70" s="66">
        <f>'Project Database'!V74</f>
        <v/>
      </c>
      <c r="S70" s="66">
        <f>'Project Database'!W74</f>
        <v/>
      </c>
      <c r="T70" s="66">
        <f>'Project Database'!X74</f>
        <v/>
      </c>
      <c r="U70" s="67">
        <f>'Project Database'!Y74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'Project Database'!Z74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IF(AND('Project Database'!A74&lt;&gt;"",OR('Smart Search'!$L$5="",'Smart Search'!$L$5="All",TRIM('Project Database'!D74)=TRIM('Smart Search'!$L$5)),OR(TRIM('Smart Search'!$L$6)="",TRIM('Smart Search'!$L$6)="All",ISNUMBER(SEARCH(SUBSTITUTE(SUBSTITUTE(SUBSTITUTE(TRIM('Smart Search'!$L$6),"~","~~"),"*","~*"),"?","~?"),'Project Database'!C74))),OR('Smart Search'!$L$7="",AND('Project Database'!E74&lt;&gt;"",'Project Database'!E74='Smart Search'!$L$7)),OR('Smart Search'!$L$8="",'Smart Search'!$L$8="All",TRIM('Project Database'!F74)=TRIM('Smart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IF('Project Database'!A74="","",N('Project Database'!AC74))</f>
        <v/>
      </c>
      <c r="BK70" s="5">
        <f>IF('Project Database'!A74="","",N('Project Database'!AD74))</f>
        <v/>
      </c>
      <c r="BL70" s="5">
        <f>IF('Project Database'!A74="","",N('Project Database'!AE74))</f>
        <v/>
      </c>
      <c r="BM70" s="5">
        <f>IF('Project Database'!A74="","",N('Project Database'!AF74))</f>
        <v/>
      </c>
      <c r="BN70" s="5">
        <f>IF('Project Database'!A74="","",N('Project Database'!AG74))</f>
        <v/>
      </c>
      <c r="BO70" s="5">
        <f>IF('Project Database'!A74="","",N('Project Database'!AH74))</f>
        <v/>
      </c>
      <c r="BP70" s="5">
        <f>IF('Project Database'!A74="","",N('Project Database'!AI74))</f>
        <v/>
      </c>
      <c r="BQ70" s="5">
        <f>IF('Project Database'!A74="","",N('Project Database'!AJ74))</f>
        <v/>
      </c>
      <c r="BR70" s="5">
        <f>IF('Project Database'!A74="","",N('Project Database'!AK74))</f>
        <v/>
      </c>
      <c r="BS70" s="5">
        <f>IF('Project Database'!A74="","",N('Project Database'!AL74))</f>
        <v/>
      </c>
      <c r="BT70" s="5">
        <f>IF('Project Database'!A74="","",N('Project Database'!AM74))</f>
        <v/>
      </c>
      <c r="BU70" s="5">
        <f>IF('Project Database'!A74="","",N('Project Database'!AN74))</f>
        <v/>
      </c>
      <c r="BV70" s="5">
        <f>IF('Project Database'!A74="","",N('Project Database'!AO74))</f>
        <v/>
      </c>
      <c r="BW70" s="5">
        <f>IF('Project Database'!A74="","",N('Project Database'!AP74))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</row>
    <row r="71" ht="15" customHeight="1" s="74">
      <c r="A71" s="66">
        <f>'Project Database'!A75</f>
        <v/>
      </c>
      <c r="B71" s="66">
        <f>'Project Database'!B75</f>
        <v/>
      </c>
      <c r="C71" s="66">
        <f>'Project Database'!G75</f>
        <v/>
      </c>
      <c r="D71" s="66">
        <f>'Project Database'!H75</f>
        <v/>
      </c>
      <c r="E71" s="66">
        <f>'Project Database'!I75</f>
        <v/>
      </c>
      <c r="F71" s="66">
        <f>'Project Database'!J75</f>
        <v/>
      </c>
      <c r="G71" s="66">
        <f>'Project Database'!K75</f>
        <v/>
      </c>
      <c r="H71" s="66">
        <f>'Project Database'!L75</f>
        <v/>
      </c>
      <c r="I71" s="66">
        <f>'Project Database'!M75</f>
        <v/>
      </c>
      <c r="J71" s="66">
        <f>'Project Database'!N75</f>
        <v/>
      </c>
      <c r="K71" s="66">
        <f>'Project Database'!O75</f>
        <v/>
      </c>
      <c r="L71" s="66">
        <f>'Project Database'!P75</f>
        <v/>
      </c>
      <c r="M71" s="66">
        <f>'Project Database'!Q75</f>
        <v/>
      </c>
      <c r="N71" s="66">
        <f>'Project Database'!R75</f>
        <v/>
      </c>
      <c r="O71" s="66">
        <f>'Project Database'!S75</f>
        <v/>
      </c>
      <c r="P71" s="66">
        <f>'Project Database'!T75</f>
        <v/>
      </c>
      <c r="Q71" s="66">
        <f>'Project Database'!U75</f>
        <v/>
      </c>
      <c r="R71" s="66">
        <f>'Project Database'!V75</f>
        <v/>
      </c>
      <c r="S71" s="66">
        <f>'Project Database'!W75</f>
        <v/>
      </c>
      <c r="T71" s="66">
        <f>'Project Database'!X75</f>
        <v/>
      </c>
      <c r="U71" s="67">
        <f>'Project Database'!Y75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'Project Database'!Z75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IF(AND('Project Database'!A75&lt;&gt;"",OR('Smart Search'!$L$5="",'Smart Search'!$L$5="All",TRIM('Project Database'!D75)=TRIM('Smart Search'!$L$5)),OR(TRIM('Smart Search'!$L$6)="",TRIM('Smart Search'!$L$6)="All",ISNUMBER(SEARCH(SUBSTITUTE(SUBSTITUTE(SUBSTITUTE(TRIM('Smart Search'!$L$6),"~","~~"),"*","~*"),"?","~?"),'Project Database'!C75))),OR('Smart Search'!$L$7="",AND('Project Database'!E75&lt;&gt;"",'Project Database'!E75='Smart Search'!$L$7)),OR('Smart Search'!$L$8="",'Smart Search'!$L$8="All",TRIM('Project Database'!F75)=TRIM('Smart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IF('Project Database'!A75="","",N('Project Database'!AC75))</f>
        <v/>
      </c>
      <c r="BK71" s="5">
        <f>IF('Project Database'!A75="","",N('Project Database'!AD75))</f>
        <v/>
      </c>
      <c r="BL71" s="5">
        <f>IF('Project Database'!A75="","",N('Project Database'!AE75))</f>
        <v/>
      </c>
      <c r="BM71" s="5">
        <f>IF('Project Database'!A75="","",N('Project Database'!AF75))</f>
        <v/>
      </c>
      <c r="BN71" s="5">
        <f>IF('Project Database'!A75="","",N('Project Database'!AG75))</f>
        <v/>
      </c>
      <c r="BO71" s="5">
        <f>IF('Project Database'!A75="","",N('Project Database'!AH75))</f>
        <v/>
      </c>
      <c r="BP71" s="5">
        <f>IF('Project Database'!A75="","",N('Project Database'!AI75))</f>
        <v/>
      </c>
      <c r="BQ71" s="5">
        <f>IF('Project Database'!A75="","",N('Project Database'!AJ75))</f>
        <v/>
      </c>
      <c r="BR71" s="5">
        <f>IF('Project Database'!A75="","",N('Project Database'!AK75))</f>
        <v/>
      </c>
      <c r="BS71" s="5">
        <f>IF('Project Database'!A75="","",N('Project Database'!AL75))</f>
        <v/>
      </c>
      <c r="BT71" s="5">
        <f>IF('Project Database'!A75="","",N('Project Database'!AM75))</f>
        <v/>
      </c>
      <c r="BU71" s="5">
        <f>IF('Project Database'!A75="","",N('Project Database'!AN75))</f>
        <v/>
      </c>
      <c r="BV71" s="5">
        <f>IF('Project Database'!A75="","",N('Project Database'!AO75))</f>
        <v/>
      </c>
      <c r="BW71" s="5">
        <f>IF('Project Database'!A75="","",N('Project Database'!AP75))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</row>
    <row r="72" ht="15" customHeight="1" s="74">
      <c r="A72" s="66">
        <f>'Project Database'!A76</f>
        <v/>
      </c>
      <c r="B72" s="66">
        <f>'Project Database'!B76</f>
        <v/>
      </c>
      <c r="C72" s="66">
        <f>'Project Database'!G76</f>
        <v/>
      </c>
      <c r="D72" s="66">
        <f>'Project Database'!H76</f>
        <v/>
      </c>
      <c r="E72" s="66">
        <f>'Project Database'!I76</f>
        <v/>
      </c>
      <c r="F72" s="66">
        <f>'Project Database'!J76</f>
        <v/>
      </c>
      <c r="G72" s="66">
        <f>'Project Database'!K76</f>
        <v/>
      </c>
      <c r="H72" s="66">
        <f>'Project Database'!L76</f>
        <v/>
      </c>
      <c r="I72" s="66">
        <f>'Project Database'!M76</f>
        <v/>
      </c>
      <c r="J72" s="66">
        <f>'Project Database'!N76</f>
        <v/>
      </c>
      <c r="K72" s="66">
        <f>'Project Database'!O76</f>
        <v/>
      </c>
      <c r="L72" s="66">
        <f>'Project Database'!P76</f>
        <v/>
      </c>
      <c r="M72" s="66">
        <f>'Project Database'!Q76</f>
        <v/>
      </c>
      <c r="N72" s="66">
        <f>'Project Database'!R76</f>
        <v/>
      </c>
      <c r="O72" s="66">
        <f>'Project Database'!S76</f>
        <v/>
      </c>
      <c r="P72" s="66">
        <f>'Project Database'!T76</f>
        <v/>
      </c>
      <c r="Q72" s="66">
        <f>'Project Database'!U76</f>
        <v/>
      </c>
      <c r="R72" s="66">
        <f>'Project Database'!V76</f>
        <v/>
      </c>
      <c r="S72" s="66">
        <f>'Project Database'!W76</f>
        <v/>
      </c>
      <c r="T72" s="66">
        <f>'Project Database'!X76</f>
        <v/>
      </c>
      <c r="U72" s="67">
        <f>'Project Database'!Y76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'Project Database'!Z76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IF(AND('Project Database'!A76&lt;&gt;"",OR('Smart Search'!$L$5="",'Smart Search'!$L$5="All",TRIM('Project Database'!D76)=TRIM('Smart Search'!$L$5)),OR(TRIM('Smart Search'!$L$6)="",TRIM('Smart Search'!$L$6)="All",ISNUMBER(SEARCH(SUBSTITUTE(SUBSTITUTE(SUBSTITUTE(TRIM('Smart Search'!$L$6),"~","~~"),"*","~*"),"?","~?"),'Project Database'!C76))),OR('Smart Search'!$L$7="",AND('Project Database'!E76&lt;&gt;"",'Project Database'!E76='Smart Search'!$L$7)),OR('Smart Search'!$L$8="",'Smart Search'!$L$8="All",TRIM('Project Database'!F76)=TRIM('Smart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IF('Project Database'!A76="","",N('Project Database'!AC76))</f>
        <v/>
      </c>
      <c r="BK72" s="5">
        <f>IF('Project Database'!A76="","",N('Project Database'!AD76))</f>
        <v/>
      </c>
      <c r="BL72" s="5">
        <f>IF('Project Database'!A76="","",N('Project Database'!AE76))</f>
        <v/>
      </c>
      <c r="BM72" s="5">
        <f>IF('Project Database'!A76="","",N('Project Database'!AF76))</f>
        <v/>
      </c>
      <c r="BN72" s="5">
        <f>IF('Project Database'!A76="","",N('Project Database'!AG76))</f>
        <v/>
      </c>
      <c r="BO72" s="5">
        <f>IF('Project Database'!A76="","",N('Project Database'!AH76))</f>
        <v/>
      </c>
      <c r="BP72" s="5">
        <f>IF('Project Database'!A76="","",N('Project Database'!AI76))</f>
        <v/>
      </c>
      <c r="BQ72" s="5">
        <f>IF('Project Database'!A76="","",N('Project Database'!AJ76))</f>
        <v/>
      </c>
      <c r="BR72" s="5">
        <f>IF('Project Database'!A76="","",N('Project Database'!AK76))</f>
        <v/>
      </c>
      <c r="BS72" s="5">
        <f>IF('Project Database'!A76="","",N('Project Database'!AL76))</f>
        <v/>
      </c>
      <c r="BT72" s="5">
        <f>IF('Project Database'!A76="","",N('Project Database'!AM76))</f>
        <v/>
      </c>
      <c r="BU72" s="5">
        <f>IF('Project Database'!A76="","",N('Project Database'!AN76))</f>
        <v/>
      </c>
      <c r="BV72" s="5">
        <f>IF('Project Database'!A76="","",N('Project Database'!AO76))</f>
        <v/>
      </c>
      <c r="BW72" s="5">
        <f>IF('Project Database'!A76="","",N('Project Database'!AP76))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</row>
    <row r="73" ht="15" customHeight="1" s="74">
      <c r="A73" s="66">
        <f>'Project Database'!A77</f>
        <v/>
      </c>
      <c r="B73" s="66">
        <f>'Project Database'!B77</f>
        <v/>
      </c>
      <c r="C73" s="66">
        <f>'Project Database'!G77</f>
        <v/>
      </c>
      <c r="D73" s="66">
        <f>'Project Database'!H77</f>
        <v/>
      </c>
      <c r="E73" s="66">
        <f>'Project Database'!I77</f>
        <v/>
      </c>
      <c r="F73" s="66">
        <f>'Project Database'!J77</f>
        <v/>
      </c>
      <c r="G73" s="66">
        <f>'Project Database'!K77</f>
        <v/>
      </c>
      <c r="H73" s="66">
        <f>'Project Database'!L77</f>
        <v/>
      </c>
      <c r="I73" s="66">
        <f>'Project Database'!M77</f>
        <v/>
      </c>
      <c r="J73" s="66">
        <f>'Project Database'!N77</f>
        <v/>
      </c>
      <c r="K73" s="66">
        <f>'Project Database'!O77</f>
        <v/>
      </c>
      <c r="L73" s="66">
        <f>'Project Database'!P77</f>
        <v/>
      </c>
      <c r="M73" s="66">
        <f>'Project Database'!Q77</f>
        <v/>
      </c>
      <c r="N73" s="66">
        <f>'Project Database'!R77</f>
        <v/>
      </c>
      <c r="O73" s="66">
        <f>'Project Database'!S77</f>
        <v/>
      </c>
      <c r="P73" s="66">
        <f>'Project Database'!T77</f>
        <v/>
      </c>
      <c r="Q73" s="66">
        <f>'Project Database'!U77</f>
        <v/>
      </c>
      <c r="R73" s="66">
        <f>'Project Database'!V77</f>
        <v/>
      </c>
      <c r="S73" s="66">
        <f>'Project Database'!W77</f>
        <v/>
      </c>
      <c r="T73" s="66">
        <f>'Project Database'!X77</f>
        <v/>
      </c>
      <c r="U73" s="67">
        <f>'Project Database'!Y77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'Project Database'!Z77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IF(AND('Project Database'!A77&lt;&gt;"",OR('Smart Search'!$L$5="",'Smart Search'!$L$5="All",TRIM('Project Database'!D77)=TRIM('Smart Search'!$L$5)),OR(TRIM('Smart Search'!$L$6)="",TRIM('Smart Search'!$L$6)="All",ISNUMBER(SEARCH(SUBSTITUTE(SUBSTITUTE(SUBSTITUTE(TRIM('Smart Search'!$L$6),"~","~~"),"*","~*"),"?","~?"),'Project Database'!C77))),OR('Smart Search'!$L$7="",AND('Project Database'!E77&lt;&gt;"",'Project Database'!E77='Smart Search'!$L$7)),OR('Smart Search'!$L$8="",'Smart Search'!$L$8="All",TRIM('Project Database'!F77)=TRIM('Smart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IF('Project Database'!A77="","",N('Project Database'!AC77))</f>
        <v/>
      </c>
      <c r="BK73" s="5">
        <f>IF('Project Database'!A77="","",N('Project Database'!AD77))</f>
        <v/>
      </c>
      <c r="BL73" s="5">
        <f>IF('Project Database'!A77="","",N('Project Database'!AE77))</f>
        <v/>
      </c>
      <c r="BM73" s="5">
        <f>IF('Project Database'!A77="","",N('Project Database'!AF77))</f>
        <v/>
      </c>
      <c r="BN73" s="5">
        <f>IF('Project Database'!A77="","",N('Project Database'!AG77))</f>
        <v/>
      </c>
      <c r="BO73" s="5">
        <f>IF('Project Database'!A77="","",N('Project Database'!AH77))</f>
        <v/>
      </c>
      <c r="BP73" s="5">
        <f>IF('Project Database'!A77="","",N('Project Database'!AI77))</f>
        <v/>
      </c>
      <c r="BQ73" s="5">
        <f>IF('Project Database'!A77="","",N('Project Database'!AJ77))</f>
        <v/>
      </c>
      <c r="BR73" s="5">
        <f>IF('Project Database'!A77="","",N('Project Database'!AK77))</f>
        <v/>
      </c>
      <c r="BS73" s="5">
        <f>IF('Project Database'!A77="","",N('Project Database'!AL77))</f>
        <v/>
      </c>
      <c r="BT73" s="5">
        <f>IF('Project Database'!A77="","",N('Project Database'!AM77))</f>
        <v/>
      </c>
      <c r="BU73" s="5">
        <f>IF('Project Database'!A77="","",N('Project Database'!AN77))</f>
        <v/>
      </c>
      <c r="BV73" s="5">
        <f>IF('Project Database'!A77="","",N('Project Database'!AO77))</f>
        <v/>
      </c>
      <c r="BW73" s="5">
        <f>IF('Project Database'!A77="","",N('Project Database'!AP77))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</row>
    <row r="74" ht="15" customHeight="1" s="74">
      <c r="A74" s="66">
        <f>'Project Database'!A78</f>
        <v/>
      </c>
      <c r="B74" s="66">
        <f>'Project Database'!B78</f>
        <v/>
      </c>
      <c r="C74" s="66">
        <f>'Project Database'!G78</f>
        <v/>
      </c>
      <c r="D74" s="66">
        <f>'Project Database'!H78</f>
        <v/>
      </c>
      <c r="E74" s="66">
        <f>'Project Database'!I78</f>
        <v/>
      </c>
      <c r="F74" s="66">
        <f>'Project Database'!J78</f>
        <v/>
      </c>
      <c r="G74" s="66">
        <f>'Project Database'!K78</f>
        <v/>
      </c>
      <c r="H74" s="66">
        <f>'Project Database'!L78</f>
        <v/>
      </c>
      <c r="I74" s="66">
        <f>'Project Database'!M78</f>
        <v/>
      </c>
      <c r="J74" s="66">
        <f>'Project Database'!N78</f>
        <v/>
      </c>
      <c r="K74" s="66">
        <f>'Project Database'!O78</f>
        <v/>
      </c>
      <c r="L74" s="66">
        <f>'Project Database'!P78</f>
        <v/>
      </c>
      <c r="M74" s="66">
        <f>'Project Database'!Q78</f>
        <v/>
      </c>
      <c r="N74" s="66">
        <f>'Project Database'!R78</f>
        <v/>
      </c>
      <c r="O74" s="66">
        <f>'Project Database'!S78</f>
        <v/>
      </c>
      <c r="P74" s="66">
        <f>'Project Database'!T78</f>
        <v/>
      </c>
      <c r="Q74" s="66">
        <f>'Project Database'!U78</f>
        <v/>
      </c>
      <c r="R74" s="66">
        <f>'Project Database'!V78</f>
        <v/>
      </c>
      <c r="S74" s="66">
        <f>'Project Database'!W78</f>
        <v/>
      </c>
      <c r="T74" s="66">
        <f>'Project Database'!X78</f>
        <v/>
      </c>
      <c r="U74" s="67">
        <f>'Project Database'!Y78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'Project Database'!Z78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IF(AND('Project Database'!A78&lt;&gt;"",OR('Smart Search'!$L$5="",'Smart Search'!$L$5="All",TRIM('Project Database'!D78)=TRIM('Smart Search'!$L$5)),OR(TRIM('Smart Search'!$L$6)="",TRIM('Smart Search'!$L$6)="All",ISNUMBER(SEARCH(SUBSTITUTE(SUBSTITUTE(SUBSTITUTE(TRIM('Smart Search'!$L$6),"~","~~"),"*","~*"),"?","~?"),'Project Database'!C78))),OR('Smart Search'!$L$7="",AND('Project Database'!E78&lt;&gt;"",'Project Database'!E78='Smart Search'!$L$7)),OR('Smart Search'!$L$8="",'Smart Search'!$L$8="All",TRIM('Project Database'!F78)=TRIM('Smart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IF('Project Database'!A78="","",N('Project Database'!AC78))</f>
        <v/>
      </c>
      <c r="BK74" s="5">
        <f>IF('Project Database'!A78="","",N('Project Database'!AD78))</f>
        <v/>
      </c>
      <c r="BL74" s="5">
        <f>IF('Project Database'!A78="","",N('Project Database'!AE78))</f>
        <v/>
      </c>
      <c r="BM74" s="5">
        <f>IF('Project Database'!A78="","",N('Project Database'!AF78))</f>
        <v/>
      </c>
      <c r="BN74" s="5">
        <f>IF('Project Database'!A78="","",N('Project Database'!AG78))</f>
        <v/>
      </c>
      <c r="BO74" s="5">
        <f>IF('Project Database'!A78="","",N('Project Database'!AH78))</f>
        <v/>
      </c>
      <c r="BP74" s="5">
        <f>IF('Project Database'!A78="","",N('Project Database'!AI78))</f>
        <v/>
      </c>
      <c r="BQ74" s="5">
        <f>IF('Project Database'!A78="","",N('Project Database'!AJ78))</f>
        <v/>
      </c>
      <c r="BR74" s="5">
        <f>IF('Project Database'!A78="","",N('Project Database'!AK78))</f>
        <v/>
      </c>
      <c r="BS74" s="5">
        <f>IF('Project Database'!A78="","",N('Project Database'!AL78))</f>
        <v/>
      </c>
      <c r="BT74" s="5">
        <f>IF('Project Database'!A78="","",N('Project Database'!AM78))</f>
        <v/>
      </c>
      <c r="BU74" s="5">
        <f>IF('Project Database'!A78="","",N('Project Database'!AN78))</f>
        <v/>
      </c>
      <c r="BV74" s="5">
        <f>IF('Project Database'!A78="","",N('Project Database'!AO78))</f>
        <v/>
      </c>
      <c r="BW74" s="5">
        <f>IF('Project Database'!A78="","",N('Project Database'!AP78))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</row>
    <row r="75" ht="15" customHeight="1" s="74">
      <c r="A75" s="66">
        <f>'Project Database'!A79</f>
        <v/>
      </c>
      <c r="B75" s="66">
        <f>'Project Database'!B79</f>
        <v/>
      </c>
      <c r="C75" s="66">
        <f>'Project Database'!G79</f>
        <v/>
      </c>
      <c r="D75" s="66">
        <f>'Project Database'!H79</f>
        <v/>
      </c>
      <c r="E75" s="66">
        <f>'Project Database'!I79</f>
        <v/>
      </c>
      <c r="F75" s="66">
        <f>'Project Database'!J79</f>
        <v/>
      </c>
      <c r="G75" s="66">
        <f>'Project Database'!K79</f>
        <v/>
      </c>
      <c r="H75" s="66">
        <f>'Project Database'!L79</f>
        <v/>
      </c>
      <c r="I75" s="66">
        <f>'Project Database'!M79</f>
        <v/>
      </c>
      <c r="J75" s="66">
        <f>'Project Database'!N79</f>
        <v/>
      </c>
      <c r="K75" s="66">
        <f>'Project Database'!O79</f>
        <v/>
      </c>
      <c r="L75" s="66">
        <f>'Project Database'!P79</f>
        <v/>
      </c>
      <c r="M75" s="66">
        <f>'Project Database'!Q79</f>
        <v/>
      </c>
      <c r="N75" s="66">
        <f>'Project Database'!R79</f>
        <v/>
      </c>
      <c r="O75" s="66">
        <f>'Project Database'!S79</f>
        <v/>
      </c>
      <c r="P75" s="66">
        <f>'Project Database'!T79</f>
        <v/>
      </c>
      <c r="Q75" s="66">
        <f>'Project Database'!U79</f>
        <v/>
      </c>
      <c r="R75" s="66">
        <f>'Project Database'!V79</f>
        <v/>
      </c>
      <c r="S75" s="66">
        <f>'Project Database'!W79</f>
        <v/>
      </c>
      <c r="T75" s="66">
        <f>'Project Database'!X79</f>
        <v/>
      </c>
      <c r="U75" s="67">
        <f>'Project Database'!Y79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'Project Database'!Z79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IF(AND('Project Database'!A79&lt;&gt;"",OR('Smart Search'!$L$5="",'Smart Search'!$L$5="All",TRIM('Project Database'!D79)=TRIM('Smart Search'!$L$5)),OR(TRIM('Smart Search'!$L$6)="",TRIM('Smart Search'!$L$6)="All",ISNUMBER(SEARCH(SUBSTITUTE(SUBSTITUTE(SUBSTITUTE(TRIM('Smart Search'!$L$6),"~","~~"),"*","~*"),"?","~?"),'Project Database'!C79))),OR('Smart Search'!$L$7="",AND('Project Database'!E79&lt;&gt;"",'Project Database'!E79='Smart Search'!$L$7)),OR('Smart Search'!$L$8="",'Smart Search'!$L$8="All",TRIM('Project Database'!F79)=TRIM('Smart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IF('Project Database'!A79="","",N('Project Database'!AC79))</f>
        <v/>
      </c>
      <c r="BK75" s="5">
        <f>IF('Project Database'!A79="","",N('Project Database'!AD79))</f>
        <v/>
      </c>
      <c r="BL75" s="5">
        <f>IF('Project Database'!A79="","",N('Project Database'!AE79))</f>
        <v/>
      </c>
      <c r="BM75" s="5">
        <f>IF('Project Database'!A79="","",N('Project Database'!AF79))</f>
        <v/>
      </c>
      <c r="BN75" s="5">
        <f>IF('Project Database'!A79="","",N('Project Database'!AG79))</f>
        <v/>
      </c>
      <c r="BO75" s="5">
        <f>IF('Project Database'!A79="","",N('Project Database'!AH79))</f>
        <v/>
      </c>
      <c r="BP75" s="5">
        <f>IF('Project Database'!A79="","",N('Project Database'!AI79))</f>
        <v/>
      </c>
      <c r="BQ75" s="5">
        <f>IF('Project Database'!A79="","",N('Project Database'!AJ79))</f>
        <v/>
      </c>
      <c r="BR75" s="5">
        <f>IF('Project Database'!A79="","",N('Project Database'!AK79))</f>
        <v/>
      </c>
      <c r="BS75" s="5">
        <f>IF('Project Database'!A79="","",N('Project Database'!AL79))</f>
        <v/>
      </c>
      <c r="BT75" s="5">
        <f>IF('Project Database'!A79="","",N('Project Database'!AM79))</f>
        <v/>
      </c>
      <c r="BU75" s="5">
        <f>IF('Project Database'!A79="","",N('Project Database'!AN79))</f>
        <v/>
      </c>
      <c r="BV75" s="5">
        <f>IF('Project Database'!A79="","",N('Project Database'!AO79))</f>
        <v/>
      </c>
      <c r="BW75" s="5">
        <f>IF('Project Database'!A79="","",N('Project Database'!AP79))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</row>
    <row r="76" ht="15" customHeight="1" s="74">
      <c r="A76" s="66">
        <f>'Project Database'!A80</f>
        <v/>
      </c>
      <c r="B76" s="66">
        <f>'Project Database'!B80</f>
        <v/>
      </c>
      <c r="C76" s="66">
        <f>'Project Database'!G80</f>
        <v/>
      </c>
      <c r="D76" s="66">
        <f>'Project Database'!H80</f>
        <v/>
      </c>
      <c r="E76" s="66">
        <f>'Project Database'!I80</f>
        <v/>
      </c>
      <c r="F76" s="66">
        <f>'Project Database'!J80</f>
        <v/>
      </c>
      <c r="G76" s="66">
        <f>'Project Database'!K80</f>
        <v/>
      </c>
      <c r="H76" s="66">
        <f>'Project Database'!L80</f>
        <v/>
      </c>
      <c r="I76" s="66">
        <f>'Project Database'!M80</f>
        <v/>
      </c>
      <c r="J76" s="66">
        <f>'Project Database'!N80</f>
        <v/>
      </c>
      <c r="K76" s="66">
        <f>'Project Database'!O80</f>
        <v/>
      </c>
      <c r="L76" s="66">
        <f>'Project Database'!P80</f>
        <v/>
      </c>
      <c r="M76" s="66">
        <f>'Project Database'!Q80</f>
        <v/>
      </c>
      <c r="N76" s="66">
        <f>'Project Database'!R80</f>
        <v/>
      </c>
      <c r="O76" s="66">
        <f>'Project Database'!S80</f>
        <v/>
      </c>
      <c r="P76" s="66">
        <f>'Project Database'!T80</f>
        <v/>
      </c>
      <c r="Q76" s="66">
        <f>'Project Database'!U80</f>
        <v/>
      </c>
      <c r="R76" s="66">
        <f>'Project Database'!V80</f>
        <v/>
      </c>
      <c r="S76" s="66">
        <f>'Project Database'!W80</f>
        <v/>
      </c>
      <c r="T76" s="66">
        <f>'Project Database'!X80</f>
        <v/>
      </c>
      <c r="U76" s="67">
        <f>'Project Database'!Y80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'Project Database'!Z80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IF(AND('Project Database'!A80&lt;&gt;"",OR('Smart Search'!$L$5="",'Smart Search'!$L$5="All",TRIM('Project Database'!D80)=TRIM('Smart Search'!$L$5)),OR(TRIM('Smart Search'!$L$6)="",TRIM('Smart Search'!$L$6)="All",ISNUMBER(SEARCH(SUBSTITUTE(SUBSTITUTE(SUBSTITUTE(TRIM('Smart Search'!$L$6),"~","~~"),"*","~*"),"?","~?"),'Project Database'!C80))),OR('Smart Search'!$L$7="",AND('Project Database'!E80&lt;&gt;"",'Project Database'!E80='Smart Search'!$L$7)),OR('Smart Search'!$L$8="",'Smart Search'!$L$8="All",TRIM('Project Database'!F80)=TRIM('Smart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IF('Project Database'!A80="","",N('Project Database'!AC80))</f>
        <v/>
      </c>
      <c r="BK76" s="5">
        <f>IF('Project Database'!A80="","",N('Project Database'!AD80))</f>
        <v/>
      </c>
      <c r="BL76" s="5">
        <f>IF('Project Database'!A80="","",N('Project Database'!AE80))</f>
        <v/>
      </c>
      <c r="BM76" s="5">
        <f>IF('Project Database'!A80="","",N('Project Database'!AF80))</f>
        <v/>
      </c>
      <c r="BN76" s="5">
        <f>IF('Project Database'!A80="","",N('Project Database'!AG80))</f>
        <v/>
      </c>
      <c r="BO76" s="5">
        <f>IF('Project Database'!A80="","",N('Project Database'!AH80))</f>
        <v/>
      </c>
      <c r="BP76" s="5">
        <f>IF('Project Database'!A80="","",N('Project Database'!AI80))</f>
        <v/>
      </c>
      <c r="BQ76" s="5">
        <f>IF('Project Database'!A80="","",N('Project Database'!AJ80))</f>
        <v/>
      </c>
      <c r="BR76" s="5">
        <f>IF('Project Database'!A80="","",N('Project Database'!AK80))</f>
        <v/>
      </c>
      <c r="BS76" s="5">
        <f>IF('Project Database'!A80="","",N('Project Database'!AL80))</f>
        <v/>
      </c>
      <c r="BT76" s="5">
        <f>IF('Project Database'!A80="","",N('Project Database'!AM80))</f>
        <v/>
      </c>
      <c r="BU76" s="5">
        <f>IF('Project Database'!A80="","",N('Project Database'!AN80))</f>
        <v/>
      </c>
      <c r="BV76" s="5">
        <f>IF('Project Database'!A80="","",N('Project Database'!AO80))</f>
        <v/>
      </c>
      <c r="BW76" s="5">
        <f>IF('Project Database'!A80="","",N('Project Database'!AP80))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</row>
    <row r="77" ht="15" customHeight="1" s="74">
      <c r="A77" s="66">
        <f>'Project Database'!A81</f>
        <v/>
      </c>
      <c r="B77" s="66">
        <f>'Project Database'!B81</f>
        <v/>
      </c>
      <c r="C77" s="66">
        <f>'Project Database'!G81</f>
        <v/>
      </c>
      <c r="D77" s="66">
        <f>'Project Database'!H81</f>
        <v/>
      </c>
      <c r="E77" s="66">
        <f>'Project Database'!I81</f>
        <v/>
      </c>
      <c r="F77" s="66">
        <f>'Project Database'!J81</f>
        <v/>
      </c>
      <c r="G77" s="66">
        <f>'Project Database'!K81</f>
        <v/>
      </c>
      <c r="H77" s="66">
        <f>'Project Database'!L81</f>
        <v/>
      </c>
      <c r="I77" s="66">
        <f>'Project Database'!M81</f>
        <v/>
      </c>
      <c r="J77" s="66">
        <f>'Project Database'!N81</f>
        <v/>
      </c>
      <c r="K77" s="66">
        <f>'Project Database'!O81</f>
        <v/>
      </c>
      <c r="L77" s="66">
        <f>'Project Database'!P81</f>
        <v/>
      </c>
      <c r="M77" s="66">
        <f>'Project Database'!Q81</f>
        <v/>
      </c>
      <c r="N77" s="66">
        <f>'Project Database'!R81</f>
        <v/>
      </c>
      <c r="O77" s="66">
        <f>'Project Database'!S81</f>
        <v/>
      </c>
      <c r="P77" s="66">
        <f>'Project Database'!T81</f>
        <v/>
      </c>
      <c r="Q77" s="66">
        <f>'Project Database'!U81</f>
        <v/>
      </c>
      <c r="R77" s="66">
        <f>'Project Database'!V81</f>
        <v/>
      </c>
      <c r="S77" s="66">
        <f>'Project Database'!W81</f>
        <v/>
      </c>
      <c r="T77" s="66">
        <f>'Project Database'!X81</f>
        <v/>
      </c>
      <c r="U77" s="67">
        <f>'Project Database'!Y81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'Project Database'!Z81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IF(AND('Project Database'!A81&lt;&gt;"",OR('Smart Search'!$L$5="",'Smart Search'!$L$5="All",TRIM('Project Database'!D81)=TRIM('Smart Search'!$L$5)),OR(TRIM('Smart Search'!$L$6)="",TRIM('Smart Search'!$L$6)="All",ISNUMBER(SEARCH(SUBSTITUTE(SUBSTITUTE(SUBSTITUTE(TRIM('Smart Search'!$L$6),"~","~~"),"*","~*"),"?","~?"),'Project Database'!C81))),OR('Smart Search'!$L$7="",AND('Project Database'!E81&lt;&gt;"",'Project Database'!E81='Smart Search'!$L$7)),OR('Smart Search'!$L$8="",'Smart Search'!$L$8="All",TRIM('Project Database'!F81)=TRIM('Smart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IF('Project Database'!A81="","",N('Project Database'!AC81))</f>
        <v/>
      </c>
      <c r="BK77" s="5">
        <f>IF('Project Database'!A81="","",N('Project Database'!AD81))</f>
        <v/>
      </c>
      <c r="BL77" s="5">
        <f>IF('Project Database'!A81="","",N('Project Database'!AE81))</f>
        <v/>
      </c>
      <c r="BM77" s="5">
        <f>IF('Project Database'!A81="","",N('Project Database'!AF81))</f>
        <v/>
      </c>
      <c r="BN77" s="5">
        <f>IF('Project Database'!A81="","",N('Project Database'!AG81))</f>
        <v/>
      </c>
      <c r="BO77" s="5">
        <f>IF('Project Database'!A81="","",N('Project Database'!AH81))</f>
        <v/>
      </c>
      <c r="BP77" s="5">
        <f>IF('Project Database'!A81="","",N('Project Database'!AI81))</f>
        <v/>
      </c>
      <c r="BQ77" s="5">
        <f>IF('Project Database'!A81="","",N('Project Database'!AJ81))</f>
        <v/>
      </c>
      <c r="BR77" s="5">
        <f>IF('Project Database'!A81="","",N('Project Database'!AK81))</f>
        <v/>
      </c>
      <c r="BS77" s="5">
        <f>IF('Project Database'!A81="","",N('Project Database'!AL81))</f>
        <v/>
      </c>
      <c r="BT77" s="5">
        <f>IF('Project Database'!A81="","",N('Project Database'!AM81))</f>
        <v/>
      </c>
      <c r="BU77" s="5">
        <f>IF('Project Database'!A81="","",N('Project Database'!AN81))</f>
        <v/>
      </c>
      <c r="BV77" s="5">
        <f>IF('Project Database'!A81="","",N('Project Database'!AO81))</f>
        <v/>
      </c>
      <c r="BW77" s="5">
        <f>IF('Project Database'!A81="","",N('Project Database'!AP81))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</row>
    <row r="78" ht="15" customHeight="1" s="74">
      <c r="A78" s="66">
        <f>'Project Database'!A82</f>
        <v/>
      </c>
      <c r="B78" s="66">
        <f>'Project Database'!B82</f>
        <v/>
      </c>
      <c r="C78" s="66">
        <f>'Project Database'!G82</f>
        <v/>
      </c>
      <c r="D78" s="66">
        <f>'Project Database'!H82</f>
        <v/>
      </c>
      <c r="E78" s="66">
        <f>'Project Database'!I82</f>
        <v/>
      </c>
      <c r="F78" s="66">
        <f>'Project Database'!J82</f>
        <v/>
      </c>
      <c r="G78" s="66">
        <f>'Project Database'!K82</f>
        <v/>
      </c>
      <c r="H78" s="66">
        <f>'Project Database'!L82</f>
        <v/>
      </c>
      <c r="I78" s="66">
        <f>'Project Database'!M82</f>
        <v/>
      </c>
      <c r="J78" s="66">
        <f>'Project Database'!N82</f>
        <v/>
      </c>
      <c r="K78" s="66">
        <f>'Project Database'!O82</f>
        <v/>
      </c>
      <c r="L78" s="66">
        <f>'Project Database'!P82</f>
        <v/>
      </c>
      <c r="M78" s="66">
        <f>'Project Database'!Q82</f>
        <v/>
      </c>
      <c r="N78" s="66">
        <f>'Project Database'!R82</f>
        <v/>
      </c>
      <c r="O78" s="66">
        <f>'Project Database'!S82</f>
        <v/>
      </c>
      <c r="P78" s="66">
        <f>'Project Database'!T82</f>
        <v/>
      </c>
      <c r="Q78" s="66">
        <f>'Project Database'!U82</f>
        <v/>
      </c>
      <c r="R78" s="66">
        <f>'Project Database'!V82</f>
        <v/>
      </c>
      <c r="S78" s="66">
        <f>'Project Database'!W82</f>
        <v/>
      </c>
      <c r="T78" s="66">
        <f>'Project Database'!X82</f>
        <v/>
      </c>
      <c r="U78" s="67">
        <f>'Project Database'!Y82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'Project Database'!Z82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IF(AND('Project Database'!A82&lt;&gt;"",OR('Smart Search'!$L$5="",'Smart Search'!$L$5="All",TRIM('Project Database'!D82)=TRIM('Smart Search'!$L$5)),OR(TRIM('Smart Search'!$L$6)="",TRIM('Smart Search'!$L$6)="All",ISNUMBER(SEARCH(SUBSTITUTE(SUBSTITUTE(SUBSTITUTE(TRIM('Smart Search'!$L$6),"~","~~"),"*","~*"),"?","~?"),'Project Database'!C82))),OR('Smart Search'!$L$7="",AND('Project Database'!E82&lt;&gt;"",'Project Database'!E82='Smart Search'!$L$7)),OR('Smart Search'!$L$8="",'Smart Search'!$L$8="All",TRIM('Project Database'!F82)=TRIM('Smart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IF('Project Database'!A82="","",N('Project Database'!AC82))</f>
        <v/>
      </c>
      <c r="BK78" s="5">
        <f>IF('Project Database'!A82="","",N('Project Database'!AD82))</f>
        <v/>
      </c>
      <c r="BL78" s="5">
        <f>IF('Project Database'!A82="","",N('Project Database'!AE82))</f>
        <v/>
      </c>
      <c r="BM78" s="5">
        <f>IF('Project Database'!A82="","",N('Project Database'!AF82))</f>
        <v/>
      </c>
      <c r="BN78" s="5">
        <f>IF('Project Database'!A82="","",N('Project Database'!AG82))</f>
        <v/>
      </c>
      <c r="BO78" s="5">
        <f>IF('Project Database'!A82="","",N('Project Database'!AH82))</f>
        <v/>
      </c>
      <c r="BP78" s="5">
        <f>IF('Project Database'!A82="","",N('Project Database'!AI82))</f>
        <v/>
      </c>
      <c r="BQ78" s="5">
        <f>IF('Project Database'!A82="","",N('Project Database'!AJ82))</f>
        <v/>
      </c>
      <c r="BR78" s="5">
        <f>IF('Project Database'!A82="","",N('Project Database'!AK82))</f>
        <v/>
      </c>
      <c r="BS78" s="5">
        <f>IF('Project Database'!A82="","",N('Project Database'!AL82))</f>
        <v/>
      </c>
      <c r="BT78" s="5">
        <f>IF('Project Database'!A82="","",N('Project Database'!AM82))</f>
        <v/>
      </c>
      <c r="BU78" s="5">
        <f>IF('Project Database'!A82="","",N('Project Database'!AN82))</f>
        <v/>
      </c>
      <c r="BV78" s="5">
        <f>IF('Project Database'!A82="","",N('Project Database'!AO82))</f>
        <v/>
      </c>
      <c r="BW78" s="5">
        <f>IF('Project Database'!A82="","",N('Project Database'!AP82))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</row>
    <row r="79" ht="15" customHeight="1" s="74">
      <c r="A79" s="66">
        <f>'Project Database'!A83</f>
        <v/>
      </c>
      <c r="B79" s="66">
        <f>'Project Database'!B83</f>
        <v/>
      </c>
      <c r="C79" s="66">
        <f>'Project Database'!G83</f>
        <v/>
      </c>
      <c r="D79" s="66">
        <f>'Project Database'!H83</f>
        <v/>
      </c>
      <c r="E79" s="66">
        <f>'Project Database'!I83</f>
        <v/>
      </c>
      <c r="F79" s="66">
        <f>'Project Database'!J83</f>
        <v/>
      </c>
      <c r="G79" s="66">
        <f>'Project Database'!K83</f>
        <v/>
      </c>
      <c r="H79" s="66">
        <f>'Project Database'!L83</f>
        <v/>
      </c>
      <c r="I79" s="66">
        <f>'Project Database'!M83</f>
        <v/>
      </c>
      <c r="J79" s="66">
        <f>'Project Database'!N83</f>
        <v/>
      </c>
      <c r="K79" s="66">
        <f>'Project Database'!O83</f>
        <v/>
      </c>
      <c r="L79" s="66">
        <f>'Project Database'!P83</f>
        <v/>
      </c>
      <c r="M79" s="66">
        <f>'Project Database'!Q83</f>
        <v/>
      </c>
      <c r="N79" s="66">
        <f>'Project Database'!R83</f>
        <v/>
      </c>
      <c r="O79" s="66">
        <f>'Project Database'!S83</f>
        <v/>
      </c>
      <c r="P79" s="66">
        <f>'Project Database'!T83</f>
        <v/>
      </c>
      <c r="Q79" s="66">
        <f>'Project Database'!U83</f>
        <v/>
      </c>
      <c r="R79" s="66">
        <f>'Project Database'!V83</f>
        <v/>
      </c>
      <c r="S79" s="66">
        <f>'Project Database'!W83</f>
        <v/>
      </c>
      <c r="T79" s="66">
        <f>'Project Database'!X83</f>
        <v/>
      </c>
      <c r="U79" s="67">
        <f>'Project Database'!Y83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'Project Database'!Z83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IF(AND('Project Database'!A83&lt;&gt;"",OR('Smart Search'!$L$5="",'Smart Search'!$L$5="All",TRIM('Project Database'!D83)=TRIM('Smart Search'!$L$5)),OR(TRIM('Smart Search'!$L$6)="",TRIM('Smart Search'!$L$6)="All",ISNUMBER(SEARCH(SUBSTITUTE(SUBSTITUTE(SUBSTITUTE(TRIM('Smart Search'!$L$6),"~","~~"),"*","~*"),"?","~?"),'Project Database'!C83))),OR('Smart Search'!$L$7="",AND('Project Database'!E83&lt;&gt;"",'Project Database'!E83='Smart Search'!$L$7)),OR('Smart Search'!$L$8="",'Smart Search'!$L$8="All",TRIM('Project Database'!F83)=TRIM('Smart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IF('Project Database'!A83="","",N('Project Database'!AC83))</f>
        <v/>
      </c>
      <c r="BK79" s="5">
        <f>IF('Project Database'!A83="","",N('Project Database'!AD83))</f>
        <v/>
      </c>
      <c r="BL79" s="5">
        <f>IF('Project Database'!A83="","",N('Project Database'!AE83))</f>
        <v/>
      </c>
      <c r="BM79" s="5">
        <f>IF('Project Database'!A83="","",N('Project Database'!AF83))</f>
        <v/>
      </c>
      <c r="BN79" s="5">
        <f>IF('Project Database'!A83="","",N('Project Database'!AG83))</f>
        <v/>
      </c>
      <c r="BO79" s="5">
        <f>IF('Project Database'!A83="","",N('Project Database'!AH83))</f>
        <v/>
      </c>
      <c r="BP79" s="5">
        <f>IF('Project Database'!A83="","",N('Project Database'!AI83))</f>
        <v/>
      </c>
      <c r="BQ79" s="5">
        <f>IF('Project Database'!A83="","",N('Project Database'!AJ83))</f>
        <v/>
      </c>
      <c r="BR79" s="5">
        <f>IF('Project Database'!A83="","",N('Project Database'!AK83))</f>
        <v/>
      </c>
      <c r="BS79" s="5">
        <f>IF('Project Database'!A83="","",N('Project Database'!AL83))</f>
        <v/>
      </c>
      <c r="BT79" s="5">
        <f>IF('Project Database'!A83="","",N('Project Database'!AM83))</f>
        <v/>
      </c>
      <c r="BU79" s="5">
        <f>IF('Project Database'!A83="","",N('Project Database'!AN83))</f>
        <v/>
      </c>
      <c r="BV79" s="5">
        <f>IF('Project Database'!A83="","",N('Project Database'!AO83))</f>
        <v/>
      </c>
      <c r="BW79" s="5">
        <f>IF('Project Database'!A83="","",N('Project Database'!AP83))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</row>
    <row r="80" ht="15" customHeight="1" s="74">
      <c r="A80" s="66">
        <f>'Project Database'!A84</f>
        <v/>
      </c>
      <c r="B80" s="66">
        <f>'Project Database'!B84</f>
        <v/>
      </c>
      <c r="C80" s="66">
        <f>'Project Database'!G84</f>
        <v/>
      </c>
      <c r="D80" s="66">
        <f>'Project Database'!H84</f>
        <v/>
      </c>
      <c r="E80" s="66">
        <f>'Project Database'!I84</f>
        <v/>
      </c>
      <c r="F80" s="66">
        <f>'Project Database'!J84</f>
        <v/>
      </c>
      <c r="G80" s="66">
        <f>'Project Database'!K84</f>
        <v/>
      </c>
      <c r="H80" s="66">
        <f>'Project Database'!L84</f>
        <v/>
      </c>
      <c r="I80" s="66">
        <f>'Project Database'!M84</f>
        <v/>
      </c>
      <c r="J80" s="66">
        <f>'Project Database'!N84</f>
        <v/>
      </c>
      <c r="K80" s="66">
        <f>'Project Database'!O84</f>
        <v/>
      </c>
      <c r="L80" s="66">
        <f>'Project Database'!P84</f>
        <v/>
      </c>
      <c r="M80" s="66">
        <f>'Project Database'!Q84</f>
        <v/>
      </c>
      <c r="N80" s="66">
        <f>'Project Database'!R84</f>
        <v/>
      </c>
      <c r="O80" s="66">
        <f>'Project Database'!S84</f>
        <v/>
      </c>
      <c r="P80" s="66">
        <f>'Project Database'!T84</f>
        <v/>
      </c>
      <c r="Q80" s="66">
        <f>'Project Database'!U84</f>
        <v/>
      </c>
      <c r="R80" s="66">
        <f>'Project Database'!V84</f>
        <v/>
      </c>
      <c r="S80" s="66">
        <f>'Project Database'!W84</f>
        <v/>
      </c>
      <c r="T80" s="66">
        <f>'Project Database'!X84</f>
        <v/>
      </c>
      <c r="U80" s="67">
        <f>'Project Database'!Y84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'Project Database'!Z84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IF(AND('Project Database'!A84&lt;&gt;"",OR('Smart Search'!$L$5="",'Smart Search'!$L$5="All",TRIM('Project Database'!D84)=TRIM('Smart Search'!$L$5)),OR(TRIM('Smart Search'!$L$6)="",TRIM('Smart Search'!$L$6)="All",ISNUMBER(SEARCH(SUBSTITUTE(SUBSTITUTE(SUBSTITUTE(TRIM('Smart Search'!$L$6),"~","~~"),"*","~*"),"?","~?"),'Project Database'!C84))),OR('Smart Search'!$L$7="",AND('Project Database'!E84&lt;&gt;"",'Project Database'!E84='Smart Search'!$L$7)),OR('Smart Search'!$L$8="",'Smart Search'!$L$8="All",TRIM('Project Database'!F84)=TRIM('Smart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IF('Project Database'!A84="","",N('Project Database'!AC84))</f>
        <v/>
      </c>
      <c r="BK80" s="5">
        <f>IF('Project Database'!A84="","",N('Project Database'!AD84))</f>
        <v/>
      </c>
      <c r="BL80" s="5">
        <f>IF('Project Database'!A84="","",N('Project Database'!AE84))</f>
        <v/>
      </c>
      <c r="BM80" s="5">
        <f>IF('Project Database'!A84="","",N('Project Database'!AF84))</f>
        <v/>
      </c>
      <c r="BN80" s="5">
        <f>IF('Project Database'!A84="","",N('Project Database'!AG84))</f>
        <v/>
      </c>
      <c r="BO80" s="5">
        <f>IF('Project Database'!A84="","",N('Project Database'!AH84))</f>
        <v/>
      </c>
      <c r="BP80" s="5">
        <f>IF('Project Database'!A84="","",N('Project Database'!AI84))</f>
        <v/>
      </c>
      <c r="BQ80" s="5">
        <f>IF('Project Database'!A84="","",N('Project Database'!AJ84))</f>
        <v/>
      </c>
      <c r="BR80" s="5">
        <f>IF('Project Database'!A84="","",N('Project Database'!AK84))</f>
        <v/>
      </c>
      <c r="BS80" s="5">
        <f>IF('Project Database'!A84="","",N('Project Database'!AL84))</f>
        <v/>
      </c>
      <c r="BT80" s="5">
        <f>IF('Project Database'!A84="","",N('Project Database'!AM84))</f>
        <v/>
      </c>
      <c r="BU80" s="5">
        <f>IF('Project Database'!A84="","",N('Project Database'!AN84))</f>
        <v/>
      </c>
      <c r="BV80" s="5">
        <f>IF('Project Database'!A84="","",N('Project Database'!AO84))</f>
        <v/>
      </c>
      <c r="BW80" s="5">
        <f>IF('Project Database'!A84="","",N('Project Database'!AP84))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</row>
    <row r="81" ht="15" customHeight="1" s="74">
      <c r="A81" s="66">
        <f>'Project Database'!A85</f>
        <v/>
      </c>
      <c r="B81" s="66">
        <f>'Project Database'!B85</f>
        <v/>
      </c>
      <c r="C81" s="66">
        <f>'Project Database'!G85</f>
        <v/>
      </c>
      <c r="D81" s="66">
        <f>'Project Database'!H85</f>
        <v/>
      </c>
      <c r="E81" s="66">
        <f>'Project Database'!I85</f>
        <v/>
      </c>
      <c r="F81" s="66">
        <f>'Project Database'!J85</f>
        <v/>
      </c>
      <c r="G81" s="66">
        <f>'Project Database'!K85</f>
        <v/>
      </c>
      <c r="H81" s="66">
        <f>'Project Database'!L85</f>
        <v/>
      </c>
      <c r="I81" s="66">
        <f>'Project Database'!M85</f>
        <v/>
      </c>
      <c r="J81" s="66">
        <f>'Project Database'!N85</f>
        <v/>
      </c>
      <c r="K81" s="66">
        <f>'Project Database'!O85</f>
        <v/>
      </c>
      <c r="L81" s="66">
        <f>'Project Database'!P85</f>
        <v/>
      </c>
      <c r="M81" s="66">
        <f>'Project Database'!Q85</f>
        <v/>
      </c>
      <c r="N81" s="66">
        <f>'Project Database'!R85</f>
        <v/>
      </c>
      <c r="O81" s="66">
        <f>'Project Database'!S85</f>
        <v/>
      </c>
      <c r="P81" s="66">
        <f>'Project Database'!T85</f>
        <v/>
      </c>
      <c r="Q81" s="66">
        <f>'Project Database'!U85</f>
        <v/>
      </c>
      <c r="R81" s="66">
        <f>'Project Database'!V85</f>
        <v/>
      </c>
      <c r="S81" s="66">
        <f>'Project Database'!W85</f>
        <v/>
      </c>
      <c r="T81" s="66">
        <f>'Project Database'!X85</f>
        <v/>
      </c>
      <c r="U81" s="67">
        <f>'Project Database'!Y85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'Project Database'!Z85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IF(AND('Project Database'!A85&lt;&gt;"",OR('Smart Search'!$L$5="",'Smart Search'!$L$5="All",TRIM('Project Database'!D85)=TRIM('Smart Search'!$L$5)),OR(TRIM('Smart Search'!$L$6)="",TRIM('Smart Search'!$L$6)="All",ISNUMBER(SEARCH(SUBSTITUTE(SUBSTITUTE(SUBSTITUTE(TRIM('Smart Search'!$L$6),"~","~~"),"*","~*"),"?","~?"),'Project Database'!C85))),OR('Smart Search'!$L$7="",AND('Project Database'!E85&lt;&gt;"",'Project Database'!E85='Smart Search'!$L$7)),OR('Smart Search'!$L$8="",'Smart Search'!$L$8="All",TRIM('Project Database'!F85)=TRIM('Smart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IF('Project Database'!A85="","",N('Project Database'!AC85))</f>
        <v/>
      </c>
      <c r="BK81" s="5">
        <f>IF('Project Database'!A85="","",N('Project Database'!AD85))</f>
        <v/>
      </c>
      <c r="BL81" s="5">
        <f>IF('Project Database'!A85="","",N('Project Database'!AE85))</f>
        <v/>
      </c>
      <c r="BM81" s="5">
        <f>IF('Project Database'!A85="","",N('Project Database'!AF85))</f>
        <v/>
      </c>
      <c r="BN81" s="5">
        <f>IF('Project Database'!A85="","",N('Project Database'!AG85))</f>
        <v/>
      </c>
      <c r="BO81" s="5">
        <f>IF('Project Database'!A85="","",N('Project Database'!AH85))</f>
        <v/>
      </c>
      <c r="BP81" s="5">
        <f>IF('Project Database'!A85="","",N('Project Database'!AI85))</f>
        <v/>
      </c>
      <c r="BQ81" s="5">
        <f>IF('Project Database'!A85="","",N('Project Database'!AJ85))</f>
        <v/>
      </c>
      <c r="BR81" s="5">
        <f>IF('Project Database'!A85="","",N('Project Database'!AK85))</f>
        <v/>
      </c>
      <c r="BS81" s="5">
        <f>IF('Project Database'!A85="","",N('Project Database'!AL85))</f>
        <v/>
      </c>
      <c r="BT81" s="5">
        <f>IF('Project Database'!A85="","",N('Project Database'!AM85))</f>
        <v/>
      </c>
      <c r="BU81" s="5">
        <f>IF('Project Database'!A85="","",N('Project Database'!AN85))</f>
        <v/>
      </c>
      <c r="BV81" s="5">
        <f>IF('Project Database'!A85="","",N('Project Database'!AO85))</f>
        <v/>
      </c>
      <c r="BW81" s="5">
        <f>IF('Project Database'!A85="","",N('Project Database'!AP85))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</row>
    <row r="82" ht="15" customHeight="1" s="74">
      <c r="A82" s="66">
        <f>'Project Database'!A86</f>
        <v/>
      </c>
      <c r="B82" s="66">
        <f>'Project Database'!B86</f>
        <v/>
      </c>
      <c r="C82" s="66">
        <f>'Project Database'!G86</f>
        <v/>
      </c>
      <c r="D82" s="66">
        <f>'Project Database'!H86</f>
        <v/>
      </c>
      <c r="E82" s="66">
        <f>'Project Database'!I86</f>
        <v/>
      </c>
      <c r="F82" s="66">
        <f>'Project Database'!J86</f>
        <v/>
      </c>
      <c r="G82" s="66">
        <f>'Project Database'!K86</f>
        <v/>
      </c>
      <c r="H82" s="66">
        <f>'Project Database'!L86</f>
        <v/>
      </c>
      <c r="I82" s="66">
        <f>'Project Database'!M86</f>
        <v/>
      </c>
      <c r="J82" s="66">
        <f>'Project Database'!N86</f>
        <v/>
      </c>
      <c r="K82" s="66">
        <f>'Project Database'!O86</f>
        <v/>
      </c>
      <c r="L82" s="66">
        <f>'Project Database'!P86</f>
        <v/>
      </c>
      <c r="M82" s="66">
        <f>'Project Database'!Q86</f>
        <v/>
      </c>
      <c r="N82" s="66">
        <f>'Project Database'!R86</f>
        <v/>
      </c>
      <c r="O82" s="66">
        <f>'Project Database'!S86</f>
        <v/>
      </c>
      <c r="P82" s="66">
        <f>'Project Database'!T86</f>
        <v/>
      </c>
      <c r="Q82" s="66">
        <f>'Project Database'!U86</f>
        <v/>
      </c>
      <c r="R82" s="66">
        <f>'Project Database'!V86</f>
        <v/>
      </c>
      <c r="S82" s="66">
        <f>'Project Database'!W86</f>
        <v/>
      </c>
      <c r="T82" s="66">
        <f>'Project Database'!X86</f>
        <v/>
      </c>
      <c r="U82" s="67">
        <f>'Project Database'!Y86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'Project Database'!Z86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IF(AND('Project Database'!A86&lt;&gt;"",OR('Smart Search'!$L$5="",'Smart Search'!$L$5="All",TRIM('Project Database'!D86)=TRIM('Smart Search'!$L$5)),OR(TRIM('Smart Search'!$L$6)="",TRIM('Smart Search'!$L$6)="All",ISNUMBER(SEARCH(SUBSTITUTE(SUBSTITUTE(SUBSTITUTE(TRIM('Smart Search'!$L$6),"~","~~"),"*","~*"),"?","~?"),'Project Database'!C86))),OR('Smart Search'!$L$7="",AND('Project Database'!E86&lt;&gt;"",'Project Database'!E86='Smart Search'!$L$7)),OR('Smart Search'!$L$8="",'Smart Search'!$L$8="All",TRIM('Project Database'!F86)=TRIM('Smart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IF('Project Database'!A86="","",N('Project Database'!AC86))</f>
        <v/>
      </c>
      <c r="BK82" s="5">
        <f>IF('Project Database'!A86="","",N('Project Database'!AD86))</f>
        <v/>
      </c>
      <c r="BL82" s="5">
        <f>IF('Project Database'!A86="","",N('Project Database'!AE86))</f>
        <v/>
      </c>
      <c r="BM82" s="5">
        <f>IF('Project Database'!A86="","",N('Project Database'!AF86))</f>
        <v/>
      </c>
      <c r="BN82" s="5">
        <f>IF('Project Database'!A86="","",N('Project Database'!AG86))</f>
        <v/>
      </c>
      <c r="BO82" s="5">
        <f>IF('Project Database'!A86="","",N('Project Database'!AH86))</f>
        <v/>
      </c>
      <c r="BP82" s="5">
        <f>IF('Project Database'!A86="","",N('Project Database'!AI86))</f>
        <v/>
      </c>
      <c r="BQ82" s="5">
        <f>IF('Project Database'!A86="","",N('Project Database'!AJ86))</f>
        <v/>
      </c>
      <c r="BR82" s="5">
        <f>IF('Project Database'!A86="","",N('Project Database'!AK86))</f>
        <v/>
      </c>
      <c r="BS82" s="5">
        <f>IF('Project Database'!A86="","",N('Project Database'!AL86))</f>
        <v/>
      </c>
      <c r="BT82" s="5">
        <f>IF('Project Database'!A86="","",N('Project Database'!AM86))</f>
        <v/>
      </c>
      <c r="BU82" s="5">
        <f>IF('Project Database'!A86="","",N('Project Database'!AN86))</f>
        <v/>
      </c>
      <c r="BV82" s="5">
        <f>IF('Project Database'!A86="","",N('Project Database'!AO86))</f>
        <v/>
      </c>
      <c r="BW82" s="5">
        <f>IF('Project Database'!A86="","",N('Project Database'!AP86))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</row>
    <row r="83" ht="15" customHeight="1" s="74">
      <c r="A83" s="66">
        <f>'Project Database'!A87</f>
        <v/>
      </c>
      <c r="B83" s="66">
        <f>'Project Database'!B87</f>
        <v/>
      </c>
      <c r="C83" s="66">
        <f>'Project Database'!G87</f>
        <v/>
      </c>
      <c r="D83" s="66">
        <f>'Project Database'!H87</f>
        <v/>
      </c>
      <c r="E83" s="66">
        <f>'Project Database'!I87</f>
        <v/>
      </c>
      <c r="F83" s="66">
        <f>'Project Database'!J87</f>
        <v/>
      </c>
      <c r="G83" s="66">
        <f>'Project Database'!K87</f>
        <v/>
      </c>
      <c r="H83" s="66">
        <f>'Project Database'!L87</f>
        <v/>
      </c>
      <c r="I83" s="66">
        <f>'Project Database'!M87</f>
        <v/>
      </c>
      <c r="J83" s="66">
        <f>'Project Database'!N87</f>
        <v/>
      </c>
      <c r="K83" s="66">
        <f>'Project Database'!O87</f>
        <v/>
      </c>
      <c r="L83" s="66">
        <f>'Project Database'!P87</f>
        <v/>
      </c>
      <c r="M83" s="66">
        <f>'Project Database'!Q87</f>
        <v/>
      </c>
      <c r="N83" s="66">
        <f>'Project Database'!R87</f>
        <v/>
      </c>
      <c r="O83" s="66">
        <f>'Project Database'!S87</f>
        <v/>
      </c>
      <c r="P83" s="66">
        <f>'Project Database'!T87</f>
        <v/>
      </c>
      <c r="Q83" s="66">
        <f>'Project Database'!U87</f>
        <v/>
      </c>
      <c r="R83" s="66">
        <f>'Project Database'!V87</f>
        <v/>
      </c>
      <c r="S83" s="66">
        <f>'Project Database'!W87</f>
        <v/>
      </c>
      <c r="T83" s="66">
        <f>'Project Database'!X87</f>
        <v/>
      </c>
      <c r="U83" s="67">
        <f>'Project Database'!Y87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'Project Database'!Z87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IF(AND('Project Database'!A87&lt;&gt;"",OR('Smart Search'!$L$5="",'Smart Search'!$L$5="All",TRIM('Project Database'!D87)=TRIM('Smart Search'!$L$5)),OR(TRIM('Smart Search'!$L$6)="",TRIM('Smart Search'!$L$6)="All",ISNUMBER(SEARCH(SUBSTITUTE(SUBSTITUTE(SUBSTITUTE(TRIM('Smart Search'!$L$6),"~","~~"),"*","~*"),"?","~?"),'Project Database'!C87))),OR('Smart Search'!$L$7="",AND('Project Database'!E87&lt;&gt;"",'Project Database'!E87='Smart Search'!$L$7)),OR('Smart Search'!$L$8="",'Smart Search'!$L$8="All",TRIM('Project Database'!F87)=TRIM('Smart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IF('Project Database'!A87="","",N('Project Database'!AC87))</f>
        <v/>
      </c>
      <c r="BK83" s="5">
        <f>IF('Project Database'!A87="","",N('Project Database'!AD87))</f>
        <v/>
      </c>
      <c r="BL83" s="5">
        <f>IF('Project Database'!A87="","",N('Project Database'!AE87))</f>
        <v/>
      </c>
      <c r="BM83" s="5">
        <f>IF('Project Database'!A87="","",N('Project Database'!AF87))</f>
        <v/>
      </c>
      <c r="BN83" s="5">
        <f>IF('Project Database'!A87="","",N('Project Database'!AG87))</f>
        <v/>
      </c>
      <c r="BO83" s="5">
        <f>IF('Project Database'!A87="","",N('Project Database'!AH87))</f>
        <v/>
      </c>
      <c r="BP83" s="5">
        <f>IF('Project Database'!A87="","",N('Project Database'!AI87))</f>
        <v/>
      </c>
      <c r="BQ83" s="5">
        <f>IF('Project Database'!A87="","",N('Project Database'!AJ87))</f>
        <v/>
      </c>
      <c r="BR83" s="5">
        <f>IF('Project Database'!A87="","",N('Project Database'!AK87))</f>
        <v/>
      </c>
      <c r="BS83" s="5">
        <f>IF('Project Database'!A87="","",N('Project Database'!AL87))</f>
        <v/>
      </c>
      <c r="BT83" s="5">
        <f>IF('Project Database'!A87="","",N('Project Database'!AM87))</f>
        <v/>
      </c>
      <c r="BU83" s="5">
        <f>IF('Project Database'!A87="","",N('Project Database'!AN87))</f>
        <v/>
      </c>
      <c r="BV83" s="5">
        <f>IF('Project Database'!A87="","",N('Project Database'!AO87))</f>
        <v/>
      </c>
      <c r="BW83" s="5">
        <f>IF('Project Database'!A87="","",N('Project Database'!AP87))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</row>
    <row r="84" ht="15" customHeight="1" s="74">
      <c r="A84" s="66">
        <f>'Project Database'!A88</f>
        <v/>
      </c>
      <c r="B84" s="66">
        <f>'Project Database'!B88</f>
        <v/>
      </c>
      <c r="C84" s="66">
        <f>'Project Database'!G88</f>
        <v/>
      </c>
      <c r="D84" s="66">
        <f>'Project Database'!H88</f>
        <v/>
      </c>
      <c r="E84" s="66">
        <f>'Project Database'!I88</f>
        <v/>
      </c>
      <c r="F84" s="66">
        <f>'Project Database'!J88</f>
        <v/>
      </c>
      <c r="G84" s="66">
        <f>'Project Database'!K88</f>
        <v/>
      </c>
      <c r="H84" s="66">
        <f>'Project Database'!L88</f>
        <v/>
      </c>
      <c r="I84" s="66">
        <f>'Project Database'!M88</f>
        <v/>
      </c>
      <c r="J84" s="66">
        <f>'Project Database'!N88</f>
        <v/>
      </c>
      <c r="K84" s="66">
        <f>'Project Database'!O88</f>
        <v/>
      </c>
      <c r="L84" s="66">
        <f>'Project Database'!P88</f>
        <v/>
      </c>
      <c r="M84" s="66">
        <f>'Project Database'!Q88</f>
        <v/>
      </c>
      <c r="N84" s="66">
        <f>'Project Database'!R88</f>
        <v/>
      </c>
      <c r="O84" s="66">
        <f>'Project Database'!S88</f>
        <v/>
      </c>
      <c r="P84" s="66">
        <f>'Project Database'!T88</f>
        <v/>
      </c>
      <c r="Q84" s="66">
        <f>'Project Database'!U88</f>
        <v/>
      </c>
      <c r="R84" s="66">
        <f>'Project Database'!V88</f>
        <v/>
      </c>
      <c r="S84" s="66">
        <f>'Project Database'!W88</f>
        <v/>
      </c>
      <c r="T84" s="66">
        <f>'Project Database'!X88</f>
        <v/>
      </c>
      <c r="U84" s="67">
        <f>'Project Database'!Y88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'Project Database'!Z88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IF(AND('Project Database'!A88&lt;&gt;"",OR('Smart Search'!$L$5="",'Smart Search'!$L$5="All",TRIM('Project Database'!D88)=TRIM('Smart Search'!$L$5)),OR(TRIM('Smart Search'!$L$6)="",TRIM('Smart Search'!$L$6)="All",ISNUMBER(SEARCH(SUBSTITUTE(SUBSTITUTE(SUBSTITUTE(TRIM('Smart Search'!$L$6),"~","~~"),"*","~*"),"?","~?"),'Project Database'!C88))),OR('Smart Search'!$L$7="",AND('Project Database'!E88&lt;&gt;"",'Project Database'!E88='Smart Search'!$L$7)),OR('Smart Search'!$L$8="",'Smart Search'!$L$8="All",TRIM('Project Database'!F88)=TRIM('Smart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IF('Project Database'!A88="","",N('Project Database'!AC88))</f>
        <v/>
      </c>
      <c r="BK84" s="5">
        <f>IF('Project Database'!A88="","",N('Project Database'!AD88))</f>
        <v/>
      </c>
      <c r="BL84" s="5">
        <f>IF('Project Database'!A88="","",N('Project Database'!AE88))</f>
        <v/>
      </c>
      <c r="BM84" s="5">
        <f>IF('Project Database'!A88="","",N('Project Database'!AF88))</f>
        <v/>
      </c>
      <c r="BN84" s="5">
        <f>IF('Project Database'!A88="","",N('Project Database'!AG88))</f>
        <v/>
      </c>
      <c r="BO84" s="5">
        <f>IF('Project Database'!A88="","",N('Project Database'!AH88))</f>
        <v/>
      </c>
      <c r="BP84" s="5">
        <f>IF('Project Database'!A88="","",N('Project Database'!AI88))</f>
        <v/>
      </c>
      <c r="BQ84" s="5">
        <f>IF('Project Database'!A88="","",N('Project Database'!AJ88))</f>
        <v/>
      </c>
      <c r="BR84" s="5">
        <f>IF('Project Database'!A88="","",N('Project Database'!AK88))</f>
        <v/>
      </c>
      <c r="BS84" s="5">
        <f>IF('Project Database'!A88="","",N('Project Database'!AL88))</f>
        <v/>
      </c>
      <c r="BT84" s="5">
        <f>IF('Project Database'!A88="","",N('Project Database'!AM88))</f>
        <v/>
      </c>
      <c r="BU84" s="5">
        <f>IF('Project Database'!A88="","",N('Project Database'!AN88))</f>
        <v/>
      </c>
      <c r="BV84" s="5">
        <f>IF('Project Database'!A88="","",N('Project Database'!AO88))</f>
        <v/>
      </c>
      <c r="BW84" s="5">
        <f>IF('Project Database'!A88="","",N('Project Database'!AP88))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</row>
    <row r="85" ht="15" customHeight="1" s="74">
      <c r="A85" s="66">
        <f>'Project Database'!A89</f>
        <v/>
      </c>
      <c r="B85" s="66">
        <f>'Project Database'!B89</f>
        <v/>
      </c>
      <c r="C85" s="66">
        <f>'Project Database'!G89</f>
        <v/>
      </c>
      <c r="D85" s="66">
        <f>'Project Database'!H89</f>
        <v/>
      </c>
      <c r="E85" s="66">
        <f>'Project Database'!I89</f>
        <v/>
      </c>
      <c r="F85" s="66">
        <f>'Project Database'!J89</f>
        <v/>
      </c>
      <c r="G85" s="66">
        <f>'Project Database'!K89</f>
        <v/>
      </c>
      <c r="H85" s="66">
        <f>'Project Database'!L89</f>
        <v/>
      </c>
      <c r="I85" s="66">
        <f>'Project Database'!M89</f>
        <v/>
      </c>
      <c r="J85" s="66">
        <f>'Project Database'!N89</f>
        <v/>
      </c>
      <c r="K85" s="66">
        <f>'Project Database'!O89</f>
        <v/>
      </c>
      <c r="L85" s="66">
        <f>'Project Database'!P89</f>
        <v/>
      </c>
      <c r="M85" s="66">
        <f>'Project Database'!Q89</f>
        <v/>
      </c>
      <c r="N85" s="66">
        <f>'Project Database'!R89</f>
        <v/>
      </c>
      <c r="O85" s="66">
        <f>'Project Database'!S89</f>
        <v/>
      </c>
      <c r="P85" s="66">
        <f>'Project Database'!T89</f>
        <v/>
      </c>
      <c r="Q85" s="66">
        <f>'Project Database'!U89</f>
        <v/>
      </c>
      <c r="R85" s="66">
        <f>'Project Database'!V89</f>
        <v/>
      </c>
      <c r="S85" s="66">
        <f>'Project Database'!W89</f>
        <v/>
      </c>
      <c r="T85" s="66">
        <f>'Project Database'!X89</f>
        <v/>
      </c>
      <c r="U85" s="67">
        <f>'Project Database'!Y89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'Project Database'!Z89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IF(AND('Project Database'!A89&lt;&gt;"",OR('Smart Search'!$L$5="",'Smart Search'!$L$5="All",TRIM('Project Database'!D89)=TRIM('Smart Search'!$L$5)),OR(TRIM('Smart Search'!$L$6)="",TRIM('Smart Search'!$L$6)="All",ISNUMBER(SEARCH(SUBSTITUTE(SUBSTITUTE(SUBSTITUTE(TRIM('Smart Search'!$L$6),"~","~~"),"*","~*"),"?","~?"),'Project Database'!C89))),OR('Smart Search'!$L$7="",AND('Project Database'!E89&lt;&gt;"",'Project Database'!E89='Smart Search'!$L$7)),OR('Smart Search'!$L$8="",'Smart Search'!$L$8="All",TRIM('Project Database'!F89)=TRIM('Smart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IF('Project Database'!A89="","",N('Project Database'!AC89))</f>
        <v/>
      </c>
      <c r="BK85" s="5">
        <f>IF('Project Database'!A89="","",N('Project Database'!AD89))</f>
        <v/>
      </c>
      <c r="BL85" s="5">
        <f>IF('Project Database'!A89="","",N('Project Database'!AE89))</f>
        <v/>
      </c>
      <c r="BM85" s="5">
        <f>IF('Project Database'!A89="","",N('Project Database'!AF89))</f>
        <v/>
      </c>
      <c r="BN85" s="5">
        <f>IF('Project Database'!A89="","",N('Project Database'!AG89))</f>
        <v/>
      </c>
      <c r="BO85" s="5">
        <f>IF('Project Database'!A89="","",N('Project Database'!AH89))</f>
        <v/>
      </c>
      <c r="BP85" s="5">
        <f>IF('Project Database'!A89="","",N('Project Database'!AI89))</f>
        <v/>
      </c>
      <c r="BQ85" s="5">
        <f>IF('Project Database'!A89="","",N('Project Database'!AJ89))</f>
        <v/>
      </c>
      <c r="BR85" s="5">
        <f>IF('Project Database'!A89="","",N('Project Database'!AK89))</f>
        <v/>
      </c>
      <c r="BS85" s="5">
        <f>IF('Project Database'!A89="","",N('Project Database'!AL89))</f>
        <v/>
      </c>
      <c r="BT85" s="5">
        <f>IF('Project Database'!A89="","",N('Project Database'!AM89))</f>
        <v/>
      </c>
      <c r="BU85" s="5">
        <f>IF('Project Database'!A89="","",N('Project Database'!AN89))</f>
        <v/>
      </c>
      <c r="BV85" s="5">
        <f>IF('Project Database'!A89="","",N('Project Database'!AO89))</f>
        <v/>
      </c>
      <c r="BW85" s="5">
        <f>IF('Project Database'!A89="","",N('Project Database'!AP89))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</row>
    <row r="86" ht="15" customHeight="1" s="74">
      <c r="A86" s="66">
        <f>'Project Database'!A90</f>
        <v/>
      </c>
      <c r="B86" s="66">
        <f>'Project Database'!B90</f>
        <v/>
      </c>
      <c r="C86" s="66">
        <f>'Project Database'!G90</f>
        <v/>
      </c>
      <c r="D86" s="66">
        <f>'Project Database'!H90</f>
        <v/>
      </c>
      <c r="E86" s="66">
        <f>'Project Database'!I90</f>
        <v/>
      </c>
      <c r="F86" s="66">
        <f>'Project Database'!J90</f>
        <v/>
      </c>
      <c r="G86" s="66">
        <f>'Project Database'!K90</f>
        <v/>
      </c>
      <c r="H86" s="66">
        <f>'Project Database'!L90</f>
        <v/>
      </c>
      <c r="I86" s="66">
        <f>'Project Database'!M90</f>
        <v/>
      </c>
      <c r="J86" s="66">
        <f>'Project Database'!N90</f>
        <v/>
      </c>
      <c r="K86" s="66">
        <f>'Project Database'!O90</f>
        <v/>
      </c>
      <c r="L86" s="66">
        <f>'Project Database'!P90</f>
        <v/>
      </c>
      <c r="M86" s="66">
        <f>'Project Database'!Q90</f>
        <v/>
      </c>
      <c r="N86" s="66">
        <f>'Project Database'!R90</f>
        <v/>
      </c>
      <c r="O86" s="66">
        <f>'Project Database'!S90</f>
        <v/>
      </c>
      <c r="P86" s="66">
        <f>'Project Database'!T90</f>
        <v/>
      </c>
      <c r="Q86" s="66">
        <f>'Project Database'!U90</f>
        <v/>
      </c>
      <c r="R86" s="66">
        <f>'Project Database'!V90</f>
        <v/>
      </c>
      <c r="S86" s="66">
        <f>'Project Database'!W90</f>
        <v/>
      </c>
      <c r="T86" s="66">
        <f>'Project Database'!X90</f>
        <v/>
      </c>
      <c r="U86" s="67">
        <f>'Project Database'!Y90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'Project Database'!Z90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IF(AND('Project Database'!A90&lt;&gt;"",OR('Smart Search'!$L$5="",'Smart Search'!$L$5="All",TRIM('Project Database'!D90)=TRIM('Smart Search'!$L$5)),OR(TRIM('Smart Search'!$L$6)="",TRIM('Smart Search'!$L$6)="All",ISNUMBER(SEARCH(SUBSTITUTE(SUBSTITUTE(SUBSTITUTE(TRIM('Smart Search'!$L$6),"~","~~"),"*","~*"),"?","~?"),'Project Database'!C90))),OR('Smart Search'!$L$7="",AND('Project Database'!E90&lt;&gt;"",'Project Database'!E90='Smart Search'!$L$7)),OR('Smart Search'!$L$8="",'Smart Search'!$L$8="All",TRIM('Project Database'!F90)=TRIM('Smart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IF('Project Database'!A90="","",N('Project Database'!AC90))</f>
        <v/>
      </c>
      <c r="BK86" s="5">
        <f>IF('Project Database'!A90="","",N('Project Database'!AD90))</f>
        <v/>
      </c>
      <c r="BL86" s="5">
        <f>IF('Project Database'!A90="","",N('Project Database'!AE90))</f>
        <v/>
      </c>
      <c r="BM86" s="5">
        <f>IF('Project Database'!A90="","",N('Project Database'!AF90))</f>
        <v/>
      </c>
      <c r="BN86" s="5">
        <f>IF('Project Database'!A90="","",N('Project Database'!AG90))</f>
        <v/>
      </c>
      <c r="BO86" s="5">
        <f>IF('Project Database'!A90="","",N('Project Database'!AH90))</f>
        <v/>
      </c>
      <c r="BP86" s="5">
        <f>IF('Project Database'!A90="","",N('Project Database'!AI90))</f>
        <v/>
      </c>
      <c r="BQ86" s="5">
        <f>IF('Project Database'!A90="","",N('Project Database'!AJ90))</f>
        <v/>
      </c>
      <c r="BR86" s="5">
        <f>IF('Project Database'!A90="","",N('Project Database'!AK90))</f>
        <v/>
      </c>
      <c r="BS86" s="5">
        <f>IF('Project Database'!A90="","",N('Project Database'!AL90))</f>
        <v/>
      </c>
      <c r="BT86" s="5">
        <f>IF('Project Database'!A90="","",N('Project Database'!AM90))</f>
        <v/>
      </c>
      <c r="BU86" s="5">
        <f>IF('Project Database'!A90="","",N('Project Database'!AN90))</f>
        <v/>
      </c>
      <c r="BV86" s="5">
        <f>IF('Project Database'!A90="","",N('Project Database'!AO90))</f>
        <v/>
      </c>
      <c r="BW86" s="5">
        <f>IF('Project Database'!A90="","",N('Project Database'!AP90))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</row>
    <row r="87" ht="15" customHeight="1" s="74">
      <c r="A87" s="66">
        <f>'Project Database'!A91</f>
        <v/>
      </c>
      <c r="B87" s="66">
        <f>'Project Database'!B91</f>
        <v/>
      </c>
      <c r="C87" s="66">
        <f>'Project Database'!G91</f>
        <v/>
      </c>
      <c r="D87" s="66">
        <f>'Project Database'!H91</f>
        <v/>
      </c>
      <c r="E87" s="66">
        <f>'Project Database'!I91</f>
        <v/>
      </c>
      <c r="F87" s="66">
        <f>'Project Database'!J91</f>
        <v/>
      </c>
      <c r="G87" s="66">
        <f>'Project Database'!K91</f>
        <v/>
      </c>
      <c r="H87" s="66">
        <f>'Project Database'!L91</f>
        <v/>
      </c>
      <c r="I87" s="66">
        <f>'Project Database'!M91</f>
        <v/>
      </c>
      <c r="J87" s="66">
        <f>'Project Database'!N91</f>
        <v/>
      </c>
      <c r="K87" s="66">
        <f>'Project Database'!O91</f>
        <v/>
      </c>
      <c r="L87" s="66">
        <f>'Project Database'!P91</f>
        <v/>
      </c>
      <c r="M87" s="66">
        <f>'Project Database'!Q91</f>
        <v/>
      </c>
      <c r="N87" s="66">
        <f>'Project Database'!R91</f>
        <v/>
      </c>
      <c r="O87" s="66">
        <f>'Project Database'!S91</f>
        <v/>
      </c>
      <c r="P87" s="66">
        <f>'Project Database'!T91</f>
        <v/>
      </c>
      <c r="Q87" s="66">
        <f>'Project Database'!U91</f>
        <v/>
      </c>
      <c r="R87" s="66">
        <f>'Project Database'!V91</f>
        <v/>
      </c>
      <c r="S87" s="66">
        <f>'Project Database'!W91</f>
        <v/>
      </c>
      <c r="T87" s="66">
        <f>'Project Database'!X91</f>
        <v/>
      </c>
      <c r="U87" s="67">
        <f>'Project Database'!Y91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'Project Database'!Z91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IF(AND('Project Database'!A91&lt;&gt;"",OR('Smart Search'!$L$5="",'Smart Search'!$L$5="All",TRIM('Project Database'!D91)=TRIM('Smart Search'!$L$5)),OR(TRIM('Smart Search'!$L$6)="",TRIM('Smart Search'!$L$6)="All",ISNUMBER(SEARCH(SUBSTITUTE(SUBSTITUTE(SUBSTITUTE(TRIM('Smart Search'!$L$6),"~","~~"),"*","~*"),"?","~?"),'Project Database'!C91))),OR('Smart Search'!$L$7="",AND('Project Database'!E91&lt;&gt;"",'Project Database'!E91='Smart Search'!$L$7)),OR('Smart Search'!$L$8="",'Smart Search'!$L$8="All",TRIM('Project Database'!F91)=TRIM('Smart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IF('Project Database'!A91="","",N('Project Database'!AC91))</f>
        <v/>
      </c>
      <c r="BK87" s="5">
        <f>IF('Project Database'!A91="","",N('Project Database'!AD91))</f>
        <v/>
      </c>
      <c r="BL87" s="5">
        <f>IF('Project Database'!A91="","",N('Project Database'!AE91))</f>
        <v/>
      </c>
      <c r="BM87" s="5">
        <f>IF('Project Database'!A91="","",N('Project Database'!AF91))</f>
        <v/>
      </c>
      <c r="BN87" s="5">
        <f>IF('Project Database'!A91="","",N('Project Database'!AG91))</f>
        <v/>
      </c>
      <c r="BO87" s="5">
        <f>IF('Project Database'!A91="","",N('Project Database'!AH91))</f>
        <v/>
      </c>
      <c r="BP87" s="5">
        <f>IF('Project Database'!A91="","",N('Project Database'!AI91))</f>
        <v/>
      </c>
      <c r="BQ87" s="5">
        <f>IF('Project Database'!A91="","",N('Project Database'!AJ91))</f>
        <v/>
      </c>
      <c r="BR87" s="5">
        <f>IF('Project Database'!A91="","",N('Project Database'!AK91))</f>
        <v/>
      </c>
      <c r="BS87" s="5">
        <f>IF('Project Database'!A91="","",N('Project Database'!AL91))</f>
        <v/>
      </c>
      <c r="BT87" s="5">
        <f>IF('Project Database'!A91="","",N('Project Database'!AM91))</f>
        <v/>
      </c>
      <c r="BU87" s="5">
        <f>IF('Project Database'!A91="","",N('Project Database'!AN91))</f>
        <v/>
      </c>
      <c r="BV87" s="5">
        <f>IF('Project Database'!A91="","",N('Project Database'!AO91))</f>
        <v/>
      </c>
      <c r="BW87" s="5">
        <f>IF('Project Database'!A91="","",N('Project Database'!AP91))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</row>
    <row r="88" ht="15" customHeight="1" s="74">
      <c r="A88" s="66">
        <f>'Project Database'!A92</f>
        <v/>
      </c>
      <c r="B88" s="66">
        <f>'Project Database'!B92</f>
        <v/>
      </c>
      <c r="C88" s="66">
        <f>'Project Database'!G92</f>
        <v/>
      </c>
      <c r="D88" s="66">
        <f>'Project Database'!H92</f>
        <v/>
      </c>
      <c r="E88" s="66">
        <f>'Project Database'!I92</f>
        <v/>
      </c>
      <c r="F88" s="66">
        <f>'Project Database'!J92</f>
        <v/>
      </c>
      <c r="G88" s="66">
        <f>'Project Database'!K92</f>
        <v/>
      </c>
      <c r="H88" s="66">
        <f>'Project Database'!L92</f>
        <v/>
      </c>
      <c r="I88" s="66">
        <f>'Project Database'!M92</f>
        <v/>
      </c>
      <c r="J88" s="66">
        <f>'Project Database'!N92</f>
        <v/>
      </c>
      <c r="K88" s="66">
        <f>'Project Database'!O92</f>
        <v/>
      </c>
      <c r="L88" s="66">
        <f>'Project Database'!P92</f>
        <v/>
      </c>
      <c r="M88" s="66">
        <f>'Project Database'!Q92</f>
        <v/>
      </c>
      <c r="N88" s="66">
        <f>'Project Database'!R92</f>
        <v/>
      </c>
      <c r="O88" s="66">
        <f>'Project Database'!S92</f>
        <v/>
      </c>
      <c r="P88" s="66">
        <f>'Project Database'!T92</f>
        <v/>
      </c>
      <c r="Q88" s="66">
        <f>'Project Database'!U92</f>
        <v/>
      </c>
      <c r="R88" s="66">
        <f>'Project Database'!V92</f>
        <v/>
      </c>
      <c r="S88" s="66">
        <f>'Project Database'!W92</f>
        <v/>
      </c>
      <c r="T88" s="66">
        <f>'Project Database'!X92</f>
        <v/>
      </c>
      <c r="U88" s="67">
        <f>'Project Database'!Y92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'Project Database'!Z92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IF(AND('Project Database'!A92&lt;&gt;"",OR('Smart Search'!$L$5="",'Smart Search'!$L$5="All",TRIM('Project Database'!D92)=TRIM('Smart Search'!$L$5)),OR(TRIM('Smart Search'!$L$6)="",TRIM('Smart Search'!$L$6)="All",ISNUMBER(SEARCH(SUBSTITUTE(SUBSTITUTE(SUBSTITUTE(TRIM('Smart Search'!$L$6),"~","~~"),"*","~*"),"?","~?"),'Project Database'!C92))),OR('Smart Search'!$L$7="",AND('Project Database'!E92&lt;&gt;"",'Project Database'!E92='Smart Search'!$L$7)),OR('Smart Search'!$L$8="",'Smart Search'!$L$8="All",TRIM('Project Database'!F92)=TRIM('Smart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IF('Project Database'!A92="","",N('Project Database'!AC92))</f>
        <v/>
      </c>
      <c r="BK88" s="5">
        <f>IF('Project Database'!A92="","",N('Project Database'!AD92))</f>
        <v/>
      </c>
      <c r="BL88" s="5">
        <f>IF('Project Database'!A92="","",N('Project Database'!AE92))</f>
        <v/>
      </c>
      <c r="BM88" s="5">
        <f>IF('Project Database'!A92="","",N('Project Database'!AF92))</f>
        <v/>
      </c>
      <c r="BN88" s="5">
        <f>IF('Project Database'!A92="","",N('Project Database'!AG92))</f>
        <v/>
      </c>
      <c r="BO88" s="5">
        <f>IF('Project Database'!A92="","",N('Project Database'!AH92))</f>
        <v/>
      </c>
      <c r="BP88" s="5">
        <f>IF('Project Database'!A92="","",N('Project Database'!AI92))</f>
        <v/>
      </c>
      <c r="BQ88" s="5">
        <f>IF('Project Database'!A92="","",N('Project Database'!AJ92))</f>
        <v/>
      </c>
      <c r="BR88" s="5">
        <f>IF('Project Database'!A92="","",N('Project Database'!AK92))</f>
        <v/>
      </c>
      <c r="BS88" s="5">
        <f>IF('Project Database'!A92="","",N('Project Database'!AL92))</f>
        <v/>
      </c>
      <c r="BT88" s="5">
        <f>IF('Project Database'!A92="","",N('Project Database'!AM92))</f>
        <v/>
      </c>
      <c r="BU88" s="5">
        <f>IF('Project Database'!A92="","",N('Project Database'!AN92))</f>
        <v/>
      </c>
      <c r="BV88" s="5">
        <f>IF('Project Database'!A92="","",N('Project Database'!AO92))</f>
        <v/>
      </c>
      <c r="BW88" s="5">
        <f>IF('Project Database'!A92="","",N('Project Database'!AP92))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</row>
    <row r="89" ht="15" customHeight="1" s="74">
      <c r="A89" s="66">
        <f>'Project Database'!A93</f>
        <v/>
      </c>
      <c r="B89" s="66">
        <f>'Project Database'!B93</f>
        <v/>
      </c>
      <c r="C89" s="66">
        <f>'Project Database'!G93</f>
        <v/>
      </c>
      <c r="D89" s="66">
        <f>'Project Database'!H93</f>
        <v/>
      </c>
      <c r="E89" s="66">
        <f>'Project Database'!I93</f>
        <v/>
      </c>
      <c r="F89" s="66">
        <f>'Project Database'!J93</f>
        <v/>
      </c>
      <c r="G89" s="66">
        <f>'Project Database'!K93</f>
        <v/>
      </c>
      <c r="H89" s="66">
        <f>'Project Database'!L93</f>
        <v/>
      </c>
      <c r="I89" s="66">
        <f>'Project Database'!M93</f>
        <v/>
      </c>
      <c r="J89" s="66">
        <f>'Project Database'!N93</f>
        <v/>
      </c>
      <c r="K89" s="66">
        <f>'Project Database'!O93</f>
        <v/>
      </c>
      <c r="L89" s="66">
        <f>'Project Database'!P93</f>
        <v/>
      </c>
      <c r="M89" s="66">
        <f>'Project Database'!Q93</f>
        <v/>
      </c>
      <c r="N89" s="66">
        <f>'Project Database'!R93</f>
        <v/>
      </c>
      <c r="O89" s="66">
        <f>'Project Database'!S93</f>
        <v/>
      </c>
      <c r="P89" s="66">
        <f>'Project Database'!T93</f>
        <v/>
      </c>
      <c r="Q89" s="66">
        <f>'Project Database'!U93</f>
        <v/>
      </c>
      <c r="R89" s="66">
        <f>'Project Database'!V93</f>
        <v/>
      </c>
      <c r="S89" s="66">
        <f>'Project Database'!W93</f>
        <v/>
      </c>
      <c r="T89" s="66">
        <f>'Project Database'!X93</f>
        <v/>
      </c>
      <c r="U89" s="67">
        <f>'Project Database'!Y93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'Project Database'!Z93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IF(AND('Project Database'!A93&lt;&gt;"",OR('Smart Search'!$L$5="",'Smart Search'!$L$5="All",TRIM('Project Database'!D93)=TRIM('Smart Search'!$L$5)),OR(TRIM('Smart Search'!$L$6)="",TRIM('Smart Search'!$L$6)="All",ISNUMBER(SEARCH(SUBSTITUTE(SUBSTITUTE(SUBSTITUTE(TRIM('Smart Search'!$L$6),"~","~~"),"*","~*"),"?","~?"),'Project Database'!C93))),OR('Smart Search'!$L$7="",AND('Project Database'!E93&lt;&gt;"",'Project Database'!E93='Smart Search'!$L$7)),OR('Smart Search'!$L$8="",'Smart Search'!$L$8="All",TRIM('Project Database'!F93)=TRIM('Smart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IF('Project Database'!A93="","",N('Project Database'!AC93))</f>
        <v/>
      </c>
      <c r="BK89" s="5">
        <f>IF('Project Database'!A93="","",N('Project Database'!AD93))</f>
        <v/>
      </c>
      <c r="BL89" s="5">
        <f>IF('Project Database'!A93="","",N('Project Database'!AE93))</f>
        <v/>
      </c>
      <c r="BM89" s="5">
        <f>IF('Project Database'!A93="","",N('Project Database'!AF93))</f>
        <v/>
      </c>
      <c r="BN89" s="5">
        <f>IF('Project Database'!A93="","",N('Project Database'!AG93))</f>
        <v/>
      </c>
      <c r="BO89" s="5">
        <f>IF('Project Database'!A93="","",N('Project Database'!AH93))</f>
        <v/>
      </c>
      <c r="BP89" s="5">
        <f>IF('Project Database'!A93="","",N('Project Database'!AI93))</f>
        <v/>
      </c>
      <c r="BQ89" s="5">
        <f>IF('Project Database'!A93="","",N('Project Database'!AJ93))</f>
        <v/>
      </c>
      <c r="BR89" s="5">
        <f>IF('Project Database'!A93="","",N('Project Database'!AK93))</f>
        <v/>
      </c>
      <c r="BS89" s="5">
        <f>IF('Project Database'!A93="","",N('Project Database'!AL93))</f>
        <v/>
      </c>
      <c r="BT89" s="5">
        <f>IF('Project Database'!A93="","",N('Project Database'!AM93))</f>
        <v/>
      </c>
      <c r="BU89" s="5">
        <f>IF('Project Database'!A93="","",N('Project Database'!AN93))</f>
        <v/>
      </c>
      <c r="BV89" s="5">
        <f>IF('Project Database'!A93="","",N('Project Database'!AO93))</f>
        <v/>
      </c>
      <c r="BW89" s="5">
        <f>IF('Project Database'!A93="","",N('Project Database'!AP93))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</row>
    <row r="90" ht="15" customHeight="1" s="74">
      <c r="A90" s="66">
        <f>'Project Database'!A94</f>
        <v/>
      </c>
      <c r="B90" s="66">
        <f>'Project Database'!B94</f>
        <v/>
      </c>
      <c r="C90" s="66">
        <f>'Project Database'!G94</f>
        <v/>
      </c>
      <c r="D90" s="66">
        <f>'Project Database'!H94</f>
        <v/>
      </c>
      <c r="E90" s="66">
        <f>'Project Database'!I94</f>
        <v/>
      </c>
      <c r="F90" s="66">
        <f>'Project Database'!J94</f>
        <v/>
      </c>
      <c r="G90" s="66">
        <f>'Project Database'!K94</f>
        <v/>
      </c>
      <c r="H90" s="66">
        <f>'Project Database'!L94</f>
        <v/>
      </c>
      <c r="I90" s="66">
        <f>'Project Database'!M94</f>
        <v/>
      </c>
      <c r="J90" s="66">
        <f>'Project Database'!N94</f>
        <v/>
      </c>
      <c r="K90" s="66">
        <f>'Project Database'!O94</f>
        <v/>
      </c>
      <c r="L90" s="66">
        <f>'Project Database'!P94</f>
        <v/>
      </c>
      <c r="M90" s="66">
        <f>'Project Database'!Q94</f>
        <v/>
      </c>
      <c r="N90" s="66">
        <f>'Project Database'!R94</f>
        <v/>
      </c>
      <c r="O90" s="66">
        <f>'Project Database'!S94</f>
        <v/>
      </c>
      <c r="P90" s="66">
        <f>'Project Database'!T94</f>
        <v/>
      </c>
      <c r="Q90" s="66">
        <f>'Project Database'!U94</f>
        <v/>
      </c>
      <c r="R90" s="66">
        <f>'Project Database'!V94</f>
        <v/>
      </c>
      <c r="S90" s="66">
        <f>'Project Database'!W94</f>
        <v/>
      </c>
      <c r="T90" s="66">
        <f>'Project Database'!X94</f>
        <v/>
      </c>
      <c r="U90" s="67">
        <f>'Project Database'!Y94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'Project Database'!Z94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IF(AND('Project Database'!A94&lt;&gt;"",OR('Smart Search'!$L$5="",'Smart Search'!$L$5="All",TRIM('Project Database'!D94)=TRIM('Smart Search'!$L$5)),OR(TRIM('Smart Search'!$L$6)="",TRIM('Smart Search'!$L$6)="All",ISNUMBER(SEARCH(SUBSTITUTE(SUBSTITUTE(SUBSTITUTE(TRIM('Smart Search'!$L$6),"~","~~"),"*","~*"),"?","~?"),'Project Database'!C94))),OR('Smart Search'!$L$7="",AND('Project Database'!E94&lt;&gt;"",'Project Database'!E94='Smart Search'!$L$7)),OR('Smart Search'!$L$8="",'Smart Search'!$L$8="All",TRIM('Project Database'!F94)=TRIM('Smart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IF('Project Database'!A94="","",N('Project Database'!AC94))</f>
        <v/>
      </c>
      <c r="BK90" s="5">
        <f>IF('Project Database'!A94="","",N('Project Database'!AD94))</f>
        <v/>
      </c>
      <c r="BL90" s="5">
        <f>IF('Project Database'!A94="","",N('Project Database'!AE94))</f>
        <v/>
      </c>
      <c r="BM90" s="5">
        <f>IF('Project Database'!A94="","",N('Project Database'!AF94))</f>
        <v/>
      </c>
      <c r="BN90" s="5">
        <f>IF('Project Database'!A94="","",N('Project Database'!AG94))</f>
        <v/>
      </c>
      <c r="BO90" s="5">
        <f>IF('Project Database'!A94="","",N('Project Database'!AH94))</f>
        <v/>
      </c>
      <c r="BP90" s="5">
        <f>IF('Project Database'!A94="","",N('Project Database'!AI94))</f>
        <v/>
      </c>
      <c r="BQ90" s="5">
        <f>IF('Project Database'!A94="","",N('Project Database'!AJ94))</f>
        <v/>
      </c>
      <c r="BR90" s="5">
        <f>IF('Project Database'!A94="","",N('Project Database'!AK94))</f>
        <v/>
      </c>
      <c r="BS90" s="5">
        <f>IF('Project Database'!A94="","",N('Project Database'!AL94))</f>
        <v/>
      </c>
      <c r="BT90" s="5">
        <f>IF('Project Database'!A94="","",N('Project Database'!AM94))</f>
        <v/>
      </c>
      <c r="BU90" s="5">
        <f>IF('Project Database'!A94="","",N('Project Database'!AN94))</f>
        <v/>
      </c>
      <c r="BV90" s="5">
        <f>IF('Project Database'!A94="","",N('Project Database'!AO94))</f>
        <v/>
      </c>
      <c r="BW90" s="5">
        <f>IF('Project Database'!A94="","",N('Project Database'!AP94))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</row>
    <row r="91" ht="15" customHeight="1" s="74">
      <c r="A91" s="66">
        <f>'Project Database'!A95</f>
        <v/>
      </c>
      <c r="B91" s="66">
        <f>'Project Database'!B95</f>
        <v/>
      </c>
      <c r="C91" s="66">
        <f>'Project Database'!G95</f>
        <v/>
      </c>
      <c r="D91" s="66">
        <f>'Project Database'!H95</f>
        <v/>
      </c>
      <c r="E91" s="66">
        <f>'Project Database'!I95</f>
        <v/>
      </c>
      <c r="F91" s="66">
        <f>'Project Database'!J95</f>
        <v/>
      </c>
      <c r="G91" s="66">
        <f>'Project Database'!K95</f>
        <v/>
      </c>
      <c r="H91" s="66">
        <f>'Project Database'!L95</f>
        <v/>
      </c>
      <c r="I91" s="66">
        <f>'Project Database'!M95</f>
        <v/>
      </c>
      <c r="J91" s="66">
        <f>'Project Database'!N95</f>
        <v/>
      </c>
      <c r="K91" s="66">
        <f>'Project Database'!O95</f>
        <v/>
      </c>
      <c r="L91" s="66">
        <f>'Project Database'!P95</f>
        <v/>
      </c>
      <c r="M91" s="66">
        <f>'Project Database'!Q95</f>
        <v/>
      </c>
      <c r="N91" s="66">
        <f>'Project Database'!R95</f>
        <v/>
      </c>
      <c r="O91" s="66">
        <f>'Project Database'!S95</f>
        <v/>
      </c>
      <c r="P91" s="66">
        <f>'Project Database'!T95</f>
        <v/>
      </c>
      <c r="Q91" s="66">
        <f>'Project Database'!U95</f>
        <v/>
      </c>
      <c r="R91" s="66">
        <f>'Project Database'!V95</f>
        <v/>
      </c>
      <c r="S91" s="66">
        <f>'Project Database'!W95</f>
        <v/>
      </c>
      <c r="T91" s="66">
        <f>'Project Database'!X95</f>
        <v/>
      </c>
      <c r="U91" s="67">
        <f>'Project Database'!Y95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'Project Database'!Z95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IF(AND('Project Database'!A95&lt;&gt;"",OR('Smart Search'!$L$5="",'Smart Search'!$L$5="All",TRIM('Project Database'!D95)=TRIM('Smart Search'!$L$5)),OR(TRIM('Smart Search'!$L$6)="",TRIM('Smart Search'!$L$6)="All",ISNUMBER(SEARCH(SUBSTITUTE(SUBSTITUTE(SUBSTITUTE(TRIM('Smart Search'!$L$6),"~","~~"),"*","~*"),"?","~?"),'Project Database'!C95))),OR('Smart Search'!$L$7="",AND('Project Database'!E95&lt;&gt;"",'Project Database'!E95='Smart Search'!$L$7)),OR('Smart Search'!$L$8="",'Smart Search'!$L$8="All",TRIM('Project Database'!F95)=TRIM('Smart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IF('Project Database'!A95="","",N('Project Database'!AC95))</f>
        <v/>
      </c>
      <c r="BK91" s="5">
        <f>IF('Project Database'!A95="","",N('Project Database'!AD95))</f>
        <v/>
      </c>
      <c r="BL91" s="5">
        <f>IF('Project Database'!A95="","",N('Project Database'!AE95))</f>
        <v/>
      </c>
      <c r="BM91" s="5">
        <f>IF('Project Database'!A95="","",N('Project Database'!AF95))</f>
        <v/>
      </c>
      <c r="BN91" s="5">
        <f>IF('Project Database'!A95="","",N('Project Database'!AG95))</f>
        <v/>
      </c>
      <c r="BO91" s="5">
        <f>IF('Project Database'!A95="","",N('Project Database'!AH95))</f>
        <v/>
      </c>
      <c r="BP91" s="5">
        <f>IF('Project Database'!A95="","",N('Project Database'!AI95))</f>
        <v/>
      </c>
      <c r="BQ91" s="5">
        <f>IF('Project Database'!A95="","",N('Project Database'!AJ95))</f>
        <v/>
      </c>
      <c r="BR91" s="5">
        <f>IF('Project Database'!A95="","",N('Project Database'!AK95))</f>
        <v/>
      </c>
      <c r="BS91" s="5">
        <f>IF('Project Database'!A95="","",N('Project Database'!AL95))</f>
        <v/>
      </c>
      <c r="BT91" s="5">
        <f>IF('Project Database'!A95="","",N('Project Database'!AM95))</f>
        <v/>
      </c>
      <c r="BU91" s="5">
        <f>IF('Project Database'!A95="","",N('Project Database'!AN95))</f>
        <v/>
      </c>
      <c r="BV91" s="5">
        <f>IF('Project Database'!A95="","",N('Project Database'!AO95))</f>
        <v/>
      </c>
      <c r="BW91" s="5">
        <f>IF('Project Database'!A95="","",N('Project Database'!AP95))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</row>
    <row r="92" ht="15" customHeight="1" s="74">
      <c r="A92" s="66">
        <f>'Project Database'!A96</f>
        <v/>
      </c>
      <c r="B92" s="66">
        <f>'Project Database'!B96</f>
        <v/>
      </c>
      <c r="C92" s="66">
        <f>'Project Database'!G96</f>
        <v/>
      </c>
      <c r="D92" s="66">
        <f>'Project Database'!H96</f>
        <v/>
      </c>
      <c r="E92" s="66">
        <f>'Project Database'!I96</f>
        <v/>
      </c>
      <c r="F92" s="66">
        <f>'Project Database'!J96</f>
        <v/>
      </c>
      <c r="G92" s="66">
        <f>'Project Database'!K96</f>
        <v/>
      </c>
      <c r="H92" s="66">
        <f>'Project Database'!L96</f>
        <v/>
      </c>
      <c r="I92" s="66">
        <f>'Project Database'!M96</f>
        <v/>
      </c>
      <c r="J92" s="66">
        <f>'Project Database'!N96</f>
        <v/>
      </c>
      <c r="K92" s="66">
        <f>'Project Database'!O96</f>
        <v/>
      </c>
      <c r="L92" s="66">
        <f>'Project Database'!P96</f>
        <v/>
      </c>
      <c r="M92" s="66">
        <f>'Project Database'!Q96</f>
        <v/>
      </c>
      <c r="N92" s="66">
        <f>'Project Database'!R96</f>
        <v/>
      </c>
      <c r="O92" s="66">
        <f>'Project Database'!S96</f>
        <v/>
      </c>
      <c r="P92" s="66">
        <f>'Project Database'!T96</f>
        <v/>
      </c>
      <c r="Q92" s="66">
        <f>'Project Database'!U96</f>
        <v/>
      </c>
      <c r="R92" s="66">
        <f>'Project Database'!V96</f>
        <v/>
      </c>
      <c r="S92" s="66">
        <f>'Project Database'!W96</f>
        <v/>
      </c>
      <c r="T92" s="66">
        <f>'Project Database'!X96</f>
        <v/>
      </c>
      <c r="U92" s="67">
        <f>'Project Database'!Y96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'Project Database'!Z96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IF(AND('Project Database'!A96&lt;&gt;"",OR('Smart Search'!$L$5="",'Smart Search'!$L$5="All",TRIM('Project Database'!D96)=TRIM('Smart Search'!$L$5)),OR(TRIM('Smart Search'!$L$6)="",TRIM('Smart Search'!$L$6)="All",ISNUMBER(SEARCH(SUBSTITUTE(SUBSTITUTE(SUBSTITUTE(TRIM('Smart Search'!$L$6),"~","~~"),"*","~*"),"?","~?"),'Project Database'!C96))),OR('Smart Search'!$L$7="",AND('Project Database'!E96&lt;&gt;"",'Project Database'!E96='Smart Search'!$L$7)),OR('Smart Search'!$L$8="",'Smart Search'!$L$8="All",TRIM('Project Database'!F96)=TRIM('Smart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IF('Project Database'!A96="","",N('Project Database'!AC96))</f>
        <v/>
      </c>
      <c r="BK92" s="5">
        <f>IF('Project Database'!A96="","",N('Project Database'!AD96))</f>
        <v/>
      </c>
      <c r="BL92" s="5">
        <f>IF('Project Database'!A96="","",N('Project Database'!AE96))</f>
        <v/>
      </c>
      <c r="BM92" s="5">
        <f>IF('Project Database'!A96="","",N('Project Database'!AF96))</f>
        <v/>
      </c>
      <c r="BN92" s="5">
        <f>IF('Project Database'!A96="","",N('Project Database'!AG96))</f>
        <v/>
      </c>
      <c r="BO92" s="5">
        <f>IF('Project Database'!A96="","",N('Project Database'!AH96))</f>
        <v/>
      </c>
      <c r="BP92" s="5">
        <f>IF('Project Database'!A96="","",N('Project Database'!AI96))</f>
        <v/>
      </c>
      <c r="BQ92" s="5">
        <f>IF('Project Database'!A96="","",N('Project Database'!AJ96))</f>
        <v/>
      </c>
      <c r="BR92" s="5">
        <f>IF('Project Database'!A96="","",N('Project Database'!AK96))</f>
        <v/>
      </c>
      <c r="BS92" s="5">
        <f>IF('Project Database'!A96="","",N('Project Database'!AL96))</f>
        <v/>
      </c>
      <c r="BT92" s="5">
        <f>IF('Project Database'!A96="","",N('Project Database'!AM96))</f>
        <v/>
      </c>
      <c r="BU92" s="5">
        <f>IF('Project Database'!A96="","",N('Project Database'!AN96))</f>
        <v/>
      </c>
      <c r="BV92" s="5">
        <f>IF('Project Database'!A96="","",N('Project Database'!AO96))</f>
        <v/>
      </c>
      <c r="BW92" s="5">
        <f>IF('Project Database'!A96="","",N('Project Database'!AP96))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</row>
    <row r="93" ht="15" customHeight="1" s="74">
      <c r="A93" s="66">
        <f>'Project Database'!A97</f>
        <v/>
      </c>
      <c r="B93" s="66">
        <f>'Project Database'!B97</f>
        <v/>
      </c>
      <c r="C93" s="66">
        <f>'Project Database'!G97</f>
        <v/>
      </c>
      <c r="D93" s="66">
        <f>'Project Database'!H97</f>
        <v/>
      </c>
      <c r="E93" s="66">
        <f>'Project Database'!I97</f>
        <v/>
      </c>
      <c r="F93" s="66">
        <f>'Project Database'!J97</f>
        <v/>
      </c>
      <c r="G93" s="66">
        <f>'Project Database'!K97</f>
        <v/>
      </c>
      <c r="H93" s="66">
        <f>'Project Database'!L97</f>
        <v/>
      </c>
      <c r="I93" s="66">
        <f>'Project Database'!M97</f>
        <v/>
      </c>
      <c r="J93" s="66">
        <f>'Project Database'!N97</f>
        <v/>
      </c>
      <c r="K93" s="66">
        <f>'Project Database'!O97</f>
        <v/>
      </c>
      <c r="L93" s="66">
        <f>'Project Database'!P97</f>
        <v/>
      </c>
      <c r="M93" s="66">
        <f>'Project Database'!Q97</f>
        <v/>
      </c>
      <c r="N93" s="66">
        <f>'Project Database'!R97</f>
        <v/>
      </c>
      <c r="O93" s="66">
        <f>'Project Database'!S97</f>
        <v/>
      </c>
      <c r="P93" s="66">
        <f>'Project Database'!T97</f>
        <v/>
      </c>
      <c r="Q93" s="66">
        <f>'Project Database'!U97</f>
        <v/>
      </c>
      <c r="R93" s="66">
        <f>'Project Database'!V97</f>
        <v/>
      </c>
      <c r="S93" s="66">
        <f>'Project Database'!W97</f>
        <v/>
      </c>
      <c r="T93" s="66">
        <f>'Project Database'!X97</f>
        <v/>
      </c>
      <c r="U93" s="67">
        <f>'Project Database'!Y97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'Project Database'!Z97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IF(AND('Project Database'!A97&lt;&gt;"",OR('Smart Search'!$L$5="",'Smart Search'!$L$5="All",TRIM('Project Database'!D97)=TRIM('Smart Search'!$L$5)),OR(TRIM('Smart Search'!$L$6)="",TRIM('Smart Search'!$L$6)="All",ISNUMBER(SEARCH(SUBSTITUTE(SUBSTITUTE(SUBSTITUTE(TRIM('Smart Search'!$L$6),"~","~~"),"*","~*"),"?","~?"),'Project Database'!C97))),OR('Smart Search'!$L$7="",AND('Project Database'!E97&lt;&gt;"",'Project Database'!E97='Smart Search'!$L$7)),OR('Smart Search'!$L$8="",'Smart Search'!$L$8="All",TRIM('Project Database'!F97)=TRIM('Smart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IF('Project Database'!A97="","",N('Project Database'!AC97))</f>
        <v/>
      </c>
      <c r="BK93" s="5">
        <f>IF('Project Database'!A97="","",N('Project Database'!AD97))</f>
        <v/>
      </c>
      <c r="BL93" s="5">
        <f>IF('Project Database'!A97="","",N('Project Database'!AE97))</f>
        <v/>
      </c>
      <c r="BM93" s="5">
        <f>IF('Project Database'!A97="","",N('Project Database'!AF97))</f>
        <v/>
      </c>
      <c r="BN93" s="5">
        <f>IF('Project Database'!A97="","",N('Project Database'!AG97))</f>
        <v/>
      </c>
      <c r="BO93" s="5">
        <f>IF('Project Database'!A97="","",N('Project Database'!AH97))</f>
        <v/>
      </c>
      <c r="BP93" s="5">
        <f>IF('Project Database'!A97="","",N('Project Database'!AI97))</f>
        <v/>
      </c>
      <c r="BQ93" s="5">
        <f>IF('Project Database'!A97="","",N('Project Database'!AJ97))</f>
        <v/>
      </c>
      <c r="BR93" s="5">
        <f>IF('Project Database'!A97="","",N('Project Database'!AK97))</f>
        <v/>
      </c>
      <c r="BS93" s="5">
        <f>IF('Project Database'!A97="","",N('Project Database'!AL97))</f>
        <v/>
      </c>
      <c r="BT93" s="5">
        <f>IF('Project Database'!A97="","",N('Project Database'!AM97))</f>
        <v/>
      </c>
      <c r="BU93" s="5">
        <f>IF('Project Database'!A97="","",N('Project Database'!AN97))</f>
        <v/>
      </c>
      <c r="BV93" s="5">
        <f>IF('Project Database'!A97="","",N('Project Database'!AO97))</f>
        <v/>
      </c>
      <c r="BW93" s="5">
        <f>IF('Project Database'!A97="","",N('Project Database'!AP97))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</row>
    <row r="94" ht="15" customHeight="1" s="74">
      <c r="A94" s="66">
        <f>'Project Database'!A98</f>
        <v/>
      </c>
      <c r="B94" s="66">
        <f>'Project Database'!B98</f>
        <v/>
      </c>
      <c r="C94" s="66">
        <f>'Project Database'!G98</f>
        <v/>
      </c>
      <c r="D94" s="66">
        <f>'Project Database'!H98</f>
        <v/>
      </c>
      <c r="E94" s="66">
        <f>'Project Database'!I98</f>
        <v/>
      </c>
      <c r="F94" s="66">
        <f>'Project Database'!J98</f>
        <v/>
      </c>
      <c r="G94" s="66">
        <f>'Project Database'!K98</f>
        <v/>
      </c>
      <c r="H94" s="66">
        <f>'Project Database'!L98</f>
        <v/>
      </c>
      <c r="I94" s="66">
        <f>'Project Database'!M98</f>
        <v/>
      </c>
      <c r="J94" s="66">
        <f>'Project Database'!N98</f>
        <v/>
      </c>
      <c r="K94" s="66">
        <f>'Project Database'!O98</f>
        <v/>
      </c>
      <c r="L94" s="66">
        <f>'Project Database'!P98</f>
        <v/>
      </c>
      <c r="M94" s="66">
        <f>'Project Database'!Q98</f>
        <v/>
      </c>
      <c r="N94" s="66">
        <f>'Project Database'!R98</f>
        <v/>
      </c>
      <c r="O94" s="66">
        <f>'Project Database'!S98</f>
        <v/>
      </c>
      <c r="P94" s="66">
        <f>'Project Database'!T98</f>
        <v/>
      </c>
      <c r="Q94" s="66">
        <f>'Project Database'!U98</f>
        <v/>
      </c>
      <c r="R94" s="66">
        <f>'Project Database'!V98</f>
        <v/>
      </c>
      <c r="S94" s="66">
        <f>'Project Database'!W98</f>
        <v/>
      </c>
      <c r="T94" s="66">
        <f>'Project Database'!X98</f>
        <v/>
      </c>
      <c r="U94" s="67">
        <f>'Project Database'!Y98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'Project Database'!Z98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IF(AND('Project Database'!A98&lt;&gt;"",OR('Smart Search'!$L$5="",'Smart Search'!$L$5="All",TRIM('Project Database'!D98)=TRIM('Smart Search'!$L$5)),OR(TRIM('Smart Search'!$L$6)="",TRIM('Smart Search'!$L$6)="All",ISNUMBER(SEARCH(SUBSTITUTE(SUBSTITUTE(SUBSTITUTE(TRIM('Smart Search'!$L$6),"~","~~"),"*","~*"),"?","~?"),'Project Database'!C98))),OR('Smart Search'!$L$7="",AND('Project Database'!E98&lt;&gt;"",'Project Database'!E98='Smart Search'!$L$7)),OR('Smart Search'!$L$8="",'Smart Search'!$L$8="All",TRIM('Project Database'!F98)=TRIM('Smart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IF('Project Database'!A98="","",N('Project Database'!AC98))</f>
        <v/>
      </c>
      <c r="BK94" s="5">
        <f>IF('Project Database'!A98="","",N('Project Database'!AD98))</f>
        <v/>
      </c>
      <c r="BL94" s="5">
        <f>IF('Project Database'!A98="","",N('Project Database'!AE98))</f>
        <v/>
      </c>
      <c r="BM94" s="5">
        <f>IF('Project Database'!A98="","",N('Project Database'!AF98))</f>
        <v/>
      </c>
      <c r="BN94" s="5">
        <f>IF('Project Database'!A98="","",N('Project Database'!AG98))</f>
        <v/>
      </c>
      <c r="BO94" s="5">
        <f>IF('Project Database'!A98="","",N('Project Database'!AH98))</f>
        <v/>
      </c>
      <c r="BP94" s="5">
        <f>IF('Project Database'!A98="","",N('Project Database'!AI98))</f>
        <v/>
      </c>
      <c r="BQ94" s="5">
        <f>IF('Project Database'!A98="","",N('Project Database'!AJ98))</f>
        <v/>
      </c>
      <c r="BR94" s="5">
        <f>IF('Project Database'!A98="","",N('Project Database'!AK98))</f>
        <v/>
      </c>
      <c r="BS94" s="5">
        <f>IF('Project Database'!A98="","",N('Project Database'!AL98))</f>
        <v/>
      </c>
      <c r="BT94" s="5">
        <f>IF('Project Database'!A98="","",N('Project Database'!AM98))</f>
        <v/>
      </c>
      <c r="BU94" s="5">
        <f>IF('Project Database'!A98="","",N('Project Database'!AN98))</f>
        <v/>
      </c>
      <c r="BV94" s="5">
        <f>IF('Project Database'!A98="","",N('Project Database'!AO98))</f>
        <v/>
      </c>
      <c r="BW94" s="5">
        <f>IF('Project Database'!A98="","",N('Project Database'!AP98))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</row>
    <row r="95" ht="15" customHeight="1" s="74">
      <c r="A95" s="66">
        <f>'Project Database'!A99</f>
        <v/>
      </c>
      <c r="B95" s="66">
        <f>'Project Database'!B99</f>
        <v/>
      </c>
      <c r="C95" s="66">
        <f>'Project Database'!G99</f>
        <v/>
      </c>
      <c r="D95" s="66">
        <f>'Project Database'!H99</f>
        <v/>
      </c>
      <c r="E95" s="66">
        <f>'Project Database'!I99</f>
        <v/>
      </c>
      <c r="F95" s="66">
        <f>'Project Database'!J99</f>
        <v/>
      </c>
      <c r="G95" s="66">
        <f>'Project Database'!K99</f>
        <v/>
      </c>
      <c r="H95" s="66">
        <f>'Project Database'!L99</f>
        <v/>
      </c>
      <c r="I95" s="66">
        <f>'Project Database'!M99</f>
        <v/>
      </c>
      <c r="J95" s="66">
        <f>'Project Database'!N99</f>
        <v/>
      </c>
      <c r="K95" s="66">
        <f>'Project Database'!O99</f>
        <v/>
      </c>
      <c r="L95" s="66">
        <f>'Project Database'!P99</f>
        <v/>
      </c>
      <c r="M95" s="66">
        <f>'Project Database'!Q99</f>
        <v/>
      </c>
      <c r="N95" s="66">
        <f>'Project Database'!R99</f>
        <v/>
      </c>
      <c r="O95" s="66">
        <f>'Project Database'!S99</f>
        <v/>
      </c>
      <c r="P95" s="66">
        <f>'Project Database'!T99</f>
        <v/>
      </c>
      <c r="Q95" s="66">
        <f>'Project Database'!U99</f>
        <v/>
      </c>
      <c r="R95" s="66">
        <f>'Project Database'!V99</f>
        <v/>
      </c>
      <c r="S95" s="66">
        <f>'Project Database'!W99</f>
        <v/>
      </c>
      <c r="T95" s="66">
        <f>'Project Database'!X99</f>
        <v/>
      </c>
      <c r="U95" s="67">
        <f>'Project Database'!Y99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'Project Database'!Z99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IF(AND('Project Database'!A99&lt;&gt;"",OR('Smart Search'!$L$5="",'Smart Search'!$L$5="All",TRIM('Project Database'!D99)=TRIM('Smart Search'!$L$5)),OR(TRIM('Smart Search'!$L$6)="",TRIM('Smart Search'!$L$6)="All",ISNUMBER(SEARCH(SUBSTITUTE(SUBSTITUTE(SUBSTITUTE(TRIM('Smart Search'!$L$6),"~","~~"),"*","~*"),"?","~?"),'Project Database'!C99))),OR('Smart Search'!$L$7="",AND('Project Database'!E99&lt;&gt;"",'Project Database'!E99='Smart Search'!$L$7)),OR('Smart Search'!$L$8="",'Smart Search'!$L$8="All",TRIM('Project Database'!F99)=TRIM('Smart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IF('Project Database'!A99="","",N('Project Database'!AC99))</f>
        <v/>
      </c>
      <c r="BK95" s="5">
        <f>IF('Project Database'!A99="","",N('Project Database'!AD99))</f>
        <v/>
      </c>
      <c r="BL95" s="5">
        <f>IF('Project Database'!A99="","",N('Project Database'!AE99))</f>
        <v/>
      </c>
      <c r="BM95" s="5">
        <f>IF('Project Database'!A99="","",N('Project Database'!AF99))</f>
        <v/>
      </c>
      <c r="BN95" s="5">
        <f>IF('Project Database'!A99="","",N('Project Database'!AG99))</f>
        <v/>
      </c>
      <c r="BO95" s="5">
        <f>IF('Project Database'!A99="","",N('Project Database'!AH99))</f>
        <v/>
      </c>
      <c r="BP95" s="5">
        <f>IF('Project Database'!A99="","",N('Project Database'!AI99))</f>
        <v/>
      </c>
      <c r="BQ95" s="5">
        <f>IF('Project Database'!A99="","",N('Project Database'!AJ99))</f>
        <v/>
      </c>
      <c r="BR95" s="5">
        <f>IF('Project Database'!A99="","",N('Project Database'!AK99))</f>
        <v/>
      </c>
      <c r="BS95" s="5">
        <f>IF('Project Database'!A99="","",N('Project Database'!AL99))</f>
        <v/>
      </c>
      <c r="BT95" s="5">
        <f>IF('Project Database'!A99="","",N('Project Database'!AM99))</f>
        <v/>
      </c>
      <c r="BU95" s="5">
        <f>IF('Project Database'!A99="","",N('Project Database'!AN99))</f>
        <v/>
      </c>
      <c r="BV95" s="5">
        <f>IF('Project Database'!A99="","",N('Project Database'!AO99))</f>
        <v/>
      </c>
      <c r="BW95" s="5">
        <f>IF('Project Database'!A99="","",N('Project Database'!AP99))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</row>
    <row r="96" ht="15" customHeight="1" s="74">
      <c r="A96" s="66">
        <f>'Project Database'!A100</f>
        <v/>
      </c>
      <c r="B96" s="66">
        <f>'Project Database'!B100</f>
        <v/>
      </c>
      <c r="C96" s="66">
        <f>'Project Database'!G100</f>
        <v/>
      </c>
      <c r="D96" s="66">
        <f>'Project Database'!H100</f>
        <v/>
      </c>
      <c r="E96" s="66">
        <f>'Project Database'!I100</f>
        <v/>
      </c>
      <c r="F96" s="66">
        <f>'Project Database'!J100</f>
        <v/>
      </c>
      <c r="G96" s="66">
        <f>'Project Database'!K100</f>
        <v/>
      </c>
      <c r="H96" s="66">
        <f>'Project Database'!L100</f>
        <v/>
      </c>
      <c r="I96" s="66">
        <f>'Project Database'!M100</f>
        <v/>
      </c>
      <c r="J96" s="66">
        <f>'Project Database'!N100</f>
        <v/>
      </c>
      <c r="K96" s="66">
        <f>'Project Database'!O100</f>
        <v/>
      </c>
      <c r="L96" s="66">
        <f>'Project Database'!P100</f>
        <v/>
      </c>
      <c r="M96" s="66">
        <f>'Project Database'!Q100</f>
        <v/>
      </c>
      <c r="N96" s="66">
        <f>'Project Database'!R100</f>
        <v/>
      </c>
      <c r="O96" s="66">
        <f>'Project Database'!S100</f>
        <v/>
      </c>
      <c r="P96" s="66">
        <f>'Project Database'!T100</f>
        <v/>
      </c>
      <c r="Q96" s="66">
        <f>'Project Database'!U100</f>
        <v/>
      </c>
      <c r="R96" s="66">
        <f>'Project Database'!V100</f>
        <v/>
      </c>
      <c r="S96" s="66">
        <f>'Project Database'!W100</f>
        <v/>
      </c>
      <c r="T96" s="66">
        <f>'Project Database'!X100</f>
        <v/>
      </c>
      <c r="U96" s="67">
        <f>'Project Database'!Y100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'Project Database'!Z100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IF(AND('Project Database'!A100&lt;&gt;"",OR('Smart Search'!$L$5="",'Smart Search'!$L$5="All",TRIM('Project Database'!D100)=TRIM('Smart Search'!$L$5)),OR(TRIM('Smart Search'!$L$6)="",TRIM('Smart Search'!$L$6)="All",ISNUMBER(SEARCH(SUBSTITUTE(SUBSTITUTE(SUBSTITUTE(TRIM('Smart Search'!$L$6),"~","~~"),"*","~*"),"?","~?"),'Project Database'!C100))),OR('Smart Search'!$L$7="",AND('Project Database'!E100&lt;&gt;"",'Project Database'!E100='Smart Search'!$L$7)),OR('Smart Search'!$L$8="",'Smart Search'!$L$8="All",TRIM('Project Database'!F100)=TRIM('Smart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IF('Project Database'!A100="","",N('Project Database'!AC100))</f>
        <v/>
      </c>
      <c r="BK96" s="5">
        <f>IF('Project Database'!A100="","",N('Project Database'!AD100))</f>
        <v/>
      </c>
      <c r="BL96" s="5">
        <f>IF('Project Database'!A100="","",N('Project Database'!AE100))</f>
        <v/>
      </c>
      <c r="BM96" s="5">
        <f>IF('Project Database'!A100="","",N('Project Database'!AF100))</f>
        <v/>
      </c>
      <c r="BN96" s="5">
        <f>IF('Project Database'!A100="","",N('Project Database'!AG100))</f>
        <v/>
      </c>
      <c r="BO96" s="5">
        <f>IF('Project Database'!A100="","",N('Project Database'!AH100))</f>
        <v/>
      </c>
      <c r="BP96" s="5">
        <f>IF('Project Database'!A100="","",N('Project Database'!AI100))</f>
        <v/>
      </c>
      <c r="BQ96" s="5">
        <f>IF('Project Database'!A100="","",N('Project Database'!AJ100))</f>
        <v/>
      </c>
      <c r="BR96" s="5">
        <f>IF('Project Database'!A100="","",N('Project Database'!AK100))</f>
        <v/>
      </c>
      <c r="BS96" s="5">
        <f>IF('Project Database'!A100="","",N('Project Database'!AL100))</f>
        <v/>
      </c>
      <c r="BT96" s="5">
        <f>IF('Project Database'!A100="","",N('Project Database'!AM100))</f>
        <v/>
      </c>
      <c r="BU96" s="5">
        <f>IF('Project Database'!A100="","",N('Project Database'!AN100))</f>
        <v/>
      </c>
      <c r="BV96" s="5">
        <f>IF('Project Database'!A100="","",N('Project Database'!AO100))</f>
        <v/>
      </c>
      <c r="BW96" s="5">
        <f>IF('Project Database'!A100="","",N('Project Database'!AP100))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</row>
    <row r="97" ht="15" customHeight="1" s="74">
      <c r="A97" s="66">
        <f>'Project Database'!A101</f>
        <v/>
      </c>
      <c r="B97" s="66">
        <f>'Project Database'!B101</f>
        <v/>
      </c>
      <c r="C97" s="66">
        <f>'Project Database'!G101</f>
        <v/>
      </c>
      <c r="D97" s="66">
        <f>'Project Database'!H101</f>
        <v/>
      </c>
      <c r="E97" s="66">
        <f>'Project Database'!I101</f>
        <v/>
      </c>
      <c r="F97" s="66">
        <f>'Project Database'!J101</f>
        <v/>
      </c>
      <c r="G97" s="66">
        <f>'Project Database'!K101</f>
        <v/>
      </c>
      <c r="H97" s="66">
        <f>'Project Database'!L101</f>
        <v/>
      </c>
      <c r="I97" s="66">
        <f>'Project Database'!M101</f>
        <v/>
      </c>
      <c r="J97" s="66">
        <f>'Project Database'!N101</f>
        <v/>
      </c>
      <c r="K97" s="66">
        <f>'Project Database'!O101</f>
        <v/>
      </c>
      <c r="L97" s="66">
        <f>'Project Database'!P101</f>
        <v/>
      </c>
      <c r="M97" s="66">
        <f>'Project Database'!Q101</f>
        <v/>
      </c>
      <c r="N97" s="66">
        <f>'Project Database'!R101</f>
        <v/>
      </c>
      <c r="O97" s="66">
        <f>'Project Database'!S101</f>
        <v/>
      </c>
      <c r="P97" s="66">
        <f>'Project Database'!T101</f>
        <v/>
      </c>
      <c r="Q97" s="66">
        <f>'Project Database'!U101</f>
        <v/>
      </c>
      <c r="R97" s="66">
        <f>'Project Database'!V101</f>
        <v/>
      </c>
      <c r="S97" s="66">
        <f>'Project Database'!W101</f>
        <v/>
      </c>
      <c r="T97" s="66">
        <f>'Project Database'!X101</f>
        <v/>
      </c>
      <c r="U97" s="67">
        <f>'Project Database'!Y101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'Project Database'!Z101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IF(AND('Project Database'!A101&lt;&gt;"",OR('Smart Search'!$L$5="",'Smart Search'!$L$5="All",TRIM('Project Database'!D101)=TRIM('Smart Search'!$L$5)),OR(TRIM('Smart Search'!$L$6)="",TRIM('Smart Search'!$L$6)="All",ISNUMBER(SEARCH(SUBSTITUTE(SUBSTITUTE(SUBSTITUTE(TRIM('Smart Search'!$L$6),"~","~~"),"*","~*"),"?","~?"),'Project Database'!C101))),OR('Smart Search'!$L$7="",AND('Project Database'!E101&lt;&gt;"",'Project Database'!E101='Smart Search'!$L$7)),OR('Smart Search'!$L$8="",'Smart Search'!$L$8="All",TRIM('Project Database'!F101)=TRIM('Smart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IF('Project Database'!A101="","",N('Project Database'!AC101))</f>
        <v/>
      </c>
      <c r="BK97" s="5">
        <f>IF('Project Database'!A101="","",N('Project Database'!AD101))</f>
        <v/>
      </c>
      <c r="BL97" s="5">
        <f>IF('Project Database'!A101="","",N('Project Database'!AE101))</f>
        <v/>
      </c>
      <c r="BM97" s="5">
        <f>IF('Project Database'!A101="","",N('Project Database'!AF101))</f>
        <v/>
      </c>
      <c r="BN97" s="5">
        <f>IF('Project Database'!A101="","",N('Project Database'!AG101))</f>
        <v/>
      </c>
      <c r="BO97" s="5">
        <f>IF('Project Database'!A101="","",N('Project Database'!AH101))</f>
        <v/>
      </c>
      <c r="BP97" s="5">
        <f>IF('Project Database'!A101="","",N('Project Database'!AI101))</f>
        <v/>
      </c>
      <c r="BQ97" s="5">
        <f>IF('Project Database'!A101="","",N('Project Database'!AJ101))</f>
        <v/>
      </c>
      <c r="BR97" s="5">
        <f>IF('Project Database'!A101="","",N('Project Database'!AK101))</f>
        <v/>
      </c>
      <c r="BS97" s="5">
        <f>IF('Project Database'!A101="","",N('Project Database'!AL101))</f>
        <v/>
      </c>
      <c r="BT97" s="5">
        <f>IF('Project Database'!A101="","",N('Project Database'!AM101))</f>
        <v/>
      </c>
      <c r="BU97" s="5">
        <f>IF('Project Database'!A101="","",N('Project Database'!AN101))</f>
        <v/>
      </c>
      <c r="BV97" s="5">
        <f>IF('Project Database'!A101="","",N('Project Database'!AO101))</f>
        <v/>
      </c>
      <c r="BW97" s="5">
        <f>IF('Project Database'!A101="","",N('Project Database'!AP101))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</row>
    <row r="98" ht="15" customHeight="1" s="74">
      <c r="A98" s="66">
        <f>'Project Database'!A102</f>
        <v/>
      </c>
      <c r="B98" s="66">
        <f>'Project Database'!B102</f>
        <v/>
      </c>
      <c r="C98" s="66">
        <f>'Project Database'!G102</f>
        <v/>
      </c>
      <c r="D98" s="66">
        <f>'Project Database'!H102</f>
        <v/>
      </c>
      <c r="E98" s="66">
        <f>'Project Database'!I102</f>
        <v/>
      </c>
      <c r="F98" s="66">
        <f>'Project Database'!J102</f>
        <v/>
      </c>
      <c r="G98" s="66">
        <f>'Project Database'!K102</f>
        <v/>
      </c>
      <c r="H98" s="66">
        <f>'Project Database'!L102</f>
        <v/>
      </c>
      <c r="I98" s="66">
        <f>'Project Database'!M102</f>
        <v/>
      </c>
      <c r="J98" s="66">
        <f>'Project Database'!N102</f>
        <v/>
      </c>
      <c r="K98" s="66">
        <f>'Project Database'!O102</f>
        <v/>
      </c>
      <c r="L98" s="66">
        <f>'Project Database'!P102</f>
        <v/>
      </c>
      <c r="M98" s="66">
        <f>'Project Database'!Q102</f>
        <v/>
      </c>
      <c r="N98" s="66">
        <f>'Project Database'!R102</f>
        <v/>
      </c>
      <c r="O98" s="66">
        <f>'Project Database'!S102</f>
        <v/>
      </c>
      <c r="P98" s="66">
        <f>'Project Database'!T102</f>
        <v/>
      </c>
      <c r="Q98" s="66">
        <f>'Project Database'!U102</f>
        <v/>
      </c>
      <c r="R98" s="66">
        <f>'Project Database'!V102</f>
        <v/>
      </c>
      <c r="S98" s="66">
        <f>'Project Database'!W102</f>
        <v/>
      </c>
      <c r="T98" s="66">
        <f>'Project Database'!X102</f>
        <v/>
      </c>
      <c r="U98" s="67">
        <f>'Project Database'!Y102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'Project Database'!Z102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IF(AND('Project Database'!A102&lt;&gt;"",OR('Smart Search'!$L$5="",'Smart Search'!$L$5="All",TRIM('Project Database'!D102)=TRIM('Smart Search'!$L$5)),OR(TRIM('Smart Search'!$L$6)="",TRIM('Smart Search'!$L$6)="All",ISNUMBER(SEARCH(SUBSTITUTE(SUBSTITUTE(SUBSTITUTE(TRIM('Smart Search'!$L$6),"~","~~"),"*","~*"),"?","~?"),'Project Database'!C102))),OR('Smart Search'!$L$7="",AND('Project Database'!E102&lt;&gt;"",'Project Database'!E102='Smart Search'!$L$7)),OR('Smart Search'!$L$8="",'Smart Search'!$L$8="All",TRIM('Project Database'!F102)=TRIM('Smart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IF('Project Database'!A102="","",N('Project Database'!AC102))</f>
        <v/>
      </c>
      <c r="BK98" s="5">
        <f>IF('Project Database'!A102="","",N('Project Database'!AD102))</f>
        <v/>
      </c>
      <c r="BL98" s="5">
        <f>IF('Project Database'!A102="","",N('Project Database'!AE102))</f>
        <v/>
      </c>
      <c r="BM98" s="5">
        <f>IF('Project Database'!A102="","",N('Project Database'!AF102))</f>
        <v/>
      </c>
      <c r="BN98" s="5">
        <f>IF('Project Database'!A102="","",N('Project Database'!AG102))</f>
        <v/>
      </c>
      <c r="BO98" s="5">
        <f>IF('Project Database'!A102="","",N('Project Database'!AH102))</f>
        <v/>
      </c>
      <c r="BP98" s="5">
        <f>IF('Project Database'!A102="","",N('Project Database'!AI102))</f>
        <v/>
      </c>
      <c r="BQ98" s="5">
        <f>IF('Project Database'!A102="","",N('Project Database'!AJ102))</f>
        <v/>
      </c>
      <c r="BR98" s="5">
        <f>IF('Project Database'!A102="","",N('Project Database'!AK102))</f>
        <v/>
      </c>
      <c r="BS98" s="5">
        <f>IF('Project Database'!A102="","",N('Project Database'!AL102))</f>
        <v/>
      </c>
      <c r="BT98" s="5">
        <f>IF('Project Database'!A102="","",N('Project Database'!AM102))</f>
        <v/>
      </c>
      <c r="BU98" s="5">
        <f>IF('Project Database'!A102="","",N('Project Database'!AN102))</f>
        <v/>
      </c>
      <c r="BV98" s="5">
        <f>IF('Project Database'!A102="","",N('Project Database'!AO102))</f>
        <v/>
      </c>
      <c r="BW98" s="5">
        <f>IF('Project Database'!A102="","",N('Project Database'!AP102))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</row>
    <row r="99" ht="15" customHeight="1" s="74">
      <c r="A99" s="66">
        <f>'Project Database'!A103</f>
        <v/>
      </c>
      <c r="B99" s="66">
        <f>'Project Database'!B103</f>
        <v/>
      </c>
      <c r="C99" s="66">
        <f>'Project Database'!G103</f>
        <v/>
      </c>
      <c r="D99" s="66">
        <f>'Project Database'!H103</f>
        <v/>
      </c>
      <c r="E99" s="66">
        <f>'Project Database'!I103</f>
        <v/>
      </c>
      <c r="F99" s="66">
        <f>'Project Database'!J103</f>
        <v/>
      </c>
      <c r="G99" s="66">
        <f>'Project Database'!K103</f>
        <v/>
      </c>
      <c r="H99" s="66">
        <f>'Project Database'!L103</f>
        <v/>
      </c>
      <c r="I99" s="66">
        <f>'Project Database'!M103</f>
        <v/>
      </c>
      <c r="J99" s="66">
        <f>'Project Database'!N103</f>
        <v/>
      </c>
      <c r="K99" s="66">
        <f>'Project Database'!O103</f>
        <v/>
      </c>
      <c r="L99" s="66">
        <f>'Project Database'!P103</f>
        <v/>
      </c>
      <c r="M99" s="66">
        <f>'Project Database'!Q103</f>
        <v/>
      </c>
      <c r="N99" s="66">
        <f>'Project Database'!R103</f>
        <v/>
      </c>
      <c r="O99" s="66">
        <f>'Project Database'!S103</f>
        <v/>
      </c>
      <c r="P99" s="66">
        <f>'Project Database'!T103</f>
        <v/>
      </c>
      <c r="Q99" s="66">
        <f>'Project Database'!U103</f>
        <v/>
      </c>
      <c r="R99" s="66">
        <f>'Project Database'!V103</f>
        <v/>
      </c>
      <c r="S99" s="66">
        <f>'Project Database'!W103</f>
        <v/>
      </c>
      <c r="T99" s="66">
        <f>'Project Database'!X103</f>
        <v/>
      </c>
      <c r="U99" s="67">
        <f>'Project Database'!Y103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'Project Database'!Z103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IF(AND('Project Database'!A103&lt;&gt;"",OR('Smart Search'!$L$5="",'Smart Search'!$L$5="All",TRIM('Project Database'!D103)=TRIM('Smart Search'!$L$5)),OR(TRIM('Smart Search'!$L$6)="",TRIM('Smart Search'!$L$6)="All",ISNUMBER(SEARCH(SUBSTITUTE(SUBSTITUTE(SUBSTITUTE(TRIM('Smart Search'!$L$6),"~","~~"),"*","~*"),"?","~?"),'Project Database'!C103))),OR('Smart Search'!$L$7="",AND('Project Database'!E103&lt;&gt;"",'Project Database'!E103='Smart Search'!$L$7)),OR('Smart Search'!$L$8="",'Smart Search'!$L$8="All",TRIM('Project Database'!F103)=TRIM('Smart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IF('Project Database'!A103="","",N('Project Database'!AC103))</f>
        <v/>
      </c>
      <c r="BK99" s="5">
        <f>IF('Project Database'!A103="","",N('Project Database'!AD103))</f>
        <v/>
      </c>
      <c r="BL99" s="5">
        <f>IF('Project Database'!A103="","",N('Project Database'!AE103))</f>
        <v/>
      </c>
      <c r="BM99" s="5">
        <f>IF('Project Database'!A103="","",N('Project Database'!AF103))</f>
        <v/>
      </c>
      <c r="BN99" s="5">
        <f>IF('Project Database'!A103="","",N('Project Database'!AG103))</f>
        <v/>
      </c>
      <c r="BO99" s="5">
        <f>IF('Project Database'!A103="","",N('Project Database'!AH103))</f>
        <v/>
      </c>
      <c r="BP99" s="5">
        <f>IF('Project Database'!A103="","",N('Project Database'!AI103))</f>
        <v/>
      </c>
      <c r="BQ99" s="5">
        <f>IF('Project Database'!A103="","",N('Project Database'!AJ103))</f>
        <v/>
      </c>
      <c r="BR99" s="5">
        <f>IF('Project Database'!A103="","",N('Project Database'!AK103))</f>
        <v/>
      </c>
      <c r="BS99" s="5">
        <f>IF('Project Database'!A103="","",N('Project Database'!AL103))</f>
        <v/>
      </c>
      <c r="BT99" s="5">
        <f>IF('Project Database'!A103="","",N('Project Database'!AM103))</f>
        <v/>
      </c>
      <c r="BU99" s="5">
        <f>IF('Project Database'!A103="","",N('Project Database'!AN103))</f>
        <v/>
      </c>
      <c r="BV99" s="5">
        <f>IF('Project Database'!A103="","",N('Project Database'!AO103))</f>
        <v/>
      </c>
      <c r="BW99" s="5">
        <f>IF('Project Database'!A103="","",N('Project Database'!AP103))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</row>
    <row r="100" ht="15" customHeight="1" s="74">
      <c r="A100" s="66">
        <f>'Project Database'!A104</f>
        <v/>
      </c>
      <c r="B100" s="66">
        <f>'Project Database'!B104</f>
        <v/>
      </c>
      <c r="C100" s="66">
        <f>'Project Database'!G104</f>
        <v/>
      </c>
      <c r="D100" s="66">
        <f>'Project Database'!H104</f>
        <v/>
      </c>
      <c r="E100" s="66">
        <f>'Project Database'!I104</f>
        <v/>
      </c>
      <c r="F100" s="66">
        <f>'Project Database'!J104</f>
        <v/>
      </c>
      <c r="G100" s="66">
        <f>'Project Database'!K104</f>
        <v/>
      </c>
      <c r="H100" s="66">
        <f>'Project Database'!L104</f>
        <v/>
      </c>
      <c r="I100" s="66">
        <f>'Project Database'!M104</f>
        <v/>
      </c>
      <c r="J100" s="66">
        <f>'Project Database'!N104</f>
        <v/>
      </c>
      <c r="K100" s="66">
        <f>'Project Database'!O104</f>
        <v/>
      </c>
      <c r="L100" s="66">
        <f>'Project Database'!P104</f>
        <v/>
      </c>
      <c r="M100" s="66">
        <f>'Project Database'!Q104</f>
        <v/>
      </c>
      <c r="N100" s="66">
        <f>'Project Database'!R104</f>
        <v/>
      </c>
      <c r="O100" s="66">
        <f>'Project Database'!S104</f>
        <v/>
      </c>
      <c r="P100" s="66">
        <f>'Project Database'!T104</f>
        <v/>
      </c>
      <c r="Q100" s="66">
        <f>'Project Database'!U104</f>
        <v/>
      </c>
      <c r="R100" s="66">
        <f>'Project Database'!V104</f>
        <v/>
      </c>
      <c r="S100" s="66">
        <f>'Project Database'!W104</f>
        <v/>
      </c>
      <c r="T100" s="66">
        <f>'Project Database'!X104</f>
        <v/>
      </c>
      <c r="U100" s="67">
        <f>'Project Database'!Y104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'Project Database'!Z104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IF(AND('Project Database'!A104&lt;&gt;"",OR('Smart Search'!$L$5="",'Smart Search'!$L$5="All",TRIM('Project Database'!D104)=TRIM('Smart Search'!$L$5)),OR(TRIM('Smart Search'!$L$6)="",TRIM('Smart Search'!$L$6)="All",ISNUMBER(SEARCH(SUBSTITUTE(SUBSTITUTE(SUBSTITUTE(TRIM('Smart Search'!$L$6),"~","~~"),"*","~*"),"?","~?"),'Project Database'!C104))),OR('Smart Search'!$L$7="",AND('Project Database'!E104&lt;&gt;"",'Project Database'!E104='Smart Search'!$L$7)),OR('Smart Search'!$L$8="",'Smart Search'!$L$8="All",TRIM('Project Database'!F104)=TRIM('Smart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IF('Project Database'!A104="","",N('Project Database'!AC104))</f>
        <v/>
      </c>
      <c r="BK100" s="5">
        <f>IF('Project Database'!A104="","",N('Project Database'!AD104))</f>
        <v/>
      </c>
      <c r="BL100" s="5">
        <f>IF('Project Database'!A104="","",N('Project Database'!AE104))</f>
        <v/>
      </c>
      <c r="BM100" s="5">
        <f>IF('Project Database'!A104="","",N('Project Database'!AF104))</f>
        <v/>
      </c>
      <c r="BN100" s="5">
        <f>IF('Project Database'!A104="","",N('Project Database'!AG104))</f>
        <v/>
      </c>
      <c r="BO100" s="5">
        <f>IF('Project Database'!A104="","",N('Project Database'!AH104))</f>
        <v/>
      </c>
      <c r="BP100" s="5">
        <f>IF('Project Database'!A104="","",N('Project Database'!AI104))</f>
        <v/>
      </c>
      <c r="BQ100" s="5">
        <f>IF('Project Database'!A104="","",N('Project Database'!AJ104))</f>
        <v/>
      </c>
      <c r="BR100" s="5">
        <f>IF('Project Database'!A104="","",N('Project Database'!AK104))</f>
        <v/>
      </c>
      <c r="BS100" s="5">
        <f>IF('Project Database'!A104="","",N('Project Database'!AL104))</f>
        <v/>
      </c>
      <c r="BT100" s="5">
        <f>IF('Project Database'!A104="","",N('Project Database'!AM104))</f>
        <v/>
      </c>
      <c r="BU100" s="5">
        <f>IF('Project Database'!A104="","",N('Project Database'!AN104))</f>
        <v/>
      </c>
      <c r="BV100" s="5">
        <f>IF('Project Database'!A104="","",N('Project Database'!AO104))</f>
        <v/>
      </c>
      <c r="BW100" s="5">
        <f>IF('Project Database'!A104="","",N('Project Database'!AP104))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</row>
    <row r="101" ht="15" customHeight="1" s="74">
      <c r="A101" s="66">
        <f>'Project Database'!A105</f>
        <v/>
      </c>
      <c r="B101" s="66">
        <f>'Project Database'!B105</f>
        <v/>
      </c>
      <c r="C101" s="66">
        <f>'Project Database'!G105</f>
        <v/>
      </c>
      <c r="D101" s="66">
        <f>'Project Database'!H105</f>
        <v/>
      </c>
      <c r="E101" s="66">
        <f>'Project Database'!I105</f>
        <v/>
      </c>
      <c r="F101" s="66">
        <f>'Project Database'!J105</f>
        <v/>
      </c>
      <c r="G101" s="66">
        <f>'Project Database'!K105</f>
        <v/>
      </c>
      <c r="H101" s="66">
        <f>'Project Database'!L105</f>
        <v/>
      </c>
      <c r="I101" s="66">
        <f>'Project Database'!M105</f>
        <v/>
      </c>
      <c r="J101" s="66">
        <f>'Project Database'!N105</f>
        <v/>
      </c>
      <c r="K101" s="66">
        <f>'Project Database'!O105</f>
        <v/>
      </c>
      <c r="L101" s="66">
        <f>'Project Database'!P105</f>
        <v/>
      </c>
      <c r="M101" s="66">
        <f>'Project Database'!Q105</f>
        <v/>
      </c>
      <c r="N101" s="66">
        <f>'Project Database'!R105</f>
        <v/>
      </c>
      <c r="O101" s="66">
        <f>'Project Database'!S105</f>
        <v/>
      </c>
      <c r="P101" s="66">
        <f>'Project Database'!T105</f>
        <v/>
      </c>
      <c r="Q101" s="66">
        <f>'Project Database'!U105</f>
        <v/>
      </c>
      <c r="R101" s="66">
        <f>'Project Database'!V105</f>
        <v/>
      </c>
      <c r="S101" s="66">
        <f>'Project Database'!W105</f>
        <v/>
      </c>
      <c r="T101" s="66">
        <f>'Project Database'!X105</f>
        <v/>
      </c>
      <c r="U101" s="67">
        <f>'Project Database'!Y105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'Project Database'!Z105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IF(AND('Project Database'!A105&lt;&gt;"",OR('Smart Search'!$L$5="",'Smart Search'!$L$5="All",TRIM('Project Database'!D105)=TRIM('Smart Search'!$L$5)),OR(TRIM('Smart Search'!$L$6)="",TRIM('Smart Search'!$L$6)="All",ISNUMBER(SEARCH(SUBSTITUTE(SUBSTITUTE(SUBSTITUTE(TRIM('Smart Search'!$L$6),"~","~~"),"*","~*"),"?","~?"),'Project Database'!C105))),OR('Smart Search'!$L$7="",AND('Project Database'!E105&lt;&gt;"",'Project Database'!E105='Smart Search'!$L$7)),OR('Smart Search'!$L$8="",'Smart Search'!$L$8="All",TRIM('Project Database'!F105)=TRIM('Smart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IF('Project Database'!A105="","",N('Project Database'!AC105))</f>
        <v/>
      </c>
      <c r="BK101" s="5">
        <f>IF('Project Database'!A105="","",N('Project Database'!AD105))</f>
        <v/>
      </c>
      <c r="BL101" s="5">
        <f>IF('Project Database'!A105="","",N('Project Database'!AE105))</f>
        <v/>
      </c>
      <c r="BM101" s="5">
        <f>IF('Project Database'!A105="","",N('Project Database'!AF105))</f>
        <v/>
      </c>
      <c r="BN101" s="5">
        <f>IF('Project Database'!A105="","",N('Project Database'!AG105))</f>
        <v/>
      </c>
      <c r="BO101" s="5">
        <f>IF('Project Database'!A105="","",N('Project Database'!AH105))</f>
        <v/>
      </c>
      <c r="BP101" s="5">
        <f>IF('Project Database'!A105="","",N('Project Database'!AI105))</f>
        <v/>
      </c>
      <c r="BQ101" s="5">
        <f>IF('Project Database'!A105="","",N('Project Database'!AJ105))</f>
        <v/>
      </c>
      <c r="BR101" s="5">
        <f>IF('Project Database'!A105="","",N('Project Database'!AK105))</f>
        <v/>
      </c>
      <c r="BS101" s="5">
        <f>IF('Project Database'!A105="","",N('Project Database'!AL105))</f>
        <v/>
      </c>
      <c r="BT101" s="5">
        <f>IF('Project Database'!A105="","",N('Project Database'!AM105))</f>
        <v/>
      </c>
      <c r="BU101" s="5">
        <f>IF('Project Database'!A105="","",N('Project Database'!AN105))</f>
        <v/>
      </c>
      <c r="BV101" s="5">
        <f>IF('Project Database'!A105="","",N('Project Database'!AO105))</f>
        <v/>
      </c>
      <c r="BW101" s="5">
        <f>IF('Project Database'!A105="","",N('Project Database'!AP105))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</row>
    <row r="102" ht="15" customHeight="1" s="74">
      <c r="A102" s="66">
        <f>'Project Database'!A106</f>
        <v/>
      </c>
      <c r="B102" s="66">
        <f>'Project Database'!B106</f>
        <v/>
      </c>
      <c r="C102" s="66">
        <f>'Project Database'!G106</f>
        <v/>
      </c>
      <c r="D102" s="66">
        <f>'Project Database'!H106</f>
        <v/>
      </c>
      <c r="E102" s="66">
        <f>'Project Database'!I106</f>
        <v/>
      </c>
      <c r="F102" s="66">
        <f>'Project Database'!J106</f>
        <v/>
      </c>
      <c r="G102" s="66">
        <f>'Project Database'!K106</f>
        <v/>
      </c>
      <c r="H102" s="66">
        <f>'Project Database'!L106</f>
        <v/>
      </c>
      <c r="I102" s="66">
        <f>'Project Database'!M106</f>
        <v/>
      </c>
      <c r="J102" s="66">
        <f>'Project Database'!N106</f>
        <v/>
      </c>
      <c r="K102" s="66">
        <f>'Project Database'!O106</f>
        <v/>
      </c>
      <c r="L102" s="66">
        <f>'Project Database'!P106</f>
        <v/>
      </c>
      <c r="M102" s="66">
        <f>'Project Database'!Q106</f>
        <v/>
      </c>
      <c r="N102" s="66">
        <f>'Project Database'!R106</f>
        <v/>
      </c>
      <c r="O102" s="66">
        <f>'Project Database'!S106</f>
        <v/>
      </c>
      <c r="P102" s="66">
        <f>'Project Database'!T106</f>
        <v/>
      </c>
      <c r="Q102" s="66">
        <f>'Project Database'!U106</f>
        <v/>
      </c>
      <c r="R102" s="66">
        <f>'Project Database'!V106</f>
        <v/>
      </c>
      <c r="S102" s="66">
        <f>'Project Database'!W106</f>
        <v/>
      </c>
      <c r="T102" s="66">
        <f>'Project Database'!X106</f>
        <v/>
      </c>
      <c r="U102" s="67">
        <f>'Project Database'!Y106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'Project Database'!Z106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IF(AND('Project Database'!A106&lt;&gt;"",OR('Smart Search'!$L$5="",'Smart Search'!$L$5="All",TRIM('Project Database'!D106)=TRIM('Smart Search'!$L$5)),OR(TRIM('Smart Search'!$L$6)="",TRIM('Smart Search'!$L$6)="All",ISNUMBER(SEARCH(SUBSTITUTE(SUBSTITUTE(SUBSTITUTE(TRIM('Smart Search'!$L$6),"~","~~"),"*","~*"),"?","~?"),'Project Database'!C106))),OR('Smart Search'!$L$7="",AND('Project Database'!E106&lt;&gt;"",'Project Database'!E106='Smart Search'!$L$7)),OR('Smart Search'!$L$8="",'Smart Search'!$L$8="All",TRIM('Project Database'!F106)=TRIM('Smart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IF('Project Database'!A106="","",N('Project Database'!AC106))</f>
        <v/>
      </c>
      <c r="BK102" s="5">
        <f>IF('Project Database'!A106="","",N('Project Database'!AD106))</f>
        <v/>
      </c>
      <c r="BL102" s="5">
        <f>IF('Project Database'!A106="","",N('Project Database'!AE106))</f>
        <v/>
      </c>
      <c r="BM102" s="5">
        <f>IF('Project Database'!A106="","",N('Project Database'!AF106))</f>
        <v/>
      </c>
      <c r="BN102" s="5">
        <f>IF('Project Database'!A106="","",N('Project Database'!AG106))</f>
        <v/>
      </c>
      <c r="BO102" s="5">
        <f>IF('Project Database'!A106="","",N('Project Database'!AH106))</f>
        <v/>
      </c>
      <c r="BP102" s="5">
        <f>IF('Project Database'!A106="","",N('Project Database'!AI106))</f>
        <v/>
      </c>
      <c r="BQ102" s="5">
        <f>IF('Project Database'!A106="","",N('Project Database'!AJ106))</f>
        <v/>
      </c>
      <c r="BR102" s="5">
        <f>IF('Project Database'!A106="","",N('Project Database'!AK106))</f>
        <v/>
      </c>
      <c r="BS102" s="5">
        <f>IF('Project Database'!A106="","",N('Project Database'!AL106))</f>
        <v/>
      </c>
      <c r="BT102" s="5">
        <f>IF('Project Database'!A106="","",N('Project Database'!AM106))</f>
        <v/>
      </c>
      <c r="BU102" s="5">
        <f>IF('Project Database'!A106="","",N('Project Database'!AN106))</f>
        <v/>
      </c>
      <c r="BV102" s="5">
        <f>IF('Project Database'!A106="","",N('Project Database'!AO106))</f>
        <v/>
      </c>
      <c r="BW102" s="5">
        <f>IF('Project Database'!A106="","",N('Project Database'!AP106))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</row>
    <row r="103" ht="15" customHeight="1" s="74">
      <c r="A103" s="66">
        <f>'Project Database'!A107</f>
        <v/>
      </c>
      <c r="B103" s="66">
        <f>'Project Database'!B107</f>
        <v/>
      </c>
      <c r="C103" s="66">
        <f>'Project Database'!G107</f>
        <v/>
      </c>
      <c r="D103" s="66">
        <f>'Project Database'!H107</f>
        <v/>
      </c>
      <c r="E103" s="66">
        <f>'Project Database'!I107</f>
        <v/>
      </c>
      <c r="F103" s="66">
        <f>'Project Database'!J107</f>
        <v/>
      </c>
      <c r="G103" s="66">
        <f>'Project Database'!K107</f>
        <v/>
      </c>
      <c r="H103" s="66">
        <f>'Project Database'!L107</f>
        <v/>
      </c>
      <c r="I103" s="66">
        <f>'Project Database'!M107</f>
        <v/>
      </c>
      <c r="J103" s="66">
        <f>'Project Database'!N107</f>
        <v/>
      </c>
      <c r="K103" s="66">
        <f>'Project Database'!O107</f>
        <v/>
      </c>
      <c r="L103" s="66">
        <f>'Project Database'!P107</f>
        <v/>
      </c>
      <c r="M103" s="66">
        <f>'Project Database'!Q107</f>
        <v/>
      </c>
      <c r="N103" s="66">
        <f>'Project Database'!R107</f>
        <v/>
      </c>
      <c r="O103" s="66">
        <f>'Project Database'!S107</f>
        <v/>
      </c>
      <c r="P103" s="66">
        <f>'Project Database'!T107</f>
        <v/>
      </c>
      <c r="Q103" s="66">
        <f>'Project Database'!U107</f>
        <v/>
      </c>
      <c r="R103" s="66">
        <f>'Project Database'!V107</f>
        <v/>
      </c>
      <c r="S103" s="66">
        <f>'Project Database'!W107</f>
        <v/>
      </c>
      <c r="T103" s="66">
        <f>'Project Database'!X107</f>
        <v/>
      </c>
      <c r="U103" s="67">
        <f>'Project Database'!Y107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'Project Database'!Z107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IF(AND('Project Database'!A107&lt;&gt;"",OR('Smart Search'!$L$5="",'Smart Search'!$L$5="All",TRIM('Project Database'!D107)=TRIM('Smart Search'!$L$5)),OR(TRIM('Smart Search'!$L$6)="",TRIM('Smart Search'!$L$6)="All",ISNUMBER(SEARCH(SUBSTITUTE(SUBSTITUTE(SUBSTITUTE(TRIM('Smart Search'!$L$6),"~","~~"),"*","~*"),"?","~?"),'Project Database'!C107))),OR('Smart Search'!$L$7="",AND('Project Database'!E107&lt;&gt;"",'Project Database'!E107='Smart Search'!$L$7)),OR('Smart Search'!$L$8="",'Smart Search'!$L$8="All",TRIM('Project Database'!F107)=TRIM('Smart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IF('Project Database'!A107="","",N('Project Database'!AC107))</f>
        <v/>
      </c>
      <c r="BK103" s="5">
        <f>IF('Project Database'!A107="","",N('Project Database'!AD107))</f>
        <v/>
      </c>
      <c r="BL103" s="5">
        <f>IF('Project Database'!A107="","",N('Project Database'!AE107))</f>
        <v/>
      </c>
      <c r="BM103" s="5">
        <f>IF('Project Database'!A107="","",N('Project Database'!AF107))</f>
        <v/>
      </c>
      <c r="BN103" s="5">
        <f>IF('Project Database'!A107="","",N('Project Database'!AG107))</f>
        <v/>
      </c>
      <c r="BO103" s="5">
        <f>IF('Project Database'!A107="","",N('Project Database'!AH107))</f>
        <v/>
      </c>
      <c r="BP103" s="5">
        <f>IF('Project Database'!A107="","",N('Project Database'!AI107))</f>
        <v/>
      </c>
      <c r="BQ103" s="5">
        <f>IF('Project Database'!A107="","",N('Project Database'!AJ107))</f>
        <v/>
      </c>
      <c r="BR103" s="5">
        <f>IF('Project Database'!A107="","",N('Project Database'!AK107))</f>
        <v/>
      </c>
      <c r="BS103" s="5">
        <f>IF('Project Database'!A107="","",N('Project Database'!AL107))</f>
        <v/>
      </c>
      <c r="BT103" s="5">
        <f>IF('Project Database'!A107="","",N('Project Database'!AM107))</f>
        <v/>
      </c>
      <c r="BU103" s="5">
        <f>IF('Project Database'!A107="","",N('Project Database'!AN107))</f>
        <v/>
      </c>
      <c r="BV103" s="5">
        <f>IF('Project Database'!A107="","",N('Project Database'!AO107))</f>
        <v/>
      </c>
      <c r="BW103" s="5">
        <f>IF('Project Database'!A107="","",N('Project Database'!AP107))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</row>
    <row r="104" ht="15" customHeight="1" s="74">
      <c r="A104" s="66">
        <f>'Project Database'!A108</f>
        <v/>
      </c>
      <c r="B104" s="66">
        <f>'Project Database'!B108</f>
        <v/>
      </c>
      <c r="C104" s="66">
        <f>'Project Database'!G108</f>
        <v/>
      </c>
      <c r="D104" s="66">
        <f>'Project Database'!H108</f>
        <v/>
      </c>
      <c r="E104" s="66">
        <f>'Project Database'!I108</f>
        <v/>
      </c>
      <c r="F104" s="66">
        <f>'Project Database'!J108</f>
        <v/>
      </c>
      <c r="G104" s="66">
        <f>'Project Database'!K108</f>
        <v/>
      </c>
      <c r="H104" s="66">
        <f>'Project Database'!L108</f>
        <v/>
      </c>
      <c r="I104" s="66">
        <f>'Project Database'!M108</f>
        <v/>
      </c>
      <c r="J104" s="66">
        <f>'Project Database'!N108</f>
        <v/>
      </c>
      <c r="K104" s="66">
        <f>'Project Database'!O108</f>
        <v/>
      </c>
      <c r="L104" s="66">
        <f>'Project Database'!P108</f>
        <v/>
      </c>
      <c r="M104" s="66">
        <f>'Project Database'!Q108</f>
        <v/>
      </c>
      <c r="N104" s="66">
        <f>'Project Database'!R108</f>
        <v/>
      </c>
      <c r="O104" s="66">
        <f>'Project Database'!S108</f>
        <v/>
      </c>
      <c r="P104" s="66">
        <f>'Project Database'!T108</f>
        <v/>
      </c>
      <c r="Q104" s="66">
        <f>'Project Database'!U108</f>
        <v/>
      </c>
      <c r="R104" s="66">
        <f>'Project Database'!V108</f>
        <v/>
      </c>
      <c r="S104" s="66">
        <f>'Project Database'!W108</f>
        <v/>
      </c>
      <c r="T104" s="66">
        <f>'Project Database'!X108</f>
        <v/>
      </c>
      <c r="U104" s="67">
        <f>'Project Database'!Y108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'Project Database'!Z108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IF(AND('Project Database'!A108&lt;&gt;"",OR('Smart Search'!$L$5="",'Smart Search'!$L$5="All",TRIM('Project Database'!D108)=TRIM('Smart Search'!$L$5)),OR(TRIM('Smart Search'!$L$6)="",TRIM('Smart Search'!$L$6)="All",ISNUMBER(SEARCH(SUBSTITUTE(SUBSTITUTE(SUBSTITUTE(TRIM('Smart Search'!$L$6),"~","~~"),"*","~*"),"?","~?"),'Project Database'!C108))),OR('Smart Search'!$L$7="",AND('Project Database'!E108&lt;&gt;"",'Project Database'!E108='Smart Search'!$L$7)),OR('Smart Search'!$L$8="",'Smart Search'!$L$8="All",TRIM('Project Database'!F108)=TRIM('Smart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IF('Project Database'!A108="","",N('Project Database'!AC108))</f>
        <v/>
      </c>
      <c r="BK104" s="5">
        <f>IF('Project Database'!A108="","",N('Project Database'!AD108))</f>
        <v/>
      </c>
      <c r="BL104" s="5">
        <f>IF('Project Database'!A108="","",N('Project Database'!AE108))</f>
        <v/>
      </c>
      <c r="BM104" s="5">
        <f>IF('Project Database'!A108="","",N('Project Database'!AF108))</f>
        <v/>
      </c>
      <c r="BN104" s="5">
        <f>IF('Project Database'!A108="","",N('Project Database'!AG108))</f>
        <v/>
      </c>
      <c r="BO104" s="5">
        <f>IF('Project Database'!A108="","",N('Project Database'!AH108))</f>
        <v/>
      </c>
      <c r="BP104" s="5">
        <f>IF('Project Database'!A108="","",N('Project Database'!AI108))</f>
        <v/>
      </c>
      <c r="BQ104" s="5">
        <f>IF('Project Database'!A108="","",N('Project Database'!AJ108))</f>
        <v/>
      </c>
      <c r="BR104" s="5">
        <f>IF('Project Database'!A108="","",N('Project Database'!AK108))</f>
        <v/>
      </c>
      <c r="BS104" s="5">
        <f>IF('Project Database'!A108="","",N('Project Database'!AL108))</f>
        <v/>
      </c>
      <c r="BT104" s="5">
        <f>IF('Project Database'!A108="","",N('Project Database'!AM108))</f>
        <v/>
      </c>
      <c r="BU104" s="5">
        <f>IF('Project Database'!A108="","",N('Project Database'!AN108))</f>
        <v/>
      </c>
      <c r="BV104" s="5">
        <f>IF('Project Database'!A108="","",N('Project Database'!AO108))</f>
        <v/>
      </c>
      <c r="BW104" s="5">
        <f>IF('Project Database'!A108="","",N('Project Database'!AP108))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</row>
    <row r="105" ht="15" customHeight="1" s="74">
      <c r="A105" s="66">
        <f>'Project Database'!A109</f>
        <v/>
      </c>
      <c r="B105" s="66">
        <f>'Project Database'!B109</f>
        <v/>
      </c>
      <c r="C105" s="66">
        <f>'Project Database'!G109</f>
        <v/>
      </c>
      <c r="D105" s="66">
        <f>'Project Database'!H109</f>
        <v/>
      </c>
      <c r="E105" s="66">
        <f>'Project Database'!I109</f>
        <v/>
      </c>
      <c r="F105" s="66">
        <f>'Project Database'!J109</f>
        <v/>
      </c>
      <c r="G105" s="66">
        <f>'Project Database'!K109</f>
        <v/>
      </c>
      <c r="H105" s="66">
        <f>'Project Database'!L109</f>
        <v/>
      </c>
      <c r="I105" s="66">
        <f>'Project Database'!M109</f>
        <v/>
      </c>
      <c r="J105" s="66">
        <f>'Project Database'!N109</f>
        <v/>
      </c>
      <c r="K105" s="66">
        <f>'Project Database'!O109</f>
        <v/>
      </c>
      <c r="L105" s="66">
        <f>'Project Database'!P109</f>
        <v/>
      </c>
      <c r="M105" s="66">
        <f>'Project Database'!Q109</f>
        <v/>
      </c>
      <c r="N105" s="66">
        <f>'Project Database'!R109</f>
        <v/>
      </c>
      <c r="O105" s="66">
        <f>'Project Database'!S109</f>
        <v/>
      </c>
      <c r="P105" s="66">
        <f>'Project Database'!T109</f>
        <v/>
      </c>
      <c r="Q105" s="66">
        <f>'Project Database'!U109</f>
        <v/>
      </c>
      <c r="R105" s="66">
        <f>'Project Database'!V109</f>
        <v/>
      </c>
      <c r="S105" s="66">
        <f>'Project Database'!W109</f>
        <v/>
      </c>
      <c r="T105" s="66">
        <f>'Project Database'!X109</f>
        <v/>
      </c>
      <c r="U105" s="67">
        <f>'Project Database'!Y109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'Project Database'!Z109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IF(AND('Project Database'!A109&lt;&gt;"",OR('Smart Search'!$L$5="",'Smart Search'!$L$5="All",TRIM('Project Database'!D109)=TRIM('Smart Search'!$L$5)),OR(TRIM('Smart Search'!$L$6)="",TRIM('Smart Search'!$L$6)="All",ISNUMBER(SEARCH(SUBSTITUTE(SUBSTITUTE(SUBSTITUTE(TRIM('Smart Search'!$L$6),"~","~~"),"*","~*"),"?","~?"),'Project Database'!C109))),OR('Smart Search'!$L$7="",AND('Project Database'!E109&lt;&gt;"",'Project Database'!E109='Smart Search'!$L$7)),OR('Smart Search'!$L$8="",'Smart Search'!$L$8="All",TRIM('Project Database'!F109)=TRIM('Smart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IF('Project Database'!A109="","",N('Project Database'!AC109))</f>
        <v/>
      </c>
      <c r="BK105" s="5">
        <f>IF('Project Database'!A109="","",N('Project Database'!AD109))</f>
        <v/>
      </c>
      <c r="BL105" s="5">
        <f>IF('Project Database'!A109="","",N('Project Database'!AE109))</f>
        <v/>
      </c>
      <c r="BM105" s="5">
        <f>IF('Project Database'!A109="","",N('Project Database'!AF109))</f>
        <v/>
      </c>
      <c r="BN105" s="5">
        <f>IF('Project Database'!A109="","",N('Project Database'!AG109))</f>
        <v/>
      </c>
      <c r="BO105" s="5">
        <f>IF('Project Database'!A109="","",N('Project Database'!AH109))</f>
        <v/>
      </c>
      <c r="BP105" s="5">
        <f>IF('Project Database'!A109="","",N('Project Database'!AI109))</f>
        <v/>
      </c>
      <c r="BQ105" s="5">
        <f>IF('Project Database'!A109="","",N('Project Database'!AJ109))</f>
        <v/>
      </c>
      <c r="BR105" s="5">
        <f>IF('Project Database'!A109="","",N('Project Database'!AK109))</f>
        <v/>
      </c>
      <c r="BS105" s="5">
        <f>IF('Project Database'!A109="","",N('Project Database'!AL109))</f>
        <v/>
      </c>
      <c r="BT105" s="5">
        <f>IF('Project Database'!A109="","",N('Project Database'!AM109))</f>
        <v/>
      </c>
      <c r="BU105" s="5">
        <f>IF('Project Database'!A109="","",N('Project Database'!AN109))</f>
        <v/>
      </c>
      <c r="BV105" s="5">
        <f>IF('Project Database'!A109="","",N('Project Database'!AO109))</f>
        <v/>
      </c>
      <c r="BW105" s="5">
        <f>IF('Project Database'!A109="","",N('Project Database'!AP109))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</row>
    <row r="106" ht="15" customHeight="1" s="74">
      <c r="A106" s="66">
        <f>'Project Database'!A110</f>
        <v/>
      </c>
      <c r="B106" s="66">
        <f>'Project Database'!B110</f>
        <v/>
      </c>
      <c r="C106" s="66">
        <f>'Project Database'!G110</f>
        <v/>
      </c>
      <c r="D106" s="66">
        <f>'Project Database'!H110</f>
        <v/>
      </c>
      <c r="E106" s="66">
        <f>'Project Database'!I110</f>
        <v/>
      </c>
      <c r="F106" s="66">
        <f>'Project Database'!J110</f>
        <v/>
      </c>
      <c r="G106" s="66">
        <f>'Project Database'!K110</f>
        <v/>
      </c>
      <c r="H106" s="66">
        <f>'Project Database'!L110</f>
        <v/>
      </c>
      <c r="I106" s="66">
        <f>'Project Database'!M110</f>
        <v/>
      </c>
      <c r="J106" s="66">
        <f>'Project Database'!N110</f>
        <v/>
      </c>
      <c r="K106" s="66">
        <f>'Project Database'!O110</f>
        <v/>
      </c>
      <c r="L106" s="66">
        <f>'Project Database'!P110</f>
        <v/>
      </c>
      <c r="M106" s="66">
        <f>'Project Database'!Q110</f>
        <v/>
      </c>
      <c r="N106" s="66">
        <f>'Project Database'!R110</f>
        <v/>
      </c>
      <c r="O106" s="66">
        <f>'Project Database'!S110</f>
        <v/>
      </c>
      <c r="P106" s="66">
        <f>'Project Database'!T110</f>
        <v/>
      </c>
      <c r="Q106" s="66">
        <f>'Project Database'!U110</f>
        <v/>
      </c>
      <c r="R106" s="66">
        <f>'Project Database'!V110</f>
        <v/>
      </c>
      <c r="S106" s="66">
        <f>'Project Database'!W110</f>
        <v/>
      </c>
      <c r="T106" s="66">
        <f>'Project Database'!X110</f>
        <v/>
      </c>
      <c r="U106" s="67">
        <f>'Project Database'!Y110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'Project Database'!Z110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IF(AND('Project Database'!A110&lt;&gt;"",OR('Smart Search'!$L$5="",'Smart Search'!$L$5="All",TRIM('Project Database'!D110)=TRIM('Smart Search'!$L$5)),OR(TRIM('Smart Search'!$L$6)="",TRIM('Smart Search'!$L$6)="All",ISNUMBER(SEARCH(SUBSTITUTE(SUBSTITUTE(SUBSTITUTE(TRIM('Smart Search'!$L$6),"~","~~"),"*","~*"),"?","~?"),'Project Database'!C110))),OR('Smart Search'!$L$7="",AND('Project Database'!E110&lt;&gt;"",'Project Database'!E110='Smart Search'!$L$7)),OR('Smart Search'!$L$8="",'Smart Search'!$L$8="All",TRIM('Project Database'!F110)=TRIM('Smart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IF('Project Database'!A110="","",N('Project Database'!AC110))</f>
        <v/>
      </c>
      <c r="BK106" s="5">
        <f>IF('Project Database'!A110="","",N('Project Database'!AD110))</f>
        <v/>
      </c>
      <c r="BL106" s="5">
        <f>IF('Project Database'!A110="","",N('Project Database'!AE110))</f>
        <v/>
      </c>
      <c r="BM106" s="5">
        <f>IF('Project Database'!A110="","",N('Project Database'!AF110))</f>
        <v/>
      </c>
      <c r="BN106" s="5">
        <f>IF('Project Database'!A110="","",N('Project Database'!AG110))</f>
        <v/>
      </c>
      <c r="BO106" s="5">
        <f>IF('Project Database'!A110="","",N('Project Database'!AH110))</f>
        <v/>
      </c>
      <c r="BP106" s="5">
        <f>IF('Project Database'!A110="","",N('Project Database'!AI110))</f>
        <v/>
      </c>
      <c r="BQ106" s="5">
        <f>IF('Project Database'!A110="","",N('Project Database'!AJ110))</f>
        <v/>
      </c>
      <c r="BR106" s="5">
        <f>IF('Project Database'!A110="","",N('Project Database'!AK110))</f>
        <v/>
      </c>
      <c r="BS106" s="5">
        <f>IF('Project Database'!A110="","",N('Project Database'!AL110))</f>
        <v/>
      </c>
      <c r="BT106" s="5">
        <f>IF('Project Database'!A110="","",N('Project Database'!AM110))</f>
        <v/>
      </c>
      <c r="BU106" s="5">
        <f>IF('Project Database'!A110="","",N('Project Database'!AN110))</f>
        <v/>
      </c>
      <c r="BV106" s="5">
        <f>IF('Project Database'!A110="","",N('Project Database'!AO110))</f>
        <v/>
      </c>
      <c r="BW106" s="5">
        <f>IF('Project Database'!A110="","",N('Project Database'!AP110))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</row>
    <row r="107" ht="15" customHeight="1" s="74">
      <c r="A107" s="66">
        <f>'Project Database'!A111</f>
        <v/>
      </c>
      <c r="B107" s="66">
        <f>'Project Database'!B111</f>
        <v/>
      </c>
      <c r="C107" s="66">
        <f>'Project Database'!G111</f>
        <v/>
      </c>
      <c r="D107" s="66">
        <f>'Project Database'!H111</f>
        <v/>
      </c>
      <c r="E107" s="66">
        <f>'Project Database'!I111</f>
        <v/>
      </c>
      <c r="F107" s="66">
        <f>'Project Database'!J111</f>
        <v/>
      </c>
      <c r="G107" s="66">
        <f>'Project Database'!K111</f>
        <v/>
      </c>
      <c r="H107" s="66">
        <f>'Project Database'!L111</f>
        <v/>
      </c>
      <c r="I107" s="66">
        <f>'Project Database'!M111</f>
        <v/>
      </c>
      <c r="J107" s="66">
        <f>'Project Database'!N111</f>
        <v/>
      </c>
      <c r="K107" s="66">
        <f>'Project Database'!O111</f>
        <v/>
      </c>
      <c r="L107" s="66">
        <f>'Project Database'!P111</f>
        <v/>
      </c>
      <c r="M107" s="66">
        <f>'Project Database'!Q111</f>
        <v/>
      </c>
      <c r="N107" s="66">
        <f>'Project Database'!R111</f>
        <v/>
      </c>
      <c r="O107" s="66">
        <f>'Project Database'!S111</f>
        <v/>
      </c>
      <c r="P107" s="66">
        <f>'Project Database'!T111</f>
        <v/>
      </c>
      <c r="Q107" s="66">
        <f>'Project Database'!U111</f>
        <v/>
      </c>
      <c r="R107" s="66">
        <f>'Project Database'!V111</f>
        <v/>
      </c>
      <c r="S107" s="66">
        <f>'Project Database'!W111</f>
        <v/>
      </c>
      <c r="T107" s="66">
        <f>'Project Database'!X111</f>
        <v/>
      </c>
      <c r="U107" s="67">
        <f>'Project Database'!Y111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'Project Database'!Z111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IF(AND('Project Database'!A111&lt;&gt;"",OR('Smart Search'!$L$5="",'Smart Search'!$L$5="All",TRIM('Project Database'!D111)=TRIM('Smart Search'!$L$5)),OR(TRIM('Smart Search'!$L$6)="",TRIM('Smart Search'!$L$6)="All",ISNUMBER(SEARCH(SUBSTITUTE(SUBSTITUTE(SUBSTITUTE(TRIM('Smart Search'!$L$6),"~","~~"),"*","~*"),"?","~?"),'Project Database'!C111))),OR('Smart Search'!$L$7="",AND('Project Database'!E111&lt;&gt;"",'Project Database'!E111='Smart Search'!$L$7)),OR('Smart Search'!$L$8="",'Smart Search'!$L$8="All",TRIM('Project Database'!F111)=TRIM('Smart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IF('Project Database'!A111="","",N('Project Database'!AC111))</f>
        <v/>
      </c>
      <c r="BK107" s="5">
        <f>IF('Project Database'!A111="","",N('Project Database'!AD111))</f>
        <v/>
      </c>
      <c r="BL107" s="5">
        <f>IF('Project Database'!A111="","",N('Project Database'!AE111))</f>
        <v/>
      </c>
      <c r="BM107" s="5">
        <f>IF('Project Database'!A111="","",N('Project Database'!AF111))</f>
        <v/>
      </c>
      <c r="BN107" s="5">
        <f>IF('Project Database'!A111="","",N('Project Database'!AG111))</f>
        <v/>
      </c>
      <c r="BO107" s="5">
        <f>IF('Project Database'!A111="","",N('Project Database'!AH111))</f>
        <v/>
      </c>
      <c r="BP107" s="5">
        <f>IF('Project Database'!A111="","",N('Project Database'!AI111))</f>
        <v/>
      </c>
      <c r="BQ107" s="5">
        <f>IF('Project Database'!A111="","",N('Project Database'!AJ111))</f>
        <v/>
      </c>
      <c r="BR107" s="5">
        <f>IF('Project Database'!A111="","",N('Project Database'!AK111))</f>
        <v/>
      </c>
      <c r="BS107" s="5">
        <f>IF('Project Database'!A111="","",N('Project Database'!AL111))</f>
        <v/>
      </c>
      <c r="BT107" s="5">
        <f>IF('Project Database'!A111="","",N('Project Database'!AM111))</f>
        <v/>
      </c>
      <c r="BU107" s="5">
        <f>IF('Project Database'!A111="","",N('Project Database'!AN111))</f>
        <v/>
      </c>
      <c r="BV107" s="5">
        <f>IF('Project Database'!A111="","",N('Project Database'!AO111))</f>
        <v/>
      </c>
      <c r="BW107" s="5">
        <f>IF('Project Database'!A111="","",N('Project Database'!AP111))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</row>
    <row r="108" ht="15" customHeight="1" s="74">
      <c r="A108" s="66">
        <f>'Project Database'!A112</f>
        <v/>
      </c>
      <c r="B108" s="66">
        <f>'Project Database'!B112</f>
        <v/>
      </c>
      <c r="C108" s="66">
        <f>'Project Database'!G112</f>
        <v/>
      </c>
      <c r="D108" s="66">
        <f>'Project Database'!H112</f>
        <v/>
      </c>
      <c r="E108" s="66">
        <f>'Project Database'!I112</f>
        <v/>
      </c>
      <c r="F108" s="66">
        <f>'Project Database'!J112</f>
        <v/>
      </c>
      <c r="G108" s="66">
        <f>'Project Database'!K112</f>
        <v/>
      </c>
      <c r="H108" s="66">
        <f>'Project Database'!L112</f>
        <v/>
      </c>
      <c r="I108" s="66">
        <f>'Project Database'!M112</f>
        <v/>
      </c>
      <c r="J108" s="66">
        <f>'Project Database'!N112</f>
        <v/>
      </c>
      <c r="K108" s="66">
        <f>'Project Database'!O112</f>
        <v/>
      </c>
      <c r="L108" s="66">
        <f>'Project Database'!P112</f>
        <v/>
      </c>
      <c r="M108" s="66">
        <f>'Project Database'!Q112</f>
        <v/>
      </c>
      <c r="N108" s="66">
        <f>'Project Database'!R112</f>
        <v/>
      </c>
      <c r="O108" s="66">
        <f>'Project Database'!S112</f>
        <v/>
      </c>
      <c r="P108" s="66">
        <f>'Project Database'!T112</f>
        <v/>
      </c>
      <c r="Q108" s="66">
        <f>'Project Database'!U112</f>
        <v/>
      </c>
      <c r="R108" s="66">
        <f>'Project Database'!V112</f>
        <v/>
      </c>
      <c r="S108" s="66">
        <f>'Project Database'!W112</f>
        <v/>
      </c>
      <c r="T108" s="66">
        <f>'Project Database'!X112</f>
        <v/>
      </c>
      <c r="U108" s="67">
        <f>'Project Database'!Y112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'Project Database'!Z112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IF(AND('Project Database'!A112&lt;&gt;"",OR('Smart Search'!$L$5="",'Smart Search'!$L$5="All",TRIM('Project Database'!D112)=TRIM('Smart Search'!$L$5)),OR(TRIM('Smart Search'!$L$6)="",TRIM('Smart Search'!$L$6)="All",ISNUMBER(SEARCH(SUBSTITUTE(SUBSTITUTE(SUBSTITUTE(TRIM('Smart Search'!$L$6),"~","~~"),"*","~*"),"?","~?"),'Project Database'!C112))),OR('Smart Search'!$L$7="",AND('Project Database'!E112&lt;&gt;"",'Project Database'!E112='Smart Search'!$L$7)),OR('Smart Search'!$L$8="",'Smart Search'!$L$8="All",TRIM('Project Database'!F112)=TRIM('Smart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IF('Project Database'!A112="","",N('Project Database'!AC112))</f>
        <v/>
      </c>
      <c r="BK108" s="5">
        <f>IF('Project Database'!A112="","",N('Project Database'!AD112))</f>
        <v/>
      </c>
      <c r="BL108" s="5">
        <f>IF('Project Database'!A112="","",N('Project Database'!AE112))</f>
        <v/>
      </c>
      <c r="BM108" s="5">
        <f>IF('Project Database'!A112="","",N('Project Database'!AF112))</f>
        <v/>
      </c>
      <c r="BN108" s="5">
        <f>IF('Project Database'!A112="","",N('Project Database'!AG112))</f>
        <v/>
      </c>
      <c r="BO108" s="5">
        <f>IF('Project Database'!A112="","",N('Project Database'!AH112))</f>
        <v/>
      </c>
      <c r="BP108" s="5">
        <f>IF('Project Database'!A112="","",N('Project Database'!AI112))</f>
        <v/>
      </c>
      <c r="BQ108" s="5">
        <f>IF('Project Database'!A112="","",N('Project Database'!AJ112))</f>
        <v/>
      </c>
      <c r="BR108" s="5">
        <f>IF('Project Database'!A112="","",N('Project Database'!AK112))</f>
        <v/>
      </c>
      <c r="BS108" s="5">
        <f>IF('Project Database'!A112="","",N('Project Database'!AL112))</f>
        <v/>
      </c>
      <c r="BT108" s="5">
        <f>IF('Project Database'!A112="","",N('Project Database'!AM112))</f>
        <v/>
      </c>
      <c r="BU108" s="5">
        <f>IF('Project Database'!A112="","",N('Project Database'!AN112))</f>
        <v/>
      </c>
      <c r="BV108" s="5">
        <f>IF('Project Database'!A112="","",N('Project Database'!AO112))</f>
        <v/>
      </c>
      <c r="BW108" s="5">
        <f>IF('Project Database'!A112="","",N('Project Database'!AP112))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</row>
    <row r="109" ht="15" customHeight="1" s="74">
      <c r="A109" s="66">
        <f>'Project Database'!A113</f>
        <v/>
      </c>
      <c r="B109" s="66">
        <f>'Project Database'!B113</f>
        <v/>
      </c>
      <c r="C109" s="66">
        <f>'Project Database'!G113</f>
        <v/>
      </c>
      <c r="D109" s="66">
        <f>'Project Database'!H113</f>
        <v/>
      </c>
      <c r="E109" s="66">
        <f>'Project Database'!I113</f>
        <v/>
      </c>
      <c r="F109" s="66">
        <f>'Project Database'!J113</f>
        <v/>
      </c>
      <c r="G109" s="66">
        <f>'Project Database'!K113</f>
        <v/>
      </c>
      <c r="H109" s="66">
        <f>'Project Database'!L113</f>
        <v/>
      </c>
      <c r="I109" s="66">
        <f>'Project Database'!M113</f>
        <v/>
      </c>
      <c r="J109" s="66">
        <f>'Project Database'!N113</f>
        <v/>
      </c>
      <c r="K109" s="66">
        <f>'Project Database'!O113</f>
        <v/>
      </c>
      <c r="L109" s="66">
        <f>'Project Database'!P113</f>
        <v/>
      </c>
      <c r="M109" s="66">
        <f>'Project Database'!Q113</f>
        <v/>
      </c>
      <c r="N109" s="66">
        <f>'Project Database'!R113</f>
        <v/>
      </c>
      <c r="O109" s="66">
        <f>'Project Database'!S113</f>
        <v/>
      </c>
      <c r="P109" s="66">
        <f>'Project Database'!T113</f>
        <v/>
      </c>
      <c r="Q109" s="66">
        <f>'Project Database'!U113</f>
        <v/>
      </c>
      <c r="R109" s="66">
        <f>'Project Database'!V113</f>
        <v/>
      </c>
      <c r="S109" s="66">
        <f>'Project Database'!W113</f>
        <v/>
      </c>
      <c r="T109" s="66">
        <f>'Project Database'!X113</f>
        <v/>
      </c>
      <c r="U109" s="67">
        <f>'Project Database'!Y113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'Project Database'!Z113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IF(AND('Project Database'!A113&lt;&gt;"",OR('Smart Search'!$L$5="",'Smart Search'!$L$5="All",TRIM('Project Database'!D113)=TRIM('Smart Search'!$L$5)),OR(TRIM('Smart Search'!$L$6)="",TRIM('Smart Search'!$L$6)="All",ISNUMBER(SEARCH(SUBSTITUTE(SUBSTITUTE(SUBSTITUTE(TRIM('Smart Search'!$L$6),"~","~~"),"*","~*"),"?","~?"),'Project Database'!C113))),OR('Smart Search'!$L$7="",AND('Project Database'!E113&lt;&gt;"",'Project Database'!E113='Smart Search'!$L$7)),OR('Smart Search'!$L$8="",'Smart Search'!$L$8="All",TRIM('Project Database'!F113)=TRIM('Smart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IF('Project Database'!A113="","",N('Project Database'!AC113))</f>
        <v/>
      </c>
      <c r="BK109" s="5">
        <f>IF('Project Database'!A113="","",N('Project Database'!AD113))</f>
        <v/>
      </c>
      <c r="BL109" s="5">
        <f>IF('Project Database'!A113="","",N('Project Database'!AE113))</f>
        <v/>
      </c>
      <c r="BM109" s="5">
        <f>IF('Project Database'!A113="","",N('Project Database'!AF113))</f>
        <v/>
      </c>
      <c r="BN109" s="5">
        <f>IF('Project Database'!A113="","",N('Project Database'!AG113))</f>
        <v/>
      </c>
      <c r="BO109" s="5">
        <f>IF('Project Database'!A113="","",N('Project Database'!AH113))</f>
        <v/>
      </c>
      <c r="BP109" s="5">
        <f>IF('Project Database'!A113="","",N('Project Database'!AI113))</f>
        <v/>
      </c>
      <c r="BQ109" s="5">
        <f>IF('Project Database'!A113="","",N('Project Database'!AJ113))</f>
        <v/>
      </c>
      <c r="BR109" s="5">
        <f>IF('Project Database'!A113="","",N('Project Database'!AK113))</f>
        <v/>
      </c>
      <c r="BS109" s="5">
        <f>IF('Project Database'!A113="","",N('Project Database'!AL113))</f>
        <v/>
      </c>
      <c r="BT109" s="5">
        <f>IF('Project Database'!A113="","",N('Project Database'!AM113))</f>
        <v/>
      </c>
      <c r="BU109" s="5">
        <f>IF('Project Database'!A113="","",N('Project Database'!AN113))</f>
        <v/>
      </c>
      <c r="BV109" s="5">
        <f>IF('Project Database'!A113="","",N('Project Database'!AO113))</f>
        <v/>
      </c>
      <c r="BW109" s="5">
        <f>IF('Project Database'!A113="","",N('Project Database'!AP113))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</row>
    <row r="110" ht="15" customHeight="1" s="74">
      <c r="A110" s="66">
        <f>'Project Database'!A114</f>
        <v/>
      </c>
      <c r="B110" s="66">
        <f>'Project Database'!B114</f>
        <v/>
      </c>
      <c r="C110" s="66">
        <f>'Project Database'!G114</f>
        <v/>
      </c>
      <c r="D110" s="66">
        <f>'Project Database'!H114</f>
        <v/>
      </c>
      <c r="E110" s="66">
        <f>'Project Database'!I114</f>
        <v/>
      </c>
      <c r="F110" s="66">
        <f>'Project Database'!J114</f>
        <v/>
      </c>
      <c r="G110" s="66">
        <f>'Project Database'!K114</f>
        <v/>
      </c>
      <c r="H110" s="66">
        <f>'Project Database'!L114</f>
        <v/>
      </c>
      <c r="I110" s="66">
        <f>'Project Database'!M114</f>
        <v/>
      </c>
      <c r="J110" s="66">
        <f>'Project Database'!N114</f>
        <v/>
      </c>
      <c r="K110" s="66">
        <f>'Project Database'!O114</f>
        <v/>
      </c>
      <c r="L110" s="66">
        <f>'Project Database'!P114</f>
        <v/>
      </c>
      <c r="M110" s="66">
        <f>'Project Database'!Q114</f>
        <v/>
      </c>
      <c r="N110" s="66">
        <f>'Project Database'!R114</f>
        <v/>
      </c>
      <c r="O110" s="66">
        <f>'Project Database'!S114</f>
        <v/>
      </c>
      <c r="P110" s="66">
        <f>'Project Database'!T114</f>
        <v/>
      </c>
      <c r="Q110" s="66">
        <f>'Project Database'!U114</f>
        <v/>
      </c>
      <c r="R110" s="66">
        <f>'Project Database'!V114</f>
        <v/>
      </c>
      <c r="S110" s="66">
        <f>'Project Database'!W114</f>
        <v/>
      </c>
      <c r="T110" s="66">
        <f>'Project Database'!X114</f>
        <v/>
      </c>
      <c r="U110" s="67">
        <f>'Project Database'!Y114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'Project Database'!Z114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IF(AND('Project Database'!A114&lt;&gt;"",OR('Smart Search'!$L$5="",'Smart Search'!$L$5="All",TRIM('Project Database'!D114)=TRIM('Smart Search'!$L$5)),OR(TRIM('Smart Search'!$L$6)="",TRIM('Smart Search'!$L$6)="All",ISNUMBER(SEARCH(SUBSTITUTE(SUBSTITUTE(SUBSTITUTE(TRIM('Smart Search'!$L$6),"~","~~"),"*","~*"),"?","~?"),'Project Database'!C114))),OR('Smart Search'!$L$7="",AND('Project Database'!E114&lt;&gt;"",'Project Database'!E114='Smart Search'!$L$7)),OR('Smart Search'!$L$8="",'Smart Search'!$L$8="All",TRIM('Project Database'!F114)=TRIM('Smart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IF('Project Database'!A114="","",N('Project Database'!AC114))</f>
        <v/>
      </c>
      <c r="BK110" s="5">
        <f>IF('Project Database'!A114="","",N('Project Database'!AD114))</f>
        <v/>
      </c>
      <c r="BL110" s="5">
        <f>IF('Project Database'!A114="","",N('Project Database'!AE114))</f>
        <v/>
      </c>
      <c r="BM110" s="5">
        <f>IF('Project Database'!A114="","",N('Project Database'!AF114))</f>
        <v/>
      </c>
      <c r="BN110" s="5">
        <f>IF('Project Database'!A114="","",N('Project Database'!AG114))</f>
        <v/>
      </c>
      <c r="BO110" s="5">
        <f>IF('Project Database'!A114="","",N('Project Database'!AH114))</f>
        <v/>
      </c>
      <c r="BP110" s="5">
        <f>IF('Project Database'!A114="","",N('Project Database'!AI114))</f>
        <v/>
      </c>
      <c r="BQ110" s="5">
        <f>IF('Project Database'!A114="","",N('Project Database'!AJ114))</f>
        <v/>
      </c>
      <c r="BR110" s="5">
        <f>IF('Project Database'!A114="","",N('Project Database'!AK114))</f>
        <v/>
      </c>
      <c r="BS110" s="5">
        <f>IF('Project Database'!A114="","",N('Project Database'!AL114))</f>
        <v/>
      </c>
      <c r="BT110" s="5">
        <f>IF('Project Database'!A114="","",N('Project Database'!AM114))</f>
        <v/>
      </c>
      <c r="BU110" s="5">
        <f>IF('Project Database'!A114="","",N('Project Database'!AN114))</f>
        <v/>
      </c>
      <c r="BV110" s="5">
        <f>IF('Project Database'!A114="","",N('Project Database'!AO114))</f>
        <v/>
      </c>
      <c r="BW110" s="5">
        <f>IF('Project Database'!A114="","",N('Project Database'!AP114))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</row>
    <row r="111" ht="15" customHeight="1" s="74">
      <c r="A111" s="66">
        <f>'Project Database'!A115</f>
        <v/>
      </c>
      <c r="B111" s="66">
        <f>'Project Database'!B115</f>
        <v/>
      </c>
      <c r="C111" s="66">
        <f>'Project Database'!G115</f>
        <v/>
      </c>
      <c r="D111" s="66">
        <f>'Project Database'!H115</f>
        <v/>
      </c>
      <c r="E111" s="66">
        <f>'Project Database'!I115</f>
        <v/>
      </c>
      <c r="F111" s="66">
        <f>'Project Database'!J115</f>
        <v/>
      </c>
      <c r="G111" s="66">
        <f>'Project Database'!K115</f>
        <v/>
      </c>
      <c r="H111" s="66">
        <f>'Project Database'!L115</f>
        <v/>
      </c>
      <c r="I111" s="66">
        <f>'Project Database'!M115</f>
        <v/>
      </c>
      <c r="J111" s="66">
        <f>'Project Database'!N115</f>
        <v/>
      </c>
      <c r="K111" s="66">
        <f>'Project Database'!O115</f>
        <v/>
      </c>
      <c r="L111" s="66">
        <f>'Project Database'!P115</f>
        <v/>
      </c>
      <c r="M111" s="66">
        <f>'Project Database'!Q115</f>
        <v/>
      </c>
      <c r="N111" s="66">
        <f>'Project Database'!R115</f>
        <v/>
      </c>
      <c r="O111" s="66">
        <f>'Project Database'!S115</f>
        <v/>
      </c>
      <c r="P111" s="66">
        <f>'Project Database'!T115</f>
        <v/>
      </c>
      <c r="Q111" s="66">
        <f>'Project Database'!U115</f>
        <v/>
      </c>
      <c r="R111" s="66">
        <f>'Project Database'!V115</f>
        <v/>
      </c>
      <c r="S111" s="66">
        <f>'Project Database'!W115</f>
        <v/>
      </c>
      <c r="T111" s="66">
        <f>'Project Database'!X115</f>
        <v/>
      </c>
      <c r="U111" s="67">
        <f>'Project Database'!Y115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'Project Database'!Z115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IF(AND('Project Database'!A115&lt;&gt;"",OR('Smart Search'!$L$5="",'Smart Search'!$L$5="All",TRIM('Project Database'!D115)=TRIM('Smart Search'!$L$5)),OR(TRIM('Smart Search'!$L$6)="",TRIM('Smart Search'!$L$6)="All",ISNUMBER(SEARCH(SUBSTITUTE(SUBSTITUTE(SUBSTITUTE(TRIM('Smart Search'!$L$6),"~","~~"),"*","~*"),"?","~?"),'Project Database'!C115))),OR('Smart Search'!$L$7="",AND('Project Database'!E115&lt;&gt;"",'Project Database'!E115='Smart Search'!$L$7)),OR('Smart Search'!$L$8="",'Smart Search'!$L$8="All",TRIM('Project Database'!F115)=TRIM('Smart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IF('Project Database'!A115="","",N('Project Database'!AC115))</f>
        <v/>
      </c>
      <c r="BK111" s="5">
        <f>IF('Project Database'!A115="","",N('Project Database'!AD115))</f>
        <v/>
      </c>
      <c r="BL111" s="5">
        <f>IF('Project Database'!A115="","",N('Project Database'!AE115))</f>
        <v/>
      </c>
      <c r="BM111" s="5">
        <f>IF('Project Database'!A115="","",N('Project Database'!AF115))</f>
        <v/>
      </c>
      <c r="BN111" s="5">
        <f>IF('Project Database'!A115="","",N('Project Database'!AG115))</f>
        <v/>
      </c>
      <c r="BO111" s="5">
        <f>IF('Project Database'!A115="","",N('Project Database'!AH115))</f>
        <v/>
      </c>
      <c r="BP111" s="5">
        <f>IF('Project Database'!A115="","",N('Project Database'!AI115))</f>
        <v/>
      </c>
      <c r="BQ111" s="5">
        <f>IF('Project Database'!A115="","",N('Project Database'!AJ115))</f>
        <v/>
      </c>
      <c r="BR111" s="5">
        <f>IF('Project Database'!A115="","",N('Project Database'!AK115))</f>
        <v/>
      </c>
      <c r="BS111" s="5">
        <f>IF('Project Database'!A115="","",N('Project Database'!AL115))</f>
        <v/>
      </c>
      <c r="BT111" s="5">
        <f>IF('Project Database'!A115="","",N('Project Database'!AM115))</f>
        <v/>
      </c>
      <c r="BU111" s="5">
        <f>IF('Project Database'!A115="","",N('Project Database'!AN115))</f>
        <v/>
      </c>
      <c r="BV111" s="5">
        <f>IF('Project Database'!A115="","",N('Project Database'!AO115))</f>
        <v/>
      </c>
      <c r="BW111" s="5">
        <f>IF('Project Database'!A115="","",N('Project Database'!AP115))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</row>
    <row r="112" ht="15" customHeight="1" s="74">
      <c r="A112" s="66">
        <f>'Project Database'!A116</f>
        <v/>
      </c>
      <c r="B112" s="66">
        <f>'Project Database'!B116</f>
        <v/>
      </c>
      <c r="C112" s="66">
        <f>'Project Database'!G116</f>
        <v/>
      </c>
      <c r="D112" s="66">
        <f>'Project Database'!H116</f>
        <v/>
      </c>
      <c r="E112" s="66">
        <f>'Project Database'!I116</f>
        <v/>
      </c>
      <c r="F112" s="66">
        <f>'Project Database'!J116</f>
        <v/>
      </c>
      <c r="G112" s="66">
        <f>'Project Database'!K116</f>
        <v/>
      </c>
      <c r="H112" s="66">
        <f>'Project Database'!L116</f>
        <v/>
      </c>
      <c r="I112" s="66">
        <f>'Project Database'!M116</f>
        <v/>
      </c>
      <c r="J112" s="66">
        <f>'Project Database'!N116</f>
        <v/>
      </c>
      <c r="K112" s="66">
        <f>'Project Database'!O116</f>
        <v/>
      </c>
      <c r="L112" s="66">
        <f>'Project Database'!P116</f>
        <v/>
      </c>
      <c r="M112" s="66">
        <f>'Project Database'!Q116</f>
        <v/>
      </c>
      <c r="N112" s="66">
        <f>'Project Database'!R116</f>
        <v/>
      </c>
      <c r="O112" s="66">
        <f>'Project Database'!S116</f>
        <v/>
      </c>
      <c r="P112" s="66">
        <f>'Project Database'!T116</f>
        <v/>
      </c>
      <c r="Q112" s="66">
        <f>'Project Database'!U116</f>
        <v/>
      </c>
      <c r="R112" s="66">
        <f>'Project Database'!V116</f>
        <v/>
      </c>
      <c r="S112" s="66">
        <f>'Project Database'!W116</f>
        <v/>
      </c>
      <c r="T112" s="66">
        <f>'Project Database'!X116</f>
        <v/>
      </c>
      <c r="U112" s="67">
        <f>'Project Database'!Y116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'Project Database'!Z116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IF(AND('Project Database'!A116&lt;&gt;"",OR('Smart Search'!$L$5="",'Smart Search'!$L$5="All",TRIM('Project Database'!D116)=TRIM('Smart Search'!$L$5)),OR(TRIM('Smart Search'!$L$6)="",TRIM('Smart Search'!$L$6)="All",ISNUMBER(SEARCH(SUBSTITUTE(SUBSTITUTE(SUBSTITUTE(TRIM('Smart Search'!$L$6),"~","~~"),"*","~*"),"?","~?"),'Project Database'!C116))),OR('Smart Search'!$L$7="",AND('Project Database'!E116&lt;&gt;"",'Project Database'!E116='Smart Search'!$L$7)),OR('Smart Search'!$L$8="",'Smart Search'!$L$8="All",TRIM('Project Database'!F116)=TRIM('Smart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IF('Project Database'!A116="","",N('Project Database'!AC116))</f>
        <v/>
      </c>
      <c r="BK112" s="5">
        <f>IF('Project Database'!A116="","",N('Project Database'!AD116))</f>
        <v/>
      </c>
      <c r="BL112" s="5">
        <f>IF('Project Database'!A116="","",N('Project Database'!AE116))</f>
        <v/>
      </c>
      <c r="BM112" s="5">
        <f>IF('Project Database'!A116="","",N('Project Database'!AF116))</f>
        <v/>
      </c>
      <c r="BN112" s="5">
        <f>IF('Project Database'!A116="","",N('Project Database'!AG116))</f>
        <v/>
      </c>
      <c r="BO112" s="5">
        <f>IF('Project Database'!A116="","",N('Project Database'!AH116))</f>
        <v/>
      </c>
      <c r="BP112" s="5">
        <f>IF('Project Database'!A116="","",N('Project Database'!AI116))</f>
        <v/>
      </c>
      <c r="BQ112" s="5">
        <f>IF('Project Database'!A116="","",N('Project Database'!AJ116))</f>
        <v/>
      </c>
      <c r="BR112" s="5">
        <f>IF('Project Database'!A116="","",N('Project Database'!AK116))</f>
        <v/>
      </c>
      <c r="BS112" s="5">
        <f>IF('Project Database'!A116="","",N('Project Database'!AL116))</f>
        <v/>
      </c>
      <c r="BT112" s="5">
        <f>IF('Project Database'!A116="","",N('Project Database'!AM116))</f>
        <v/>
      </c>
      <c r="BU112" s="5">
        <f>IF('Project Database'!A116="","",N('Project Database'!AN116))</f>
        <v/>
      </c>
      <c r="BV112" s="5">
        <f>IF('Project Database'!A116="","",N('Project Database'!AO116))</f>
        <v/>
      </c>
      <c r="BW112" s="5">
        <f>IF('Project Database'!A116="","",N('Project Database'!AP116))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</row>
    <row r="113" ht="15" customHeight="1" s="74">
      <c r="A113" s="66">
        <f>'Project Database'!A117</f>
        <v/>
      </c>
      <c r="B113" s="66">
        <f>'Project Database'!B117</f>
        <v/>
      </c>
      <c r="C113" s="66">
        <f>'Project Database'!G117</f>
        <v/>
      </c>
      <c r="D113" s="66">
        <f>'Project Database'!H117</f>
        <v/>
      </c>
      <c r="E113" s="66">
        <f>'Project Database'!I117</f>
        <v/>
      </c>
      <c r="F113" s="66">
        <f>'Project Database'!J117</f>
        <v/>
      </c>
      <c r="G113" s="66">
        <f>'Project Database'!K117</f>
        <v/>
      </c>
      <c r="H113" s="66">
        <f>'Project Database'!L117</f>
        <v/>
      </c>
      <c r="I113" s="66">
        <f>'Project Database'!M117</f>
        <v/>
      </c>
      <c r="J113" s="66">
        <f>'Project Database'!N117</f>
        <v/>
      </c>
      <c r="K113" s="66">
        <f>'Project Database'!O117</f>
        <v/>
      </c>
      <c r="L113" s="66">
        <f>'Project Database'!P117</f>
        <v/>
      </c>
      <c r="M113" s="66">
        <f>'Project Database'!Q117</f>
        <v/>
      </c>
      <c r="N113" s="66">
        <f>'Project Database'!R117</f>
        <v/>
      </c>
      <c r="O113" s="66">
        <f>'Project Database'!S117</f>
        <v/>
      </c>
      <c r="P113" s="66">
        <f>'Project Database'!T117</f>
        <v/>
      </c>
      <c r="Q113" s="66">
        <f>'Project Database'!U117</f>
        <v/>
      </c>
      <c r="R113" s="66">
        <f>'Project Database'!V117</f>
        <v/>
      </c>
      <c r="S113" s="66">
        <f>'Project Database'!W117</f>
        <v/>
      </c>
      <c r="T113" s="66">
        <f>'Project Database'!X117</f>
        <v/>
      </c>
      <c r="U113" s="67">
        <f>'Project Database'!Y117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'Project Database'!Z117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IF(AND('Project Database'!A117&lt;&gt;"",OR('Smart Search'!$L$5="",'Smart Search'!$L$5="All",TRIM('Project Database'!D117)=TRIM('Smart Search'!$L$5)),OR(TRIM('Smart Search'!$L$6)="",TRIM('Smart Search'!$L$6)="All",ISNUMBER(SEARCH(SUBSTITUTE(SUBSTITUTE(SUBSTITUTE(TRIM('Smart Search'!$L$6),"~","~~"),"*","~*"),"?","~?"),'Project Database'!C117))),OR('Smart Search'!$L$7="",AND('Project Database'!E117&lt;&gt;"",'Project Database'!E117='Smart Search'!$L$7)),OR('Smart Search'!$L$8="",'Smart Search'!$L$8="All",TRIM('Project Database'!F117)=TRIM('Smart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IF('Project Database'!A117="","",N('Project Database'!AC117))</f>
        <v/>
      </c>
      <c r="BK113" s="5">
        <f>IF('Project Database'!A117="","",N('Project Database'!AD117))</f>
        <v/>
      </c>
      <c r="BL113" s="5">
        <f>IF('Project Database'!A117="","",N('Project Database'!AE117))</f>
        <v/>
      </c>
      <c r="BM113" s="5">
        <f>IF('Project Database'!A117="","",N('Project Database'!AF117))</f>
        <v/>
      </c>
      <c r="BN113" s="5">
        <f>IF('Project Database'!A117="","",N('Project Database'!AG117))</f>
        <v/>
      </c>
      <c r="BO113" s="5">
        <f>IF('Project Database'!A117="","",N('Project Database'!AH117))</f>
        <v/>
      </c>
      <c r="BP113" s="5">
        <f>IF('Project Database'!A117="","",N('Project Database'!AI117))</f>
        <v/>
      </c>
      <c r="BQ113" s="5">
        <f>IF('Project Database'!A117="","",N('Project Database'!AJ117))</f>
        <v/>
      </c>
      <c r="BR113" s="5">
        <f>IF('Project Database'!A117="","",N('Project Database'!AK117))</f>
        <v/>
      </c>
      <c r="BS113" s="5">
        <f>IF('Project Database'!A117="","",N('Project Database'!AL117))</f>
        <v/>
      </c>
      <c r="BT113" s="5">
        <f>IF('Project Database'!A117="","",N('Project Database'!AM117))</f>
        <v/>
      </c>
      <c r="BU113" s="5">
        <f>IF('Project Database'!A117="","",N('Project Database'!AN117))</f>
        <v/>
      </c>
      <c r="BV113" s="5">
        <f>IF('Project Database'!A117="","",N('Project Database'!AO117))</f>
        <v/>
      </c>
      <c r="BW113" s="5">
        <f>IF('Project Database'!A117="","",N('Project Database'!AP117))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</row>
    <row r="114" ht="15" customHeight="1" s="74">
      <c r="A114" s="66">
        <f>'Project Database'!A118</f>
        <v/>
      </c>
      <c r="B114" s="66">
        <f>'Project Database'!B118</f>
        <v/>
      </c>
      <c r="C114" s="66">
        <f>'Project Database'!G118</f>
        <v/>
      </c>
      <c r="D114" s="66">
        <f>'Project Database'!H118</f>
        <v/>
      </c>
      <c r="E114" s="66">
        <f>'Project Database'!I118</f>
        <v/>
      </c>
      <c r="F114" s="66">
        <f>'Project Database'!J118</f>
        <v/>
      </c>
      <c r="G114" s="66">
        <f>'Project Database'!K118</f>
        <v/>
      </c>
      <c r="H114" s="66">
        <f>'Project Database'!L118</f>
        <v/>
      </c>
      <c r="I114" s="66">
        <f>'Project Database'!M118</f>
        <v/>
      </c>
      <c r="J114" s="66">
        <f>'Project Database'!N118</f>
        <v/>
      </c>
      <c r="K114" s="66">
        <f>'Project Database'!O118</f>
        <v/>
      </c>
      <c r="L114" s="66">
        <f>'Project Database'!P118</f>
        <v/>
      </c>
      <c r="M114" s="66">
        <f>'Project Database'!Q118</f>
        <v/>
      </c>
      <c r="N114" s="66">
        <f>'Project Database'!R118</f>
        <v/>
      </c>
      <c r="O114" s="66">
        <f>'Project Database'!S118</f>
        <v/>
      </c>
      <c r="P114" s="66">
        <f>'Project Database'!T118</f>
        <v/>
      </c>
      <c r="Q114" s="66">
        <f>'Project Database'!U118</f>
        <v/>
      </c>
      <c r="R114" s="66">
        <f>'Project Database'!V118</f>
        <v/>
      </c>
      <c r="S114" s="66">
        <f>'Project Database'!W118</f>
        <v/>
      </c>
      <c r="T114" s="66">
        <f>'Project Database'!X118</f>
        <v/>
      </c>
      <c r="U114" s="67">
        <f>'Project Database'!Y118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'Project Database'!Z118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IF(AND('Project Database'!A118&lt;&gt;"",OR('Smart Search'!$L$5="",'Smart Search'!$L$5="All",TRIM('Project Database'!D118)=TRIM('Smart Search'!$L$5)),OR(TRIM('Smart Search'!$L$6)="",TRIM('Smart Search'!$L$6)="All",ISNUMBER(SEARCH(SUBSTITUTE(SUBSTITUTE(SUBSTITUTE(TRIM('Smart Search'!$L$6),"~","~~"),"*","~*"),"?","~?"),'Project Database'!C118))),OR('Smart Search'!$L$7="",AND('Project Database'!E118&lt;&gt;"",'Project Database'!E118='Smart Search'!$L$7)),OR('Smart Search'!$L$8="",'Smart Search'!$L$8="All",TRIM('Project Database'!F118)=TRIM('Smart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IF('Project Database'!A118="","",N('Project Database'!AC118))</f>
        <v/>
      </c>
      <c r="BK114" s="5">
        <f>IF('Project Database'!A118="","",N('Project Database'!AD118))</f>
        <v/>
      </c>
      <c r="BL114" s="5">
        <f>IF('Project Database'!A118="","",N('Project Database'!AE118))</f>
        <v/>
      </c>
      <c r="BM114" s="5">
        <f>IF('Project Database'!A118="","",N('Project Database'!AF118))</f>
        <v/>
      </c>
      <c r="BN114" s="5">
        <f>IF('Project Database'!A118="","",N('Project Database'!AG118))</f>
        <v/>
      </c>
      <c r="BO114" s="5">
        <f>IF('Project Database'!A118="","",N('Project Database'!AH118))</f>
        <v/>
      </c>
      <c r="BP114" s="5">
        <f>IF('Project Database'!A118="","",N('Project Database'!AI118))</f>
        <v/>
      </c>
      <c r="BQ114" s="5">
        <f>IF('Project Database'!A118="","",N('Project Database'!AJ118))</f>
        <v/>
      </c>
      <c r="BR114" s="5">
        <f>IF('Project Database'!A118="","",N('Project Database'!AK118))</f>
        <v/>
      </c>
      <c r="BS114" s="5">
        <f>IF('Project Database'!A118="","",N('Project Database'!AL118))</f>
        <v/>
      </c>
      <c r="BT114" s="5">
        <f>IF('Project Database'!A118="","",N('Project Database'!AM118))</f>
        <v/>
      </c>
      <c r="BU114" s="5">
        <f>IF('Project Database'!A118="","",N('Project Database'!AN118))</f>
        <v/>
      </c>
      <c r="BV114" s="5">
        <f>IF('Project Database'!A118="","",N('Project Database'!AO118))</f>
        <v/>
      </c>
      <c r="BW114" s="5">
        <f>IF('Project Database'!A118="","",N('Project Database'!AP118))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</row>
    <row r="115" ht="15" customHeight="1" s="74">
      <c r="A115" s="66">
        <f>'Project Database'!A119</f>
        <v/>
      </c>
      <c r="B115" s="66">
        <f>'Project Database'!B119</f>
        <v/>
      </c>
      <c r="C115" s="66">
        <f>'Project Database'!G119</f>
        <v/>
      </c>
      <c r="D115" s="66">
        <f>'Project Database'!H119</f>
        <v/>
      </c>
      <c r="E115" s="66">
        <f>'Project Database'!I119</f>
        <v/>
      </c>
      <c r="F115" s="66">
        <f>'Project Database'!J119</f>
        <v/>
      </c>
      <c r="G115" s="66">
        <f>'Project Database'!K119</f>
        <v/>
      </c>
      <c r="H115" s="66">
        <f>'Project Database'!L119</f>
        <v/>
      </c>
      <c r="I115" s="66">
        <f>'Project Database'!M119</f>
        <v/>
      </c>
      <c r="J115" s="66">
        <f>'Project Database'!N119</f>
        <v/>
      </c>
      <c r="K115" s="66">
        <f>'Project Database'!O119</f>
        <v/>
      </c>
      <c r="L115" s="66">
        <f>'Project Database'!P119</f>
        <v/>
      </c>
      <c r="M115" s="66">
        <f>'Project Database'!Q119</f>
        <v/>
      </c>
      <c r="N115" s="66">
        <f>'Project Database'!R119</f>
        <v/>
      </c>
      <c r="O115" s="66">
        <f>'Project Database'!S119</f>
        <v/>
      </c>
      <c r="P115" s="66">
        <f>'Project Database'!T119</f>
        <v/>
      </c>
      <c r="Q115" s="66">
        <f>'Project Database'!U119</f>
        <v/>
      </c>
      <c r="R115" s="66">
        <f>'Project Database'!V119</f>
        <v/>
      </c>
      <c r="S115" s="66">
        <f>'Project Database'!W119</f>
        <v/>
      </c>
      <c r="T115" s="66">
        <f>'Project Database'!X119</f>
        <v/>
      </c>
      <c r="U115" s="67">
        <f>'Project Database'!Y119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'Project Database'!Z119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IF(AND('Project Database'!A119&lt;&gt;"",OR('Smart Search'!$L$5="",'Smart Search'!$L$5="All",TRIM('Project Database'!D119)=TRIM('Smart Search'!$L$5)),OR(TRIM('Smart Search'!$L$6)="",TRIM('Smart Search'!$L$6)="All",ISNUMBER(SEARCH(SUBSTITUTE(SUBSTITUTE(SUBSTITUTE(TRIM('Smart Search'!$L$6),"~","~~"),"*","~*"),"?","~?"),'Project Database'!C119))),OR('Smart Search'!$L$7="",AND('Project Database'!E119&lt;&gt;"",'Project Database'!E119='Smart Search'!$L$7)),OR('Smart Search'!$L$8="",'Smart Search'!$L$8="All",TRIM('Project Database'!F119)=TRIM('Smart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IF('Project Database'!A119="","",N('Project Database'!AC119))</f>
        <v/>
      </c>
      <c r="BK115" s="5">
        <f>IF('Project Database'!A119="","",N('Project Database'!AD119))</f>
        <v/>
      </c>
      <c r="BL115" s="5">
        <f>IF('Project Database'!A119="","",N('Project Database'!AE119))</f>
        <v/>
      </c>
      <c r="BM115" s="5">
        <f>IF('Project Database'!A119="","",N('Project Database'!AF119))</f>
        <v/>
      </c>
      <c r="BN115" s="5">
        <f>IF('Project Database'!A119="","",N('Project Database'!AG119))</f>
        <v/>
      </c>
      <c r="BO115" s="5">
        <f>IF('Project Database'!A119="","",N('Project Database'!AH119))</f>
        <v/>
      </c>
      <c r="BP115" s="5">
        <f>IF('Project Database'!A119="","",N('Project Database'!AI119))</f>
        <v/>
      </c>
      <c r="BQ115" s="5">
        <f>IF('Project Database'!A119="","",N('Project Database'!AJ119))</f>
        <v/>
      </c>
      <c r="BR115" s="5">
        <f>IF('Project Database'!A119="","",N('Project Database'!AK119))</f>
        <v/>
      </c>
      <c r="BS115" s="5">
        <f>IF('Project Database'!A119="","",N('Project Database'!AL119))</f>
        <v/>
      </c>
      <c r="BT115" s="5">
        <f>IF('Project Database'!A119="","",N('Project Database'!AM119))</f>
        <v/>
      </c>
      <c r="BU115" s="5">
        <f>IF('Project Database'!A119="","",N('Project Database'!AN119))</f>
        <v/>
      </c>
      <c r="BV115" s="5">
        <f>IF('Project Database'!A119="","",N('Project Database'!AO119))</f>
        <v/>
      </c>
      <c r="BW115" s="5">
        <f>IF('Project Database'!A119="","",N('Project Database'!AP119))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</row>
    <row r="116" ht="15" customHeight="1" s="74">
      <c r="A116" s="66">
        <f>'Project Database'!A120</f>
        <v/>
      </c>
      <c r="B116" s="66">
        <f>'Project Database'!B120</f>
        <v/>
      </c>
      <c r="C116" s="66">
        <f>'Project Database'!G120</f>
        <v/>
      </c>
      <c r="D116" s="66">
        <f>'Project Database'!H120</f>
        <v/>
      </c>
      <c r="E116" s="66">
        <f>'Project Database'!I120</f>
        <v/>
      </c>
      <c r="F116" s="66">
        <f>'Project Database'!J120</f>
        <v/>
      </c>
      <c r="G116" s="66">
        <f>'Project Database'!K120</f>
        <v/>
      </c>
      <c r="H116" s="66">
        <f>'Project Database'!L120</f>
        <v/>
      </c>
      <c r="I116" s="66">
        <f>'Project Database'!M120</f>
        <v/>
      </c>
      <c r="J116" s="66">
        <f>'Project Database'!N120</f>
        <v/>
      </c>
      <c r="K116" s="66">
        <f>'Project Database'!O120</f>
        <v/>
      </c>
      <c r="L116" s="66">
        <f>'Project Database'!P120</f>
        <v/>
      </c>
      <c r="M116" s="66">
        <f>'Project Database'!Q120</f>
        <v/>
      </c>
      <c r="N116" s="66">
        <f>'Project Database'!R120</f>
        <v/>
      </c>
      <c r="O116" s="66">
        <f>'Project Database'!S120</f>
        <v/>
      </c>
      <c r="P116" s="66">
        <f>'Project Database'!T120</f>
        <v/>
      </c>
      <c r="Q116" s="66">
        <f>'Project Database'!U120</f>
        <v/>
      </c>
      <c r="R116" s="66">
        <f>'Project Database'!V120</f>
        <v/>
      </c>
      <c r="S116" s="66">
        <f>'Project Database'!W120</f>
        <v/>
      </c>
      <c r="T116" s="66">
        <f>'Project Database'!X120</f>
        <v/>
      </c>
      <c r="U116" s="67">
        <f>'Project Database'!Y120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'Project Database'!Z120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IF(AND('Project Database'!A120&lt;&gt;"",OR('Smart Search'!$L$5="",'Smart Search'!$L$5="All",TRIM('Project Database'!D120)=TRIM('Smart Search'!$L$5)),OR(TRIM('Smart Search'!$L$6)="",TRIM('Smart Search'!$L$6)="All",ISNUMBER(SEARCH(SUBSTITUTE(SUBSTITUTE(SUBSTITUTE(TRIM('Smart Search'!$L$6),"~","~~"),"*","~*"),"?","~?"),'Project Database'!C120))),OR('Smart Search'!$L$7="",AND('Project Database'!E120&lt;&gt;"",'Project Database'!E120='Smart Search'!$L$7)),OR('Smart Search'!$L$8="",'Smart Search'!$L$8="All",TRIM('Project Database'!F120)=TRIM('Smart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IF('Project Database'!A120="","",N('Project Database'!AC120))</f>
        <v/>
      </c>
      <c r="BK116" s="5">
        <f>IF('Project Database'!A120="","",N('Project Database'!AD120))</f>
        <v/>
      </c>
      <c r="BL116" s="5">
        <f>IF('Project Database'!A120="","",N('Project Database'!AE120))</f>
        <v/>
      </c>
      <c r="BM116" s="5">
        <f>IF('Project Database'!A120="","",N('Project Database'!AF120))</f>
        <v/>
      </c>
      <c r="BN116" s="5">
        <f>IF('Project Database'!A120="","",N('Project Database'!AG120))</f>
        <v/>
      </c>
      <c r="BO116" s="5">
        <f>IF('Project Database'!A120="","",N('Project Database'!AH120))</f>
        <v/>
      </c>
      <c r="BP116" s="5">
        <f>IF('Project Database'!A120="","",N('Project Database'!AI120))</f>
        <v/>
      </c>
      <c r="BQ116" s="5">
        <f>IF('Project Database'!A120="","",N('Project Database'!AJ120))</f>
        <v/>
      </c>
      <c r="BR116" s="5">
        <f>IF('Project Database'!A120="","",N('Project Database'!AK120))</f>
        <v/>
      </c>
      <c r="BS116" s="5">
        <f>IF('Project Database'!A120="","",N('Project Database'!AL120))</f>
        <v/>
      </c>
      <c r="BT116" s="5">
        <f>IF('Project Database'!A120="","",N('Project Database'!AM120))</f>
        <v/>
      </c>
      <c r="BU116" s="5">
        <f>IF('Project Database'!A120="","",N('Project Database'!AN120))</f>
        <v/>
      </c>
      <c r="BV116" s="5">
        <f>IF('Project Database'!A120="","",N('Project Database'!AO120))</f>
        <v/>
      </c>
      <c r="BW116" s="5">
        <f>IF('Project Database'!A120="","",N('Project Database'!AP120))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</row>
    <row r="117" ht="15" customHeight="1" s="74">
      <c r="A117" s="66">
        <f>'Project Database'!A121</f>
        <v/>
      </c>
      <c r="B117" s="66">
        <f>'Project Database'!B121</f>
        <v/>
      </c>
      <c r="C117" s="66">
        <f>'Project Database'!G121</f>
        <v/>
      </c>
      <c r="D117" s="66">
        <f>'Project Database'!H121</f>
        <v/>
      </c>
      <c r="E117" s="66">
        <f>'Project Database'!I121</f>
        <v/>
      </c>
      <c r="F117" s="66">
        <f>'Project Database'!J121</f>
        <v/>
      </c>
      <c r="G117" s="66">
        <f>'Project Database'!K121</f>
        <v/>
      </c>
      <c r="H117" s="66">
        <f>'Project Database'!L121</f>
        <v/>
      </c>
      <c r="I117" s="66">
        <f>'Project Database'!M121</f>
        <v/>
      </c>
      <c r="J117" s="66">
        <f>'Project Database'!N121</f>
        <v/>
      </c>
      <c r="K117" s="66">
        <f>'Project Database'!O121</f>
        <v/>
      </c>
      <c r="L117" s="66">
        <f>'Project Database'!P121</f>
        <v/>
      </c>
      <c r="M117" s="66">
        <f>'Project Database'!Q121</f>
        <v/>
      </c>
      <c r="N117" s="66">
        <f>'Project Database'!R121</f>
        <v/>
      </c>
      <c r="O117" s="66">
        <f>'Project Database'!S121</f>
        <v/>
      </c>
      <c r="P117" s="66">
        <f>'Project Database'!T121</f>
        <v/>
      </c>
      <c r="Q117" s="66">
        <f>'Project Database'!U121</f>
        <v/>
      </c>
      <c r="R117" s="66">
        <f>'Project Database'!V121</f>
        <v/>
      </c>
      <c r="S117" s="66">
        <f>'Project Database'!W121</f>
        <v/>
      </c>
      <c r="T117" s="66">
        <f>'Project Database'!X121</f>
        <v/>
      </c>
      <c r="U117" s="67">
        <f>'Project Database'!Y121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'Project Database'!Z121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IF(AND('Project Database'!A121&lt;&gt;"",OR('Smart Search'!$L$5="",'Smart Search'!$L$5="All",TRIM('Project Database'!D121)=TRIM('Smart Search'!$L$5)),OR(TRIM('Smart Search'!$L$6)="",TRIM('Smart Search'!$L$6)="All",ISNUMBER(SEARCH(SUBSTITUTE(SUBSTITUTE(SUBSTITUTE(TRIM('Smart Search'!$L$6),"~","~~"),"*","~*"),"?","~?"),'Project Database'!C121))),OR('Smart Search'!$L$7="",AND('Project Database'!E121&lt;&gt;"",'Project Database'!E121='Smart Search'!$L$7)),OR('Smart Search'!$L$8="",'Smart Search'!$L$8="All",TRIM('Project Database'!F121)=TRIM('Smart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IF('Project Database'!A121="","",N('Project Database'!AC121))</f>
        <v/>
      </c>
      <c r="BK117" s="5">
        <f>IF('Project Database'!A121="","",N('Project Database'!AD121))</f>
        <v/>
      </c>
      <c r="BL117" s="5">
        <f>IF('Project Database'!A121="","",N('Project Database'!AE121))</f>
        <v/>
      </c>
      <c r="BM117" s="5">
        <f>IF('Project Database'!A121="","",N('Project Database'!AF121))</f>
        <v/>
      </c>
      <c r="BN117" s="5">
        <f>IF('Project Database'!A121="","",N('Project Database'!AG121))</f>
        <v/>
      </c>
      <c r="BO117" s="5">
        <f>IF('Project Database'!A121="","",N('Project Database'!AH121))</f>
        <v/>
      </c>
      <c r="BP117" s="5">
        <f>IF('Project Database'!A121="","",N('Project Database'!AI121))</f>
        <v/>
      </c>
      <c r="BQ117" s="5">
        <f>IF('Project Database'!A121="","",N('Project Database'!AJ121))</f>
        <v/>
      </c>
      <c r="BR117" s="5">
        <f>IF('Project Database'!A121="","",N('Project Database'!AK121))</f>
        <v/>
      </c>
      <c r="BS117" s="5">
        <f>IF('Project Database'!A121="","",N('Project Database'!AL121))</f>
        <v/>
      </c>
      <c r="BT117" s="5">
        <f>IF('Project Database'!A121="","",N('Project Database'!AM121))</f>
        <v/>
      </c>
      <c r="BU117" s="5">
        <f>IF('Project Database'!A121="","",N('Project Database'!AN121))</f>
        <v/>
      </c>
      <c r="BV117" s="5">
        <f>IF('Project Database'!A121="","",N('Project Database'!AO121))</f>
        <v/>
      </c>
      <c r="BW117" s="5">
        <f>IF('Project Database'!A121="","",N('Project Database'!AP121))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</row>
    <row r="118" ht="15" customHeight="1" s="74">
      <c r="A118" s="66">
        <f>'Project Database'!A122</f>
        <v/>
      </c>
      <c r="B118" s="66">
        <f>'Project Database'!B122</f>
        <v/>
      </c>
      <c r="C118" s="66">
        <f>'Project Database'!G122</f>
        <v/>
      </c>
      <c r="D118" s="66">
        <f>'Project Database'!H122</f>
        <v/>
      </c>
      <c r="E118" s="66">
        <f>'Project Database'!I122</f>
        <v/>
      </c>
      <c r="F118" s="66">
        <f>'Project Database'!J122</f>
        <v/>
      </c>
      <c r="G118" s="66">
        <f>'Project Database'!K122</f>
        <v/>
      </c>
      <c r="H118" s="66">
        <f>'Project Database'!L122</f>
        <v/>
      </c>
      <c r="I118" s="66">
        <f>'Project Database'!M122</f>
        <v/>
      </c>
      <c r="J118" s="66">
        <f>'Project Database'!N122</f>
        <v/>
      </c>
      <c r="K118" s="66">
        <f>'Project Database'!O122</f>
        <v/>
      </c>
      <c r="L118" s="66">
        <f>'Project Database'!P122</f>
        <v/>
      </c>
      <c r="M118" s="66">
        <f>'Project Database'!Q122</f>
        <v/>
      </c>
      <c r="N118" s="66">
        <f>'Project Database'!R122</f>
        <v/>
      </c>
      <c r="O118" s="66">
        <f>'Project Database'!S122</f>
        <v/>
      </c>
      <c r="P118" s="66">
        <f>'Project Database'!T122</f>
        <v/>
      </c>
      <c r="Q118" s="66">
        <f>'Project Database'!U122</f>
        <v/>
      </c>
      <c r="R118" s="66">
        <f>'Project Database'!V122</f>
        <v/>
      </c>
      <c r="S118" s="66">
        <f>'Project Database'!W122</f>
        <v/>
      </c>
      <c r="T118" s="66">
        <f>'Project Database'!X122</f>
        <v/>
      </c>
      <c r="U118" s="67">
        <f>'Project Database'!Y122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'Project Database'!Z122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IF(AND('Project Database'!A122&lt;&gt;"",OR('Smart Search'!$L$5="",'Smart Search'!$L$5="All",TRIM('Project Database'!D122)=TRIM('Smart Search'!$L$5)),OR(TRIM('Smart Search'!$L$6)="",TRIM('Smart Search'!$L$6)="All",ISNUMBER(SEARCH(SUBSTITUTE(SUBSTITUTE(SUBSTITUTE(TRIM('Smart Search'!$L$6),"~","~~"),"*","~*"),"?","~?"),'Project Database'!C122))),OR('Smart Search'!$L$7="",AND('Project Database'!E122&lt;&gt;"",'Project Database'!E122='Smart Search'!$L$7)),OR('Smart Search'!$L$8="",'Smart Search'!$L$8="All",TRIM('Project Database'!F122)=TRIM('Smart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IF('Project Database'!A122="","",N('Project Database'!AC122))</f>
        <v/>
      </c>
      <c r="BK118" s="5">
        <f>IF('Project Database'!A122="","",N('Project Database'!AD122))</f>
        <v/>
      </c>
      <c r="BL118" s="5">
        <f>IF('Project Database'!A122="","",N('Project Database'!AE122))</f>
        <v/>
      </c>
      <c r="BM118" s="5">
        <f>IF('Project Database'!A122="","",N('Project Database'!AF122))</f>
        <v/>
      </c>
      <c r="BN118" s="5">
        <f>IF('Project Database'!A122="","",N('Project Database'!AG122))</f>
        <v/>
      </c>
      <c r="BO118" s="5">
        <f>IF('Project Database'!A122="","",N('Project Database'!AH122))</f>
        <v/>
      </c>
      <c r="BP118" s="5">
        <f>IF('Project Database'!A122="","",N('Project Database'!AI122))</f>
        <v/>
      </c>
      <c r="BQ118" s="5">
        <f>IF('Project Database'!A122="","",N('Project Database'!AJ122))</f>
        <v/>
      </c>
      <c r="BR118" s="5">
        <f>IF('Project Database'!A122="","",N('Project Database'!AK122))</f>
        <v/>
      </c>
      <c r="BS118" s="5">
        <f>IF('Project Database'!A122="","",N('Project Database'!AL122))</f>
        <v/>
      </c>
      <c r="BT118" s="5">
        <f>IF('Project Database'!A122="","",N('Project Database'!AM122))</f>
        <v/>
      </c>
      <c r="BU118" s="5">
        <f>IF('Project Database'!A122="","",N('Project Database'!AN122))</f>
        <v/>
      </c>
      <c r="BV118" s="5">
        <f>IF('Project Database'!A122="","",N('Project Database'!AO122))</f>
        <v/>
      </c>
      <c r="BW118" s="5">
        <f>IF('Project Database'!A122="","",N('Project Database'!AP122))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</row>
    <row r="119" ht="15" customHeight="1" s="74">
      <c r="A119" s="66">
        <f>'Project Database'!A123</f>
        <v/>
      </c>
      <c r="B119" s="66">
        <f>'Project Database'!B123</f>
        <v/>
      </c>
      <c r="C119" s="66">
        <f>'Project Database'!G123</f>
        <v/>
      </c>
      <c r="D119" s="66">
        <f>'Project Database'!H123</f>
        <v/>
      </c>
      <c r="E119" s="66">
        <f>'Project Database'!I123</f>
        <v/>
      </c>
      <c r="F119" s="66">
        <f>'Project Database'!J123</f>
        <v/>
      </c>
      <c r="G119" s="66">
        <f>'Project Database'!K123</f>
        <v/>
      </c>
      <c r="H119" s="66">
        <f>'Project Database'!L123</f>
        <v/>
      </c>
      <c r="I119" s="66">
        <f>'Project Database'!M123</f>
        <v/>
      </c>
      <c r="J119" s="66">
        <f>'Project Database'!N123</f>
        <v/>
      </c>
      <c r="K119" s="66">
        <f>'Project Database'!O123</f>
        <v/>
      </c>
      <c r="L119" s="66">
        <f>'Project Database'!P123</f>
        <v/>
      </c>
      <c r="M119" s="66">
        <f>'Project Database'!Q123</f>
        <v/>
      </c>
      <c r="N119" s="66">
        <f>'Project Database'!R123</f>
        <v/>
      </c>
      <c r="O119" s="66">
        <f>'Project Database'!S123</f>
        <v/>
      </c>
      <c r="P119" s="66">
        <f>'Project Database'!T123</f>
        <v/>
      </c>
      <c r="Q119" s="66">
        <f>'Project Database'!U123</f>
        <v/>
      </c>
      <c r="R119" s="66">
        <f>'Project Database'!V123</f>
        <v/>
      </c>
      <c r="S119" s="66">
        <f>'Project Database'!W123</f>
        <v/>
      </c>
      <c r="T119" s="66">
        <f>'Project Database'!X123</f>
        <v/>
      </c>
      <c r="U119" s="67">
        <f>'Project Database'!Y123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'Project Database'!Z123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IF(AND('Project Database'!A123&lt;&gt;"",OR('Smart Search'!$L$5="",'Smart Search'!$L$5="All",TRIM('Project Database'!D123)=TRIM('Smart Search'!$L$5)),OR(TRIM('Smart Search'!$L$6)="",TRIM('Smart Search'!$L$6)="All",ISNUMBER(SEARCH(SUBSTITUTE(SUBSTITUTE(SUBSTITUTE(TRIM('Smart Search'!$L$6),"~","~~"),"*","~*"),"?","~?"),'Project Database'!C123))),OR('Smart Search'!$L$7="",AND('Project Database'!E123&lt;&gt;"",'Project Database'!E123='Smart Search'!$L$7)),OR('Smart Search'!$L$8="",'Smart Search'!$L$8="All",TRIM('Project Database'!F123)=TRIM('Smart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IF('Project Database'!A123="","",N('Project Database'!AC123))</f>
        <v/>
      </c>
      <c r="BK119" s="5">
        <f>IF('Project Database'!A123="","",N('Project Database'!AD123))</f>
        <v/>
      </c>
      <c r="BL119" s="5">
        <f>IF('Project Database'!A123="","",N('Project Database'!AE123))</f>
        <v/>
      </c>
      <c r="BM119" s="5">
        <f>IF('Project Database'!A123="","",N('Project Database'!AF123))</f>
        <v/>
      </c>
      <c r="BN119" s="5">
        <f>IF('Project Database'!A123="","",N('Project Database'!AG123))</f>
        <v/>
      </c>
      <c r="BO119" s="5">
        <f>IF('Project Database'!A123="","",N('Project Database'!AH123))</f>
        <v/>
      </c>
      <c r="BP119" s="5">
        <f>IF('Project Database'!A123="","",N('Project Database'!AI123))</f>
        <v/>
      </c>
      <c r="BQ119" s="5">
        <f>IF('Project Database'!A123="","",N('Project Database'!AJ123))</f>
        <v/>
      </c>
      <c r="BR119" s="5">
        <f>IF('Project Database'!A123="","",N('Project Database'!AK123))</f>
        <v/>
      </c>
      <c r="BS119" s="5">
        <f>IF('Project Database'!A123="","",N('Project Database'!AL123))</f>
        <v/>
      </c>
      <c r="BT119" s="5">
        <f>IF('Project Database'!A123="","",N('Project Database'!AM123))</f>
        <v/>
      </c>
      <c r="BU119" s="5">
        <f>IF('Project Database'!A123="","",N('Project Database'!AN123))</f>
        <v/>
      </c>
      <c r="BV119" s="5">
        <f>IF('Project Database'!A123="","",N('Project Database'!AO123))</f>
        <v/>
      </c>
      <c r="BW119" s="5">
        <f>IF('Project Database'!A123="","",N('Project Database'!AP123))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</row>
    <row r="120" ht="15" customHeight="1" s="74">
      <c r="A120" s="66">
        <f>'Project Database'!A124</f>
        <v/>
      </c>
      <c r="B120" s="66">
        <f>'Project Database'!B124</f>
        <v/>
      </c>
      <c r="C120" s="66">
        <f>'Project Database'!G124</f>
        <v/>
      </c>
      <c r="D120" s="66">
        <f>'Project Database'!H124</f>
        <v/>
      </c>
      <c r="E120" s="66">
        <f>'Project Database'!I124</f>
        <v/>
      </c>
      <c r="F120" s="66">
        <f>'Project Database'!J124</f>
        <v/>
      </c>
      <c r="G120" s="66">
        <f>'Project Database'!K124</f>
        <v/>
      </c>
      <c r="H120" s="66">
        <f>'Project Database'!L124</f>
        <v/>
      </c>
      <c r="I120" s="66">
        <f>'Project Database'!M124</f>
        <v/>
      </c>
      <c r="J120" s="66">
        <f>'Project Database'!N124</f>
        <v/>
      </c>
      <c r="K120" s="66">
        <f>'Project Database'!O124</f>
        <v/>
      </c>
      <c r="L120" s="66">
        <f>'Project Database'!P124</f>
        <v/>
      </c>
      <c r="M120" s="66">
        <f>'Project Database'!Q124</f>
        <v/>
      </c>
      <c r="N120" s="66">
        <f>'Project Database'!R124</f>
        <v/>
      </c>
      <c r="O120" s="66">
        <f>'Project Database'!S124</f>
        <v/>
      </c>
      <c r="P120" s="66">
        <f>'Project Database'!T124</f>
        <v/>
      </c>
      <c r="Q120" s="66">
        <f>'Project Database'!U124</f>
        <v/>
      </c>
      <c r="R120" s="66">
        <f>'Project Database'!V124</f>
        <v/>
      </c>
      <c r="S120" s="66">
        <f>'Project Database'!W124</f>
        <v/>
      </c>
      <c r="T120" s="66">
        <f>'Project Database'!X124</f>
        <v/>
      </c>
      <c r="U120" s="67">
        <f>'Project Database'!Y124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'Project Database'!Z124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IF(AND('Project Database'!A124&lt;&gt;"",OR('Smart Search'!$L$5="",'Smart Search'!$L$5="All",TRIM('Project Database'!D124)=TRIM('Smart Search'!$L$5)),OR(TRIM('Smart Search'!$L$6)="",TRIM('Smart Search'!$L$6)="All",ISNUMBER(SEARCH(SUBSTITUTE(SUBSTITUTE(SUBSTITUTE(TRIM('Smart Search'!$L$6),"~","~~"),"*","~*"),"?","~?"),'Project Database'!C124))),OR('Smart Search'!$L$7="",AND('Project Database'!E124&lt;&gt;"",'Project Database'!E124='Smart Search'!$L$7)),OR('Smart Search'!$L$8="",'Smart Search'!$L$8="All",TRIM('Project Database'!F124)=TRIM('Smart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IF('Project Database'!A124="","",N('Project Database'!AC124))</f>
        <v/>
      </c>
      <c r="BK120" s="5">
        <f>IF('Project Database'!A124="","",N('Project Database'!AD124))</f>
        <v/>
      </c>
      <c r="BL120" s="5">
        <f>IF('Project Database'!A124="","",N('Project Database'!AE124))</f>
        <v/>
      </c>
      <c r="BM120" s="5">
        <f>IF('Project Database'!A124="","",N('Project Database'!AF124))</f>
        <v/>
      </c>
      <c r="BN120" s="5">
        <f>IF('Project Database'!A124="","",N('Project Database'!AG124))</f>
        <v/>
      </c>
      <c r="BO120" s="5">
        <f>IF('Project Database'!A124="","",N('Project Database'!AH124))</f>
        <v/>
      </c>
      <c r="BP120" s="5">
        <f>IF('Project Database'!A124="","",N('Project Database'!AI124))</f>
        <v/>
      </c>
      <c r="BQ120" s="5">
        <f>IF('Project Database'!A124="","",N('Project Database'!AJ124))</f>
        <v/>
      </c>
      <c r="BR120" s="5">
        <f>IF('Project Database'!A124="","",N('Project Database'!AK124))</f>
        <v/>
      </c>
      <c r="BS120" s="5">
        <f>IF('Project Database'!A124="","",N('Project Database'!AL124))</f>
        <v/>
      </c>
      <c r="BT120" s="5">
        <f>IF('Project Database'!A124="","",N('Project Database'!AM124))</f>
        <v/>
      </c>
      <c r="BU120" s="5">
        <f>IF('Project Database'!A124="","",N('Project Database'!AN124))</f>
        <v/>
      </c>
      <c r="BV120" s="5">
        <f>IF('Project Database'!A124="","",N('Project Database'!AO124))</f>
        <v/>
      </c>
      <c r="BW120" s="5">
        <f>IF('Project Database'!A124="","",N('Project Database'!AP124))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</row>
    <row r="121" ht="15" customHeight="1" s="74">
      <c r="A121" s="66">
        <f>'Project Database'!A125</f>
        <v/>
      </c>
      <c r="B121" s="66">
        <f>'Project Database'!B125</f>
        <v/>
      </c>
      <c r="C121" s="66">
        <f>'Project Database'!G125</f>
        <v/>
      </c>
      <c r="D121" s="66">
        <f>'Project Database'!H125</f>
        <v/>
      </c>
      <c r="E121" s="66">
        <f>'Project Database'!I125</f>
        <v/>
      </c>
      <c r="F121" s="66">
        <f>'Project Database'!J125</f>
        <v/>
      </c>
      <c r="G121" s="66">
        <f>'Project Database'!K125</f>
        <v/>
      </c>
      <c r="H121" s="66">
        <f>'Project Database'!L125</f>
        <v/>
      </c>
      <c r="I121" s="66">
        <f>'Project Database'!M125</f>
        <v/>
      </c>
      <c r="J121" s="66">
        <f>'Project Database'!N125</f>
        <v/>
      </c>
      <c r="K121" s="66">
        <f>'Project Database'!O125</f>
        <v/>
      </c>
      <c r="L121" s="66">
        <f>'Project Database'!P125</f>
        <v/>
      </c>
      <c r="M121" s="66">
        <f>'Project Database'!Q125</f>
        <v/>
      </c>
      <c r="N121" s="66">
        <f>'Project Database'!R125</f>
        <v/>
      </c>
      <c r="O121" s="66">
        <f>'Project Database'!S125</f>
        <v/>
      </c>
      <c r="P121" s="66">
        <f>'Project Database'!T125</f>
        <v/>
      </c>
      <c r="Q121" s="66">
        <f>'Project Database'!U125</f>
        <v/>
      </c>
      <c r="R121" s="66">
        <f>'Project Database'!V125</f>
        <v/>
      </c>
      <c r="S121" s="66">
        <f>'Project Database'!W125</f>
        <v/>
      </c>
      <c r="T121" s="66">
        <f>'Project Database'!X125</f>
        <v/>
      </c>
      <c r="U121" s="67">
        <f>'Project Database'!Y125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'Project Database'!Z125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IF(AND('Project Database'!A125&lt;&gt;"",OR('Smart Search'!$L$5="",'Smart Search'!$L$5="All",TRIM('Project Database'!D125)=TRIM('Smart Search'!$L$5)),OR(TRIM('Smart Search'!$L$6)="",TRIM('Smart Search'!$L$6)="All",ISNUMBER(SEARCH(SUBSTITUTE(SUBSTITUTE(SUBSTITUTE(TRIM('Smart Search'!$L$6),"~","~~"),"*","~*"),"?","~?"),'Project Database'!C125))),OR('Smart Search'!$L$7="",AND('Project Database'!E125&lt;&gt;"",'Project Database'!E125='Smart Search'!$L$7)),OR('Smart Search'!$L$8="",'Smart Search'!$L$8="All",TRIM('Project Database'!F125)=TRIM('Smart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IF('Project Database'!A125="","",N('Project Database'!AC125))</f>
        <v/>
      </c>
      <c r="BK121" s="5">
        <f>IF('Project Database'!A125="","",N('Project Database'!AD125))</f>
        <v/>
      </c>
      <c r="BL121" s="5">
        <f>IF('Project Database'!A125="","",N('Project Database'!AE125))</f>
        <v/>
      </c>
      <c r="BM121" s="5">
        <f>IF('Project Database'!A125="","",N('Project Database'!AF125))</f>
        <v/>
      </c>
      <c r="BN121" s="5">
        <f>IF('Project Database'!A125="","",N('Project Database'!AG125))</f>
        <v/>
      </c>
      <c r="BO121" s="5">
        <f>IF('Project Database'!A125="","",N('Project Database'!AH125))</f>
        <v/>
      </c>
      <c r="BP121" s="5">
        <f>IF('Project Database'!A125="","",N('Project Database'!AI125))</f>
        <v/>
      </c>
      <c r="BQ121" s="5">
        <f>IF('Project Database'!A125="","",N('Project Database'!AJ125))</f>
        <v/>
      </c>
      <c r="BR121" s="5">
        <f>IF('Project Database'!A125="","",N('Project Database'!AK125))</f>
        <v/>
      </c>
      <c r="BS121" s="5">
        <f>IF('Project Database'!A125="","",N('Project Database'!AL125))</f>
        <v/>
      </c>
      <c r="BT121" s="5">
        <f>IF('Project Database'!A125="","",N('Project Database'!AM125))</f>
        <v/>
      </c>
      <c r="BU121" s="5">
        <f>IF('Project Database'!A125="","",N('Project Database'!AN125))</f>
        <v/>
      </c>
      <c r="BV121" s="5">
        <f>IF('Project Database'!A125="","",N('Project Database'!AO125))</f>
        <v/>
      </c>
      <c r="BW121" s="5">
        <f>IF('Project Database'!A125="","",N('Project Database'!AP125))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</row>
    <row r="122" ht="15" customHeight="1" s="74">
      <c r="A122" s="66">
        <f>'Project Database'!A126</f>
        <v/>
      </c>
      <c r="B122" s="66">
        <f>'Project Database'!B126</f>
        <v/>
      </c>
      <c r="C122" s="66">
        <f>'Project Database'!G126</f>
        <v/>
      </c>
      <c r="D122" s="66">
        <f>'Project Database'!H126</f>
        <v/>
      </c>
      <c r="E122" s="66">
        <f>'Project Database'!I126</f>
        <v/>
      </c>
      <c r="F122" s="66">
        <f>'Project Database'!J126</f>
        <v/>
      </c>
      <c r="G122" s="66">
        <f>'Project Database'!K126</f>
        <v/>
      </c>
      <c r="H122" s="66">
        <f>'Project Database'!L126</f>
        <v/>
      </c>
      <c r="I122" s="66">
        <f>'Project Database'!M126</f>
        <v/>
      </c>
      <c r="J122" s="66">
        <f>'Project Database'!N126</f>
        <v/>
      </c>
      <c r="K122" s="66">
        <f>'Project Database'!O126</f>
        <v/>
      </c>
      <c r="L122" s="66">
        <f>'Project Database'!P126</f>
        <v/>
      </c>
      <c r="M122" s="66">
        <f>'Project Database'!Q126</f>
        <v/>
      </c>
      <c r="N122" s="66">
        <f>'Project Database'!R126</f>
        <v/>
      </c>
      <c r="O122" s="66">
        <f>'Project Database'!S126</f>
        <v/>
      </c>
      <c r="P122" s="66">
        <f>'Project Database'!T126</f>
        <v/>
      </c>
      <c r="Q122" s="66">
        <f>'Project Database'!U126</f>
        <v/>
      </c>
      <c r="R122" s="66">
        <f>'Project Database'!V126</f>
        <v/>
      </c>
      <c r="S122" s="66">
        <f>'Project Database'!W126</f>
        <v/>
      </c>
      <c r="T122" s="66">
        <f>'Project Database'!X126</f>
        <v/>
      </c>
      <c r="U122" s="67">
        <f>'Project Database'!Y126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'Project Database'!Z126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IF(AND('Project Database'!A126&lt;&gt;"",OR('Smart Search'!$L$5="",'Smart Search'!$L$5="All",TRIM('Project Database'!D126)=TRIM('Smart Search'!$L$5)),OR(TRIM('Smart Search'!$L$6)="",TRIM('Smart Search'!$L$6)="All",ISNUMBER(SEARCH(SUBSTITUTE(SUBSTITUTE(SUBSTITUTE(TRIM('Smart Search'!$L$6),"~","~~"),"*","~*"),"?","~?"),'Project Database'!C126))),OR('Smart Search'!$L$7="",AND('Project Database'!E126&lt;&gt;"",'Project Database'!E126='Smart Search'!$L$7)),OR('Smart Search'!$L$8="",'Smart Search'!$L$8="All",TRIM('Project Database'!F126)=TRIM('Smart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IF('Project Database'!A126="","",N('Project Database'!AC126))</f>
        <v/>
      </c>
      <c r="BK122" s="5">
        <f>IF('Project Database'!A126="","",N('Project Database'!AD126))</f>
        <v/>
      </c>
      <c r="BL122" s="5">
        <f>IF('Project Database'!A126="","",N('Project Database'!AE126))</f>
        <v/>
      </c>
      <c r="BM122" s="5">
        <f>IF('Project Database'!A126="","",N('Project Database'!AF126))</f>
        <v/>
      </c>
      <c r="BN122" s="5">
        <f>IF('Project Database'!A126="","",N('Project Database'!AG126))</f>
        <v/>
      </c>
      <c r="BO122" s="5">
        <f>IF('Project Database'!A126="","",N('Project Database'!AH126))</f>
        <v/>
      </c>
      <c r="BP122" s="5">
        <f>IF('Project Database'!A126="","",N('Project Database'!AI126))</f>
        <v/>
      </c>
      <c r="BQ122" s="5">
        <f>IF('Project Database'!A126="","",N('Project Database'!AJ126))</f>
        <v/>
      </c>
      <c r="BR122" s="5">
        <f>IF('Project Database'!A126="","",N('Project Database'!AK126))</f>
        <v/>
      </c>
      <c r="BS122" s="5">
        <f>IF('Project Database'!A126="","",N('Project Database'!AL126))</f>
        <v/>
      </c>
      <c r="BT122" s="5">
        <f>IF('Project Database'!A126="","",N('Project Database'!AM126))</f>
        <v/>
      </c>
      <c r="BU122" s="5">
        <f>IF('Project Database'!A126="","",N('Project Database'!AN126))</f>
        <v/>
      </c>
      <c r="BV122" s="5">
        <f>IF('Project Database'!A126="","",N('Project Database'!AO126))</f>
        <v/>
      </c>
      <c r="BW122" s="5">
        <f>IF('Project Database'!A126="","",N('Project Database'!AP126))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</row>
    <row r="123" ht="15" customHeight="1" s="74">
      <c r="A123" s="66">
        <f>'Project Database'!A127</f>
        <v/>
      </c>
      <c r="B123" s="66">
        <f>'Project Database'!B127</f>
        <v/>
      </c>
      <c r="C123" s="66">
        <f>'Project Database'!G127</f>
        <v/>
      </c>
      <c r="D123" s="66">
        <f>'Project Database'!H127</f>
        <v/>
      </c>
      <c r="E123" s="66">
        <f>'Project Database'!I127</f>
        <v/>
      </c>
      <c r="F123" s="66">
        <f>'Project Database'!J127</f>
        <v/>
      </c>
      <c r="G123" s="66">
        <f>'Project Database'!K127</f>
        <v/>
      </c>
      <c r="H123" s="66">
        <f>'Project Database'!L127</f>
        <v/>
      </c>
      <c r="I123" s="66">
        <f>'Project Database'!M127</f>
        <v/>
      </c>
      <c r="J123" s="66">
        <f>'Project Database'!N127</f>
        <v/>
      </c>
      <c r="K123" s="66">
        <f>'Project Database'!O127</f>
        <v/>
      </c>
      <c r="L123" s="66">
        <f>'Project Database'!P127</f>
        <v/>
      </c>
      <c r="M123" s="66">
        <f>'Project Database'!Q127</f>
        <v/>
      </c>
      <c r="N123" s="66">
        <f>'Project Database'!R127</f>
        <v/>
      </c>
      <c r="O123" s="66">
        <f>'Project Database'!S127</f>
        <v/>
      </c>
      <c r="P123" s="66">
        <f>'Project Database'!T127</f>
        <v/>
      </c>
      <c r="Q123" s="66">
        <f>'Project Database'!U127</f>
        <v/>
      </c>
      <c r="R123" s="66">
        <f>'Project Database'!V127</f>
        <v/>
      </c>
      <c r="S123" s="66">
        <f>'Project Database'!W127</f>
        <v/>
      </c>
      <c r="T123" s="66">
        <f>'Project Database'!X127</f>
        <v/>
      </c>
      <c r="U123" s="67">
        <f>'Project Database'!Y127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'Project Database'!Z127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IF(AND('Project Database'!A127&lt;&gt;"",OR('Smart Search'!$L$5="",'Smart Search'!$L$5="All",TRIM('Project Database'!D127)=TRIM('Smart Search'!$L$5)),OR(TRIM('Smart Search'!$L$6)="",TRIM('Smart Search'!$L$6)="All",ISNUMBER(SEARCH(SUBSTITUTE(SUBSTITUTE(SUBSTITUTE(TRIM('Smart Search'!$L$6),"~","~~"),"*","~*"),"?","~?"),'Project Database'!C127))),OR('Smart Search'!$L$7="",AND('Project Database'!E127&lt;&gt;"",'Project Database'!E127='Smart Search'!$L$7)),OR('Smart Search'!$L$8="",'Smart Search'!$L$8="All",TRIM('Project Database'!F127)=TRIM('Smart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IF('Project Database'!A127="","",N('Project Database'!AC127))</f>
        <v/>
      </c>
      <c r="BK123" s="5">
        <f>IF('Project Database'!A127="","",N('Project Database'!AD127))</f>
        <v/>
      </c>
      <c r="BL123" s="5">
        <f>IF('Project Database'!A127="","",N('Project Database'!AE127))</f>
        <v/>
      </c>
      <c r="BM123" s="5">
        <f>IF('Project Database'!A127="","",N('Project Database'!AF127))</f>
        <v/>
      </c>
      <c r="BN123" s="5">
        <f>IF('Project Database'!A127="","",N('Project Database'!AG127))</f>
        <v/>
      </c>
      <c r="BO123" s="5">
        <f>IF('Project Database'!A127="","",N('Project Database'!AH127))</f>
        <v/>
      </c>
      <c r="BP123" s="5">
        <f>IF('Project Database'!A127="","",N('Project Database'!AI127))</f>
        <v/>
      </c>
      <c r="BQ123" s="5">
        <f>IF('Project Database'!A127="","",N('Project Database'!AJ127))</f>
        <v/>
      </c>
      <c r="BR123" s="5">
        <f>IF('Project Database'!A127="","",N('Project Database'!AK127))</f>
        <v/>
      </c>
      <c r="BS123" s="5">
        <f>IF('Project Database'!A127="","",N('Project Database'!AL127))</f>
        <v/>
      </c>
      <c r="BT123" s="5">
        <f>IF('Project Database'!A127="","",N('Project Database'!AM127))</f>
        <v/>
      </c>
      <c r="BU123" s="5">
        <f>IF('Project Database'!A127="","",N('Project Database'!AN127))</f>
        <v/>
      </c>
      <c r="BV123" s="5">
        <f>IF('Project Database'!A127="","",N('Project Database'!AO127))</f>
        <v/>
      </c>
      <c r="BW123" s="5">
        <f>IF('Project Database'!A127="","",N('Project Database'!AP127))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</row>
    <row r="124" ht="15" customHeight="1" s="74">
      <c r="A124" s="66">
        <f>'Project Database'!A128</f>
        <v/>
      </c>
      <c r="B124" s="66">
        <f>'Project Database'!B128</f>
        <v/>
      </c>
      <c r="C124" s="66">
        <f>'Project Database'!G128</f>
        <v/>
      </c>
      <c r="D124" s="66">
        <f>'Project Database'!H128</f>
        <v/>
      </c>
      <c r="E124" s="66">
        <f>'Project Database'!I128</f>
        <v/>
      </c>
      <c r="F124" s="66">
        <f>'Project Database'!J128</f>
        <v/>
      </c>
      <c r="G124" s="66">
        <f>'Project Database'!K128</f>
        <v/>
      </c>
      <c r="H124" s="66">
        <f>'Project Database'!L128</f>
        <v/>
      </c>
      <c r="I124" s="66">
        <f>'Project Database'!M128</f>
        <v/>
      </c>
      <c r="J124" s="66">
        <f>'Project Database'!N128</f>
        <v/>
      </c>
      <c r="K124" s="66">
        <f>'Project Database'!O128</f>
        <v/>
      </c>
      <c r="L124" s="66">
        <f>'Project Database'!P128</f>
        <v/>
      </c>
      <c r="M124" s="66">
        <f>'Project Database'!Q128</f>
        <v/>
      </c>
      <c r="N124" s="66">
        <f>'Project Database'!R128</f>
        <v/>
      </c>
      <c r="O124" s="66">
        <f>'Project Database'!S128</f>
        <v/>
      </c>
      <c r="P124" s="66">
        <f>'Project Database'!T128</f>
        <v/>
      </c>
      <c r="Q124" s="66">
        <f>'Project Database'!U128</f>
        <v/>
      </c>
      <c r="R124" s="66">
        <f>'Project Database'!V128</f>
        <v/>
      </c>
      <c r="S124" s="66">
        <f>'Project Database'!W128</f>
        <v/>
      </c>
      <c r="T124" s="66">
        <f>'Project Database'!X128</f>
        <v/>
      </c>
      <c r="U124" s="67">
        <f>'Project Database'!Y128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'Project Database'!Z128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IF(AND('Project Database'!A128&lt;&gt;"",OR('Smart Search'!$L$5="",'Smart Search'!$L$5="All",TRIM('Project Database'!D128)=TRIM('Smart Search'!$L$5)),OR(TRIM('Smart Search'!$L$6)="",TRIM('Smart Search'!$L$6)="All",ISNUMBER(SEARCH(SUBSTITUTE(SUBSTITUTE(SUBSTITUTE(TRIM('Smart Search'!$L$6),"~","~~"),"*","~*"),"?","~?"),'Project Database'!C128))),OR('Smart Search'!$L$7="",AND('Project Database'!E128&lt;&gt;"",'Project Database'!E128='Smart Search'!$L$7)),OR('Smart Search'!$L$8="",'Smart Search'!$L$8="All",TRIM('Project Database'!F128)=TRIM('Smart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IF('Project Database'!A128="","",N('Project Database'!AC128))</f>
        <v/>
      </c>
      <c r="BK124" s="5">
        <f>IF('Project Database'!A128="","",N('Project Database'!AD128))</f>
        <v/>
      </c>
      <c r="BL124" s="5">
        <f>IF('Project Database'!A128="","",N('Project Database'!AE128))</f>
        <v/>
      </c>
      <c r="BM124" s="5">
        <f>IF('Project Database'!A128="","",N('Project Database'!AF128))</f>
        <v/>
      </c>
      <c r="BN124" s="5">
        <f>IF('Project Database'!A128="","",N('Project Database'!AG128))</f>
        <v/>
      </c>
      <c r="BO124" s="5">
        <f>IF('Project Database'!A128="","",N('Project Database'!AH128))</f>
        <v/>
      </c>
      <c r="BP124" s="5">
        <f>IF('Project Database'!A128="","",N('Project Database'!AI128))</f>
        <v/>
      </c>
      <c r="BQ124" s="5">
        <f>IF('Project Database'!A128="","",N('Project Database'!AJ128))</f>
        <v/>
      </c>
      <c r="BR124" s="5">
        <f>IF('Project Database'!A128="","",N('Project Database'!AK128))</f>
        <v/>
      </c>
      <c r="BS124" s="5">
        <f>IF('Project Database'!A128="","",N('Project Database'!AL128))</f>
        <v/>
      </c>
      <c r="BT124" s="5">
        <f>IF('Project Database'!A128="","",N('Project Database'!AM128))</f>
        <v/>
      </c>
      <c r="BU124" s="5">
        <f>IF('Project Database'!A128="","",N('Project Database'!AN128))</f>
        <v/>
      </c>
      <c r="BV124" s="5">
        <f>IF('Project Database'!A128="","",N('Project Database'!AO128))</f>
        <v/>
      </c>
      <c r="BW124" s="5">
        <f>IF('Project Database'!A128="","",N('Project Database'!AP128))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</row>
    <row r="125" ht="15" customHeight="1" s="74">
      <c r="A125" s="66">
        <f>'Project Database'!A129</f>
        <v/>
      </c>
      <c r="B125" s="66">
        <f>'Project Database'!B129</f>
        <v/>
      </c>
      <c r="C125" s="66">
        <f>'Project Database'!G129</f>
        <v/>
      </c>
      <c r="D125" s="66">
        <f>'Project Database'!H129</f>
        <v/>
      </c>
      <c r="E125" s="66">
        <f>'Project Database'!I129</f>
        <v/>
      </c>
      <c r="F125" s="66">
        <f>'Project Database'!J129</f>
        <v/>
      </c>
      <c r="G125" s="66">
        <f>'Project Database'!K129</f>
        <v/>
      </c>
      <c r="H125" s="66">
        <f>'Project Database'!L129</f>
        <v/>
      </c>
      <c r="I125" s="66">
        <f>'Project Database'!M129</f>
        <v/>
      </c>
      <c r="J125" s="66">
        <f>'Project Database'!N129</f>
        <v/>
      </c>
      <c r="K125" s="66">
        <f>'Project Database'!O129</f>
        <v/>
      </c>
      <c r="L125" s="66">
        <f>'Project Database'!P129</f>
        <v/>
      </c>
      <c r="M125" s="66">
        <f>'Project Database'!Q129</f>
        <v/>
      </c>
      <c r="N125" s="66">
        <f>'Project Database'!R129</f>
        <v/>
      </c>
      <c r="O125" s="66">
        <f>'Project Database'!S129</f>
        <v/>
      </c>
      <c r="P125" s="66">
        <f>'Project Database'!T129</f>
        <v/>
      </c>
      <c r="Q125" s="66">
        <f>'Project Database'!U129</f>
        <v/>
      </c>
      <c r="R125" s="66">
        <f>'Project Database'!V129</f>
        <v/>
      </c>
      <c r="S125" s="66">
        <f>'Project Database'!W129</f>
        <v/>
      </c>
      <c r="T125" s="66">
        <f>'Project Database'!X129</f>
        <v/>
      </c>
      <c r="U125" s="67">
        <f>'Project Database'!Y129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'Project Database'!Z129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IF(AND('Project Database'!A129&lt;&gt;"",OR('Smart Search'!$L$5="",'Smart Search'!$L$5="All",TRIM('Project Database'!D129)=TRIM('Smart Search'!$L$5)),OR(TRIM('Smart Search'!$L$6)="",TRIM('Smart Search'!$L$6)="All",ISNUMBER(SEARCH(SUBSTITUTE(SUBSTITUTE(SUBSTITUTE(TRIM('Smart Search'!$L$6),"~","~~"),"*","~*"),"?","~?"),'Project Database'!C129))),OR('Smart Search'!$L$7="",AND('Project Database'!E129&lt;&gt;"",'Project Database'!E129='Smart Search'!$L$7)),OR('Smart Search'!$L$8="",'Smart Search'!$L$8="All",TRIM('Project Database'!F129)=TRIM('Smart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IF('Project Database'!A129="","",N('Project Database'!AC129))</f>
        <v/>
      </c>
      <c r="BK125" s="5">
        <f>IF('Project Database'!A129="","",N('Project Database'!AD129))</f>
        <v/>
      </c>
      <c r="BL125" s="5">
        <f>IF('Project Database'!A129="","",N('Project Database'!AE129))</f>
        <v/>
      </c>
      <c r="BM125" s="5">
        <f>IF('Project Database'!A129="","",N('Project Database'!AF129))</f>
        <v/>
      </c>
      <c r="BN125" s="5">
        <f>IF('Project Database'!A129="","",N('Project Database'!AG129))</f>
        <v/>
      </c>
      <c r="BO125" s="5">
        <f>IF('Project Database'!A129="","",N('Project Database'!AH129))</f>
        <v/>
      </c>
      <c r="BP125" s="5">
        <f>IF('Project Database'!A129="","",N('Project Database'!AI129))</f>
        <v/>
      </c>
      <c r="BQ125" s="5">
        <f>IF('Project Database'!A129="","",N('Project Database'!AJ129))</f>
        <v/>
      </c>
      <c r="BR125" s="5">
        <f>IF('Project Database'!A129="","",N('Project Database'!AK129))</f>
        <v/>
      </c>
      <c r="BS125" s="5">
        <f>IF('Project Database'!A129="","",N('Project Database'!AL129))</f>
        <v/>
      </c>
      <c r="BT125" s="5">
        <f>IF('Project Database'!A129="","",N('Project Database'!AM129))</f>
        <v/>
      </c>
      <c r="BU125" s="5">
        <f>IF('Project Database'!A129="","",N('Project Database'!AN129))</f>
        <v/>
      </c>
      <c r="BV125" s="5">
        <f>IF('Project Database'!A129="","",N('Project Database'!AO129))</f>
        <v/>
      </c>
      <c r="BW125" s="5">
        <f>IF('Project Database'!A129="","",N('Project Database'!AP129))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</row>
    <row r="126" ht="15" customHeight="1" s="74">
      <c r="A126" s="66">
        <f>'Project Database'!A130</f>
        <v/>
      </c>
      <c r="B126" s="66">
        <f>'Project Database'!B130</f>
        <v/>
      </c>
      <c r="C126" s="66">
        <f>'Project Database'!G130</f>
        <v/>
      </c>
      <c r="D126" s="66">
        <f>'Project Database'!H130</f>
        <v/>
      </c>
      <c r="E126" s="66">
        <f>'Project Database'!I130</f>
        <v/>
      </c>
      <c r="F126" s="66">
        <f>'Project Database'!J130</f>
        <v/>
      </c>
      <c r="G126" s="66">
        <f>'Project Database'!K130</f>
        <v/>
      </c>
      <c r="H126" s="66">
        <f>'Project Database'!L130</f>
        <v/>
      </c>
      <c r="I126" s="66">
        <f>'Project Database'!M130</f>
        <v/>
      </c>
      <c r="J126" s="66">
        <f>'Project Database'!N130</f>
        <v/>
      </c>
      <c r="K126" s="66">
        <f>'Project Database'!O130</f>
        <v/>
      </c>
      <c r="L126" s="66">
        <f>'Project Database'!P130</f>
        <v/>
      </c>
      <c r="M126" s="66">
        <f>'Project Database'!Q130</f>
        <v/>
      </c>
      <c r="N126" s="66">
        <f>'Project Database'!R130</f>
        <v/>
      </c>
      <c r="O126" s="66">
        <f>'Project Database'!S130</f>
        <v/>
      </c>
      <c r="P126" s="66">
        <f>'Project Database'!T130</f>
        <v/>
      </c>
      <c r="Q126" s="66">
        <f>'Project Database'!U130</f>
        <v/>
      </c>
      <c r="R126" s="66">
        <f>'Project Database'!V130</f>
        <v/>
      </c>
      <c r="S126" s="66">
        <f>'Project Database'!W130</f>
        <v/>
      </c>
      <c r="T126" s="66">
        <f>'Project Database'!X130</f>
        <v/>
      </c>
      <c r="U126" s="67">
        <f>'Project Database'!Y130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'Project Database'!Z130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IF(AND('Project Database'!A130&lt;&gt;"",OR('Smart Search'!$L$5="",'Smart Search'!$L$5="All",TRIM('Project Database'!D130)=TRIM('Smart Search'!$L$5)),OR(TRIM('Smart Search'!$L$6)="",TRIM('Smart Search'!$L$6)="All",ISNUMBER(SEARCH(SUBSTITUTE(SUBSTITUTE(SUBSTITUTE(TRIM('Smart Search'!$L$6),"~","~~"),"*","~*"),"?","~?"),'Project Database'!C130))),OR('Smart Search'!$L$7="",AND('Project Database'!E130&lt;&gt;"",'Project Database'!E130='Smart Search'!$L$7)),OR('Smart Search'!$L$8="",'Smart Search'!$L$8="All",TRIM('Project Database'!F130)=TRIM('Smart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IF('Project Database'!A130="","",N('Project Database'!AC130))</f>
        <v/>
      </c>
      <c r="BK126" s="5">
        <f>IF('Project Database'!A130="","",N('Project Database'!AD130))</f>
        <v/>
      </c>
      <c r="BL126" s="5">
        <f>IF('Project Database'!A130="","",N('Project Database'!AE130))</f>
        <v/>
      </c>
      <c r="BM126" s="5">
        <f>IF('Project Database'!A130="","",N('Project Database'!AF130))</f>
        <v/>
      </c>
      <c r="BN126" s="5">
        <f>IF('Project Database'!A130="","",N('Project Database'!AG130))</f>
        <v/>
      </c>
      <c r="BO126" s="5">
        <f>IF('Project Database'!A130="","",N('Project Database'!AH130))</f>
        <v/>
      </c>
      <c r="BP126" s="5">
        <f>IF('Project Database'!A130="","",N('Project Database'!AI130))</f>
        <v/>
      </c>
      <c r="BQ126" s="5">
        <f>IF('Project Database'!A130="","",N('Project Database'!AJ130))</f>
        <v/>
      </c>
      <c r="BR126" s="5">
        <f>IF('Project Database'!A130="","",N('Project Database'!AK130))</f>
        <v/>
      </c>
      <c r="BS126" s="5">
        <f>IF('Project Database'!A130="","",N('Project Database'!AL130))</f>
        <v/>
      </c>
      <c r="BT126" s="5">
        <f>IF('Project Database'!A130="","",N('Project Database'!AM130))</f>
        <v/>
      </c>
      <c r="BU126" s="5">
        <f>IF('Project Database'!A130="","",N('Project Database'!AN130))</f>
        <v/>
      </c>
      <c r="BV126" s="5">
        <f>IF('Project Database'!A130="","",N('Project Database'!AO130))</f>
        <v/>
      </c>
      <c r="BW126" s="5">
        <f>IF('Project Database'!A130="","",N('Project Database'!AP130))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</row>
    <row r="127" ht="15" customHeight="1" s="74">
      <c r="A127" s="66">
        <f>'Project Database'!A131</f>
        <v/>
      </c>
      <c r="B127" s="66">
        <f>'Project Database'!B131</f>
        <v/>
      </c>
      <c r="C127" s="66">
        <f>'Project Database'!G131</f>
        <v/>
      </c>
      <c r="D127" s="66">
        <f>'Project Database'!H131</f>
        <v/>
      </c>
      <c r="E127" s="66">
        <f>'Project Database'!I131</f>
        <v/>
      </c>
      <c r="F127" s="66">
        <f>'Project Database'!J131</f>
        <v/>
      </c>
      <c r="G127" s="66">
        <f>'Project Database'!K131</f>
        <v/>
      </c>
      <c r="H127" s="66">
        <f>'Project Database'!L131</f>
        <v/>
      </c>
      <c r="I127" s="66">
        <f>'Project Database'!M131</f>
        <v/>
      </c>
      <c r="J127" s="66">
        <f>'Project Database'!N131</f>
        <v/>
      </c>
      <c r="K127" s="66">
        <f>'Project Database'!O131</f>
        <v/>
      </c>
      <c r="L127" s="66">
        <f>'Project Database'!P131</f>
        <v/>
      </c>
      <c r="M127" s="66">
        <f>'Project Database'!Q131</f>
        <v/>
      </c>
      <c r="N127" s="66">
        <f>'Project Database'!R131</f>
        <v/>
      </c>
      <c r="O127" s="66">
        <f>'Project Database'!S131</f>
        <v/>
      </c>
      <c r="P127" s="66">
        <f>'Project Database'!T131</f>
        <v/>
      </c>
      <c r="Q127" s="66">
        <f>'Project Database'!U131</f>
        <v/>
      </c>
      <c r="R127" s="66">
        <f>'Project Database'!V131</f>
        <v/>
      </c>
      <c r="S127" s="66">
        <f>'Project Database'!W131</f>
        <v/>
      </c>
      <c r="T127" s="66">
        <f>'Project Database'!X131</f>
        <v/>
      </c>
      <c r="U127" s="67">
        <f>'Project Database'!Y131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'Project Database'!Z131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IF(AND('Project Database'!A131&lt;&gt;"",OR('Smart Search'!$L$5="",'Smart Search'!$L$5="All",TRIM('Project Database'!D131)=TRIM('Smart Search'!$L$5)),OR(TRIM('Smart Search'!$L$6)="",TRIM('Smart Search'!$L$6)="All",ISNUMBER(SEARCH(SUBSTITUTE(SUBSTITUTE(SUBSTITUTE(TRIM('Smart Search'!$L$6),"~","~~"),"*","~*"),"?","~?"),'Project Database'!C131))),OR('Smart Search'!$L$7="",AND('Project Database'!E131&lt;&gt;"",'Project Database'!E131='Smart Search'!$L$7)),OR('Smart Search'!$L$8="",'Smart Search'!$L$8="All",TRIM('Project Database'!F131)=TRIM('Smart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IF('Project Database'!A131="","",N('Project Database'!AC131))</f>
        <v/>
      </c>
      <c r="BK127" s="5">
        <f>IF('Project Database'!A131="","",N('Project Database'!AD131))</f>
        <v/>
      </c>
      <c r="BL127" s="5">
        <f>IF('Project Database'!A131="","",N('Project Database'!AE131))</f>
        <v/>
      </c>
      <c r="BM127" s="5">
        <f>IF('Project Database'!A131="","",N('Project Database'!AF131))</f>
        <v/>
      </c>
      <c r="BN127" s="5">
        <f>IF('Project Database'!A131="","",N('Project Database'!AG131))</f>
        <v/>
      </c>
      <c r="BO127" s="5">
        <f>IF('Project Database'!A131="","",N('Project Database'!AH131))</f>
        <v/>
      </c>
      <c r="BP127" s="5">
        <f>IF('Project Database'!A131="","",N('Project Database'!AI131))</f>
        <v/>
      </c>
      <c r="BQ127" s="5">
        <f>IF('Project Database'!A131="","",N('Project Database'!AJ131))</f>
        <v/>
      </c>
      <c r="BR127" s="5">
        <f>IF('Project Database'!A131="","",N('Project Database'!AK131))</f>
        <v/>
      </c>
      <c r="BS127" s="5">
        <f>IF('Project Database'!A131="","",N('Project Database'!AL131))</f>
        <v/>
      </c>
      <c r="BT127" s="5">
        <f>IF('Project Database'!A131="","",N('Project Database'!AM131))</f>
        <v/>
      </c>
      <c r="BU127" s="5">
        <f>IF('Project Database'!A131="","",N('Project Database'!AN131))</f>
        <v/>
      </c>
      <c r="BV127" s="5">
        <f>IF('Project Database'!A131="","",N('Project Database'!AO131))</f>
        <v/>
      </c>
      <c r="BW127" s="5">
        <f>IF('Project Database'!A131="","",N('Project Database'!AP131))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</row>
    <row r="128" ht="15" customHeight="1" s="74">
      <c r="A128" s="66">
        <f>'Project Database'!A132</f>
        <v/>
      </c>
      <c r="B128" s="66">
        <f>'Project Database'!B132</f>
        <v/>
      </c>
      <c r="C128" s="66">
        <f>'Project Database'!G132</f>
        <v/>
      </c>
      <c r="D128" s="66">
        <f>'Project Database'!H132</f>
        <v/>
      </c>
      <c r="E128" s="66">
        <f>'Project Database'!I132</f>
        <v/>
      </c>
      <c r="F128" s="66">
        <f>'Project Database'!J132</f>
        <v/>
      </c>
      <c r="G128" s="66">
        <f>'Project Database'!K132</f>
        <v/>
      </c>
      <c r="H128" s="66">
        <f>'Project Database'!L132</f>
        <v/>
      </c>
      <c r="I128" s="66">
        <f>'Project Database'!M132</f>
        <v/>
      </c>
      <c r="J128" s="66">
        <f>'Project Database'!N132</f>
        <v/>
      </c>
      <c r="K128" s="66">
        <f>'Project Database'!O132</f>
        <v/>
      </c>
      <c r="L128" s="66">
        <f>'Project Database'!P132</f>
        <v/>
      </c>
      <c r="M128" s="66">
        <f>'Project Database'!Q132</f>
        <v/>
      </c>
      <c r="N128" s="66">
        <f>'Project Database'!R132</f>
        <v/>
      </c>
      <c r="O128" s="66">
        <f>'Project Database'!S132</f>
        <v/>
      </c>
      <c r="P128" s="66">
        <f>'Project Database'!T132</f>
        <v/>
      </c>
      <c r="Q128" s="66">
        <f>'Project Database'!U132</f>
        <v/>
      </c>
      <c r="R128" s="66">
        <f>'Project Database'!V132</f>
        <v/>
      </c>
      <c r="S128" s="66">
        <f>'Project Database'!W132</f>
        <v/>
      </c>
      <c r="T128" s="66">
        <f>'Project Database'!X132</f>
        <v/>
      </c>
      <c r="U128" s="67">
        <f>'Project Database'!Y132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'Project Database'!Z132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IF(AND('Project Database'!A132&lt;&gt;"",OR('Smart Search'!$L$5="",'Smart Search'!$L$5="All",TRIM('Project Database'!D132)=TRIM('Smart Search'!$L$5)),OR(TRIM('Smart Search'!$L$6)="",TRIM('Smart Search'!$L$6)="All",ISNUMBER(SEARCH(SUBSTITUTE(SUBSTITUTE(SUBSTITUTE(TRIM('Smart Search'!$L$6),"~","~~"),"*","~*"),"?","~?"),'Project Database'!C132))),OR('Smart Search'!$L$7="",AND('Project Database'!E132&lt;&gt;"",'Project Database'!E132='Smart Search'!$L$7)),OR('Smart Search'!$L$8="",'Smart Search'!$L$8="All",TRIM('Project Database'!F132)=TRIM('Smart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IF('Project Database'!A132="","",N('Project Database'!AC132))</f>
        <v/>
      </c>
      <c r="BK128" s="5">
        <f>IF('Project Database'!A132="","",N('Project Database'!AD132))</f>
        <v/>
      </c>
      <c r="BL128" s="5">
        <f>IF('Project Database'!A132="","",N('Project Database'!AE132))</f>
        <v/>
      </c>
      <c r="BM128" s="5">
        <f>IF('Project Database'!A132="","",N('Project Database'!AF132))</f>
        <v/>
      </c>
      <c r="BN128" s="5">
        <f>IF('Project Database'!A132="","",N('Project Database'!AG132))</f>
        <v/>
      </c>
      <c r="BO128" s="5">
        <f>IF('Project Database'!A132="","",N('Project Database'!AH132))</f>
        <v/>
      </c>
      <c r="BP128" s="5">
        <f>IF('Project Database'!A132="","",N('Project Database'!AI132))</f>
        <v/>
      </c>
      <c r="BQ128" s="5">
        <f>IF('Project Database'!A132="","",N('Project Database'!AJ132))</f>
        <v/>
      </c>
      <c r="BR128" s="5">
        <f>IF('Project Database'!A132="","",N('Project Database'!AK132))</f>
        <v/>
      </c>
      <c r="BS128" s="5">
        <f>IF('Project Database'!A132="","",N('Project Database'!AL132))</f>
        <v/>
      </c>
      <c r="BT128" s="5">
        <f>IF('Project Database'!A132="","",N('Project Database'!AM132))</f>
        <v/>
      </c>
      <c r="BU128" s="5">
        <f>IF('Project Database'!A132="","",N('Project Database'!AN132))</f>
        <v/>
      </c>
      <c r="BV128" s="5">
        <f>IF('Project Database'!A132="","",N('Project Database'!AO132))</f>
        <v/>
      </c>
      <c r="BW128" s="5">
        <f>IF('Project Database'!A132="","",N('Project Database'!AP132))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</row>
    <row r="129" ht="15" customHeight="1" s="74">
      <c r="A129" s="66">
        <f>'Project Database'!A133</f>
        <v/>
      </c>
      <c r="B129" s="66">
        <f>'Project Database'!B133</f>
        <v/>
      </c>
      <c r="C129" s="66">
        <f>'Project Database'!G133</f>
        <v/>
      </c>
      <c r="D129" s="66">
        <f>'Project Database'!H133</f>
        <v/>
      </c>
      <c r="E129" s="66">
        <f>'Project Database'!I133</f>
        <v/>
      </c>
      <c r="F129" s="66">
        <f>'Project Database'!J133</f>
        <v/>
      </c>
      <c r="G129" s="66">
        <f>'Project Database'!K133</f>
        <v/>
      </c>
      <c r="H129" s="66">
        <f>'Project Database'!L133</f>
        <v/>
      </c>
      <c r="I129" s="66">
        <f>'Project Database'!M133</f>
        <v/>
      </c>
      <c r="J129" s="66">
        <f>'Project Database'!N133</f>
        <v/>
      </c>
      <c r="K129" s="66">
        <f>'Project Database'!O133</f>
        <v/>
      </c>
      <c r="L129" s="66">
        <f>'Project Database'!P133</f>
        <v/>
      </c>
      <c r="M129" s="66">
        <f>'Project Database'!Q133</f>
        <v/>
      </c>
      <c r="N129" s="66">
        <f>'Project Database'!R133</f>
        <v/>
      </c>
      <c r="O129" s="66">
        <f>'Project Database'!S133</f>
        <v/>
      </c>
      <c r="P129" s="66">
        <f>'Project Database'!T133</f>
        <v/>
      </c>
      <c r="Q129" s="66">
        <f>'Project Database'!U133</f>
        <v/>
      </c>
      <c r="R129" s="66">
        <f>'Project Database'!V133</f>
        <v/>
      </c>
      <c r="S129" s="66">
        <f>'Project Database'!W133</f>
        <v/>
      </c>
      <c r="T129" s="66">
        <f>'Project Database'!X133</f>
        <v/>
      </c>
      <c r="U129" s="67">
        <f>'Project Database'!Y133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'Project Database'!Z133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IF(AND('Project Database'!A133&lt;&gt;"",OR('Smart Search'!$L$5="",'Smart Search'!$L$5="All",TRIM('Project Database'!D133)=TRIM('Smart Search'!$L$5)),OR(TRIM('Smart Search'!$L$6)="",TRIM('Smart Search'!$L$6)="All",ISNUMBER(SEARCH(SUBSTITUTE(SUBSTITUTE(SUBSTITUTE(TRIM('Smart Search'!$L$6),"~","~~"),"*","~*"),"?","~?"),'Project Database'!C133))),OR('Smart Search'!$L$7="",AND('Project Database'!E133&lt;&gt;"",'Project Database'!E133='Smart Search'!$L$7)),OR('Smart Search'!$L$8="",'Smart Search'!$L$8="All",TRIM('Project Database'!F133)=TRIM('Smart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IF('Project Database'!A133="","",N('Project Database'!AC133))</f>
        <v/>
      </c>
      <c r="BK129" s="5">
        <f>IF('Project Database'!A133="","",N('Project Database'!AD133))</f>
        <v/>
      </c>
      <c r="BL129" s="5">
        <f>IF('Project Database'!A133="","",N('Project Database'!AE133))</f>
        <v/>
      </c>
      <c r="BM129" s="5">
        <f>IF('Project Database'!A133="","",N('Project Database'!AF133))</f>
        <v/>
      </c>
      <c r="BN129" s="5">
        <f>IF('Project Database'!A133="","",N('Project Database'!AG133))</f>
        <v/>
      </c>
      <c r="BO129" s="5">
        <f>IF('Project Database'!A133="","",N('Project Database'!AH133))</f>
        <v/>
      </c>
      <c r="BP129" s="5">
        <f>IF('Project Database'!A133="","",N('Project Database'!AI133))</f>
        <v/>
      </c>
      <c r="BQ129" s="5">
        <f>IF('Project Database'!A133="","",N('Project Database'!AJ133))</f>
        <v/>
      </c>
      <c r="BR129" s="5">
        <f>IF('Project Database'!A133="","",N('Project Database'!AK133))</f>
        <v/>
      </c>
      <c r="BS129" s="5">
        <f>IF('Project Database'!A133="","",N('Project Database'!AL133))</f>
        <v/>
      </c>
      <c r="BT129" s="5">
        <f>IF('Project Database'!A133="","",N('Project Database'!AM133))</f>
        <v/>
      </c>
      <c r="BU129" s="5">
        <f>IF('Project Database'!A133="","",N('Project Database'!AN133))</f>
        <v/>
      </c>
      <c r="BV129" s="5">
        <f>IF('Project Database'!A133="","",N('Project Database'!AO133))</f>
        <v/>
      </c>
      <c r="BW129" s="5">
        <f>IF('Project Database'!A133="","",N('Project Database'!AP133))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</row>
    <row r="130" ht="15" customHeight="1" s="74">
      <c r="A130" s="66">
        <f>'Project Database'!A134</f>
        <v/>
      </c>
      <c r="B130" s="66">
        <f>'Project Database'!B134</f>
        <v/>
      </c>
      <c r="C130" s="66">
        <f>'Project Database'!G134</f>
        <v/>
      </c>
      <c r="D130" s="66">
        <f>'Project Database'!H134</f>
        <v/>
      </c>
      <c r="E130" s="66">
        <f>'Project Database'!I134</f>
        <v/>
      </c>
      <c r="F130" s="66">
        <f>'Project Database'!J134</f>
        <v/>
      </c>
      <c r="G130" s="66">
        <f>'Project Database'!K134</f>
        <v/>
      </c>
      <c r="H130" s="66">
        <f>'Project Database'!L134</f>
        <v/>
      </c>
      <c r="I130" s="66">
        <f>'Project Database'!M134</f>
        <v/>
      </c>
      <c r="J130" s="66">
        <f>'Project Database'!N134</f>
        <v/>
      </c>
      <c r="K130" s="66">
        <f>'Project Database'!O134</f>
        <v/>
      </c>
      <c r="L130" s="66">
        <f>'Project Database'!P134</f>
        <v/>
      </c>
      <c r="M130" s="66">
        <f>'Project Database'!Q134</f>
        <v/>
      </c>
      <c r="N130" s="66">
        <f>'Project Database'!R134</f>
        <v/>
      </c>
      <c r="O130" s="66">
        <f>'Project Database'!S134</f>
        <v/>
      </c>
      <c r="P130" s="66">
        <f>'Project Database'!T134</f>
        <v/>
      </c>
      <c r="Q130" s="66">
        <f>'Project Database'!U134</f>
        <v/>
      </c>
      <c r="R130" s="66">
        <f>'Project Database'!V134</f>
        <v/>
      </c>
      <c r="S130" s="66">
        <f>'Project Database'!W134</f>
        <v/>
      </c>
      <c r="T130" s="66">
        <f>'Project Database'!X134</f>
        <v/>
      </c>
      <c r="U130" s="67">
        <f>'Project Database'!Y134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'Project Database'!Z134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IF(AND('Project Database'!A134&lt;&gt;"",OR('Smart Search'!$L$5="",'Smart Search'!$L$5="All",TRIM('Project Database'!D134)=TRIM('Smart Search'!$L$5)),OR(TRIM('Smart Search'!$L$6)="",TRIM('Smart Search'!$L$6)="All",ISNUMBER(SEARCH(SUBSTITUTE(SUBSTITUTE(SUBSTITUTE(TRIM('Smart Search'!$L$6),"~","~~"),"*","~*"),"?","~?"),'Project Database'!C134))),OR('Smart Search'!$L$7="",AND('Project Database'!E134&lt;&gt;"",'Project Database'!E134='Smart Search'!$L$7)),OR('Smart Search'!$L$8="",'Smart Search'!$L$8="All",TRIM('Project Database'!F134)=TRIM('Smart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IF('Project Database'!A134="","",N('Project Database'!AC134))</f>
        <v/>
      </c>
      <c r="BK130" s="5">
        <f>IF('Project Database'!A134="","",N('Project Database'!AD134))</f>
        <v/>
      </c>
      <c r="BL130" s="5">
        <f>IF('Project Database'!A134="","",N('Project Database'!AE134))</f>
        <v/>
      </c>
      <c r="BM130" s="5">
        <f>IF('Project Database'!A134="","",N('Project Database'!AF134))</f>
        <v/>
      </c>
      <c r="BN130" s="5">
        <f>IF('Project Database'!A134="","",N('Project Database'!AG134))</f>
        <v/>
      </c>
      <c r="BO130" s="5">
        <f>IF('Project Database'!A134="","",N('Project Database'!AH134))</f>
        <v/>
      </c>
      <c r="BP130" s="5">
        <f>IF('Project Database'!A134="","",N('Project Database'!AI134))</f>
        <v/>
      </c>
      <c r="BQ130" s="5">
        <f>IF('Project Database'!A134="","",N('Project Database'!AJ134))</f>
        <v/>
      </c>
      <c r="BR130" s="5">
        <f>IF('Project Database'!A134="","",N('Project Database'!AK134))</f>
        <v/>
      </c>
      <c r="BS130" s="5">
        <f>IF('Project Database'!A134="","",N('Project Database'!AL134))</f>
        <v/>
      </c>
      <c r="BT130" s="5">
        <f>IF('Project Database'!A134="","",N('Project Database'!AM134))</f>
        <v/>
      </c>
      <c r="BU130" s="5">
        <f>IF('Project Database'!A134="","",N('Project Database'!AN134))</f>
        <v/>
      </c>
      <c r="BV130" s="5">
        <f>IF('Project Database'!A134="","",N('Project Database'!AO134))</f>
        <v/>
      </c>
      <c r="BW130" s="5">
        <f>IF('Project Database'!A134="","",N('Project Database'!AP134))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</row>
    <row r="131" ht="15" customHeight="1" s="74">
      <c r="A131" s="66">
        <f>'Project Database'!A135</f>
        <v/>
      </c>
      <c r="B131" s="66">
        <f>'Project Database'!B135</f>
        <v/>
      </c>
      <c r="C131" s="66">
        <f>'Project Database'!G135</f>
        <v/>
      </c>
      <c r="D131" s="66">
        <f>'Project Database'!H135</f>
        <v/>
      </c>
      <c r="E131" s="66">
        <f>'Project Database'!I135</f>
        <v/>
      </c>
      <c r="F131" s="66">
        <f>'Project Database'!J135</f>
        <v/>
      </c>
      <c r="G131" s="66">
        <f>'Project Database'!K135</f>
        <v/>
      </c>
      <c r="H131" s="66">
        <f>'Project Database'!L135</f>
        <v/>
      </c>
      <c r="I131" s="66">
        <f>'Project Database'!M135</f>
        <v/>
      </c>
      <c r="J131" s="66">
        <f>'Project Database'!N135</f>
        <v/>
      </c>
      <c r="K131" s="66">
        <f>'Project Database'!O135</f>
        <v/>
      </c>
      <c r="L131" s="66">
        <f>'Project Database'!P135</f>
        <v/>
      </c>
      <c r="M131" s="66">
        <f>'Project Database'!Q135</f>
        <v/>
      </c>
      <c r="N131" s="66">
        <f>'Project Database'!R135</f>
        <v/>
      </c>
      <c r="O131" s="66">
        <f>'Project Database'!S135</f>
        <v/>
      </c>
      <c r="P131" s="66">
        <f>'Project Database'!T135</f>
        <v/>
      </c>
      <c r="Q131" s="66">
        <f>'Project Database'!U135</f>
        <v/>
      </c>
      <c r="R131" s="66">
        <f>'Project Database'!V135</f>
        <v/>
      </c>
      <c r="S131" s="66">
        <f>'Project Database'!W135</f>
        <v/>
      </c>
      <c r="T131" s="66">
        <f>'Project Database'!X135</f>
        <v/>
      </c>
      <c r="U131" s="67">
        <f>'Project Database'!Y135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'Project Database'!Z135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IF(AND('Project Database'!A135&lt;&gt;"",OR('Smart Search'!$L$5="",'Smart Search'!$L$5="All",TRIM('Project Database'!D135)=TRIM('Smart Search'!$L$5)),OR(TRIM('Smart Search'!$L$6)="",TRIM('Smart Search'!$L$6)="All",ISNUMBER(SEARCH(SUBSTITUTE(SUBSTITUTE(SUBSTITUTE(TRIM('Smart Search'!$L$6),"~","~~"),"*","~*"),"?","~?"),'Project Database'!C135))),OR('Smart Search'!$L$7="",AND('Project Database'!E135&lt;&gt;"",'Project Database'!E135='Smart Search'!$L$7)),OR('Smart Search'!$L$8="",'Smart Search'!$L$8="All",TRIM('Project Database'!F135)=TRIM('Smart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IF('Project Database'!A135="","",N('Project Database'!AC135))</f>
        <v/>
      </c>
      <c r="BK131" s="5">
        <f>IF('Project Database'!A135="","",N('Project Database'!AD135))</f>
        <v/>
      </c>
      <c r="BL131" s="5">
        <f>IF('Project Database'!A135="","",N('Project Database'!AE135))</f>
        <v/>
      </c>
      <c r="BM131" s="5">
        <f>IF('Project Database'!A135="","",N('Project Database'!AF135))</f>
        <v/>
      </c>
      <c r="BN131" s="5">
        <f>IF('Project Database'!A135="","",N('Project Database'!AG135))</f>
        <v/>
      </c>
      <c r="BO131" s="5">
        <f>IF('Project Database'!A135="","",N('Project Database'!AH135))</f>
        <v/>
      </c>
      <c r="BP131" s="5">
        <f>IF('Project Database'!A135="","",N('Project Database'!AI135))</f>
        <v/>
      </c>
      <c r="BQ131" s="5">
        <f>IF('Project Database'!A135="","",N('Project Database'!AJ135))</f>
        <v/>
      </c>
      <c r="BR131" s="5">
        <f>IF('Project Database'!A135="","",N('Project Database'!AK135))</f>
        <v/>
      </c>
      <c r="BS131" s="5">
        <f>IF('Project Database'!A135="","",N('Project Database'!AL135))</f>
        <v/>
      </c>
      <c r="BT131" s="5">
        <f>IF('Project Database'!A135="","",N('Project Database'!AM135))</f>
        <v/>
      </c>
      <c r="BU131" s="5">
        <f>IF('Project Database'!A135="","",N('Project Database'!AN135))</f>
        <v/>
      </c>
      <c r="BV131" s="5">
        <f>IF('Project Database'!A135="","",N('Project Database'!AO135))</f>
        <v/>
      </c>
      <c r="BW131" s="5">
        <f>IF('Project Database'!A135="","",N('Project Database'!AP135))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</row>
    <row r="132" ht="15" customHeight="1" s="74">
      <c r="A132" s="66">
        <f>'Project Database'!A136</f>
        <v/>
      </c>
      <c r="B132" s="66">
        <f>'Project Database'!B136</f>
        <v/>
      </c>
      <c r="C132" s="66">
        <f>'Project Database'!G136</f>
        <v/>
      </c>
      <c r="D132" s="66">
        <f>'Project Database'!H136</f>
        <v/>
      </c>
      <c r="E132" s="66">
        <f>'Project Database'!I136</f>
        <v/>
      </c>
      <c r="F132" s="66">
        <f>'Project Database'!J136</f>
        <v/>
      </c>
      <c r="G132" s="66">
        <f>'Project Database'!K136</f>
        <v/>
      </c>
      <c r="H132" s="66">
        <f>'Project Database'!L136</f>
        <v/>
      </c>
      <c r="I132" s="66">
        <f>'Project Database'!M136</f>
        <v/>
      </c>
      <c r="J132" s="66">
        <f>'Project Database'!N136</f>
        <v/>
      </c>
      <c r="K132" s="66">
        <f>'Project Database'!O136</f>
        <v/>
      </c>
      <c r="L132" s="66">
        <f>'Project Database'!P136</f>
        <v/>
      </c>
      <c r="M132" s="66">
        <f>'Project Database'!Q136</f>
        <v/>
      </c>
      <c r="N132" s="66">
        <f>'Project Database'!R136</f>
        <v/>
      </c>
      <c r="O132" s="66">
        <f>'Project Database'!S136</f>
        <v/>
      </c>
      <c r="P132" s="66">
        <f>'Project Database'!T136</f>
        <v/>
      </c>
      <c r="Q132" s="66">
        <f>'Project Database'!U136</f>
        <v/>
      </c>
      <c r="R132" s="66">
        <f>'Project Database'!V136</f>
        <v/>
      </c>
      <c r="S132" s="66">
        <f>'Project Database'!W136</f>
        <v/>
      </c>
      <c r="T132" s="66">
        <f>'Project Database'!X136</f>
        <v/>
      </c>
      <c r="U132" s="67">
        <f>'Project Database'!Y136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'Project Database'!Z136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IF(AND('Project Database'!A136&lt;&gt;"",OR('Smart Search'!$L$5="",'Smart Search'!$L$5="All",TRIM('Project Database'!D136)=TRIM('Smart Search'!$L$5)),OR(TRIM('Smart Search'!$L$6)="",TRIM('Smart Search'!$L$6)="All",ISNUMBER(SEARCH(SUBSTITUTE(SUBSTITUTE(SUBSTITUTE(TRIM('Smart Search'!$L$6),"~","~~"),"*","~*"),"?","~?"),'Project Database'!C136))),OR('Smart Search'!$L$7="",AND('Project Database'!E136&lt;&gt;"",'Project Database'!E136='Smart Search'!$L$7)),OR('Smart Search'!$L$8="",'Smart Search'!$L$8="All",TRIM('Project Database'!F136)=TRIM('Smart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IF('Project Database'!A136="","",N('Project Database'!AC136))</f>
        <v/>
      </c>
      <c r="BK132" s="5">
        <f>IF('Project Database'!A136="","",N('Project Database'!AD136))</f>
        <v/>
      </c>
      <c r="BL132" s="5">
        <f>IF('Project Database'!A136="","",N('Project Database'!AE136))</f>
        <v/>
      </c>
      <c r="BM132" s="5">
        <f>IF('Project Database'!A136="","",N('Project Database'!AF136))</f>
        <v/>
      </c>
      <c r="BN132" s="5">
        <f>IF('Project Database'!A136="","",N('Project Database'!AG136))</f>
        <v/>
      </c>
      <c r="BO132" s="5">
        <f>IF('Project Database'!A136="","",N('Project Database'!AH136))</f>
        <v/>
      </c>
      <c r="BP132" s="5">
        <f>IF('Project Database'!A136="","",N('Project Database'!AI136))</f>
        <v/>
      </c>
      <c r="BQ132" s="5">
        <f>IF('Project Database'!A136="","",N('Project Database'!AJ136))</f>
        <v/>
      </c>
      <c r="BR132" s="5">
        <f>IF('Project Database'!A136="","",N('Project Database'!AK136))</f>
        <v/>
      </c>
      <c r="BS132" s="5">
        <f>IF('Project Database'!A136="","",N('Project Database'!AL136))</f>
        <v/>
      </c>
      <c r="BT132" s="5">
        <f>IF('Project Database'!A136="","",N('Project Database'!AM136))</f>
        <v/>
      </c>
      <c r="BU132" s="5">
        <f>IF('Project Database'!A136="","",N('Project Database'!AN136))</f>
        <v/>
      </c>
      <c r="BV132" s="5">
        <f>IF('Project Database'!A136="","",N('Project Database'!AO136))</f>
        <v/>
      </c>
      <c r="BW132" s="5">
        <f>IF('Project Database'!A136="","",N('Project Database'!AP136))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</row>
    <row r="133" ht="15" customHeight="1" s="74">
      <c r="A133" s="66">
        <f>'Project Database'!A137</f>
        <v/>
      </c>
      <c r="B133" s="66">
        <f>'Project Database'!B137</f>
        <v/>
      </c>
      <c r="C133" s="66">
        <f>'Project Database'!G137</f>
        <v/>
      </c>
      <c r="D133" s="66">
        <f>'Project Database'!H137</f>
        <v/>
      </c>
      <c r="E133" s="66">
        <f>'Project Database'!I137</f>
        <v/>
      </c>
      <c r="F133" s="66">
        <f>'Project Database'!J137</f>
        <v/>
      </c>
      <c r="G133" s="66">
        <f>'Project Database'!K137</f>
        <v/>
      </c>
      <c r="H133" s="66">
        <f>'Project Database'!L137</f>
        <v/>
      </c>
      <c r="I133" s="66">
        <f>'Project Database'!M137</f>
        <v/>
      </c>
      <c r="J133" s="66">
        <f>'Project Database'!N137</f>
        <v/>
      </c>
      <c r="K133" s="66">
        <f>'Project Database'!O137</f>
        <v/>
      </c>
      <c r="L133" s="66">
        <f>'Project Database'!P137</f>
        <v/>
      </c>
      <c r="M133" s="66">
        <f>'Project Database'!Q137</f>
        <v/>
      </c>
      <c r="N133" s="66">
        <f>'Project Database'!R137</f>
        <v/>
      </c>
      <c r="O133" s="66">
        <f>'Project Database'!S137</f>
        <v/>
      </c>
      <c r="P133" s="66">
        <f>'Project Database'!T137</f>
        <v/>
      </c>
      <c r="Q133" s="66">
        <f>'Project Database'!U137</f>
        <v/>
      </c>
      <c r="R133" s="66">
        <f>'Project Database'!V137</f>
        <v/>
      </c>
      <c r="S133" s="66">
        <f>'Project Database'!W137</f>
        <v/>
      </c>
      <c r="T133" s="66">
        <f>'Project Database'!X137</f>
        <v/>
      </c>
      <c r="U133" s="67">
        <f>'Project Database'!Y137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'Project Database'!Z137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IF(AND('Project Database'!A137&lt;&gt;"",OR('Smart Search'!$L$5="",'Smart Search'!$L$5="All",TRIM('Project Database'!D137)=TRIM('Smart Search'!$L$5)),OR(TRIM('Smart Search'!$L$6)="",TRIM('Smart Search'!$L$6)="All",ISNUMBER(SEARCH(SUBSTITUTE(SUBSTITUTE(SUBSTITUTE(TRIM('Smart Search'!$L$6),"~","~~"),"*","~*"),"?","~?"),'Project Database'!C137))),OR('Smart Search'!$L$7="",AND('Project Database'!E137&lt;&gt;"",'Project Database'!E137='Smart Search'!$L$7)),OR('Smart Search'!$L$8="",'Smart Search'!$L$8="All",TRIM('Project Database'!F137)=TRIM('Smart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IF('Project Database'!A137="","",N('Project Database'!AC137))</f>
        <v/>
      </c>
      <c r="BK133" s="5">
        <f>IF('Project Database'!A137="","",N('Project Database'!AD137))</f>
        <v/>
      </c>
      <c r="BL133" s="5">
        <f>IF('Project Database'!A137="","",N('Project Database'!AE137))</f>
        <v/>
      </c>
      <c r="BM133" s="5">
        <f>IF('Project Database'!A137="","",N('Project Database'!AF137))</f>
        <v/>
      </c>
      <c r="BN133" s="5">
        <f>IF('Project Database'!A137="","",N('Project Database'!AG137))</f>
        <v/>
      </c>
      <c r="BO133" s="5">
        <f>IF('Project Database'!A137="","",N('Project Database'!AH137))</f>
        <v/>
      </c>
      <c r="BP133" s="5">
        <f>IF('Project Database'!A137="","",N('Project Database'!AI137))</f>
        <v/>
      </c>
      <c r="BQ133" s="5">
        <f>IF('Project Database'!A137="","",N('Project Database'!AJ137))</f>
        <v/>
      </c>
      <c r="BR133" s="5">
        <f>IF('Project Database'!A137="","",N('Project Database'!AK137))</f>
        <v/>
      </c>
      <c r="BS133" s="5">
        <f>IF('Project Database'!A137="","",N('Project Database'!AL137))</f>
        <v/>
      </c>
      <c r="BT133" s="5">
        <f>IF('Project Database'!A137="","",N('Project Database'!AM137))</f>
        <v/>
      </c>
      <c r="BU133" s="5">
        <f>IF('Project Database'!A137="","",N('Project Database'!AN137))</f>
        <v/>
      </c>
      <c r="BV133" s="5">
        <f>IF('Project Database'!A137="","",N('Project Database'!AO137))</f>
        <v/>
      </c>
      <c r="BW133" s="5">
        <f>IF('Project Database'!A137="","",N('Project Database'!AP137))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</row>
    <row r="134" ht="15" customHeight="1" s="74">
      <c r="A134" s="66">
        <f>'Project Database'!A138</f>
        <v/>
      </c>
      <c r="B134" s="66">
        <f>'Project Database'!B138</f>
        <v/>
      </c>
      <c r="C134" s="66">
        <f>'Project Database'!G138</f>
        <v/>
      </c>
      <c r="D134" s="66">
        <f>'Project Database'!H138</f>
        <v/>
      </c>
      <c r="E134" s="66">
        <f>'Project Database'!I138</f>
        <v/>
      </c>
      <c r="F134" s="66">
        <f>'Project Database'!J138</f>
        <v/>
      </c>
      <c r="G134" s="66">
        <f>'Project Database'!K138</f>
        <v/>
      </c>
      <c r="H134" s="66">
        <f>'Project Database'!L138</f>
        <v/>
      </c>
      <c r="I134" s="66">
        <f>'Project Database'!M138</f>
        <v/>
      </c>
      <c r="J134" s="66">
        <f>'Project Database'!N138</f>
        <v/>
      </c>
      <c r="K134" s="66">
        <f>'Project Database'!O138</f>
        <v/>
      </c>
      <c r="L134" s="66">
        <f>'Project Database'!P138</f>
        <v/>
      </c>
      <c r="M134" s="66">
        <f>'Project Database'!Q138</f>
        <v/>
      </c>
      <c r="N134" s="66">
        <f>'Project Database'!R138</f>
        <v/>
      </c>
      <c r="O134" s="66">
        <f>'Project Database'!S138</f>
        <v/>
      </c>
      <c r="P134" s="66">
        <f>'Project Database'!T138</f>
        <v/>
      </c>
      <c r="Q134" s="66">
        <f>'Project Database'!U138</f>
        <v/>
      </c>
      <c r="R134" s="66">
        <f>'Project Database'!V138</f>
        <v/>
      </c>
      <c r="S134" s="66">
        <f>'Project Database'!W138</f>
        <v/>
      </c>
      <c r="T134" s="66">
        <f>'Project Database'!X138</f>
        <v/>
      </c>
      <c r="U134" s="67">
        <f>'Project Database'!Y138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'Project Database'!Z138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IF(AND('Project Database'!A138&lt;&gt;"",OR('Smart Search'!$L$5="",'Smart Search'!$L$5="All",TRIM('Project Database'!D138)=TRIM('Smart Search'!$L$5)),OR(TRIM('Smart Search'!$L$6)="",TRIM('Smart Search'!$L$6)="All",ISNUMBER(SEARCH(SUBSTITUTE(SUBSTITUTE(SUBSTITUTE(TRIM('Smart Search'!$L$6),"~","~~"),"*","~*"),"?","~?"),'Project Database'!C138))),OR('Smart Search'!$L$7="",AND('Project Database'!E138&lt;&gt;"",'Project Database'!E138='Smart Search'!$L$7)),OR('Smart Search'!$L$8="",'Smart Search'!$L$8="All",TRIM('Project Database'!F138)=TRIM('Smart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IF('Project Database'!A138="","",N('Project Database'!AC138))</f>
        <v/>
      </c>
      <c r="BK134" s="5">
        <f>IF('Project Database'!A138="","",N('Project Database'!AD138))</f>
        <v/>
      </c>
      <c r="BL134" s="5">
        <f>IF('Project Database'!A138="","",N('Project Database'!AE138))</f>
        <v/>
      </c>
      <c r="BM134" s="5">
        <f>IF('Project Database'!A138="","",N('Project Database'!AF138))</f>
        <v/>
      </c>
      <c r="BN134" s="5">
        <f>IF('Project Database'!A138="","",N('Project Database'!AG138))</f>
        <v/>
      </c>
      <c r="BO134" s="5">
        <f>IF('Project Database'!A138="","",N('Project Database'!AH138))</f>
        <v/>
      </c>
      <c r="BP134" s="5">
        <f>IF('Project Database'!A138="","",N('Project Database'!AI138))</f>
        <v/>
      </c>
      <c r="BQ134" s="5">
        <f>IF('Project Database'!A138="","",N('Project Database'!AJ138))</f>
        <v/>
      </c>
      <c r="BR134" s="5">
        <f>IF('Project Database'!A138="","",N('Project Database'!AK138))</f>
        <v/>
      </c>
      <c r="BS134" s="5">
        <f>IF('Project Database'!A138="","",N('Project Database'!AL138))</f>
        <v/>
      </c>
      <c r="BT134" s="5">
        <f>IF('Project Database'!A138="","",N('Project Database'!AM138))</f>
        <v/>
      </c>
      <c r="BU134" s="5">
        <f>IF('Project Database'!A138="","",N('Project Database'!AN138))</f>
        <v/>
      </c>
      <c r="BV134" s="5">
        <f>IF('Project Database'!A138="","",N('Project Database'!AO138))</f>
        <v/>
      </c>
      <c r="BW134" s="5">
        <f>IF('Project Database'!A138="","",N('Project Database'!AP138))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</row>
    <row r="135" ht="15" customHeight="1" s="74">
      <c r="A135" s="66">
        <f>'Project Database'!A139</f>
        <v/>
      </c>
      <c r="B135" s="66">
        <f>'Project Database'!B139</f>
        <v/>
      </c>
      <c r="C135" s="66">
        <f>'Project Database'!G139</f>
        <v/>
      </c>
      <c r="D135" s="66">
        <f>'Project Database'!H139</f>
        <v/>
      </c>
      <c r="E135" s="66">
        <f>'Project Database'!I139</f>
        <v/>
      </c>
      <c r="F135" s="66">
        <f>'Project Database'!J139</f>
        <v/>
      </c>
      <c r="G135" s="66">
        <f>'Project Database'!K139</f>
        <v/>
      </c>
      <c r="H135" s="66">
        <f>'Project Database'!L139</f>
        <v/>
      </c>
      <c r="I135" s="66">
        <f>'Project Database'!M139</f>
        <v/>
      </c>
      <c r="J135" s="66">
        <f>'Project Database'!N139</f>
        <v/>
      </c>
      <c r="K135" s="66">
        <f>'Project Database'!O139</f>
        <v/>
      </c>
      <c r="L135" s="66">
        <f>'Project Database'!P139</f>
        <v/>
      </c>
      <c r="M135" s="66">
        <f>'Project Database'!Q139</f>
        <v/>
      </c>
      <c r="N135" s="66">
        <f>'Project Database'!R139</f>
        <v/>
      </c>
      <c r="O135" s="66">
        <f>'Project Database'!S139</f>
        <v/>
      </c>
      <c r="P135" s="66">
        <f>'Project Database'!T139</f>
        <v/>
      </c>
      <c r="Q135" s="66">
        <f>'Project Database'!U139</f>
        <v/>
      </c>
      <c r="R135" s="66">
        <f>'Project Database'!V139</f>
        <v/>
      </c>
      <c r="S135" s="66">
        <f>'Project Database'!W139</f>
        <v/>
      </c>
      <c r="T135" s="66">
        <f>'Project Database'!X139</f>
        <v/>
      </c>
      <c r="U135" s="67">
        <f>'Project Database'!Y139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'Project Database'!Z139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IF(AND('Project Database'!A139&lt;&gt;"",OR('Smart Search'!$L$5="",'Smart Search'!$L$5="All",TRIM('Project Database'!D139)=TRIM('Smart Search'!$L$5)),OR(TRIM('Smart Search'!$L$6)="",TRIM('Smart Search'!$L$6)="All",ISNUMBER(SEARCH(SUBSTITUTE(SUBSTITUTE(SUBSTITUTE(TRIM('Smart Search'!$L$6),"~","~~"),"*","~*"),"?","~?"),'Project Database'!C139))),OR('Smart Search'!$L$7="",AND('Project Database'!E139&lt;&gt;"",'Project Database'!E139='Smart Search'!$L$7)),OR('Smart Search'!$L$8="",'Smart Search'!$L$8="All",TRIM('Project Database'!F139)=TRIM('Smart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IF('Project Database'!A139="","",N('Project Database'!AC139))</f>
        <v/>
      </c>
      <c r="BK135" s="5">
        <f>IF('Project Database'!A139="","",N('Project Database'!AD139))</f>
        <v/>
      </c>
      <c r="BL135" s="5">
        <f>IF('Project Database'!A139="","",N('Project Database'!AE139))</f>
        <v/>
      </c>
      <c r="BM135" s="5">
        <f>IF('Project Database'!A139="","",N('Project Database'!AF139))</f>
        <v/>
      </c>
      <c r="BN135" s="5">
        <f>IF('Project Database'!A139="","",N('Project Database'!AG139))</f>
        <v/>
      </c>
      <c r="BO135" s="5">
        <f>IF('Project Database'!A139="","",N('Project Database'!AH139))</f>
        <v/>
      </c>
      <c r="BP135" s="5">
        <f>IF('Project Database'!A139="","",N('Project Database'!AI139))</f>
        <v/>
      </c>
      <c r="BQ135" s="5">
        <f>IF('Project Database'!A139="","",N('Project Database'!AJ139))</f>
        <v/>
      </c>
      <c r="BR135" s="5">
        <f>IF('Project Database'!A139="","",N('Project Database'!AK139))</f>
        <v/>
      </c>
      <c r="BS135" s="5">
        <f>IF('Project Database'!A139="","",N('Project Database'!AL139))</f>
        <v/>
      </c>
      <c r="BT135" s="5">
        <f>IF('Project Database'!A139="","",N('Project Database'!AM139))</f>
        <v/>
      </c>
      <c r="BU135" s="5">
        <f>IF('Project Database'!A139="","",N('Project Database'!AN139))</f>
        <v/>
      </c>
      <c r="BV135" s="5">
        <f>IF('Project Database'!A139="","",N('Project Database'!AO139))</f>
        <v/>
      </c>
      <c r="BW135" s="5">
        <f>IF('Project Database'!A139="","",N('Project Database'!AP139))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</row>
    <row r="136" ht="15" customHeight="1" s="74">
      <c r="A136" s="66">
        <f>'Project Database'!A140</f>
        <v/>
      </c>
      <c r="B136" s="66">
        <f>'Project Database'!B140</f>
        <v/>
      </c>
      <c r="C136" s="66">
        <f>'Project Database'!G140</f>
        <v/>
      </c>
      <c r="D136" s="66">
        <f>'Project Database'!H140</f>
        <v/>
      </c>
      <c r="E136" s="66">
        <f>'Project Database'!I140</f>
        <v/>
      </c>
      <c r="F136" s="66">
        <f>'Project Database'!J140</f>
        <v/>
      </c>
      <c r="G136" s="66">
        <f>'Project Database'!K140</f>
        <v/>
      </c>
      <c r="H136" s="66">
        <f>'Project Database'!L140</f>
        <v/>
      </c>
      <c r="I136" s="66">
        <f>'Project Database'!M140</f>
        <v/>
      </c>
      <c r="J136" s="66">
        <f>'Project Database'!N140</f>
        <v/>
      </c>
      <c r="K136" s="66">
        <f>'Project Database'!O140</f>
        <v/>
      </c>
      <c r="L136" s="66">
        <f>'Project Database'!P140</f>
        <v/>
      </c>
      <c r="M136" s="66">
        <f>'Project Database'!Q140</f>
        <v/>
      </c>
      <c r="N136" s="66">
        <f>'Project Database'!R140</f>
        <v/>
      </c>
      <c r="O136" s="66">
        <f>'Project Database'!S140</f>
        <v/>
      </c>
      <c r="P136" s="66">
        <f>'Project Database'!T140</f>
        <v/>
      </c>
      <c r="Q136" s="66">
        <f>'Project Database'!U140</f>
        <v/>
      </c>
      <c r="R136" s="66">
        <f>'Project Database'!V140</f>
        <v/>
      </c>
      <c r="S136" s="66">
        <f>'Project Database'!W140</f>
        <v/>
      </c>
      <c r="T136" s="66">
        <f>'Project Database'!X140</f>
        <v/>
      </c>
      <c r="U136" s="67">
        <f>'Project Database'!Y140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'Project Database'!Z140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IF(AND('Project Database'!A140&lt;&gt;"",OR('Smart Search'!$L$5="",'Smart Search'!$L$5="All",TRIM('Project Database'!D140)=TRIM('Smart Search'!$L$5)),OR(TRIM('Smart Search'!$L$6)="",TRIM('Smart Search'!$L$6)="All",ISNUMBER(SEARCH(SUBSTITUTE(SUBSTITUTE(SUBSTITUTE(TRIM('Smart Search'!$L$6),"~","~~"),"*","~*"),"?","~?"),'Project Database'!C140))),OR('Smart Search'!$L$7="",AND('Project Database'!E140&lt;&gt;"",'Project Database'!E140='Smart Search'!$L$7)),OR('Smart Search'!$L$8="",'Smart Search'!$L$8="All",TRIM('Project Database'!F140)=TRIM('Smart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IF('Project Database'!A140="","",N('Project Database'!AC140))</f>
        <v/>
      </c>
      <c r="BK136" s="5">
        <f>IF('Project Database'!A140="","",N('Project Database'!AD140))</f>
        <v/>
      </c>
      <c r="BL136" s="5">
        <f>IF('Project Database'!A140="","",N('Project Database'!AE140))</f>
        <v/>
      </c>
      <c r="BM136" s="5">
        <f>IF('Project Database'!A140="","",N('Project Database'!AF140))</f>
        <v/>
      </c>
      <c r="BN136" s="5">
        <f>IF('Project Database'!A140="","",N('Project Database'!AG140))</f>
        <v/>
      </c>
      <c r="BO136" s="5">
        <f>IF('Project Database'!A140="","",N('Project Database'!AH140))</f>
        <v/>
      </c>
      <c r="BP136" s="5">
        <f>IF('Project Database'!A140="","",N('Project Database'!AI140))</f>
        <v/>
      </c>
      <c r="BQ136" s="5">
        <f>IF('Project Database'!A140="","",N('Project Database'!AJ140))</f>
        <v/>
      </c>
      <c r="BR136" s="5">
        <f>IF('Project Database'!A140="","",N('Project Database'!AK140))</f>
        <v/>
      </c>
      <c r="BS136" s="5">
        <f>IF('Project Database'!A140="","",N('Project Database'!AL140))</f>
        <v/>
      </c>
      <c r="BT136" s="5">
        <f>IF('Project Database'!A140="","",N('Project Database'!AM140))</f>
        <v/>
      </c>
      <c r="BU136" s="5">
        <f>IF('Project Database'!A140="","",N('Project Database'!AN140))</f>
        <v/>
      </c>
      <c r="BV136" s="5">
        <f>IF('Project Database'!A140="","",N('Project Database'!AO140))</f>
        <v/>
      </c>
      <c r="BW136" s="5">
        <f>IF('Project Database'!A140="","",N('Project Database'!AP140))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</row>
    <row r="137" ht="15" customHeight="1" s="74">
      <c r="A137" s="66">
        <f>'Project Database'!A141</f>
        <v/>
      </c>
      <c r="B137" s="66">
        <f>'Project Database'!B141</f>
        <v/>
      </c>
      <c r="C137" s="66">
        <f>'Project Database'!G141</f>
        <v/>
      </c>
      <c r="D137" s="66">
        <f>'Project Database'!H141</f>
        <v/>
      </c>
      <c r="E137" s="66">
        <f>'Project Database'!I141</f>
        <v/>
      </c>
      <c r="F137" s="66">
        <f>'Project Database'!J141</f>
        <v/>
      </c>
      <c r="G137" s="66">
        <f>'Project Database'!K141</f>
        <v/>
      </c>
      <c r="H137" s="66">
        <f>'Project Database'!L141</f>
        <v/>
      </c>
      <c r="I137" s="66">
        <f>'Project Database'!M141</f>
        <v/>
      </c>
      <c r="J137" s="66">
        <f>'Project Database'!N141</f>
        <v/>
      </c>
      <c r="K137" s="66">
        <f>'Project Database'!O141</f>
        <v/>
      </c>
      <c r="L137" s="66">
        <f>'Project Database'!P141</f>
        <v/>
      </c>
      <c r="M137" s="66">
        <f>'Project Database'!Q141</f>
        <v/>
      </c>
      <c r="N137" s="66">
        <f>'Project Database'!R141</f>
        <v/>
      </c>
      <c r="O137" s="66">
        <f>'Project Database'!S141</f>
        <v/>
      </c>
      <c r="P137" s="66">
        <f>'Project Database'!T141</f>
        <v/>
      </c>
      <c r="Q137" s="66">
        <f>'Project Database'!U141</f>
        <v/>
      </c>
      <c r="R137" s="66">
        <f>'Project Database'!V141</f>
        <v/>
      </c>
      <c r="S137" s="66">
        <f>'Project Database'!W141</f>
        <v/>
      </c>
      <c r="T137" s="66">
        <f>'Project Database'!X141</f>
        <v/>
      </c>
      <c r="U137" s="67">
        <f>'Project Database'!Y141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'Project Database'!Z141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IF(AND('Project Database'!A141&lt;&gt;"",OR('Smart Search'!$L$5="",'Smart Search'!$L$5="All",TRIM('Project Database'!D141)=TRIM('Smart Search'!$L$5)),OR(TRIM('Smart Search'!$L$6)="",TRIM('Smart Search'!$L$6)="All",ISNUMBER(SEARCH(SUBSTITUTE(SUBSTITUTE(SUBSTITUTE(TRIM('Smart Search'!$L$6),"~","~~"),"*","~*"),"?","~?"),'Project Database'!C141))),OR('Smart Search'!$L$7="",AND('Project Database'!E141&lt;&gt;"",'Project Database'!E141='Smart Search'!$L$7)),OR('Smart Search'!$L$8="",'Smart Search'!$L$8="All",TRIM('Project Database'!F141)=TRIM('Smart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IF('Project Database'!A141="","",N('Project Database'!AC141))</f>
        <v/>
      </c>
      <c r="BK137" s="5">
        <f>IF('Project Database'!A141="","",N('Project Database'!AD141))</f>
        <v/>
      </c>
      <c r="BL137" s="5">
        <f>IF('Project Database'!A141="","",N('Project Database'!AE141))</f>
        <v/>
      </c>
      <c r="BM137" s="5">
        <f>IF('Project Database'!A141="","",N('Project Database'!AF141))</f>
        <v/>
      </c>
      <c r="BN137" s="5">
        <f>IF('Project Database'!A141="","",N('Project Database'!AG141))</f>
        <v/>
      </c>
      <c r="BO137" s="5">
        <f>IF('Project Database'!A141="","",N('Project Database'!AH141))</f>
        <v/>
      </c>
      <c r="BP137" s="5">
        <f>IF('Project Database'!A141="","",N('Project Database'!AI141))</f>
        <v/>
      </c>
      <c r="BQ137" s="5">
        <f>IF('Project Database'!A141="","",N('Project Database'!AJ141))</f>
        <v/>
      </c>
      <c r="BR137" s="5">
        <f>IF('Project Database'!A141="","",N('Project Database'!AK141))</f>
        <v/>
      </c>
      <c r="BS137" s="5">
        <f>IF('Project Database'!A141="","",N('Project Database'!AL141))</f>
        <v/>
      </c>
      <c r="BT137" s="5">
        <f>IF('Project Database'!A141="","",N('Project Database'!AM141))</f>
        <v/>
      </c>
      <c r="BU137" s="5">
        <f>IF('Project Database'!A141="","",N('Project Database'!AN141))</f>
        <v/>
      </c>
      <c r="BV137" s="5">
        <f>IF('Project Database'!A141="","",N('Project Database'!AO141))</f>
        <v/>
      </c>
      <c r="BW137" s="5">
        <f>IF('Project Database'!A141="","",N('Project Database'!AP141))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</row>
    <row r="138" ht="15" customHeight="1" s="74">
      <c r="A138" s="66">
        <f>'Project Database'!A142</f>
        <v/>
      </c>
      <c r="B138" s="66">
        <f>'Project Database'!B142</f>
        <v/>
      </c>
      <c r="C138" s="66">
        <f>'Project Database'!G142</f>
        <v/>
      </c>
      <c r="D138" s="66">
        <f>'Project Database'!H142</f>
        <v/>
      </c>
      <c r="E138" s="66">
        <f>'Project Database'!I142</f>
        <v/>
      </c>
      <c r="F138" s="66">
        <f>'Project Database'!J142</f>
        <v/>
      </c>
      <c r="G138" s="66">
        <f>'Project Database'!K142</f>
        <v/>
      </c>
      <c r="H138" s="66">
        <f>'Project Database'!L142</f>
        <v/>
      </c>
      <c r="I138" s="66">
        <f>'Project Database'!M142</f>
        <v/>
      </c>
      <c r="J138" s="66">
        <f>'Project Database'!N142</f>
        <v/>
      </c>
      <c r="K138" s="66">
        <f>'Project Database'!O142</f>
        <v/>
      </c>
      <c r="L138" s="66">
        <f>'Project Database'!P142</f>
        <v/>
      </c>
      <c r="M138" s="66">
        <f>'Project Database'!Q142</f>
        <v/>
      </c>
      <c r="N138" s="66">
        <f>'Project Database'!R142</f>
        <v/>
      </c>
      <c r="O138" s="66">
        <f>'Project Database'!S142</f>
        <v/>
      </c>
      <c r="P138" s="66">
        <f>'Project Database'!T142</f>
        <v/>
      </c>
      <c r="Q138" s="66">
        <f>'Project Database'!U142</f>
        <v/>
      </c>
      <c r="R138" s="66">
        <f>'Project Database'!V142</f>
        <v/>
      </c>
      <c r="S138" s="66">
        <f>'Project Database'!W142</f>
        <v/>
      </c>
      <c r="T138" s="66">
        <f>'Project Database'!X142</f>
        <v/>
      </c>
      <c r="U138" s="67">
        <f>'Project Database'!Y142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'Project Database'!Z142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IF(AND('Project Database'!A142&lt;&gt;"",OR('Smart Search'!$L$5="",'Smart Search'!$L$5="All",TRIM('Project Database'!D142)=TRIM('Smart Search'!$L$5)),OR(TRIM('Smart Search'!$L$6)="",TRIM('Smart Search'!$L$6)="All",ISNUMBER(SEARCH(SUBSTITUTE(SUBSTITUTE(SUBSTITUTE(TRIM('Smart Search'!$L$6),"~","~~"),"*","~*"),"?","~?"),'Project Database'!C142))),OR('Smart Search'!$L$7="",AND('Project Database'!E142&lt;&gt;"",'Project Database'!E142='Smart Search'!$L$7)),OR('Smart Search'!$L$8="",'Smart Search'!$L$8="All",TRIM('Project Database'!F142)=TRIM('Smart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IF('Project Database'!A142="","",N('Project Database'!AC142))</f>
        <v/>
      </c>
      <c r="BK138" s="5">
        <f>IF('Project Database'!A142="","",N('Project Database'!AD142))</f>
        <v/>
      </c>
      <c r="BL138" s="5">
        <f>IF('Project Database'!A142="","",N('Project Database'!AE142))</f>
        <v/>
      </c>
      <c r="BM138" s="5">
        <f>IF('Project Database'!A142="","",N('Project Database'!AF142))</f>
        <v/>
      </c>
      <c r="BN138" s="5">
        <f>IF('Project Database'!A142="","",N('Project Database'!AG142))</f>
        <v/>
      </c>
      <c r="BO138" s="5">
        <f>IF('Project Database'!A142="","",N('Project Database'!AH142))</f>
        <v/>
      </c>
      <c r="BP138" s="5">
        <f>IF('Project Database'!A142="","",N('Project Database'!AI142))</f>
        <v/>
      </c>
      <c r="BQ138" s="5">
        <f>IF('Project Database'!A142="","",N('Project Database'!AJ142))</f>
        <v/>
      </c>
      <c r="BR138" s="5">
        <f>IF('Project Database'!A142="","",N('Project Database'!AK142))</f>
        <v/>
      </c>
      <c r="BS138" s="5">
        <f>IF('Project Database'!A142="","",N('Project Database'!AL142))</f>
        <v/>
      </c>
      <c r="BT138" s="5">
        <f>IF('Project Database'!A142="","",N('Project Database'!AM142))</f>
        <v/>
      </c>
      <c r="BU138" s="5">
        <f>IF('Project Database'!A142="","",N('Project Database'!AN142))</f>
        <v/>
      </c>
      <c r="BV138" s="5">
        <f>IF('Project Database'!A142="","",N('Project Database'!AO142))</f>
        <v/>
      </c>
      <c r="BW138" s="5">
        <f>IF('Project Database'!A142="","",N('Project Database'!AP142))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</row>
    <row r="139" ht="15" customHeight="1" s="74">
      <c r="A139" s="66">
        <f>'Project Database'!A143</f>
        <v/>
      </c>
      <c r="B139" s="66">
        <f>'Project Database'!B143</f>
        <v/>
      </c>
      <c r="C139" s="66">
        <f>'Project Database'!G143</f>
        <v/>
      </c>
      <c r="D139" s="66">
        <f>'Project Database'!H143</f>
        <v/>
      </c>
      <c r="E139" s="66">
        <f>'Project Database'!I143</f>
        <v/>
      </c>
      <c r="F139" s="66">
        <f>'Project Database'!J143</f>
        <v/>
      </c>
      <c r="G139" s="66">
        <f>'Project Database'!K143</f>
        <v/>
      </c>
      <c r="H139" s="66">
        <f>'Project Database'!L143</f>
        <v/>
      </c>
      <c r="I139" s="66">
        <f>'Project Database'!M143</f>
        <v/>
      </c>
      <c r="J139" s="66">
        <f>'Project Database'!N143</f>
        <v/>
      </c>
      <c r="K139" s="66">
        <f>'Project Database'!O143</f>
        <v/>
      </c>
      <c r="L139" s="66">
        <f>'Project Database'!P143</f>
        <v/>
      </c>
      <c r="M139" s="66">
        <f>'Project Database'!Q143</f>
        <v/>
      </c>
      <c r="N139" s="66">
        <f>'Project Database'!R143</f>
        <v/>
      </c>
      <c r="O139" s="66">
        <f>'Project Database'!S143</f>
        <v/>
      </c>
      <c r="P139" s="66">
        <f>'Project Database'!T143</f>
        <v/>
      </c>
      <c r="Q139" s="66">
        <f>'Project Database'!U143</f>
        <v/>
      </c>
      <c r="R139" s="66">
        <f>'Project Database'!V143</f>
        <v/>
      </c>
      <c r="S139" s="66">
        <f>'Project Database'!W143</f>
        <v/>
      </c>
      <c r="T139" s="66">
        <f>'Project Database'!X143</f>
        <v/>
      </c>
      <c r="U139" s="67">
        <f>'Project Database'!Y143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'Project Database'!Z143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IF(AND('Project Database'!A143&lt;&gt;"",OR('Smart Search'!$L$5="",'Smart Search'!$L$5="All",TRIM('Project Database'!D143)=TRIM('Smart Search'!$L$5)),OR(TRIM('Smart Search'!$L$6)="",TRIM('Smart Search'!$L$6)="All",ISNUMBER(SEARCH(SUBSTITUTE(SUBSTITUTE(SUBSTITUTE(TRIM('Smart Search'!$L$6),"~","~~"),"*","~*"),"?","~?"),'Project Database'!C143))),OR('Smart Search'!$L$7="",AND('Project Database'!E143&lt;&gt;"",'Project Database'!E143='Smart Search'!$L$7)),OR('Smart Search'!$L$8="",'Smart Search'!$L$8="All",TRIM('Project Database'!F143)=TRIM('Smart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IF('Project Database'!A143="","",N('Project Database'!AC143))</f>
        <v/>
      </c>
      <c r="BK139" s="5">
        <f>IF('Project Database'!A143="","",N('Project Database'!AD143))</f>
        <v/>
      </c>
      <c r="BL139" s="5">
        <f>IF('Project Database'!A143="","",N('Project Database'!AE143))</f>
        <v/>
      </c>
      <c r="BM139" s="5">
        <f>IF('Project Database'!A143="","",N('Project Database'!AF143))</f>
        <v/>
      </c>
      <c r="BN139" s="5">
        <f>IF('Project Database'!A143="","",N('Project Database'!AG143))</f>
        <v/>
      </c>
      <c r="BO139" s="5">
        <f>IF('Project Database'!A143="","",N('Project Database'!AH143))</f>
        <v/>
      </c>
      <c r="BP139" s="5">
        <f>IF('Project Database'!A143="","",N('Project Database'!AI143))</f>
        <v/>
      </c>
      <c r="BQ139" s="5">
        <f>IF('Project Database'!A143="","",N('Project Database'!AJ143))</f>
        <v/>
      </c>
      <c r="BR139" s="5">
        <f>IF('Project Database'!A143="","",N('Project Database'!AK143))</f>
        <v/>
      </c>
      <c r="BS139" s="5">
        <f>IF('Project Database'!A143="","",N('Project Database'!AL143))</f>
        <v/>
      </c>
      <c r="BT139" s="5">
        <f>IF('Project Database'!A143="","",N('Project Database'!AM143))</f>
        <v/>
      </c>
      <c r="BU139" s="5">
        <f>IF('Project Database'!A143="","",N('Project Database'!AN143))</f>
        <v/>
      </c>
      <c r="BV139" s="5">
        <f>IF('Project Database'!A143="","",N('Project Database'!AO143))</f>
        <v/>
      </c>
      <c r="BW139" s="5">
        <f>IF('Project Database'!A143="","",N('Project Database'!AP143))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</row>
    <row r="140" ht="15" customHeight="1" s="74">
      <c r="A140" s="66">
        <f>'Project Database'!A144</f>
        <v/>
      </c>
      <c r="B140" s="66">
        <f>'Project Database'!B144</f>
        <v/>
      </c>
      <c r="C140" s="66">
        <f>'Project Database'!G144</f>
        <v/>
      </c>
      <c r="D140" s="66">
        <f>'Project Database'!H144</f>
        <v/>
      </c>
      <c r="E140" s="66">
        <f>'Project Database'!I144</f>
        <v/>
      </c>
      <c r="F140" s="66">
        <f>'Project Database'!J144</f>
        <v/>
      </c>
      <c r="G140" s="66">
        <f>'Project Database'!K144</f>
        <v/>
      </c>
      <c r="H140" s="66">
        <f>'Project Database'!L144</f>
        <v/>
      </c>
      <c r="I140" s="66">
        <f>'Project Database'!M144</f>
        <v/>
      </c>
      <c r="J140" s="66">
        <f>'Project Database'!N144</f>
        <v/>
      </c>
      <c r="K140" s="66">
        <f>'Project Database'!O144</f>
        <v/>
      </c>
      <c r="L140" s="66">
        <f>'Project Database'!P144</f>
        <v/>
      </c>
      <c r="M140" s="66">
        <f>'Project Database'!Q144</f>
        <v/>
      </c>
      <c r="N140" s="66">
        <f>'Project Database'!R144</f>
        <v/>
      </c>
      <c r="O140" s="66">
        <f>'Project Database'!S144</f>
        <v/>
      </c>
      <c r="P140" s="66">
        <f>'Project Database'!T144</f>
        <v/>
      </c>
      <c r="Q140" s="66">
        <f>'Project Database'!U144</f>
        <v/>
      </c>
      <c r="R140" s="66">
        <f>'Project Database'!V144</f>
        <v/>
      </c>
      <c r="S140" s="66">
        <f>'Project Database'!W144</f>
        <v/>
      </c>
      <c r="T140" s="66">
        <f>'Project Database'!X144</f>
        <v/>
      </c>
      <c r="U140" s="67">
        <f>'Project Database'!Y144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'Project Database'!Z144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IF(AND('Project Database'!A144&lt;&gt;"",OR('Smart Search'!$L$5="",'Smart Search'!$L$5="All",TRIM('Project Database'!D144)=TRIM('Smart Search'!$L$5)),OR(TRIM('Smart Search'!$L$6)="",TRIM('Smart Search'!$L$6)="All",ISNUMBER(SEARCH(SUBSTITUTE(SUBSTITUTE(SUBSTITUTE(TRIM('Smart Search'!$L$6),"~","~~"),"*","~*"),"?","~?"),'Project Database'!C144))),OR('Smart Search'!$L$7="",AND('Project Database'!E144&lt;&gt;"",'Project Database'!E144='Smart Search'!$L$7)),OR('Smart Search'!$L$8="",'Smart Search'!$L$8="All",TRIM('Project Database'!F144)=TRIM('Smart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IF('Project Database'!A144="","",N('Project Database'!AC144))</f>
        <v/>
      </c>
      <c r="BK140" s="5">
        <f>IF('Project Database'!A144="","",N('Project Database'!AD144))</f>
        <v/>
      </c>
      <c r="BL140" s="5">
        <f>IF('Project Database'!A144="","",N('Project Database'!AE144))</f>
        <v/>
      </c>
      <c r="BM140" s="5">
        <f>IF('Project Database'!A144="","",N('Project Database'!AF144))</f>
        <v/>
      </c>
      <c r="BN140" s="5">
        <f>IF('Project Database'!A144="","",N('Project Database'!AG144))</f>
        <v/>
      </c>
      <c r="BO140" s="5">
        <f>IF('Project Database'!A144="","",N('Project Database'!AH144))</f>
        <v/>
      </c>
      <c r="BP140" s="5">
        <f>IF('Project Database'!A144="","",N('Project Database'!AI144))</f>
        <v/>
      </c>
      <c r="BQ140" s="5">
        <f>IF('Project Database'!A144="","",N('Project Database'!AJ144))</f>
        <v/>
      </c>
      <c r="BR140" s="5">
        <f>IF('Project Database'!A144="","",N('Project Database'!AK144))</f>
        <v/>
      </c>
      <c r="BS140" s="5">
        <f>IF('Project Database'!A144="","",N('Project Database'!AL144))</f>
        <v/>
      </c>
      <c r="BT140" s="5">
        <f>IF('Project Database'!A144="","",N('Project Database'!AM144))</f>
        <v/>
      </c>
      <c r="BU140" s="5">
        <f>IF('Project Database'!A144="","",N('Project Database'!AN144))</f>
        <v/>
      </c>
      <c r="BV140" s="5">
        <f>IF('Project Database'!A144="","",N('Project Database'!AO144))</f>
        <v/>
      </c>
      <c r="BW140" s="5">
        <f>IF('Project Database'!A144="","",N('Project Database'!AP144))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</row>
    <row r="141" ht="15" customHeight="1" s="74">
      <c r="A141" s="66">
        <f>'Project Database'!A145</f>
        <v/>
      </c>
      <c r="B141" s="66">
        <f>'Project Database'!B145</f>
        <v/>
      </c>
      <c r="C141" s="66">
        <f>'Project Database'!G145</f>
        <v/>
      </c>
      <c r="D141" s="66">
        <f>'Project Database'!H145</f>
        <v/>
      </c>
      <c r="E141" s="66">
        <f>'Project Database'!I145</f>
        <v/>
      </c>
      <c r="F141" s="66">
        <f>'Project Database'!J145</f>
        <v/>
      </c>
      <c r="G141" s="66">
        <f>'Project Database'!K145</f>
        <v/>
      </c>
      <c r="H141" s="66">
        <f>'Project Database'!L145</f>
        <v/>
      </c>
      <c r="I141" s="66">
        <f>'Project Database'!M145</f>
        <v/>
      </c>
      <c r="J141" s="66">
        <f>'Project Database'!N145</f>
        <v/>
      </c>
      <c r="K141" s="66">
        <f>'Project Database'!O145</f>
        <v/>
      </c>
      <c r="L141" s="66">
        <f>'Project Database'!P145</f>
        <v/>
      </c>
      <c r="M141" s="66">
        <f>'Project Database'!Q145</f>
        <v/>
      </c>
      <c r="N141" s="66">
        <f>'Project Database'!R145</f>
        <v/>
      </c>
      <c r="O141" s="66">
        <f>'Project Database'!S145</f>
        <v/>
      </c>
      <c r="P141" s="66">
        <f>'Project Database'!T145</f>
        <v/>
      </c>
      <c r="Q141" s="66">
        <f>'Project Database'!U145</f>
        <v/>
      </c>
      <c r="R141" s="66">
        <f>'Project Database'!V145</f>
        <v/>
      </c>
      <c r="S141" s="66">
        <f>'Project Database'!W145</f>
        <v/>
      </c>
      <c r="T141" s="66">
        <f>'Project Database'!X145</f>
        <v/>
      </c>
      <c r="U141" s="67">
        <f>'Project Database'!Y145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'Project Database'!Z145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IF(AND('Project Database'!A145&lt;&gt;"",OR('Smart Search'!$L$5="",'Smart Search'!$L$5="All",TRIM('Project Database'!D145)=TRIM('Smart Search'!$L$5)),OR(TRIM('Smart Search'!$L$6)="",TRIM('Smart Search'!$L$6)="All",ISNUMBER(SEARCH(SUBSTITUTE(SUBSTITUTE(SUBSTITUTE(TRIM('Smart Search'!$L$6),"~","~~"),"*","~*"),"?","~?"),'Project Database'!C145))),OR('Smart Search'!$L$7="",AND('Project Database'!E145&lt;&gt;"",'Project Database'!E145='Smart Search'!$L$7)),OR('Smart Search'!$L$8="",'Smart Search'!$L$8="All",TRIM('Project Database'!F145)=TRIM('Smart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IF('Project Database'!A145="","",N('Project Database'!AC145))</f>
        <v/>
      </c>
      <c r="BK141" s="5">
        <f>IF('Project Database'!A145="","",N('Project Database'!AD145))</f>
        <v/>
      </c>
      <c r="BL141" s="5">
        <f>IF('Project Database'!A145="","",N('Project Database'!AE145))</f>
        <v/>
      </c>
      <c r="BM141" s="5">
        <f>IF('Project Database'!A145="","",N('Project Database'!AF145))</f>
        <v/>
      </c>
      <c r="BN141" s="5">
        <f>IF('Project Database'!A145="","",N('Project Database'!AG145))</f>
        <v/>
      </c>
      <c r="BO141" s="5">
        <f>IF('Project Database'!A145="","",N('Project Database'!AH145))</f>
        <v/>
      </c>
      <c r="BP141" s="5">
        <f>IF('Project Database'!A145="","",N('Project Database'!AI145))</f>
        <v/>
      </c>
      <c r="BQ141" s="5">
        <f>IF('Project Database'!A145="","",N('Project Database'!AJ145))</f>
        <v/>
      </c>
      <c r="BR141" s="5">
        <f>IF('Project Database'!A145="","",N('Project Database'!AK145))</f>
        <v/>
      </c>
      <c r="BS141" s="5">
        <f>IF('Project Database'!A145="","",N('Project Database'!AL145))</f>
        <v/>
      </c>
      <c r="BT141" s="5">
        <f>IF('Project Database'!A145="","",N('Project Database'!AM145))</f>
        <v/>
      </c>
      <c r="BU141" s="5">
        <f>IF('Project Database'!A145="","",N('Project Database'!AN145))</f>
        <v/>
      </c>
      <c r="BV141" s="5">
        <f>IF('Project Database'!A145="","",N('Project Database'!AO145))</f>
        <v/>
      </c>
      <c r="BW141" s="5">
        <f>IF('Project Database'!A145="","",N('Project Database'!AP145))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</row>
    <row r="142" ht="15" customHeight="1" s="74">
      <c r="A142" s="66">
        <f>'Project Database'!A146</f>
        <v/>
      </c>
      <c r="B142" s="66">
        <f>'Project Database'!B146</f>
        <v/>
      </c>
      <c r="C142" s="66">
        <f>'Project Database'!G146</f>
        <v/>
      </c>
      <c r="D142" s="66">
        <f>'Project Database'!H146</f>
        <v/>
      </c>
      <c r="E142" s="66">
        <f>'Project Database'!I146</f>
        <v/>
      </c>
      <c r="F142" s="66">
        <f>'Project Database'!J146</f>
        <v/>
      </c>
      <c r="G142" s="66">
        <f>'Project Database'!K146</f>
        <v/>
      </c>
      <c r="H142" s="66">
        <f>'Project Database'!L146</f>
        <v/>
      </c>
      <c r="I142" s="66">
        <f>'Project Database'!M146</f>
        <v/>
      </c>
      <c r="J142" s="66">
        <f>'Project Database'!N146</f>
        <v/>
      </c>
      <c r="K142" s="66">
        <f>'Project Database'!O146</f>
        <v/>
      </c>
      <c r="L142" s="66">
        <f>'Project Database'!P146</f>
        <v/>
      </c>
      <c r="M142" s="66">
        <f>'Project Database'!Q146</f>
        <v/>
      </c>
      <c r="N142" s="66">
        <f>'Project Database'!R146</f>
        <v/>
      </c>
      <c r="O142" s="66">
        <f>'Project Database'!S146</f>
        <v/>
      </c>
      <c r="P142" s="66">
        <f>'Project Database'!T146</f>
        <v/>
      </c>
      <c r="Q142" s="66">
        <f>'Project Database'!U146</f>
        <v/>
      </c>
      <c r="R142" s="66">
        <f>'Project Database'!V146</f>
        <v/>
      </c>
      <c r="S142" s="66">
        <f>'Project Database'!W146</f>
        <v/>
      </c>
      <c r="T142" s="66">
        <f>'Project Database'!X146</f>
        <v/>
      </c>
      <c r="U142" s="67">
        <f>'Project Database'!Y146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'Project Database'!Z146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IF(AND('Project Database'!A146&lt;&gt;"",OR('Smart Search'!$L$5="",'Smart Search'!$L$5="All",TRIM('Project Database'!D146)=TRIM('Smart Search'!$L$5)),OR(TRIM('Smart Search'!$L$6)="",TRIM('Smart Search'!$L$6)="All",ISNUMBER(SEARCH(SUBSTITUTE(SUBSTITUTE(SUBSTITUTE(TRIM('Smart Search'!$L$6),"~","~~"),"*","~*"),"?","~?"),'Project Database'!C146))),OR('Smart Search'!$L$7="",AND('Project Database'!E146&lt;&gt;"",'Project Database'!E146='Smart Search'!$L$7)),OR('Smart Search'!$L$8="",'Smart Search'!$L$8="All",TRIM('Project Database'!F146)=TRIM('Smart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IF('Project Database'!A146="","",N('Project Database'!AC146))</f>
        <v/>
      </c>
      <c r="BK142" s="5">
        <f>IF('Project Database'!A146="","",N('Project Database'!AD146))</f>
        <v/>
      </c>
      <c r="BL142" s="5">
        <f>IF('Project Database'!A146="","",N('Project Database'!AE146))</f>
        <v/>
      </c>
      <c r="BM142" s="5">
        <f>IF('Project Database'!A146="","",N('Project Database'!AF146))</f>
        <v/>
      </c>
      <c r="BN142" s="5">
        <f>IF('Project Database'!A146="","",N('Project Database'!AG146))</f>
        <v/>
      </c>
      <c r="BO142" s="5">
        <f>IF('Project Database'!A146="","",N('Project Database'!AH146))</f>
        <v/>
      </c>
      <c r="BP142" s="5">
        <f>IF('Project Database'!A146="","",N('Project Database'!AI146))</f>
        <v/>
      </c>
      <c r="BQ142" s="5">
        <f>IF('Project Database'!A146="","",N('Project Database'!AJ146))</f>
        <v/>
      </c>
      <c r="BR142" s="5">
        <f>IF('Project Database'!A146="","",N('Project Database'!AK146))</f>
        <v/>
      </c>
      <c r="BS142" s="5">
        <f>IF('Project Database'!A146="","",N('Project Database'!AL146))</f>
        <v/>
      </c>
      <c r="BT142" s="5">
        <f>IF('Project Database'!A146="","",N('Project Database'!AM146))</f>
        <v/>
      </c>
      <c r="BU142" s="5">
        <f>IF('Project Database'!A146="","",N('Project Database'!AN146))</f>
        <v/>
      </c>
      <c r="BV142" s="5">
        <f>IF('Project Database'!A146="","",N('Project Database'!AO146))</f>
        <v/>
      </c>
      <c r="BW142" s="5">
        <f>IF('Project Database'!A146="","",N('Project Database'!AP146))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</row>
    <row r="143" ht="15" customHeight="1" s="74">
      <c r="A143" s="66">
        <f>'Project Database'!A147</f>
        <v/>
      </c>
      <c r="B143" s="66">
        <f>'Project Database'!B147</f>
        <v/>
      </c>
      <c r="C143" s="66">
        <f>'Project Database'!G147</f>
        <v/>
      </c>
      <c r="D143" s="66">
        <f>'Project Database'!H147</f>
        <v/>
      </c>
      <c r="E143" s="66">
        <f>'Project Database'!I147</f>
        <v/>
      </c>
      <c r="F143" s="66">
        <f>'Project Database'!J147</f>
        <v/>
      </c>
      <c r="G143" s="66">
        <f>'Project Database'!K147</f>
        <v/>
      </c>
      <c r="H143" s="66">
        <f>'Project Database'!L147</f>
        <v/>
      </c>
      <c r="I143" s="66">
        <f>'Project Database'!M147</f>
        <v/>
      </c>
      <c r="J143" s="66">
        <f>'Project Database'!N147</f>
        <v/>
      </c>
      <c r="K143" s="66">
        <f>'Project Database'!O147</f>
        <v/>
      </c>
      <c r="L143" s="66">
        <f>'Project Database'!P147</f>
        <v/>
      </c>
      <c r="M143" s="66">
        <f>'Project Database'!Q147</f>
        <v/>
      </c>
      <c r="N143" s="66">
        <f>'Project Database'!R147</f>
        <v/>
      </c>
      <c r="O143" s="66">
        <f>'Project Database'!S147</f>
        <v/>
      </c>
      <c r="P143" s="66">
        <f>'Project Database'!T147</f>
        <v/>
      </c>
      <c r="Q143" s="66">
        <f>'Project Database'!U147</f>
        <v/>
      </c>
      <c r="R143" s="66">
        <f>'Project Database'!V147</f>
        <v/>
      </c>
      <c r="S143" s="66">
        <f>'Project Database'!W147</f>
        <v/>
      </c>
      <c r="T143" s="66">
        <f>'Project Database'!X147</f>
        <v/>
      </c>
      <c r="U143" s="67">
        <f>'Project Database'!Y147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'Project Database'!Z147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IF(AND('Project Database'!A147&lt;&gt;"",OR('Smart Search'!$L$5="",'Smart Search'!$L$5="All",TRIM('Project Database'!D147)=TRIM('Smart Search'!$L$5)),OR(TRIM('Smart Search'!$L$6)="",TRIM('Smart Search'!$L$6)="All",ISNUMBER(SEARCH(SUBSTITUTE(SUBSTITUTE(SUBSTITUTE(TRIM('Smart Search'!$L$6),"~","~~"),"*","~*"),"?","~?"),'Project Database'!C147))),OR('Smart Search'!$L$7="",AND('Project Database'!E147&lt;&gt;"",'Project Database'!E147='Smart Search'!$L$7)),OR('Smart Search'!$L$8="",'Smart Search'!$L$8="All",TRIM('Project Database'!F147)=TRIM('Smart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IF('Project Database'!A147="","",N('Project Database'!AC147))</f>
        <v/>
      </c>
      <c r="BK143" s="5">
        <f>IF('Project Database'!A147="","",N('Project Database'!AD147))</f>
        <v/>
      </c>
      <c r="BL143" s="5">
        <f>IF('Project Database'!A147="","",N('Project Database'!AE147))</f>
        <v/>
      </c>
      <c r="BM143" s="5">
        <f>IF('Project Database'!A147="","",N('Project Database'!AF147))</f>
        <v/>
      </c>
      <c r="BN143" s="5">
        <f>IF('Project Database'!A147="","",N('Project Database'!AG147))</f>
        <v/>
      </c>
      <c r="BO143" s="5">
        <f>IF('Project Database'!A147="","",N('Project Database'!AH147))</f>
        <v/>
      </c>
      <c r="BP143" s="5">
        <f>IF('Project Database'!A147="","",N('Project Database'!AI147))</f>
        <v/>
      </c>
      <c r="BQ143" s="5">
        <f>IF('Project Database'!A147="","",N('Project Database'!AJ147))</f>
        <v/>
      </c>
      <c r="BR143" s="5">
        <f>IF('Project Database'!A147="","",N('Project Database'!AK147))</f>
        <v/>
      </c>
      <c r="BS143" s="5">
        <f>IF('Project Database'!A147="","",N('Project Database'!AL147))</f>
        <v/>
      </c>
      <c r="BT143" s="5">
        <f>IF('Project Database'!A147="","",N('Project Database'!AM147))</f>
        <v/>
      </c>
      <c r="BU143" s="5">
        <f>IF('Project Database'!A147="","",N('Project Database'!AN147))</f>
        <v/>
      </c>
      <c r="BV143" s="5">
        <f>IF('Project Database'!A147="","",N('Project Database'!AO147))</f>
        <v/>
      </c>
      <c r="BW143" s="5">
        <f>IF('Project Database'!A147="","",N('Project Database'!AP147))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</row>
    <row r="144" ht="15" customHeight="1" s="74">
      <c r="A144" s="66">
        <f>'Project Database'!A148</f>
        <v/>
      </c>
      <c r="B144" s="66">
        <f>'Project Database'!B148</f>
        <v/>
      </c>
      <c r="C144" s="66">
        <f>'Project Database'!G148</f>
        <v/>
      </c>
      <c r="D144" s="66">
        <f>'Project Database'!H148</f>
        <v/>
      </c>
      <c r="E144" s="66">
        <f>'Project Database'!I148</f>
        <v/>
      </c>
      <c r="F144" s="66">
        <f>'Project Database'!J148</f>
        <v/>
      </c>
      <c r="G144" s="66">
        <f>'Project Database'!K148</f>
        <v/>
      </c>
      <c r="H144" s="66">
        <f>'Project Database'!L148</f>
        <v/>
      </c>
      <c r="I144" s="66">
        <f>'Project Database'!M148</f>
        <v/>
      </c>
      <c r="J144" s="66">
        <f>'Project Database'!N148</f>
        <v/>
      </c>
      <c r="K144" s="66">
        <f>'Project Database'!O148</f>
        <v/>
      </c>
      <c r="L144" s="66">
        <f>'Project Database'!P148</f>
        <v/>
      </c>
      <c r="M144" s="66">
        <f>'Project Database'!Q148</f>
        <v/>
      </c>
      <c r="N144" s="66">
        <f>'Project Database'!R148</f>
        <v/>
      </c>
      <c r="O144" s="66">
        <f>'Project Database'!S148</f>
        <v/>
      </c>
      <c r="P144" s="66">
        <f>'Project Database'!T148</f>
        <v/>
      </c>
      <c r="Q144" s="66">
        <f>'Project Database'!U148</f>
        <v/>
      </c>
      <c r="R144" s="66">
        <f>'Project Database'!V148</f>
        <v/>
      </c>
      <c r="S144" s="66">
        <f>'Project Database'!W148</f>
        <v/>
      </c>
      <c r="T144" s="66">
        <f>'Project Database'!X148</f>
        <v/>
      </c>
      <c r="U144" s="67">
        <f>'Project Database'!Y148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'Project Database'!Z148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IF(AND('Project Database'!A148&lt;&gt;"",OR('Smart Search'!$L$5="",'Smart Search'!$L$5="All",TRIM('Project Database'!D148)=TRIM('Smart Search'!$L$5)),OR(TRIM('Smart Search'!$L$6)="",TRIM('Smart Search'!$L$6)="All",ISNUMBER(SEARCH(SUBSTITUTE(SUBSTITUTE(SUBSTITUTE(TRIM('Smart Search'!$L$6),"~","~~"),"*","~*"),"?","~?"),'Project Database'!C148))),OR('Smart Search'!$L$7="",AND('Project Database'!E148&lt;&gt;"",'Project Database'!E148='Smart Search'!$L$7)),OR('Smart Search'!$L$8="",'Smart Search'!$L$8="All",TRIM('Project Database'!F148)=TRIM('Smart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IF('Project Database'!A148="","",N('Project Database'!AC148))</f>
        <v/>
      </c>
      <c r="BK144" s="5">
        <f>IF('Project Database'!A148="","",N('Project Database'!AD148))</f>
        <v/>
      </c>
      <c r="BL144" s="5">
        <f>IF('Project Database'!A148="","",N('Project Database'!AE148))</f>
        <v/>
      </c>
      <c r="BM144" s="5">
        <f>IF('Project Database'!A148="","",N('Project Database'!AF148))</f>
        <v/>
      </c>
      <c r="BN144" s="5">
        <f>IF('Project Database'!A148="","",N('Project Database'!AG148))</f>
        <v/>
      </c>
      <c r="BO144" s="5">
        <f>IF('Project Database'!A148="","",N('Project Database'!AH148))</f>
        <v/>
      </c>
      <c r="BP144" s="5">
        <f>IF('Project Database'!A148="","",N('Project Database'!AI148))</f>
        <v/>
      </c>
      <c r="BQ144" s="5">
        <f>IF('Project Database'!A148="","",N('Project Database'!AJ148))</f>
        <v/>
      </c>
      <c r="BR144" s="5">
        <f>IF('Project Database'!A148="","",N('Project Database'!AK148))</f>
        <v/>
      </c>
      <c r="BS144" s="5">
        <f>IF('Project Database'!A148="","",N('Project Database'!AL148))</f>
        <v/>
      </c>
      <c r="BT144" s="5">
        <f>IF('Project Database'!A148="","",N('Project Database'!AM148))</f>
        <v/>
      </c>
      <c r="BU144" s="5">
        <f>IF('Project Database'!A148="","",N('Project Database'!AN148))</f>
        <v/>
      </c>
      <c r="BV144" s="5">
        <f>IF('Project Database'!A148="","",N('Project Database'!AO148))</f>
        <v/>
      </c>
      <c r="BW144" s="5">
        <f>IF('Project Database'!A148="","",N('Project Database'!AP148))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</row>
    <row r="145" ht="15" customHeight="1" s="74">
      <c r="A145" s="66">
        <f>'Project Database'!A149</f>
        <v/>
      </c>
      <c r="B145" s="66">
        <f>'Project Database'!B149</f>
        <v/>
      </c>
      <c r="C145" s="66">
        <f>'Project Database'!G149</f>
        <v/>
      </c>
      <c r="D145" s="66">
        <f>'Project Database'!H149</f>
        <v/>
      </c>
      <c r="E145" s="66">
        <f>'Project Database'!I149</f>
        <v/>
      </c>
      <c r="F145" s="66">
        <f>'Project Database'!J149</f>
        <v/>
      </c>
      <c r="G145" s="66">
        <f>'Project Database'!K149</f>
        <v/>
      </c>
      <c r="H145" s="66">
        <f>'Project Database'!L149</f>
        <v/>
      </c>
      <c r="I145" s="66">
        <f>'Project Database'!M149</f>
        <v/>
      </c>
      <c r="J145" s="66">
        <f>'Project Database'!N149</f>
        <v/>
      </c>
      <c r="K145" s="66">
        <f>'Project Database'!O149</f>
        <v/>
      </c>
      <c r="L145" s="66">
        <f>'Project Database'!P149</f>
        <v/>
      </c>
      <c r="M145" s="66">
        <f>'Project Database'!Q149</f>
        <v/>
      </c>
      <c r="N145" s="66">
        <f>'Project Database'!R149</f>
        <v/>
      </c>
      <c r="O145" s="66">
        <f>'Project Database'!S149</f>
        <v/>
      </c>
      <c r="P145" s="66">
        <f>'Project Database'!T149</f>
        <v/>
      </c>
      <c r="Q145" s="66">
        <f>'Project Database'!U149</f>
        <v/>
      </c>
      <c r="R145" s="66">
        <f>'Project Database'!V149</f>
        <v/>
      </c>
      <c r="S145" s="66">
        <f>'Project Database'!W149</f>
        <v/>
      </c>
      <c r="T145" s="66">
        <f>'Project Database'!X149</f>
        <v/>
      </c>
      <c r="U145" s="67">
        <f>'Project Database'!Y149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'Project Database'!Z149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IF(AND('Project Database'!A149&lt;&gt;"",OR('Smart Search'!$L$5="",'Smart Search'!$L$5="All",TRIM('Project Database'!D149)=TRIM('Smart Search'!$L$5)),OR(TRIM('Smart Search'!$L$6)="",TRIM('Smart Search'!$L$6)="All",ISNUMBER(SEARCH(SUBSTITUTE(SUBSTITUTE(SUBSTITUTE(TRIM('Smart Search'!$L$6),"~","~~"),"*","~*"),"?","~?"),'Project Database'!C149))),OR('Smart Search'!$L$7="",AND('Project Database'!E149&lt;&gt;"",'Project Database'!E149='Smart Search'!$L$7)),OR('Smart Search'!$L$8="",'Smart Search'!$L$8="All",TRIM('Project Database'!F149)=TRIM('Smart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IF('Project Database'!A149="","",N('Project Database'!AC149))</f>
        <v/>
      </c>
      <c r="BK145" s="5">
        <f>IF('Project Database'!A149="","",N('Project Database'!AD149))</f>
        <v/>
      </c>
      <c r="BL145" s="5">
        <f>IF('Project Database'!A149="","",N('Project Database'!AE149))</f>
        <v/>
      </c>
      <c r="BM145" s="5">
        <f>IF('Project Database'!A149="","",N('Project Database'!AF149))</f>
        <v/>
      </c>
      <c r="BN145" s="5">
        <f>IF('Project Database'!A149="","",N('Project Database'!AG149))</f>
        <v/>
      </c>
      <c r="BO145" s="5">
        <f>IF('Project Database'!A149="","",N('Project Database'!AH149))</f>
        <v/>
      </c>
      <c r="BP145" s="5">
        <f>IF('Project Database'!A149="","",N('Project Database'!AI149))</f>
        <v/>
      </c>
      <c r="BQ145" s="5">
        <f>IF('Project Database'!A149="","",N('Project Database'!AJ149))</f>
        <v/>
      </c>
      <c r="BR145" s="5">
        <f>IF('Project Database'!A149="","",N('Project Database'!AK149))</f>
        <v/>
      </c>
      <c r="BS145" s="5">
        <f>IF('Project Database'!A149="","",N('Project Database'!AL149))</f>
        <v/>
      </c>
      <c r="BT145" s="5">
        <f>IF('Project Database'!A149="","",N('Project Database'!AM149))</f>
        <v/>
      </c>
      <c r="BU145" s="5">
        <f>IF('Project Database'!A149="","",N('Project Database'!AN149))</f>
        <v/>
      </c>
      <c r="BV145" s="5">
        <f>IF('Project Database'!A149="","",N('Project Database'!AO149))</f>
        <v/>
      </c>
      <c r="BW145" s="5">
        <f>IF('Project Database'!A149="","",N('Project Database'!AP149))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</row>
    <row r="146" ht="15" customHeight="1" s="74">
      <c r="A146" s="66">
        <f>'Project Database'!A150</f>
        <v/>
      </c>
      <c r="B146" s="66">
        <f>'Project Database'!B150</f>
        <v/>
      </c>
      <c r="C146" s="66">
        <f>'Project Database'!G150</f>
        <v/>
      </c>
      <c r="D146" s="66">
        <f>'Project Database'!H150</f>
        <v/>
      </c>
      <c r="E146" s="66">
        <f>'Project Database'!I150</f>
        <v/>
      </c>
      <c r="F146" s="66">
        <f>'Project Database'!J150</f>
        <v/>
      </c>
      <c r="G146" s="66">
        <f>'Project Database'!K150</f>
        <v/>
      </c>
      <c r="H146" s="66">
        <f>'Project Database'!L150</f>
        <v/>
      </c>
      <c r="I146" s="66">
        <f>'Project Database'!M150</f>
        <v/>
      </c>
      <c r="J146" s="66">
        <f>'Project Database'!N150</f>
        <v/>
      </c>
      <c r="K146" s="66">
        <f>'Project Database'!O150</f>
        <v/>
      </c>
      <c r="L146" s="66">
        <f>'Project Database'!P150</f>
        <v/>
      </c>
      <c r="M146" s="66">
        <f>'Project Database'!Q150</f>
        <v/>
      </c>
      <c r="N146" s="66">
        <f>'Project Database'!R150</f>
        <v/>
      </c>
      <c r="O146" s="66">
        <f>'Project Database'!S150</f>
        <v/>
      </c>
      <c r="P146" s="66">
        <f>'Project Database'!T150</f>
        <v/>
      </c>
      <c r="Q146" s="66">
        <f>'Project Database'!U150</f>
        <v/>
      </c>
      <c r="R146" s="66">
        <f>'Project Database'!V150</f>
        <v/>
      </c>
      <c r="S146" s="66">
        <f>'Project Database'!W150</f>
        <v/>
      </c>
      <c r="T146" s="66">
        <f>'Project Database'!X150</f>
        <v/>
      </c>
      <c r="U146" s="67">
        <f>'Project Database'!Y150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'Project Database'!Z150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IF(AND('Project Database'!A150&lt;&gt;"",OR('Smart Search'!$L$5="",'Smart Search'!$L$5="All",TRIM('Project Database'!D150)=TRIM('Smart Search'!$L$5)),OR(TRIM('Smart Search'!$L$6)="",TRIM('Smart Search'!$L$6)="All",ISNUMBER(SEARCH(SUBSTITUTE(SUBSTITUTE(SUBSTITUTE(TRIM('Smart Search'!$L$6),"~","~~"),"*","~*"),"?","~?"),'Project Database'!C150))),OR('Smart Search'!$L$7="",AND('Project Database'!E150&lt;&gt;"",'Project Database'!E150='Smart Search'!$L$7)),OR('Smart Search'!$L$8="",'Smart Search'!$L$8="All",TRIM('Project Database'!F150)=TRIM('Smart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IF('Project Database'!A150="","",N('Project Database'!AC150))</f>
        <v/>
      </c>
      <c r="BK146" s="5">
        <f>IF('Project Database'!A150="","",N('Project Database'!AD150))</f>
        <v/>
      </c>
      <c r="BL146" s="5">
        <f>IF('Project Database'!A150="","",N('Project Database'!AE150))</f>
        <v/>
      </c>
      <c r="BM146" s="5">
        <f>IF('Project Database'!A150="","",N('Project Database'!AF150))</f>
        <v/>
      </c>
      <c r="BN146" s="5">
        <f>IF('Project Database'!A150="","",N('Project Database'!AG150))</f>
        <v/>
      </c>
      <c r="BO146" s="5">
        <f>IF('Project Database'!A150="","",N('Project Database'!AH150))</f>
        <v/>
      </c>
      <c r="BP146" s="5">
        <f>IF('Project Database'!A150="","",N('Project Database'!AI150))</f>
        <v/>
      </c>
      <c r="BQ146" s="5">
        <f>IF('Project Database'!A150="","",N('Project Database'!AJ150))</f>
        <v/>
      </c>
      <c r="BR146" s="5">
        <f>IF('Project Database'!A150="","",N('Project Database'!AK150))</f>
        <v/>
      </c>
      <c r="BS146" s="5">
        <f>IF('Project Database'!A150="","",N('Project Database'!AL150))</f>
        <v/>
      </c>
      <c r="BT146" s="5">
        <f>IF('Project Database'!A150="","",N('Project Database'!AM150))</f>
        <v/>
      </c>
      <c r="BU146" s="5">
        <f>IF('Project Database'!A150="","",N('Project Database'!AN150))</f>
        <v/>
      </c>
      <c r="BV146" s="5">
        <f>IF('Project Database'!A150="","",N('Project Database'!AO150))</f>
        <v/>
      </c>
      <c r="BW146" s="5">
        <f>IF('Project Database'!A150="","",N('Project Database'!AP150))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</row>
    <row r="147" ht="15" customHeight="1" s="74">
      <c r="A147" s="66">
        <f>'Project Database'!A151</f>
        <v/>
      </c>
      <c r="B147" s="66">
        <f>'Project Database'!B151</f>
        <v/>
      </c>
      <c r="C147" s="66">
        <f>'Project Database'!G151</f>
        <v/>
      </c>
      <c r="D147" s="66">
        <f>'Project Database'!H151</f>
        <v/>
      </c>
      <c r="E147" s="66">
        <f>'Project Database'!I151</f>
        <v/>
      </c>
      <c r="F147" s="66">
        <f>'Project Database'!J151</f>
        <v/>
      </c>
      <c r="G147" s="66">
        <f>'Project Database'!K151</f>
        <v/>
      </c>
      <c r="H147" s="66">
        <f>'Project Database'!L151</f>
        <v/>
      </c>
      <c r="I147" s="66">
        <f>'Project Database'!M151</f>
        <v/>
      </c>
      <c r="J147" s="66">
        <f>'Project Database'!N151</f>
        <v/>
      </c>
      <c r="K147" s="66">
        <f>'Project Database'!O151</f>
        <v/>
      </c>
      <c r="L147" s="66">
        <f>'Project Database'!P151</f>
        <v/>
      </c>
      <c r="M147" s="66">
        <f>'Project Database'!Q151</f>
        <v/>
      </c>
      <c r="N147" s="66">
        <f>'Project Database'!R151</f>
        <v/>
      </c>
      <c r="O147" s="66">
        <f>'Project Database'!S151</f>
        <v/>
      </c>
      <c r="P147" s="66">
        <f>'Project Database'!T151</f>
        <v/>
      </c>
      <c r="Q147" s="66">
        <f>'Project Database'!U151</f>
        <v/>
      </c>
      <c r="R147" s="66">
        <f>'Project Database'!V151</f>
        <v/>
      </c>
      <c r="S147" s="66">
        <f>'Project Database'!W151</f>
        <v/>
      </c>
      <c r="T147" s="66">
        <f>'Project Database'!X151</f>
        <v/>
      </c>
      <c r="U147" s="67">
        <f>'Project Database'!Y151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'Project Database'!Z151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IF(AND('Project Database'!A151&lt;&gt;"",OR('Smart Search'!$L$5="",'Smart Search'!$L$5="All",TRIM('Project Database'!D151)=TRIM('Smart Search'!$L$5)),OR(TRIM('Smart Search'!$L$6)="",TRIM('Smart Search'!$L$6)="All",ISNUMBER(SEARCH(SUBSTITUTE(SUBSTITUTE(SUBSTITUTE(TRIM('Smart Search'!$L$6),"~","~~"),"*","~*"),"?","~?"),'Project Database'!C151))),OR('Smart Search'!$L$7="",AND('Project Database'!E151&lt;&gt;"",'Project Database'!E151='Smart Search'!$L$7)),OR('Smart Search'!$L$8="",'Smart Search'!$L$8="All",TRIM('Project Database'!F151)=TRIM('Smart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IF('Project Database'!A151="","",N('Project Database'!AC151))</f>
        <v/>
      </c>
      <c r="BK147" s="5">
        <f>IF('Project Database'!A151="","",N('Project Database'!AD151))</f>
        <v/>
      </c>
      <c r="BL147" s="5">
        <f>IF('Project Database'!A151="","",N('Project Database'!AE151))</f>
        <v/>
      </c>
      <c r="BM147" s="5">
        <f>IF('Project Database'!A151="","",N('Project Database'!AF151))</f>
        <v/>
      </c>
      <c r="BN147" s="5">
        <f>IF('Project Database'!A151="","",N('Project Database'!AG151))</f>
        <v/>
      </c>
      <c r="BO147" s="5">
        <f>IF('Project Database'!A151="","",N('Project Database'!AH151))</f>
        <v/>
      </c>
      <c r="BP147" s="5">
        <f>IF('Project Database'!A151="","",N('Project Database'!AI151))</f>
        <v/>
      </c>
      <c r="BQ147" s="5">
        <f>IF('Project Database'!A151="","",N('Project Database'!AJ151))</f>
        <v/>
      </c>
      <c r="BR147" s="5">
        <f>IF('Project Database'!A151="","",N('Project Database'!AK151))</f>
        <v/>
      </c>
      <c r="BS147" s="5">
        <f>IF('Project Database'!A151="","",N('Project Database'!AL151))</f>
        <v/>
      </c>
      <c r="BT147" s="5">
        <f>IF('Project Database'!A151="","",N('Project Database'!AM151))</f>
        <v/>
      </c>
      <c r="BU147" s="5">
        <f>IF('Project Database'!A151="","",N('Project Database'!AN151))</f>
        <v/>
      </c>
      <c r="BV147" s="5">
        <f>IF('Project Database'!A151="","",N('Project Database'!AO151))</f>
        <v/>
      </c>
      <c r="BW147" s="5">
        <f>IF('Project Database'!A151="","",N('Project Database'!AP151))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</row>
    <row r="148" ht="15" customHeight="1" s="74">
      <c r="A148" s="66">
        <f>'Project Database'!A152</f>
        <v/>
      </c>
      <c r="B148" s="66">
        <f>'Project Database'!B152</f>
        <v/>
      </c>
      <c r="C148" s="66">
        <f>'Project Database'!G152</f>
        <v/>
      </c>
      <c r="D148" s="66">
        <f>'Project Database'!H152</f>
        <v/>
      </c>
      <c r="E148" s="66">
        <f>'Project Database'!I152</f>
        <v/>
      </c>
      <c r="F148" s="66">
        <f>'Project Database'!J152</f>
        <v/>
      </c>
      <c r="G148" s="66">
        <f>'Project Database'!K152</f>
        <v/>
      </c>
      <c r="H148" s="66">
        <f>'Project Database'!L152</f>
        <v/>
      </c>
      <c r="I148" s="66">
        <f>'Project Database'!M152</f>
        <v/>
      </c>
      <c r="J148" s="66">
        <f>'Project Database'!N152</f>
        <v/>
      </c>
      <c r="K148" s="66">
        <f>'Project Database'!O152</f>
        <v/>
      </c>
      <c r="L148" s="66">
        <f>'Project Database'!P152</f>
        <v/>
      </c>
      <c r="M148" s="66">
        <f>'Project Database'!Q152</f>
        <v/>
      </c>
      <c r="N148" s="66">
        <f>'Project Database'!R152</f>
        <v/>
      </c>
      <c r="O148" s="66">
        <f>'Project Database'!S152</f>
        <v/>
      </c>
      <c r="P148" s="66">
        <f>'Project Database'!T152</f>
        <v/>
      </c>
      <c r="Q148" s="66">
        <f>'Project Database'!U152</f>
        <v/>
      </c>
      <c r="R148" s="66">
        <f>'Project Database'!V152</f>
        <v/>
      </c>
      <c r="S148" s="66">
        <f>'Project Database'!W152</f>
        <v/>
      </c>
      <c r="T148" s="66">
        <f>'Project Database'!X152</f>
        <v/>
      </c>
      <c r="U148" s="67">
        <f>'Project Database'!Y152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'Project Database'!Z152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IF(AND('Project Database'!A152&lt;&gt;"",OR('Smart Search'!$L$5="",'Smart Search'!$L$5="All",TRIM('Project Database'!D152)=TRIM('Smart Search'!$L$5)),OR(TRIM('Smart Search'!$L$6)="",TRIM('Smart Search'!$L$6)="All",ISNUMBER(SEARCH(SUBSTITUTE(SUBSTITUTE(SUBSTITUTE(TRIM('Smart Search'!$L$6),"~","~~"),"*","~*"),"?","~?"),'Project Database'!C152))),OR('Smart Search'!$L$7="",AND('Project Database'!E152&lt;&gt;"",'Project Database'!E152='Smart Search'!$L$7)),OR('Smart Search'!$L$8="",'Smart Search'!$L$8="All",TRIM('Project Database'!F152)=TRIM('Smart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IF('Project Database'!A152="","",N('Project Database'!AC152))</f>
        <v/>
      </c>
      <c r="BK148" s="5">
        <f>IF('Project Database'!A152="","",N('Project Database'!AD152))</f>
        <v/>
      </c>
      <c r="BL148" s="5">
        <f>IF('Project Database'!A152="","",N('Project Database'!AE152))</f>
        <v/>
      </c>
      <c r="BM148" s="5">
        <f>IF('Project Database'!A152="","",N('Project Database'!AF152))</f>
        <v/>
      </c>
      <c r="BN148" s="5">
        <f>IF('Project Database'!A152="","",N('Project Database'!AG152))</f>
        <v/>
      </c>
      <c r="BO148" s="5">
        <f>IF('Project Database'!A152="","",N('Project Database'!AH152))</f>
        <v/>
      </c>
      <c r="BP148" s="5">
        <f>IF('Project Database'!A152="","",N('Project Database'!AI152))</f>
        <v/>
      </c>
      <c r="BQ148" s="5">
        <f>IF('Project Database'!A152="","",N('Project Database'!AJ152))</f>
        <v/>
      </c>
      <c r="BR148" s="5">
        <f>IF('Project Database'!A152="","",N('Project Database'!AK152))</f>
        <v/>
      </c>
      <c r="BS148" s="5">
        <f>IF('Project Database'!A152="","",N('Project Database'!AL152))</f>
        <v/>
      </c>
      <c r="BT148" s="5">
        <f>IF('Project Database'!A152="","",N('Project Database'!AM152))</f>
        <v/>
      </c>
      <c r="BU148" s="5">
        <f>IF('Project Database'!A152="","",N('Project Database'!AN152))</f>
        <v/>
      </c>
      <c r="BV148" s="5">
        <f>IF('Project Database'!A152="","",N('Project Database'!AO152))</f>
        <v/>
      </c>
      <c r="BW148" s="5">
        <f>IF('Project Database'!A152="","",N('Project Database'!AP152))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</row>
    <row r="149" ht="15" customHeight="1" s="74">
      <c r="A149" s="66">
        <f>'Project Database'!A153</f>
        <v/>
      </c>
      <c r="B149" s="66">
        <f>'Project Database'!B153</f>
        <v/>
      </c>
      <c r="C149" s="66">
        <f>'Project Database'!G153</f>
        <v/>
      </c>
      <c r="D149" s="66">
        <f>'Project Database'!H153</f>
        <v/>
      </c>
      <c r="E149" s="66">
        <f>'Project Database'!I153</f>
        <v/>
      </c>
      <c r="F149" s="66">
        <f>'Project Database'!J153</f>
        <v/>
      </c>
      <c r="G149" s="66">
        <f>'Project Database'!K153</f>
        <v/>
      </c>
      <c r="H149" s="66">
        <f>'Project Database'!L153</f>
        <v/>
      </c>
      <c r="I149" s="66">
        <f>'Project Database'!M153</f>
        <v/>
      </c>
      <c r="J149" s="66">
        <f>'Project Database'!N153</f>
        <v/>
      </c>
      <c r="K149" s="66">
        <f>'Project Database'!O153</f>
        <v/>
      </c>
      <c r="L149" s="66">
        <f>'Project Database'!P153</f>
        <v/>
      </c>
      <c r="M149" s="66">
        <f>'Project Database'!Q153</f>
        <v/>
      </c>
      <c r="N149" s="66">
        <f>'Project Database'!R153</f>
        <v/>
      </c>
      <c r="O149" s="66">
        <f>'Project Database'!S153</f>
        <v/>
      </c>
      <c r="P149" s="66">
        <f>'Project Database'!T153</f>
        <v/>
      </c>
      <c r="Q149" s="66">
        <f>'Project Database'!U153</f>
        <v/>
      </c>
      <c r="R149" s="66">
        <f>'Project Database'!V153</f>
        <v/>
      </c>
      <c r="S149" s="66">
        <f>'Project Database'!W153</f>
        <v/>
      </c>
      <c r="T149" s="66">
        <f>'Project Database'!X153</f>
        <v/>
      </c>
      <c r="U149" s="67">
        <f>'Project Database'!Y153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'Project Database'!Z153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IF(AND('Project Database'!A153&lt;&gt;"",OR('Smart Search'!$L$5="",'Smart Search'!$L$5="All",TRIM('Project Database'!D153)=TRIM('Smart Search'!$L$5)),OR(TRIM('Smart Search'!$L$6)="",TRIM('Smart Search'!$L$6)="All",ISNUMBER(SEARCH(SUBSTITUTE(SUBSTITUTE(SUBSTITUTE(TRIM('Smart Search'!$L$6),"~","~~"),"*","~*"),"?","~?"),'Project Database'!C153))),OR('Smart Search'!$L$7="",AND('Project Database'!E153&lt;&gt;"",'Project Database'!E153='Smart Search'!$L$7)),OR('Smart Search'!$L$8="",'Smart Search'!$L$8="All",TRIM('Project Database'!F153)=TRIM('Smart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IF('Project Database'!A153="","",N('Project Database'!AC153))</f>
        <v/>
      </c>
      <c r="BK149" s="5">
        <f>IF('Project Database'!A153="","",N('Project Database'!AD153))</f>
        <v/>
      </c>
      <c r="BL149" s="5">
        <f>IF('Project Database'!A153="","",N('Project Database'!AE153))</f>
        <v/>
      </c>
      <c r="BM149" s="5">
        <f>IF('Project Database'!A153="","",N('Project Database'!AF153))</f>
        <v/>
      </c>
      <c r="BN149" s="5">
        <f>IF('Project Database'!A153="","",N('Project Database'!AG153))</f>
        <v/>
      </c>
      <c r="BO149" s="5">
        <f>IF('Project Database'!A153="","",N('Project Database'!AH153))</f>
        <v/>
      </c>
      <c r="BP149" s="5">
        <f>IF('Project Database'!A153="","",N('Project Database'!AI153))</f>
        <v/>
      </c>
      <c r="BQ149" s="5">
        <f>IF('Project Database'!A153="","",N('Project Database'!AJ153))</f>
        <v/>
      </c>
      <c r="BR149" s="5">
        <f>IF('Project Database'!A153="","",N('Project Database'!AK153))</f>
        <v/>
      </c>
      <c r="BS149" s="5">
        <f>IF('Project Database'!A153="","",N('Project Database'!AL153))</f>
        <v/>
      </c>
      <c r="BT149" s="5">
        <f>IF('Project Database'!A153="","",N('Project Database'!AM153))</f>
        <v/>
      </c>
      <c r="BU149" s="5">
        <f>IF('Project Database'!A153="","",N('Project Database'!AN153))</f>
        <v/>
      </c>
      <c r="BV149" s="5">
        <f>IF('Project Database'!A153="","",N('Project Database'!AO153))</f>
        <v/>
      </c>
      <c r="BW149" s="5">
        <f>IF('Project Database'!A153="","",N('Project Database'!AP153))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</row>
    <row r="150" ht="15" customHeight="1" s="74">
      <c r="A150" s="66">
        <f>'Project Database'!A154</f>
        <v/>
      </c>
      <c r="B150" s="66">
        <f>'Project Database'!B154</f>
        <v/>
      </c>
      <c r="C150" s="66">
        <f>'Project Database'!G154</f>
        <v/>
      </c>
      <c r="D150" s="66">
        <f>'Project Database'!H154</f>
        <v/>
      </c>
      <c r="E150" s="66">
        <f>'Project Database'!I154</f>
        <v/>
      </c>
      <c r="F150" s="66">
        <f>'Project Database'!J154</f>
        <v/>
      </c>
      <c r="G150" s="66">
        <f>'Project Database'!K154</f>
        <v/>
      </c>
      <c r="H150" s="66">
        <f>'Project Database'!L154</f>
        <v/>
      </c>
      <c r="I150" s="66">
        <f>'Project Database'!M154</f>
        <v/>
      </c>
      <c r="J150" s="66">
        <f>'Project Database'!N154</f>
        <v/>
      </c>
      <c r="K150" s="66">
        <f>'Project Database'!O154</f>
        <v/>
      </c>
      <c r="L150" s="66">
        <f>'Project Database'!P154</f>
        <v/>
      </c>
      <c r="M150" s="66">
        <f>'Project Database'!Q154</f>
        <v/>
      </c>
      <c r="N150" s="66">
        <f>'Project Database'!R154</f>
        <v/>
      </c>
      <c r="O150" s="66">
        <f>'Project Database'!S154</f>
        <v/>
      </c>
      <c r="P150" s="66">
        <f>'Project Database'!T154</f>
        <v/>
      </c>
      <c r="Q150" s="66">
        <f>'Project Database'!U154</f>
        <v/>
      </c>
      <c r="R150" s="66">
        <f>'Project Database'!V154</f>
        <v/>
      </c>
      <c r="S150" s="66">
        <f>'Project Database'!W154</f>
        <v/>
      </c>
      <c r="T150" s="66">
        <f>'Project Database'!X154</f>
        <v/>
      </c>
      <c r="U150" s="67">
        <f>'Project Database'!Y154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'Project Database'!Z154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IF(AND('Project Database'!A154&lt;&gt;"",OR('Smart Search'!$L$5="",'Smart Search'!$L$5="All",TRIM('Project Database'!D154)=TRIM('Smart Search'!$L$5)),OR(TRIM('Smart Search'!$L$6)="",TRIM('Smart Search'!$L$6)="All",ISNUMBER(SEARCH(SUBSTITUTE(SUBSTITUTE(SUBSTITUTE(TRIM('Smart Search'!$L$6),"~","~~"),"*","~*"),"?","~?"),'Project Database'!C154))),OR('Smart Search'!$L$7="",AND('Project Database'!E154&lt;&gt;"",'Project Database'!E154='Smart Search'!$L$7)),OR('Smart Search'!$L$8="",'Smart Search'!$L$8="All",TRIM('Project Database'!F154)=TRIM('Smart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IF('Project Database'!A154="","",N('Project Database'!AC154))</f>
        <v/>
      </c>
      <c r="BK150" s="5">
        <f>IF('Project Database'!A154="","",N('Project Database'!AD154))</f>
        <v/>
      </c>
      <c r="BL150" s="5">
        <f>IF('Project Database'!A154="","",N('Project Database'!AE154))</f>
        <v/>
      </c>
      <c r="BM150" s="5">
        <f>IF('Project Database'!A154="","",N('Project Database'!AF154))</f>
        <v/>
      </c>
      <c r="BN150" s="5">
        <f>IF('Project Database'!A154="","",N('Project Database'!AG154))</f>
        <v/>
      </c>
      <c r="BO150" s="5">
        <f>IF('Project Database'!A154="","",N('Project Database'!AH154))</f>
        <v/>
      </c>
      <c r="BP150" s="5">
        <f>IF('Project Database'!A154="","",N('Project Database'!AI154))</f>
        <v/>
      </c>
      <c r="BQ150" s="5">
        <f>IF('Project Database'!A154="","",N('Project Database'!AJ154))</f>
        <v/>
      </c>
      <c r="BR150" s="5">
        <f>IF('Project Database'!A154="","",N('Project Database'!AK154))</f>
        <v/>
      </c>
      <c r="BS150" s="5">
        <f>IF('Project Database'!A154="","",N('Project Database'!AL154))</f>
        <v/>
      </c>
      <c r="BT150" s="5">
        <f>IF('Project Database'!A154="","",N('Project Database'!AM154))</f>
        <v/>
      </c>
      <c r="BU150" s="5">
        <f>IF('Project Database'!A154="","",N('Project Database'!AN154))</f>
        <v/>
      </c>
      <c r="BV150" s="5">
        <f>IF('Project Database'!A154="","",N('Project Database'!AO154))</f>
        <v/>
      </c>
      <c r="BW150" s="5">
        <f>IF('Project Database'!A154="","",N('Project Database'!AP154))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</row>
    <row r="151" ht="15" customHeight="1" s="74">
      <c r="A151" s="66">
        <f>'Project Database'!A155</f>
        <v/>
      </c>
      <c r="B151" s="66">
        <f>'Project Database'!B155</f>
        <v/>
      </c>
      <c r="C151" s="66">
        <f>'Project Database'!G155</f>
        <v/>
      </c>
      <c r="D151" s="66">
        <f>'Project Database'!H155</f>
        <v/>
      </c>
      <c r="E151" s="66">
        <f>'Project Database'!I155</f>
        <v/>
      </c>
      <c r="F151" s="66">
        <f>'Project Database'!J155</f>
        <v/>
      </c>
      <c r="G151" s="66">
        <f>'Project Database'!K155</f>
        <v/>
      </c>
      <c r="H151" s="66">
        <f>'Project Database'!L155</f>
        <v/>
      </c>
      <c r="I151" s="66">
        <f>'Project Database'!M155</f>
        <v/>
      </c>
      <c r="J151" s="66">
        <f>'Project Database'!N155</f>
        <v/>
      </c>
      <c r="K151" s="66">
        <f>'Project Database'!O155</f>
        <v/>
      </c>
      <c r="L151" s="66">
        <f>'Project Database'!P155</f>
        <v/>
      </c>
      <c r="M151" s="66">
        <f>'Project Database'!Q155</f>
        <v/>
      </c>
      <c r="N151" s="66">
        <f>'Project Database'!R155</f>
        <v/>
      </c>
      <c r="O151" s="66">
        <f>'Project Database'!S155</f>
        <v/>
      </c>
      <c r="P151" s="66">
        <f>'Project Database'!T155</f>
        <v/>
      </c>
      <c r="Q151" s="66">
        <f>'Project Database'!U155</f>
        <v/>
      </c>
      <c r="R151" s="66">
        <f>'Project Database'!V155</f>
        <v/>
      </c>
      <c r="S151" s="66">
        <f>'Project Database'!W155</f>
        <v/>
      </c>
      <c r="T151" s="66">
        <f>'Project Database'!X155</f>
        <v/>
      </c>
      <c r="U151" s="67">
        <f>'Project Database'!Y155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'Project Database'!Z155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IF(AND('Project Database'!A155&lt;&gt;"",OR('Smart Search'!$L$5="",'Smart Search'!$L$5="All",TRIM('Project Database'!D155)=TRIM('Smart Search'!$L$5)),OR(TRIM('Smart Search'!$L$6)="",TRIM('Smart Search'!$L$6)="All",ISNUMBER(SEARCH(SUBSTITUTE(SUBSTITUTE(SUBSTITUTE(TRIM('Smart Search'!$L$6),"~","~~"),"*","~*"),"?","~?"),'Project Database'!C155))),OR('Smart Search'!$L$7="",AND('Project Database'!E155&lt;&gt;"",'Project Database'!E155='Smart Search'!$L$7)),OR('Smart Search'!$L$8="",'Smart Search'!$L$8="All",TRIM('Project Database'!F155)=TRIM('Smart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IF('Project Database'!A155="","",N('Project Database'!AC155))</f>
        <v/>
      </c>
      <c r="BK151" s="5">
        <f>IF('Project Database'!A155="","",N('Project Database'!AD155))</f>
        <v/>
      </c>
      <c r="BL151" s="5">
        <f>IF('Project Database'!A155="","",N('Project Database'!AE155))</f>
        <v/>
      </c>
      <c r="BM151" s="5">
        <f>IF('Project Database'!A155="","",N('Project Database'!AF155))</f>
        <v/>
      </c>
      <c r="BN151" s="5">
        <f>IF('Project Database'!A155="","",N('Project Database'!AG155))</f>
        <v/>
      </c>
      <c r="BO151" s="5">
        <f>IF('Project Database'!A155="","",N('Project Database'!AH155))</f>
        <v/>
      </c>
      <c r="BP151" s="5">
        <f>IF('Project Database'!A155="","",N('Project Database'!AI155))</f>
        <v/>
      </c>
      <c r="BQ151" s="5">
        <f>IF('Project Database'!A155="","",N('Project Database'!AJ155))</f>
        <v/>
      </c>
      <c r="BR151" s="5">
        <f>IF('Project Database'!A155="","",N('Project Database'!AK155))</f>
        <v/>
      </c>
      <c r="BS151" s="5">
        <f>IF('Project Database'!A155="","",N('Project Database'!AL155))</f>
        <v/>
      </c>
      <c r="BT151" s="5">
        <f>IF('Project Database'!A155="","",N('Project Database'!AM155))</f>
        <v/>
      </c>
      <c r="BU151" s="5">
        <f>IF('Project Database'!A155="","",N('Project Database'!AN155))</f>
        <v/>
      </c>
      <c r="BV151" s="5">
        <f>IF('Project Database'!A155="","",N('Project Database'!AO155))</f>
        <v/>
      </c>
      <c r="BW151" s="5">
        <f>IF('Project Database'!A155="","",N('Project Database'!AP155))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</row>
    <row r="152" ht="15" customHeight="1" s="74">
      <c r="A152" s="66">
        <f>'Project Database'!A156</f>
        <v/>
      </c>
      <c r="B152" s="66">
        <f>'Project Database'!B156</f>
        <v/>
      </c>
      <c r="C152" s="66">
        <f>'Project Database'!G156</f>
        <v/>
      </c>
      <c r="D152" s="66">
        <f>'Project Database'!H156</f>
        <v/>
      </c>
      <c r="E152" s="66">
        <f>'Project Database'!I156</f>
        <v/>
      </c>
      <c r="F152" s="66">
        <f>'Project Database'!J156</f>
        <v/>
      </c>
      <c r="G152" s="66">
        <f>'Project Database'!K156</f>
        <v/>
      </c>
      <c r="H152" s="66">
        <f>'Project Database'!L156</f>
        <v/>
      </c>
      <c r="I152" s="66">
        <f>'Project Database'!M156</f>
        <v/>
      </c>
      <c r="J152" s="66">
        <f>'Project Database'!N156</f>
        <v/>
      </c>
      <c r="K152" s="66">
        <f>'Project Database'!O156</f>
        <v/>
      </c>
      <c r="L152" s="66">
        <f>'Project Database'!P156</f>
        <v/>
      </c>
      <c r="M152" s="66">
        <f>'Project Database'!Q156</f>
        <v/>
      </c>
      <c r="N152" s="66">
        <f>'Project Database'!R156</f>
        <v/>
      </c>
      <c r="O152" s="66">
        <f>'Project Database'!S156</f>
        <v/>
      </c>
      <c r="P152" s="66">
        <f>'Project Database'!T156</f>
        <v/>
      </c>
      <c r="Q152" s="66">
        <f>'Project Database'!U156</f>
        <v/>
      </c>
      <c r="R152" s="66">
        <f>'Project Database'!V156</f>
        <v/>
      </c>
      <c r="S152" s="66">
        <f>'Project Database'!W156</f>
        <v/>
      </c>
      <c r="T152" s="66">
        <f>'Project Database'!X156</f>
        <v/>
      </c>
      <c r="U152" s="67">
        <f>'Project Database'!Y156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'Project Database'!Z156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IF(AND('Project Database'!A156&lt;&gt;"",OR('Smart Search'!$L$5="",'Smart Search'!$L$5="All",TRIM('Project Database'!D156)=TRIM('Smart Search'!$L$5)),OR(TRIM('Smart Search'!$L$6)="",TRIM('Smart Search'!$L$6)="All",ISNUMBER(SEARCH(SUBSTITUTE(SUBSTITUTE(SUBSTITUTE(TRIM('Smart Search'!$L$6),"~","~~"),"*","~*"),"?","~?"),'Project Database'!C156))),OR('Smart Search'!$L$7="",AND('Project Database'!E156&lt;&gt;"",'Project Database'!E156='Smart Search'!$L$7)),OR('Smart Search'!$L$8="",'Smart Search'!$L$8="All",TRIM('Project Database'!F156)=TRIM('Smart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IF('Project Database'!A156="","",N('Project Database'!AC156))</f>
        <v/>
      </c>
      <c r="BK152" s="5">
        <f>IF('Project Database'!A156="","",N('Project Database'!AD156))</f>
        <v/>
      </c>
      <c r="BL152" s="5">
        <f>IF('Project Database'!A156="","",N('Project Database'!AE156))</f>
        <v/>
      </c>
      <c r="BM152" s="5">
        <f>IF('Project Database'!A156="","",N('Project Database'!AF156))</f>
        <v/>
      </c>
      <c r="BN152" s="5">
        <f>IF('Project Database'!A156="","",N('Project Database'!AG156))</f>
        <v/>
      </c>
      <c r="BO152" s="5">
        <f>IF('Project Database'!A156="","",N('Project Database'!AH156))</f>
        <v/>
      </c>
      <c r="BP152" s="5">
        <f>IF('Project Database'!A156="","",N('Project Database'!AI156))</f>
        <v/>
      </c>
      <c r="BQ152" s="5">
        <f>IF('Project Database'!A156="","",N('Project Database'!AJ156))</f>
        <v/>
      </c>
      <c r="BR152" s="5">
        <f>IF('Project Database'!A156="","",N('Project Database'!AK156))</f>
        <v/>
      </c>
      <c r="BS152" s="5">
        <f>IF('Project Database'!A156="","",N('Project Database'!AL156))</f>
        <v/>
      </c>
      <c r="BT152" s="5">
        <f>IF('Project Database'!A156="","",N('Project Database'!AM156))</f>
        <v/>
      </c>
      <c r="BU152" s="5">
        <f>IF('Project Database'!A156="","",N('Project Database'!AN156))</f>
        <v/>
      </c>
      <c r="BV152" s="5">
        <f>IF('Project Database'!A156="","",N('Project Database'!AO156))</f>
        <v/>
      </c>
      <c r="BW152" s="5">
        <f>IF('Project Database'!A156="","",N('Project Database'!AP156))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</row>
    <row r="153" ht="15" customHeight="1" s="74">
      <c r="A153" s="66">
        <f>'Project Database'!A157</f>
        <v/>
      </c>
      <c r="B153" s="66">
        <f>'Project Database'!B157</f>
        <v/>
      </c>
      <c r="C153" s="66">
        <f>'Project Database'!G157</f>
        <v/>
      </c>
      <c r="D153" s="66">
        <f>'Project Database'!H157</f>
        <v/>
      </c>
      <c r="E153" s="66">
        <f>'Project Database'!I157</f>
        <v/>
      </c>
      <c r="F153" s="66">
        <f>'Project Database'!J157</f>
        <v/>
      </c>
      <c r="G153" s="66">
        <f>'Project Database'!K157</f>
        <v/>
      </c>
      <c r="H153" s="66">
        <f>'Project Database'!L157</f>
        <v/>
      </c>
      <c r="I153" s="66">
        <f>'Project Database'!M157</f>
        <v/>
      </c>
      <c r="J153" s="66">
        <f>'Project Database'!N157</f>
        <v/>
      </c>
      <c r="K153" s="66">
        <f>'Project Database'!O157</f>
        <v/>
      </c>
      <c r="L153" s="66">
        <f>'Project Database'!P157</f>
        <v/>
      </c>
      <c r="M153" s="66">
        <f>'Project Database'!Q157</f>
        <v/>
      </c>
      <c r="N153" s="66">
        <f>'Project Database'!R157</f>
        <v/>
      </c>
      <c r="O153" s="66">
        <f>'Project Database'!S157</f>
        <v/>
      </c>
      <c r="P153" s="66">
        <f>'Project Database'!T157</f>
        <v/>
      </c>
      <c r="Q153" s="66">
        <f>'Project Database'!U157</f>
        <v/>
      </c>
      <c r="R153" s="66">
        <f>'Project Database'!V157</f>
        <v/>
      </c>
      <c r="S153" s="66">
        <f>'Project Database'!W157</f>
        <v/>
      </c>
      <c r="T153" s="66">
        <f>'Project Database'!X157</f>
        <v/>
      </c>
      <c r="U153" s="67">
        <f>'Project Database'!Y157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'Project Database'!Z157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IF(AND('Project Database'!A157&lt;&gt;"",OR('Smart Search'!$L$5="",'Smart Search'!$L$5="All",TRIM('Project Database'!D157)=TRIM('Smart Search'!$L$5)),OR(TRIM('Smart Search'!$L$6)="",TRIM('Smart Search'!$L$6)="All",ISNUMBER(SEARCH(SUBSTITUTE(SUBSTITUTE(SUBSTITUTE(TRIM('Smart Search'!$L$6),"~","~~"),"*","~*"),"?","~?"),'Project Database'!C157))),OR('Smart Search'!$L$7="",AND('Project Database'!E157&lt;&gt;"",'Project Database'!E157='Smart Search'!$L$7)),OR('Smart Search'!$L$8="",'Smart Search'!$L$8="All",TRIM('Project Database'!F157)=TRIM('Smart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IF('Project Database'!A157="","",N('Project Database'!AC157))</f>
        <v/>
      </c>
      <c r="BK153" s="5">
        <f>IF('Project Database'!A157="","",N('Project Database'!AD157))</f>
        <v/>
      </c>
      <c r="BL153" s="5">
        <f>IF('Project Database'!A157="","",N('Project Database'!AE157))</f>
        <v/>
      </c>
      <c r="BM153" s="5">
        <f>IF('Project Database'!A157="","",N('Project Database'!AF157))</f>
        <v/>
      </c>
      <c r="BN153" s="5">
        <f>IF('Project Database'!A157="","",N('Project Database'!AG157))</f>
        <v/>
      </c>
      <c r="BO153" s="5">
        <f>IF('Project Database'!A157="","",N('Project Database'!AH157))</f>
        <v/>
      </c>
      <c r="BP153" s="5">
        <f>IF('Project Database'!A157="","",N('Project Database'!AI157))</f>
        <v/>
      </c>
      <c r="BQ153" s="5">
        <f>IF('Project Database'!A157="","",N('Project Database'!AJ157))</f>
        <v/>
      </c>
      <c r="BR153" s="5">
        <f>IF('Project Database'!A157="","",N('Project Database'!AK157))</f>
        <v/>
      </c>
      <c r="BS153" s="5">
        <f>IF('Project Database'!A157="","",N('Project Database'!AL157))</f>
        <v/>
      </c>
      <c r="BT153" s="5">
        <f>IF('Project Database'!A157="","",N('Project Database'!AM157))</f>
        <v/>
      </c>
      <c r="BU153" s="5">
        <f>IF('Project Database'!A157="","",N('Project Database'!AN157))</f>
        <v/>
      </c>
      <c r="BV153" s="5">
        <f>IF('Project Database'!A157="","",N('Project Database'!AO157))</f>
        <v/>
      </c>
      <c r="BW153" s="5">
        <f>IF('Project Database'!A157="","",N('Project Database'!AP157))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</row>
    <row r="154" ht="15" customHeight="1" s="74">
      <c r="A154" s="66">
        <f>'Project Database'!A158</f>
        <v/>
      </c>
      <c r="B154" s="66">
        <f>'Project Database'!B158</f>
        <v/>
      </c>
      <c r="C154" s="66">
        <f>'Project Database'!G158</f>
        <v/>
      </c>
      <c r="D154" s="66">
        <f>'Project Database'!H158</f>
        <v/>
      </c>
      <c r="E154" s="66">
        <f>'Project Database'!I158</f>
        <v/>
      </c>
      <c r="F154" s="66">
        <f>'Project Database'!J158</f>
        <v/>
      </c>
      <c r="G154" s="66">
        <f>'Project Database'!K158</f>
        <v/>
      </c>
      <c r="H154" s="66">
        <f>'Project Database'!L158</f>
        <v/>
      </c>
      <c r="I154" s="66">
        <f>'Project Database'!M158</f>
        <v/>
      </c>
      <c r="J154" s="66">
        <f>'Project Database'!N158</f>
        <v/>
      </c>
      <c r="K154" s="66">
        <f>'Project Database'!O158</f>
        <v/>
      </c>
      <c r="L154" s="66">
        <f>'Project Database'!P158</f>
        <v/>
      </c>
      <c r="M154" s="66">
        <f>'Project Database'!Q158</f>
        <v/>
      </c>
      <c r="N154" s="66">
        <f>'Project Database'!R158</f>
        <v/>
      </c>
      <c r="O154" s="66">
        <f>'Project Database'!S158</f>
        <v/>
      </c>
      <c r="P154" s="66">
        <f>'Project Database'!T158</f>
        <v/>
      </c>
      <c r="Q154" s="66">
        <f>'Project Database'!U158</f>
        <v/>
      </c>
      <c r="R154" s="66">
        <f>'Project Database'!V158</f>
        <v/>
      </c>
      <c r="S154" s="66">
        <f>'Project Database'!W158</f>
        <v/>
      </c>
      <c r="T154" s="66">
        <f>'Project Database'!X158</f>
        <v/>
      </c>
      <c r="U154" s="67">
        <f>'Project Database'!Y158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'Project Database'!Z158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IF(AND('Project Database'!A158&lt;&gt;"",OR('Smart Search'!$L$5="",'Smart Search'!$L$5="All",TRIM('Project Database'!D158)=TRIM('Smart Search'!$L$5)),OR(TRIM('Smart Search'!$L$6)="",TRIM('Smart Search'!$L$6)="All",ISNUMBER(SEARCH(SUBSTITUTE(SUBSTITUTE(SUBSTITUTE(TRIM('Smart Search'!$L$6),"~","~~"),"*","~*"),"?","~?"),'Project Database'!C158))),OR('Smart Search'!$L$7="",AND('Project Database'!E158&lt;&gt;"",'Project Database'!E158='Smart Search'!$L$7)),OR('Smart Search'!$L$8="",'Smart Search'!$L$8="All",TRIM('Project Database'!F158)=TRIM('Smart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IF('Project Database'!A158="","",N('Project Database'!AC158))</f>
        <v/>
      </c>
      <c r="BK154" s="5">
        <f>IF('Project Database'!A158="","",N('Project Database'!AD158))</f>
        <v/>
      </c>
      <c r="BL154" s="5">
        <f>IF('Project Database'!A158="","",N('Project Database'!AE158))</f>
        <v/>
      </c>
      <c r="BM154" s="5">
        <f>IF('Project Database'!A158="","",N('Project Database'!AF158))</f>
        <v/>
      </c>
      <c r="BN154" s="5">
        <f>IF('Project Database'!A158="","",N('Project Database'!AG158))</f>
        <v/>
      </c>
      <c r="BO154" s="5">
        <f>IF('Project Database'!A158="","",N('Project Database'!AH158))</f>
        <v/>
      </c>
      <c r="BP154" s="5">
        <f>IF('Project Database'!A158="","",N('Project Database'!AI158))</f>
        <v/>
      </c>
      <c r="BQ154" s="5">
        <f>IF('Project Database'!A158="","",N('Project Database'!AJ158))</f>
        <v/>
      </c>
      <c r="BR154" s="5">
        <f>IF('Project Database'!A158="","",N('Project Database'!AK158))</f>
        <v/>
      </c>
      <c r="BS154" s="5">
        <f>IF('Project Database'!A158="","",N('Project Database'!AL158))</f>
        <v/>
      </c>
      <c r="BT154" s="5">
        <f>IF('Project Database'!A158="","",N('Project Database'!AM158))</f>
        <v/>
      </c>
      <c r="BU154" s="5">
        <f>IF('Project Database'!A158="","",N('Project Database'!AN158))</f>
        <v/>
      </c>
      <c r="BV154" s="5">
        <f>IF('Project Database'!A158="","",N('Project Database'!AO158))</f>
        <v/>
      </c>
      <c r="BW154" s="5">
        <f>IF('Project Database'!A158="","",N('Project Database'!AP158))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</row>
    <row r="155" ht="15" customHeight="1" s="74">
      <c r="A155" s="66">
        <f>'Project Database'!A159</f>
        <v/>
      </c>
      <c r="B155" s="66">
        <f>'Project Database'!B159</f>
        <v/>
      </c>
      <c r="C155" s="66">
        <f>'Project Database'!G159</f>
        <v/>
      </c>
      <c r="D155" s="66">
        <f>'Project Database'!H159</f>
        <v/>
      </c>
      <c r="E155" s="66">
        <f>'Project Database'!I159</f>
        <v/>
      </c>
      <c r="F155" s="66">
        <f>'Project Database'!J159</f>
        <v/>
      </c>
      <c r="G155" s="66">
        <f>'Project Database'!K159</f>
        <v/>
      </c>
      <c r="H155" s="66">
        <f>'Project Database'!L159</f>
        <v/>
      </c>
      <c r="I155" s="66">
        <f>'Project Database'!M159</f>
        <v/>
      </c>
      <c r="J155" s="66">
        <f>'Project Database'!N159</f>
        <v/>
      </c>
      <c r="K155" s="66">
        <f>'Project Database'!O159</f>
        <v/>
      </c>
      <c r="L155" s="66">
        <f>'Project Database'!P159</f>
        <v/>
      </c>
      <c r="M155" s="66">
        <f>'Project Database'!Q159</f>
        <v/>
      </c>
      <c r="N155" s="66">
        <f>'Project Database'!R159</f>
        <v/>
      </c>
      <c r="O155" s="66">
        <f>'Project Database'!S159</f>
        <v/>
      </c>
      <c r="P155" s="66">
        <f>'Project Database'!T159</f>
        <v/>
      </c>
      <c r="Q155" s="66">
        <f>'Project Database'!U159</f>
        <v/>
      </c>
      <c r="R155" s="66">
        <f>'Project Database'!V159</f>
        <v/>
      </c>
      <c r="S155" s="66">
        <f>'Project Database'!W159</f>
        <v/>
      </c>
      <c r="T155" s="66">
        <f>'Project Database'!X159</f>
        <v/>
      </c>
      <c r="U155" s="67">
        <f>'Project Database'!Y159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'Project Database'!Z159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IF(AND('Project Database'!A159&lt;&gt;"",OR('Smart Search'!$L$5="",'Smart Search'!$L$5="All",TRIM('Project Database'!D159)=TRIM('Smart Search'!$L$5)),OR(TRIM('Smart Search'!$L$6)="",TRIM('Smart Search'!$L$6)="All",ISNUMBER(SEARCH(SUBSTITUTE(SUBSTITUTE(SUBSTITUTE(TRIM('Smart Search'!$L$6),"~","~~"),"*","~*"),"?","~?"),'Project Database'!C159))),OR('Smart Search'!$L$7="",AND('Project Database'!E159&lt;&gt;"",'Project Database'!E159='Smart Search'!$L$7)),OR('Smart Search'!$L$8="",'Smart Search'!$L$8="All",TRIM('Project Database'!F159)=TRIM('Smart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IF('Project Database'!A159="","",N('Project Database'!AC159))</f>
        <v/>
      </c>
      <c r="BK155" s="5">
        <f>IF('Project Database'!A159="","",N('Project Database'!AD159))</f>
        <v/>
      </c>
      <c r="BL155" s="5">
        <f>IF('Project Database'!A159="","",N('Project Database'!AE159))</f>
        <v/>
      </c>
      <c r="BM155" s="5">
        <f>IF('Project Database'!A159="","",N('Project Database'!AF159))</f>
        <v/>
      </c>
      <c r="BN155" s="5">
        <f>IF('Project Database'!A159="","",N('Project Database'!AG159))</f>
        <v/>
      </c>
      <c r="BO155" s="5">
        <f>IF('Project Database'!A159="","",N('Project Database'!AH159))</f>
        <v/>
      </c>
      <c r="BP155" s="5">
        <f>IF('Project Database'!A159="","",N('Project Database'!AI159))</f>
        <v/>
      </c>
      <c r="BQ155" s="5">
        <f>IF('Project Database'!A159="","",N('Project Database'!AJ159))</f>
        <v/>
      </c>
      <c r="BR155" s="5">
        <f>IF('Project Database'!A159="","",N('Project Database'!AK159))</f>
        <v/>
      </c>
      <c r="BS155" s="5">
        <f>IF('Project Database'!A159="","",N('Project Database'!AL159))</f>
        <v/>
      </c>
      <c r="BT155" s="5">
        <f>IF('Project Database'!A159="","",N('Project Database'!AM159))</f>
        <v/>
      </c>
      <c r="BU155" s="5">
        <f>IF('Project Database'!A159="","",N('Project Database'!AN159))</f>
        <v/>
      </c>
      <c r="BV155" s="5">
        <f>IF('Project Database'!A159="","",N('Project Database'!AO159))</f>
        <v/>
      </c>
      <c r="BW155" s="5">
        <f>IF('Project Database'!A159="","",N('Project Database'!AP159))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</row>
    <row r="156" ht="15" customHeight="1" s="74">
      <c r="A156" s="66">
        <f>'Project Database'!A160</f>
        <v/>
      </c>
      <c r="B156" s="66">
        <f>'Project Database'!B160</f>
        <v/>
      </c>
      <c r="C156" s="66">
        <f>'Project Database'!G160</f>
        <v/>
      </c>
      <c r="D156" s="66">
        <f>'Project Database'!H160</f>
        <v/>
      </c>
      <c r="E156" s="66">
        <f>'Project Database'!I160</f>
        <v/>
      </c>
      <c r="F156" s="66">
        <f>'Project Database'!J160</f>
        <v/>
      </c>
      <c r="G156" s="66">
        <f>'Project Database'!K160</f>
        <v/>
      </c>
      <c r="H156" s="66">
        <f>'Project Database'!L160</f>
        <v/>
      </c>
      <c r="I156" s="66">
        <f>'Project Database'!M160</f>
        <v/>
      </c>
      <c r="J156" s="66">
        <f>'Project Database'!N160</f>
        <v/>
      </c>
      <c r="K156" s="66">
        <f>'Project Database'!O160</f>
        <v/>
      </c>
      <c r="L156" s="66">
        <f>'Project Database'!P160</f>
        <v/>
      </c>
      <c r="M156" s="66">
        <f>'Project Database'!Q160</f>
        <v/>
      </c>
      <c r="N156" s="66">
        <f>'Project Database'!R160</f>
        <v/>
      </c>
      <c r="O156" s="66">
        <f>'Project Database'!S160</f>
        <v/>
      </c>
      <c r="P156" s="66">
        <f>'Project Database'!T160</f>
        <v/>
      </c>
      <c r="Q156" s="66">
        <f>'Project Database'!U160</f>
        <v/>
      </c>
      <c r="R156" s="66">
        <f>'Project Database'!V160</f>
        <v/>
      </c>
      <c r="S156" s="66">
        <f>'Project Database'!W160</f>
        <v/>
      </c>
      <c r="T156" s="66">
        <f>'Project Database'!X160</f>
        <v/>
      </c>
      <c r="U156" s="67">
        <f>'Project Database'!Y160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'Project Database'!Z160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IF(AND('Project Database'!A160&lt;&gt;"",OR('Smart Search'!$L$5="",'Smart Search'!$L$5="All",TRIM('Project Database'!D160)=TRIM('Smart Search'!$L$5)),OR(TRIM('Smart Search'!$L$6)="",TRIM('Smart Search'!$L$6)="All",ISNUMBER(SEARCH(SUBSTITUTE(SUBSTITUTE(SUBSTITUTE(TRIM('Smart Search'!$L$6),"~","~~"),"*","~*"),"?","~?"),'Project Database'!C160))),OR('Smart Search'!$L$7="",AND('Project Database'!E160&lt;&gt;"",'Project Database'!E160='Smart Search'!$L$7)),OR('Smart Search'!$L$8="",'Smart Search'!$L$8="All",TRIM('Project Database'!F160)=TRIM('Smart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IF('Project Database'!A160="","",N('Project Database'!AC160))</f>
        <v/>
      </c>
      <c r="BK156" s="5">
        <f>IF('Project Database'!A160="","",N('Project Database'!AD160))</f>
        <v/>
      </c>
      <c r="BL156" s="5">
        <f>IF('Project Database'!A160="","",N('Project Database'!AE160))</f>
        <v/>
      </c>
      <c r="BM156" s="5">
        <f>IF('Project Database'!A160="","",N('Project Database'!AF160))</f>
        <v/>
      </c>
      <c r="BN156" s="5">
        <f>IF('Project Database'!A160="","",N('Project Database'!AG160))</f>
        <v/>
      </c>
      <c r="BO156" s="5">
        <f>IF('Project Database'!A160="","",N('Project Database'!AH160))</f>
        <v/>
      </c>
      <c r="BP156" s="5">
        <f>IF('Project Database'!A160="","",N('Project Database'!AI160))</f>
        <v/>
      </c>
      <c r="BQ156" s="5">
        <f>IF('Project Database'!A160="","",N('Project Database'!AJ160))</f>
        <v/>
      </c>
      <c r="BR156" s="5">
        <f>IF('Project Database'!A160="","",N('Project Database'!AK160))</f>
        <v/>
      </c>
      <c r="BS156" s="5">
        <f>IF('Project Database'!A160="","",N('Project Database'!AL160))</f>
        <v/>
      </c>
      <c r="BT156" s="5">
        <f>IF('Project Database'!A160="","",N('Project Database'!AM160))</f>
        <v/>
      </c>
      <c r="BU156" s="5">
        <f>IF('Project Database'!A160="","",N('Project Database'!AN160))</f>
        <v/>
      </c>
      <c r="BV156" s="5">
        <f>IF('Project Database'!A160="","",N('Project Database'!AO160))</f>
        <v/>
      </c>
      <c r="BW156" s="5">
        <f>IF('Project Database'!A160="","",N('Project Database'!AP160))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</row>
    <row r="157" ht="15" customHeight="1" s="74">
      <c r="A157" s="66">
        <f>'Project Database'!A161</f>
        <v/>
      </c>
      <c r="B157" s="66">
        <f>'Project Database'!B161</f>
        <v/>
      </c>
      <c r="C157" s="66">
        <f>'Project Database'!G161</f>
        <v/>
      </c>
      <c r="D157" s="66">
        <f>'Project Database'!H161</f>
        <v/>
      </c>
      <c r="E157" s="66">
        <f>'Project Database'!I161</f>
        <v/>
      </c>
      <c r="F157" s="66">
        <f>'Project Database'!J161</f>
        <v/>
      </c>
      <c r="G157" s="66">
        <f>'Project Database'!K161</f>
        <v/>
      </c>
      <c r="H157" s="66">
        <f>'Project Database'!L161</f>
        <v/>
      </c>
      <c r="I157" s="66">
        <f>'Project Database'!M161</f>
        <v/>
      </c>
      <c r="J157" s="66">
        <f>'Project Database'!N161</f>
        <v/>
      </c>
      <c r="K157" s="66">
        <f>'Project Database'!O161</f>
        <v/>
      </c>
      <c r="L157" s="66">
        <f>'Project Database'!P161</f>
        <v/>
      </c>
      <c r="M157" s="66">
        <f>'Project Database'!Q161</f>
        <v/>
      </c>
      <c r="N157" s="66">
        <f>'Project Database'!R161</f>
        <v/>
      </c>
      <c r="O157" s="66">
        <f>'Project Database'!S161</f>
        <v/>
      </c>
      <c r="P157" s="66">
        <f>'Project Database'!T161</f>
        <v/>
      </c>
      <c r="Q157" s="66">
        <f>'Project Database'!U161</f>
        <v/>
      </c>
      <c r="R157" s="66">
        <f>'Project Database'!V161</f>
        <v/>
      </c>
      <c r="S157" s="66">
        <f>'Project Database'!W161</f>
        <v/>
      </c>
      <c r="T157" s="66">
        <f>'Project Database'!X161</f>
        <v/>
      </c>
      <c r="U157" s="67">
        <f>'Project Database'!Y161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'Project Database'!Z161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IF(AND('Project Database'!A161&lt;&gt;"",OR('Smart Search'!$L$5="",'Smart Search'!$L$5="All",TRIM('Project Database'!D161)=TRIM('Smart Search'!$L$5)),OR(TRIM('Smart Search'!$L$6)="",TRIM('Smart Search'!$L$6)="All",ISNUMBER(SEARCH(SUBSTITUTE(SUBSTITUTE(SUBSTITUTE(TRIM('Smart Search'!$L$6),"~","~~"),"*","~*"),"?","~?"),'Project Database'!C161))),OR('Smart Search'!$L$7="",AND('Project Database'!E161&lt;&gt;"",'Project Database'!E161='Smart Search'!$L$7)),OR('Smart Search'!$L$8="",'Smart Search'!$L$8="All",TRIM('Project Database'!F161)=TRIM('Smart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IF('Project Database'!A161="","",N('Project Database'!AC161))</f>
        <v/>
      </c>
      <c r="BK157" s="5">
        <f>IF('Project Database'!A161="","",N('Project Database'!AD161))</f>
        <v/>
      </c>
      <c r="BL157" s="5">
        <f>IF('Project Database'!A161="","",N('Project Database'!AE161))</f>
        <v/>
      </c>
      <c r="BM157" s="5">
        <f>IF('Project Database'!A161="","",N('Project Database'!AF161))</f>
        <v/>
      </c>
      <c r="BN157" s="5">
        <f>IF('Project Database'!A161="","",N('Project Database'!AG161))</f>
        <v/>
      </c>
      <c r="BO157" s="5">
        <f>IF('Project Database'!A161="","",N('Project Database'!AH161))</f>
        <v/>
      </c>
      <c r="BP157" s="5">
        <f>IF('Project Database'!A161="","",N('Project Database'!AI161))</f>
        <v/>
      </c>
      <c r="BQ157" s="5">
        <f>IF('Project Database'!A161="","",N('Project Database'!AJ161))</f>
        <v/>
      </c>
      <c r="BR157" s="5">
        <f>IF('Project Database'!A161="","",N('Project Database'!AK161))</f>
        <v/>
      </c>
      <c r="BS157" s="5">
        <f>IF('Project Database'!A161="","",N('Project Database'!AL161))</f>
        <v/>
      </c>
      <c r="BT157" s="5">
        <f>IF('Project Database'!A161="","",N('Project Database'!AM161))</f>
        <v/>
      </c>
      <c r="BU157" s="5">
        <f>IF('Project Database'!A161="","",N('Project Database'!AN161))</f>
        <v/>
      </c>
      <c r="BV157" s="5">
        <f>IF('Project Database'!A161="","",N('Project Database'!AO161))</f>
        <v/>
      </c>
      <c r="BW157" s="5">
        <f>IF('Project Database'!A161="","",N('Project Database'!AP161))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</row>
    <row r="158" ht="15" customHeight="1" s="74">
      <c r="A158" s="66">
        <f>'Project Database'!A162</f>
        <v/>
      </c>
      <c r="B158" s="66">
        <f>'Project Database'!B162</f>
        <v/>
      </c>
      <c r="C158" s="66">
        <f>'Project Database'!G162</f>
        <v/>
      </c>
      <c r="D158" s="66">
        <f>'Project Database'!H162</f>
        <v/>
      </c>
      <c r="E158" s="66">
        <f>'Project Database'!I162</f>
        <v/>
      </c>
      <c r="F158" s="66">
        <f>'Project Database'!J162</f>
        <v/>
      </c>
      <c r="G158" s="66">
        <f>'Project Database'!K162</f>
        <v/>
      </c>
      <c r="H158" s="66">
        <f>'Project Database'!L162</f>
        <v/>
      </c>
      <c r="I158" s="66">
        <f>'Project Database'!M162</f>
        <v/>
      </c>
      <c r="J158" s="66">
        <f>'Project Database'!N162</f>
        <v/>
      </c>
      <c r="K158" s="66">
        <f>'Project Database'!O162</f>
        <v/>
      </c>
      <c r="L158" s="66">
        <f>'Project Database'!P162</f>
        <v/>
      </c>
      <c r="M158" s="66">
        <f>'Project Database'!Q162</f>
        <v/>
      </c>
      <c r="N158" s="66">
        <f>'Project Database'!R162</f>
        <v/>
      </c>
      <c r="O158" s="66">
        <f>'Project Database'!S162</f>
        <v/>
      </c>
      <c r="P158" s="66">
        <f>'Project Database'!T162</f>
        <v/>
      </c>
      <c r="Q158" s="66">
        <f>'Project Database'!U162</f>
        <v/>
      </c>
      <c r="R158" s="66">
        <f>'Project Database'!V162</f>
        <v/>
      </c>
      <c r="S158" s="66">
        <f>'Project Database'!W162</f>
        <v/>
      </c>
      <c r="T158" s="66">
        <f>'Project Database'!X162</f>
        <v/>
      </c>
      <c r="U158" s="67">
        <f>'Project Database'!Y162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'Project Database'!Z162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IF(AND('Project Database'!A162&lt;&gt;"",OR('Smart Search'!$L$5="",'Smart Search'!$L$5="All",TRIM('Project Database'!D162)=TRIM('Smart Search'!$L$5)),OR(TRIM('Smart Search'!$L$6)="",TRIM('Smart Search'!$L$6)="All",ISNUMBER(SEARCH(SUBSTITUTE(SUBSTITUTE(SUBSTITUTE(TRIM('Smart Search'!$L$6),"~","~~"),"*","~*"),"?","~?"),'Project Database'!C162))),OR('Smart Search'!$L$7="",AND('Project Database'!E162&lt;&gt;"",'Project Database'!E162='Smart Search'!$L$7)),OR('Smart Search'!$L$8="",'Smart Search'!$L$8="All",TRIM('Project Database'!F162)=TRIM('Smart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IF('Project Database'!A162="","",N('Project Database'!AC162))</f>
        <v/>
      </c>
      <c r="BK158" s="5">
        <f>IF('Project Database'!A162="","",N('Project Database'!AD162))</f>
        <v/>
      </c>
      <c r="BL158" s="5">
        <f>IF('Project Database'!A162="","",N('Project Database'!AE162))</f>
        <v/>
      </c>
      <c r="BM158" s="5">
        <f>IF('Project Database'!A162="","",N('Project Database'!AF162))</f>
        <v/>
      </c>
      <c r="BN158" s="5">
        <f>IF('Project Database'!A162="","",N('Project Database'!AG162))</f>
        <v/>
      </c>
      <c r="BO158" s="5">
        <f>IF('Project Database'!A162="","",N('Project Database'!AH162))</f>
        <v/>
      </c>
      <c r="BP158" s="5">
        <f>IF('Project Database'!A162="","",N('Project Database'!AI162))</f>
        <v/>
      </c>
      <c r="BQ158" s="5">
        <f>IF('Project Database'!A162="","",N('Project Database'!AJ162))</f>
        <v/>
      </c>
      <c r="BR158" s="5">
        <f>IF('Project Database'!A162="","",N('Project Database'!AK162))</f>
        <v/>
      </c>
      <c r="BS158" s="5">
        <f>IF('Project Database'!A162="","",N('Project Database'!AL162))</f>
        <v/>
      </c>
      <c r="BT158" s="5">
        <f>IF('Project Database'!A162="","",N('Project Database'!AM162))</f>
        <v/>
      </c>
      <c r="BU158" s="5">
        <f>IF('Project Database'!A162="","",N('Project Database'!AN162))</f>
        <v/>
      </c>
      <c r="BV158" s="5">
        <f>IF('Project Database'!A162="","",N('Project Database'!AO162))</f>
        <v/>
      </c>
      <c r="BW158" s="5">
        <f>IF('Project Database'!A162="","",N('Project Database'!AP162))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</row>
    <row r="159" ht="15" customHeight="1" s="74">
      <c r="A159" s="66">
        <f>'Project Database'!A163</f>
        <v/>
      </c>
      <c r="B159" s="66">
        <f>'Project Database'!B163</f>
        <v/>
      </c>
      <c r="C159" s="66">
        <f>'Project Database'!G163</f>
        <v/>
      </c>
      <c r="D159" s="66">
        <f>'Project Database'!H163</f>
        <v/>
      </c>
      <c r="E159" s="66">
        <f>'Project Database'!I163</f>
        <v/>
      </c>
      <c r="F159" s="66">
        <f>'Project Database'!J163</f>
        <v/>
      </c>
      <c r="G159" s="66">
        <f>'Project Database'!K163</f>
        <v/>
      </c>
      <c r="H159" s="66">
        <f>'Project Database'!L163</f>
        <v/>
      </c>
      <c r="I159" s="66">
        <f>'Project Database'!M163</f>
        <v/>
      </c>
      <c r="J159" s="66">
        <f>'Project Database'!N163</f>
        <v/>
      </c>
      <c r="K159" s="66">
        <f>'Project Database'!O163</f>
        <v/>
      </c>
      <c r="L159" s="66">
        <f>'Project Database'!P163</f>
        <v/>
      </c>
      <c r="M159" s="66">
        <f>'Project Database'!Q163</f>
        <v/>
      </c>
      <c r="N159" s="66">
        <f>'Project Database'!R163</f>
        <v/>
      </c>
      <c r="O159" s="66">
        <f>'Project Database'!S163</f>
        <v/>
      </c>
      <c r="P159" s="66">
        <f>'Project Database'!T163</f>
        <v/>
      </c>
      <c r="Q159" s="66">
        <f>'Project Database'!U163</f>
        <v/>
      </c>
      <c r="R159" s="66">
        <f>'Project Database'!V163</f>
        <v/>
      </c>
      <c r="S159" s="66">
        <f>'Project Database'!W163</f>
        <v/>
      </c>
      <c r="T159" s="66">
        <f>'Project Database'!X163</f>
        <v/>
      </c>
      <c r="U159" s="67">
        <f>'Project Database'!Y163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'Project Database'!Z163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IF(AND('Project Database'!A163&lt;&gt;"",OR('Smart Search'!$L$5="",'Smart Search'!$L$5="All",TRIM('Project Database'!D163)=TRIM('Smart Search'!$L$5)),OR(TRIM('Smart Search'!$L$6)="",TRIM('Smart Search'!$L$6)="All",ISNUMBER(SEARCH(SUBSTITUTE(SUBSTITUTE(SUBSTITUTE(TRIM('Smart Search'!$L$6),"~","~~"),"*","~*"),"?","~?"),'Project Database'!C163))),OR('Smart Search'!$L$7="",AND('Project Database'!E163&lt;&gt;"",'Project Database'!E163='Smart Search'!$L$7)),OR('Smart Search'!$L$8="",'Smart Search'!$L$8="All",TRIM('Project Database'!F163)=TRIM('Smart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IF('Project Database'!A163="","",N('Project Database'!AC163))</f>
        <v/>
      </c>
      <c r="BK159" s="5">
        <f>IF('Project Database'!A163="","",N('Project Database'!AD163))</f>
        <v/>
      </c>
      <c r="BL159" s="5">
        <f>IF('Project Database'!A163="","",N('Project Database'!AE163))</f>
        <v/>
      </c>
      <c r="BM159" s="5">
        <f>IF('Project Database'!A163="","",N('Project Database'!AF163))</f>
        <v/>
      </c>
      <c r="BN159" s="5">
        <f>IF('Project Database'!A163="","",N('Project Database'!AG163))</f>
        <v/>
      </c>
      <c r="BO159" s="5">
        <f>IF('Project Database'!A163="","",N('Project Database'!AH163))</f>
        <v/>
      </c>
      <c r="BP159" s="5">
        <f>IF('Project Database'!A163="","",N('Project Database'!AI163))</f>
        <v/>
      </c>
      <c r="BQ159" s="5">
        <f>IF('Project Database'!A163="","",N('Project Database'!AJ163))</f>
        <v/>
      </c>
      <c r="BR159" s="5">
        <f>IF('Project Database'!A163="","",N('Project Database'!AK163))</f>
        <v/>
      </c>
      <c r="BS159" s="5">
        <f>IF('Project Database'!A163="","",N('Project Database'!AL163))</f>
        <v/>
      </c>
      <c r="BT159" s="5">
        <f>IF('Project Database'!A163="","",N('Project Database'!AM163))</f>
        <v/>
      </c>
      <c r="BU159" s="5">
        <f>IF('Project Database'!A163="","",N('Project Database'!AN163))</f>
        <v/>
      </c>
      <c r="BV159" s="5">
        <f>IF('Project Database'!A163="","",N('Project Database'!AO163))</f>
        <v/>
      </c>
      <c r="BW159" s="5">
        <f>IF('Project Database'!A163="","",N('Project Database'!AP163))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</row>
    <row r="160" ht="15" customHeight="1" s="74">
      <c r="A160" s="66">
        <f>'Project Database'!A164</f>
        <v/>
      </c>
      <c r="B160" s="66">
        <f>'Project Database'!B164</f>
        <v/>
      </c>
      <c r="C160" s="66">
        <f>'Project Database'!G164</f>
        <v/>
      </c>
      <c r="D160" s="66">
        <f>'Project Database'!H164</f>
        <v/>
      </c>
      <c r="E160" s="66">
        <f>'Project Database'!I164</f>
        <v/>
      </c>
      <c r="F160" s="66">
        <f>'Project Database'!J164</f>
        <v/>
      </c>
      <c r="G160" s="66">
        <f>'Project Database'!K164</f>
        <v/>
      </c>
      <c r="H160" s="66">
        <f>'Project Database'!L164</f>
        <v/>
      </c>
      <c r="I160" s="66">
        <f>'Project Database'!M164</f>
        <v/>
      </c>
      <c r="J160" s="66">
        <f>'Project Database'!N164</f>
        <v/>
      </c>
      <c r="K160" s="66">
        <f>'Project Database'!O164</f>
        <v/>
      </c>
      <c r="L160" s="66">
        <f>'Project Database'!P164</f>
        <v/>
      </c>
      <c r="M160" s="66">
        <f>'Project Database'!Q164</f>
        <v/>
      </c>
      <c r="N160" s="66">
        <f>'Project Database'!R164</f>
        <v/>
      </c>
      <c r="O160" s="66">
        <f>'Project Database'!S164</f>
        <v/>
      </c>
      <c r="P160" s="66">
        <f>'Project Database'!T164</f>
        <v/>
      </c>
      <c r="Q160" s="66">
        <f>'Project Database'!U164</f>
        <v/>
      </c>
      <c r="R160" s="66">
        <f>'Project Database'!V164</f>
        <v/>
      </c>
      <c r="S160" s="66">
        <f>'Project Database'!W164</f>
        <v/>
      </c>
      <c r="T160" s="66">
        <f>'Project Database'!X164</f>
        <v/>
      </c>
      <c r="U160" s="67">
        <f>'Project Database'!Y164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'Project Database'!Z164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IF(AND('Project Database'!A164&lt;&gt;"",OR('Smart Search'!$L$5="",'Smart Search'!$L$5="All",TRIM('Project Database'!D164)=TRIM('Smart Search'!$L$5)),OR(TRIM('Smart Search'!$L$6)="",TRIM('Smart Search'!$L$6)="All",ISNUMBER(SEARCH(SUBSTITUTE(SUBSTITUTE(SUBSTITUTE(TRIM('Smart Search'!$L$6),"~","~~"),"*","~*"),"?","~?"),'Project Database'!C164))),OR('Smart Search'!$L$7="",AND('Project Database'!E164&lt;&gt;"",'Project Database'!E164='Smart Search'!$L$7)),OR('Smart Search'!$L$8="",'Smart Search'!$L$8="All",TRIM('Project Database'!F164)=TRIM('Smart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IF('Project Database'!A164="","",N('Project Database'!AC164))</f>
        <v/>
      </c>
      <c r="BK160" s="5">
        <f>IF('Project Database'!A164="","",N('Project Database'!AD164))</f>
        <v/>
      </c>
      <c r="BL160" s="5">
        <f>IF('Project Database'!A164="","",N('Project Database'!AE164))</f>
        <v/>
      </c>
      <c r="BM160" s="5">
        <f>IF('Project Database'!A164="","",N('Project Database'!AF164))</f>
        <v/>
      </c>
      <c r="BN160" s="5">
        <f>IF('Project Database'!A164="","",N('Project Database'!AG164))</f>
        <v/>
      </c>
      <c r="BO160" s="5">
        <f>IF('Project Database'!A164="","",N('Project Database'!AH164))</f>
        <v/>
      </c>
      <c r="BP160" s="5">
        <f>IF('Project Database'!A164="","",N('Project Database'!AI164))</f>
        <v/>
      </c>
      <c r="BQ160" s="5">
        <f>IF('Project Database'!A164="","",N('Project Database'!AJ164))</f>
        <v/>
      </c>
      <c r="BR160" s="5">
        <f>IF('Project Database'!A164="","",N('Project Database'!AK164))</f>
        <v/>
      </c>
      <c r="BS160" s="5">
        <f>IF('Project Database'!A164="","",N('Project Database'!AL164))</f>
        <v/>
      </c>
      <c r="BT160" s="5">
        <f>IF('Project Database'!A164="","",N('Project Database'!AM164))</f>
        <v/>
      </c>
      <c r="BU160" s="5">
        <f>IF('Project Database'!A164="","",N('Project Database'!AN164))</f>
        <v/>
      </c>
      <c r="BV160" s="5">
        <f>IF('Project Database'!A164="","",N('Project Database'!AO164))</f>
        <v/>
      </c>
      <c r="BW160" s="5">
        <f>IF('Project Database'!A164="","",N('Project Database'!AP164))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</row>
    <row r="161" ht="15" customHeight="1" s="74">
      <c r="A161" s="66">
        <f>'Project Database'!A165</f>
        <v/>
      </c>
      <c r="B161" s="66">
        <f>'Project Database'!B165</f>
        <v/>
      </c>
      <c r="C161" s="66">
        <f>'Project Database'!G165</f>
        <v/>
      </c>
      <c r="D161" s="66">
        <f>'Project Database'!H165</f>
        <v/>
      </c>
      <c r="E161" s="66">
        <f>'Project Database'!I165</f>
        <v/>
      </c>
      <c r="F161" s="66">
        <f>'Project Database'!J165</f>
        <v/>
      </c>
      <c r="G161" s="66">
        <f>'Project Database'!K165</f>
        <v/>
      </c>
      <c r="H161" s="66">
        <f>'Project Database'!L165</f>
        <v/>
      </c>
      <c r="I161" s="66">
        <f>'Project Database'!M165</f>
        <v/>
      </c>
      <c r="J161" s="66">
        <f>'Project Database'!N165</f>
        <v/>
      </c>
      <c r="K161" s="66">
        <f>'Project Database'!O165</f>
        <v/>
      </c>
      <c r="L161" s="66">
        <f>'Project Database'!P165</f>
        <v/>
      </c>
      <c r="M161" s="66">
        <f>'Project Database'!Q165</f>
        <v/>
      </c>
      <c r="N161" s="66">
        <f>'Project Database'!R165</f>
        <v/>
      </c>
      <c r="O161" s="66">
        <f>'Project Database'!S165</f>
        <v/>
      </c>
      <c r="P161" s="66">
        <f>'Project Database'!T165</f>
        <v/>
      </c>
      <c r="Q161" s="66">
        <f>'Project Database'!U165</f>
        <v/>
      </c>
      <c r="R161" s="66">
        <f>'Project Database'!V165</f>
        <v/>
      </c>
      <c r="S161" s="66">
        <f>'Project Database'!W165</f>
        <v/>
      </c>
      <c r="T161" s="66">
        <f>'Project Database'!X165</f>
        <v/>
      </c>
      <c r="U161" s="67">
        <f>'Project Database'!Y165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'Project Database'!Z165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IF(AND('Project Database'!A165&lt;&gt;"",OR('Smart Search'!$L$5="",'Smart Search'!$L$5="All",TRIM('Project Database'!D165)=TRIM('Smart Search'!$L$5)),OR(TRIM('Smart Search'!$L$6)="",TRIM('Smart Search'!$L$6)="All",ISNUMBER(SEARCH(SUBSTITUTE(SUBSTITUTE(SUBSTITUTE(TRIM('Smart Search'!$L$6),"~","~~"),"*","~*"),"?","~?"),'Project Database'!C165))),OR('Smart Search'!$L$7="",AND('Project Database'!E165&lt;&gt;"",'Project Database'!E165='Smart Search'!$L$7)),OR('Smart Search'!$L$8="",'Smart Search'!$L$8="All",TRIM('Project Database'!F165)=TRIM('Smart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IF('Project Database'!A165="","",N('Project Database'!AC165))</f>
        <v/>
      </c>
      <c r="BK161" s="5">
        <f>IF('Project Database'!A165="","",N('Project Database'!AD165))</f>
        <v/>
      </c>
      <c r="BL161" s="5">
        <f>IF('Project Database'!A165="","",N('Project Database'!AE165))</f>
        <v/>
      </c>
      <c r="BM161" s="5">
        <f>IF('Project Database'!A165="","",N('Project Database'!AF165))</f>
        <v/>
      </c>
      <c r="BN161" s="5">
        <f>IF('Project Database'!A165="","",N('Project Database'!AG165))</f>
        <v/>
      </c>
      <c r="BO161" s="5">
        <f>IF('Project Database'!A165="","",N('Project Database'!AH165))</f>
        <v/>
      </c>
      <c r="BP161" s="5">
        <f>IF('Project Database'!A165="","",N('Project Database'!AI165))</f>
        <v/>
      </c>
      <c r="BQ161" s="5">
        <f>IF('Project Database'!A165="","",N('Project Database'!AJ165))</f>
        <v/>
      </c>
      <c r="BR161" s="5">
        <f>IF('Project Database'!A165="","",N('Project Database'!AK165))</f>
        <v/>
      </c>
      <c r="BS161" s="5">
        <f>IF('Project Database'!A165="","",N('Project Database'!AL165))</f>
        <v/>
      </c>
      <c r="BT161" s="5">
        <f>IF('Project Database'!A165="","",N('Project Database'!AM165))</f>
        <v/>
      </c>
      <c r="BU161" s="5">
        <f>IF('Project Database'!A165="","",N('Project Database'!AN165))</f>
        <v/>
      </c>
      <c r="BV161" s="5">
        <f>IF('Project Database'!A165="","",N('Project Database'!AO165))</f>
        <v/>
      </c>
      <c r="BW161" s="5">
        <f>IF('Project Database'!A165="","",N('Project Database'!AP165))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</row>
    <row r="162" ht="15" customHeight="1" s="74">
      <c r="A162" s="66">
        <f>'Project Database'!A166</f>
        <v/>
      </c>
      <c r="B162" s="66">
        <f>'Project Database'!B166</f>
        <v/>
      </c>
      <c r="C162" s="66">
        <f>'Project Database'!G166</f>
        <v/>
      </c>
      <c r="D162" s="66">
        <f>'Project Database'!H166</f>
        <v/>
      </c>
      <c r="E162" s="66">
        <f>'Project Database'!I166</f>
        <v/>
      </c>
      <c r="F162" s="66">
        <f>'Project Database'!J166</f>
        <v/>
      </c>
      <c r="G162" s="66">
        <f>'Project Database'!K166</f>
        <v/>
      </c>
      <c r="H162" s="66">
        <f>'Project Database'!L166</f>
        <v/>
      </c>
      <c r="I162" s="66">
        <f>'Project Database'!M166</f>
        <v/>
      </c>
      <c r="J162" s="66">
        <f>'Project Database'!N166</f>
        <v/>
      </c>
      <c r="K162" s="66">
        <f>'Project Database'!O166</f>
        <v/>
      </c>
      <c r="L162" s="66">
        <f>'Project Database'!P166</f>
        <v/>
      </c>
      <c r="M162" s="66">
        <f>'Project Database'!Q166</f>
        <v/>
      </c>
      <c r="N162" s="66">
        <f>'Project Database'!R166</f>
        <v/>
      </c>
      <c r="O162" s="66">
        <f>'Project Database'!S166</f>
        <v/>
      </c>
      <c r="P162" s="66">
        <f>'Project Database'!T166</f>
        <v/>
      </c>
      <c r="Q162" s="66">
        <f>'Project Database'!U166</f>
        <v/>
      </c>
      <c r="R162" s="66">
        <f>'Project Database'!V166</f>
        <v/>
      </c>
      <c r="S162" s="66">
        <f>'Project Database'!W166</f>
        <v/>
      </c>
      <c r="T162" s="66">
        <f>'Project Database'!X166</f>
        <v/>
      </c>
      <c r="U162" s="67">
        <f>'Project Database'!Y166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'Project Database'!Z166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IF(AND('Project Database'!A166&lt;&gt;"",OR('Smart Search'!$L$5="",'Smart Search'!$L$5="All",TRIM('Project Database'!D166)=TRIM('Smart Search'!$L$5)),OR(TRIM('Smart Search'!$L$6)="",TRIM('Smart Search'!$L$6)="All",ISNUMBER(SEARCH(SUBSTITUTE(SUBSTITUTE(SUBSTITUTE(TRIM('Smart Search'!$L$6),"~","~~"),"*","~*"),"?","~?"),'Project Database'!C166))),OR('Smart Search'!$L$7="",AND('Project Database'!E166&lt;&gt;"",'Project Database'!E166='Smart Search'!$L$7)),OR('Smart Search'!$L$8="",'Smart Search'!$L$8="All",TRIM('Project Database'!F166)=TRIM('Smart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IF('Project Database'!A166="","",N('Project Database'!AC166))</f>
        <v/>
      </c>
      <c r="BK162" s="5">
        <f>IF('Project Database'!A166="","",N('Project Database'!AD166))</f>
        <v/>
      </c>
      <c r="BL162" s="5">
        <f>IF('Project Database'!A166="","",N('Project Database'!AE166))</f>
        <v/>
      </c>
      <c r="BM162" s="5">
        <f>IF('Project Database'!A166="","",N('Project Database'!AF166))</f>
        <v/>
      </c>
      <c r="BN162" s="5">
        <f>IF('Project Database'!A166="","",N('Project Database'!AG166))</f>
        <v/>
      </c>
      <c r="BO162" s="5">
        <f>IF('Project Database'!A166="","",N('Project Database'!AH166))</f>
        <v/>
      </c>
      <c r="BP162" s="5">
        <f>IF('Project Database'!A166="","",N('Project Database'!AI166))</f>
        <v/>
      </c>
      <c r="BQ162" s="5">
        <f>IF('Project Database'!A166="","",N('Project Database'!AJ166))</f>
        <v/>
      </c>
      <c r="BR162" s="5">
        <f>IF('Project Database'!A166="","",N('Project Database'!AK166))</f>
        <v/>
      </c>
      <c r="BS162" s="5">
        <f>IF('Project Database'!A166="","",N('Project Database'!AL166))</f>
        <v/>
      </c>
      <c r="BT162" s="5">
        <f>IF('Project Database'!A166="","",N('Project Database'!AM166))</f>
        <v/>
      </c>
      <c r="BU162" s="5">
        <f>IF('Project Database'!A166="","",N('Project Database'!AN166))</f>
        <v/>
      </c>
      <c r="BV162" s="5">
        <f>IF('Project Database'!A166="","",N('Project Database'!AO166))</f>
        <v/>
      </c>
      <c r="BW162" s="5">
        <f>IF('Project Database'!A166="","",N('Project Database'!AP166))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</row>
    <row r="163" ht="15" customHeight="1" s="74">
      <c r="A163" s="66">
        <f>'Project Database'!A167</f>
        <v/>
      </c>
      <c r="B163" s="66">
        <f>'Project Database'!B167</f>
        <v/>
      </c>
      <c r="C163" s="66">
        <f>'Project Database'!G167</f>
        <v/>
      </c>
      <c r="D163" s="66">
        <f>'Project Database'!H167</f>
        <v/>
      </c>
      <c r="E163" s="66">
        <f>'Project Database'!I167</f>
        <v/>
      </c>
      <c r="F163" s="66">
        <f>'Project Database'!J167</f>
        <v/>
      </c>
      <c r="G163" s="66">
        <f>'Project Database'!K167</f>
        <v/>
      </c>
      <c r="H163" s="66">
        <f>'Project Database'!L167</f>
        <v/>
      </c>
      <c r="I163" s="66">
        <f>'Project Database'!M167</f>
        <v/>
      </c>
      <c r="J163" s="66">
        <f>'Project Database'!N167</f>
        <v/>
      </c>
      <c r="K163" s="66">
        <f>'Project Database'!O167</f>
        <v/>
      </c>
      <c r="L163" s="66">
        <f>'Project Database'!P167</f>
        <v/>
      </c>
      <c r="M163" s="66">
        <f>'Project Database'!Q167</f>
        <v/>
      </c>
      <c r="N163" s="66">
        <f>'Project Database'!R167</f>
        <v/>
      </c>
      <c r="O163" s="66">
        <f>'Project Database'!S167</f>
        <v/>
      </c>
      <c r="P163" s="66">
        <f>'Project Database'!T167</f>
        <v/>
      </c>
      <c r="Q163" s="66">
        <f>'Project Database'!U167</f>
        <v/>
      </c>
      <c r="R163" s="66">
        <f>'Project Database'!V167</f>
        <v/>
      </c>
      <c r="S163" s="66">
        <f>'Project Database'!W167</f>
        <v/>
      </c>
      <c r="T163" s="66">
        <f>'Project Database'!X167</f>
        <v/>
      </c>
      <c r="U163" s="67">
        <f>'Project Database'!Y167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'Project Database'!Z167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IF(AND('Project Database'!A167&lt;&gt;"",OR('Smart Search'!$L$5="",'Smart Search'!$L$5="All",TRIM('Project Database'!D167)=TRIM('Smart Search'!$L$5)),OR(TRIM('Smart Search'!$L$6)="",TRIM('Smart Search'!$L$6)="All",ISNUMBER(SEARCH(SUBSTITUTE(SUBSTITUTE(SUBSTITUTE(TRIM('Smart Search'!$L$6),"~","~~"),"*","~*"),"?","~?"),'Project Database'!C167))),OR('Smart Search'!$L$7="",AND('Project Database'!E167&lt;&gt;"",'Project Database'!E167='Smart Search'!$L$7)),OR('Smart Search'!$L$8="",'Smart Search'!$L$8="All",TRIM('Project Database'!F167)=TRIM('Smart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IF('Project Database'!A167="","",N('Project Database'!AC167))</f>
        <v/>
      </c>
      <c r="BK163" s="5">
        <f>IF('Project Database'!A167="","",N('Project Database'!AD167))</f>
        <v/>
      </c>
      <c r="BL163" s="5">
        <f>IF('Project Database'!A167="","",N('Project Database'!AE167))</f>
        <v/>
      </c>
      <c r="BM163" s="5">
        <f>IF('Project Database'!A167="","",N('Project Database'!AF167))</f>
        <v/>
      </c>
      <c r="BN163" s="5">
        <f>IF('Project Database'!A167="","",N('Project Database'!AG167))</f>
        <v/>
      </c>
      <c r="BO163" s="5">
        <f>IF('Project Database'!A167="","",N('Project Database'!AH167))</f>
        <v/>
      </c>
      <c r="BP163" s="5">
        <f>IF('Project Database'!A167="","",N('Project Database'!AI167))</f>
        <v/>
      </c>
      <c r="BQ163" s="5">
        <f>IF('Project Database'!A167="","",N('Project Database'!AJ167))</f>
        <v/>
      </c>
      <c r="BR163" s="5">
        <f>IF('Project Database'!A167="","",N('Project Database'!AK167))</f>
        <v/>
      </c>
      <c r="BS163" s="5">
        <f>IF('Project Database'!A167="","",N('Project Database'!AL167))</f>
        <v/>
      </c>
      <c r="BT163" s="5">
        <f>IF('Project Database'!A167="","",N('Project Database'!AM167))</f>
        <v/>
      </c>
      <c r="BU163" s="5">
        <f>IF('Project Database'!A167="","",N('Project Database'!AN167))</f>
        <v/>
      </c>
      <c r="BV163" s="5">
        <f>IF('Project Database'!A167="","",N('Project Database'!AO167))</f>
        <v/>
      </c>
      <c r="BW163" s="5">
        <f>IF('Project Database'!A167="","",N('Project Database'!AP167))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</row>
    <row r="164" ht="15" customHeight="1" s="74">
      <c r="A164" s="66">
        <f>'Project Database'!A168</f>
        <v/>
      </c>
      <c r="B164" s="66">
        <f>'Project Database'!B168</f>
        <v/>
      </c>
      <c r="C164" s="66">
        <f>'Project Database'!G168</f>
        <v/>
      </c>
      <c r="D164" s="66">
        <f>'Project Database'!H168</f>
        <v/>
      </c>
      <c r="E164" s="66">
        <f>'Project Database'!I168</f>
        <v/>
      </c>
      <c r="F164" s="66">
        <f>'Project Database'!J168</f>
        <v/>
      </c>
      <c r="G164" s="66">
        <f>'Project Database'!K168</f>
        <v/>
      </c>
      <c r="H164" s="66">
        <f>'Project Database'!L168</f>
        <v/>
      </c>
      <c r="I164" s="66">
        <f>'Project Database'!M168</f>
        <v/>
      </c>
      <c r="J164" s="66">
        <f>'Project Database'!N168</f>
        <v/>
      </c>
      <c r="K164" s="66">
        <f>'Project Database'!O168</f>
        <v/>
      </c>
      <c r="L164" s="66">
        <f>'Project Database'!P168</f>
        <v/>
      </c>
      <c r="M164" s="66">
        <f>'Project Database'!Q168</f>
        <v/>
      </c>
      <c r="N164" s="66">
        <f>'Project Database'!R168</f>
        <v/>
      </c>
      <c r="O164" s="66">
        <f>'Project Database'!S168</f>
        <v/>
      </c>
      <c r="P164" s="66">
        <f>'Project Database'!T168</f>
        <v/>
      </c>
      <c r="Q164" s="66">
        <f>'Project Database'!U168</f>
        <v/>
      </c>
      <c r="R164" s="66">
        <f>'Project Database'!V168</f>
        <v/>
      </c>
      <c r="S164" s="66">
        <f>'Project Database'!W168</f>
        <v/>
      </c>
      <c r="T164" s="66">
        <f>'Project Database'!X168</f>
        <v/>
      </c>
      <c r="U164" s="67">
        <f>'Project Database'!Y168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'Project Database'!Z168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IF(AND('Project Database'!A168&lt;&gt;"",OR('Smart Search'!$L$5="",'Smart Search'!$L$5="All",TRIM('Project Database'!D168)=TRIM('Smart Search'!$L$5)),OR(TRIM('Smart Search'!$L$6)="",TRIM('Smart Search'!$L$6)="All",ISNUMBER(SEARCH(SUBSTITUTE(SUBSTITUTE(SUBSTITUTE(TRIM('Smart Search'!$L$6),"~","~~"),"*","~*"),"?","~?"),'Project Database'!C168))),OR('Smart Search'!$L$7="",AND('Project Database'!E168&lt;&gt;"",'Project Database'!E168='Smart Search'!$L$7)),OR('Smart Search'!$L$8="",'Smart Search'!$L$8="All",TRIM('Project Database'!F168)=TRIM('Smart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IF('Project Database'!A168="","",N('Project Database'!AC168))</f>
        <v/>
      </c>
      <c r="BK164" s="5">
        <f>IF('Project Database'!A168="","",N('Project Database'!AD168))</f>
        <v/>
      </c>
      <c r="BL164" s="5">
        <f>IF('Project Database'!A168="","",N('Project Database'!AE168))</f>
        <v/>
      </c>
      <c r="BM164" s="5">
        <f>IF('Project Database'!A168="","",N('Project Database'!AF168))</f>
        <v/>
      </c>
      <c r="BN164" s="5">
        <f>IF('Project Database'!A168="","",N('Project Database'!AG168))</f>
        <v/>
      </c>
      <c r="BO164" s="5">
        <f>IF('Project Database'!A168="","",N('Project Database'!AH168))</f>
        <v/>
      </c>
      <c r="BP164" s="5">
        <f>IF('Project Database'!A168="","",N('Project Database'!AI168))</f>
        <v/>
      </c>
      <c r="BQ164" s="5">
        <f>IF('Project Database'!A168="","",N('Project Database'!AJ168))</f>
        <v/>
      </c>
      <c r="BR164" s="5">
        <f>IF('Project Database'!A168="","",N('Project Database'!AK168))</f>
        <v/>
      </c>
      <c r="BS164" s="5">
        <f>IF('Project Database'!A168="","",N('Project Database'!AL168))</f>
        <v/>
      </c>
      <c r="BT164" s="5">
        <f>IF('Project Database'!A168="","",N('Project Database'!AM168))</f>
        <v/>
      </c>
      <c r="BU164" s="5">
        <f>IF('Project Database'!A168="","",N('Project Database'!AN168))</f>
        <v/>
      </c>
      <c r="BV164" s="5">
        <f>IF('Project Database'!A168="","",N('Project Database'!AO168))</f>
        <v/>
      </c>
      <c r="BW164" s="5">
        <f>IF('Project Database'!A168="","",N('Project Database'!AP168))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</row>
    <row r="165" ht="15" customHeight="1" s="74">
      <c r="A165" s="66">
        <f>'Project Database'!A169</f>
        <v/>
      </c>
      <c r="B165" s="66">
        <f>'Project Database'!B169</f>
        <v/>
      </c>
      <c r="C165" s="66">
        <f>'Project Database'!G169</f>
        <v/>
      </c>
      <c r="D165" s="66">
        <f>'Project Database'!H169</f>
        <v/>
      </c>
      <c r="E165" s="66">
        <f>'Project Database'!I169</f>
        <v/>
      </c>
      <c r="F165" s="66">
        <f>'Project Database'!J169</f>
        <v/>
      </c>
      <c r="G165" s="66">
        <f>'Project Database'!K169</f>
        <v/>
      </c>
      <c r="H165" s="66">
        <f>'Project Database'!L169</f>
        <v/>
      </c>
      <c r="I165" s="66">
        <f>'Project Database'!M169</f>
        <v/>
      </c>
      <c r="J165" s="66">
        <f>'Project Database'!N169</f>
        <v/>
      </c>
      <c r="K165" s="66">
        <f>'Project Database'!O169</f>
        <v/>
      </c>
      <c r="L165" s="66">
        <f>'Project Database'!P169</f>
        <v/>
      </c>
      <c r="M165" s="66">
        <f>'Project Database'!Q169</f>
        <v/>
      </c>
      <c r="N165" s="66">
        <f>'Project Database'!R169</f>
        <v/>
      </c>
      <c r="O165" s="66">
        <f>'Project Database'!S169</f>
        <v/>
      </c>
      <c r="P165" s="66">
        <f>'Project Database'!T169</f>
        <v/>
      </c>
      <c r="Q165" s="66">
        <f>'Project Database'!U169</f>
        <v/>
      </c>
      <c r="R165" s="66">
        <f>'Project Database'!V169</f>
        <v/>
      </c>
      <c r="S165" s="66">
        <f>'Project Database'!W169</f>
        <v/>
      </c>
      <c r="T165" s="66">
        <f>'Project Database'!X169</f>
        <v/>
      </c>
      <c r="U165" s="67">
        <f>'Project Database'!Y169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'Project Database'!Z169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IF(AND('Project Database'!A169&lt;&gt;"",OR('Smart Search'!$L$5="",'Smart Search'!$L$5="All",TRIM('Project Database'!D169)=TRIM('Smart Search'!$L$5)),OR(TRIM('Smart Search'!$L$6)="",TRIM('Smart Search'!$L$6)="All",ISNUMBER(SEARCH(SUBSTITUTE(SUBSTITUTE(SUBSTITUTE(TRIM('Smart Search'!$L$6),"~","~~"),"*","~*"),"?","~?"),'Project Database'!C169))),OR('Smart Search'!$L$7="",AND('Project Database'!E169&lt;&gt;"",'Project Database'!E169='Smart Search'!$L$7)),OR('Smart Search'!$L$8="",'Smart Search'!$L$8="All",TRIM('Project Database'!F169)=TRIM('Smart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IF('Project Database'!A169="","",N('Project Database'!AC169))</f>
        <v/>
      </c>
      <c r="BK165" s="5">
        <f>IF('Project Database'!A169="","",N('Project Database'!AD169))</f>
        <v/>
      </c>
      <c r="BL165" s="5">
        <f>IF('Project Database'!A169="","",N('Project Database'!AE169))</f>
        <v/>
      </c>
      <c r="BM165" s="5">
        <f>IF('Project Database'!A169="","",N('Project Database'!AF169))</f>
        <v/>
      </c>
      <c r="BN165" s="5">
        <f>IF('Project Database'!A169="","",N('Project Database'!AG169))</f>
        <v/>
      </c>
      <c r="BO165" s="5">
        <f>IF('Project Database'!A169="","",N('Project Database'!AH169))</f>
        <v/>
      </c>
      <c r="BP165" s="5">
        <f>IF('Project Database'!A169="","",N('Project Database'!AI169))</f>
        <v/>
      </c>
      <c r="BQ165" s="5">
        <f>IF('Project Database'!A169="","",N('Project Database'!AJ169))</f>
        <v/>
      </c>
      <c r="BR165" s="5">
        <f>IF('Project Database'!A169="","",N('Project Database'!AK169))</f>
        <v/>
      </c>
      <c r="BS165" s="5">
        <f>IF('Project Database'!A169="","",N('Project Database'!AL169))</f>
        <v/>
      </c>
      <c r="BT165" s="5">
        <f>IF('Project Database'!A169="","",N('Project Database'!AM169))</f>
        <v/>
      </c>
      <c r="BU165" s="5">
        <f>IF('Project Database'!A169="","",N('Project Database'!AN169))</f>
        <v/>
      </c>
      <c r="BV165" s="5">
        <f>IF('Project Database'!A169="","",N('Project Database'!AO169))</f>
        <v/>
      </c>
      <c r="BW165" s="5">
        <f>IF('Project Database'!A169="","",N('Project Database'!AP169))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</row>
    <row r="166" ht="15" customHeight="1" s="74">
      <c r="A166" s="66">
        <f>'Project Database'!A170</f>
        <v/>
      </c>
      <c r="B166" s="66">
        <f>'Project Database'!B170</f>
        <v/>
      </c>
      <c r="C166" s="66">
        <f>'Project Database'!G170</f>
        <v/>
      </c>
      <c r="D166" s="66">
        <f>'Project Database'!H170</f>
        <v/>
      </c>
      <c r="E166" s="66">
        <f>'Project Database'!I170</f>
        <v/>
      </c>
      <c r="F166" s="66">
        <f>'Project Database'!J170</f>
        <v/>
      </c>
      <c r="G166" s="66">
        <f>'Project Database'!K170</f>
        <v/>
      </c>
      <c r="H166" s="66">
        <f>'Project Database'!L170</f>
        <v/>
      </c>
      <c r="I166" s="66">
        <f>'Project Database'!M170</f>
        <v/>
      </c>
      <c r="J166" s="66">
        <f>'Project Database'!N170</f>
        <v/>
      </c>
      <c r="K166" s="66">
        <f>'Project Database'!O170</f>
        <v/>
      </c>
      <c r="L166" s="66">
        <f>'Project Database'!P170</f>
        <v/>
      </c>
      <c r="M166" s="66">
        <f>'Project Database'!Q170</f>
        <v/>
      </c>
      <c r="N166" s="66">
        <f>'Project Database'!R170</f>
        <v/>
      </c>
      <c r="O166" s="66">
        <f>'Project Database'!S170</f>
        <v/>
      </c>
      <c r="P166" s="66">
        <f>'Project Database'!T170</f>
        <v/>
      </c>
      <c r="Q166" s="66">
        <f>'Project Database'!U170</f>
        <v/>
      </c>
      <c r="R166" s="66">
        <f>'Project Database'!V170</f>
        <v/>
      </c>
      <c r="S166" s="66">
        <f>'Project Database'!W170</f>
        <v/>
      </c>
      <c r="T166" s="66">
        <f>'Project Database'!X170</f>
        <v/>
      </c>
      <c r="U166" s="67">
        <f>'Project Database'!Y170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'Project Database'!Z170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IF(AND('Project Database'!A170&lt;&gt;"",OR('Smart Search'!$L$5="",'Smart Search'!$L$5="All",TRIM('Project Database'!D170)=TRIM('Smart Search'!$L$5)),OR(TRIM('Smart Search'!$L$6)="",TRIM('Smart Search'!$L$6)="All",ISNUMBER(SEARCH(SUBSTITUTE(SUBSTITUTE(SUBSTITUTE(TRIM('Smart Search'!$L$6),"~","~~"),"*","~*"),"?","~?"),'Project Database'!C170))),OR('Smart Search'!$L$7="",AND('Project Database'!E170&lt;&gt;"",'Project Database'!E170='Smart Search'!$L$7)),OR('Smart Search'!$L$8="",'Smart Search'!$L$8="All",TRIM('Project Database'!F170)=TRIM('Smart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IF('Project Database'!A170="","",N('Project Database'!AC170))</f>
        <v/>
      </c>
      <c r="BK166" s="5">
        <f>IF('Project Database'!A170="","",N('Project Database'!AD170))</f>
        <v/>
      </c>
      <c r="BL166" s="5">
        <f>IF('Project Database'!A170="","",N('Project Database'!AE170))</f>
        <v/>
      </c>
      <c r="BM166" s="5">
        <f>IF('Project Database'!A170="","",N('Project Database'!AF170))</f>
        <v/>
      </c>
      <c r="BN166" s="5">
        <f>IF('Project Database'!A170="","",N('Project Database'!AG170))</f>
        <v/>
      </c>
      <c r="BO166" s="5">
        <f>IF('Project Database'!A170="","",N('Project Database'!AH170))</f>
        <v/>
      </c>
      <c r="BP166" s="5">
        <f>IF('Project Database'!A170="","",N('Project Database'!AI170))</f>
        <v/>
      </c>
      <c r="BQ166" s="5">
        <f>IF('Project Database'!A170="","",N('Project Database'!AJ170))</f>
        <v/>
      </c>
      <c r="BR166" s="5">
        <f>IF('Project Database'!A170="","",N('Project Database'!AK170))</f>
        <v/>
      </c>
      <c r="BS166" s="5">
        <f>IF('Project Database'!A170="","",N('Project Database'!AL170))</f>
        <v/>
      </c>
      <c r="BT166" s="5">
        <f>IF('Project Database'!A170="","",N('Project Database'!AM170))</f>
        <v/>
      </c>
      <c r="BU166" s="5">
        <f>IF('Project Database'!A170="","",N('Project Database'!AN170))</f>
        <v/>
      </c>
      <c r="BV166" s="5">
        <f>IF('Project Database'!A170="","",N('Project Database'!AO170))</f>
        <v/>
      </c>
      <c r="BW166" s="5">
        <f>IF('Project Database'!A170="","",N('Project Database'!AP170))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</row>
    <row r="167" ht="15" customHeight="1" s="74">
      <c r="A167" s="66">
        <f>'Project Database'!A171</f>
        <v/>
      </c>
      <c r="B167" s="66">
        <f>'Project Database'!B171</f>
        <v/>
      </c>
      <c r="C167" s="66">
        <f>'Project Database'!G171</f>
        <v/>
      </c>
      <c r="D167" s="66">
        <f>'Project Database'!H171</f>
        <v/>
      </c>
      <c r="E167" s="66">
        <f>'Project Database'!I171</f>
        <v/>
      </c>
      <c r="F167" s="66">
        <f>'Project Database'!J171</f>
        <v/>
      </c>
      <c r="G167" s="66">
        <f>'Project Database'!K171</f>
        <v/>
      </c>
      <c r="H167" s="66">
        <f>'Project Database'!L171</f>
        <v/>
      </c>
      <c r="I167" s="66">
        <f>'Project Database'!M171</f>
        <v/>
      </c>
      <c r="J167" s="66">
        <f>'Project Database'!N171</f>
        <v/>
      </c>
      <c r="K167" s="66">
        <f>'Project Database'!O171</f>
        <v/>
      </c>
      <c r="L167" s="66">
        <f>'Project Database'!P171</f>
        <v/>
      </c>
      <c r="M167" s="66">
        <f>'Project Database'!Q171</f>
        <v/>
      </c>
      <c r="N167" s="66">
        <f>'Project Database'!R171</f>
        <v/>
      </c>
      <c r="O167" s="66">
        <f>'Project Database'!S171</f>
        <v/>
      </c>
      <c r="P167" s="66">
        <f>'Project Database'!T171</f>
        <v/>
      </c>
      <c r="Q167" s="66">
        <f>'Project Database'!U171</f>
        <v/>
      </c>
      <c r="R167" s="66">
        <f>'Project Database'!V171</f>
        <v/>
      </c>
      <c r="S167" s="66">
        <f>'Project Database'!W171</f>
        <v/>
      </c>
      <c r="T167" s="66">
        <f>'Project Database'!X171</f>
        <v/>
      </c>
      <c r="U167" s="67">
        <f>'Project Database'!Y171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'Project Database'!Z171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IF(AND('Project Database'!A171&lt;&gt;"",OR('Smart Search'!$L$5="",'Smart Search'!$L$5="All",TRIM('Project Database'!D171)=TRIM('Smart Search'!$L$5)),OR(TRIM('Smart Search'!$L$6)="",TRIM('Smart Search'!$L$6)="All",ISNUMBER(SEARCH(SUBSTITUTE(SUBSTITUTE(SUBSTITUTE(TRIM('Smart Search'!$L$6),"~","~~"),"*","~*"),"?","~?"),'Project Database'!C171))),OR('Smart Search'!$L$7="",AND('Project Database'!E171&lt;&gt;"",'Project Database'!E171='Smart Search'!$L$7)),OR('Smart Search'!$L$8="",'Smart Search'!$L$8="All",TRIM('Project Database'!F171)=TRIM('Smart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IF('Project Database'!A171="","",N('Project Database'!AC171))</f>
        <v/>
      </c>
      <c r="BK167" s="5">
        <f>IF('Project Database'!A171="","",N('Project Database'!AD171))</f>
        <v/>
      </c>
      <c r="BL167" s="5">
        <f>IF('Project Database'!A171="","",N('Project Database'!AE171))</f>
        <v/>
      </c>
      <c r="BM167" s="5">
        <f>IF('Project Database'!A171="","",N('Project Database'!AF171))</f>
        <v/>
      </c>
      <c r="BN167" s="5">
        <f>IF('Project Database'!A171="","",N('Project Database'!AG171))</f>
        <v/>
      </c>
      <c r="BO167" s="5">
        <f>IF('Project Database'!A171="","",N('Project Database'!AH171))</f>
        <v/>
      </c>
      <c r="BP167" s="5">
        <f>IF('Project Database'!A171="","",N('Project Database'!AI171))</f>
        <v/>
      </c>
      <c r="BQ167" s="5">
        <f>IF('Project Database'!A171="","",N('Project Database'!AJ171))</f>
        <v/>
      </c>
      <c r="BR167" s="5">
        <f>IF('Project Database'!A171="","",N('Project Database'!AK171))</f>
        <v/>
      </c>
      <c r="BS167" s="5">
        <f>IF('Project Database'!A171="","",N('Project Database'!AL171))</f>
        <v/>
      </c>
      <c r="BT167" s="5">
        <f>IF('Project Database'!A171="","",N('Project Database'!AM171))</f>
        <v/>
      </c>
      <c r="BU167" s="5">
        <f>IF('Project Database'!A171="","",N('Project Database'!AN171))</f>
        <v/>
      </c>
      <c r="BV167" s="5">
        <f>IF('Project Database'!A171="","",N('Project Database'!AO171))</f>
        <v/>
      </c>
      <c r="BW167" s="5">
        <f>IF('Project Database'!A171="","",N('Project Database'!AP171))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</row>
    <row r="168" ht="15" customHeight="1" s="74">
      <c r="A168" s="66">
        <f>'Project Database'!A172</f>
        <v/>
      </c>
      <c r="B168" s="66">
        <f>'Project Database'!B172</f>
        <v/>
      </c>
      <c r="C168" s="66">
        <f>'Project Database'!G172</f>
        <v/>
      </c>
      <c r="D168" s="66">
        <f>'Project Database'!H172</f>
        <v/>
      </c>
      <c r="E168" s="66">
        <f>'Project Database'!I172</f>
        <v/>
      </c>
      <c r="F168" s="66">
        <f>'Project Database'!J172</f>
        <v/>
      </c>
      <c r="G168" s="66">
        <f>'Project Database'!K172</f>
        <v/>
      </c>
      <c r="H168" s="66">
        <f>'Project Database'!L172</f>
        <v/>
      </c>
      <c r="I168" s="66">
        <f>'Project Database'!M172</f>
        <v/>
      </c>
      <c r="J168" s="66">
        <f>'Project Database'!N172</f>
        <v/>
      </c>
      <c r="K168" s="66">
        <f>'Project Database'!O172</f>
        <v/>
      </c>
      <c r="L168" s="66">
        <f>'Project Database'!P172</f>
        <v/>
      </c>
      <c r="M168" s="66">
        <f>'Project Database'!Q172</f>
        <v/>
      </c>
      <c r="N168" s="66">
        <f>'Project Database'!R172</f>
        <v/>
      </c>
      <c r="O168" s="66">
        <f>'Project Database'!S172</f>
        <v/>
      </c>
      <c r="P168" s="66">
        <f>'Project Database'!T172</f>
        <v/>
      </c>
      <c r="Q168" s="66">
        <f>'Project Database'!U172</f>
        <v/>
      </c>
      <c r="R168" s="66">
        <f>'Project Database'!V172</f>
        <v/>
      </c>
      <c r="S168" s="66">
        <f>'Project Database'!W172</f>
        <v/>
      </c>
      <c r="T168" s="66">
        <f>'Project Database'!X172</f>
        <v/>
      </c>
      <c r="U168" s="67">
        <f>'Project Database'!Y172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'Project Database'!Z172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IF(AND('Project Database'!A172&lt;&gt;"",OR('Smart Search'!$L$5="",'Smart Search'!$L$5="All",TRIM('Project Database'!D172)=TRIM('Smart Search'!$L$5)),OR(TRIM('Smart Search'!$L$6)="",TRIM('Smart Search'!$L$6)="All",ISNUMBER(SEARCH(SUBSTITUTE(SUBSTITUTE(SUBSTITUTE(TRIM('Smart Search'!$L$6),"~","~~"),"*","~*"),"?","~?"),'Project Database'!C172))),OR('Smart Search'!$L$7="",AND('Project Database'!E172&lt;&gt;"",'Project Database'!E172='Smart Search'!$L$7)),OR('Smart Search'!$L$8="",'Smart Search'!$L$8="All",TRIM('Project Database'!F172)=TRIM('Smart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IF('Project Database'!A172="","",N('Project Database'!AC172))</f>
        <v/>
      </c>
      <c r="BK168" s="5">
        <f>IF('Project Database'!A172="","",N('Project Database'!AD172))</f>
        <v/>
      </c>
      <c r="BL168" s="5">
        <f>IF('Project Database'!A172="","",N('Project Database'!AE172))</f>
        <v/>
      </c>
      <c r="BM168" s="5">
        <f>IF('Project Database'!A172="","",N('Project Database'!AF172))</f>
        <v/>
      </c>
      <c r="BN168" s="5">
        <f>IF('Project Database'!A172="","",N('Project Database'!AG172))</f>
        <v/>
      </c>
      <c r="BO168" s="5">
        <f>IF('Project Database'!A172="","",N('Project Database'!AH172))</f>
        <v/>
      </c>
      <c r="BP168" s="5">
        <f>IF('Project Database'!A172="","",N('Project Database'!AI172))</f>
        <v/>
      </c>
      <c r="BQ168" s="5">
        <f>IF('Project Database'!A172="","",N('Project Database'!AJ172))</f>
        <v/>
      </c>
      <c r="BR168" s="5">
        <f>IF('Project Database'!A172="","",N('Project Database'!AK172))</f>
        <v/>
      </c>
      <c r="BS168" s="5">
        <f>IF('Project Database'!A172="","",N('Project Database'!AL172))</f>
        <v/>
      </c>
      <c r="BT168" s="5">
        <f>IF('Project Database'!A172="","",N('Project Database'!AM172))</f>
        <v/>
      </c>
      <c r="BU168" s="5">
        <f>IF('Project Database'!A172="","",N('Project Database'!AN172))</f>
        <v/>
      </c>
      <c r="BV168" s="5">
        <f>IF('Project Database'!A172="","",N('Project Database'!AO172))</f>
        <v/>
      </c>
      <c r="BW168" s="5">
        <f>IF('Project Database'!A172="","",N('Project Database'!AP172))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</row>
    <row r="169" ht="15" customHeight="1" s="74">
      <c r="A169" s="66">
        <f>'Project Database'!A173</f>
        <v/>
      </c>
      <c r="B169" s="66">
        <f>'Project Database'!B173</f>
        <v/>
      </c>
      <c r="C169" s="66">
        <f>'Project Database'!G173</f>
        <v/>
      </c>
      <c r="D169" s="66">
        <f>'Project Database'!H173</f>
        <v/>
      </c>
      <c r="E169" s="66">
        <f>'Project Database'!I173</f>
        <v/>
      </c>
      <c r="F169" s="66">
        <f>'Project Database'!J173</f>
        <v/>
      </c>
      <c r="G169" s="66">
        <f>'Project Database'!K173</f>
        <v/>
      </c>
      <c r="H169" s="66">
        <f>'Project Database'!L173</f>
        <v/>
      </c>
      <c r="I169" s="66">
        <f>'Project Database'!M173</f>
        <v/>
      </c>
      <c r="J169" s="66">
        <f>'Project Database'!N173</f>
        <v/>
      </c>
      <c r="K169" s="66">
        <f>'Project Database'!O173</f>
        <v/>
      </c>
      <c r="L169" s="66">
        <f>'Project Database'!P173</f>
        <v/>
      </c>
      <c r="M169" s="66">
        <f>'Project Database'!Q173</f>
        <v/>
      </c>
      <c r="N169" s="66">
        <f>'Project Database'!R173</f>
        <v/>
      </c>
      <c r="O169" s="66">
        <f>'Project Database'!S173</f>
        <v/>
      </c>
      <c r="P169" s="66">
        <f>'Project Database'!T173</f>
        <v/>
      </c>
      <c r="Q169" s="66">
        <f>'Project Database'!U173</f>
        <v/>
      </c>
      <c r="R169" s="66">
        <f>'Project Database'!V173</f>
        <v/>
      </c>
      <c r="S169" s="66">
        <f>'Project Database'!W173</f>
        <v/>
      </c>
      <c r="T169" s="66">
        <f>'Project Database'!X173</f>
        <v/>
      </c>
      <c r="U169" s="67">
        <f>'Project Database'!Y173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'Project Database'!Z173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IF(AND('Project Database'!A173&lt;&gt;"",OR('Smart Search'!$L$5="",'Smart Search'!$L$5="All",TRIM('Project Database'!D173)=TRIM('Smart Search'!$L$5)),OR(TRIM('Smart Search'!$L$6)="",TRIM('Smart Search'!$L$6)="All",ISNUMBER(SEARCH(SUBSTITUTE(SUBSTITUTE(SUBSTITUTE(TRIM('Smart Search'!$L$6),"~","~~"),"*","~*"),"?","~?"),'Project Database'!C173))),OR('Smart Search'!$L$7="",AND('Project Database'!E173&lt;&gt;"",'Project Database'!E173='Smart Search'!$L$7)),OR('Smart Search'!$L$8="",'Smart Search'!$L$8="All",TRIM('Project Database'!F173)=TRIM('Smart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IF('Project Database'!A173="","",N('Project Database'!AC173))</f>
        <v/>
      </c>
      <c r="BK169" s="5">
        <f>IF('Project Database'!A173="","",N('Project Database'!AD173))</f>
        <v/>
      </c>
      <c r="BL169" s="5">
        <f>IF('Project Database'!A173="","",N('Project Database'!AE173))</f>
        <v/>
      </c>
      <c r="BM169" s="5">
        <f>IF('Project Database'!A173="","",N('Project Database'!AF173))</f>
        <v/>
      </c>
      <c r="BN169" s="5">
        <f>IF('Project Database'!A173="","",N('Project Database'!AG173))</f>
        <v/>
      </c>
      <c r="BO169" s="5">
        <f>IF('Project Database'!A173="","",N('Project Database'!AH173))</f>
        <v/>
      </c>
      <c r="BP169" s="5">
        <f>IF('Project Database'!A173="","",N('Project Database'!AI173))</f>
        <v/>
      </c>
      <c r="BQ169" s="5">
        <f>IF('Project Database'!A173="","",N('Project Database'!AJ173))</f>
        <v/>
      </c>
      <c r="BR169" s="5">
        <f>IF('Project Database'!A173="","",N('Project Database'!AK173))</f>
        <v/>
      </c>
      <c r="BS169" s="5">
        <f>IF('Project Database'!A173="","",N('Project Database'!AL173))</f>
        <v/>
      </c>
      <c r="BT169" s="5">
        <f>IF('Project Database'!A173="","",N('Project Database'!AM173))</f>
        <v/>
      </c>
      <c r="BU169" s="5">
        <f>IF('Project Database'!A173="","",N('Project Database'!AN173))</f>
        <v/>
      </c>
      <c r="BV169" s="5">
        <f>IF('Project Database'!A173="","",N('Project Database'!AO173))</f>
        <v/>
      </c>
      <c r="BW169" s="5">
        <f>IF('Project Database'!A173="","",N('Project Database'!AP173))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</row>
    <row r="170" ht="15" customHeight="1" s="74">
      <c r="A170" s="66">
        <f>'Project Database'!A174</f>
        <v/>
      </c>
      <c r="B170" s="66">
        <f>'Project Database'!B174</f>
        <v/>
      </c>
      <c r="C170" s="66">
        <f>'Project Database'!G174</f>
        <v/>
      </c>
      <c r="D170" s="66">
        <f>'Project Database'!H174</f>
        <v/>
      </c>
      <c r="E170" s="66">
        <f>'Project Database'!I174</f>
        <v/>
      </c>
      <c r="F170" s="66">
        <f>'Project Database'!J174</f>
        <v/>
      </c>
      <c r="G170" s="66">
        <f>'Project Database'!K174</f>
        <v/>
      </c>
      <c r="H170" s="66">
        <f>'Project Database'!L174</f>
        <v/>
      </c>
      <c r="I170" s="66">
        <f>'Project Database'!M174</f>
        <v/>
      </c>
      <c r="J170" s="66">
        <f>'Project Database'!N174</f>
        <v/>
      </c>
      <c r="K170" s="66">
        <f>'Project Database'!O174</f>
        <v/>
      </c>
      <c r="L170" s="66">
        <f>'Project Database'!P174</f>
        <v/>
      </c>
      <c r="M170" s="66">
        <f>'Project Database'!Q174</f>
        <v/>
      </c>
      <c r="N170" s="66">
        <f>'Project Database'!R174</f>
        <v/>
      </c>
      <c r="O170" s="66">
        <f>'Project Database'!S174</f>
        <v/>
      </c>
      <c r="P170" s="66">
        <f>'Project Database'!T174</f>
        <v/>
      </c>
      <c r="Q170" s="66">
        <f>'Project Database'!U174</f>
        <v/>
      </c>
      <c r="R170" s="66">
        <f>'Project Database'!V174</f>
        <v/>
      </c>
      <c r="S170" s="66">
        <f>'Project Database'!W174</f>
        <v/>
      </c>
      <c r="T170" s="66">
        <f>'Project Database'!X174</f>
        <v/>
      </c>
      <c r="U170" s="67">
        <f>'Project Database'!Y174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'Project Database'!Z174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IF(AND('Project Database'!A174&lt;&gt;"",OR('Smart Search'!$L$5="",'Smart Search'!$L$5="All",TRIM('Project Database'!D174)=TRIM('Smart Search'!$L$5)),OR(TRIM('Smart Search'!$L$6)="",TRIM('Smart Search'!$L$6)="All",ISNUMBER(SEARCH(SUBSTITUTE(SUBSTITUTE(SUBSTITUTE(TRIM('Smart Search'!$L$6),"~","~~"),"*","~*"),"?","~?"),'Project Database'!C174))),OR('Smart Search'!$L$7="",AND('Project Database'!E174&lt;&gt;"",'Project Database'!E174='Smart Search'!$L$7)),OR('Smart Search'!$L$8="",'Smart Search'!$L$8="All",TRIM('Project Database'!F174)=TRIM('Smart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IF('Project Database'!A174="","",N('Project Database'!AC174))</f>
        <v/>
      </c>
      <c r="BK170" s="5">
        <f>IF('Project Database'!A174="","",N('Project Database'!AD174))</f>
        <v/>
      </c>
      <c r="BL170" s="5">
        <f>IF('Project Database'!A174="","",N('Project Database'!AE174))</f>
        <v/>
      </c>
      <c r="BM170" s="5">
        <f>IF('Project Database'!A174="","",N('Project Database'!AF174))</f>
        <v/>
      </c>
      <c r="BN170" s="5">
        <f>IF('Project Database'!A174="","",N('Project Database'!AG174))</f>
        <v/>
      </c>
      <c r="BO170" s="5">
        <f>IF('Project Database'!A174="","",N('Project Database'!AH174))</f>
        <v/>
      </c>
      <c r="BP170" s="5">
        <f>IF('Project Database'!A174="","",N('Project Database'!AI174))</f>
        <v/>
      </c>
      <c r="BQ170" s="5">
        <f>IF('Project Database'!A174="","",N('Project Database'!AJ174))</f>
        <v/>
      </c>
      <c r="BR170" s="5">
        <f>IF('Project Database'!A174="","",N('Project Database'!AK174))</f>
        <v/>
      </c>
      <c r="BS170" s="5">
        <f>IF('Project Database'!A174="","",N('Project Database'!AL174))</f>
        <v/>
      </c>
      <c r="BT170" s="5">
        <f>IF('Project Database'!A174="","",N('Project Database'!AM174))</f>
        <v/>
      </c>
      <c r="BU170" s="5">
        <f>IF('Project Database'!A174="","",N('Project Database'!AN174))</f>
        <v/>
      </c>
      <c r="BV170" s="5">
        <f>IF('Project Database'!A174="","",N('Project Database'!AO174))</f>
        <v/>
      </c>
      <c r="BW170" s="5">
        <f>IF('Project Database'!A174="","",N('Project Database'!AP174))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</row>
    <row r="171" ht="15" customHeight="1" s="74">
      <c r="A171" s="66">
        <f>'Project Database'!A175</f>
        <v/>
      </c>
      <c r="B171" s="66">
        <f>'Project Database'!B175</f>
        <v/>
      </c>
      <c r="C171" s="66">
        <f>'Project Database'!G175</f>
        <v/>
      </c>
      <c r="D171" s="66">
        <f>'Project Database'!H175</f>
        <v/>
      </c>
      <c r="E171" s="66">
        <f>'Project Database'!I175</f>
        <v/>
      </c>
      <c r="F171" s="66">
        <f>'Project Database'!J175</f>
        <v/>
      </c>
      <c r="G171" s="66">
        <f>'Project Database'!K175</f>
        <v/>
      </c>
      <c r="H171" s="66">
        <f>'Project Database'!L175</f>
        <v/>
      </c>
      <c r="I171" s="66">
        <f>'Project Database'!M175</f>
        <v/>
      </c>
      <c r="J171" s="66">
        <f>'Project Database'!N175</f>
        <v/>
      </c>
      <c r="K171" s="66">
        <f>'Project Database'!O175</f>
        <v/>
      </c>
      <c r="L171" s="66">
        <f>'Project Database'!P175</f>
        <v/>
      </c>
      <c r="M171" s="66">
        <f>'Project Database'!Q175</f>
        <v/>
      </c>
      <c r="N171" s="66">
        <f>'Project Database'!R175</f>
        <v/>
      </c>
      <c r="O171" s="66">
        <f>'Project Database'!S175</f>
        <v/>
      </c>
      <c r="P171" s="66">
        <f>'Project Database'!T175</f>
        <v/>
      </c>
      <c r="Q171" s="66">
        <f>'Project Database'!U175</f>
        <v/>
      </c>
      <c r="R171" s="66">
        <f>'Project Database'!V175</f>
        <v/>
      </c>
      <c r="S171" s="66">
        <f>'Project Database'!W175</f>
        <v/>
      </c>
      <c r="T171" s="66">
        <f>'Project Database'!X175</f>
        <v/>
      </c>
      <c r="U171" s="67">
        <f>'Project Database'!Y175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'Project Database'!Z175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IF(AND('Project Database'!A175&lt;&gt;"",OR('Smart Search'!$L$5="",'Smart Search'!$L$5="All",TRIM('Project Database'!D175)=TRIM('Smart Search'!$L$5)),OR(TRIM('Smart Search'!$L$6)="",TRIM('Smart Search'!$L$6)="All",ISNUMBER(SEARCH(SUBSTITUTE(SUBSTITUTE(SUBSTITUTE(TRIM('Smart Search'!$L$6),"~","~~"),"*","~*"),"?","~?"),'Project Database'!C175))),OR('Smart Search'!$L$7="",AND('Project Database'!E175&lt;&gt;"",'Project Database'!E175='Smart Search'!$L$7)),OR('Smart Search'!$L$8="",'Smart Search'!$L$8="All",TRIM('Project Database'!F175)=TRIM('Smart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IF('Project Database'!A175="","",N('Project Database'!AC175))</f>
        <v/>
      </c>
      <c r="BK171" s="5">
        <f>IF('Project Database'!A175="","",N('Project Database'!AD175))</f>
        <v/>
      </c>
      <c r="BL171" s="5">
        <f>IF('Project Database'!A175="","",N('Project Database'!AE175))</f>
        <v/>
      </c>
      <c r="BM171" s="5">
        <f>IF('Project Database'!A175="","",N('Project Database'!AF175))</f>
        <v/>
      </c>
      <c r="BN171" s="5">
        <f>IF('Project Database'!A175="","",N('Project Database'!AG175))</f>
        <v/>
      </c>
      <c r="BO171" s="5">
        <f>IF('Project Database'!A175="","",N('Project Database'!AH175))</f>
        <v/>
      </c>
      <c r="BP171" s="5">
        <f>IF('Project Database'!A175="","",N('Project Database'!AI175))</f>
        <v/>
      </c>
      <c r="BQ171" s="5">
        <f>IF('Project Database'!A175="","",N('Project Database'!AJ175))</f>
        <v/>
      </c>
      <c r="BR171" s="5">
        <f>IF('Project Database'!A175="","",N('Project Database'!AK175))</f>
        <v/>
      </c>
      <c r="BS171" s="5">
        <f>IF('Project Database'!A175="","",N('Project Database'!AL175))</f>
        <v/>
      </c>
      <c r="BT171" s="5">
        <f>IF('Project Database'!A175="","",N('Project Database'!AM175))</f>
        <v/>
      </c>
      <c r="BU171" s="5">
        <f>IF('Project Database'!A175="","",N('Project Database'!AN175))</f>
        <v/>
      </c>
      <c r="BV171" s="5">
        <f>IF('Project Database'!A175="","",N('Project Database'!AO175))</f>
        <v/>
      </c>
      <c r="BW171" s="5">
        <f>IF('Project Database'!A175="","",N('Project Database'!AP175))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</row>
    <row r="172" ht="15" customHeight="1" s="74">
      <c r="A172" s="66">
        <f>'Project Database'!A176</f>
        <v/>
      </c>
      <c r="B172" s="66">
        <f>'Project Database'!B176</f>
        <v/>
      </c>
      <c r="C172" s="66">
        <f>'Project Database'!G176</f>
        <v/>
      </c>
      <c r="D172" s="66">
        <f>'Project Database'!H176</f>
        <v/>
      </c>
      <c r="E172" s="66">
        <f>'Project Database'!I176</f>
        <v/>
      </c>
      <c r="F172" s="66">
        <f>'Project Database'!J176</f>
        <v/>
      </c>
      <c r="G172" s="66">
        <f>'Project Database'!K176</f>
        <v/>
      </c>
      <c r="H172" s="66">
        <f>'Project Database'!L176</f>
        <v/>
      </c>
      <c r="I172" s="66">
        <f>'Project Database'!M176</f>
        <v/>
      </c>
      <c r="J172" s="66">
        <f>'Project Database'!N176</f>
        <v/>
      </c>
      <c r="K172" s="66">
        <f>'Project Database'!O176</f>
        <v/>
      </c>
      <c r="L172" s="66">
        <f>'Project Database'!P176</f>
        <v/>
      </c>
      <c r="M172" s="66">
        <f>'Project Database'!Q176</f>
        <v/>
      </c>
      <c r="N172" s="66">
        <f>'Project Database'!R176</f>
        <v/>
      </c>
      <c r="O172" s="66">
        <f>'Project Database'!S176</f>
        <v/>
      </c>
      <c r="P172" s="66">
        <f>'Project Database'!T176</f>
        <v/>
      </c>
      <c r="Q172" s="66">
        <f>'Project Database'!U176</f>
        <v/>
      </c>
      <c r="R172" s="66">
        <f>'Project Database'!V176</f>
        <v/>
      </c>
      <c r="S172" s="66">
        <f>'Project Database'!W176</f>
        <v/>
      </c>
      <c r="T172" s="66">
        <f>'Project Database'!X176</f>
        <v/>
      </c>
      <c r="U172" s="67">
        <f>'Project Database'!Y176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'Project Database'!Z176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IF(AND('Project Database'!A176&lt;&gt;"",OR('Smart Search'!$L$5="",'Smart Search'!$L$5="All",TRIM('Project Database'!D176)=TRIM('Smart Search'!$L$5)),OR(TRIM('Smart Search'!$L$6)="",TRIM('Smart Search'!$L$6)="All",ISNUMBER(SEARCH(SUBSTITUTE(SUBSTITUTE(SUBSTITUTE(TRIM('Smart Search'!$L$6),"~","~~"),"*","~*"),"?","~?"),'Project Database'!C176))),OR('Smart Search'!$L$7="",AND('Project Database'!E176&lt;&gt;"",'Project Database'!E176='Smart Search'!$L$7)),OR('Smart Search'!$L$8="",'Smart Search'!$L$8="All",TRIM('Project Database'!F176)=TRIM('Smart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IF('Project Database'!A176="","",N('Project Database'!AC176))</f>
        <v/>
      </c>
      <c r="BK172" s="5">
        <f>IF('Project Database'!A176="","",N('Project Database'!AD176))</f>
        <v/>
      </c>
      <c r="BL172" s="5">
        <f>IF('Project Database'!A176="","",N('Project Database'!AE176))</f>
        <v/>
      </c>
      <c r="BM172" s="5">
        <f>IF('Project Database'!A176="","",N('Project Database'!AF176))</f>
        <v/>
      </c>
      <c r="BN172" s="5">
        <f>IF('Project Database'!A176="","",N('Project Database'!AG176))</f>
        <v/>
      </c>
      <c r="BO172" s="5">
        <f>IF('Project Database'!A176="","",N('Project Database'!AH176))</f>
        <v/>
      </c>
      <c r="BP172" s="5">
        <f>IF('Project Database'!A176="","",N('Project Database'!AI176))</f>
        <v/>
      </c>
      <c r="BQ172" s="5">
        <f>IF('Project Database'!A176="","",N('Project Database'!AJ176))</f>
        <v/>
      </c>
      <c r="BR172" s="5">
        <f>IF('Project Database'!A176="","",N('Project Database'!AK176))</f>
        <v/>
      </c>
      <c r="BS172" s="5">
        <f>IF('Project Database'!A176="","",N('Project Database'!AL176))</f>
        <v/>
      </c>
      <c r="BT172" s="5">
        <f>IF('Project Database'!A176="","",N('Project Database'!AM176))</f>
        <v/>
      </c>
      <c r="BU172" s="5">
        <f>IF('Project Database'!A176="","",N('Project Database'!AN176))</f>
        <v/>
      </c>
      <c r="BV172" s="5">
        <f>IF('Project Database'!A176="","",N('Project Database'!AO176))</f>
        <v/>
      </c>
      <c r="BW172" s="5">
        <f>IF('Project Database'!A176="","",N('Project Database'!AP176))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</row>
    <row r="173" ht="15" customHeight="1" s="74">
      <c r="A173" s="66">
        <f>'Project Database'!A177</f>
        <v/>
      </c>
      <c r="B173" s="66">
        <f>'Project Database'!B177</f>
        <v/>
      </c>
      <c r="C173" s="66">
        <f>'Project Database'!G177</f>
        <v/>
      </c>
      <c r="D173" s="66">
        <f>'Project Database'!H177</f>
        <v/>
      </c>
      <c r="E173" s="66">
        <f>'Project Database'!I177</f>
        <v/>
      </c>
      <c r="F173" s="66">
        <f>'Project Database'!J177</f>
        <v/>
      </c>
      <c r="G173" s="66">
        <f>'Project Database'!K177</f>
        <v/>
      </c>
      <c r="H173" s="66">
        <f>'Project Database'!L177</f>
        <v/>
      </c>
      <c r="I173" s="66">
        <f>'Project Database'!M177</f>
        <v/>
      </c>
      <c r="J173" s="66">
        <f>'Project Database'!N177</f>
        <v/>
      </c>
      <c r="K173" s="66">
        <f>'Project Database'!O177</f>
        <v/>
      </c>
      <c r="L173" s="66">
        <f>'Project Database'!P177</f>
        <v/>
      </c>
      <c r="M173" s="66">
        <f>'Project Database'!Q177</f>
        <v/>
      </c>
      <c r="N173" s="66">
        <f>'Project Database'!R177</f>
        <v/>
      </c>
      <c r="O173" s="66">
        <f>'Project Database'!S177</f>
        <v/>
      </c>
      <c r="P173" s="66">
        <f>'Project Database'!T177</f>
        <v/>
      </c>
      <c r="Q173" s="66">
        <f>'Project Database'!U177</f>
        <v/>
      </c>
      <c r="R173" s="66">
        <f>'Project Database'!V177</f>
        <v/>
      </c>
      <c r="S173" s="66">
        <f>'Project Database'!W177</f>
        <v/>
      </c>
      <c r="T173" s="66">
        <f>'Project Database'!X177</f>
        <v/>
      </c>
      <c r="U173" s="67">
        <f>'Project Database'!Y177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'Project Database'!Z177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IF(AND('Project Database'!A177&lt;&gt;"",OR('Smart Search'!$L$5="",'Smart Search'!$L$5="All",TRIM('Project Database'!D177)=TRIM('Smart Search'!$L$5)),OR(TRIM('Smart Search'!$L$6)="",TRIM('Smart Search'!$L$6)="All",ISNUMBER(SEARCH(SUBSTITUTE(SUBSTITUTE(SUBSTITUTE(TRIM('Smart Search'!$L$6),"~","~~"),"*","~*"),"?","~?"),'Project Database'!C177))),OR('Smart Search'!$L$7="",AND('Project Database'!E177&lt;&gt;"",'Project Database'!E177='Smart Search'!$L$7)),OR('Smart Search'!$L$8="",'Smart Search'!$L$8="All",TRIM('Project Database'!F177)=TRIM('Smart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IF('Project Database'!A177="","",N('Project Database'!AC177))</f>
        <v/>
      </c>
      <c r="BK173" s="5">
        <f>IF('Project Database'!A177="","",N('Project Database'!AD177))</f>
        <v/>
      </c>
      <c r="BL173" s="5">
        <f>IF('Project Database'!A177="","",N('Project Database'!AE177))</f>
        <v/>
      </c>
      <c r="BM173" s="5">
        <f>IF('Project Database'!A177="","",N('Project Database'!AF177))</f>
        <v/>
      </c>
      <c r="BN173" s="5">
        <f>IF('Project Database'!A177="","",N('Project Database'!AG177))</f>
        <v/>
      </c>
      <c r="BO173" s="5">
        <f>IF('Project Database'!A177="","",N('Project Database'!AH177))</f>
        <v/>
      </c>
      <c r="BP173" s="5">
        <f>IF('Project Database'!A177="","",N('Project Database'!AI177))</f>
        <v/>
      </c>
      <c r="BQ173" s="5">
        <f>IF('Project Database'!A177="","",N('Project Database'!AJ177))</f>
        <v/>
      </c>
      <c r="BR173" s="5">
        <f>IF('Project Database'!A177="","",N('Project Database'!AK177))</f>
        <v/>
      </c>
      <c r="BS173" s="5">
        <f>IF('Project Database'!A177="","",N('Project Database'!AL177))</f>
        <v/>
      </c>
      <c r="BT173" s="5">
        <f>IF('Project Database'!A177="","",N('Project Database'!AM177))</f>
        <v/>
      </c>
      <c r="BU173" s="5">
        <f>IF('Project Database'!A177="","",N('Project Database'!AN177))</f>
        <v/>
      </c>
      <c r="BV173" s="5">
        <f>IF('Project Database'!A177="","",N('Project Database'!AO177))</f>
        <v/>
      </c>
      <c r="BW173" s="5">
        <f>IF('Project Database'!A177="","",N('Project Database'!AP177))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</row>
    <row r="174" ht="15" customHeight="1" s="74">
      <c r="A174" s="66">
        <f>'Project Database'!A178</f>
        <v/>
      </c>
      <c r="B174" s="66">
        <f>'Project Database'!B178</f>
        <v/>
      </c>
      <c r="C174" s="66">
        <f>'Project Database'!G178</f>
        <v/>
      </c>
      <c r="D174" s="66">
        <f>'Project Database'!H178</f>
        <v/>
      </c>
      <c r="E174" s="66">
        <f>'Project Database'!I178</f>
        <v/>
      </c>
      <c r="F174" s="66">
        <f>'Project Database'!J178</f>
        <v/>
      </c>
      <c r="G174" s="66">
        <f>'Project Database'!K178</f>
        <v/>
      </c>
      <c r="H174" s="66">
        <f>'Project Database'!L178</f>
        <v/>
      </c>
      <c r="I174" s="66">
        <f>'Project Database'!M178</f>
        <v/>
      </c>
      <c r="J174" s="66">
        <f>'Project Database'!N178</f>
        <v/>
      </c>
      <c r="K174" s="66">
        <f>'Project Database'!O178</f>
        <v/>
      </c>
      <c r="L174" s="66">
        <f>'Project Database'!P178</f>
        <v/>
      </c>
      <c r="M174" s="66">
        <f>'Project Database'!Q178</f>
        <v/>
      </c>
      <c r="N174" s="66">
        <f>'Project Database'!R178</f>
        <v/>
      </c>
      <c r="O174" s="66">
        <f>'Project Database'!S178</f>
        <v/>
      </c>
      <c r="P174" s="66">
        <f>'Project Database'!T178</f>
        <v/>
      </c>
      <c r="Q174" s="66">
        <f>'Project Database'!U178</f>
        <v/>
      </c>
      <c r="R174" s="66">
        <f>'Project Database'!V178</f>
        <v/>
      </c>
      <c r="S174" s="66">
        <f>'Project Database'!W178</f>
        <v/>
      </c>
      <c r="T174" s="66">
        <f>'Project Database'!X178</f>
        <v/>
      </c>
      <c r="U174" s="67">
        <f>'Project Database'!Y178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'Project Database'!Z178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IF(AND('Project Database'!A178&lt;&gt;"",OR('Smart Search'!$L$5="",'Smart Search'!$L$5="All",TRIM('Project Database'!D178)=TRIM('Smart Search'!$L$5)),OR(TRIM('Smart Search'!$L$6)="",TRIM('Smart Search'!$L$6)="All",ISNUMBER(SEARCH(SUBSTITUTE(SUBSTITUTE(SUBSTITUTE(TRIM('Smart Search'!$L$6),"~","~~"),"*","~*"),"?","~?"),'Project Database'!C178))),OR('Smart Search'!$L$7="",AND('Project Database'!E178&lt;&gt;"",'Project Database'!E178='Smart Search'!$L$7)),OR('Smart Search'!$L$8="",'Smart Search'!$L$8="All",TRIM('Project Database'!F178)=TRIM('Smart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IF('Project Database'!A178="","",N('Project Database'!AC178))</f>
        <v/>
      </c>
      <c r="BK174" s="5">
        <f>IF('Project Database'!A178="","",N('Project Database'!AD178))</f>
        <v/>
      </c>
      <c r="BL174" s="5">
        <f>IF('Project Database'!A178="","",N('Project Database'!AE178))</f>
        <v/>
      </c>
      <c r="BM174" s="5">
        <f>IF('Project Database'!A178="","",N('Project Database'!AF178))</f>
        <v/>
      </c>
      <c r="BN174" s="5">
        <f>IF('Project Database'!A178="","",N('Project Database'!AG178))</f>
        <v/>
      </c>
      <c r="BO174" s="5">
        <f>IF('Project Database'!A178="","",N('Project Database'!AH178))</f>
        <v/>
      </c>
      <c r="BP174" s="5">
        <f>IF('Project Database'!A178="","",N('Project Database'!AI178))</f>
        <v/>
      </c>
      <c r="BQ174" s="5">
        <f>IF('Project Database'!A178="","",N('Project Database'!AJ178))</f>
        <v/>
      </c>
      <c r="BR174" s="5">
        <f>IF('Project Database'!A178="","",N('Project Database'!AK178))</f>
        <v/>
      </c>
      <c r="BS174" s="5">
        <f>IF('Project Database'!A178="","",N('Project Database'!AL178))</f>
        <v/>
      </c>
      <c r="BT174" s="5">
        <f>IF('Project Database'!A178="","",N('Project Database'!AM178))</f>
        <v/>
      </c>
      <c r="BU174" s="5">
        <f>IF('Project Database'!A178="","",N('Project Database'!AN178))</f>
        <v/>
      </c>
      <c r="BV174" s="5">
        <f>IF('Project Database'!A178="","",N('Project Database'!AO178))</f>
        <v/>
      </c>
      <c r="BW174" s="5">
        <f>IF('Project Database'!A178="","",N('Project Database'!AP178))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</row>
    <row r="175" ht="15" customHeight="1" s="74">
      <c r="A175" s="66">
        <f>'Project Database'!A179</f>
        <v/>
      </c>
      <c r="B175" s="66">
        <f>'Project Database'!B179</f>
        <v/>
      </c>
      <c r="C175" s="66">
        <f>'Project Database'!G179</f>
        <v/>
      </c>
      <c r="D175" s="66">
        <f>'Project Database'!H179</f>
        <v/>
      </c>
      <c r="E175" s="66">
        <f>'Project Database'!I179</f>
        <v/>
      </c>
      <c r="F175" s="66">
        <f>'Project Database'!J179</f>
        <v/>
      </c>
      <c r="G175" s="66">
        <f>'Project Database'!K179</f>
        <v/>
      </c>
      <c r="H175" s="66">
        <f>'Project Database'!L179</f>
        <v/>
      </c>
      <c r="I175" s="66">
        <f>'Project Database'!M179</f>
        <v/>
      </c>
      <c r="J175" s="66">
        <f>'Project Database'!N179</f>
        <v/>
      </c>
      <c r="K175" s="66">
        <f>'Project Database'!O179</f>
        <v/>
      </c>
      <c r="L175" s="66">
        <f>'Project Database'!P179</f>
        <v/>
      </c>
      <c r="M175" s="66">
        <f>'Project Database'!Q179</f>
        <v/>
      </c>
      <c r="N175" s="66">
        <f>'Project Database'!R179</f>
        <v/>
      </c>
      <c r="O175" s="66">
        <f>'Project Database'!S179</f>
        <v/>
      </c>
      <c r="P175" s="66">
        <f>'Project Database'!T179</f>
        <v/>
      </c>
      <c r="Q175" s="66">
        <f>'Project Database'!U179</f>
        <v/>
      </c>
      <c r="R175" s="66">
        <f>'Project Database'!V179</f>
        <v/>
      </c>
      <c r="S175" s="66">
        <f>'Project Database'!W179</f>
        <v/>
      </c>
      <c r="T175" s="66">
        <f>'Project Database'!X179</f>
        <v/>
      </c>
      <c r="U175" s="67">
        <f>'Project Database'!Y179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'Project Database'!Z179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IF(AND('Project Database'!A179&lt;&gt;"",OR('Smart Search'!$L$5="",'Smart Search'!$L$5="All",TRIM('Project Database'!D179)=TRIM('Smart Search'!$L$5)),OR(TRIM('Smart Search'!$L$6)="",TRIM('Smart Search'!$L$6)="All",ISNUMBER(SEARCH(SUBSTITUTE(SUBSTITUTE(SUBSTITUTE(TRIM('Smart Search'!$L$6),"~","~~"),"*","~*"),"?","~?"),'Project Database'!C179))),OR('Smart Search'!$L$7="",AND('Project Database'!E179&lt;&gt;"",'Project Database'!E179='Smart Search'!$L$7)),OR('Smart Search'!$L$8="",'Smart Search'!$L$8="All",TRIM('Project Database'!F179)=TRIM('Smart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IF('Project Database'!A179="","",N('Project Database'!AC179))</f>
        <v/>
      </c>
      <c r="BK175" s="5">
        <f>IF('Project Database'!A179="","",N('Project Database'!AD179))</f>
        <v/>
      </c>
      <c r="BL175" s="5">
        <f>IF('Project Database'!A179="","",N('Project Database'!AE179))</f>
        <v/>
      </c>
      <c r="BM175" s="5">
        <f>IF('Project Database'!A179="","",N('Project Database'!AF179))</f>
        <v/>
      </c>
      <c r="BN175" s="5">
        <f>IF('Project Database'!A179="","",N('Project Database'!AG179))</f>
        <v/>
      </c>
      <c r="BO175" s="5">
        <f>IF('Project Database'!A179="","",N('Project Database'!AH179))</f>
        <v/>
      </c>
      <c r="BP175" s="5">
        <f>IF('Project Database'!A179="","",N('Project Database'!AI179))</f>
        <v/>
      </c>
      <c r="BQ175" s="5">
        <f>IF('Project Database'!A179="","",N('Project Database'!AJ179))</f>
        <v/>
      </c>
      <c r="BR175" s="5">
        <f>IF('Project Database'!A179="","",N('Project Database'!AK179))</f>
        <v/>
      </c>
      <c r="BS175" s="5">
        <f>IF('Project Database'!A179="","",N('Project Database'!AL179))</f>
        <v/>
      </c>
      <c r="BT175" s="5">
        <f>IF('Project Database'!A179="","",N('Project Database'!AM179))</f>
        <v/>
      </c>
      <c r="BU175" s="5">
        <f>IF('Project Database'!A179="","",N('Project Database'!AN179))</f>
        <v/>
      </c>
      <c r="BV175" s="5">
        <f>IF('Project Database'!A179="","",N('Project Database'!AO179))</f>
        <v/>
      </c>
      <c r="BW175" s="5">
        <f>IF('Project Database'!A179="","",N('Project Database'!AP179))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</row>
    <row r="176" ht="15" customHeight="1" s="74">
      <c r="A176" s="66">
        <f>'Project Database'!A180</f>
        <v/>
      </c>
      <c r="B176" s="66">
        <f>'Project Database'!B180</f>
        <v/>
      </c>
      <c r="C176" s="66">
        <f>'Project Database'!G180</f>
        <v/>
      </c>
      <c r="D176" s="66">
        <f>'Project Database'!H180</f>
        <v/>
      </c>
      <c r="E176" s="66">
        <f>'Project Database'!I180</f>
        <v/>
      </c>
      <c r="F176" s="66">
        <f>'Project Database'!J180</f>
        <v/>
      </c>
      <c r="G176" s="66">
        <f>'Project Database'!K180</f>
        <v/>
      </c>
      <c r="H176" s="66">
        <f>'Project Database'!L180</f>
        <v/>
      </c>
      <c r="I176" s="66">
        <f>'Project Database'!M180</f>
        <v/>
      </c>
      <c r="J176" s="66">
        <f>'Project Database'!N180</f>
        <v/>
      </c>
      <c r="K176" s="66">
        <f>'Project Database'!O180</f>
        <v/>
      </c>
      <c r="L176" s="66">
        <f>'Project Database'!P180</f>
        <v/>
      </c>
      <c r="M176" s="66">
        <f>'Project Database'!Q180</f>
        <v/>
      </c>
      <c r="N176" s="66">
        <f>'Project Database'!R180</f>
        <v/>
      </c>
      <c r="O176" s="66">
        <f>'Project Database'!S180</f>
        <v/>
      </c>
      <c r="P176" s="66">
        <f>'Project Database'!T180</f>
        <v/>
      </c>
      <c r="Q176" s="66">
        <f>'Project Database'!U180</f>
        <v/>
      </c>
      <c r="R176" s="66">
        <f>'Project Database'!V180</f>
        <v/>
      </c>
      <c r="S176" s="66">
        <f>'Project Database'!W180</f>
        <v/>
      </c>
      <c r="T176" s="66">
        <f>'Project Database'!X180</f>
        <v/>
      </c>
      <c r="U176" s="67">
        <f>'Project Database'!Y180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'Project Database'!Z180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IF(AND('Project Database'!A180&lt;&gt;"",OR('Smart Search'!$L$5="",'Smart Search'!$L$5="All",TRIM('Project Database'!D180)=TRIM('Smart Search'!$L$5)),OR(TRIM('Smart Search'!$L$6)="",TRIM('Smart Search'!$L$6)="All",ISNUMBER(SEARCH(SUBSTITUTE(SUBSTITUTE(SUBSTITUTE(TRIM('Smart Search'!$L$6),"~","~~"),"*","~*"),"?","~?"),'Project Database'!C180))),OR('Smart Search'!$L$7="",AND('Project Database'!E180&lt;&gt;"",'Project Database'!E180='Smart Search'!$L$7)),OR('Smart Search'!$L$8="",'Smart Search'!$L$8="All",TRIM('Project Database'!F180)=TRIM('Smart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IF('Project Database'!A180="","",N('Project Database'!AC180))</f>
        <v/>
      </c>
      <c r="BK176" s="5">
        <f>IF('Project Database'!A180="","",N('Project Database'!AD180))</f>
        <v/>
      </c>
      <c r="BL176" s="5">
        <f>IF('Project Database'!A180="","",N('Project Database'!AE180))</f>
        <v/>
      </c>
      <c r="BM176" s="5">
        <f>IF('Project Database'!A180="","",N('Project Database'!AF180))</f>
        <v/>
      </c>
      <c r="BN176" s="5">
        <f>IF('Project Database'!A180="","",N('Project Database'!AG180))</f>
        <v/>
      </c>
      <c r="BO176" s="5">
        <f>IF('Project Database'!A180="","",N('Project Database'!AH180))</f>
        <v/>
      </c>
      <c r="BP176" s="5">
        <f>IF('Project Database'!A180="","",N('Project Database'!AI180))</f>
        <v/>
      </c>
      <c r="BQ176" s="5">
        <f>IF('Project Database'!A180="","",N('Project Database'!AJ180))</f>
        <v/>
      </c>
      <c r="BR176" s="5">
        <f>IF('Project Database'!A180="","",N('Project Database'!AK180))</f>
        <v/>
      </c>
      <c r="BS176" s="5">
        <f>IF('Project Database'!A180="","",N('Project Database'!AL180))</f>
        <v/>
      </c>
      <c r="BT176" s="5">
        <f>IF('Project Database'!A180="","",N('Project Database'!AM180))</f>
        <v/>
      </c>
      <c r="BU176" s="5">
        <f>IF('Project Database'!A180="","",N('Project Database'!AN180))</f>
        <v/>
      </c>
      <c r="BV176" s="5">
        <f>IF('Project Database'!A180="","",N('Project Database'!AO180))</f>
        <v/>
      </c>
      <c r="BW176" s="5">
        <f>IF('Project Database'!A180="","",N('Project Database'!AP180))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</row>
    <row r="177" ht="15" customHeight="1" s="74">
      <c r="A177" s="66">
        <f>'Project Database'!A181</f>
        <v/>
      </c>
      <c r="B177" s="66">
        <f>'Project Database'!B181</f>
        <v/>
      </c>
      <c r="C177" s="66">
        <f>'Project Database'!G181</f>
        <v/>
      </c>
      <c r="D177" s="66">
        <f>'Project Database'!H181</f>
        <v/>
      </c>
      <c r="E177" s="66">
        <f>'Project Database'!I181</f>
        <v/>
      </c>
      <c r="F177" s="66">
        <f>'Project Database'!J181</f>
        <v/>
      </c>
      <c r="G177" s="66">
        <f>'Project Database'!K181</f>
        <v/>
      </c>
      <c r="H177" s="66">
        <f>'Project Database'!L181</f>
        <v/>
      </c>
      <c r="I177" s="66">
        <f>'Project Database'!M181</f>
        <v/>
      </c>
      <c r="J177" s="66">
        <f>'Project Database'!N181</f>
        <v/>
      </c>
      <c r="K177" s="66">
        <f>'Project Database'!O181</f>
        <v/>
      </c>
      <c r="L177" s="66">
        <f>'Project Database'!P181</f>
        <v/>
      </c>
      <c r="M177" s="66">
        <f>'Project Database'!Q181</f>
        <v/>
      </c>
      <c r="N177" s="66">
        <f>'Project Database'!R181</f>
        <v/>
      </c>
      <c r="O177" s="66">
        <f>'Project Database'!S181</f>
        <v/>
      </c>
      <c r="P177" s="66">
        <f>'Project Database'!T181</f>
        <v/>
      </c>
      <c r="Q177" s="66">
        <f>'Project Database'!U181</f>
        <v/>
      </c>
      <c r="R177" s="66">
        <f>'Project Database'!V181</f>
        <v/>
      </c>
      <c r="S177" s="66">
        <f>'Project Database'!W181</f>
        <v/>
      </c>
      <c r="T177" s="66">
        <f>'Project Database'!X181</f>
        <v/>
      </c>
      <c r="U177" s="67">
        <f>'Project Database'!Y181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'Project Database'!Z181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IF(AND('Project Database'!A181&lt;&gt;"",OR('Smart Search'!$L$5="",'Smart Search'!$L$5="All",TRIM('Project Database'!D181)=TRIM('Smart Search'!$L$5)),OR(TRIM('Smart Search'!$L$6)="",TRIM('Smart Search'!$L$6)="All",ISNUMBER(SEARCH(SUBSTITUTE(SUBSTITUTE(SUBSTITUTE(TRIM('Smart Search'!$L$6),"~","~~"),"*","~*"),"?","~?"),'Project Database'!C181))),OR('Smart Search'!$L$7="",AND('Project Database'!E181&lt;&gt;"",'Project Database'!E181='Smart Search'!$L$7)),OR('Smart Search'!$L$8="",'Smart Search'!$L$8="All",TRIM('Project Database'!F181)=TRIM('Smart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IF('Project Database'!A181="","",N('Project Database'!AC181))</f>
        <v/>
      </c>
      <c r="BK177" s="5">
        <f>IF('Project Database'!A181="","",N('Project Database'!AD181))</f>
        <v/>
      </c>
      <c r="BL177" s="5">
        <f>IF('Project Database'!A181="","",N('Project Database'!AE181))</f>
        <v/>
      </c>
      <c r="BM177" s="5">
        <f>IF('Project Database'!A181="","",N('Project Database'!AF181))</f>
        <v/>
      </c>
      <c r="BN177" s="5">
        <f>IF('Project Database'!A181="","",N('Project Database'!AG181))</f>
        <v/>
      </c>
      <c r="BO177" s="5">
        <f>IF('Project Database'!A181="","",N('Project Database'!AH181))</f>
        <v/>
      </c>
      <c r="BP177" s="5">
        <f>IF('Project Database'!A181="","",N('Project Database'!AI181))</f>
        <v/>
      </c>
      <c r="BQ177" s="5">
        <f>IF('Project Database'!A181="","",N('Project Database'!AJ181))</f>
        <v/>
      </c>
      <c r="BR177" s="5">
        <f>IF('Project Database'!A181="","",N('Project Database'!AK181))</f>
        <v/>
      </c>
      <c r="BS177" s="5">
        <f>IF('Project Database'!A181="","",N('Project Database'!AL181))</f>
        <v/>
      </c>
      <c r="BT177" s="5">
        <f>IF('Project Database'!A181="","",N('Project Database'!AM181))</f>
        <v/>
      </c>
      <c r="BU177" s="5">
        <f>IF('Project Database'!A181="","",N('Project Database'!AN181))</f>
        <v/>
      </c>
      <c r="BV177" s="5">
        <f>IF('Project Database'!A181="","",N('Project Database'!AO181))</f>
        <v/>
      </c>
      <c r="BW177" s="5">
        <f>IF('Project Database'!A181="","",N('Project Database'!AP181))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</row>
    <row r="178" ht="15" customHeight="1" s="74">
      <c r="A178" s="66">
        <f>'Project Database'!A182</f>
        <v/>
      </c>
      <c r="B178" s="66">
        <f>'Project Database'!B182</f>
        <v/>
      </c>
      <c r="C178" s="66">
        <f>'Project Database'!G182</f>
        <v/>
      </c>
      <c r="D178" s="66">
        <f>'Project Database'!H182</f>
        <v/>
      </c>
      <c r="E178" s="66">
        <f>'Project Database'!I182</f>
        <v/>
      </c>
      <c r="F178" s="66">
        <f>'Project Database'!J182</f>
        <v/>
      </c>
      <c r="G178" s="66">
        <f>'Project Database'!K182</f>
        <v/>
      </c>
      <c r="H178" s="66">
        <f>'Project Database'!L182</f>
        <v/>
      </c>
      <c r="I178" s="66">
        <f>'Project Database'!M182</f>
        <v/>
      </c>
      <c r="J178" s="66">
        <f>'Project Database'!N182</f>
        <v/>
      </c>
      <c r="K178" s="66">
        <f>'Project Database'!O182</f>
        <v/>
      </c>
      <c r="L178" s="66">
        <f>'Project Database'!P182</f>
        <v/>
      </c>
      <c r="M178" s="66">
        <f>'Project Database'!Q182</f>
        <v/>
      </c>
      <c r="N178" s="66">
        <f>'Project Database'!R182</f>
        <v/>
      </c>
      <c r="O178" s="66">
        <f>'Project Database'!S182</f>
        <v/>
      </c>
      <c r="P178" s="66">
        <f>'Project Database'!T182</f>
        <v/>
      </c>
      <c r="Q178" s="66">
        <f>'Project Database'!U182</f>
        <v/>
      </c>
      <c r="R178" s="66">
        <f>'Project Database'!V182</f>
        <v/>
      </c>
      <c r="S178" s="66">
        <f>'Project Database'!W182</f>
        <v/>
      </c>
      <c r="T178" s="66">
        <f>'Project Database'!X182</f>
        <v/>
      </c>
      <c r="U178" s="67">
        <f>'Project Database'!Y182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'Project Database'!Z182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IF(AND('Project Database'!A182&lt;&gt;"",OR('Smart Search'!$L$5="",'Smart Search'!$L$5="All",TRIM('Project Database'!D182)=TRIM('Smart Search'!$L$5)),OR(TRIM('Smart Search'!$L$6)="",TRIM('Smart Search'!$L$6)="All",ISNUMBER(SEARCH(SUBSTITUTE(SUBSTITUTE(SUBSTITUTE(TRIM('Smart Search'!$L$6),"~","~~"),"*","~*"),"?","~?"),'Project Database'!C182))),OR('Smart Search'!$L$7="",AND('Project Database'!E182&lt;&gt;"",'Project Database'!E182='Smart Search'!$L$7)),OR('Smart Search'!$L$8="",'Smart Search'!$L$8="All",TRIM('Project Database'!F182)=TRIM('Smart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IF('Project Database'!A182="","",N('Project Database'!AC182))</f>
        <v/>
      </c>
      <c r="BK178" s="5">
        <f>IF('Project Database'!A182="","",N('Project Database'!AD182))</f>
        <v/>
      </c>
      <c r="BL178" s="5">
        <f>IF('Project Database'!A182="","",N('Project Database'!AE182))</f>
        <v/>
      </c>
      <c r="BM178" s="5">
        <f>IF('Project Database'!A182="","",N('Project Database'!AF182))</f>
        <v/>
      </c>
      <c r="BN178" s="5">
        <f>IF('Project Database'!A182="","",N('Project Database'!AG182))</f>
        <v/>
      </c>
      <c r="BO178" s="5">
        <f>IF('Project Database'!A182="","",N('Project Database'!AH182))</f>
        <v/>
      </c>
      <c r="BP178" s="5">
        <f>IF('Project Database'!A182="","",N('Project Database'!AI182))</f>
        <v/>
      </c>
      <c r="BQ178" s="5">
        <f>IF('Project Database'!A182="","",N('Project Database'!AJ182))</f>
        <v/>
      </c>
      <c r="BR178" s="5">
        <f>IF('Project Database'!A182="","",N('Project Database'!AK182))</f>
        <v/>
      </c>
      <c r="BS178" s="5">
        <f>IF('Project Database'!A182="","",N('Project Database'!AL182))</f>
        <v/>
      </c>
      <c r="BT178" s="5">
        <f>IF('Project Database'!A182="","",N('Project Database'!AM182))</f>
        <v/>
      </c>
      <c r="BU178" s="5">
        <f>IF('Project Database'!A182="","",N('Project Database'!AN182))</f>
        <v/>
      </c>
      <c r="BV178" s="5">
        <f>IF('Project Database'!A182="","",N('Project Database'!AO182))</f>
        <v/>
      </c>
      <c r="BW178" s="5">
        <f>IF('Project Database'!A182="","",N('Project Database'!AP182))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</row>
    <row r="179" ht="15" customHeight="1" s="74">
      <c r="A179" s="66">
        <f>'Project Database'!A183</f>
        <v/>
      </c>
      <c r="B179" s="66">
        <f>'Project Database'!B183</f>
        <v/>
      </c>
      <c r="C179" s="66">
        <f>'Project Database'!G183</f>
        <v/>
      </c>
      <c r="D179" s="66">
        <f>'Project Database'!H183</f>
        <v/>
      </c>
      <c r="E179" s="66">
        <f>'Project Database'!I183</f>
        <v/>
      </c>
      <c r="F179" s="66">
        <f>'Project Database'!J183</f>
        <v/>
      </c>
      <c r="G179" s="66">
        <f>'Project Database'!K183</f>
        <v/>
      </c>
      <c r="H179" s="66">
        <f>'Project Database'!L183</f>
        <v/>
      </c>
      <c r="I179" s="66">
        <f>'Project Database'!M183</f>
        <v/>
      </c>
      <c r="J179" s="66">
        <f>'Project Database'!N183</f>
        <v/>
      </c>
      <c r="K179" s="66">
        <f>'Project Database'!O183</f>
        <v/>
      </c>
      <c r="L179" s="66">
        <f>'Project Database'!P183</f>
        <v/>
      </c>
      <c r="M179" s="66">
        <f>'Project Database'!Q183</f>
        <v/>
      </c>
      <c r="N179" s="66">
        <f>'Project Database'!R183</f>
        <v/>
      </c>
      <c r="O179" s="66">
        <f>'Project Database'!S183</f>
        <v/>
      </c>
      <c r="P179" s="66">
        <f>'Project Database'!T183</f>
        <v/>
      </c>
      <c r="Q179" s="66">
        <f>'Project Database'!U183</f>
        <v/>
      </c>
      <c r="R179" s="66">
        <f>'Project Database'!V183</f>
        <v/>
      </c>
      <c r="S179" s="66">
        <f>'Project Database'!W183</f>
        <v/>
      </c>
      <c r="T179" s="66">
        <f>'Project Database'!X183</f>
        <v/>
      </c>
      <c r="U179" s="67">
        <f>'Project Database'!Y183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'Project Database'!Z183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IF(AND('Project Database'!A183&lt;&gt;"",OR('Smart Search'!$L$5="",'Smart Search'!$L$5="All",TRIM('Project Database'!D183)=TRIM('Smart Search'!$L$5)),OR(TRIM('Smart Search'!$L$6)="",TRIM('Smart Search'!$L$6)="All",ISNUMBER(SEARCH(SUBSTITUTE(SUBSTITUTE(SUBSTITUTE(TRIM('Smart Search'!$L$6),"~","~~"),"*","~*"),"?","~?"),'Project Database'!C183))),OR('Smart Search'!$L$7="",AND('Project Database'!E183&lt;&gt;"",'Project Database'!E183='Smart Search'!$L$7)),OR('Smart Search'!$L$8="",'Smart Search'!$L$8="All",TRIM('Project Database'!F183)=TRIM('Smart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IF('Project Database'!A183="","",N('Project Database'!AC183))</f>
        <v/>
      </c>
      <c r="BK179" s="5">
        <f>IF('Project Database'!A183="","",N('Project Database'!AD183))</f>
        <v/>
      </c>
      <c r="BL179" s="5">
        <f>IF('Project Database'!A183="","",N('Project Database'!AE183))</f>
        <v/>
      </c>
      <c r="BM179" s="5">
        <f>IF('Project Database'!A183="","",N('Project Database'!AF183))</f>
        <v/>
      </c>
      <c r="BN179" s="5">
        <f>IF('Project Database'!A183="","",N('Project Database'!AG183))</f>
        <v/>
      </c>
      <c r="BO179" s="5">
        <f>IF('Project Database'!A183="","",N('Project Database'!AH183))</f>
        <v/>
      </c>
      <c r="BP179" s="5">
        <f>IF('Project Database'!A183="","",N('Project Database'!AI183))</f>
        <v/>
      </c>
      <c r="BQ179" s="5">
        <f>IF('Project Database'!A183="","",N('Project Database'!AJ183))</f>
        <v/>
      </c>
      <c r="BR179" s="5">
        <f>IF('Project Database'!A183="","",N('Project Database'!AK183))</f>
        <v/>
      </c>
      <c r="BS179" s="5">
        <f>IF('Project Database'!A183="","",N('Project Database'!AL183))</f>
        <v/>
      </c>
      <c r="BT179" s="5">
        <f>IF('Project Database'!A183="","",N('Project Database'!AM183))</f>
        <v/>
      </c>
      <c r="BU179" s="5">
        <f>IF('Project Database'!A183="","",N('Project Database'!AN183))</f>
        <v/>
      </c>
      <c r="BV179" s="5">
        <f>IF('Project Database'!A183="","",N('Project Database'!AO183))</f>
        <v/>
      </c>
      <c r="BW179" s="5">
        <f>IF('Project Database'!A183="","",N('Project Database'!AP183))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</row>
    <row r="180" ht="15" customHeight="1" s="74">
      <c r="A180" s="66">
        <f>'Project Database'!A184</f>
        <v/>
      </c>
      <c r="B180" s="66">
        <f>'Project Database'!B184</f>
        <v/>
      </c>
      <c r="C180" s="66">
        <f>'Project Database'!G184</f>
        <v/>
      </c>
      <c r="D180" s="66">
        <f>'Project Database'!H184</f>
        <v/>
      </c>
      <c r="E180" s="66">
        <f>'Project Database'!I184</f>
        <v/>
      </c>
      <c r="F180" s="66">
        <f>'Project Database'!J184</f>
        <v/>
      </c>
      <c r="G180" s="66">
        <f>'Project Database'!K184</f>
        <v/>
      </c>
      <c r="H180" s="66">
        <f>'Project Database'!L184</f>
        <v/>
      </c>
      <c r="I180" s="66">
        <f>'Project Database'!M184</f>
        <v/>
      </c>
      <c r="J180" s="66">
        <f>'Project Database'!N184</f>
        <v/>
      </c>
      <c r="K180" s="66">
        <f>'Project Database'!O184</f>
        <v/>
      </c>
      <c r="L180" s="66">
        <f>'Project Database'!P184</f>
        <v/>
      </c>
      <c r="M180" s="66">
        <f>'Project Database'!Q184</f>
        <v/>
      </c>
      <c r="N180" s="66">
        <f>'Project Database'!R184</f>
        <v/>
      </c>
      <c r="O180" s="66">
        <f>'Project Database'!S184</f>
        <v/>
      </c>
      <c r="P180" s="66">
        <f>'Project Database'!T184</f>
        <v/>
      </c>
      <c r="Q180" s="66">
        <f>'Project Database'!U184</f>
        <v/>
      </c>
      <c r="R180" s="66">
        <f>'Project Database'!V184</f>
        <v/>
      </c>
      <c r="S180" s="66">
        <f>'Project Database'!W184</f>
        <v/>
      </c>
      <c r="T180" s="66">
        <f>'Project Database'!X184</f>
        <v/>
      </c>
      <c r="U180" s="67">
        <f>'Project Database'!Y184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'Project Database'!Z184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IF(AND('Project Database'!A184&lt;&gt;"",OR('Smart Search'!$L$5="",'Smart Search'!$L$5="All",TRIM('Project Database'!D184)=TRIM('Smart Search'!$L$5)),OR(TRIM('Smart Search'!$L$6)="",TRIM('Smart Search'!$L$6)="All",ISNUMBER(SEARCH(SUBSTITUTE(SUBSTITUTE(SUBSTITUTE(TRIM('Smart Search'!$L$6),"~","~~"),"*","~*"),"?","~?"),'Project Database'!C184))),OR('Smart Search'!$L$7="",AND('Project Database'!E184&lt;&gt;"",'Project Database'!E184='Smart Search'!$L$7)),OR('Smart Search'!$L$8="",'Smart Search'!$L$8="All",TRIM('Project Database'!F184)=TRIM('Smart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IF('Project Database'!A184="","",N('Project Database'!AC184))</f>
        <v/>
      </c>
      <c r="BK180" s="5">
        <f>IF('Project Database'!A184="","",N('Project Database'!AD184))</f>
        <v/>
      </c>
      <c r="BL180" s="5">
        <f>IF('Project Database'!A184="","",N('Project Database'!AE184))</f>
        <v/>
      </c>
      <c r="BM180" s="5">
        <f>IF('Project Database'!A184="","",N('Project Database'!AF184))</f>
        <v/>
      </c>
      <c r="BN180" s="5">
        <f>IF('Project Database'!A184="","",N('Project Database'!AG184))</f>
        <v/>
      </c>
      <c r="BO180" s="5">
        <f>IF('Project Database'!A184="","",N('Project Database'!AH184))</f>
        <v/>
      </c>
      <c r="BP180" s="5">
        <f>IF('Project Database'!A184="","",N('Project Database'!AI184))</f>
        <v/>
      </c>
      <c r="BQ180" s="5">
        <f>IF('Project Database'!A184="","",N('Project Database'!AJ184))</f>
        <v/>
      </c>
      <c r="BR180" s="5">
        <f>IF('Project Database'!A184="","",N('Project Database'!AK184))</f>
        <v/>
      </c>
      <c r="BS180" s="5">
        <f>IF('Project Database'!A184="","",N('Project Database'!AL184))</f>
        <v/>
      </c>
      <c r="BT180" s="5">
        <f>IF('Project Database'!A184="","",N('Project Database'!AM184))</f>
        <v/>
      </c>
      <c r="BU180" s="5">
        <f>IF('Project Database'!A184="","",N('Project Database'!AN184))</f>
        <v/>
      </c>
      <c r="BV180" s="5">
        <f>IF('Project Database'!A184="","",N('Project Database'!AO184))</f>
        <v/>
      </c>
      <c r="BW180" s="5">
        <f>IF('Project Database'!A184="","",N('Project Database'!AP184))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</row>
    <row r="181" ht="15" customHeight="1" s="74">
      <c r="A181" s="66">
        <f>'Project Database'!A185</f>
        <v/>
      </c>
      <c r="B181" s="66">
        <f>'Project Database'!B185</f>
        <v/>
      </c>
      <c r="C181" s="66">
        <f>'Project Database'!G185</f>
        <v/>
      </c>
      <c r="D181" s="66">
        <f>'Project Database'!H185</f>
        <v/>
      </c>
      <c r="E181" s="66">
        <f>'Project Database'!I185</f>
        <v/>
      </c>
      <c r="F181" s="66">
        <f>'Project Database'!J185</f>
        <v/>
      </c>
      <c r="G181" s="66">
        <f>'Project Database'!K185</f>
        <v/>
      </c>
      <c r="H181" s="66">
        <f>'Project Database'!L185</f>
        <v/>
      </c>
      <c r="I181" s="66">
        <f>'Project Database'!M185</f>
        <v/>
      </c>
      <c r="J181" s="66">
        <f>'Project Database'!N185</f>
        <v/>
      </c>
      <c r="K181" s="66">
        <f>'Project Database'!O185</f>
        <v/>
      </c>
      <c r="L181" s="66">
        <f>'Project Database'!P185</f>
        <v/>
      </c>
      <c r="M181" s="66">
        <f>'Project Database'!Q185</f>
        <v/>
      </c>
      <c r="N181" s="66">
        <f>'Project Database'!R185</f>
        <v/>
      </c>
      <c r="O181" s="66">
        <f>'Project Database'!S185</f>
        <v/>
      </c>
      <c r="P181" s="66">
        <f>'Project Database'!T185</f>
        <v/>
      </c>
      <c r="Q181" s="66">
        <f>'Project Database'!U185</f>
        <v/>
      </c>
      <c r="R181" s="66">
        <f>'Project Database'!V185</f>
        <v/>
      </c>
      <c r="S181" s="66">
        <f>'Project Database'!W185</f>
        <v/>
      </c>
      <c r="T181" s="66">
        <f>'Project Database'!X185</f>
        <v/>
      </c>
      <c r="U181" s="67">
        <f>'Project Database'!Y185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'Project Database'!Z185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IF(AND('Project Database'!A185&lt;&gt;"",OR('Smart Search'!$L$5="",'Smart Search'!$L$5="All",TRIM('Project Database'!D185)=TRIM('Smart Search'!$L$5)),OR(TRIM('Smart Search'!$L$6)="",TRIM('Smart Search'!$L$6)="All",ISNUMBER(SEARCH(SUBSTITUTE(SUBSTITUTE(SUBSTITUTE(TRIM('Smart Search'!$L$6),"~","~~"),"*","~*"),"?","~?"),'Project Database'!C185))),OR('Smart Search'!$L$7="",AND('Project Database'!E185&lt;&gt;"",'Project Database'!E185='Smart Search'!$L$7)),OR('Smart Search'!$L$8="",'Smart Search'!$L$8="All",TRIM('Project Database'!F185)=TRIM('Smart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IF('Project Database'!A185="","",N('Project Database'!AC185))</f>
        <v/>
      </c>
      <c r="BK181" s="5">
        <f>IF('Project Database'!A185="","",N('Project Database'!AD185))</f>
        <v/>
      </c>
      <c r="BL181" s="5">
        <f>IF('Project Database'!A185="","",N('Project Database'!AE185))</f>
        <v/>
      </c>
      <c r="BM181" s="5">
        <f>IF('Project Database'!A185="","",N('Project Database'!AF185))</f>
        <v/>
      </c>
      <c r="BN181" s="5">
        <f>IF('Project Database'!A185="","",N('Project Database'!AG185))</f>
        <v/>
      </c>
      <c r="BO181" s="5">
        <f>IF('Project Database'!A185="","",N('Project Database'!AH185))</f>
        <v/>
      </c>
      <c r="BP181" s="5">
        <f>IF('Project Database'!A185="","",N('Project Database'!AI185))</f>
        <v/>
      </c>
      <c r="BQ181" s="5">
        <f>IF('Project Database'!A185="","",N('Project Database'!AJ185))</f>
        <v/>
      </c>
      <c r="BR181" s="5">
        <f>IF('Project Database'!A185="","",N('Project Database'!AK185))</f>
        <v/>
      </c>
      <c r="BS181" s="5">
        <f>IF('Project Database'!A185="","",N('Project Database'!AL185))</f>
        <v/>
      </c>
      <c r="BT181" s="5">
        <f>IF('Project Database'!A185="","",N('Project Database'!AM185))</f>
        <v/>
      </c>
      <c r="BU181" s="5">
        <f>IF('Project Database'!A185="","",N('Project Database'!AN185))</f>
        <v/>
      </c>
      <c r="BV181" s="5">
        <f>IF('Project Database'!A185="","",N('Project Database'!AO185))</f>
        <v/>
      </c>
      <c r="BW181" s="5">
        <f>IF('Project Database'!A185="","",N('Project Database'!AP185))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</row>
    <row r="182" ht="15" customHeight="1" s="74">
      <c r="A182" s="66">
        <f>'Project Database'!A186</f>
        <v/>
      </c>
      <c r="B182" s="66">
        <f>'Project Database'!B186</f>
        <v/>
      </c>
      <c r="C182" s="66">
        <f>'Project Database'!G186</f>
        <v/>
      </c>
      <c r="D182" s="66">
        <f>'Project Database'!H186</f>
        <v/>
      </c>
      <c r="E182" s="66">
        <f>'Project Database'!I186</f>
        <v/>
      </c>
      <c r="F182" s="66">
        <f>'Project Database'!J186</f>
        <v/>
      </c>
      <c r="G182" s="66">
        <f>'Project Database'!K186</f>
        <v/>
      </c>
      <c r="H182" s="66">
        <f>'Project Database'!L186</f>
        <v/>
      </c>
      <c r="I182" s="66">
        <f>'Project Database'!M186</f>
        <v/>
      </c>
      <c r="J182" s="66">
        <f>'Project Database'!N186</f>
        <v/>
      </c>
      <c r="K182" s="66">
        <f>'Project Database'!O186</f>
        <v/>
      </c>
      <c r="L182" s="66">
        <f>'Project Database'!P186</f>
        <v/>
      </c>
      <c r="M182" s="66">
        <f>'Project Database'!Q186</f>
        <v/>
      </c>
      <c r="N182" s="66">
        <f>'Project Database'!R186</f>
        <v/>
      </c>
      <c r="O182" s="66">
        <f>'Project Database'!S186</f>
        <v/>
      </c>
      <c r="P182" s="66">
        <f>'Project Database'!T186</f>
        <v/>
      </c>
      <c r="Q182" s="66">
        <f>'Project Database'!U186</f>
        <v/>
      </c>
      <c r="R182" s="66">
        <f>'Project Database'!V186</f>
        <v/>
      </c>
      <c r="S182" s="66">
        <f>'Project Database'!W186</f>
        <v/>
      </c>
      <c r="T182" s="66">
        <f>'Project Database'!X186</f>
        <v/>
      </c>
      <c r="U182" s="67">
        <f>'Project Database'!Y186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'Project Database'!Z186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IF(AND('Project Database'!A186&lt;&gt;"",OR('Smart Search'!$L$5="",'Smart Search'!$L$5="All",TRIM('Project Database'!D186)=TRIM('Smart Search'!$L$5)),OR(TRIM('Smart Search'!$L$6)="",TRIM('Smart Search'!$L$6)="All",ISNUMBER(SEARCH(SUBSTITUTE(SUBSTITUTE(SUBSTITUTE(TRIM('Smart Search'!$L$6),"~","~~"),"*","~*"),"?","~?"),'Project Database'!C186))),OR('Smart Search'!$L$7="",AND('Project Database'!E186&lt;&gt;"",'Project Database'!E186='Smart Search'!$L$7)),OR('Smart Search'!$L$8="",'Smart Search'!$L$8="All",TRIM('Project Database'!F186)=TRIM('Smart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IF('Project Database'!A186="","",N('Project Database'!AC186))</f>
        <v/>
      </c>
      <c r="BK182" s="5">
        <f>IF('Project Database'!A186="","",N('Project Database'!AD186))</f>
        <v/>
      </c>
      <c r="BL182" s="5">
        <f>IF('Project Database'!A186="","",N('Project Database'!AE186))</f>
        <v/>
      </c>
      <c r="BM182" s="5">
        <f>IF('Project Database'!A186="","",N('Project Database'!AF186))</f>
        <v/>
      </c>
      <c r="BN182" s="5">
        <f>IF('Project Database'!A186="","",N('Project Database'!AG186))</f>
        <v/>
      </c>
      <c r="BO182" s="5">
        <f>IF('Project Database'!A186="","",N('Project Database'!AH186))</f>
        <v/>
      </c>
      <c r="BP182" s="5">
        <f>IF('Project Database'!A186="","",N('Project Database'!AI186))</f>
        <v/>
      </c>
      <c r="BQ182" s="5">
        <f>IF('Project Database'!A186="","",N('Project Database'!AJ186))</f>
        <v/>
      </c>
      <c r="BR182" s="5">
        <f>IF('Project Database'!A186="","",N('Project Database'!AK186))</f>
        <v/>
      </c>
      <c r="BS182" s="5">
        <f>IF('Project Database'!A186="","",N('Project Database'!AL186))</f>
        <v/>
      </c>
      <c r="BT182" s="5">
        <f>IF('Project Database'!A186="","",N('Project Database'!AM186))</f>
        <v/>
      </c>
      <c r="BU182" s="5">
        <f>IF('Project Database'!A186="","",N('Project Database'!AN186))</f>
        <v/>
      </c>
      <c r="BV182" s="5">
        <f>IF('Project Database'!A186="","",N('Project Database'!AO186))</f>
        <v/>
      </c>
      <c r="BW182" s="5">
        <f>IF('Project Database'!A186="","",N('Project Database'!AP186))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</row>
    <row r="183" ht="15" customHeight="1" s="74">
      <c r="A183" s="66">
        <f>'Project Database'!A187</f>
        <v/>
      </c>
      <c r="B183" s="66">
        <f>'Project Database'!B187</f>
        <v/>
      </c>
      <c r="C183" s="66">
        <f>'Project Database'!G187</f>
        <v/>
      </c>
      <c r="D183" s="66">
        <f>'Project Database'!H187</f>
        <v/>
      </c>
      <c r="E183" s="66">
        <f>'Project Database'!I187</f>
        <v/>
      </c>
      <c r="F183" s="66">
        <f>'Project Database'!J187</f>
        <v/>
      </c>
      <c r="G183" s="66">
        <f>'Project Database'!K187</f>
        <v/>
      </c>
      <c r="H183" s="66">
        <f>'Project Database'!L187</f>
        <v/>
      </c>
      <c r="I183" s="66">
        <f>'Project Database'!M187</f>
        <v/>
      </c>
      <c r="J183" s="66">
        <f>'Project Database'!N187</f>
        <v/>
      </c>
      <c r="K183" s="66">
        <f>'Project Database'!O187</f>
        <v/>
      </c>
      <c r="L183" s="66">
        <f>'Project Database'!P187</f>
        <v/>
      </c>
      <c r="M183" s="66">
        <f>'Project Database'!Q187</f>
        <v/>
      </c>
      <c r="N183" s="66">
        <f>'Project Database'!R187</f>
        <v/>
      </c>
      <c r="O183" s="66">
        <f>'Project Database'!S187</f>
        <v/>
      </c>
      <c r="P183" s="66">
        <f>'Project Database'!T187</f>
        <v/>
      </c>
      <c r="Q183" s="66">
        <f>'Project Database'!U187</f>
        <v/>
      </c>
      <c r="R183" s="66">
        <f>'Project Database'!V187</f>
        <v/>
      </c>
      <c r="S183" s="66">
        <f>'Project Database'!W187</f>
        <v/>
      </c>
      <c r="T183" s="66">
        <f>'Project Database'!X187</f>
        <v/>
      </c>
      <c r="U183" s="67">
        <f>'Project Database'!Y187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'Project Database'!Z187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IF(AND('Project Database'!A187&lt;&gt;"",OR('Smart Search'!$L$5="",'Smart Search'!$L$5="All",TRIM('Project Database'!D187)=TRIM('Smart Search'!$L$5)),OR(TRIM('Smart Search'!$L$6)="",TRIM('Smart Search'!$L$6)="All",ISNUMBER(SEARCH(SUBSTITUTE(SUBSTITUTE(SUBSTITUTE(TRIM('Smart Search'!$L$6),"~","~~"),"*","~*"),"?","~?"),'Project Database'!C187))),OR('Smart Search'!$L$7="",AND('Project Database'!E187&lt;&gt;"",'Project Database'!E187='Smart Search'!$L$7)),OR('Smart Search'!$L$8="",'Smart Search'!$L$8="All",TRIM('Project Database'!F187)=TRIM('Smart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IF('Project Database'!A187="","",N('Project Database'!AC187))</f>
        <v/>
      </c>
      <c r="BK183" s="5">
        <f>IF('Project Database'!A187="","",N('Project Database'!AD187))</f>
        <v/>
      </c>
      <c r="BL183" s="5">
        <f>IF('Project Database'!A187="","",N('Project Database'!AE187))</f>
        <v/>
      </c>
      <c r="BM183" s="5">
        <f>IF('Project Database'!A187="","",N('Project Database'!AF187))</f>
        <v/>
      </c>
      <c r="BN183" s="5">
        <f>IF('Project Database'!A187="","",N('Project Database'!AG187))</f>
        <v/>
      </c>
      <c r="BO183" s="5">
        <f>IF('Project Database'!A187="","",N('Project Database'!AH187))</f>
        <v/>
      </c>
      <c r="BP183" s="5">
        <f>IF('Project Database'!A187="","",N('Project Database'!AI187))</f>
        <v/>
      </c>
      <c r="BQ183" s="5">
        <f>IF('Project Database'!A187="","",N('Project Database'!AJ187))</f>
        <v/>
      </c>
      <c r="BR183" s="5">
        <f>IF('Project Database'!A187="","",N('Project Database'!AK187))</f>
        <v/>
      </c>
      <c r="BS183" s="5">
        <f>IF('Project Database'!A187="","",N('Project Database'!AL187))</f>
        <v/>
      </c>
      <c r="BT183" s="5">
        <f>IF('Project Database'!A187="","",N('Project Database'!AM187))</f>
        <v/>
      </c>
      <c r="BU183" s="5">
        <f>IF('Project Database'!A187="","",N('Project Database'!AN187))</f>
        <v/>
      </c>
      <c r="BV183" s="5">
        <f>IF('Project Database'!A187="","",N('Project Database'!AO187))</f>
        <v/>
      </c>
      <c r="BW183" s="5">
        <f>IF('Project Database'!A187="","",N('Project Database'!AP187))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</row>
    <row r="184" ht="15" customHeight="1" s="74">
      <c r="A184" s="66">
        <f>'Project Database'!A188</f>
        <v/>
      </c>
      <c r="B184" s="66">
        <f>'Project Database'!B188</f>
        <v/>
      </c>
      <c r="C184" s="66">
        <f>'Project Database'!G188</f>
        <v/>
      </c>
      <c r="D184" s="66">
        <f>'Project Database'!H188</f>
        <v/>
      </c>
      <c r="E184" s="66">
        <f>'Project Database'!I188</f>
        <v/>
      </c>
      <c r="F184" s="66">
        <f>'Project Database'!J188</f>
        <v/>
      </c>
      <c r="G184" s="66">
        <f>'Project Database'!K188</f>
        <v/>
      </c>
      <c r="H184" s="66">
        <f>'Project Database'!L188</f>
        <v/>
      </c>
      <c r="I184" s="66">
        <f>'Project Database'!M188</f>
        <v/>
      </c>
      <c r="J184" s="66">
        <f>'Project Database'!N188</f>
        <v/>
      </c>
      <c r="K184" s="66">
        <f>'Project Database'!O188</f>
        <v/>
      </c>
      <c r="L184" s="66">
        <f>'Project Database'!P188</f>
        <v/>
      </c>
      <c r="M184" s="66">
        <f>'Project Database'!Q188</f>
        <v/>
      </c>
      <c r="N184" s="66">
        <f>'Project Database'!R188</f>
        <v/>
      </c>
      <c r="O184" s="66">
        <f>'Project Database'!S188</f>
        <v/>
      </c>
      <c r="P184" s="66">
        <f>'Project Database'!T188</f>
        <v/>
      </c>
      <c r="Q184" s="66">
        <f>'Project Database'!U188</f>
        <v/>
      </c>
      <c r="R184" s="66">
        <f>'Project Database'!V188</f>
        <v/>
      </c>
      <c r="S184" s="66">
        <f>'Project Database'!W188</f>
        <v/>
      </c>
      <c r="T184" s="66">
        <f>'Project Database'!X188</f>
        <v/>
      </c>
      <c r="U184" s="67">
        <f>'Project Database'!Y188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'Project Database'!Z188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IF(AND('Project Database'!A188&lt;&gt;"",OR('Smart Search'!$L$5="",'Smart Search'!$L$5="All",TRIM('Project Database'!D188)=TRIM('Smart Search'!$L$5)),OR(TRIM('Smart Search'!$L$6)="",TRIM('Smart Search'!$L$6)="All",ISNUMBER(SEARCH(SUBSTITUTE(SUBSTITUTE(SUBSTITUTE(TRIM('Smart Search'!$L$6),"~","~~"),"*","~*"),"?","~?"),'Project Database'!C188))),OR('Smart Search'!$L$7="",AND('Project Database'!E188&lt;&gt;"",'Project Database'!E188='Smart Search'!$L$7)),OR('Smart Search'!$L$8="",'Smart Search'!$L$8="All",TRIM('Project Database'!F188)=TRIM('Smart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IF('Project Database'!A188="","",N('Project Database'!AC188))</f>
        <v/>
      </c>
      <c r="BK184" s="5">
        <f>IF('Project Database'!A188="","",N('Project Database'!AD188))</f>
        <v/>
      </c>
      <c r="BL184" s="5">
        <f>IF('Project Database'!A188="","",N('Project Database'!AE188))</f>
        <v/>
      </c>
      <c r="BM184" s="5">
        <f>IF('Project Database'!A188="","",N('Project Database'!AF188))</f>
        <v/>
      </c>
      <c r="BN184" s="5">
        <f>IF('Project Database'!A188="","",N('Project Database'!AG188))</f>
        <v/>
      </c>
      <c r="BO184" s="5">
        <f>IF('Project Database'!A188="","",N('Project Database'!AH188))</f>
        <v/>
      </c>
      <c r="BP184" s="5">
        <f>IF('Project Database'!A188="","",N('Project Database'!AI188))</f>
        <v/>
      </c>
      <c r="BQ184" s="5">
        <f>IF('Project Database'!A188="","",N('Project Database'!AJ188))</f>
        <v/>
      </c>
      <c r="BR184" s="5">
        <f>IF('Project Database'!A188="","",N('Project Database'!AK188))</f>
        <v/>
      </c>
      <c r="BS184" s="5">
        <f>IF('Project Database'!A188="","",N('Project Database'!AL188))</f>
        <v/>
      </c>
      <c r="BT184" s="5">
        <f>IF('Project Database'!A188="","",N('Project Database'!AM188))</f>
        <v/>
      </c>
      <c r="BU184" s="5">
        <f>IF('Project Database'!A188="","",N('Project Database'!AN188))</f>
        <v/>
      </c>
      <c r="BV184" s="5">
        <f>IF('Project Database'!A188="","",N('Project Database'!AO188))</f>
        <v/>
      </c>
      <c r="BW184" s="5">
        <f>IF('Project Database'!A188="","",N('Project Database'!AP188))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</row>
    <row r="185" ht="15" customHeight="1" s="74">
      <c r="A185" s="66">
        <f>'Project Database'!A189</f>
        <v/>
      </c>
      <c r="B185" s="66">
        <f>'Project Database'!B189</f>
        <v/>
      </c>
      <c r="C185" s="66">
        <f>'Project Database'!G189</f>
        <v/>
      </c>
      <c r="D185" s="66">
        <f>'Project Database'!H189</f>
        <v/>
      </c>
      <c r="E185" s="66">
        <f>'Project Database'!I189</f>
        <v/>
      </c>
      <c r="F185" s="66">
        <f>'Project Database'!J189</f>
        <v/>
      </c>
      <c r="G185" s="66">
        <f>'Project Database'!K189</f>
        <v/>
      </c>
      <c r="H185" s="66">
        <f>'Project Database'!L189</f>
        <v/>
      </c>
      <c r="I185" s="66">
        <f>'Project Database'!M189</f>
        <v/>
      </c>
      <c r="J185" s="66">
        <f>'Project Database'!N189</f>
        <v/>
      </c>
      <c r="K185" s="66">
        <f>'Project Database'!O189</f>
        <v/>
      </c>
      <c r="L185" s="66">
        <f>'Project Database'!P189</f>
        <v/>
      </c>
      <c r="M185" s="66">
        <f>'Project Database'!Q189</f>
        <v/>
      </c>
      <c r="N185" s="66">
        <f>'Project Database'!R189</f>
        <v/>
      </c>
      <c r="O185" s="66">
        <f>'Project Database'!S189</f>
        <v/>
      </c>
      <c r="P185" s="66">
        <f>'Project Database'!T189</f>
        <v/>
      </c>
      <c r="Q185" s="66">
        <f>'Project Database'!U189</f>
        <v/>
      </c>
      <c r="R185" s="66">
        <f>'Project Database'!V189</f>
        <v/>
      </c>
      <c r="S185" s="66">
        <f>'Project Database'!W189</f>
        <v/>
      </c>
      <c r="T185" s="66">
        <f>'Project Database'!X189</f>
        <v/>
      </c>
      <c r="U185" s="67">
        <f>'Project Database'!Y189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'Project Database'!Z189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IF(AND('Project Database'!A189&lt;&gt;"",OR('Smart Search'!$L$5="",'Smart Search'!$L$5="All",TRIM('Project Database'!D189)=TRIM('Smart Search'!$L$5)),OR(TRIM('Smart Search'!$L$6)="",TRIM('Smart Search'!$L$6)="All",ISNUMBER(SEARCH(SUBSTITUTE(SUBSTITUTE(SUBSTITUTE(TRIM('Smart Search'!$L$6),"~","~~"),"*","~*"),"?","~?"),'Project Database'!C189))),OR('Smart Search'!$L$7="",AND('Project Database'!E189&lt;&gt;"",'Project Database'!E189='Smart Search'!$L$7)),OR('Smart Search'!$L$8="",'Smart Search'!$L$8="All",TRIM('Project Database'!F189)=TRIM('Smart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IF('Project Database'!A189="","",N('Project Database'!AC189))</f>
        <v/>
      </c>
      <c r="BK185" s="5">
        <f>IF('Project Database'!A189="","",N('Project Database'!AD189))</f>
        <v/>
      </c>
      <c r="BL185" s="5">
        <f>IF('Project Database'!A189="","",N('Project Database'!AE189))</f>
        <v/>
      </c>
      <c r="BM185" s="5">
        <f>IF('Project Database'!A189="","",N('Project Database'!AF189))</f>
        <v/>
      </c>
      <c r="BN185" s="5">
        <f>IF('Project Database'!A189="","",N('Project Database'!AG189))</f>
        <v/>
      </c>
      <c r="BO185" s="5">
        <f>IF('Project Database'!A189="","",N('Project Database'!AH189))</f>
        <v/>
      </c>
      <c r="BP185" s="5">
        <f>IF('Project Database'!A189="","",N('Project Database'!AI189))</f>
        <v/>
      </c>
      <c r="BQ185" s="5">
        <f>IF('Project Database'!A189="","",N('Project Database'!AJ189))</f>
        <v/>
      </c>
      <c r="BR185" s="5">
        <f>IF('Project Database'!A189="","",N('Project Database'!AK189))</f>
        <v/>
      </c>
      <c r="BS185" s="5">
        <f>IF('Project Database'!A189="","",N('Project Database'!AL189))</f>
        <v/>
      </c>
      <c r="BT185" s="5">
        <f>IF('Project Database'!A189="","",N('Project Database'!AM189))</f>
        <v/>
      </c>
      <c r="BU185" s="5">
        <f>IF('Project Database'!A189="","",N('Project Database'!AN189))</f>
        <v/>
      </c>
      <c r="BV185" s="5">
        <f>IF('Project Database'!A189="","",N('Project Database'!AO189))</f>
        <v/>
      </c>
      <c r="BW185" s="5">
        <f>IF('Project Database'!A189="","",N('Project Database'!AP189))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</row>
    <row r="186" ht="15" customHeight="1" s="74">
      <c r="A186" s="66">
        <f>'Project Database'!A190</f>
        <v/>
      </c>
      <c r="B186" s="66">
        <f>'Project Database'!B190</f>
        <v/>
      </c>
      <c r="C186" s="66">
        <f>'Project Database'!G190</f>
        <v/>
      </c>
      <c r="D186" s="66">
        <f>'Project Database'!H190</f>
        <v/>
      </c>
      <c r="E186" s="66">
        <f>'Project Database'!I190</f>
        <v/>
      </c>
      <c r="F186" s="66">
        <f>'Project Database'!J190</f>
        <v/>
      </c>
      <c r="G186" s="66">
        <f>'Project Database'!K190</f>
        <v/>
      </c>
      <c r="H186" s="66">
        <f>'Project Database'!L190</f>
        <v/>
      </c>
      <c r="I186" s="66">
        <f>'Project Database'!M190</f>
        <v/>
      </c>
      <c r="J186" s="66">
        <f>'Project Database'!N190</f>
        <v/>
      </c>
      <c r="K186" s="66">
        <f>'Project Database'!O190</f>
        <v/>
      </c>
      <c r="L186" s="66">
        <f>'Project Database'!P190</f>
        <v/>
      </c>
      <c r="M186" s="66">
        <f>'Project Database'!Q190</f>
        <v/>
      </c>
      <c r="N186" s="66">
        <f>'Project Database'!R190</f>
        <v/>
      </c>
      <c r="O186" s="66">
        <f>'Project Database'!S190</f>
        <v/>
      </c>
      <c r="P186" s="66">
        <f>'Project Database'!T190</f>
        <v/>
      </c>
      <c r="Q186" s="66">
        <f>'Project Database'!U190</f>
        <v/>
      </c>
      <c r="R186" s="66">
        <f>'Project Database'!V190</f>
        <v/>
      </c>
      <c r="S186" s="66">
        <f>'Project Database'!W190</f>
        <v/>
      </c>
      <c r="T186" s="66">
        <f>'Project Database'!X190</f>
        <v/>
      </c>
      <c r="U186" s="67">
        <f>'Project Database'!Y190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'Project Database'!Z190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IF(AND('Project Database'!A190&lt;&gt;"",OR('Smart Search'!$L$5="",'Smart Search'!$L$5="All",TRIM('Project Database'!D190)=TRIM('Smart Search'!$L$5)),OR(TRIM('Smart Search'!$L$6)="",TRIM('Smart Search'!$L$6)="All",ISNUMBER(SEARCH(SUBSTITUTE(SUBSTITUTE(SUBSTITUTE(TRIM('Smart Search'!$L$6),"~","~~"),"*","~*"),"?","~?"),'Project Database'!C190))),OR('Smart Search'!$L$7="",AND('Project Database'!E190&lt;&gt;"",'Project Database'!E190='Smart Search'!$L$7)),OR('Smart Search'!$L$8="",'Smart Search'!$L$8="All",TRIM('Project Database'!F190)=TRIM('Smart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IF('Project Database'!A190="","",N('Project Database'!AC190))</f>
        <v/>
      </c>
      <c r="BK186" s="5">
        <f>IF('Project Database'!A190="","",N('Project Database'!AD190))</f>
        <v/>
      </c>
      <c r="BL186" s="5">
        <f>IF('Project Database'!A190="","",N('Project Database'!AE190))</f>
        <v/>
      </c>
      <c r="BM186" s="5">
        <f>IF('Project Database'!A190="","",N('Project Database'!AF190))</f>
        <v/>
      </c>
      <c r="BN186" s="5">
        <f>IF('Project Database'!A190="","",N('Project Database'!AG190))</f>
        <v/>
      </c>
      <c r="BO186" s="5">
        <f>IF('Project Database'!A190="","",N('Project Database'!AH190))</f>
        <v/>
      </c>
      <c r="BP186" s="5">
        <f>IF('Project Database'!A190="","",N('Project Database'!AI190))</f>
        <v/>
      </c>
      <c r="BQ186" s="5">
        <f>IF('Project Database'!A190="","",N('Project Database'!AJ190))</f>
        <v/>
      </c>
      <c r="BR186" s="5">
        <f>IF('Project Database'!A190="","",N('Project Database'!AK190))</f>
        <v/>
      </c>
      <c r="BS186" s="5">
        <f>IF('Project Database'!A190="","",N('Project Database'!AL190))</f>
        <v/>
      </c>
      <c r="BT186" s="5">
        <f>IF('Project Database'!A190="","",N('Project Database'!AM190))</f>
        <v/>
      </c>
      <c r="BU186" s="5">
        <f>IF('Project Database'!A190="","",N('Project Database'!AN190))</f>
        <v/>
      </c>
      <c r="BV186" s="5">
        <f>IF('Project Database'!A190="","",N('Project Database'!AO190))</f>
        <v/>
      </c>
      <c r="BW186" s="5">
        <f>IF('Project Database'!A190="","",N('Project Database'!AP190))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</row>
    <row r="187" ht="15" customHeight="1" s="74">
      <c r="A187" s="66">
        <f>'Project Database'!A191</f>
        <v/>
      </c>
      <c r="B187" s="66">
        <f>'Project Database'!B191</f>
        <v/>
      </c>
      <c r="C187" s="66">
        <f>'Project Database'!G191</f>
        <v/>
      </c>
      <c r="D187" s="66">
        <f>'Project Database'!H191</f>
        <v/>
      </c>
      <c r="E187" s="66">
        <f>'Project Database'!I191</f>
        <v/>
      </c>
      <c r="F187" s="66">
        <f>'Project Database'!J191</f>
        <v/>
      </c>
      <c r="G187" s="66">
        <f>'Project Database'!K191</f>
        <v/>
      </c>
      <c r="H187" s="66">
        <f>'Project Database'!L191</f>
        <v/>
      </c>
      <c r="I187" s="66">
        <f>'Project Database'!M191</f>
        <v/>
      </c>
      <c r="J187" s="66">
        <f>'Project Database'!N191</f>
        <v/>
      </c>
      <c r="K187" s="66">
        <f>'Project Database'!O191</f>
        <v/>
      </c>
      <c r="L187" s="66">
        <f>'Project Database'!P191</f>
        <v/>
      </c>
      <c r="M187" s="66">
        <f>'Project Database'!Q191</f>
        <v/>
      </c>
      <c r="N187" s="66">
        <f>'Project Database'!R191</f>
        <v/>
      </c>
      <c r="O187" s="66">
        <f>'Project Database'!S191</f>
        <v/>
      </c>
      <c r="P187" s="66">
        <f>'Project Database'!T191</f>
        <v/>
      </c>
      <c r="Q187" s="66">
        <f>'Project Database'!U191</f>
        <v/>
      </c>
      <c r="R187" s="66">
        <f>'Project Database'!V191</f>
        <v/>
      </c>
      <c r="S187" s="66">
        <f>'Project Database'!W191</f>
        <v/>
      </c>
      <c r="T187" s="66">
        <f>'Project Database'!X191</f>
        <v/>
      </c>
      <c r="U187" s="67">
        <f>'Project Database'!Y191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'Project Database'!Z191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IF(AND('Project Database'!A191&lt;&gt;"",OR('Smart Search'!$L$5="",'Smart Search'!$L$5="All",TRIM('Project Database'!D191)=TRIM('Smart Search'!$L$5)),OR(TRIM('Smart Search'!$L$6)="",TRIM('Smart Search'!$L$6)="All",ISNUMBER(SEARCH(SUBSTITUTE(SUBSTITUTE(SUBSTITUTE(TRIM('Smart Search'!$L$6),"~","~~"),"*","~*"),"?","~?"),'Project Database'!C191))),OR('Smart Search'!$L$7="",AND('Project Database'!E191&lt;&gt;"",'Project Database'!E191='Smart Search'!$L$7)),OR('Smart Search'!$L$8="",'Smart Search'!$L$8="All",TRIM('Project Database'!F191)=TRIM('Smart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IF('Project Database'!A191="","",N('Project Database'!AC191))</f>
        <v/>
      </c>
      <c r="BK187" s="5">
        <f>IF('Project Database'!A191="","",N('Project Database'!AD191))</f>
        <v/>
      </c>
      <c r="BL187" s="5">
        <f>IF('Project Database'!A191="","",N('Project Database'!AE191))</f>
        <v/>
      </c>
      <c r="BM187" s="5">
        <f>IF('Project Database'!A191="","",N('Project Database'!AF191))</f>
        <v/>
      </c>
      <c r="BN187" s="5">
        <f>IF('Project Database'!A191="","",N('Project Database'!AG191))</f>
        <v/>
      </c>
      <c r="BO187" s="5">
        <f>IF('Project Database'!A191="","",N('Project Database'!AH191))</f>
        <v/>
      </c>
      <c r="BP187" s="5">
        <f>IF('Project Database'!A191="","",N('Project Database'!AI191))</f>
        <v/>
      </c>
      <c r="BQ187" s="5">
        <f>IF('Project Database'!A191="","",N('Project Database'!AJ191))</f>
        <v/>
      </c>
      <c r="BR187" s="5">
        <f>IF('Project Database'!A191="","",N('Project Database'!AK191))</f>
        <v/>
      </c>
      <c r="BS187" s="5">
        <f>IF('Project Database'!A191="","",N('Project Database'!AL191))</f>
        <v/>
      </c>
      <c r="BT187" s="5">
        <f>IF('Project Database'!A191="","",N('Project Database'!AM191))</f>
        <v/>
      </c>
      <c r="BU187" s="5">
        <f>IF('Project Database'!A191="","",N('Project Database'!AN191))</f>
        <v/>
      </c>
      <c r="BV187" s="5">
        <f>IF('Project Database'!A191="","",N('Project Database'!AO191))</f>
        <v/>
      </c>
      <c r="BW187" s="5">
        <f>IF('Project Database'!A191="","",N('Project Database'!AP191))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</row>
    <row r="188" ht="15" customHeight="1" s="74">
      <c r="A188" s="66">
        <f>'Project Database'!A192</f>
        <v/>
      </c>
      <c r="B188" s="66">
        <f>'Project Database'!B192</f>
        <v/>
      </c>
      <c r="C188" s="66">
        <f>'Project Database'!G192</f>
        <v/>
      </c>
      <c r="D188" s="66">
        <f>'Project Database'!H192</f>
        <v/>
      </c>
      <c r="E188" s="66">
        <f>'Project Database'!I192</f>
        <v/>
      </c>
      <c r="F188" s="66">
        <f>'Project Database'!J192</f>
        <v/>
      </c>
      <c r="G188" s="66">
        <f>'Project Database'!K192</f>
        <v/>
      </c>
      <c r="H188" s="66">
        <f>'Project Database'!L192</f>
        <v/>
      </c>
      <c r="I188" s="66">
        <f>'Project Database'!M192</f>
        <v/>
      </c>
      <c r="J188" s="66">
        <f>'Project Database'!N192</f>
        <v/>
      </c>
      <c r="K188" s="66">
        <f>'Project Database'!O192</f>
        <v/>
      </c>
      <c r="L188" s="66">
        <f>'Project Database'!P192</f>
        <v/>
      </c>
      <c r="M188" s="66">
        <f>'Project Database'!Q192</f>
        <v/>
      </c>
      <c r="N188" s="66">
        <f>'Project Database'!R192</f>
        <v/>
      </c>
      <c r="O188" s="66">
        <f>'Project Database'!S192</f>
        <v/>
      </c>
      <c r="P188" s="66">
        <f>'Project Database'!T192</f>
        <v/>
      </c>
      <c r="Q188" s="66">
        <f>'Project Database'!U192</f>
        <v/>
      </c>
      <c r="R188" s="66">
        <f>'Project Database'!V192</f>
        <v/>
      </c>
      <c r="S188" s="66">
        <f>'Project Database'!W192</f>
        <v/>
      </c>
      <c r="T188" s="66">
        <f>'Project Database'!X192</f>
        <v/>
      </c>
      <c r="U188" s="67">
        <f>'Project Database'!Y192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'Project Database'!Z192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IF(AND('Project Database'!A192&lt;&gt;"",OR('Smart Search'!$L$5="",'Smart Search'!$L$5="All",TRIM('Project Database'!D192)=TRIM('Smart Search'!$L$5)),OR(TRIM('Smart Search'!$L$6)="",TRIM('Smart Search'!$L$6)="All",ISNUMBER(SEARCH(SUBSTITUTE(SUBSTITUTE(SUBSTITUTE(TRIM('Smart Search'!$L$6),"~","~~"),"*","~*"),"?","~?"),'Project Database'!C192))),OR('Smart Search'!$L$7="",AND('Project Database'!E192&lt;&gt;"",'Project Database'!E192='Smart Search'!$L$7)),OR('Smart Search'!$L$8="",'Smart Search'!$L$8="All",TRIM('Project Database'!F192)=TRIM('Smart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IF('Project Database'!A192="","",N('Project Database'!AC192))</f>
        <v/>
      </c>
      <c r="BK188" s="5">
        <f>IF('Project Database'!A192="","",N('Project Database'!AD192))</f>
        <v/>
      </c>
      <c r="BL188" s="5">
        <f>IF('Project Database'!A192="","",N('Project Database'!AE192))</f>
        <v/>
      </c>
      <c r="BM188" s="5">
        <f>IF('Project Database'!A192="","",N('Project Database'!AF192))</f>
        <v/>
      </c>
      <c r="BN188" s="5">
        <f>IF('Project Database'!A192="","",N('Project Database'!AG192))</f>
        <v/>
      </c>
      <c r="BO188" s="5">
        <f>IF('Project Database'!A192="","",N('Project Database'!AH192))</f>
        <v/>
      </c>
      <c r="BP188" s="5">
        <f>IF('Project Database'!A192="","",N('Project Database'!AI192))</f>
        <v/>
      </c>
      <c r="BQ188" s="5">
        <f>IF('Project Database'!A192="","",N('Project Database'!AJ192))</f>
        <v/>
      </c>
      <c r="BR188" s="5">
        <f>IF('Project Database'!A192="","",N('Project Database'!AK192))</f>
        <v/>
      </c>
      <c r="BS188" s="5">
        <f>IF('Project Database'!A192="","",N('Project Database'!AL192))</f>
        <v/>
      </c>
      <c r="BT188" s="5">
        <f>IF('Project Database'!A192="","",N('Project Database'!AM192))</f>
        <v/>
      </c>
      <c r="BU188" s="5">
        <f>IF('Project Database'!A192="","",N('Project Database'!AN192))</f>
        <v/>
      </c>
      <c r="BV188" s="5">
        <f>IF('Project Database'!A192="","",N('Project Database'!AO192))</f>
        <v/>
      </c>
      <c r="BW188" s="5">
        <f>IF('Project Database'!A192="","",N('Project Database'!AP192))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</row>
    <row r="189" ht="15" customHeight="1" s="74">
      <c r="A189" s="66">
        <f>'Project Database'!A193</f>
        <v/>
      </c>
      <c r="B189" s="66">
        <f>'Project Database'!B193</f>
        <v/>
      </c>
      <c r="C189" s="66">
        <f>'Project Database'!G193</f>
        <v/>
      </c>
      <c r="D189" s="66">
        <f>'Project Database'!H193</f>
        <v/>
      </c>
      <c r="E189" s="66">
        <f>'Project Database'!I193</f>
        <v/>
      </c>
      <c r="F189" s="66">
        <f>'Project Database'!J193</f>
        <v/>
      </c>
      <c r="G189" s="66">
        <f>'Project Database'!K193</f>
        <v/>
      </c>
      <c r="H189" s="66">
        <f>'Project Database'!L193</f>
        <v/>
      </c>
      <c r="I189" s="66">
        <f>'Project Database'!M193</f>
        <v/>
      </c>
      <c r="J189" s="66">
        <f>'Project Database'!N193</f>
        <v/>
      </c>
      <c r="K189" s="66">
        <f>'Project Database'!O193</f>
        <v/>
      </c>
      <c r="L189" s="66">
        <f>'Project Database'!P193</f>
        <v/>
      </c>
      <c r="M189" s="66">
        <f>'Project Database'!Q193</f>
        <v/>
      </c>
      <c r="N189" s="66">
        <f>'Project Database'!R193</f>
        <v/>
      </c>
      <c r="O189" s="66">
        <f>'Project Database'!S193</f>
        <v/>
      </c>
      <c r="P189" s="66">
        <f>'Project Database'!T193</f>
        <v/>
      </c>
      <c r="Q189" s="66">
        <f>'Project Database'!U193</f>
        <v/>
      </c>
      <c r="R189" s="66">
        <f>'Project Database'!V193</f>
        <v/>
      </c>
      <c r="S189" s="66">
        <f>'Project Database'!W193</f>
        <v/>
      </c>
      <c r="T189" s="66">
        <f>'Project Database'!X193</f>
        <v/>
      </c>
      <c r="U189" s="67">
        <f>'Project Database'!Y193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'Project Database'!Z193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IF(AND('Project Database'!A193&lt;&gt;"",OR('Smart Search'!$L$5="",'Smart Search'!$L$5="All",TRIM('Project Database'!D193)=TRIM('Smart Search'!$L$5)),OR(TRIM('Smart Search'!$L$6)="",TRIM('Smart Search'!$L$6)="All",ISNUMBER(SEARCH(SUBSTITUTE(SUBSTITUTE(SUBSTITUTE(TRIM('Smart Search'!$L$6),"~","~~"),"*","~*"),"?","~?"),'Project Database'!C193))),OR('Smart Search'!$L$7="",AND('Project Database'!E193&lt;&gt;"",'Project Database'!E193='Smart Search'!$L$7)),OR('Smart Search'!$L$8="",'Smart Search'!$L$8="All",TRIM('Project Database'!F193)=TRIM('Smart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IF('Project Database'!A193="","",N('Project Database'!AC193))</f>
        <v/>
      </c>
      <c r="BK189" s="5">
        <f>IF('Project Database'!A193="","",N('Project Database'!AD193))</f>
        <v/>
      </c>
      <c r="BL189" s="5">
        <f>IF('Project Database'!A193="","",N('Project Database'!AE193))</f>
        <v/>
      </c>
      <c r="BM189" s="5">
        <f>IF('Project Database'!A193="","",N('Project Database'!AF193))</f>
        <v/>
      </c>
      <c r="BN189" s="5">
        <f>IF('Project Database'!A193="","",N('Project Database'!AG193))</f>
        <v/>
      </c>
      <c r="BO189" s="5">
        <f>IF('Project Database'!A193="","",N('Project Database'!AH193))</f>
        <v/>
      </c>
      <c r="BP189" s="5">
        <f>IF('Project Database'!A193="","",N('Project Database'!AI193))</f>
        <v/>
      </c>
      <c r="BQ189" s="5">
        <f>IF('Project Database'!A193="","",N('Project Database'!AJ193))</f>
        <v/>
      </c>
      <c r="BR189" s="5">
        <f>IF('Project Database'!A193="","",N('Project Database'!AK193))</f>
        <v/>
      </c>
      <c r="BS189" s="5">
        <f>IF('Project Database'!A193="","",N('Project Database'!AL193))</f>
        <v/>
      </c>
      <c r="BT189" s="5">
        <f>IF('Project Database'!A193="","",N('Project Database'!AM193))</f>
        <v/>
      </c>
      <c r="BU189" s="5">
        <f>IF('Project Database'!A193="","",N('Project Database'!AN193))</f>
        <v/>
      </c>
      <c r="BV189" s="5">
        <f>IF('Project Database'!A193="","",N('Project Database'!AO193))</f>
        <v/>
      </c>
      <c r="BW189" s="5">
        <f>IF('Project Database'!A193="","",N('Project Database'!AP193))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</row>
    <row r="190" ht="15" customHeight="1" s="74">
      <c r="A190" s="66">
        <f>'Project Database'!A194</f>
        <v/>
      </c>
      <c r="B190" s="66">
        <f>'Project Database'!B194</f>
        <v/>
      </c>
      <c r="C190" s="66">
        <f>'Project Database'!G194</f>
        <v/>
      </c>
      <c r="D190" s="66">
        <f>'Project Database'!H194</f>
        <v/>
      </c>
      <c r="E190" s="66">
        <f>'Project Database'!I194</f>
        <v/>
      </c>
      <c r="F190" s="66">
        <f>'Project Database'!J194</f>
        <v/>
      </c>
      <c r="G190" s="66">
        <f>'Project Database'!K194</f>
        <v/>
      </c>
      <c r="H190" s="66">
        <f>'Project Database'!L194</f>
        <v/>
      </c>
      <c r="I190" s="66">
        <f>'Project Database'!M194</f>
        <v/>
      </c>
      <c r="J190" s="66">
        <f>'Project Database'!N194</f>
        <v/>
      </c>
      <c r="K190" s="66">
        <f>'Project Database'!O194</f>
        <v/>
      </c>
      <c r="L190" s="66">
        <f>'Project Database'!P194</f>
        <v/>
      </c>
      <c r="M190" s="66">
        <f>'Project Database'!Q194</f>
        <v/>
      </c>
      <c r="N190" s="66">
        <f>'Project Database'!R194</f>
        <v/>
      </c>
      <c r="O190" s="66">
        <f>'Project Database'!S194</f>
        <v/>
      </c>
      <c r="P190" s="66">
        <f>'Project Database'!T194</f>
        <v/>
      </c>
      <c r="Q190" s="66">
        <f>'Project Database'!U194</f>
        <v/>
      </c>
      <c r="R190" s="66">
        <f>'Project Database'!V194</f>
        <v/>
      </c>
      <c r="S190" s="66">
        <f>'Project Database'!W194</f>
        <v/>
      </c>
      <c r="T190" s="66">
        <f>'Project Database'!X194</f>
        <v/>
      </c>
      <c r="U190" s="67">
        <f>'Project Database'!Y194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'Project Database'!Z194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IF(AND('Project Database'!A194&lt;&gt;"",OR('Smart Search'!$L$5="",'Smart Search'!$L$5="All",TRIM('Project Database'!D194)=TRIM('Smart Search'!$L$5)),OR(TRIM('Smart Search'!$L$6)="",TRIM('Smart Search'!$L$6)="All",ISNUMBER(SEARCH(SUBSTITUTE(SUBSTITUTE(SUBSTITUTE(TRIM('Smart Search'!$L$6),"~","~~"),"*","~*"),"?","~?"),'Project Database'!C194))),OR('Smart Search'!$L$7="",AND('Project Database'!E194&lt;&gt;"",'Project Database'!E194='Smart Search'!$L$7)),OR('Smart Search'!$L$8="",'Smart Search'!$L$8="All",TRIM('Project Database'!F194)=TRIM('Smart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IF('Project Database'!A194="","",N('Project Database'!AC194))</f>
        <v/>
      </c>
      <c r="BK190" s="5">
        <f>IF('Project Database'!A194="","",N('Project Database'!AD194))</f>
        <v/>
      </c>
      <c r="BL190" s="5">
        <f>IF('Project Database'!A194="","",N('Project Database'!AE194))</f>
        <v/>
      </c>
      <c r="BM190" s="5">
        <f>IF('Project Database'!A194="","",N('Project Database'!AF194))</f>
        <v/>
      </c>
      <c r="BN190" s="5">
        <f>IF('Project Database'!A194="","",N('Project Database'!AG194))</f>
        <v/>
      </c>
      <c r="BO190" s="5">
        <f>IF('Project Database'!A194="","",N('Project Database'!AH194))</f>
        <v/>
      </c>
      <c r="BP190" s="5">
        <f>IF('Project Database'!A194="","",N('Project Database'!AI194))</f>
        <v/>
      </c>
      <c r="BQ190" s="5">
        <f>IF('Project Database'!A194="","",N('Project Database'!AJ194))</f>
        <v/>
      </c>
      <c r="BR190" s="5">
        <f>IF('Project Database'!A194="","",N('Project Database'!AK194))</f>
        <v/>
      </c>
      <c r="BS190" s="5">
        <f>IF('Project Database'!A194="","",N('Project Database'!AL194))</f>
        <v/>
      </c>
      <c r="BT190" s="5">
        <f>IF('Project Database'!A194="","",N('Project Database'!AM194))</f>
        <v/>
      </c>
      <c r="BU190" s="5">
        <f>IF('Project Database'!A194="","",N('Project Database'!AN194))</f>
        <v/>
      </c>
      <c r="BV190" s="5">
        <f>IF('Project Database'!A194="","",N('Project Database'!AO194))</f>
        <v/>
      </c>
      <c r="BW190" s="5">
        <f>IF('Project Database'!A194="","",N('Project Database'!AP194))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</row>
    <row r="191" ht="15" customHeight="1" s="74">
      <c r="A191" s="66">
        <f>'Project Database'!A195</f>
        <v/>
      </c>
      <c r="B191" s="66">
        <f>'Project Database'!B195</f>
        <v/>
      </c>
      <c r="C191" s="66">
        <f>'Project Database'!G195</f>
        <v/>
      </c>
      <c r="D191" s="66">
        <f>'Project Database'!H195</f>
        <v/>
      </c>
      <c r="E191" s="66">
        <f>'Project Database'!I195</f>
        <v/>
      </c>
      <c r="F191" s="66">
        <f>'Project Database'!J195</f>
        <v/>
      </c>
      <c r="G191" s="66">
        <f>'Project Database'!K195</f>
        <v/>
      </c>
      <c r="H191" s="66">
        <f>'Project Database'!L195</f>
        <v/>
      </c>
      <c r="I191" s="66">
        <f>'Project Database'!M195</f>
        <v/>
      </c>
      <c r="J191" s="66">
        <f>'Project Database'!N195</f>
        <v/>
      </c>
      <c r="K191" s="66">
        <f>'Project Database'!O195</f>
        <v/>
      </c>
      <c r="L191" s="66">
        <f>'Project Database'!P195</f>
        <v/>
      </c>
      <c r="M191" s="66">
        <f>'Project Database'!Q195</f>
        <v/>
      </c>
      <c r="N191" s="66">
        <f>'Project Database'!R195</f>
        <v/>
      </c>
      <c r="O191" s="66">
        <f>'Project Database'!S195</f>
        <v/>
      </c>
      <c r="P191" s="66">
        <f>'Project Database'!T195</f>
        <v/>
      </c>
      <c r="Q191" s="66">
        <f>'Project Database'!U195</f>
        <v/>
      </c>
      <c r="R191" s="66">
        <f>'Project Database'!V195</f>
        <v/>
      </c>
      <c r="S191" s="66">
        <f>'Project Database'!W195</f>
        <v/>
      </c>
      <c r="T191" s="66">
        <f>'Project Database'!X195</f>
        <v/>
      </c>
      <c r="U191" s="67">
        <f>'Project Database'!Y195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'Project Database'!Z195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IF(AND('Project Database'!A195&lt;&gt;"",OR('Smart Search'!$L$5="",'Smart Search'!$L$5="All",TRIM('Project Database'!D195)=TRIM('Smart Search'!$L$5)),OR(TRIM('Smart Search'!$L$6)="",TRIM('Smart Search'!$L$6)="All",ISNUMBER(SEARCH(SUBSTITUTE(SUBSTITUTE(SUBSTITUTE(TRIM('Smart Search'!$L$6),"~","~~"),"*","~*"),"?","~?"),'Project Database'!C195))),OR('Smart Search'!$L$7="",AND('Project Database'!E195&lt;&gt;"",'Project Database'!E195='Smart Search'!$L$7)),OR('Smart Search'!$L$8="",'Smart Search'!$L$8="All",TRIM('Project Database'!F195)=TRIM('Smart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IF('Project Database'!A195="","",N('Project Database'!AC195))</f>
        <v/>
      </c>
      <c r="BK191" s="5">
        <f>IF('Project Database'!A195="","",N('Project Database'!AD195))</f>
        <v/>
      </c>
      <c r="BL191" s="5">
        <f>IF('Project Database'!A195="","",N('Project Database'!AE195))</f>
        <v/>
      </c>
      <c r="BM191" s="5">
        <f>IF('Project Database'!A195="","",N('Project Database'!AF195))</f>
        <v/>
      </c>
      <c r="BN191" s="5">
        <f>IF('Project Database'!A195="","",N('Project Database'!AG195))</f>
        <v/>
      </c>
      <c r="BO191" s="5">
        <f>IF('Project Database'!A195="","",N('Project Database'!AH195))</f>
        <v/>
      </c>
      <c r="BP191" s="5">
        <f>IF('Project Database'!A195="","",N('Project Database'!AI195))</f>
        <v/>
      </c>
      <c r="BQ191" s="5">
        <f>IF('Project Database'!A195="","",N('Project Database'!AJ195))</f>
        <v/>
      </c>
      <c r="BR191" s="5">
        <f>IF('Project Database'!A195="","",N('Project Database'!AK195))</f>
        <v/>
      </c>
      <c r="BS191" s="5">
        <f>IF('Project Database'!A195="","",N('Project Database'!AL195))</f>
        <v/>
      </c>
      <c r="BT191" s="5">
        <f>IF('Project Database'!A195="","",N('Project Database'!AM195))</f>
        <v/>
      </c>
      <c r="BU191" s="5">
        <f>IF('Project Database'!A195="","",N('Project Database'!AN195))</f>
        <v/>
      </c>
      <c r="BV191" s="5">
        <f>IF('Project Database'!A195="","",N('Project Database'!AO195))</f>
        <v/>
      </c>
      <c r="BW191" s="5">
        <f>IF('Project Database'!A195="","",N('Project Database'!AP195))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</row>
    <row r="192" ht="15" customHeight="1" s="74">
      <c r="A192" s="66">
        <f>'Project Database'!A196</f>
        <v/>
      </c>
      <c r="B192" s="66">
        <f>'Project Database'!B196</f>
        <v/>
      </c>
      <c r="C192" s="66">
        <f>'Project Database'!G196</f>
        <v/>
      </c>
      <c r="D192" s="66">
        <f>'Project Database'!H196</f>
        <v/>
      </c>
      <c r="E192" s="66">
        <f>'Project Database'!I196</f>
        <v/>
      </c>
      <c r="F192" s="66">
        <f>'Project Database'!J196</f>
        <v/>
      </c>
      <c r="G192" s="66">
        <f>'Project Database'!K196</f>
        <v/>
      </c>
      <c r="H192" s="66">
        <f>'Project Database'!L196</f>
        <v/>
      </c>
      <c r="I192" s="66">
        <f>'Project Database'!M196</f>
        <v/>
      </c>
      <c r="J192" s="66">
        <f>'Project Database'!N196</f>
        <v/>
      </c>
      <c r="K192" s="66">
        <f>'Project Database'!O196</f>
        <v/>
      </c>
      <c r="L192" s="66">
        <f>'Project Database'!P196</f>
        <v/>
      </c>
      <c r="M192" s="66">
        <f>'Project Database'!Q196</f>
        <v/>
      </c>
      <c r="N192" s="66">
        <f>'Project Database'!R196</f>
        <v/>
      </c>
      <c r="O192" s="66">
        <f>'Project Database'!S196</f>
        <v/>
      </c>
      <c r="P192" s="66">
        <f>'Project Database'!T196</f>
        <v/>
      </c>
      <c r="Q192" s="66">
        <f>'Project Database'!U196</f>
        <v/>
      </c>
      <c r="R192" s="66">
        <f>'Project Database'!V196</f>
        <v/>
      </c>
      <c r="S192" s="66">
        <f>'Project Database'!W196</f>
        <v/>
      </c>
      <c r="T192" s="66">
        <f>'Project Database'!X196</f>
        <v/>
      </c>
      <c r="U192" s="67">
        <f>'Project Database'!Y196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'Project Database'!Z196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IF(AND('Project Database'!A196&lt;&gt;"",OR('Smart Search'!$L$5="",'Smart Search'!$L$5="All",TRIM('Project Database'!D196)=TRIM('Smart Search'!$L$5)),OR(TRIM('Smart Search'!$L$6)="",TRIM('Smart Search'!$L$6)="All",ISNUMBER(SEARCH(SUBSTITUTE(SUBSTITUTE(SUBSTITUTE(TRIM('Smart Search'!$L$6),"~","~~"),"*","~*"),"?","~?"),'Project Database'!C196))),OR('Smart Search'!$L$7="",AND('Project Database'!E196&lt;&gt;"",'Project Database'!E196='Smart Search'!$L$7)),OR('Smart Search'!$L$8="",'Smart Search'!$L$8="All",TRIM('Project Database'!F196)=TRIM('Smart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IF('Project Database'!A196="","",N('Project Database'!AC196))</f>
        <v/>
      </c>
      <c r="BK192" s="5">
        <f>IF('Project Database'!A196="","",N('Project Database'!AD196))</f>
        <v/>
      </c>
      <c r="BL192" s="5">
        <f>IF('Project Database'!A196="","",N('Project Database'!AE196))</f>
        <v/>
      </c>
      <c r="BM192" s="5">
        <f>IF('Project Database'!A196="","",N('Project Database'!AF196))</f>
        <v/>
      </c>
      <c r="BN192" s="5">
        <f>IF('Project Database'!A196="","",N('Project Database'!AG196))</f>
        <v/>
      </c>
      <c r="BO192" s="5">
        <f>IF('Project Database'!A196="","",N('Project Database'!AH196))</f>
        <v/>
      </c>
      <c r="BP192" s="5">
        <f>IF('Project Database'!A196="","",N('Project Database'!AI196))</f>
        <v/>
      </c>
      <c r="BQ192" s="5">
        <f>IF('Project Database'!A196="","",N('Project Database'!AJ196))</f>
        <v/>
      </c>
      <c r="BR192" s="5">
        <f>IF('Project Database'!A196="","",N('Project Database'!AK196))</f>
        <v/>
      </c>
      <c r="BS192" s="5">
        <f>IF('Project Database'!A196="","",N('Project Database'!AL196))</f>
        <v/>
      </c>
      <c r="BT192" s="5">
        <f>IF('Project Database'!A196="","",N('Project Database'!AM196))</f>
        <v/>
      </c>
      <c r="BU192" s="5">
        <f>IF('Project Database'!A196="","",N('Project Database'!AN196))</f>
        <v/>
      </c>
      <c r="BV192" s="5">
        <f>IF('Project Database'!A196="","",N('Project Database'!AO196))</f>
        <v/>
      </c>
      <c r="BW192" s="5">
        <f>IF('Project Database'!A196="","",N('Project Database'!AP196))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</row>
    <row r="193" ht="15" customHeight="1" s="74">
      <c r="A193" s="66">
        <f>'Project Database'!A197</f>
        <v/>
      </c>
      <c r="B193" s="66">
        <f>'Project Database'!B197</f>
        <v/>
      </c>
      <c r="C193" s="66">
        <f>'Project Database'!G197</f>
        <v/>
      </c>
      <c r="D193" s="66">
        <f>'Project Database'!H197</f>
        <v/>
      </c>
      <c r="E193" s="66">
        <f>'Project Database'!I197</f>
        <v/>
      </c>
      <c r="F193" s="66">
        <f>'Project Database'!J197</f>
        <v/>
      </c>
      <c r="G193" s="66">
        <f>'Project Database'!K197</f>
        <v/>
      </c>
      <c r="H193" s="66">
        <f>'Project Database'!L197</f>
        <v/>
      </c>
      <c r="I193" s="66">
        <f>'Project Database'!M197</f>
        <v/>
      </c>
      <c r="J193" s="66">
        <f>'Project Database'!N197</f>
        <v/>
      </c>
      <c r="K193" s="66">
        <f>'Project Database'!O197</f>
        <v/>
      </c>
      <c r="L193" s="66">
        <f>'Project Database'!P197</f>
        <v/>
      </c>
      <c r="M193" s="66">
        <f>'Project Database'!Q197</f>
        <v/>
      </c>
      <c r="N193" s="66">
        <f>'Project Database'!R197</f>
        <v/>
      </c>
      <c r="O193" s="66">
        <f>'Project Database'!S197</f>
        <v/>
      </c>
      <c r="P193" s="66">
        <f>'Project Database'!T197</f>
        <v/>
      </c>
      <c r="Q193" s="66">
        <f>'Project Database'!U197</f>
        <v/>
      </c>
      <c r="R193" s="66">
        <f>'Project Database'!V197</f>
        <v/>
      </c>
      <c r="S193" s="66">
        <f>'Project Database'!W197</f>
        <v/>
      </c>
      <c r="T193" s="66">
        <f>'Project Database'!X197</f>
        <v/>
      </c>
      <c r="U193" s="67">
        <f>'Project Database'!Y197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'Project Database'!Z197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IF(AND('Project Database'!A197&lt;&gt;"",OR('Smart Search'!$L$5="",'Smart Search'!$L$5="All",TRIM('Project Database'!D197)=TRIM('Smart Search'!$L$5)),OR(TRIM('Smart Search'!$L$6)="",TRIM('Smart Search'!$L$6)="All",ISNUMBER(SEARCH(SUBSTITUTE(SUBSTITUTE(SUBSTITUTE(TRIM('Smart Search'!$L$6),"~","~~"),"*","~*"),"?","~?"),'Project Database'!C197))),OR('Smart Search'!$L$7="",AND('Project Database'!E197&lt;&gt;"",'Project Database'!E197='Smart Search'!$L$7)),OR('Smart Search'!$L$8="",'Smart Search'!$L$8="All",TRIM('Project Database'!F197)=TRIM('Smart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IF('Project Database'!A197="","",N('Project Database'!AC197))</f>
        <v/>
      </c>
      <c r="BK193" s="5">
        <f>IF('Project Database'!A197="","",N('Project Database'!AD197))</f>
        <v/>
      </c>
      <c r="BL193" s="5">
        <f>IF('Project Database'!A197="","",N('Project Database'!AE197))</f>
        <v/>
      </c>
      <c r="BM193" s="5">
        <f>IF('Project Database'!A197="","",N('Project Database'!AF197))</f>
        <v/>
      </c>
      <c r="BN193" s="5">
        <f>IF('Project Database'!A197="","",N('Project Database'!AG197))</f>
        <v/>
      </c>
      <c r="BO193" s="5">
        <f>IF('Project Database'!A197="","",N('Project Database'!AH197))</f>
        <v/>
      </c>
      <c r="BP193" s="5">
        <f>IF('Project Database'!A197="","",N('Project Database'!AI197))</f>
        <v/>
      </c>
      <c r="BQ193" s="5">
        <f>IF('Project Database'!A197="","",N('Project Database'!AJ197))</f>
        <v/>
      </c>
      <c r="BR193" s="5">
        <f>IF('Project Database'!A197="","",N('Project Database'!AK197))</f>
        <v/>
      </c>
      <c r="BS193" s="5">
        <f>IF('Project Database'!A197="","",N('Project Database'!AL197))</f>
        <v/>
      </c>
      <c r="BT193" s="5">
        <f>IF('Project Database'!A197="","",N('Project Database'!AM197))</f>
        <v/>
      </c>
      <c r="BU193" s="5">
        <f>IF('Project Database'!A197="","",N('Project Database'!AN197))</f>
        <v/>
      </c>
      <c r="BV193" s="5">
        <f>IF('Project Database'!A197="","",N('Project Database'!AO197))</f>
        <v/>
      </c>
      <c r="BW193" s="5">
        <f>IF('Project Database'!A197="","",N('Project Database'!AP197))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</row>
    <row r="194" ht="15" customHeight="1" s="74">
      <c r="A194" s="66">
        <f>'Project Database'!A198</f>
        <v/>
      </c>
      <c r="B194" s="66">
        <f>'Project Database'!B198</f>
        <v/>
      </c>
      <c r="C194" s="66">
        <f>'Project Database'!G198</f>
        <v/>
      </c>
      <c r="D194" s="66">
        <f>'Project Database'!H198</f>
        <v/>
      </c>
      <c r="E194" s="66">
        <f>'Project Database'!I198</f>
        <v/>
      </c>
      <c r="F194" s="66">
        <f>'Project Database'!J198</f>
        <v/>
      </c>
      <c r="G194" s="66">
        <f>'Project Database'!K198</f>
        <v/>
      </c>
      <c r="H194" s="66">
        <f>'Project Database'!L198</f>
        <v/>
      </c>
      <c r="I194" s="66">
        <f>'Project Database'!M198</f>
        <v/>
      </c>
      <c r="J194" s="66">
        <f>'Project Database'!N198</f>
        <v/>
      </c>
      <c r="K194" s="66">
        <f>'Project Database'!O198</f>
        <v/>
      </c>
      <c r="L194" s="66">
        <f>'Project Database'!P198</f>
        <v/>
      </c>
      <c r="M194" s="66">
        <f>'Project Database'!Q198</f>
        <v/>
      </c>
      <c r="N194" s="66">
        <f>'Project Database'!R198</f>
        <v/>
      </c>
      <c r="O194" s="66">
        <f>'Project Database'!S198</f>
        <v/>
      </c>
      <c r="P194" s="66">
        <f>'Project Database'!T198</f>
        <v/>
      </c>
      <c r="Q194" s="66">
        <f>'Project Database'!U198</f>
        <v/>
      </c>
      <c r="R194" s="66">
        <f>'Project Database'!V198</f>
        <v/>
      </c>
      <c r="S194" s="66">
        <f>'Project Database'!W198</f>
        <v/>
      </c>
      <c r="T194" s="66">
        <f>'Project Database'!X198</f>
        <v/>
      </c>
      <c r="U194" s="67">
        <f>'Project Database'!Y198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'Project Database'!Z198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IF(AND('Project Database'!A198&lt;&gt;"",OR('Smart Search'!$L$5="",'Smart Search'!$L$5="All",TRIM('Project Database'!D198)=TRIM('Smart Search'!$L$5)),OR(TRIM('Smart Search'!$L$6)="",TRIM('Smart Search'!$L$6)="All",ISNUMBER(SEARCH(SUBSTITUTE(SUBSTITUTE(SUBSTITUTE(TRIM('Smart Search'!$L$6),"~","~~"),"*","~*"),"?","~?"),'Project Database'!C198))),OR('Smart Search'!$L$7="",AND('Project Database'!E198&lt;&gt;"",'Project Database'!E198='Smart Search'!$L$7)),OR('Smart Search'!$L$8="",'Smart Search'!$L$8="All",TRIM('Project Database'!F198)=TRIM('Smart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IF('Project Database'!A198="","",N('Project Database'!AC198))</f>
        <v/>
      </c>
      <c r="BK194" s="5">
        <f>IF('Project Database'!A198="","",N('Project Database'!AD198))</f>
        <v/>
      </c>
      <c r="BL194" s="5">
        <f>IF('Project Database'!A198="","",N('Project Database'!AE198))</f>
        <v/>
      </c>
      <c r="BM194" s="5">
        <f>IF('Project Database'!A198="","",N('Project Database'!AF198))</f>
        <v/>
      </c>
      <c r="BN194" s="5">
        <f>IF('Project Database'!A198="","",N('Project Database'!AG198))</f>
        <v/>
      </c>
      <c r="BO194" s="5">
        <f>IF('Project Database'!A198="","",N('Project Database'!AH198))</f>
        <v/>
      </c>
      <c r="BP194" s="5">
        <f>IF('Project Database'!A198="","",N('Project Database'!AI198))</f>
        <v/>
      </c>
      <c r="BQ194" s="5">
        <f>IF('Project Database'!A198="","",N('Project Database'!AJ198))</f>
        <v/>
      </c>
      <c r="BR194" s="5">
        <f>IF('Project Database'!A198="","",N('Project Database'!AK198))</f>
        <v/>
      </c>
      <c r="BS194" s="5">
        <f>IF('Project Database'!A198="","",N('Project Database'!AL198))</f>
        <v/>
      </c>
      <c r="BT194" s="5">
        <f>IF('Project Database'!A198="","",N('Project Database'!AM198))</f>
        <v/>
      </c>
      <c r="BU194" s="5">
        <f>IF('Project Database'!A198="","",N('Project Database'!AN198))</f>
        <v/>
      </c>
      <c r="BV194" s="5">
        <f>IF('Project Database'!A198="","",N('Project Database'!AO198))</f>
        <v/>
      </c>
      <c r="BW194" s="5">
        <f>IF('Project Database'!A198="","",N('Project Database'!AP198))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</row>
    <row r="195" ht="15" customHeight="1" s="74">
      <c r="A195" s="66">
        <f>'Project Database'!A199</f>
        <v/>
      </c>
      <c r="B195" s="66">
        <f>'Project Database'!B199</f>
        <v/>
      </c>
      <c r="C195" s="66">
        <f>'Project Database'!G199</f>
        <v/>
      </c>
      <c r="D195" s="66">
        <f>'Project Database'!H199</f>
        <v/>
      </c>
      <c r="E195" s="66">
        <f>'Project Database'!I199</f>
        <v/>
      </c>
      <c r="F195" s="66">
        <f>'Project Database'!J199</f>
        <v/>
      </c>
      <c r="G195" s="66">
        <f>'Project Database'!K199</f>
        <v/>
      </c>
      <c r="H195" s="66">
        <f>'Project Database'!L199</f>
        <v/>
      </c>
      <c r="I195" s="66">
        <f>'Project Database'!M199</f>
        <v/>
      </c>
      <c r="J195" s="66">
        <f>'Project Database'!N199</f>
        <v/>
      </c>
      <c r="K195" s="66">
        <f>'Project Database'!O199</f>
        <v/>
      </c>
      <c r="L195" s="66">
        <f>'Project Database'!P199</f>
        <v/>
      </c>
      <c r="M195" s="66">
        <f>'Project Database'!Q199</f>
        <v/>
      </c>
      <c r="N195" s="66">
        <f>'Project Database'!R199</f>
        <v/>
      </c>
      <c r="O195" s="66">
        <f>'Project Database'!S199</f>
        <v/>
      </c>
      <c r="P195" s="66">
        <f>'Project Database'!T199</f>
        <v/>
      </c>
      <c r="Q195" s="66">
        <f>'Project Database'!U199</f>
        <v/>
      </c>
      <c r="R195" s="66">
        <f>'Project Database'!V199</f>
        <v/>
      </c>
      <c r="S195" s="66">
        <f>'Project Database'!W199</f>
        <v/>
      </c>
      <c r="T195" s="66">
        <f>'Project Database'!X199</f>
        <v/>
      </c>
      <c r="U195" s="67">
        <f>'Project Database'!Y199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'Project Database'!Z199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IF(AND('Project Database'!A199&lt;&gt;"",OR('Smart Search'!$L$5="",'Smart Search'!$L$5="All",TRIM('Project Database'!D199)=TRIM('Smart Search'!$L$5)),OR(TRIM('Smart Search'!$L$6)="",TRIM('Smart Search'!$L$6)="All",ISNUMBER(SEARCH(SUBSTITUTE(SUBSTITUTE(SUBSTITUTE(TRIM('Smart Search'!$L$6),"~","~~"),"*","~*"),"?","~?"),'Project Database'!C199))),OR('Smart Search'!$L$7="",AND('Project Database'!E199&lt;&gt;"",'Project Database'!E199='Smart Search'!$L$7)),OR('Smart Search'!$L$8="",'Smart Search'!$L$8="All",TRIM('Project Database'!F199)=TRIM('Smart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IF('Project Database'!A199="","",N('Project Database'!AC199))</f>
        <v/>
      </c>
      <c r="BK195" s="5">
        <f>IF('Project Database'!A199="","",N('Project Database'!AD199))</f>
        <v/>
      </c>
      <c r="BL195" s="5">
        <f>IF('Project Database'!A199="","",N('Project Database'!AE199))</f>
        <v/>
      </c>
      <c r="BM195" s="5">
        <f>IF('Project Database'!A199="","",N('Project Database'!AF199))</f>
        <v/>
      </c>
      <c r="BN195" s="5">
        <f>IF('Project Database'!A199="","",N('Project Database'!AG199))</f>
        <v/>
      </c>
      <c r="BO195" s="5">
        <f>IF('Project Database'!A199="","",N('Project Database'!AH199))</f>
        <v/>
      </c>
      <c r="BP195" s="5">
        <f>IF('Project Database'!A199="","",N('Project Database'!AI199))</f>
        <v/>
      </c>
      <c r="BQ195" s="5">
        <f>IF('Project Database'!A199="","",N('Project Database'!AJ199))</f>
        <v/>
      </c>
      <c r="BR195" s="5">
        <f>IF('Project Database'!A199="","",N('Project Database'!AK199))</f>
        <v/>
      </c>
      <c r="BS195" s="5">
        <f>IF('Project Database'!A199="","",N('Project Database'!AL199))</f>
        <v/>
      </c>
      <c r="BT195" s="5">
        <f>IF('Project Database'!A199="","",N('Project Database'!AM199))</f>
        <v/>
      </c>
      <c r="BU195" s="5">
        <f>IF('Project Database'!A199="","",N('Project Database'!AN199))</f>
        <v/>
      </c>
      <c r="BV195" s="5">
        <f>IF('Project Database'!A199="","",N('Project Database'!AO199))</f>
        <v/>
      </c>
      <c r="BW195" s="5">
        <f>IF('Project Database'!A199="","",N('Project Database'!AP199))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</row>
    <row r="196" ht="15" customHeight="1" s="74">
      <c r="A196" s="66">
        <f>'Project Database'!A200</f>
        <v/>
      </c>
      <c r="B196" s="66">
        <f>'Project Database'!B200</f>
        <v/>
      </c>
      <c r="C196" s="66">
        <f>'Project Database'!G200</f>
        <v/>
      </c>
      <c r="D196" s="66">
        <f>'Project Database'!H200</f>
        <v/>
      </c>
      <c r="E196" s="66">
        <f>'Project Database'!I200</f>
        <v/>
      </c>
      <c r="F196" s="66">
        <f>'Project Database'!J200</f>
        <v/>
      </c>
      <c r="G196" s="66">
        <f>'Project Database'!K200</f>
        <v/>
      </c>
      <c r="H196" s="66">
        <f>'Project Database'!L200</f>
        <v/>
      </c>
      <c r="I196" s="66">
        <f>'Project Database'!M200</f>
        <v/>
      </c>
      <c r="J196" s="66">
        <f>'Project Database'!N200</f>
        <v/>
      </c>
      <c r="K196" s="66">
        <f>'Project Database'!O200</f>
        <v/>
      </c>
      <c r="L196" s="66">
        <f>'Project Database'!P200</f>
        <v/>
      </c>
      <c r="M196" s="66">
        <f>'Project Database'!Q200</f>
        <v/>
      </c>
      <c r="N196" s="66">
        <f>'Project Database'!R200</f>
        <v/>
      </c>
      <c r="O196" s="66">
        <f>'Project Database'!S200</f>
        <v/>
      </c>
      <c r="P196" s="66">
        <f>'Project Database'!T200</f>
        <v/>
      </c>
      <c r="Q196" s="66">
        <f>'Project Database'!U200</f>
        <v/>
      </c>
      <c r="R196" s="66">
        <f>'Project Database'!V200</f>
        <v/>
      </c>
      <c r="S196" s="66">
        <f>'Project Database'!W200</f>
        <v/>
      </c>
      <c r="T196" s="66">
        <f>'Project Database'!X200</f>
        <v/>
      </c>
      <c r="U196" s="67">
        <f>'Project Database'!Y200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'Project Database'!Z200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IF(AND('Project Database'!A200&lt;&gt;"",OR('Smart Search'!$L$5="",'Smart Search'!$L$5="All",TRIM('Project Database'!D200)=TRIM('Smart Search'!$L$5)),OR(TRIM('Smart Search'!$L$6)="",TRIM('Smart Search'!$L$6)="All",ISNUMBER(SEARCH(SUBSTITUTE(SUBSTITUTE(SUBSTITUTE(TRIM('Smart Search'!$L$6),"~","~~"),"*","~*"),"?","~?"),'Project Database'!C200))),OR('Smart Search'!$L$7="",AND('Project Database'!E200&lt;&gt;"",'Project Database'!E200='Smart Search'!$L$7)),OR('Smart Search'!$L$8="",'Smart Search'!$L$8="All",TRIM('Project Database'!F200)=TRIM('Smart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IF('Project Database'!A200="","",N('Project Database'!AC200))</f>
        <v/>
      </c>
      <c r="BK196" s="5">
        <f>IF('Project Database'!A200="","",N('Project Database'!AD200))</f>
        <v/>
      </c>
      <c r="BL196" s="5">
        <f>IF('Project Database'!A200="","",N('Project Database'!AE200))</f>
        <v/>
      </c>
      <c r="BM196" s="5">
        <f>IF('Project Database'!A200="","",N('Project Database'!AF200))</f>
        <v/>
      </c>
      <c r="BN196" s="5">
        <f>IF('Project Database'!A200="","",N('Project Database'!AG200))</f>
        <v/>
      </c>
      <c r="BO196" s="5">
        <f>IF('Project Database'!A200="","",N('Project Database'!AH200))</f>
        <v/>
      </c>
      <c r="BP196" s="5">
        <f>IF('Project Database'!A200="","",N('Project Database'!AI200))</f>
        <v/>
      </c>
      <c r="BQ196" s="5">
        <f>IF('Project Database'!A200="","",N('Project Database'!AJ200))</f>
        <v/>
      </c>
      <c r="BR196" s="5">
        <f>IF('Project Database'!A200="","",N('Project Database'!AK200))</f>
        <v/>
      </c>
      <c r="BS196" s="5">
        <f>IF('Project Database'!A200="","",N('Project Database'!AL200))</f>
        <v/>
      </c>
      <c r="BT196" s="5">
        <f>IF('Project Database'!A200="","",N('Project Database'!AM200))</f>
        <v/>
      </c>
      <c r="BU196" s="5">
        <f>IF('Project Database'!A200="","",N('Project Database'!AN200))</f>
        <v/>
      </c>
      <c r="BV196" s="5">
        <f>IF('Project Database'!A200="","",N('Project Database'!AO200))</f>
        <v/>
      </c>
      <c r="BW196" s="5">
        <f>IF('Project Database'!A200="","",N('Project Database'!AP200))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</row>
    <row r="197" ht="15" customHeight="1" s="74">
      <c r="A197" s="66">
        <f>'Project Database'!A201</f>
        <v/>
      </c>
      <c r="B197" s="66">
        <f>'Project Database'!B201</f>
        <v/>
      </c>
      <c r="C197" s="66">
        <f>'Project Database'!G201</f>
        <v/>
      </c>
      <c r="D197" s="66">
        <f>'Project Database'!H201</f>
        <v/>
      </c>
      <c r="E197" s="66">
        <f>'Project Database'!I201</f>
        <v/>
      </c>
      <c r="F197" s="66">
        <f>'Project Database'!J201</f>
        <v/>
      </c>
      <c r="G197" s="66">
        <f>'Project Database'!K201</f>
        <v/>
      </c>
      <c r="H197" s="66">
        <f>'Project Database'!L201</f>
        <v/>
      </c>
      <c r="I197" s="66">
        <f>'Project Database'!M201</f>
        <v/>
      </c>
      <c r="J197" s="66">
        <f>'Project Database'!N201</f>
        <v/>
      </c>
      <c r="K197" s="66">
        <f>'Project Database'!O201</f>
        <v/>
      </c>
      <c r="L197" s="66">
        <f>'Project Database'!P201</f>
        <v/>
      </c>
      <c r="M197" s="66">
        <f>'Project Database'!Q201</f>
        <v/>
      </c>
      <c r="N197" s="66">
        <f>'Project Database'!R201</f>
        <v/>
      </c>
      <c r="O197" s="66">
        <f>'Project Database'!S201</f>
        <v/>
      </c>
      <c r="P197" s="66">
        <f>'Project Database'!T201</f>
        <v/>
      </c>
      <c r="Q197" s="66">
        <f>'Project Database'!U201</f>
        <v/>
      </c>
      <c r="R197" s="66">
        <f>'Project Database'!V201</f>
        <v/>
      </c>
      <c r="S197" s="66">
        <f>'Project Database'!W201</f>
        <v/>
      </c>
      <c r="T197" s="66">
        <f>'Project Database'!X201</f>
        <v/>
      </c>
      <c r="U197" s="67">
        <f>'Project Database'!Y201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'Project Database'!Z201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IF(AND('Project Database'!A201&lt;&gt;"",OR('Smart Search'!$L$5="",'Smart Search'!$L$5="All",TRIM('Project Database'!D201)=TRIM('Smart Search'!$L$5)),OR(TRIM('Smart Search'!$L$6)="",TRIM('Smart Search'!$L$6)="All",ISNUMBER(SEARCH(SUBSTITUTE(SUBSTITUTE(SUBSTITUTE(TRIM('Smart Search'!$L$6),"~","~~"),"*","~*"),"?","~?"),'Project Database'!C201))),OR('Smart Search'!$L$7="",AND('Project Database'!E201&lt;&gt;"",'Project Database'!E201='Smart Search'!$L$7)),OR('Smart Search'!$L$8="",'Smart Search'!$L$8="All",TRIM('Project Database'!F201)=TRIM('Smart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IF('Project Database'!A201="","",N('Project Database'!AC201))</f>
        <v/>
      </c>
      <c r="BK197" s="5">
        <f>IF('Project Database'!A201="","",N('Project Database'!AD201))</f>
        <v/>
      </c>
      <c r="BL197" s="5">
        <f>IF('Project Database'!A201="","",N('Project Database'!AE201))</f>
        <v/>
      </c>
      <c r="BM197" s="5">
        <f>IF('Project Database'!A201="","",N('Project Database'!AF201))</f>
        <v/>
      </c>
      <c r="BN197" s="5">
        <f>IF('Project Database'!A201="","",N('Project Database'!AG201))</f>
        <v/>
      </c>
      <c r="BO197" s="5">
        <f>IF('Project Database'!A201="","",N('Project Database'!AH201))</f>
        <v/>
      </c>
      <c r="BP197" s="5">
        <f>IF('Project Database'!A201="","",N('Project Database'!AI201))</f>
        <v/>
      </c>
      <c r="BQ197" s="5">
        <f>IF('Project Database'!A201="","",N('Project Database'!AJ201))</f>
        <v/>
      </c>
      <c r="BR197" s="5">
        <f>IF('Project Database'!A201="","",N('Project Database'!AK201))</f>
        <v/>
      </c>
      <c r="BS197" s="5">
        <f>IF('Project Database'!A201="","",N('Project Database'!AL201))</f>
        <v/>
      </c>
      <c r="BT197" s="5">
        <f>IF('Project Database'!A201="","",N('Project Database'!AM201))</f>
        <v/>
      </c>
      <c r="BU197" s="5">
        <f>IF('Project Database'!A201="","",N('Project Database'!AN201))</f>
        <v/>
      </c>
      <c r="BV197" s="5">
        <f>IF('Project Database'!A201="","",N('Project Database'!AO201))</f>
        <v/>
      </c>
      <c r="BW197" s="5">
        <f>IF('Project Database'!A201="","",N('Project Database'!AP201))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</row>
    <row r="198" ht="15" customHeight="1" s="74">
      <c r="A198" s="66">
        <f>'Project Database'!A202</f>
        <v/>
      </c>
      <c r="B198" s="66">
        <f>'Project Database'!B202</f>
        <v/>
      </c>
      <c r="C198" s="66">
        <f>'Project Database'!G202</f>
        <v/>
      </c>
      <c r="D198" s="66">
        <f>'Project Database'!H202</f>
        <v/>
      </c>
      <c r="E198" s="66">
        <f>'Project Database'!I202</f>
        <v/>
      </c>
      <c r="F198" s="66">
        <f>'Project Database'!J202</f>
        <v/>
      </c>
      <c r="G198" s="66">
        <f>'Project Database'!K202</f>
        <v/>
      </c>
      <c r="H198" s="66">
        <f>'Project Database'!L202</f>
        <v/>
      </c>
      <c r="I198" s="66">
        <f>'Project Database'!M202</f>
        <v/>
      </c>
      <c r="J198" s="66">
        <f>'Project Database'!N202</f>
        <v/>
      </c>
      <c r="K198" s="66">
        <f>'Project Database'!O202</f>
        <v/>
      </c>
      <c r="L198" s="66">
        <f>'Project Database'!P202</f>
        <v/>
      </c>
      <c r="M198" s="66">
        <f>'Project Database'!Q202</f>
        <v/>
      </c>
      <c r="N198" s="66">
        <f>'Project Database'!R202</f>
        <v/>
      </c>
      <c r="O198" s="66">
        <f>'Project Database'!S202</f>
        <v/>
      </c>
      <c r="P198" s="66">
        <f>'Project Database'!T202</f>
        <v/>
      </c>
      <c r="Q198" s="66">
        <f>'Project Database'!U202</f>
        <v/>
      </c>
      <c r="R198" s="66">
        <f>'Project Database'!V202</f>
        <v/>
      </c>
      <c r="S198" s="66">
        <f>'Project Database'!W202</f>
        <v/>
      </c>
      <c r="T198" s="66">
        <f>'Project Database'!X202</f>
        <v/>
      </c>
      <c r="U198" s="67">
        <f>'Project Database'!Y202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'Project Database'!Z202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IF(AND('Project Database'!A202&lt;&gt;"",OR('Smart Search'!$L$5="",'Smart Search'!$L$5="All",TRIM('Project Database'!D202)=TRIM('Smart Search'!$L$5)),OR(TRIM('Smart Search'!$L$6)="",TRIM('Smart Search'!$L$6)="All",ISNUMBER(SEARCH(SUBSTITUTE(SUBSTITUTE(SUBSTITUTE(TRIM('Smart Search'!$L$6),"~","~~"),"*","~*"),"?","~?"),'Project Database'!C202))),OR('Smart Search'!$L$7="",AND('Project Database'!E202&lt;&gt;"",'Project Database'!E202='Smart Search'!$L$7)),OR('Smart Search'!$L$8="",'Smart Search'!$L$8="All",TRIM('Project Database'!F202)=TRIM('Smart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IF('Project Database'!A202="","",N('Project Database'!AC202))</f>
        <v/>
      </c>
      <c r="BK198" s="5">
        <f>IF('Project Database'!A202="","",N('Project Database'!AD202))</f>
        <v/>
      </c>
      <c r="BL198" s="5">
        <f>IF('Project Database'!A202="","",N('Project Database'!AE202))</f>
        <v/>
      </c>
      <c r="BM198" s="5">
        <f>IF('Project Database'!A202="","",N('Project Database'!AF202))</f>
        <v/>
      </c>
      <c r="BN198" s="5">
        <f>IF('Project Database'!A202="","",N('Project Database'!AG202))</f>
        <v/>
      </c>
      <c r="BO198" s="5">
        <f>IF('Project Database'!A202="","",N('Project Database'!AH202))</f>
        <v/>
      </c>
      <c r="BP198" s="5">
        <f>IF('Project Database'!A202="","",N('Project Database'!AI202))</f>
        <v/>
      </c>
      <c r="BQ198" s="5">
        <f>IF('Project Database'!A202="","",N('Project Database'!AJ202))</f>
        <v/>
      </c>
      <c r="BR198" s="5">
        <f>IF('Project Database'!A202="","",N('Project Database'!AK202))</f>
        <v/>
      </c>
      <c r="BS198" s="5">
        <f>IF('Project Database'!A202="","",N('Project Database'!AL202))</f>
        <v/>
      </c>
      <c r="BT198" s="5">
        <f>IF('Project Database'!A202="","",N('Project Database'!AM202))</f>
        <v/>
      </c>
      <c r="BU198" s="5">
        <f>IF('Project Database'!A202="","",N('Project Database'!AN202))</f>
        <v/>
      </c>
      <c r="BV198" s="5">
        <f>IF('Project Database'!A202="","",N('Project Database'!AO202))</f>
        <v/>
      </c>
      <c r="BW198" s="5">
        <f>IF('Project Database'!A202="","",N('Project Database'!AP202))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</row>
    <row r="199" ht="15" customHeight="1" s="74">
      <c r="A199" s="66">
        <f>'Project Database'!A203</f>
        <v/>
      </c>
      <c r="B199" s="66">
        <f>'Project Database'!B203</f>
        <v/>
      </c>
      <c r="C199" s="66">
        <f>'Project Database'!G203</f>
        <v/>
      </c>
      <c r="D199" s="66">
        <f>'Project Database'!H203</f>
        <v/>
      </c>
      <c r="E199" s="66">
        <f>'Project Database'!I203</f>
        <v/>
      </c>
      <c r="F199" s="66">
        <f>'Project Database'!J203</f>
        <v/>
      </c>
      <c r="G199" s="66">
        <f>'Project Database'!K203</f>
        <v/>
      </c>
      <c r="H199" s="66">
        <f>'Project Database'!L203</f>
        <v/>
      </c>
      <c r="I199" s="66">
        <f>'Project Database'!M203</f>
        <v/>
      </c>
      <c r="J199" s="66">
        <f>'Project Database'!N203</f>
        <v/>
      </c>
      <c r="K199" s="66">
        <f>'Project Database'!O203</f>
        <v/>
      </c>
      <c r="L199" s="66">
        <f>'Project Database'!P203</f>
        <v/>
      </c>
      <c r="M199" s="66">
        <f>'Project Database'!Q203</f>
        <v/>
      </c>
      <c r="N199" s="66">
        <f>'Project Database'!R203</f>
        <v/>
      </c>
      <c r="O199" s="66">
        <f>'Project Database'!S203</f>
        <v/>
      </c>
      <c r="P199" s="66">
        <f>'Project Database'!T203</f>
        <v/>
      </c>
      <c r="Q199" s="66">
        <f>'Project Database'!U203</f>
        <v/>
      </c>
      <c r="R199" s="66">
        <f>'Project Database'!V203</f>
        <v/>
      </c>
      <c r="S199" s="66">
        <f>'Project Database'!W203</f>
        <v/>
      </c>
      <c r="T199" s="66">
        <f>'Project Database'!X203</f>
        <v/>
      </c>
      <c r="U199" s="67">
        <f>'Project Database'!Y203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'Project Database'!Z203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IF(AND('Project Database'!A203&lt;&gt;"",OR('Smart Search'!$L$5="",'Smart Search'!$L$5="All",TRIM('Project Database'!D203)=TRIM('Smart Search'!$L$5)),OR(TRIM('Smart Search'!$L$6)="",TRIM('Smart Search'!$L$6)="All",ISNUMBER(SEARCH(SUBSTITUTE(SUBSTITUTE(SUBSTITUTE(TRIM('Smart Search'!$L$6),"~","~~"),"*","~*"),"?","~?"),'Project Database'!C203))),OR('Smart Search'!$L$7="",AND('Project Database'!E203&lt;&gt;"",'Project Database'!E203='Smart Search'!$L$7)),OR('Smart Search'!$L$8="",'Smart Search'!$L$8="All",TRIM('Project Database'!F203)=TRIM('Smart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IF('Project Database'!A203="","",N('Project Database'!AC203))</f>
        <v/>
      </c>
      <c r="BK199" s="5">
        <f>IF('Project Database'!A203="","",N('Project Database'!AD203))</f>
        <v/>
      </c>
      <c r="BL199" s="5">
        <f>IF('Project Database'!A203="","",N('Project Database'!AE203))</f>
        <v/>
      </c>
      <c r="BM199" s="5">
        <f>IF('Project Database'!A203="","",N('Project Database'!AF203))</f>
        <v/>
      </c>
      <c r="BN199" s="5">
        <f>IF('Project Database'!A203="","",N('Project Database'!AG203))</f>
        <v/>
      </c>
      <c r="BO199" s="5">
        <f>IF('Project Database'!A203="","",N('Project Database'!AH203))</f>
        <v/>
      </c>
      <c r="BP199" s="5">
        <f>IF('Project Database'!A203="","",N('Project Database'!AI203))</f>
        <v/>
      </c>
      <c r="BQ199" s="5">
        <f>IF('Project Database'!A203="","",N('Project Database'!AJ203))</f>
        <v/>
      </c>
      <c r="BR199" s="5">
        <f>IF('Project Database'!A203="","",N('Project Database'!AK203))</f>
        <v/>
      </c>
      <c r="BS199" s="5">
        <f>IF('Project Database'!A203="","",N('Project Database'!AL203))</f>
        <v/>
      </c>
      <c r="BT199" s="5">
        <f>IF('Project Database'!A203="","",N('Project Database'!AM203))</f>
        <v/>
      </c>
      <c r="BU199" s="5">
        <f>IF('Project Database'!A203="","",N('Project Database'!AN203))</f>
        <v/>
      </c>
      <c r="BV199" s="5">
        <f>IF('Project Database'!A203="","",N('Project Database'!AO203))</f>
        <v/>
      </c>
      <c r="BW199" s="5">
        <f>IF('Project Database'!A203="","",N('Project Database'!AP203))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</row>
    <row r="200" ht="15" customHeight="1" s="74">
      <c r="A200" s="66">
        <f>'Project Database'!A204</f>
        <v/>
      </c>
      <c r="B200" s="66">
        <f>'Project Database'!B204</f>
        <v/>
      </c>
      <c r="C200" s="66">
        <f>'Project Database'!G204</f>
        <v/>
      </c>
      <c r="D200" s="66">
        <f>'Project Database'!H204</f>
        <v/>
      </c>
      <c r="E200" s="66">
        <f>'Project Database'!I204</f>
        <v/>
      </c>
      <c r="F200" s="66">
        <f>'Project Database'!J204</f>
        <v/>
      </c>
      <c r="G200" s="66">
        <f>'Project Database'!K204</f>
        <v/>
      </c>
      <c r="H200" s="66">
        <f>'Project Database'!L204</f>
        <v/>
      </c>
      <c r="I200" s="66">
        <f>'Project Database'!M204</f>
        <v/>
      </c>
      <c r="J200" s="66">
        <f>'Project Database'!N204</f>
        <v/>
      </c>
      <c r="K200" s="66">
        <f>'Project Database'!O204</f>
        <v/>
      </c>
      <c r="L200" s="66">
        <f>'Project Database'!P204</f>
        <v/>
      </c>
      <c r="M200" s="66">
        <f>'Project Database'!Q204</f>
        <v/>
      </c>
      <c r="N200" s="66">
        <f>'Project Database'!R204</f>
        <v/>
      </c>
      <c r="O200" s="66">
        <f>'Project Database'!S204</f>
        <v/>
      </c>
      <c r="P200" s="66">
        <f>'Project Database'!T204</f>
        <v/>
      </c>
      <c r="Q200" s="66">
        <f>'Project Database'!U204</f>
        <v/>
      </c>
      <c r="R200" s="66">
        <f>'Project Database'!V204</f>
        <v/>
      </c>
      <c r="S200" s="66">
        <f>'Project Database'!W204</f>
        <v/>
      </c>
      <c r="T200" s="66">
        <f>'Project Database'!X204</f>
        <v/>
      </c>
      <c r="U200" s="67">
        <f>'Project Database'!Y204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'Project Database'!Z204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IF(AND('Project Database'!A204&lt;&gt;"",OR('Smart Search'!$L$5="",'Smart Search'!$L$5="All",TRIM('Project Database'!D204)=TRIM('Smart Search'!$L$5)),OR(TRIM('Smart Search'!$L$6)="",TRIM('Smart Search'!$L$6)="All",ISNUMBER(SEARCH(SUBSTITUTE(SUBSTITUTE(SUBSTITUTE(TRIM('Smart Search'!$L$6),"~","~~"),"*","~*"),"?","~?"),'Project Database'!C204))),OR('Smart Search'!$L$7="",AND('Project Database'!E204&lt;&gt;"",'Project Database'!E204='Smart Search'!$L$7)),OR('Smart Search'!$L$8="",'Smart Search'!$L$8="All",TRIM('Project Database'!F204)=TRIM('Smart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IF('Project Database'!A204="","",N('Project Database'!AC204))</f>
        <v/>
      </c>
      <c r="BK200" s="5">
        <f>IF('Project Database'!A204="","",N('Project Database'!AD204))</f>
        <v/>
      </c>
      <c r="BL200" s="5">
        <f>IF('Project Database'!A204="","",N('Project Database'!AE204))</f>
        <v/>
      </c>
      <c r="BM200" s="5">
        <f>IF('Project Database'!A204="","",N('Project Database'!AF204))</f>
        <v/>
      </c>
      <c r="BN200" s="5">
        <f>IF('Project Database'!A204="","",N('Project Database'!AG204))</f>
        <v/>
      </c>
      <c r="BO200" s="5">
        <f>IF('Project Database'!A204="","",N('Project Database'!AH204))</f>
        <v/>
      </c>
      <c r="BP200" s="5">
        <f>IF('Project Database'!A204="","",N('Project Database'!AI204))</f>
        <v/>
      </c>
      <c r="BQ200" s="5">
        <f>IF('Project Database'!A204="","",N('Project Database'!AJ204))</f>
        <v/>
      </c>
      <c r="BR200" s="5">
        <f>IF('Project Database'!A204="","",N('Project Database'!AK204))</f>
        <v/>
      </c>
      <c r="BS200" s="5">
        <f>IF('Project Database'!A204="","",N('Project Database'!AL204))</f>
        <v/>
      </c>
      <c r="BT200" s="5">
        <f>IF('Project Database'!A204="","",N('Project Database'!AM204))</f>
        <v/>
      </c>
      <c r="BU200" s="5">
        <f>IF('Project Database'!A204="","",N('Project Database'!AN204))</f>
        <v/>
      </c>
      <c r="BV200" s="5">
        <f>IF('Project Database'!A204="","",N('Project Database'!AO204))</f>
        <v/>
      </c>
      <c r="BW200" s="5">
        <f>IF('Project Database'!A204="","",N('Project Database'!AP204))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</row>
    <row r="201" ht="15" customHeight="1" s="74">
      <c r="A201" s="66">
        <f>'Project Database'!A205</f>
        <v/>
      </c>
      <c r="B201" s="66">
        <f>'Project Database'!B205</f>
        <v/>
      </c>
      <c r="C201" s="66">
        <f>'Project Database'!G205</f>
        <v/>
      </c>
      <c r="D201" s="66">
        <f>'Project Database'!H205</f>
        <v/>
      </c>
      <c r="E201" s="66">
        <f>'Project Database'!I205</f>
        <v/>
      </c>
      <c r="F201" s="66">
        <f>'Project Database'!J205</f>
        <v/>
      </c>
      <c r="G201" s="66">
        <f>'Project Database'!K205</f>
        <v/>
      </c>
      <c r="H201" s="66">
        <f>'Project Database'!L205</f>
        <v/>
      </c>
      <c r="I201" s="66">
        <f>'Project Database'!M205</f>
        <v/>
      </c>
      <c r="J201" s="66">
        <f>'Project Database'!N205</f>
        <v/>
      </c>
      <c r="K201" s="66">
        <f>'Project Database'!O205</f>
        <v/>
      </c>
      <c r="L201" s="66">
        <f>'Project Database'!P205</f>
        <v/>
      </c>
      <c r="M201" s="66">
        <f>'Project Database'!Q205</f>
        <v/>
      </c>
      <c r="N201" s="66">
        <f>'Project Database'!R205</f>
        <v/>
      </c>
      <c r="O201" s="66">
        <f>'Project Database'!S205</f>
        <v/>
      </c>
      <c r="P201" s="66">
        <f>'Project Database'!T205</f>
        <v/>
      </c>
      <c r="Q201" s="66">
        <f>'Project Database'!U205</f>
        <v/>
      </c>
      <c r="R201" s="66">
        <f>'Project Database'!V205</f>
        <v/>
      </c>
      <c r="S201" s="66">
        <f>'Project Database'!W205</f>
        <v/>
      </c>
      <c r="T201" s="66">
        <f>'Project Database'!X205</f>
        <v/>
      </c>
      <c r="U201" s="67">
        <f>'Project Database'!Y205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'Project Database'!Z205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IF(AND('Project Database'!A205&lt;&gt;"",OR('Smart Search'!$L$5="",'Smart Search'!$L$5="All",TRIM('Project Database'!D205)=TRIM('Smart Search'!$L$5)),OR(TRIM('Smart Search'!$L$6)="",TRIM('Smart Search'!$L$6)="All",ISNUMBER(SEARCH(SUBSTITUTE(SUBSTITUTE(SUBSTITUTE(TRIM('Smart Search'!$L$6),"~","~~"),"*","~*"),"?","~?"),'Project Database'!C205))),OR('Smart Search'!$L$7="",AND('Project Database'!E205&lt;&gt;"",'Project Database'!E205='Smart Search'!$L$7)),OR('Smart Search'!$L$8="",'Smart Search'!$L$8="All",TRIM('Project Database'!F205)=TRIM('Smart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IF('Project Database'!A205="","",N('Project Database'!AC205))</f>
        <v/>
      </c>
      <c r="BK201" s="5">
        <f>IF('Project Database'!A205="","",N('Project Database'!AD205))</f>
        <v/>
      </c>
      <c r="BL201" s="5">
        <f>IF('Project Database'!A205="","",N('Project Database'!AE205))</f>
        <v/>
      </c>
      <c r="BM201" s="5">
        <f>IF('Project Database'!A205="","",N('Project Database'!AF205))</f>
        <v/>
      </c>
      <c r="BN201" s="5">
        <f>IF('Project Database'!A205="","",N('Project Database'!AG205))</f>
        <v/>
      </c>
      <c r="BO201" s="5">
        <f>IF('Project Database'!A205="","",N('Project Database'!AH205))</f>
        <v/>
      </c>
      <c r="BP201" s="5">
        <f>IF('Project Database'!A205="","",N('Project Database'!AI205))</f>
        <v/>
      </c>
      <c r="BQ201" s="5">
        <f>IF('Project Database'!A205="","",N('Project Database'!AJ205))</f>
        <v/>
      </c>
      <c r="BR201" s="5">
        <f>IF('Project Database'!A205="","",N('Project Database'!AK205))</f>
        <v/>
      </c>
      <c r="BS201" s="5">
        <f>IF('Project Database'!A205="","",N('Project Database'!AL205))</f>
        <v/>
      </c>
      <c r="BT201" s="5">
        <f>IF('Project Database'!A205="","",N('Project Database'!AM205))</f>
        <v/>
      </c>
      <c r="BU201" s="5">
        <f>IF('Project Database'!A205="","",N('Project Database'!AN205))</f>
        <v/>
      </c>
      <c r="BV201" s="5">
        <f>IF('Project Database'!A205="","",N('Project Database'!AO205))</f>
        <v/>
      </c>
      <c r="BW201" s="5">
        <f>IF('Project Database'!A205="","",N('Project Database'!AP205))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</row>
    <row r="202" ht="15" customHeight="1" s="74">
      <c r="A202" s="66">
        <f>'Project Database'!A206</f>
        <v/>
      </c>
      <c r="B202" s="66">
        <f>'Project Database'!B206</f>
        <v/>
      </c>
      <c r="C202" s="66">
        <f>'Project Database'!G206</f>
        <v/>
      </c>
      <c r="D202" s="66">
        <f>'Project Database'!H206</f>
        <v/>
      </c>
      <c r="E202" s="66">
        <f>'Project Database'!I206</f>
        <v/>
      </c>
      <c r="F202" s="66">
        <f>'Project Database'!J206</f>
        <v/>
      </c>
      <c r="G202" s="66">
        <f>'Project Database'!K206</f>
        <v/>
      </c>
      <c r="H202" s="66">
        <f>'Project Database'!L206</f>
        <v/>
      </c>
      <c r="I202" s="66">
        <f>'Project Database'!M206</f>
        <v/>
      </c>
      <c r="J202" s="66">
        <f>'Project Database'!N206</f>
        <v/>
      </c>
      <c r="K202" s="66">
        <f>'Project Database'!O206</f>
        <v/>
      </c>
      <c r="L202" s="66">
        <f>'Project Database'!P206</f>
        <v/>
      </c>
      <c r="M202" s="66">
        <f>'Project Database'!Q206</f>
        <v/>
      </c>
      <c r="N202" s="66">
        <f>'Project Database'!R206</f>
        <v/>
      </c>
      <c r="O202" s="66">
        <f>'Project Database'!S206</f>
        <v/>
      </c>
      <c r="P202" s="66">
        <f>'Project Database'!T206</f>
        <v/>
      </c>
      <c r="Q202" s="66">
        <f>'Project Database'!U206</f>
        <v/>
      </c>
      <c r="R202" s="66">
        <f>'Project Database'!V206</f>
        <v/>
      </c>
      <c r="S202" s="66">
        <f>'Project Database'!W206</f>
        <v/>
      </c>
      <c r="T202" s="66">
        <f>'Project Database'!X206</f>
        <v/>
      </c>
      <c r="U202" s="67">
        <f>'Project Database'!Y206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'Project Database'!Z206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IF(AND('Project Database'!A206&lt;&gt;"",OR('Smart Search'!$L$5="",'Smart Search'!$L$5="All",TRIM('Project Database'!D206)=TRIM('Smart Search'!$L$5)),OR(TRIM('Smart Search'!$L$6)="",TRIM('Smart Search'!$L$6)="All",ISNUMBER(SEARCH(SUBSTITUTE(SUBSTITUTE(SUBSTITUTE(TRIM('Smart Search'!$L$6),"~","~~"),"*","~*"),"?","~?"),'Project Database'!C206))),OR('Smart Search'!$L$7="",AND('Project Database'!E206&lt;&gt;"",'Project Database'!E206='Smart Search'!$L$7)),OR('Smart Search'!$L$8="",'Smart Search'!$L$8="All",TRIM('Project Database'!F206)=TRIM('Smart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IF('Project Database'!A206="","",N('Project Database'!AC206))</f>
        <v/>
      </c>
      <c r="BK202" s="5">
        <f>IF('Project Database'!A206="","",N('Project Database'!AD206))</f>
        <v/>
      </c>
      <c r="BL202" s="5">
        <f>IF('Project Database'!A206="","",N('Project Database'!AE206))</f>
        <v/>
      </c>
      <c r="BM202" s="5">
        <f>IF('Project Database'!A206="","",N('Project Database'!AF206))</f>
        <v/>
      </c>
      <c r="BN202" s="5">
        <f>IF('Project Database'!A206="","",N('Project Database'!AG206))</f>
        <v/>
      </c>
      <c r="BO202" s="5">
        <f>IF('Project Database'!A206="","",N('Project Database'!AH206))</f>
        <v/>
      </c>
      <c r="BP202" s="5">
        <f>IF('Project Database'!A206="","",N('Project Database'!AI206))</f>
        <v/>
      </c>
      <c r="BQ202" s="5">
        <f>IF('Project Database'!A206="","",N('Project Database'!AJ206))</f>
        <v/>
      </c>
      <c r="BR202" s="5">
        <f>IF('Project Database'!A206="","",N('Project Database'!AK206))</f>
        <v/>
      </c>
      <c r="BS202" s="5">
        <f>IF('Project Database'!A206="","",N('Project Database'!AL206))</f>
        <v/>
      </c>
      <c r="BT202" s="5">
        <f>IF('Project Database'!A206="","",N('Project Database'!AM206))</f>
        <v/>
      </c>
      <c r="BU202" s="5">
        <f>IF('Project Database'!A206="","",N('Project Database'!AN206))</f>
        <v/>
      </c>
      <c r="BV202" s="5">
        <f>IF('Project Database'!A206="","",N('Project Database'!AO206))</f>
        <v/>
      </c>
      <c r="BW202" s="5">
        <f>IF('Project Database'!A206="","",N('Project Database'!AP206))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</row>
    <row r="203" ht="15" customHeight="1" s="74">
      <c r="A203" s="66">
        <f>'Project Database'!A207</f>
        <v/>
      </c>
      <c r="B203" s="66">
        <f>'Project Database'!B207</f>
        <v/>
      </c>
      <c r="C203" s="66">
        <f>'Project Database'!G207</f>
        <v/>
      </c>
      <c r="D203" s="66">
        <f>'Project Database'!H207</f>
        <v/>
      </c>
      <c r="E203" s="66">
        <f>'Project Database'!I207</f>
        <v/>
      </c>
      <c r="F203" s="66">
        <f>'Project Database'!J207</f>
        <v/>
      </c>
      <c r="G203" s="66">
        <f>'Project Database'!K207</f>
        <v/>
      </c>
      <c r="H203" s="66">
        <f>'Project Database'!L207</f>
        <v/>
      </c>
      <c r="I203" s="66">
        <f>'Project Database'!M207</f>
        <v/>
      </c>
      <c r="J203" s="66">
        <f>'Project Database'!N207</f>
        <v/>
      </c>
      <c r="K203" s="66">
        <f>'Project Database'!O207</f>
        <v/>
      </c>
      <c r="L203" s="66">
        <f>'Project Database'!P207</f>
        <v/>
      </c>
      <c r="M203" s="66">
        <f>'Project Database'!Q207</f>
        <v/>
      </c>
      <c r="N203" s="66">
        <f>'Project Database'!R207</f>
        <v/>
      </c>
      <c r="O203" s="66">
        <f>'Project Database'!S207</f>
        <v/>
      </c>
      <c r="P203" s="66">
        <f>'Project Database'!T207</f>
        <v/>
      </c>
      <c r="Q203" s="66">
        <f>'Project Database'!U207</f>
        <v/>
      </c>
      <c r="R203" s="66">
        <f>'Project Database'!V207</f>
        <v/>
      </c>
      <c r="S203" s="66">
        <f>'Project Database'!W207</f>
        <v/>
      </c>
      <c r="T203" s="66">
        <f>'Project Database'!X207</f>
        <v/>
      </c>
      <c r="U203" s="67">
        <f>'Project Database'!Y207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'Project Database'!Z207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IF(AND('Project Database'!A207&lt;&gt;"",OR('Smart Search'!$L$5="",'Smart Search'!$L$5="All",TRIM('Project Database'!D207)=TRIM('Smart Search'!$L$5)),OR(TRIM('Smart Search'!$L$6)="",TRIM('Smart Search'!$L$6)="All",ISNUMBER(SEARCH(SUBSTITUTE(SUBSTITUTE(SUBSTITUTE(TRIM('Smart Search'!$L$6),"~","~~"),"*","~*"),"?","~?"),'Project Database'!C207))),OR('Smart Search'!$L$7="",AND('Project Database'!E207&lt;&gt;"",'Project Database'!E207='Smart Search'!$L$7)),OR('Smart Search'!$L$8="",'Smart Search'!$L$8="All",TRIM('Project Database'!F207)=TRIM('Smart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IF('Project Database'!A207="","",N('Project Database'!AC207))</f>
        <v/>
      </c>
      <c r="BK203" s="5">
        <f>IF('Project Database'!A207="","",N('Project Database'!AD207))</f>
        <v/>
      </c>
      <c r="BL203" s="5">
        <f>IF('Project Database'!A207="","",N('Project Database'!AE207))</f>
        <v/>
      </c>
      <c r="BM203" s="5">
        <f>IF('Project Database'!A207="","",N('Project Database'!AF207))</f>
        <v/>
      </c>
      <c r="BN203" s="5">
        <f>IF('Project Database'!A207="","",N('Project Database'!AG207))</f>
        <v/>
      </c>
      <c r="BO203" s="5">
        <f>IF('Project Database'!A207="","",N('Project Database'!AH207))</f>
        <v/>
      </c>
      <c r="BP203" s="5">
        <f>IF('Project Database'!A207="","",N('Project Database'!AI207))</f>
        <v/>
      </c>
      <c r="BQ203" s="5">
        <f>IF('Project Database'!A207="","",N('Project Database'!AJ207))</f>
        <v/>
      </c>
      <c r="BR203" s="5">
        <f>IF('Project Database'!A207="","",N('Project Database'!AK207))</f>
        <v/>
      </c>
      <c r="BS203" s="5">
        <f>IF('Project Database'!A207="","",N('Project Database'!AL207))</f>
        <v/>
      </c>
      <c r="BT203" s="5">
        <f>IF('Project Database'!A207="","",N('Project Database'!AM207))</f>
        <v/>
      </c>
      <c r="BU203" s="5">
        <f>IF('Project Database'!A207="","",N('Project Database'!AN207))</f>
        <v/>
      </c>
      <c r="BV203" s="5">
        <f>IF('Project Database'!A207="","",N('Project Database'!AO207))</f>
        <v/>
      </c>
      <c r="BW203" s="5">
        <f>IF('Project Database'!A207="","",N('Project Database'!AP207))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</row>
    <row r="204" ht="15" customHeight="1" s="74">
      <c r="A204" s="66">
        <f>'Project Database'!A208</f>
        <v/>
      </c>
      <c r="B204" s="66">
        <f>'Project Database'!B208</f>
        <v/>
      </c>
      <c r="C204" s="66">
        <f>'Project Database'!G208</f>
        <v/>
      </c>
      <c r="D204" s="66">
        <f>'Project Database'!H208</f>
        <v/>
      </c>
      <c r="E204" s="66">
        <f>'Project Database'!I208</f>
        <v/>
      </c>
      <c r="F204" s="66">
        <f>'Project Database'!J208</f>
        <v/>
      </c>
      <c r="G204" s="66">
        <f>'Project Database'!K208</f>
        <v/>
      </c>
      <c r="H204" s="66">
        <f>'Project Database'!L208</f>
        <v/>
      </c>
      <c r="I204" s="66">
        <f>'Project Database'!M208</f>
        <v/>
      </c>
      <c r="J204" s="66">
        <f>'Project Database'!N208</f>
        <v/>
      </c>
      <c r="K204" s="66">
        <f>'Project Database'!O208</f>
        <v/>
      </c>
      <c r="L204" s="66">
        <f>'Project Database'!P208</f>
        <v/>
      </c>
      <c r="M204" s="66">
        <f>'Project Database'!Q208</f>
        <v/>
      </c>
      <c r="N204" s="66">
        <f>'Project Database'!R208</f>
        <v/>
      </c>
      <c r="O204" s="66">
        <f>'Project Database'!S208</f>
        <v/>
      </c>
      <c r="P204" s="66">
        <f>'Project Database'!T208</f>
        <v/>
      </c>
      <c r="Q204" s="66">
        <f>'Project Database'!U208</f>
        <v/>
      </c>
      <c r="R204" s="66">
        <f>'Project Database'!V208</f>
        <v/>
      </c>
      <c r="S204" s="66">
        <f>'Project Database'!W208</f>
        <v/>
      </c>
      <c r="T204" s="66">
        <f>'Project Database'!X208</f>
        <v/>
      </c>
      <c r="U204" s="67">
        <f>'Project Database'!Y208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'Project Database'!Z208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IF(AND('Project Database'!A208&lt;&gt;"",OR('Smart Search'!$L$5="",'Smart Search'!$L$5="All",TRIM('Project Database'!D208)=TRIM('Smart Search'!$L$5)),OR(TRIM('Smart Search'!$L$6)="",TRIM('Smart Search'!$L$6)="All",ISNUMBER(SEARCH(SUBSTITUTE(SUBSTITUTE(SUBSTITUTE(TRIM('Smart Search'!$L$6),"~","~~"),"*","~*"),"?","~?"),'Project Database'!C208))),OR('Smart Search'!$L$7="",AND('Project Database'!E208&lt;&gt;"",'Project Database'!E208='Smart Search'!$L$7)),OR('Smart Search'!$L$8="",'Smart Search'!$L$8="All",TRIM('Project Database'!F208)=TRIM('Smart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IF('Project Database'!A208="","",N('Project Database'!AC208))</f>
        <v/>
      </c>
      <c r="BK204" s="5">
        <f>IF('Project Database'!A208="","",N('Project Database'!AD208))</f>
        <v/>
      </c>
      <c r="BL204" s="5">
        <f>IF('Project Database'!A208="","",N('Project Database'!AE208))</f>
        <v/>
      </c>
      <c r="BM204" s="5">
        <f>IF('Project Database'!A208="","",N('Project Database'!AF208))</f>
        <v/>
      </c>
      <c r="BN204" s="5">
        <f>IF('Project Database'!A208="","",N('Project Database'!AG208))</f>
        <v/>
      </c>
      <c r="BO204" s="5">
        <f>IF('Project Database'!A208="","",N('Project Database'!AH208))</f>
        <v/>
      </c>
      <c r="BP204" s="5">
        <f>IF('Project Database'!A208="","",N('Project Database'!AI208))</f>
        <v/>
      </c>
      <c r="BQ204" s="5">
        <f>IF('Project Database'!A208="","",N('Project Database'!AJ208))</f>
        <v/>
      </c>
      <c r="BR204" s="5">
        <f>IF('Project Database'!A208="","",N('Project Database'!AK208))</f>
        <v/>
      </c>
      <c r="BS204" s="5">
        <f>IF('Project Database'!A208="","",N('Project Database'!AL208))</f>
        <v/>
      </c>
      <c r="BT204" s="5">
        <f>IF('Project Database'!A208="","",N('Project Database'!AM208))</f>
        <v/>
      </c>
      <c r="BU204" s="5">
        <f>IF('Project Database'!A208="","",N('Project Database'!AN208))</f>
        <v/>
      </c>
      <c r="BV204" s="5">
        <f>IF('Project Database'!A208="","",N('Project Database'!AO208))</f>
        <v/>
      </c>
      <c r="BW204" s="5">
        <f>IF('Project Database'!A208="","",N('Project Database'!AP208))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</row>
    <row r="205" ht="15" customHeight="1" s="74">
      <c r="A205" s="66">
        <f>'Project Database'!A209</f>
        <v/>
      </c>
      <c r="B205" s="66">
        <f>'Project Database'!B209</f>
        <v/>
      </c>
      <c r="C205" s="66">
        <f>'Project Database'!G209</f>
        <v/>
      </c>
      <c r="D205" s="66">
        <f>'Project Database'!H209</f>
        <v/>
      </c>
      <c r="E205" s="66">
        <f>'Project Database'!I209</f>
        <v/>
      </c>
      <c r="F205" s="66">
        <f>'Project Database'!J209</f>
        <v/>
      </c>
      <c r="G205" s="66">
        <f>'Project Database'!K209</f>
        <v/>
      </c>
      <c r="H205" s="66">
        <f>'Project Database'!L209</f>
        <v/>
      </c>
      <c r="I205" s="66">
        <f>'Project Database'!M209</f>
        <v/>
      </c>
      <c r="J205" s="66">
        <f>'Project Database'!N209</f>
        <v/>
      </c>
      <c r="K205" s="66">
        <f>'Project Database'!O209</f>
        <v/>
      </c>
      <c r="L205" s="66">
        <f>'Project Database'!P209</f>
        <v/>
      </c>
      <c r="M205" s="66">
        <f>'Project Database'!Q209</f>
        <v/>
      </c>
      <c r="N205" s="66">
        <f>'Project Database'!R209</f>
        <v/>
      </c>
      <c r="O205" s="66">
        <f>'Project Database'!S209</f>
        <v/>
      </c>
      <c r="P205" s="66">
        <f>'Project Database'!T209</f>
        <v/>
      </c>
      <c r="Q205" s="66">
        <f>'Project Database'!U209</f>
        <v/>
      </c>
      <c r="R205" s="66">
        <f>'Project Database'!V209</f>
        <v/>
      </c>
      <c r="S205" s="66">
        <f>'Project Database'!W209</f>
        <v/>
      </c>
      <c r="T205" s="66">
        <f>'Project Database'!X209</f>
        <v/>
      </c>
      <c r="U205" s="67">
        <f>'Project Database'!Y209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'Project Database'!Z209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IF(AND('Project Database'!A209&lt;&gt;"",OR('Smart Search'!$L$5="",'Smart Search'!$L$5="All",TRIM('Project Database'!D209)=TRIM('Smart Search'!$L$5)),OR(TRIM('Smart Search'!$L$6)="",TRIM('Smart Search'!$L$6)="All",ISNUMBER(SEARCH(SUBSTITUTE(SUBSTITUTE(SUBSTITUTE(TRIM('Smart Search'!$L$6),"~","~~"),"*","~*"),"?","~?"),'Project Database'!C209))),OR('Smart Search'!$L$7="",AND('Project Database'!E209&lt;&gt;"",'Project Database'!E209='Smart Search'!$L$7)),OR('Smart Search'!$L$8="",'Smart Search'!$L$8="All",TRIM('Project Database'!F209)=TRIM('Smart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IF('Project Database'!A209="","",N('Project Database'!AC209))</f>
        <v/>
      </c>
      <c r="BK205" s="5">
        <f>IF('Project Database'!A209="","",N('Project Database'!AD209))</f>
        <v/>
      </c>
      <c r="BL205" s="5">
        <f>IF('Project Database'!A209="","",N('Project Database'!AE209))</f>
        <v/>
      </c>
      <c r="BM205" s="5">
        <f>IF('Project Database'!A209="","",N('Project Database'!AF209))</f>
        <v/>
      </c>
      <c r="BN205" s="5">
        <f>IF('Project Database'!A209="","",N('Project Database'!AG209))</f>
        <v/>
      </c>
      <c r="BO205" s="5">
        <f>IF('Project Database'!A209="","",N('Project Database'!AH209))</f>
        <v/>
      </c>
      <c r="BP205" s="5">
        <f>IF('Project Database'!A209="","",N('Project Database'!AI209))</f>
        <v/>
      </c>
      <c r="BQ205" s="5">
        <f>IF('Project Database'!A209="","",N('Project Database'!AJ209))</f>
        <v/>
      </c>
      <c r="BR205" s="5">
        <f>IF('Project Database'!A209="","",N('Project Database'!AK209))</f>
        <v/>
      </c>
      <c r="BS205" s="5">
        <f>IF('Project Database'!A209="","",N('Project Database'!AL209))</f>
        <v/>
      </c>
      <c r="BT205" s="5">
        <f>IF('Project Database'!A209="","",N('Project Database'!AM209))</f>
        <v/>
      </c>
      <c r="BU205" s="5">
        <f>IF('Project Database'!A209="","",N('Project Database'!AN209))</f>
        <v/>
      </c>
      <c r="BV205" s="5">
        <f>IF('Project Database'!A209="","",N('Project Database'!AO209))</f>
        <v/>
      </c>
      <c r="BW205" s="5">
        <f>IF('Project Database'!A209="","",N('Project Database'!AP209))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</row>
    <row r="206" ht="15" customHeight="1" s="74">
      <c r="A206" s="66">
        <f>'Project Database'!A210</f>
        <v/>
      </c>
      <c r="B206" s="66">
        <f>'Project Database'!B210</f>
        <v/>
      </c>
      <c r="C206" s="66">
        <f>'Project Database'!G210</f>
        <v/>
      </c>
      <c r="D206" s="66">
        <f>'Project Database'!H210</f>
        <v/>
      </c>
      <c r="E206" s="66">
        <f>'Project Database'!I210</f>
        <v/>
      </c>
      <c r="F206" s="66">
        <f>'Project Database'!J210</f>
        <v/>
      </c>
      <c r="G206" s="66">
        <f>'Project Database'!K210</f>
        <v/>
      </c>
      <c r="H206" s="66">
        <f>'Project Database'!L210</f>
        <v/>
      </c>
      <c r="I206" s="66">
        <f>'Project Database'!M210</f>
        <v/>
      </c>
      <c r="J206" s="66">
        <f>'Project Database'!N210</f>
        <v/>
      </c>
      <c r="K206" s="66">
        <f>'Project Database'!O210</f>
        <v/>
      </c>
      <c r="L206" s="66">
        <f>'Project Database'!P210</f>
        <v/>
      </c>
      <c r="M206" s="66">
        <f>'Project Database'!Q210</f>
        <v/>
      </c>
      <c r="N206" s="66">
        <f>'Project Database'!R210</f>
        <v/>
      </c>
      <c r="O206" s="66">
        <f>'Project Database'!S210</f>
        <v/>
      </c>
      <c r="P206" s="66">
        <f>'Project Database'!T210</f>
        <v/>
      </c>
      <c r="Q206" s="66">
        <f>'Project Database'!U210</f>
        <v/>
      </c>
      <c r="R206" s="66">
        <f>'Project Database'!V210</f>
        <v/>
      </c>
      <c r="S206" s="66">
        <f>'Project Database'!W210</f>
        <v/>
      </c>
      <c r="T206" s="66">
        <f>'Project Database'!X210</f>
        <v/>
      </c>
      <c r="U206" s="67">
        <f>'Project Database'!Y210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'Project Database'!Z210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IF(AND('Project Database'!A210&lt;&gt;"",OR('Smart Search'!$L$5="",'Smart Search'!$L$5="All",TRIM('Project Database'!D210)=TRIM('Smart Search'!$L$5)),OR(TRIM('Smart Search'!$L$6)="",TRIM('Smart Search'!$L$6)="All",ISNUMBER(SEARCH(SUBSTITUTE(SUBSTITUTE(SUBSTITUTE(TRIM('Smart Search'!$L$6),"~","~~"),"*","~*"),"?","~?"),'Project Database'!C210))),OR('Smart Search'!$L$7="",AND('Project Database'!E210&lt;&gt;"",'Project Database'!E210='Smart Search'!$L$7)),OR('Smart Search'!$L$8="",'Smart Search'!$L$8="All",TRIM('Project Database'!F210)=TRIM('Smart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IF('Project Database'!A210="","",N('Project Database'!AC210))</f>
        <v/>
      </c>
      <c r="BK206" s="5">
        <f>IF('Project Database'!A210="","",N('Project Database'!AD210))</f>
        <v/>
      </c>
      <c r="BL206" s="5">
        <f>IF('Project Database'!A210="","",N('Project Database'!AE210))</f>
        <v/>
      </c>
      <c r="BM206" s="5">
        <f>IF('Project Database'!A210="","",N('Project Database'!AF210))</f>
        <v/>
      </c>
      <c r="BN206" s="5">
        <f>IF('Project Database'!A210="","",N('Project Database'!AG210))</f>
        <v/>
      </c>
      <c r="BO206" s="5">
        <f>IF('Project Database'!A210="","",N('Project Database'!AH210))</f>
        <v/>
      </c>
      <c r="BP206" s="5">
        <f>IF('Project Database'!A210="","",N('Project Database'!AI210))</f>
        <v/>
      </c>
      <c r="BQ206" s="5">
        <f>IF('Project Database'!A210="","",N('Project Database'!AJ210))</f>
        <v/>
      </c>
      <c r="BR206" s="5">
        <f>IF('Project Database'!A210="","",N('Project Database'!AK210))</f>
        <v/>
      </c>
      <c r="BS206" s="5">
        <f>IF('Project Database'!A210="","",N('Project Database'!AL210))</f>
        <v/>
      </c>
      <c r="BT206" s="5">
        <f>IF('Project Database'!A210="","",N('Project Database'!AM210))</f>
        <v/>
      </c>
      <c r="BU206" s="5">
        <f>IF('Project Database'!A210="","",N('Project Database'!AN210))</f>
        <v/>
      </c>
      <c r="BV206" s="5">
        <f>IF('Project Database'!A210="","",N('Project Database'!AO210))</f>
        <v/>
      </c>
      <c r="BW206" s="5">
        <f>IF('Project Database'!A210="","",N('Project Database'!AP210))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</row>
    <row r="207" ht="15" customHeight="1" s="74">
      <c r="A207" s="66">
        <f>'Project Database'!A211</f>
        <v/>
      </c>
      <c r="B207" s="66">
        <f>'Project Database'!B211</f>
        <v/>
      </c>
      <c r="C207" s="66">
        <f>'Project Database'!G211</f>
        <v/>
      </c>
      <c r="D207" s="66">
        <f>'Project Database'!H211</f>
        <v/>
      </c>
      <c r="E207" s="66">
        <f>'Project Database'!I211</f>
        <v/>
      </c>
      <c r="F207" s="66">
        <f>'Project Database'!J211</f>
        <v/>
      </c>
      <c r="G207" s="66">
        <f>'Project Database'!K211</f>
        <v/>
      </c>
      <c r="H207" s="66">
        <f>'Project Database'!L211</f>
        <v/>
      </c>
      <c r="I207" s="66">
        <f>'Project Database'!M211</f>
        <v/>
      </c>
      <c r="J207" s="66">
        <f>'Project Database'!N211</f>
        <v/>
      </c>
      <c r="K207" s="66">
        <f>'Project Database'!O211</f>
        <v/>
      </c>
      <c r="L207" s="66">
        <f>'Project Database'!P211</f>
        <v/>
      </c>
      <c r="M207" s="66">
        <f>'Project Database'!Q211</f>
        <v/>
      </c>
      <c r="N207" s="66">
        <f>'Project Database'!R211</f>
        <v/>
      </c>
      <c r="O207" s="66">
        <f>'Project Database'!S211</f>
        <v/>
      </c>
      <c r="P207" s="66">
        <f>'Project Database'!T211</f>
        <v/>
      </c>
      <c r="Q207" s="66">
        <f>'Project Database'!U211</f>
        <v/>
      </c>
      <c r="R207" s="66">
        <f>'Project Database'!V211</f>
        <v/>
      </c>
      <c r="S207" s="66">
        <f>'Project Database'!W211</f>
        <v/>
      </c>
      <c r="T207" s="66">
        <f>'Project Database'!X211</f>
        <v/>
      </c>
      <c r="U207" s="67">
        <f>'Project Database'!Y211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'Project Database'!Z211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IF(AND('Project Database'!A211&lt;&gt;"",OR('Smart Search'!$L$5="",'Smart Search'!$L$5="All",TRIM('Project Database'!D211)=TRIM('Smart Search'!$L$5)),OR(TRIM('Smart Search'!$L$6)="",TRIM('Smart Search'!$L$6)="All",ISNUMBER(SEARCH(SUBSTITUTE(SUBSTITUTE(SUBSTITUTE(TRIM('Smart Search'!$L$6),"~","~~"),"*","~*"),"?","~?"),'Project Database'!C211))),OR('Smart Search'!$L$7="",AND('Project Database'!E211&lt;&gt;"",'Project Database'!E211='Smart Search'!$L$7)),OR('Smart Search'!$L$8="",'Smart Search'!$L$8="All",TRIM('Project Database'!F211)=TRIM('Smart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IF('Project Database'!A211="","",N('Project Database'!AC211))</f>
        <v/>
      </c>
      <c r="BK207" s="5">
        <f>IF('Project Database'!A211="","",N('Project Database'!AD211))</f>
        <v/>
      </c>
      <c r="BL207" s="5">
        <f>IF('Project Database'!A211="","",N('Project Database'!AE211))</f>
        <v/>
      </c>
      <c r="BM207" s="5">
        <f>IF('Project Database'!A211="","",N('Project Database'!AF211))</f>
        <v/>
      </c>
      <c r="BN207" s="5">
        <f>IF('Project Database'!A211="","",N('Project Database'!AG211))</f>
        <v/>
      </c>
      <c r="BO207" s="5">
        <f>IF('Project Database'!A211="","",N('Project Database'!AH211))</f>
        <v/>
      </c>
      <c r="BP207" s="5">
        <f>IF('Project Database'!A211="","",N('Project Database'!AI211))</f>
        <v/>
      </c>
      <c r="BQ207" s="5">
        <f>IF('Project Database'!A211="","",N('Project Database'!AJ211))</f>
        <v/>
      </c>
      <c r="BR207" s="5">
        <f>IF('Project Database'!A211="","",N('Project Database'!AK211))</f>
        <v/>
      </c>
      <c r="BS207" s="5">
        <f>IF('Project Database'!A211="","",N('Project Database'!AL211))</f>
        <v/>
      </c>
      <c r="BT207" s="5">
        <f>IF('Project Database'!A211="","",N('Project Database'!AM211))</f>
        <v/>
      </c>
      <c r="BU207" s="5">
        <f>IF('Project Database'!A211="","",N('Project Database'!AN211))</f>
        <v/>
      </c>
      <c r="BV207" s="5">
        <f>IF('Project Database'!A211="","",N('Project Database'!AO211))</f>
        <v/>
      </c>
      <c r="BW207" s="5">
        <f>IF('Project Database'!A211="","",N('Project Database'!AP211))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</row>
    <row r="208" ht="15" customHeight="1" s="74">
      <c r="A208" s="66">
        <f>'Project Database'!A212</f>
        <v/>
      </c>
      <c r="B208" s="66">
        <f>'Project Database'!B212</f>
        <v/>
      </c>
      <c r="C208" s="66">
        <f>'Project Database'!G212</f>
        <v/>
      </c>
      <c r="D208" s="66">
        <f>'Project Database'!H212</f>
        <v/>
      </c>
      <c r="E208" s="66">
        <f>'Project Database'!I212</f>
        <v/>
      </c>
      <c r="F208" s="66">
        <f>'Project Database'!J212</f>
        <v/>
      </c>
      <c r="G208" s="66">
        <f>'Project Database'!K212</f>
        <v/>
      </c>
      <c r="H208" s="66">
        <f>'Project Database'!L212</f>
        <v/>
      </c>
      <c r="I208" s="66">
        <f>'Project Database'!M212</f>
        <v/>
      </c>
      <c r="J208" s="66">
        <f>'Project Database'!N212</f>
        <v/>
      </c>
      <c r="K208" s="66">
        <f>'Project Database'!O212</f>
        <v/>
      </c>
      <c r="L208" s="66">
        <f>'Project Database'!P212</f>
        <v/>
      </c>
      <c r="M208" s="66">
        <f>'Project Database'!Q212</f>
        <v/>
      </c>
      <c r="N208" s="66">
        <f>'Project Database'!R212</f>
        <v/>
      </c>
      <c r="O208" s="66">
        <f>'Project Database'!S212</f>
        <v/>
      </c>
      <c r="P208" s="66">
        <f>'Project Database'!T212</f>
        <v/>
      </c>
      <c r="Q208" s="66">
        <f>'Project Database'!U212</f>
        <v/>
      </c>
      <c r="R208" s="66">
        <f>'Project Database'!V212</f>
        <v/>
      </c>
      <c r="S208" s="66">
        <f>'Project Database'!W212</f>
        <v/>
      </c>
      <c r="T208" s="66">
        <f>'Project Database'!X212</f>
        <v/>
      </c>
      <c r="U208" s="67">
        <f>'Project Database'!Y212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'Project Database'!Z212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IF(AND('Project Database'!A212&lt;&gt;"",OR('Smart Search'!$L$5="",'Smart Search'!$L$5="All",TRIM('Project Database'!D212)=TRIM('Smart Search'!$L$5)),OR(TRIM('Smart Search'!$L$6)="",TRIM('Smart Search'!$L$6)="All",ISNUMBER(SEARCH(SUBSTITUTE(SUBSTITUTE(SUBSTITUTE(TRIM('Smart Search'!$L$6),"~","~~"),"*","~*"),"?","~?"),'Project Database'!C212))),OR('Smart Search'!$L$7="",AND('Project Database'!E212&lt;&gt;"",'Project Database'!E212='Smart Search'!$L$7)),OR('Smart Search'!$L$8="",'Smart Search'!$L$8="All",TRIM('Project Database'!F212)=TRIM('Smart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IF('Project Database'!A212="","",N('Project Database'!AC212))</f>
        <v/>
      </c>
      <c r="BK208" s="5">
        <f>IF('Project Database'!A212="","",N('Project Database'!AD212))</f>
        <v/>
      </c>
      <c r="BL208" s="5">
        <f>IF('Project Database'!A212="","",N('Project Database'!AE212))</f>
        <v/>
      </c>
      <c r="BM208" s="5">
        <f>IF('Project Database'!A212="","",N('Project Database'!AF212))</f>
        <v/>
      </c>
      <c r="BN208" s="5">
        <f>IF('Project Database'!A212="","",N('Project Database'!AG212))</f>
        <v/>
      </c>
      <c r="BO208" s="5">
        <f>IF('Project Database'!A212="","",N('Project Database'!AH212))</f>
        <v/>
      </c>
      <c r="BP208" s="5">
        <f>IF('Project Database'!A212="","",N('Project Database'!AI212))</f>
        <v/>
      </c>
      <c r="BQ208" s="5">
        <f>IF('Project Database'!A212="","",N('Project Database'!AJ212))</f>
        <v/>
      </c>
      <c r="BR208" s="5">
        <f>IF('Project Database'!A212="","",N('Project Database'!AK212))</f>
        <v/>
      </c>
      <c r="BS208" s="5">
        <f>IF('Project Database'!A212="","",N('Project Database'!AL212))</f>
        <v/>
      </c>
      <c r="BT208" s="5">
        <f>IF('Project Database'!A212="","",N('Project Database'!AM212))</f>
        <v/>
      </c>
      <c r="BU208" s="5">
        <f>IF('Project Database'!A212="","",N('Project Database'!AN212))</f>
        <v/>
      </c>
      <c r="BV208" s="5">
        <f>IF('Project Database'!A212="","",N('Project Database'!AO212))</f>
        <v/>
      </c>
      <c r="BW208" s="5">
        <f>IF('Project Database'!A212="","",N('Project Database'!AP212))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</row>
    <row r="209" ht="15" customHeight="1" s="74">
      <c r="A209" s="66">
        <f>'Project Database'!A213</f>
        <v/>
      </c>
      <c r="B209" s="66">
        <f>'Project Database'!B213</f>
        <v/>
      </c>
      <c r="C209" s="66">
        <f>'Project Database'!G213</f>
        <v/>
      </c>
      <c r="D209" s="66">
        <f>'Project Database'!H213</f>
        <v/>
      </c>
      <c r="E209" s="66">
        <f>'Project Database'!I213</f>
        <v/>
      </c>
      <c r="F209" s="66">
        <f>'Project Database'!J213</f>
        <v/>
      </c>
      <c r="G209" s="66">
        <f>'Project Database'!K213</f>
        <v/>
      </c>
      <c r="H209" s="66">
        <f>'Project Database'!L213</f>
        <v/>
      </c>
      <c r="I209" s="66">
        <f>'Project Database'!M213</f>
        <v/>
      </c>
      <c r="J209" s="66">
        <f>'Project Database'!N213</f>
        <v/>
      </c>
      <c r="K209" s="66">
        <f>'Project Database'!O213</f>
        <v/>
      </c>
      <c r="L209" s="66">
        <f>'Project Database'!P213</f>
        <v/>
      </c>
      <c r="M209" s="66">
        <f>'Project Database'!Q213</f>
        <v/>
      </c>
      <c r="N209" s="66">
        <f>'Project Database'!R213</f>
        <v/>
      </c>
      <c r="O209" s="66">
        <f>'Project Database'!S213</f>
        <v/>
      </c>
      <c r="P209" s="66">
        <f>'Project Database'!T213</f>
        <v/>
      </c>
      <c r="Q209" s="66">
        <f>'Project Database'!U213</f>
        <v/>
      </c>
      <c r="R209" s="66">
        <f>'Project Database'!V213</f>
        <v/>
      </c>
      <c r="S209" s="66">
        <f>'Project Database'!W213</f>
        <v/>
      </c>
      <c r="T209" s="66">
        <f>'Project Database'!X213</f>
        <v/>
      </c>
      <c r="U209" s="67">
        <f>'Project Database'!Y213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'Project Database'!Z213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IF(AND('Project Database'!A213&lt;&gt;"",OR('Smart Search'!$L$5="",'Smart Search'!$L$5="All",TRIM('Project Database'!D213)=TRIM('Smart Search'!$L$5)),OR(TRIM('Smart Search'!$L$6)="",TRIM('Smart Search'!$L$6)="All",ISNUMBER(SEARCH(SUBSTITUTE(SUBSTITUTE(SUBSTITUTE(TRIM('Smart Search'!$L$6),"~","~~"),"*","~*"),"?","~?"),'Project Database'!C213))),OR('Smart Search'!$L$7="",AND('Project Database'!E213&lt;&gt;"",'Project Database'!E213='Smart Search'!$L$7)),OR('Smart Search'!$L$8="",'Smart Search'!$L$8="All",TRIM('Project Database'!F213)=TRIM('Smart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IF('Project Database'!A213="","",N('Project Database'!AC213))</f>
        <v/>
      </c>
      <c r="BK209" s="5">
        <f>IF('Project Database'!A213="","",N('Project Database'!AD213))</f>
        <v/>
      </c>
      <c r="BL209" s="5">
        <f>IF('Project Database'!A213="","",N('Project Database'!AE213))</f>
        <v/>
      </c>
      <c r="BM209" s="5">
        <f>IF('Project Database'!A213="","",N('Project Database'!AF213))</f>
        <v/>
      </c>
      <c r="BN209" s="5">
        <f>IF('Project Database'!A213="","",N('Project Database'!AG213))</f>
        <v/>
      </c>
      <c r="BO209" s="5">
        <f>IF('Project Database'!A213="","",N('Project Database'!AH213))</f>
        <v/>
      </c>
      <c r="BP209" s="5">
        <f>IF('Project Database'!A213="","",N('Project Database'!AI213))</f>
        <v/>
      </c>
      <c r="BQ209" s="5">
        <f>IF('Project Database'!A213="","",N('Project Database'!AJ213))</f>
        <v/>
      </c>
      <c r="BR209" s="5">
        <f>IF('Project Database'!A213="","",N('Project Database'!AK213))</f>
        <v/>
      </c>
      <c r="BS209" s="5">
        <f>IF('Project Database'!A213="","",N('Project Database'!AL213))</f>
        <v/>
      </c>
      <c r="BT209" s="5">
        <f>IF('Project Database'!A213="","",N('Project Database'!AM213))</f>
        <v/>
      </c>
      <c r="BU209" s="5">
        <f>IF('Project Database'!A213="","",N('Project Database'!AN213))</f>
        <v/>
      </c>
      <c r="BV209" s="5">
        <f>IF('Project Database'!A213="","",N('Project Database'!AO213))</f>
        <v/>
      </c>
      <c r="BW209" s="5">
        <f>IF('Project Database'!A213="","",N('Project Database'!AP213))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</row>
    <row r="210" ht="15" customHeight="1" s="74">
      <c r="A210" s="66">
        <f>'Project Database'!A214</f>
        <v/>
      </c>
      <c r="B210" s="66">
        <f>'Project Database'!B214</f>
        <v/>
      </c>
      <c r="C210" s="66">
        <f>'Project Database'!G214</f>
        <v/>
      </c>
      <c r="D210" s="66">
        <f>'Project Database'!H214</f>
        <v/>
      </c>
      <c r="E210" s="66">
        <f>'Project Database'!I214</f>
        <v/>
      </c>
      <c r="F210" s="66">
        <f>'Project Database'!J214</f>
        <v/>
      </c>
      <c r="G210" s="66">
        <f>'Project Database'!K214</f>
        <v/>
      </c>
      <c r="H210" s="66">
        <f>'Project Database'!L214</f>
        <v/>
      </c>
      <c r="I210" s="66">
        <f>'Project Database'!M214</f>
        <v/>
      </c>
      <c r="J210" s="66">
        <f>'Project Database'!N214</f>
        <v/>
      </c>
      <c r="K210" s="66">
        <f>'Project Database'!O214</f>
        <v/>
      </c>
      <c r="L210" s="66">
        <f>'Project Database'!P214</f>
        <v/>
      </c>
      <c r="M210" s="66">
        <f>'Project Database'!Q214</f>
        <v/>
      </c>
      <c r="N210" s="66">
        <f>'Project Database'!R214</f>
        <v/>
      </c>
      <c r="O210" s="66">
        <f>'Project Database'!S214</f>
        <v/>
      </c>
      <c r="P210" s="66">
        <f>'Project Database'!T214</f>
        <v/>
      </c>
      <c r="Q210" s="66">
        <f>'Project Database'!U214</f>
        <v/>
      </c>
      <c r="R210" s="66">
        <f>'Project Database'!V214</f>
        <v/>
      </c>
      <c r="S210" s="66">
        <f>'Project Database'!W214</f>
        <v/>
      </c>
      <c r="T210" s="66">
        <f>'Project Database'!X214</f>
        <v/>
      </c>
      <c r="U210" s="67">
        <f>'Project Database'!Y214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'Project Database'!Z214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IF(AND('Project Database'!A214&lt;&gt;"",OR('Smart Search'!$L$5="",'Smart Search'!$L$5="All",TRIM('Project Database'!D214)=TRIM('Smart Search'!$L$5)),OR(TRIM('Smart Search'!$L$6)="",TRIM('Smart Search'!$L$6)="All",ISNUMBER(SEARCH(SUBSTITUTE(SUBSTITUTE(SUBSTITUTE(TRIM('Smart Search'!$L$6),"~","~~"),"*","~*"),"?","~?"),'Project Database'!C214))),OR('Smart Search'!$L$7="",AND('Project Database'!E214&lt;&gt;"",'Project Database'!E214='Smart Search'!$L$7)),OR('Smart Search'!$L$8="",'Smart Search'!$L$8="All",TRIM('Project Database'!F214)=TRIM('Smart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IF('Project Database'!A214="","",N('Project Database'!AC214))</f>
        <v/>
      </c>
      <c r="BK210" s="5">
        <f>IF('Project Database'!A214="","",N('Project Database'!AD214))</f>
        <v/>
      </c>
      <c r="BL210" s="5">
        <f>IF('Project Database'!A214="","",N('Project Database'!AE214))</f>
        <v/>
      </c>
      <c r="BM210" s="5">
        <f>IF('Project Database'!A214="","",N('Project Database'!AF214))</f>
        <v/>
      </c>
      <c r="BN210" s="5">
        <f>IF('Project Database'!A214="","",N('Project Database'!AG214))</f>
        <v/>
      </c>
      <c r="BO210" s="5">
        <f>IF('Project Database'!A214="","",N('Project Database'!AH214))</f>
        <v/>
      </c>
      <c r="BP210" s="5">
        <f>IF('Project Database'!A214="","",N('Project Database'!AI214))</f>
        <v/>
      </c>
      <c r="BQ210" s="5">
        <f>IF('Project Database'!A214="","",N('Project Database'!AJ214))</f>
        <v/>
      </c>
      <c r="BR210" s="5">
        <f>IF('Project Database'!A214="","",N('Project Database'!AK214))</f>
        <v/>
      </c>
      <c r="BS210" s="5">
        <f>IF('Project Database'!A214="","",N('Project Database'!AL214))</f>
        <v/>
      </c>
      <c r="BT210" s="5">
        <f>IF('Project Database'!A214="","",N('Project Database'!AM214))</f>
        <v/>
      </c>
      <c r="BU210" s="5">
        <f>IF('Project Database'!A214="","",N('Project Database'!AN214))</f>
        <v/>
      </c>
      <c r="BV210" s="5">
        <f>IF('Project Database'!A214="","",N('Project Database'!AO214))</f>
        <v/>
      </c>
      <c r="BW210" s="5">
        <f>IF('Project Database'!A214="","",N('Project Database'!AP214))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</row>
    <row r="211" ht="15" customHeight="1" s="74">
      <c r="A211" s="66">
        <f>'Project Database'!A215</f>
        <v/>
      </c>
      <c r="B211" s="66">
        <f>'Project Database'!B215</f>
        <v/>
      </c>
      <c r="C211" s="66">
        <f>'Project Database'!G215</f>
        <v/>
      </c>
      <c r="D211" s="66">
        <f>'Project Database'!H215</f>
        <v/>
      </c>
      <c r="E211" s="66">
        <f>'Project Database'!I215</f>
        <v/>
      </c>
      <c r="F211" s="66">
        <f>'Project Database'!J215</f>
        <v/>
      </c>
      <c r="G211" s="66">
        <f>'Project Database'!K215</f>
        <v/>
      </c>
      <c r="H211" s="66">
        <f>'Project Database'!L215</f>
        <v/>
      </c>
      <c r="I211" s="66">
        <f>'Project Database'!M215</f>
        <v/>
      </c>
      <c r="J211" s="66">
        <f>'Project Database'!N215</f>
        <v/>
      </c>
      <c r="K211" s="66">
        <f>'Project Database'!O215</f>
        <v/>
      </c>
      <c r="L211" s="66">
        <f>'Project Database'!P215</f>
        <v/>
      </c>
      <c r="M211" s="66">
        <f>'Project Database'!Q215</f>
        <v/>
      </c>
      <c r="N211" s="66">
        <f>'Project Database'!R215</f>
        <v/>
      </c>
      <c r="O211" s="66">
        <f>'Project Database'!S215</f>
        <v/>
      </c>
      <c r="P211" s="66">
        <f>'Project Database'!T215</f>
        <v/>
      </c>
      <c r="Q211" s="66">
        <f>'Project Database'!U215</f>
        <v/>
      </c>
      <c r="R211" s="66">
        <f>'Project Database'!V215</f>
        <v/>
      </c>
      <c r="S211" s="66">
        <f>'Project Database'!W215</f>
        <v/>
      </c>
      <c r="T211" s="66">
        <f>'Project Database'!X215</f>
        <v/>
      </c>
      <c r="U211" s="67">
        <f>'Project Database'!Y215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'Project Database'!Z215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IF(AND('Project Database'!A215&lt;&gt;"",OR('Smart Search'!$L$5="",'Smart Search'!$L$5="All",TRIM('Project Database'!D215)=TRIM('Smart Search'!$L$5)),OR(TRIM('Smart Search'!$L$6)="",TRIM('Smart Search'!$L$6)="All",ISNUMBER(SEARCH(SUBSTITUTE(SUBSTITUTE(SUBSTITUTE(TRIM('Smart Search'!$L$6),"~","~~"),"*","~*"),"?","~?"),'Project Database'!C215))),OR('Smart Search'!$L$7="",AND('Project Database'!E215&lt;&gt;"",'Project Database'!E215='Smart Search'!$L$7)),OR('Smart Search'!$L$8="",'Smart Search'!$L$8="All",TRIM('Project Database'!F215)=TRIM('Smart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IF('Project Database'!A215="","",N('Project Database'!AC215))</f>
        <v/>
      </c>
      <c r="BK211" s="5">
        <f>IF('Project Database'!A215="","",N('Project Database'!AD215))</f>
        <v/>
      </c>
      <c r="BL211" s="5">
        <f>IF('Project Database'!A215="","",N('Project Database'!AE215))</f>
        <v/>
      </c>
      <c r="BM211" s="5">
        <f>IF('Project Database'!A215="","",N('Project Database'!AF215))</f>
        <v/>
      </c>
      <c r="BN211" s="5">
        <f>IF('Project Database'!A215="","",N('Project Database'!AG215))</f>
        <v/>
      </c>
      <c r="BO211" s="5">
        <f>IF('Project Database'!A215="","",N('Project Database'!AH215))</f>
        <v/>
      </c>
      <c r="BP211" s="5">
        <f>IF('Project Database'!A215="","",N('Project Database'!AI215))</f>
        <v/>
      </c>
      <c r="BQ211" s="5">
        <f>IF('Project Database'!A215="","",N('Project Database'!AJ215))</f>
        <v/>
      </c>
      <c r="BR211" s="5">
        <f>IF('Project Database'!A215="","",N('Project Database'!AK215))</f>
        <v/>
      </c>
      <c r="BS211" s="5">
        <f>IF('Project Database'!A215="","",N('Project Database'!AL215))</f>
        <v/>
      </c>
      <c r="BT211" s="5">
        <f>IF('Project Database'!A215="","",N('Project Database'!AM215))</f>
        <v/>
      </c>
      <c r="BU211" s="5">
        <f>IF('Project Database'!A215="","",N('Project Database'!AN215))</f>
        <v/>
      </c>
      <c r="BV211" s="5">
        <f>IF('Project Database'!A215="","",N('Project Database'!AO215))</f>
        <v/>
      </c>
      <c r="BW211" s="5">
        <f>IF('Project Database'!A215="","",N('Project Database'!AP215))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</row>
    <row r="212" ht="15" customHeight="1" s="74">
      <c r="A212" s="66">
        <f>'Project Database'!A216</f>
        <v/>
      </c>
      <c r="B212" s="66">
        <f>'Project Database'!B216</f>
        <v/>
      </c>
      <c r="C212" s="66">
        <f>'Project Database'!G216</f>
        <v/>
      </c>
      <c r="D212" s="66">
        <f>'Project Database'!H216</f>
        <v/>
      </c>
      <c r="E212" s="66">
        <f>'Project Database'!I216</f>
        <v/>
      </c>
      <c r="F212" s="66">
        <f>'Project Database'!J216</f>
        <v/>
      </c>
      <c r="G212" s="66">
        <f>'Project Database'!K216</f>
        <v/>
      </c>
      <c r="H212" s="66">
        <f>'Project Database'!L216</f>
        <v/>
      </c>
      <c r="I212" s="66">
        <f>'Project Database'!M216</f>
        <v/>
      </c>
      <c r="J212" s="66">
        <f>'Project Database'!N216</f>
        <v/>
      </c>
      <c r="K212" s="66">
        <f>'Project Database'!O216</f>
        <v/>
      </c>
      <c r="L212" s="66">
        <f>'Project Database'!P216</f>
        <v/>
      </c>
      <c r="M212" s="66">
        <f>'Project Database'!Q216</f>
        <v/>
      </c>
      <c r="N212" s="66">
        <f>'Project Database'!R216</f>
        <v/>
      </c>
      <c r="O212" s="66">
        <f>'Project Database'!S216</f>
        <v/>
      </c>
      <c r="P212" s="66">
        <f>'Project Database'!T216</f>
        <v/>
      </c>
      <c r="Q212" s="66">
        <f>'Project Database'!U216</f>
        <v/>
      </c>
      <c r="R212" s="66">
        <f>'Project Database'!V216</f>
        <v/>
      </c>
      <c r="S212" s="66">
        <f>'Project Database'!W216</f>
        <v/>
      </c>
      <c r="T212" s="66">
        <f>'Project Database'!X216</f>
        <v/>
      </c>
      <c r="U212" s="67">
        <f>'Project Database'!Y216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'Project Database'!Z216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IF(AND('Project Database'!A216&lt;&gt;"",OR('Smart Search'!$L$5="",'Smart Search'!$L$5="All",TRIM('Project Database'!D216)=TRIM('Smart Search'!$L$5)),OR(TRIM('Smart Search'!$L$6)="",TRIM('Smart Search'!$L$6)="All",ISNUMBER(SEARCH(SUBSTITUTE(SUBSTITUTE(SUBSTITUTE(TRIM('Smart Search'!$L$6),"~","~~"),"*","~*"),"?","~?"),'Project Database'!C216))),OR('Smart Search'!$L$7="",AND('Project Database'!E216&lt;&gt;"",'Project Database'!E216='Smart Search'!$L$7)),OR('Smart Search'!$L$8="",'Smart Search'!$L$8="All",TRIM('Project Database'!F216)=TRIM('Smart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IF('Project Database'!A216="","",N('Project Database'!AC216))</f>
        <v/>
      </c>
      <c r="BK212" s="5">
        <f>IF('Project Database'!A216="","",N('Project Database'!AD216))</f>
        <v/>
      </c>
      <c r="BL212" s="5">
        <f>IF('Project Database'!A216="","",N('Project Database'!AE216))</f>
        <v/>
      </c>
      <c r="BM212" s="5">
        <f>IF('Project Database'!A216="","",N('Project Database'!AF216))</f>
        <v/>
      </c>
      <c r="BN212" s="5">
        <f>IF('Project Database'!A216="","",N('Project Database'!AG216))</f>
        <v/>
      </c>
      <c r="BO212" s="5">
        <f>IF('Project Database'!A216="","",N('Project Database'!AH216))</f>
        <v/>
      </c>
      <c r="BP212" s="5">
        <f>IF('Project Database'!A216="","",N('Project Database'!AI216))</f>
        <v/>
      </c>
      <c r="BQ212" s="5">
        <f>IF('Project Database'!A216="","",N('Project Database'!AJ216))</f>
        <v/>
      </c>
      <c r="BR212" s="5">
        <f>IF('Project Database'!A216="","",N('Project Database'!AK216))</f>
        <v/>
      </c>
      <c r="BS212" s="5">
        <f>IF('Project Database'!A216="","",N('Project Database'!AL216))</f>
        <v/>
      </c>
      <c r="BT212" s="5">
        <f>IF('Project Database'!A216="","",N('Project Database'!AM216))</f>
        <v/>
      </c>
      <c r="BU212" s="5">
        <f>IF('Project Database'!A216="","",N('Project Database'!AN216))</f>
        <v/>
      </c>
      <c r="BV212" s="5">
        <f>IF('Project Database'!A216="","",N('Project Database'!AO216))</f>
        <v/>
      </c>
      <c r="BW212" s="5">
        <f>IF('Project Database'!A216="","",N('Project Database'!AP216))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</row>
    <row r="213" ht="15" customHeight="1" s="74">
      <c r="A213" s="66">
        <f>'Project Database'!A217</f>
        <v/>
      </c>
      <c r="B213" s="66">
        <f>'Project Database'!B217</f>
        <v/>
      </c>
      <c r="C213" s="66">
        <f>'Project Database'!G217</f>
        <v/>
      </c>
      <c r="D213" s="66">
        <f>'Project Database'!H217</f>
        <v/>
      </c>
      <c r="E213" s="66">
        <f>'Project Database'!I217</f>
        <v/>
      </c>
      <c r="F213" s="66">
        <f>'Project Database'!J217</f>
        <v/>
      </c>
      <c r="G213" s="66">
        <f>'Project Database'!K217</f>
        <v/>
      </c>
      <c r="H213" s="66">
        <f>'Project Database'!L217</f>
        <v/>
      </c>
      <c r="I213" s="66">
        <f>'Project Database'!M217</f>
        <v/>
      </c>
      <c r="J213" s="66">
        <f>'Project Database'!N217</f>
        <v/>
      </c>
      <c r="K213" s="66">
        <f>'Project Database'!O217</f>
        <v/>
      </c>
      <c r="L213" s="66">
        <f>'Project Database'!P217</f>
        <v/>
      </c>
      <c r="M213" s="66">
        <f>'Project Database'!Q217</f>
        <v/>
      </c>
      <c r="N213" s="66">
        <f>'Project Database'!R217</f>
        <v/>
      </c>
      <c r="O213" s="66">
        <f>'Project Database'!S217</f>
        <v/>
      </c>
      <c r="P213" s="66">
        <f>'Project Database'!T217</f>
        <v/>
      </c>
      <c r="Q213" s="66">
        <f>'Project Database'!U217</f>
        <v/>
      </c>
      <c r="R213" s="66">
        <f>'Project Database'!V217</f>
        <v/>
      </c>
      <c r="S213" s="66">
        <f>'Project Database'!W217</f>
        <v/>
      </c>
      <c r="T213" s="66">
        <f>'Project Database'!X217</f>
        <v/>
      </c>
      <c r="U213" s="67">
        <f>'Project Database'!Y217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'Project Database'!Z217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IF(AND('Project Database'!A217&lt;&gt;"",OR('Smart Search'!$L$5="",'Smart Search'!$L$5="All",TRIM('Project Database'!D217)=TRIM('Smart Search'!$L$5)),OR(TRIM('Smart Search'!$L$6)="",TRIM('Smart Search'!$L$6)="All",ISNUMBER(SEARCH(SUBSTITUTE(SUBSTITUTE(SUBSTITUTE(TRIM('Smart Search'!$L$6),"~","~~"),"*","~*"),"?","~?"),'Project Database'!C217))),OR('Smart Search'!$L$7="",AND('Project Database'!E217&lt;&gt;"",'Project Database'!E217='Smart Search'!$L$7)),OR('Smart Search'!$L$8="",'Smart Search'!$L$8="All",TRIM('Project Database'!F217)=TRIM('Smart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IF('Project Database'!A217="","",N('Project Database'!AC217))</f>
        <v/>
      </c>
      <c r="BK213" s="5">
        <f>IF('Project Database'!A217="","",N('Project Database'!AD217))</f>
        <v/>
      </c>
      <c r="BL213" s="5">
        <f>IF('Project Database'!A217="","",N('Project Database'!AE217))</f>
        <v/>
      </c>
      <c r="BM213" s="5">
        <f>IF('Project Database'!A217="","",N('Project Database'!AF217))</f>
        <v/>
      </c>
      <c r="BN213" s="5">
        <f>IF('Project Database'!A217="","",N('Project Database'!AG217))</f>
        <v/>
      </c>
      <c r="BO213" s="5">
        <f>IF('Project Database'!A217="","",N('Project Database'!AH217))</f>
        <v/>
      </c>
      <c r="BP213" s="5">
        <f>IF('Project Database'!A217="","",N('Project Database'!AI217))</f>
        <v/>
      </c>
      <c r="BQ213" s="5">
        <f>IF('Project Database'!A217="","",N('Project Database'!AJ217))</f>
        <v/>
      </c>
      <c r="BR213" s="5">
        <f>IF('Project Database'!A217="","",N('Project Database'!AK217))</f>
        <v/>
      </c>
      <c r="BS213" s="5">
        <f>IF('Project Database'!A217="","",N('Project Database'!AL217))</f>
        <v/>
      </c>
      <c r="BT213" s="5">
        <f>IF('Project Database'!A217="","",N('Project Database'!AM217))</f>
        <v/>
      </c>
      <c r="BU213" s="5">
        <f>IF('Project Database'!A217="","",N('Project Database'!AN217))</f>
        <v/>
      </c>
      <c r="BV213" s="5">
        <f>IF('Project Database'!A217="","",N('Project Database'!AO217))</f>
        <v/>
      </c>
      <c r="BW213" s="5">
        <f>IF('Project Database'!A217="","",N('Project Database'!AP217))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</row>
    <row r="214" ht="15" customHeight="1" s="74">
      <c r="A214" s="66">
        <f>'Project Database'!A218</f>
        <v/>
      </c>
      <c r="B214" s="66">
        <f>'Project Database'!B218</f>
        <v/>
      </c>
      <c r="C214" s="66">
        <f>'Project Database'!G218</f>
        <v/>
      </c>
      <c r="D214" s="66">
        <f>'Project Database'!H218</f>
        <v/>
      </c>
      <c r="E214" s="66">
        <f>'Project Database'!I218</f>
        <v/>
      </c>
      <c r="F214" s="66">
        <f>'Project Database'!J218</f>
        <v/>
      </c>
      <c r="G214" s="66">
        <f>'Project Database'!K218</f>
        <v/>
      </c>
      <c r="H214" s="66">
        <f>'Project Database'!L218</f>
        <v/>
      </c>
      <c r="I214" s="66">
        <f>'Project Database'!M218</f>
        <v/>
      </c>
      <c r="J214" s="66">
        <f>'Project Database'!N218</f>
        <v/>
      </c>
      <c r="K214" s="66">
        <f>'Project Database'!O218</f>
        <v/>
      </c>
      <c r="L214" s="66">
        <f>'Project Database'!P218</f>
        <v/>
      </c>
      <c r="M214" s="66">
        <f>'Project Database'!Q218</f>
        <v/>
      </c>
      <c r="N214" s="66">
        <f>'Project Database'!R218</f>
        <v/>
      </c>
      <c r="O214" s="66">
        <f>'Project Database'!S218</f>
        <v/>
      </c>
      <c r="P214" s="66">
        <f>'Project Database'!T218</f>
        <v/>
      </c>
      <c r="Q214" s="66">
        <f>'Project Database'!U218</f>
        <v/>
      </c>
      <c r="R214" s="66">
        <f>'Project Database'!V218</f>
        <v/>
      </c>
      <c r="S214" s="66">
        <f>'Project Database'!W218</f>
        <v/>
      </c>
      <c r="T214" s="66">
        <f>'Project Database'!X218</f>
        <v/>
      </c>
      <c r="U214" s="67">
        <f>'Project Database'!Y218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'Project Database'!Z218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IF(AND('Project Database'!A218&lt;&gt;"",OR('Smart Search'!$L$5="",'Smart Search'!$L$5="All",TRIM('Project Database'!D218)=TRIM('Smart Search'!$L$5)),OR(TRIM('Smart Search'!$L$6)="",TRIM('Smart Search'!$L$6)="All",ISNUMBER(SEARCH(SUBSTITUTE(SUBSTITUTE(SUBSTITUTE(TRIM('Smart Search'!$L$6),"~","~~"),"*","~*"),"?","~?"),'Project Database'!C218))),OR('Smart Search'!$L$7="",AND('Project Database'!E218&lt;&gt;"",'Project Database'!E218='Smart Search'!$L$7)),OR('Smart Search'!$L$8="",'Smart Search'!$L$8="All",TRIM('Project Database'!F218)=TRIM('Smart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IF('Project Database'!A218="","",N('Project Database'!AC218))</f>
        <v/>
      </c>
      <c r="BK214" s="5">
        <f>IF('Project Database'!A218="","",N('Project Database'!AD218))</f>
        <v/>
      </c>
      <c r="BL214" s="5">
        <f>IF('Project Database'!A218="","",N('Project Database'!AE218))</f>
        <v/>
      </c>
      <c r="BM214" s="5">
        <f>IF('Project Database'!A218="","",N('Project Database'!AF218))</f>
        <v/>
      </c>
      <c r="BN214" s="5">
        <f>IF('Project Database'!A218="","",N('Project Database'!AG218))</f>
        <v/>
      </c>
      <c r="BO214" s="5">
        <f>IF('Project Database'!A218="","",N('Project Database'!AH218))</f>
        <v/>
      </c>
      <c r="BP214" s="5">
        <f>IF('Project Database'!A218="","",N('Project Database'!AI218))</f>
        <v/>
      </c>
      <c r="BQ214" s="5">
        <f>IF('Project Database'!A218="","",N('Project Database'!AJ218))</f>
        <v/>
      </c>
      <c r="BR214" s="5">
        <f>IF('Project Database'!A218="","",N('Project Database'!AK218))</f>
        <v/>
      </c>
      <c r="BS214" s="5">
        <f>IF('Project Database'!A218="","",N('Project Database'!AL218))</f>
        <v/>
      </c>
      <c r="BT214" s="5">
        <f>IF('Project Database'!A218="","",N('Project Database'!AM218))</f>
        <v/>
      </c>
      <c r="BU214" s="5">
        <f>IF('Project Database'!A218="","",N('Project Database'!AN218))</f>
        <v/>
      </c>
      <c r="BV214" s="5">
        <f>IF('Project Database'!A218="","",N('Project Database'!AO218))</f>
        <v/>
      </c>
      <c r="BW214" s="5">
        <f>IF('Project Database'!A218="","",N('Project Database'!AP218))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</row>
    <row r="215" ht="15" customHeight="1" s="74">
      <c r="A215" s="66">
        <f>'Project Database'!A219</f>
        <v/>
      </c>
      <c r="B215" s="66">
        <f>'Project Database'!B219</f>
        <v/>
      </c>
      <c r="C215" s="66">
        <f>'Project Database'!G219</f>
        <v/>
      </c>
      <c r="D215" s="66">
        <f>'Project Database'!H219</f>
        <v/>
      </c>
      <c r="E215" s="66">
        <f>'Project Database'!I219</f>
        <v/>
      </c>
      <c r="F215" s="66">
        <f>'Project Database'!J219</f>
        <v/>
      </c>
      <c r="G215" s="66">
        <f>'Project Database'!K219</f>
        <v/>
      </c>
      <c r="H215" s="66">
        <f>'Project Database'!L219</f>
        <v/>
      </c>
      <c r="I215" s="66">
        <f>'Project Database'!M219</f>
        <v/>
      </c>
      <c r="J215" s="66">
        <f>'Project Database'!N219</f>
        <v/>
      </c>
      <c r="K215" s="66">
        <f>'Project Database'!O219</f>
        <v/>
      </c>
      <c r="L215" s="66">
        <f>'Project Database'!P219</f>
        <v/>
      </c>
      <c r="M215" s="66">
        <f>'Project Database'!Q219</f>
        <v/>
      </c>
      <c r="N215" s="66">
        <f>'Project Database'!R219</f>
        <v/>
      </c>
      <c r="O215" s="66">
        <f>'Project Database'!S219</f>
        <v/>
      </c>
      <c r="P215" s="66">
        <f>'Project Database'!T219</f>
        <v/>
      </c>
      <c r="Q215" s="66">
        <f>'Project Database'!U219</f>
        <v/>
      </c>
      <c r="R215" s="66">
        <f>'Project Database'!V219</f>
        <v/>
      </c>
      <c r="S215" s="66">
        <f>'Project Database'!W219</f>
        <v/>
      </c>
      <c r="T215" s="66">
        <f>'Project Database'!X219</f>
        <v/>
      </c>
      <c r="U215" s="67">
        <f>'Project Database'!Y219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'Project Database'!Z219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IF(AND('Project Database'!A219&lt;&gt;"",OR('Smart Search'!$L$5="",'Smart Search'!$L$5="All",TRIM('Project Database'!D219)=TRIM('Smart Search'!$L$5)),OR(TRIM('Smart Search'!$L$6)="",TRIM('Smart Search'!$L$6)="All",ISNUMBER(SEARCH(SUBSTITUTE(SUBSTITUTE(SUBSTITUTE(TRIM('Smart Search'!$L$6),"~","~~"),"*","~*"),"?","~?"),'Project Database'!C219))),OR('Smart Search'!$L$7="",AND('Project Database'!E219&lt;&gt;"",'Project Database'!E219='Smart Search'!$L$7)),OR('Smart Search'!$L$8="",'Smart Search'!$L$8="All",TRIM('Project Database'!F219)=TRIM('Smart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IF('Project Database'!A219="","",N('Project Database'!AC219))</f>
        <v/>
      </c>
      <c r="BK215" s="5">
        <f>IF('Project Database'!A219="","",N('Project Database'!AD219))</f>
        <v/>
      </c>
      <c r="BL215" s="5">
        <f>IF('Project Database'!A219="","",N('Project Database'!AE219))</f>
        <v/>
      </c>
      <c r="BM215" s="5">
        <f>IF('Project Database'!A219="","",N('Project Database'!AF219))</f>
        <v/>
      </c>
      <c r="BN215" s="5">
        <f>IF('Project Database'!A219="","",N('Project Database'!AG219))</f>
        <v/>
      </c>
      <c r="BO215" s="5">
        <f>IF('Project Database'!A219="","",N('Project Database'!AH219))</f>
        <v/>
      </c>
      <c r="BP215" s="5">
        <f>IF('Project Database'!A219="","",N('Project Database'!AI219))</f>
        <v/>
      </c>
      <c r="BQ215" s="5">
        <f>IF('Project Database'!A219="","",N('Project Database'!AJ219))</f>
        <v/>
      </c>
      <c r="BR215" s="5">
        <f>IF('Project Database'!A219="","",N('Project Database'!AK219))</f>
        <v/>
      </c>
      <c r="BS215" s="5">
        <f>IF('Project Database'!A219="","",N('Project Database'!AL219))</f>
        <v/>
      </c>
      <c r="BT215" s="5">
        <f>IF('Project Database'!A219="","",N('Project Database'!AM219))</f>
        <v/>
      </c>
      <c r="BU215" s="5">
        <f>IF('Project Database'!A219="","",N('Project Database'!AN219))</f>
        <v/>
      </c>
      <c r="BV215" s="5">
        <f>IF('Project Database'!A219="","",N('Project Database'!AO219))</f>
        <v/>
      </c>
      <c r="BW215" s="5">
        <f>IF('Project Database'!A219="","",N('Project Database'!AP219))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</row>
    <row r="216" ht="15" customHeight="1" s="74">
      <c r="A216" s="66">
        <f>'Project Database'!A220</f>
        <v/>
      </c>
      <c r="B216" s="66">
        <f>'Project Database'!B220</f>
        <v/>
      </c>
      <c r="C216" s="66">
        <f>'Project Database'!G220</f>
        <v/>
      </c>
      <c r="D216" s="66">
        <f>'Project Database'!H220</f>
        <v/>
      </c>
      <c r="E216" s="66">
        <f>'Project Database'!I220</f>
        <v/>
      </c>
      <c r="F216" s="66">
        <f>'Project Database'!J220</f>
        <v/>
      </c>
      <c r="G216" s="66">
        <f>'Project Database'!K220</f>
        <v/>
      </c>
      <c r="H216" s="66">
        <f>'Project Database'!L220</f>
        <v/>
      </c>
      <c r="I216" s="66">
        <f>'Project Database'!M220</f>
        <v/>
      </c>
      <c r="J216" s="66">
        <f>'Project Database'!N220</f>
        <v/>
      </c>
      <c r="K216" s="66">
        <f>'Project Database'!O220</f>
        <v/>
      </c>
      <c r="L216" s="66">
        <f>'Project Database'!P220</f>
        <v/>
      </c>
      <c r="M216" s="66">
        <f>'Project Database'!Q220</f>
        <v/>
      </c>
      <c r="N216" s="66">
        <f>'Project Database'!R220</f>
        <v/>
      </c>
      <c r="O216" s="66">
        <f>'Project Database'!S220</f>
        <v/>
      </c>
      <c r="P216" s="66">
        <f>'Project Database'!T220</f>
        <v/>
      </c>
      <c r="Q216" s="66">
        <f>'Project Database'!U220</f>
        <v/>
      </c>
      <c r="R216" s="66">
        <f>'Project Database'!V220</f>
        <v/>
      </c>
      <c r="S216" s="66">
        <f>'Project Database'!W220</f>
        <v/>
      </c>
      <c r="T216" s="66">
        <f>'Project Database'!X220</f>
        <v/>
      </c>
      <c r="U216" s="67">
        <f>'Project Database'!Y220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'Project Database'!Z220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IF(AND('Project Database'!A220&lt;&gt;"",OR('Smart Search'!$L$5="",'Smart Search'!$L$5="All",TRIM('Project Database'!D220)=TRIM('Smart Search'!$L$5)),OR(TRIM('Smart Search'!$L$6)="",TRIM('Smart Search'!$L$6)="All",ISNUMBER(SEARCH(SUBSTITUTE(SUBSTITUTE(SUBSTITUTE(TRIM('Smart Search'!$L$6),"~","~~"),"*","~*"),"?","~?"),'Project Database'!C220))),OR('Smart Search'!$L$7="",AND('Project Database'!E220&lt;&gt;"",'Project Database'!E220='Smart Search'!$L$7)),OR('Smart Search'!$L$8="",'Smart Search'!$L$8="All",TRIM('Project Database'!F220)=TRIM('Smart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IF('Project Database'!A220="","",N('Project Database'!AC220))</f>
        <v/>
      </c>
      <c r="BK216" s="5">
        <f>IF('Project Database'!A220="","",N('Project Database'!AD220))</f>
        <v/>
      </c>
      <c r="BL216" s="5">
        <f>IF('Project Database'!A220="","",N('Project Database'!AE220))</f>
        <v/>
      </c>
      <c r="BM216" s="5">
        <f>IF('Project Database'!A220="","",N('Project Database'!AF220))</f>
        <v/>
      </c>
      <c r="BN216" s="5">
        <f>IF('Project Database'!A220="","",N('Project Database'!AG220))</f>
        <v/>
      </c>
      <c r="BO216" s="5">
        <f>IF('Project Database'!A220="","",N('Project Database'!AH220))</f>
        <v/>
      </c>
      <c r="BP216" s="5">
        <f>IF('Project Database'!A220="","",N('Project Database'!AI220))</f>
        <v/>
      </c>
      <c r="BQ216" s="5">
        <f>IF('Project Database'!A220="","",N('Project Database'!AJ220))</f>
        <v/>
      </c>
      <c r="BR216" s="5">
        <f>IF('Project Database'!A220="","",N('Project Database'!AK220))</f>
        <v/>
      </c>
      <c r="BS216" s="5">
        <f>IF('Project Database'!A220="","",N('Project Database'!AL220))</f>
        <v/>
      </c>
      <c r="BT216" s="5">
        <f>IF('Project Database'!A220="","",N('Project Database'!AM220))</f>
        <v/>
      </c>
      <c r="BU216" s="5">
        <f>IF('Project Database'!A220="","",N('Project Database'!AN220))</f>
        <v/>
      </c>
      <c r="BV216" s="5">
        <f>IF('Project Database'!A220="","",N('Project Database'!AO220))</f>
        <v/>
      </c>
      <c r="BW216" s="5">
        <f>IF('Project Database'!A220="","",N('Project Database'!AP220))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</row>
    <row r="217" ht="15" customHeight="1" s="74">
      <c r="A217" s="66">
        <f>'Project Database'!A221</f>
        <v/>
      </c>
      <c r="B217" s="66">
        <f>'Project Database'!B221</f>
        <v/>
      </c>
      <c r="C217" s="66">
        <f>'Project Database'!G221</f>
        <v/>
      </c>
      <c r="D217" s="66">
        <f>'Project Database'!H221</f>
        <v/>
      </c>
      <c r="E217" s="66">
        <f>'Project Database'!I221</f>
        <v/>
      </c>
      <c r="F217" s="66">
        <f>'Project Database'!J221</f>
        <v/>
      </c>
      <c r="G217" s="66">
        <f>'Project Database'!K221</f>
        <v/>
      </c>
      <c r="H217" s="66">
        <f>'Project Database'!L221</f>
        <v/>
      </c>
      <c r="I217" s="66">
        <f>'Project Database'!M221</f>
        <v/>
      </c>
      <c r="J217" s="66">
        <f>'Project Database'!N221</f>
        <v/>
      </c>
      <c r="K217" s="66">
        <f>'Project Database'!O221</f>
        <v/>
      </c>
      <c r="L217" s="66">
        <f>'Project Database'!P221</f>
        <v/>
      </c>
      <c r="M217" s="66">
        <f>'Project Database'!Q221</f>
        <v/>
      </c>
      <c r="N217" s="66">
        <f>'Project Database'!R221</f>
        <v/>
      </c>
      <c r="O217" s="66">
        <f>'Project Database'!S221</f>
        <v/>
      </c>
      <c r="P217" s="66">
        <f>'Project Database'!T221</f>
        <v/>
      </c>
      <c r="Q217" s="66">
        <f>'Project Database'!U221</f>
        <v/>
      </c>
      <c r="R217" s="66">
        <f>'Project Database'!V221</f>
        <v/>
      </c>
      <c r="S217" s="66">
        <f>'Project Database'!W221</f>
        <v/>
      </c>
      <c r="T217" s="66">
        <f>'Project Database'!X221</f>
        <v/>
      </c>
      <c r="U217" s="67">
        <f>'Project Database'!Y221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'Project Database'!Z221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IF(AND('Project Database'!A221&lt;&gt;"",OR('Smart Search'!$L$5="",'Smart Search'!$L$5="All",TRIM('Project Database'!D221)=TRIM('Smart Search'!$L$5)),OR(TRIM('Smart Search'!$L$6)="",TRIM('Smart Search'!$L$6)="All",ISNUMBER(SEARCH(SUBSTITUTE(SUBSTITUTE(SUBSTITUTE(TRIM('Smart Search'!$L$6),"~","~~"),"*","~*"),"?","~?"),'Project Database'!C221))),OR('Smart Search'!$L$7="",AND('Project Database'!E221&lt;&gt;"",'Project Database'!E221='Smart Search'!$L$7)),OR('Smart Search'!$L$8="",'Smart Search'!$L$8="All",TRIM('Project Database'!F221)=TRIM('Smart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IF('Project Database'!A221="","",N('Project Database'!AC221))</f>
        <v/>
      </c>
      <c r="BK217" s="5">
        <f>IF('Project Database'!A221="","",N('Project Database'!AD221))</f>
        <v/>
      </c>
      <c r="BL217" s="5">
        <f>IF('Project Database'!A221="","",N('Project Database'!AE221))</f>
        <v/>
      </c>
      <c r="BM217" s="5">
        <f>IF('Project Database'!A221="","",N('Project Database'!AF221))</f>
        <v/>
      </c>
      <c r="BN217" s="5">
        <f>IF('Project Database'!A221="","",N('Project Database'!AG221))</f>
        <v/>
      </c>
      <c r="BO217" s="5">
        <f>IF('Project Database'!A221="","",N('Project Database'!AH221))</f>
        <v/>
      </c>
      <c r="BP217" s="5">
        <f>IF('Project Database'!A221="","",N('Project Database'!AI221))</f>
        <v/>
      </c>
      <c r="BQ217" s="5">
        <f>IF('Project Database'!A221="","",N('Project Database'!AJ221))</f>
        <v/>
      </c>
      <c r="BR217" s="5">
        <f>IF('Project Database'!A221="","",N('Project Database'!AK221))</f>
        <v/>
      </c>
      <c r="BS217" s="5">
        <f>IF('Project Database'!A221="","",N('Project Database'!AL221))</f>
        <v/>
      </c>
      <c r="BT217" s="5">
        <f>IF('Project Database'!A221="","",N('Project Database'!AM221))</f>
        <v/>
      </c>
      <c r="BU217" s="5">
        <f>IF('Project Database'!A221="","",N('Project Database'!AN221))</f>
        <v/>
      </c>
      <c r="BV217" s="5">
        <f>IF('Project Database'!A221="","",N('Project Database'!AO221))</f>
        <v/>
      </c>
      <c r="BW217" s="5">
        <f>IF('Project Database'!A221="","",N('Project Database'!AP221))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</row>
    <row r="218" ht="15" customHeight="1" s="74">
      <c r="A218" s="66">
        <f>'Project Database'!A222</f>
        <v/>
      </c>
      <c r="B218" s="66">
        <f>'Project Database'!B222</f>
        <v/>
      </c>
      <c r="C218" s="66">
        <f>'Project Database'!G222</f>
        <v/>
      </c>
      <c r="D218" s="66">
        <f>'Project Database'!H222</f>
        <v/>
      </c>
      <c r="E218" s="66">
        <f>'Project Database'!I222</f>
        <v/>
      </c>
      <c r="F218" s="66">
        <f>'Project Database'!J222</f>
        <v/>
      </c>
      <c r="G218" s="66">
        <f>'Project Database'!K222</f>
        <v/>
      </c>
      <c r="H218" s="66">
        <f>'Project Database'!L222</f>
        <v/>
      </c>
      <c r="I218" s="66">
        <f>'Project Database'!M222</f>
        <v/>
      </c>
      <c r="J218" s="66">
        <f>'Project Database'!N222</f>
        <v/>
      </c>
      <c r="K218" s="66">
        <f>'Project Database'!O222</f>
        <v/>
      </c>
      <c r="L218" s="66">
        <f>'Project Database'!P222</f>
        <v/>
      </c>
      <c r="M218" s="66">
        <f>'Project Database'!Q222</f>
        <v/>
      </c>
      <c r="N218" s="66">
        <f>'Project Database'!R222</f>
        <v/>
      </c>
      <c r="O218" s="66">
        <f>'Project Database'!S222</f>
        <v/>
      </c>
      <c r="P218" s="66">
        <f>'Project Database'!T222</f>
        <v/>
      </c>
      <c r="Q218" s="66">
        <f>'Project Database'!U222</f>
        <v/>
      </c>
      <c r="R218" s="66">
        <f>'Project Database'!V222</f>
        <v/>
      </c>
      <c r="S218" s="66">
        <f>'Project Database'!W222</f>
        <v/>
      </c>
      <c r="T218" s="66">
        <f>'Project Database'!X222</f>
        <v/>
      </c>
      <c r="U218" s="67">
        <f>'Project Database'!Y222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'Project Database'!Z222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IF(AND('Project Database'!A222&lt;&gt;"",OR('Smart Search'!$L$5="",'Smart Search'!$L$5="All",TRIM('Project Database'!D222)=TRIM('Smart Search'!$L$5)),OR(TRIM('Smart Search'!$L$6)="",TRIM('Smart Search'!$L$6)="All",ISNUMBER(SEARCH(SUBSTITUTE(SUBSTITUTE(SUBSTITUTE(TRIM('Smart Search'!$L$6),"~","~~"),"*","~*"),"?","~?"),'Project Database'!C222))),OR('Smart Search'!$L$7="",AND('Project Database'!E222&lt;&gt;"",'Project Database'!E222='Smart Search'!$L$7)),OR('Smart Search'!$L$8="",'Smart Search'!$L$8="All",TRIM('Project Database'!F222)=TRIM('Smart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IF('Project Database'!A222="","",N('Project Database'!AC222))</f>
        <v/>
      </c>
      <c r="BK218" s="5">
        <f>IF('Project Database'!A222="","",N('Project Database'!AD222))</f>
        <v/>
      </c>
      <c r="BL218" s="5">
        <f>IF('Project Database'!A222="","",N('Project Database'!AE222))</f>
        <v/>
      </c>
      <c r="BM218" s="5">
        <f>IF('Project Database'!A222="","",N('Project Database'!AF222))</f>
        <v/>
      </c>
      <c r="BN218" s="5">
        <f>IF('Project Database'!A222="","",N('Project Database'!AG222))</f>
        <v/>
      </c>
      <c r="BO218" s="5">
        <f>IF('Project Database'!A222="","",N('Project Database'!AH222))</f>
        <v/>
      </c>
      <c r="BP218" s="5">
        <f>IF('Project Database'!A222="","",N('Project Database'!AI222))</f>
        <v/>
      </c>
      <c r="BQ218" s="5">
        <f>IF('Project Database'!A222="","",N('Project Database'!AJ222))</f>
        <v/>
      </c>
      <c r="BR218" s="5">
        <f>IF('Project Database'!A222="","",N('Project Database'!AK222))</f>
        <v/>
      </c>
      <c r="BS218" s="5">
        <f>IF('Project Database'!A222="","",N('Project Database'!AL222))</f>
        <v/>
      </c>
      <c r="BT218" s="5">
        <f>IF('Project Database'!A222="","",N('Project Database'!AM222))</f>
        <v/>
      </c>
      <c r="BU218" s="5">
        <f>IF('Project Database'!A222="","",N('Project Database'!AN222))</f>
        <v/>
      </c>
      <c r="BV218" s="5">
        <f>IF('Project Database'!A222="","",N('Project Database'!AO222))</f>
        <v/>
      </c>
      <c r="BW218" s="5">
        <f>IF('Project Database'!A222="","",N('Project Database'!AP222))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</row>
    <row r="219" ht="15" customHeight="1" s="74">
      <c r="A219" s="66">
        <f>'Project Database'!A223</f>
        <v/>
      </c>
      <c r="B219" s="66">
        <f>'Project Database'!B223</f>
        <v/>
      </c>
      <c r="C219" s="66">
        <f>'Project Database'!G223</f>
        <v/>
      </c>
      <c r="D219" s="66">
        <f>'Project Database'!H223</f>
        <v/>
      </c>
      <c r="E219" s="66">
        <f>'Project Database'!I223</f>
        <v/>
      </c>
      <c r="F219" s="66">
        <f>'Project Database'!J223</f>
        <v/>
      </c>
      <c r="G219" s="66">
        <f>'Project Database'!K223</f>
        <v/>
      </c>
      <c r="H219" s="66">
        <f>'Project Database'!L223</f>
        <v/>
      </c>
      <c r="I219" s="66">
        <f>'Project Database'!M223</f>
        <v/>
      </c>
      <c r="J219" s="66">
        <f>'Project Database'!N223</f>
        <v/>
      </c>
      <c r="K219" s="66">
        <f>'Project Database'!O223</f>
        <v/>
      </c>
      <c r="L219" s="66">
        <f>'Project Database'!P223</f>
        <v/>
      </c>
      <c r="M219" s="66">
        <f>'Project Database'!Q223</f>
        <v/>
      </c>
      <c r="N219" s="66">
        <f>'Project Database'!R223</f>
        <v/>
      </c>
      <c r="O219" s="66">
        <f>'Project Database'!S223</f>
        <v/>
      </c>
      <c r="P219" s="66">
        <f>'Project Database'!T223</f>
        <v/>
      </c>
      <c r="Q219" s="66">
        <f>'Project Database'!U223</f>
        <v/>
      </c>
      <c r="R219" s="66">
        <f>'Project Database'!V223</f>
        <v/>
      </c>
      <c r="S219" s="66">
        <f>'Project Database'!W223</f>
        <v/>
      </c>
      <c r="T219" s="66">
        <f>'Project Database'!X223</f>
        <v/>
      </c>
      <c r="U219" s="67">
        <f>'Project Database'!Y223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'Project Database'!Z223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IF(AND('Project Database'!A223&lt;&gt;"",OR('Smart Search'!$L$5="",'Smart Search'!$L$5="All",TRIM('Project Database'!D223)=TRIM('Smart Search'!$L$5)),OR(TRIM('Smart Search'!$L$6)="",TRIM('Smart Search'!$L$6)="All",ISNUMBER(SEARCH(SUBSTITUTE(SUBSTITUTE(SUBSTITUTE(TRIM('Smart Search'!$L$6),"~","~~"),"*","~*"),"?","~?"),'Project Database'!C223))),OR('Smart Search'!$L$7="",AND('Project Database'!E223&lt;&gt;"",'Project Database'!E223='Smart Search'!$L$7)),OR('Smart Search'!$L$8="",'Smart Search'!$L$8="All",TRIM('Project Database'!F223)=TRIM('Smart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IF('Project Database'!A223="","",N('Project Database'!AC223))</f>
        <v/>
      </c>
      <c r="BK219" s="5">
        <f>IF('Project Database'!A223="","",N('Project Database'!AD223))</f>
        <v/>
      </c>
      <c r="BL219" s="5">
        <f>IF('Project Database'!A223="","",N('Project Database'!AE223))</f>
        <v/>
      </c>
      <c r="BM219" s="5">
        <f>IF('Project Database'!A223="","",N('Project Database'!AF223))</f>
        <v/>
      </c>
      <c r="BN219" s="5">
        <f>IF('Project Database'!A223="","",N('Project Database'!AG223))</f>
        <v/>
      </c>
      <c r="BO219" s="5">
        <f>IF('Project Database'!A223="","",N('Project Database'!AH223))</f>
        <v/>
      </c>
      <c r="BP219" s="5">
        <f>IF('Project Database'!A223="","",N('Project Database'!AI223))</f>
        <v/>
      </c>
      <c r="BQ219" s="5">
        <f>IF('Project Database'!A223="","",N('Project Database'!AJ223))</f>
        <v/>
      </c>
      <c r="BR219" s="5">
        <f>IF('Project Database'!A223="","",N('Project Database'!AK223))</f>
        <v/>
      </c>
      <c r="BS219" s="5">
        <f>IF('Project Database'!A223="","",N('Project Database'!AL223))</f>
        <v/>
      </c>
      <c r="BT219" s="5">
        <f>IF('Project Database'!A223="","",N('Project Database'!AM223))</f>
        <v/>
      </c>
      <c r="BU219" s="5">
        <f>IF('Project Database'!A223="","",N('Project Database'!AN223))</f>
        <v/>
      </c>
      <c r="BV219" s="5">
        <f>IF('Project Database'!A223="","",N('Project Database'!AO223))</f>
        <v/>
      </c>
      <c r="BW219" s="5">
        <f>IF('Project Database'!A223="","",N('Project Database'!AP223))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</row>
    <row r="220" ht="15" customHeight="1" s="74">
      <c r="A220" s="66">
        <f>'Project Database'!A224</f>
        <v/>
      </c>
      <c r="B220" s="66">
        <f>'Project Database'!B224</f>
        <v/>
      </c>
      <c r="C220" s="66">
        <f>'Project Database'!G224</f>
        <v/>
      </c>
      <c r="D220" s="66">
        <f>'Project Database'!H224</f>
        <v/>
      </c>
      <c r="E220" s="66">
        <f>'Project Database'!I224</f>
        <v/>
      </c>
      <c r="F220" s="66">
        <f>'Project Database'!J224</f>
        <v/>
      </c>
      <c r="G220" s="66">
        <f>'Project Database'!K224</f>
        <v/>
      </c>
      <c r="H220" s="66">
        <f>'Project Database'!L224</f>
        <v/>
      </c>
      <c r="I220" s="66">
        <f>'Project Database'!M224</f>
        <v/>
      </c>
      <c r="J220" s="66">
        <f>'Project Database'!N224</f>
        <v/>
      </c>
      <c r="K220" s="66">
        <f>'Project Database'!O224</f>
        <v/>
      </c>
      <c r="L220" s="66">
        <f>'Project Database'!P224</f>
        <v/>
      </c>
      <c r="M220" s="66">
        <f>'Project Database'!Q224</f>
        <v/>
      </c>
      <c r="N220" s="66">
        <f>'Project Database'!R224</f>
        <v/>
      </c>
      <c r="O220" s="66">
        <f>'Project Database'!S224</f>
        <v/>
      </c>
      <c r="P220" s="66">
        <f>'Project Database'!T224</f>
        <v/>
      </c>
      <c r="Q220" s="66">
        <f>'Project Database'!U224</f>
        <v/>
      </c>
      <c r="R220" s="66">
        <f>'Project Database'!V224</f>
        <v/>
      </c>
      <c r="S220" s="66">
        <f>'Project Database'!W224</f>
        <v/>
      </c>
      <c r="T220" s="66">
        <f>'Project Database'!X224</f>
        <v/>
      </c>
      <c r="U220" s="67">
        <f>'Project Database'!Y224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'Project Database'!Z224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IF(AND('Project Database'!A224&lt;&gt;"",OR('Smart Search'!$L$5="",'Smart Search'!$L$5="All",TRIM('Project Database'!D224)=TRIM('Smart Search'!$L$5)),OR(TRIM('Smart Search'!$L$6)="",TRIM('Smart Search'!$L$6)="All",ISNUMBER(SEARCH(SUBSTITUTE(SUBSTITUTE(SUBSTITUTE(TRIM('Smart Search'!$L$6),"~","~~"),"*","~*"),"?","~?"),'Project Database'!C224))),OR('Smart Search'!$L$7="",AND('Project Database'!E224&lt;&gt;"",'Project Database'!E224='Smart Search'!$L$7)),OR('Smart Search'!$L$8="",'Smart Search'!$L$8="All",TRIM('Project Database'!F224)=TRIM('Smart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IF('Project Database'!A224="","",N('Project Database'!AC224))</f>
        <v/>
      </c>
      <c r="BK220" s="5">
        <f>IF('Project Database'!A224="","",N('Project Database'!AD224))</f>
        <v/>
      </c>
      <c r="BL220" s="5">
        <f>IF('Project Database'!A224="","",N('Project Database'!AE224))</f>
        <v/>
      </c>
      <c r="BM220" s="5">
        <f>IF('Project Database'!A224="","",N('Project Database'!AF224))</f>
        <v/>
      </c>
      <c r="BN220" s="5">
        <f>IF('Project Database'!A224="","",N('Project Database'!AG224))</f>
        <v/>
      </c>
      <c r="BO220" s="5">
        <f>IF('Project Database'!A224="","",N('Project Database'!AH224))</f>
        <v/>
      </c>
      <c r="BP220" s="5">
        <f>IF('Project Database'!A224="","",N('Project Database'!AI224))</f>
        <v/>
      </c>
      <c r="BQ220" s="5">
        <f>IF('Project Database'!A224="","",N('Project Database'!AJ224))</f>
        <v/>
      </c>
      <c r="BR220" s="5">
        <f>IF('Project Database'!A224="","",N('Project Database'!AK224))</f>
        <v/>
      </c>
      <c r="BS220" s="5">
        <f>IF('Project Database'!A224="","",N('Project Database'!AL224))</f>
        <v/>
      </c>
      <c r="BT220" s="5">
        <f>IF('Project Database'!A224="","",N('Project Database'!AM224))</f>
        <v/>
      </c>
      <c r="BU220" s="5">
        <f>IF('Project Database'!A224="","",N('Project Database'!AN224))</f>
        <v/>
      </c>
      <c r="BV220" s="5">
        <f>IF('Project Database'!A224="","",N('Project Database'!AO224))</f>
        <v/>
      </c>
      <c r="BW220" s="5">
        <f>IF('Project Database'!A224="","",N('Project Database'!AP224))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</row>
    <row r="221" ht="15" customHeight="1" s="74">
      <c r="A221" s="66">
        <f>'Project Database'!A225</f>
        <v/>
      </c>
      <c r="B221" s="66">
        <f>'Project Database'!B225</f>
        <v/>
      </c>
      <c r="C221" s="66">
        <f>'Project Database'!G225</f>
        <v/>
      </c>
      <c r="D221" s="66">
        <f>'Project Database'!H225</f>
        <v/>
      </c>
      <c r="E221" s="66">
        <f>'Project Database'!I225</f>
        <v/>
      </c>
      <c r="F221" s="66">
        <f>'Project Database'!J225</f>
        <v/>
      </c>
      <c r="G221" s="66">
        <f>'Project Database'!K225</f>
        <v/>
      </c>
      <c r="H221" s="66">
        <f>'Project Database'!L225</f>
        <v/>
      </c>
      <c r="I221" s="66">
        <f>'Project Database'!M225</f>
        <v/>
      </c>
      <c r="J221" s="66">
        <f>'Project Database'!N225</f>
        <v/>
      </c>
      <c r="K221" s="66">
        <f>'Project Database'!O225</f>
        <v/>
      </c>
      <c r="L221" s="66">
        <f>'Project Database'!P225</f>
        <v/>
      </c>
      <c r="M221" s="66">
        <f>'Project Database'!Q225</f>
        <v/>
      </c>
      <c r="N221" s="66">
        <f>'Project Database'!R225</f>
        <v/>
      </c>
      <c r="O221" s="66">
        <f>'Project Database'!S225</f>
        <v/>
      </c>
      <c r="P221" s="66">
        <f>'Project Database'!T225</f>
        <v/>
      </c>
      <c r="Q221" s="66">
        <f>'Project Database'!U225</f>
        <v/>
      </c>
      <c r="R221" s="66">
        <f>'Project Database'!V225</f>
        <v/>
      </c>
      <c r="S221" s="66">
        <f>'Project Database'!W225</f>
        <v/>
      </c>
      <c r="T221" s="66">
        <f>'Project Database'!X225</f>
        <v/>
      </c>
      <c r="U221" s="67">
        <f>'Project Database'!Y225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'Project Database'!Z225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IF(AND('Project Database'!A225&lt;&gt;"",OR('Smart Search'!$L$5="",'Smart Search'!$L$5="All",TRIM('Project Database'!D225)=TRIM('Smart Search'!$L$5)),OR(TRIM('Smart Search'!$L$6)="",TRIM('Smart Search'!$L$6)="All",ISNUMBER(SEARCH(SUBSTITUTE(SUBSTITUTE(SUBSTITUTE(TRIM('Smart Search'!$L$6),"~","~~"),"*","~*"),"?","~?"),'Project Database'!C225))),OR('Smart Search'!$L$7="",AND('Project Database'!E225&lt;&gt;"",'Project Database'!E225='Smart Search'!$L$7)),OR('Smart Search'!$L$8="",'Smart Search'!$L$8="All",TRIM('Project Database'!F225)=TRIM('Smart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IF('Project Database'!A225="","",N('Project Database'!AC225))</f>
        <v/>
      </c>
      <c r="BK221" s="5">
        <f>IF('Project Database'!A225="","",N('Project Database'!AD225))</f>
        <v/>
      </c>
      <c r="BL221" s="5">
        <f>IF('Project Database'!A225="","",N('Project Database'!AE225))</f>
        <v/>
      </c>
      <c r="BM221" s="5">
        <f>IF('Project Database'!A225="","",N('Project Database'!AF225))</f>
        <v/>
      </c>
      <c r="BN221" s="5">
        <f>IF('Project Database'!A225="","",N('Project Database'!AG225))</f>
        <v/>
      </c>
      <c r="BO221" s="5">
        <f>IF('Project Database'!A225="","",N('Project Database'!AH225))</f>
        <v/>
      </c>
      <c r="BP221" s="5">
        <f>IF('Project Database'!A225="","",N('Project Database'!AI225))</f>
        <v/>
      </c>
      <c r="BQ221" s="5">
        <f>IF('Project Database'!A225="","",N('Project Database'!AJ225))</f>
        <v/>
      </c>
      <c r="BR221" s="5">
        <f>IF('Project Database'!A225="","",N('Project Database'!AK225))</f>
        <v/>
      </c>
      <c r="BS221" s="5">
        <f>IF('Project Database'!A225="","",N('Project Database'!AL225))</f>
        <v/>
      </c>
      <c r="BT221" s="5">
        <f>IF('Project Database'!A225="","",N('Project Database'!AM225))</f>
        <v/>
      </c>
      <c r="BU221" s="5">
        <f>IF('Project Database'!A225="","",N('Project Database'!AN225))</f>
        <v/>
      </c>
      <c r="BV221" s="5">
        <f>IF('Project Database'!A225="","",N('Project Database'!AO225))</f>
        <v/>
      </c>
      <c r="BW221" s="5">
        <f>IF('Project Database'!A225="","",N('Project Database'!AP225))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</row>
    <row r="222" ht="15" customHeight="1" s="74">
      <c r="A222" s="66">
        <f>'Project Database'!A226</f>
        <v/>
      </c>
      <c r="B222" s="66">
        <f>'Project Database'!B226</f>
        <v/>
      </c>
      <c r="C222" s="66">
        <f>'Project Database'!G226</f>
        <v/>
      </c>
      <c r="D222" s="66">
        <f>'Project Database'!H226</f>
        <v/>
      </c>
      <c r="E222" s="66">
        <f>'Project Database'!I226</f>
        <v/>
      </c>
      <c r="F222" s="66">
        <f>'Project Database'!J226</f>
        <v/>
      </c>
      <c r="G222" s="66">
        <f>'Project Database'!K226</f>
        <v/>
      </c>
      <c r="H222" s="66">
        <f>'Project Database'!L226</f>
        <v/>
      </c>
      <c r="I222" s="66">
        <f>'Project Database'!M226</f>
        <v/>
      </c>
      <c r="J222" s="66">
        <f>'Project Database'!N226</f>
        <v/>
      </c>
      <c r="K222" s="66">
        <f>'Project Database'!O226</f>
        <v/>
      </c>
      <c r="L222" s="66">
        <f>'Project Database'!P226</f>
        <v/>
      </c>
      <c r="M222" s="66">
        <f>'Project Database'!Q226</f>
        <v/>
      </c>
      <c r="N222" s="66">
        <f>'Project Database'!R226</f>
        <v/>
      </c>
      <c r="O222" s="66">
        <f>'Project Database'!S226</f>
        <v/>
      </c>
      <c r="P222" s="66">
        <f>'Project Database'!T226</f>
        <v/>
      </c>
      <c r="Q222" s="66">
        <f>'Project Database'!U226</f>
        <v/>
      </c>
      <c r="R222" s="66">
        <f>'Project Database'!V226</f>
        <v/>
      </c>
      <c r="S222" s="66">
        <f>'Project Database'!W226</f>
        <v/>
      </c>
      <c r="T222" s="66">
        <f>'Project Database'!X226</f>
        <v/>
      </c>
      <c r="U222" s="67">
        <f>'Project Database'!Y226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'Project Database'!Z226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IF(AND('Project Database'!A226&lt;&gt;"",OR('Smart Search'!$L$5="",'Smart Search'!$L$5="All",TRIM('Project Database'!D226)=TRIM('Smart Search'!$L$5)),OR(TRIM('Smart Search'!$L$6)="",TRIM('Smart Search'!$L$6)="All",ISNUMBER(SEARCH(SUBSTITUTE(SUBSTITUTE(SUBSTITUTE(TRIM('Smart Search'!$L$6),"~","~~"),"*","~*"),"?","~?"),'Project Database'!C226))),OR('Smart Search'!$L$7="",AND('Project Database'!E226&lt;&gt;"",'Project Database'!E226='Smart Search'!$L$7)),OR('Smart Search'!$L$8="",'Smart Search'!$L$8="All",TRIM('Project Database'!F226)=TRIM('Smart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IF('Project Database'!A226="","",N('Project Database'!AC226))</f>
        <v/>
      </c>
      <c r="BK222" s="5">
        <f>IF('Project Database'!A226="","",N('Project Database'!AD226))</f>
        <v/>
      </c>
      <c r="BL222" s="5">
        <f>IF('Project Database'!A226="","",N('Project Database'!AE226))</f>
        <v/>
      </c>
      <c r="BM222" s="5">
        <f>IF('Project Database'!A226="","",N('Project Database'!AF226))</f>
        <v/>
      </c>
      <c r="BN222" s="5">
        <f>IF('Project Database'!A226="","",N('Project Database'!AG226))</f>
        <v/>
      </c>
      <c r="BO222" s="5">
        <f>IF('Project Database'!A226="","",N('Project Database'!AH226))</f>
        <v/>
      </c>
      <c r="BP222" s="5">
        <f>IF('Project Database'!A226="","",N('Project Database'!AI226))</f>
        <v/>
      </c>
      <c r="BQ222" s="5">
        <f>IF('Project Database'!A226="","",N('Project Database'!AJ226))</f>
        <v/>
      </c>
      <c r="BR222" s="5">
        <f>IF('Project Database'!A226="","",N('Project Database'!AK226))</f>
        <v/>
      </c>
      <c r="BS222" s="5">
        <f>IF('Project Database'!A226="","",N('Project Database'!AL226))</f>
        <v/>
      </c>
      <c r="BT222" s="5">
        <f>IF('Project Database'!A226="","",N('Project Database'!AM226))</f>
        <v/>
      </c>
      <c r="BU222" s="5">
        <f>IF('Project Database'!A226="","",N('Project Database'!AN226))</f>
        <v/>
      </c>
      <c r="BV222" s="5">
        <f>IF('Project Database'!A226="","",N('Project Database'!AO226))</f>
        <v/>
      </c>
      <c r="BW222" s="5">
        <f>IF('Project Database'!A226="","",N('Project Database'!AP226))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</row>
    <row r="223" ht="15" customHeight="1" s="74">
      <c r="A223" s="66">
        <f>'Project Database'!A227</f>
        <v/>
      </c>
      <c r="B223" s="66">
        <f>'Project Database'!B227</f>
        <v/>
      </c>
      <c r="C223" s="66">
        <f>'Project Database'!G227</f>
        <v/>
      </c>
      <c r="D223" s="66">
        <f>'Project Database'!H227</f>
        <v/>
      </c>
      <c r="E223" s="66">
        <f>'Project Database'!I227</f>
        <v/>
      </c>
      <c r="F223" s="66">
        <f>'Project Database'!J227</f>
        <v/>
      </c>
      <c r="G223" s="66">
        <f>'Project Database'!K227</f>
        <v/>
      </c>
      <c r="H223" s="66">
        <f>'Project Database'!L227</f>
        <v/>
      </c>
      <c r="I223" s="66">
        <f>'Project Database'!M227</f>
        <v/>
      </c>
      <c r="J223" s="66">
        <f>'Project Database'!N227</f>
        <v/>
      </c>
      <c r="K223" s="66">
        <f>'Project Database'!O227</f>
        <v/>
      </c>
      <c r="L223" s="66">
        <f>'Project Database'!P227</f>
        <v/>
      </c>
      <c r="M223" s="66">
        <f>'Project Database'!Q227</f>
        <v/>
      </c>
      <c r="N223" s="66">
        <f>'Project Database'!R227</f>
        <v/>
      </c>
      <c r="O223" s="66">
        <f>'Project Database'!S227</f>
        <v/>
      </c>
      <c r="P223" s="66">
        <f>'Project Database'!T227</f>
        <v/>
      </c>
      <c r="Q223" s="66">
        <f>'Project Database'!U227</f>
        <v/>
      </c>
      <c r="R223" s="66">
        <f>'Project Database'!V227</f>
        <v/>
      </c>
      <c r="S223" s="66">
        <f>'Project Database'!W227</f>
        <v/>
      </c>
      <c r="T223" s="66">
        <f>'Project Database'!X227</f>
        <v/>
      </c>
      <c r="U223" s="67">
        <f>'Project Database'!Y227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'Project Database'!Z227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IF(AND('Project Database'!A227&lt;&gt;"",OR('Smart Search'!$L$5="",'Smart Search'!$L$5="All",TRIM('Project Database'!D227)=TRIM('Smart Search'!$L$5)),OR(TRIM('Smart Search'!$L$6)="",TRIM('Smart Search'!$L$6)="All",ISNUMBER(SEARCH(SUBSTITUTE(SUBSTITUTE(SUBSTITUTE(TRIM('Smart Search'!$L$6),"~","~~"),"*","~*"),"?","~?"),'Project Database'!C227))),OR('Smart Search'!$L$7="",AND('Project Database'!E227&lt;&gt;"",'Project Database'!E227='Smart Search'!$L$7)),OR('Smart Search'!$L$8="",'Smart Search'!$L$8="All",TRIM('Project Database'!F227)=TRIM('Smart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IF('Project Database'!A227="","",N('Project Database'!AC227))</f>
        <v/>
      </c>
      <c r="BK223" s="5">
        <f>IF('Project Database'!A227="","",N('Project Database'!AD227))</f>
        <v/>
      </c>
      <c r="BL223" s="5">
        <f>IF('Project Database'!A227="","",N('Project Database'!AE227))</f>
        <v/>
      </c>
      <c r="BM223" s="5">
        <f>IF('Project Database'!A227="","",N('Project Database'!AF227))</f>
        <v/>
      </c>
      <c r="BN223" s="5">
        <f>IF('Project Database'!A227="","",N('Project Database'!AG227))</f>
        <v/>
      </c>
      <c r="BO223" s="5">
        <f>IF('Project Database'!A227="","",N('Project Database'!AH227))</f>
        <v/>
      </c>
      <c r="BP223" s="5">
        <f>IF('Project Database'!A227="","",N('Project Database'!AI227))</f>
        <v/>
      </c>
      <c r="BQ223" s="5">
        <f>IF('Project Database'!A227="","",N('Project Database'!AJ227))</f>
        <v/>
      </c>
      <c r="BR223" s="5">
        <f>IF('Project Database'!A227="","",N('Project Database'!AK227))</f>
        <v/>
      </c>
      <c r="BS223" s="5">
        <f>IF('Project Database'!A227="","",N('Project Database'!AL227))</f>
        <v/>
      </c>
      <c r="BT223" s="5">
        <f>IF('Project Database'!A227="","",N('Project Database'!AM227))</f>
        <v/>
      </c>
      <c r="BU223" s="5">
        <f>IF('Project Database'!A227="","",N('Project Database'!AN227))</f>
        <v/>
      </c>
      <c r="BV223" s="5">
        <f>IF('Project Database'!A227="","",N('Project Database'!AO227))</f>
        <v/>
      </c>
      <c r="BW223" s="5">
        <f>IF('Project Database'!A227="","",N('Project Database'!AP227))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</row>
    <row r="224" ht="15" customHeight="1" s="74">
      <c r="A224" s="66">
        <f>'Project Database'!A228</f>
        <v/>
      </c>
      <c r="B224" s="66">
        <f>'Project Database'!B228</f>
        <v/>
      </c>
      <c r="C224" s="66">
        <f>'Project Database'!G228</f>
        <v/>
      </c>
      <c r="D224" s="66">
        <f>'Project Database'!H228</f>
        <v/>
      </c>
      <c r="E224" s="66">
        <f>'Project Database'!I228</f>
        <v/>
      </c>
      <c r="F224" s="66">
        <f>'Project Database'!J228</f>
        <v/>
      </c>
      <c r="G224" s="66">
        <f>'Project Database'!K228</f>
        <v/>
      </c>
      <c r="H224" s="66">
        <f>'Project Database'!L228</f>
        <v/>
      </c>
      <c r="I224" s="66">
        <f>'Project Database'!M228</f>
        <v/>
      </c>
      <c r="J224" s="66">
        <f>'Project Database'!N228</f>
        <v/>
      </c>
      <c r="K224" s="66">
        <f>'Project Database'!O228</f>
        <v/>
      </c>
      <c r="L224" s="66">
        <f>'Project Database'!P228</f>
        <v/>
      </c>
      <c r="M224" s="66">
        <f>'Project Database'!Q228</f>
        <v/>
      </c>
      <c r="N224" s="66">
        <f>'Project Database'!R228</f>
        <v/>
      </c>
      <c r="O224" s="66">
        <f>'Project Database'!S228</f>
        <v/>
      </c>
      <c r="P224" s="66">
        <f>'Project Database'!T228</f>
        <v/>
      </c>
      <c r="Q224" s="66">
        <f>'Project Database'!U228</f>
        <v/>
      </c>
      <c r="R224" s="66">
        <f>'Project Database'!V228</f>
        <v/>
      </c>
      <c r="S224" s="66">
        <f>'Project Database'!W228</f>
        <v/>
      </c>
      <c r="T224" s="66">
        <f>'Project Database'!X228</f>
        <v/>
      </c>
      <c r="U224" s="67">
        <f>'Project Database'!Y228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'Project Database'!Z228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IF(AND('Project Database'!A228&lt;&gt;"",OR('Smart Search'!$L$5="",'Smart Search'!$L$5="All",TRIM('Project Database'!D228)=TRIM('Smart Search'!$L$5)),OR(TRIM('Smart Search'!$L$6)="",TRIM('Smart Search'!$L$6)="All",ISNUMBER(SEARCH(SUBSTITUTE(SUBSTITUTE(SUBSTITUTE(TRIM('Smart Search'!$L$6),"~","~~"),"*","~*"),"?","~?"),'Project Database'!C228))),OR('Smart Search'!$L$7="",AND('Project Database'!E228&lt;&gt;"",'Project Database'!E228='Smart Search'!$L$7)),OR('Smart Search'!$L$8="",'Smart Search'!$L$8="All",TRIM('Project Database'!F228)=TRIM('Smart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IF('Project Database'!A228="","",N('Project Database'!AC228))</f>
        <v/>
      </c>
      <c r="BK224" s="5">
        <f>IF('Project Database'!A228="","",N('Project Database'!AD228))</f>
        <v/>
      </c>
      <c r="BL224" s="5">
        <f>IF('Project Database'!A228="","",N('Project Database'!AE228))</f>
        <v/>
      </c>
      <c r="BM224" s="5">
        <f>IF('Project Database'!A228="","",N('Project Database'!AF228))</f>
        <v/>
      </c>
      <c r="BN224" s="5">
        <f>IF('Project Database'!A228="","",N('Project Database'!AG228))</f>
        <v/>
      </c>
      <c r="BO224" s="5">
        <f>IF('Project Database'!A228="","",N('Project Database'!AH228))</f>
        <v/>
      </c>
      <c r="BP224" s="5">
        <f>IF('Project Database'!A228="","",N('Project Database'!AI228))</f>
        <v/>
      </c>
      <c r="BQ224" s="5">
        <f>IF('Project Database'!A228="","",N('Project Database'!AJ228))</f>
        <v/>
      </c>
      <c r="BR224" s="5">
        <f>IF('Project Database'!A228="","",N('Project Database'!AK228))</f>
        <v/>
      </c>
      <c r="BS224" s="5">
        <f>IF('Project Database'!A228="","",N('Project Database'!AL228))</f>
        <v/>
      </c>
      <c r="BT224" s="5">
        <f>IF('Project Database'!A228="","",N('Project Database'!AM228))</f>
        <v/>
      </c>
      <c r="BU224" s="5">
        <f>IF('Project Database'!A228="","",N('Project Database'!AN228))</f>
        <v/>
      </c>
      <c r="BV224" s="5">
        <f>IF('Project Database'!A228="","",N('Project Database'!AO228))</f>
        <v/>
      </c>
      <c r="BW224" s="5">
        <f>IF('Project Database'!A228="","",N('Project Database'!AP228))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</row>
    <row r="225" ht="15" customHeight="1" s="74">
      <c r="A225" s="66">
        <f>'Project Database'!A229</f>
        <v/>
      </c>
      <c r="B225" s="66">
        <f>'Project Database'!B229</f>
        <v/>
      </c>
      <c r="C225" s="66">
        <f>'Project Database'!G229</f>
        <v/>
      </c>
      <c r="D225" s="66">
        <f>'Project Database'!H229</f>
        <v/>
      </c>
      <c r="E225" s="66">
        <f>'Project Database'!I229</f>
        <v/>
      </c>
      <c r="F225" s="66">
        <f>'Project Database'!J229</f>
        <v/>
      </c>
      <c r="G225" s="66">
        <f>'Project Database'!K229</f>
        <v/>
      </c>
      <c r="H225" s="66">
        <f>'Project Database'!L229</f>
        <v/>
      </c>
      <c r="I225" s="66">
        <f>'Project Database'!M229</f>
        <v/>
      </c>
      <c r="J225" s="66">
        <f>'Project Database'!N229</f>
        <v/>
      </c>
      <c r="K225" s="66">
        <f>'Project Database'!O229</f>
        <v/>
      </c>
      <c r="L225" s="66">
        <f>'Project Database'!P229</f>
        <v/>
      </c>
      <c r="M225" s="66">
        <f>'Project Database'!Q229</f>
        <v/>
      </c>
      <c r="N225" s="66">
        <f>'Project Database'!R229</f>
        <v/>
      </c>
      <c r="O225" s="66">
        <f>'Project Database'!S229</f>
        <v/>
      </c>
      <c r="P225" s="66">
        <f>'Project Database'!T229</f>
        <v/>
      </c>
      <c r="Q225" s="66">
        <f>'Project Database'!U229</f>
        <v/>
      </c>
      <c r="R225" s="66">
        <f>'Project Database'!V229</f>
        <v/>
      </c>
      <c r="S225" s="66">
        <f>'Project Database'!W229</f>
        <v/>
      </c>
      <c r="T225" s="66">
        <f>'Project Database'!X229</f>
        <v/>
      </c>
      <c r="U225" s="67">
        <f>'Project Database'!Y229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'Project Database'!Z229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IF(AND('Project Database'!A229&lt;&gt;"",OR('Smart Search'!$L$5="",'Smart Search'!$L$5="All",TRIM('Project Database'!D229)=TRIM('Smart Search'!$L$5)),OR(TRIM('Smart Search'!$L$6)="",TRIM('Smart Search'!$L$6)="All",ISNUMBER(SEARCH(SUBSTITUTE(SUBSTITUTE(SUBSTITUTE(TRIM('Smart Search'!$L$6),"~","~~"),"*","~*"),"?","~?"),'Project Database'!C229))),OR('Smart Search'!$L$7="",AND('Project Database'!E229&lt;&gt;"",'Project Database'!E229='Smart Search'!$L$7)),OR('Smart Search'!$L$8="",'Smart Search'!$L$8="All",TRIM('Project Database'!F229)=TRIM('Smart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IF('Project Database'!A229="","",N('Project Database'!AC229))</f>
        <v/>
      </c>
      <c r="BK225" s="5">
        <f>IF('Project Database'!A229="","",N('Project Database'!AD229))</f>
        <v/>
      </c>
      <c r="BL225" s="5">
        <f>IF('Project Database'!A229="","",N('Project Database'!AE229))</f>
        <v/>
      </c>
      <c r="BM225" s="5">
        <f>IF('Project Database'!A229="","",N('Project Database'!AF229))</f>
        <v/>
      </c>
      <c r="BN225" s="5">
        <f>IF('Project Database'!A229="","",N('Project Database'!AG229))</f>
        <v/>
      </c>
      <c r="BO225" s="5">
        <f>IF('Project Database'!A229="","",N('Project Database'!AH229))</f>
        <v/>
      </c>
      <c r="BP225" s="5">
        <f>IF('Project Database'!A229="","",N('Project Database'!AI229))</f>
        <v/>
      </c>
      <c r="BQ225" s="5">
        <f>IF('Project Database'!A229="","",N('Project Database'!AJ229))</f>
        <v/>
      </c>
      <c r="BR225" s="5">
        <f>IF('Project Database'!A229="","",N('Project Database'!AK229))</f>
        <v/>
      </c>
      <c r="BS225" s="5">
        <f>IF('Project Database'!A229="","",N('Project Database'!AL229))</f>
        <v/>
      </c>
      <c r="BT225" s="5">
        <f>IF('Project Database'!A229="","",N('Project Database'!AM229))</f>
        <v/>
      </c>
      <c r="BU225" s="5">
        <f>IF('Project Database'!A229="","",N('Project Database'!AN229))</f>
        <v/>
      </c>
      <c r="BV225" s="5">
        <f>IF('Project Database'!A229="","",N('Project Database'!AO229))</f>
        <v/>
      </c>
      <c r="BW225" s="5">
        <f>IF('Project Database'!A229="","",N('Project Database'!AP229))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</row>
    <row r="226" ht="15" customHeight="1" s="74">
      <c r="A226" s="66">
        <f>'Project Database'!A230</f>
        <v/>
      </c>
      <c r="B226" s="66">
        <f>'Project Database'!B230</f>
        <v/>
      </c>
      <c r="C226" s="66">
        <f>'Project Database'!G230</f>
        <v/>
      </c>
      <c r="D226" s="66">
        <f>'Project Database'!H230</f>
        <v/>
      </c>
      <c r="E226" s="66">
        <f>'Project Database'!I230</f>
        <v/>
      </c>
      <c r="F226" s="66">
        <f>'Project Database'!J230</f>
        <v/>
      </c>
      <c r="G226" s="66">
        <f>'Project Database'!K230</f>
        <v/>
      </c>
      <c r="H226" s="66">
        <f>'Project Database'!L230</f>
        <v/>
      </c>
      <c r="I226" s="66">
        <f>'Project Database'!M230</f>
        <v/>
      </c>
      <c r="J226" s="66">
        <f>'Project Database'!N230</f>
        <v/>
      </c>
      <c r="K226" s="66">
        <f>'Project Database'!O230</f>
        <v/>
      </c>
      <c r="L226" s="66">
        <f>'Project Database'!P230</f>
        <v/>
      </c>
      <c r="M226" s="66">
        <f>'Project Database'!Q230</f>
        <v/>
      </c>
      <c r="N226" s="66">
        <f>'Project Database'!R230</f>
        <v/>
      </c>
      <c r="O226" s="66">
        <f>'Project Database'!S230</f>
        <v/>
      </c>
      <c r="P226" s="66">
        <f>'Project Database'!T230</f>
        <v/>
      </c>
      <c r="Q226" s="66">
        <f>'Project Database'!U230</f>
        <v/>
      </c>
      <c r="R226" s="66">
        <f>'Project Database'!V230</f>
        <v/>
      </c>
      <c r="S226" s="66">
        <f>'Project Database'!W230</f>
        <v/>
      </c>
      <c r="T226" s="66">
        <f>'Project Database'!X230</f>
        <v/>
      </c>
      <c r="U226" s="67">
        <f>'Project Database'!Y230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'Project Database'!Z230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IF(AND('Project Database'!A230&lt;&gt;"",OR('Smart Search'!$L$5="",'Smart Search'!$L$5="All",TRIM('Project Database'!D230)=TRIM('Smart Search'!$L$5)),OR(TRIM('Smart Search'!$L$6)="",TRIM('Smart Search'!$L$6)="All",ISNUMBER(SEARCH(SUBSTITUTE(SUBSTITUTE(SUBSTITUTE(TRIM('Smart Search'!$L$6),"~","~~"),"*","~*"),"?","~?"),'Project Database'!C230))),OR('Smart Search'!$L$7="",AND('Project Database'!E230&lt;&gt;"",'Project Database'!E230='Smart Search'!$L$7)),OR('Smart Search'!$L$8="",'Smart Search'!$L$8="All",TRIM('Project Database'!F230)=TRIM('Smart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IF('Project Database'!A230="","",N('Project Database'!AC230))</f>
        <v/>
      </c>
      <c r="BK226" s="5">
        <f>IF('Project Database'!A230="","",N('Project Database'!AD230))</f>
        <v/>
      </c>
      <c r="BL226" s="5">
        <f>IF('Project Database'!A230="","",N('Project Database'!AE230))</f>
        <v/>
      </c>
      <c r="BM226" s="5">
        <f>IF('Project Database'!A230="","",N('Project Database'!AF230))</f>
        <v/>
      </c>
      <c r="BN226" s="5">
        <f>IF('Project Database'!A230="","",N('Project Database'!AG230))</f>
        <v/>
      </c>
      <c r="BO226" s="5">
        <f>IF('Project Database'!A230="","",N('Project Database'!AH230))</f>
        <v/>
      </c>
      <c r="BP226" s="5">
        <f>IF('Project Database'!A230="","",N('Project Database'!AI230))</f>
        <v/>
      </c>
      <c r="BQ226" s="5">
        <f>IF('Project Database'!A230="","",N('Project Database'!AJ230))</f>
        <v/>
      </c>
      <c r="BR226" s="5">
        <f>IF('Project Database'!A230="","",N('Project Database'!AK230))</f>
        <v/>
      </c>
      <c r="BS226" s="5">
        <f>IF('Project Database'!A230="","",N('Project Database'!AL230))</f>
        <v/>
      </c>
      <c r="BT226" s="5">
        <f>IF('Project Database'!A230="","",N('Project Database'!AM230))</f>
        <v/>
      </c>
      <c r="BU226" s="5">
        <f>IF('Project Database'!A230="","",N('Project Database'!AN230))</f>
        <v/>
      </c>
      <c r="BV226" s="5">
        <f>IF('Project Database'!A230="","",N('Project Database'!AO230))</f>
        <v/>
      </c>
      <c r="BW226" s="5">
        <f>IF('Project Database'!A230="","",N('Project Database'!AP230))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</row>
    <row r="227" ht="15" customHeight="1" s="74">
      <c r="A227" s="66">
        <f>'Project Database'!A231</f>
        <v/>
      </c>
      <c r="B227" s="66">
        <f>'Project Database'!B231</f>
        <v/>
      </c>
      <c r="C227" s="66">
        <f>'Project Database'!G231</f>
        <v/>
      </c>
      <c r="D227" s="66">
        <f>'Project Database'!H231</f>
        <v/>
      </c>
      <c r="E227" s="66">
        <f>'Project Database'!I231</f>
        <v/>
      </c>
      <c r="F227" s="66">
        <f>'Project Database'!J231</f>
        <v/>
      </c>
      <c r="G227" s="66">
        <f>'Project Database'!K231</f>
        <v/>
      </c>
      <c r="H227" s="66">
        <f>'Project Database'!L231</f>
        <v/>
      </c>
      <c r="I227" s="66">
        <f>'Project Database'!M231</f>
        <v/>
      </c>
      <c r="J227" s="66">
        <f>'Project Database'!N231</f>
        <v/>
      </c>
      <c r="K227" s="66">
        <f>'Project Database'!O231</f>
        <v/>
      </c>
      <c r="L227" s="66">
        <f>'Project Database'!P231</f>
        <v/>
      </c>
      <c r="M227" s="66">
        <f>'Project Database'!Q231</f>
        <v/>
      </c>
      <c r="N227" s="66">
        <f>'Project Database'!R231</f>
        <v/>
      </c>
      <c r="O227" s="66">
        <f>'Project Database'!S231</f>
        <v/>
      </c>
      <c r="P227" s="66">
        <f>'Project Database'!T231</f>
        <v/>
      </c>
      <c r="Q227" s="66">
        <f>'Project Database'!U231</f>
        <v/>
      </c>
      <c r="R227" s="66">
        <f>'Project Database'!V231</f>
        <v/>
      </c>
      <c r="S227" s="66">
        <f>'Project Database'!W231</f>
        <v/>
      </c>
      <c r="T227" s="66">
        <f>'Project Database'!X231</f>
        <v/>
      </c>
      <c r="U227" s="67">
        <f>'Project Database'!Y231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'Project Database'!Z231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IF(AND('Project Database'!A231&lt;&gt;"",OR('Smart Search'!$L$5="",'Smart Search'!$L$5="All",TRIM('Project Database'!D231)=TRIM('Smart Search'!$L$5)),OR(TRIM('Smart Search'!$L$6)="",TRIM('Smart Search'!$L$6)="All",ISNUMBER(SEARCH(SUBSTITUTE(SUBSTITUTE(SUBSTITUTE(TRIM('Smart Search'!$L$6),"~","~~"),"*","~*"),"?","~?"),'Project Database'!C231))),OR('Smart Search'!$L$7="",AND('Project Database'!E231&lt;&gt;"",'Project Database'!E231='Smart Search'!$L$7)),OR('Smart Search'!$L$8="",'Smart Search'!$L$8="All",TRIM('Project Database'!F231)=TRIM('Smart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IF('Project Database'!A231="","",N('Project Database'!AC231))</f>
        <v/>
      </c>
      <c r="BK227" s="5">
        <f>IF('Project Database'!A231="","",N('Project Database'!AD231))</f>
        <v/>
      </c>
      <c r="BL227" s="5">
        <f>IF('Project Database'!A231="","",N('Project Database'!AE231))</f>
        <v/>
      </c>
      <c r="BM227" s="5">
        <f>IF('Project Database'!A231="","",N('Project Database'!AF231))</f>
        <v/>
      </c>
      <c r="BN227" s="5">
        <f>IF('Project Database'!A231="","",N('Project Database'!AG231))</f>
        <v/>
      </c>
      <c r="BO227" s="5">
        <f>IF('Project Database'!A231="","",N('Project Database'!AH231))</f>
        <v/>
      </c>
      <c r="BP227" s="5">
        <f>IF('Project Database'!A231="","",N('Project Database'!AI231))</f>
        <v/>
      </c>
      <c r="BQ227" s="5">
        <f>IF('Project Database'!A231="","",N('Project Database'!AJ231))</f>
        <v/>
      </c>
      <c r="BR227" s="5">
        <f>IF('Project Database'!A231="","",N('Project Database'!AK231))</f>
        <v/>
      </c>
      <c r="BS227" s="5">
        <f>IF('Project Database'!A231="","",N('Project Database'!AL231))</f>
        <v/>
      </c>
      <c r="BT227" s="5">
        <f>IF('Project Database'!A231="","",N('Project Database'!AM231))</f>
        <v/>
      </c>
      <c r="BU227" s="5">
        <f>IF('Project Database'!A231="","",N('Project Database'!AN231))</f>
        <v/>
      </c>
      <c r="BV227" s="5">
        <f>IF('Project Database'!A231="","",N('Project Database'!AO231))</f>
        <v/>
      </c>
      <c r="BW227" s="5">
        <f>IF('Project Database'!A231="","",N('Project Database'!AP231))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</row>
    <row r="228" ht="15" customHeight="1" s="74">
      <c r="A228" s="66">
        <f>'Project Database'!A232</f>
        <v/>
      </c>
      <c r="B228" s="66">
        <f>'Project Database'!B232</f>
        <v/>
      </c>
      <c r="C228" s="66">
        <f>'Project Database'!G232</f>
        <v/>
      </c>
      <c r="D228" s="66">
        <f>'Project Database'!H232</f>
        <v/>
      </c>
      <c r="E228" s="66">
        <f>'Project Database'!I232</f>
        <v/>
      </c>
      <c r="F228" s="66">
        <f>'Project Database'!J232</f>
        <v/>
      </c>
      <c r="G228" s="66">
        <f>'Project Database'!K232</f>
        <v/>
      </c>
      <c r="H228" s="66">
        <f>'Project Database'!L232</f>
        <v/>
      </c>
      <c r="I228" s="66">
        <f>'Project Database'!M232</f>
        <v/>
      </c>
      <c r="J228" s="66">
        <f>'Project Database'!N232</f>
        <v/>
      </c>
      <c r="K228" s="66">
        <f>'Project Database'!O232</f>
        <v/>
      </c>
      <c r="L228" s="66">
        <f>'Project Database'!P232</f>
        <v/>
      </c>
      <c r="M228" s="66">
        <f>'Project Database'!Q232</f>
        <v/>
      </c>
      <c r="N228" s="66">
        <f>'Project Database'!R232</f>
        <v/>
      </c>
      <c r="O228" s="66">
        <f>'Project Database'!S232</f>
        <v/>
      </c>
      <c r="P228" s="66">
        <f>'Project Database'!T232</f>
        <v/>
      </c>
      <c r="Q228" s="66">
        <f>'Project Database'!U232</f>
        <v/>
      </c>
      <c r="R228" s="66">
        <f>'Project Database'!V232</f>
        <v/>
      </c>
      <c r="S228" s="66">
        <f>'Project Database'!W232</f>
        <v/>
      </c>
      <c r="T228" s="66">
        <f>'Project Database'!X232</f>
        <v/>
      </c>
      <c r="U228" s="67">
        <f>'Project Database'!Y232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'Project Database'!Z232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IF(AND('Project Database'!A232&lt;&gt;"",OR('Smart Search'!$L$5="",'Smart Search'!$L$5="All",TRIM('Project Database'!D232)=TRIM('Smart Search'!$L$5)),OR(TRIM('Smart Search'!$L$6)="",TRIM('Smart Search'!$L$6)="All",ISNUMBER(SEARCH(SUBSTITUTE(SUBSTITUTE(SUBSTITUTE(TRIM('Smart Search'!$L$6),"~","~~"),"*","~*"),"?","~?"),'Project Database'!C232))),OR('Smart Search'!$L$7="",AND('Project Database'!E232&lt;&gt;"",'Project Database'!E232='Smart Search'!$L$7)),OR('Smart Search'!$L$8="",'Smart Search'!$L$8="All",TRIM('Project Database'!F232)=TRIM('Smart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IF('Project Database'!A232="","",N('Project Database'!AC232))</f>
        <v/>
      </c>
      <c r="BK228" s="5">
        <f>IF('Project Database'!A232="","",N('Project Database'!AD232))</f>
        <v/>
      </c>
      <c r="BL228" s="5">
        <f>IF('Project Database'!A232="","",N('Project Database'!AE232))</f>
        <v/>
      </c>
      <c r="BM228" s="5">
        <f>IF('Project Database'!A232="","",N('Project Database'!AF232))</f>
        <v/>
      </c>
      <c r="BN228" s="5">
        <f>IF('Project Database'!A232="","",N('Project Database'!AG232))</f>
        <v/>
      </c>
      <c r="BO228" s="5">
        <f>IF('Project Database'!A232="","",N('Project Database'!AH232))</f>
        <v/>
      </c>
      <c r="BP228" s="5">
        <f>IF('Project Database'!A232="","",N('Project Database'!AI232))</f>
        <v/>
      </c>
      <c r="BQ228" s="5">
        <f>IF('Project Database'!A232="","",N('Project Database'!AJ232))</f>
        <v/>
      </c>
      <c r="BR228" s="5">
        <f>IF('Project Database'!A232="","",N('Project Database'!AK232))</f>
        <v/>
      </c>
      <c r="BS228" s="5">
        <f>IF('Project Database'!A232="","",N('Project Database'!AL232))</f>
        <v/>
      </c>
      <c r="BT228" s="5">
        <f>IF('Project Database'!A232="","",N('Project Database'!AM232))</f>
        <v/>
      </c>
      <c r="BU228" s="5">
        <f>IF('Project Database'!A232="","",N('Project Database'!AN232))</f>
        <v/>
      </c>
      <c r="BV228" s="5">
        <f>IF('Project Database'!A232="","",N('Project Database'!AO232))</f>
        <v/>
      </c>
      <c r="BW228" s="5">
        <f>IF('Project Database'!A232="","",N('Project Database'!AP232))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</row>
    <row r="229" ht="15" customHeight="1" s="74">
      <c r="A229" s="66">
        <f>'Project Database'!A233</f>
        <v/>
      </c>
      <c r="B229" s="66">
        <f>'Project Database'!B233</f>
        <v/>
      </c>
      <c r="C229" s="66">
        <f>'Project Database'!G233</f>
        <v/>
      </c>
      <c r="D229" s="66">
        <f>'Project Database'!H233</f>
        <v/>
      </c>
      <c r="E229" s="66">
        <f>'Project Database'!I233</f>
        <v/>
      </c>
      <c r="F229" s="66">
        <f>'Project Database'!J233</f>
        <v/>
      </c>
      <c r="G229" s="66">
        <f>'Project Database'!K233</f>
        <v/>
      </c>
      <c r="H229" s="66">
        <f>'Project Database'!L233</f>
        <v/>
      </c>
      <c r="I229" s="66">
        <f>'Project Database'!M233</f>
        <v/>
      </c>
      <c r="J229" s="66">
        <f>'Project Database'!N233</f>
        <v/>
      </c>
      <c r="K229" s="66">
        <f>'Project Database'!O233</f>
        <v/>
      </c>
      <c r="L229" s="66">
        <f>'Project Database'!P233</f>
        <v/>
      </c>
      <c r="M229" s="66">
        <f>'Project Database'!Q233</f>
        <v/>
      </c>
      <c r="N229" s="66">
        <f>'Project Database'!R233</f>
        <v/>
      </c>
      <c r="O229" s="66">
        <f>'Project Database'!S233</f>
        <v/>
      </c>
      <c r="P229" s="66">
        <f>'Project Database'!T233</f>
        <v/>
      </c>
      <c r="Q229" s="66">
        <f>'Project Database'!U233</f>
        <v/>
      </c>
      <c r="R229" s="66">
        <f>'Project Database'!V233</f>
        <v/>
      </c>
      <c r="S229" s="66">
        <f>'Project Database'!W233</f>
        <v/>
      </c>
      <c r="T229" s="66">
        <f>'Project Database'!X233</f>
        <v/>
      </c>
      <c r="U229" s="67">
        <f>'Project Database'!Y233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'Project Database'!Z233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IF(AND('Project Database'!A233&lt;&gt;"",OR('Smart Search'!$L$5="",'Smart Search'!$L$5="All",TRIM('Project Database'!D233)=TRIM('Smart Search'!$L$5)),OR(TRIM('Smart Search'!$L$6)="",TRIM('Smart Search'!$L$6)="All",ISNUMBER(SEARCH(SUBSTITUTE(SUBSTITUTE(SUBSTITUTE(TRIM('Smart Search'!$L$6),"~","~~"),"*","~*"),"?","~?"),'Project Database'!C233))),OR('Smart Search'!$L$7="",AND('Project Database'!E233&lt;&gt;"",'Project Database'!E233='Smart Search'!$L$7)),OR('Smart Search'!$L$8="",'Smart Search'!$L$8="All",TRIM('Project Database'!F233)=TRIM('Smart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IF('Project Database'!A233="","",N('Project Database'!AC233))</f>
        <v/>
      </c>
      <c r="BK229" s="5">
        <f>IF('Project Database'!A233="","",N('Project Database'!AD233))</f>
        <v/>
      </c>
      <c r="BL229" s="5">
        <f>IF('Project Database'!A233="","",N('Project Database'!AE233))</f>
        <v/>
      </c>
      <c r="BM229" s="5">
        <f>IF('Project Database'!A233="","",N('Project Database'!AF233))</f>
        <v/>
      </c>
      <c r="BN229" s="5">
        <f>IF('Project Database'!A233="","",N('Project Database'!AG233))</f>
        <v/>
      </c>
      <c r="BO229" s="5">
        <f>IF('Project Database'!A233="","",N('Project Database'!AH233))</f>
        <v/>
      </c>
      <c r="BP229" s="5">
        <f>IF('Project Database'!A233="","",N('Project Database'!AI233))</f>
        <v/>
      </c>
      <c r="BQ229" s="5">
        <f>IF('Project Database'!A233="","",N('Project Database'!AJ233))</f>
        <v/>
      </c>
      <c r="BR229" s="5">
        <f>IF('Project Database'!A233="","",N('Project Database'!AK233))</f>
        <v/>
      </c>
      <c r="BS229" s="5">
        <f>IF('Project Database'!A233="","",N('Project Database'!AL233))</f>
        <v/>
      </c>
      <c r="BT229" s="5">
        <f>IF('Project Database'!A233="","",N('Project Database'!AM233))</f>
        <v/>
      </c>
      <c r="BU229" s="5">
        <f>IF('Project Database'!A233="","",N('Project Database'!AN233))</f>
        <v/>
      </c>
      <c r="BV229" s="5">
        <f>IF('Project Database'!A233="","",N('Project Database'!AO233))</f>
        <v/>
      </c>
      <c r="BW229" s="5">
        <f>IF('Project Database'!A233="","",N('Project Database'!AP233))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</row>
    <row r="230" ht="15" customHeight="1" s="74">
      <c r="A230" s="66">
        <f>'Project Database'!A234</f>
        <v/>
      </c>
      <c r="B230" s="66">
        <f>'Project Database'!B234</f>
        <v/>
      </c>
      <c r="C230" s="66">
        <f>'Project Database'!G234</f>
        <v/>
      </c>
      <c r="D230" s="66">
        <f>'Project Database'!H234</f>
        <v/>
      </c>
      <c r="E230" s="66">
        <f>'Project Database'!I234</f>
        <v/>
      </c>
      <c r="F230" s="66">
        <f>'Project Database'!J234</f>
        <v/>
      </c>
      <c r="G230" s="66">
        <f>'Project Database'!K234</f>
        <v/>
      </c>
      <c r="H230" s="66">
        <f>'Project Database'!L234</f>
        <v/>
      </c>
      <c r="I230" s="66">
        <f>'Project Database'!M234</f>
        <v/>
      </c>
      <c r="J230" s="66">
        <f>'Project Database'!N234</f>
        <v/>
      </c>
      <c r="K230" s="66">
        <f>'Project Database'!O234</f>
        <v/>
      </c>
      <c r="L230" s="66">
        <f>'Project Database'!P234</f>
        <v/>
      </c>
      <c r="M230" s="66">
        <f>'Project Database'!Q234</f>
        <v/>
      </c>
      <c r="N230" s="66">
        <f>'Project Database'!R234</f>
        <v/>
      </c>
      <c r="O230" s="66">
        <f>'Project Database'!S234</f>
        <v/>
      </c>
      <c r="P230" s="66">
        <f>'Project Database'!T234</f>
        <v/>
      </c>
      <c r="Q230" s="66">
        <f>'Project Database'!U234</f>
        <v/>
      </c>
      <c r="R230" s="66">
        <f>'Project Database'!V234</f>
        <v/>
      </c>
      <c r="S230" s="66">
        <f>'Project Database'!W234</f>
        <v/>
      </c>
      <c r="T230" s="66">
        <f>'Project Database'!X234</f>
        <v/>
      </c>
      <c r="U230" s="67">
        <f>'Project Database'!Y234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'Project Database'!Z234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IF(AND('Project Database'!A234&lt;&gt;"",OR('Smart Search'!$L$5="",'Smart Search'!$L$5="All",TRIM('Project Database'!D234)=TRIM('Smart Search'!$L$5)),OR(TRIM('Smart Search'!$L$6)="",TRIM('Smart Search'!$L$6)="All",ISNUMBER(SEARCH(SUBSTITUTE(SUBSTITUTE(SUBSTITUTE(TRIM('Smart Search'!$L$6),"~","~~"),"*","~*"),"?","~?"),'Project Database'!C234))),OR('Smart Search'!$L$7="",AND('Project Database'!E234&lt;&gt;"",'Project Database'!E234='Smart Search'!$L$7)),OR('Smart Search'!$L$8="",'Smart Search'!$L$8="All",TRIM('Project Database'!F234)=TRIM('Smart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IF('Project Database'!A234="","",N('Project Database'!AC234))</f>
        <v/>
      </c>
      <c r="BK230" s="5">
        <f>IF('Project Database'!A234="","",N('Project Database'!AD234))</f>
        <v/>
      </c>
      <c r="BL230" s="5">
        <f>IF('Project Database'!A234="","",N('Project Database'!AE234))</f>
        <v/>
      </c>
      <c r="BM230" s="5">
        <f>IF('Project Database'!A234="","",N('Project Database'!AF234))</f>
        <v/>
      </c>
      <c r="BN230" s="5">
        <f>IF('Project Database'!A234="","",N('Project Database'!AG234))</f>
        <v/>
      </c>
      <c r="BO230" s="5">
        <f>IF('Project Database'!A234="","",N('Project Database'!AH234))</f>
        <v/>
      </c>
      <c r="BP230" s="5">
        <f>IF('Project Database'!A234="","",N('Project Database'!AI234))</f>
        <v/>
      </c>
      <c r="BQ230" s="5">
        <f>IF('Project Database'!A234="","",N('Project Database'!AJ234))</f>
        <v/>
      </c>
      <c r="BR230" s="5">
        <f>IF('Project Database'!A234="","",N('Project Database'!AK234))</f>
        <v/>
      </c>
      <c r="BS230" s="5">
        <f>IF('Project Database'!A234="","",N('Project Database'!AL234))</f>
        <v/>
      </c>
      <c r="BT230" s="5">
        <f>IF('Project Database'!A234="","",N('Project Database'!AM234))</f>
        <v/>
      </c>
      <c r="BU230" s="5">
        <f>IF('Project Database'!A234="","",N('Project Database'!AN234))</f>
        <v/>
      </c>
      <c r="BV230" s="5">
        <f>IF('Project Database'!A234="","",N('Project Database'!AO234))</f>
        <v/>
      </c>
      <c r="BW230" s="5">
        <f>IF('Project Database'!A234="","",N('Project Database'!AP234))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</row>
    <row r="231" ht="15" customHeight="1" s="74">
      <c r="A231" s="66">
        <f>'Project Database'!A235</f>
        <v/>
      </c>
      <c r="B231" s="66">
        <f>'Project Database'!B235</f>
        <v/>
      </c>
      <c r="C231" s="66">
        <f>'Project Database'!G235</f>
        <v/>
      </c>
      <c r="D231" s="66">
        <f>'Project Database'!H235</f>
        <v/>
      </c>
      <c r="E231" s="66">
        <f>'Project Database'!I235</f>
        <v/>
      </c>
      <c r="F231" s="66">
        <f>'Project Database'!J235</f>
        <v/>
      </c>
      <c r="G231" s="66">
        <f>'Project Database'!K235</f>
        <v/>
      </c>
      <c r="H231" s="66">
        <f>'Project Database'!L235</f>
        <v/>
      </c>
      <c r="I231" s="66">
        <f>'Project Database'!M235</f>
        <v/>
      </c>
      <c r="J231" s="66">
        <f>'Project Database'!N235</f>
        <v/>
      </c>
      <c r="K231" s="66">
        <f>'Project Database'!O235</f>
        <v/>
      </c>
      <c r="L231" s="66">
        <f>'Project Database'!P235</f>
        <v/>
      </c>
      <c r="M231" s="66">
        <f>'Project Database'!Q235</f>
        <v/>
      </c>
      <c r="N231" s="66">
        <f>'Project Database'!R235</f>
        <v/>
      </c>
      <c r="O231" s="66">
        <f>'Project Database'!S235</f>
        <v/>
      </c>
      <c r="P231" s="66">
        <f>'Project Database'!T235</f>
        <v/>
      </c>
      <c r="Q231" s="66">
        <f>'Project Database'!U235</f>
        <v/>
      </c>
      <c r="R231" s="66">
        <f>'Project Database'!V235</f>
        <v/>
      </c>
      <c r="S231" s="66">
        <f>'Project Database'!W235</f>
        <v/>
      </c>
      <c r="T231" s="66">
        <f>'Project Database'!X235</f>
        <v/>
      </c>
      <c r="U231" s="67">
        <f>'Project Database'!Y235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'Project Database'!Z235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IF(AND('Project Database'!A235&lt;&gt;"",OR('Smart Search'!$L$5="",'Smart Search'!$L$5="All",TRIM('Project Database'!D235)=TRIM('Smart Search'!$L$5)),OR(TRIM('Smart Search'!$L$6)="",TRIM('Smart Search'!$L$6)="All",ISNUMBER(SEARCH(SUBSTITUTE(SUBSTITUTE(SUBSTITUTE(TRIM('Smart Search'!$L$6),"~","~~"),"*","~*"),"?","~?"),'Project Database'!C235))),OR('Smart Search'!$L$7="",AND('Project Database'!E235&lt;&gt;"",'Project Database'!E235='Smart Search'!$L$7)),OR('Smart Search'!$L$8="",'Smart Search'!$L$8="All",TRIM('Project Database'!F235)=TRIM('Smart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IF('Project Database'!A235="","",N('Project Database'!AC235))</f>
        <v/>
      </c>
      <c r="BK231" s="5">
        <f>IF('Project Database'!A235="","",N('Project Database'!AD235))</f>
        <v/>
      </c>
      <c r="BL231" s="5">
        <f>IF('Project Database'!A235="","",N('Project Database'!AE235))</f>
        <v/>
      </c>
      <c r="BM231" s="5">
        <f>IF('Project Database'!A235="","",N('Project Database'!AF235))</f>
        <v/>
      </c>
      <c r="BN231" s="5">
        <f>IF('Project Database'!A235="","",N('Project Database'!AG235))</f>
        <v/>
      </c>
      <c r="BO231" s="5">
        <f>IF('Project Database'!A235="","",N('Project Database'!AH235))</f>
        <v/>
      </c>
      <c r="BP231" s="5">
        <f>IF('Project Database'!A235="","",N('Project Database'!AI235))</f>
        <v/>
      </c>
      <c r="BQ231" s="5">
        <f>IF('Project Database'!A235="","",N('Project Database'!AJ235))</f>
        <v/>
      </c>
      <c r="BR231" s="5">
        <f>IF('Project Database'!A235="","",N('Project Database'!AK235))</f>
        <v/>
      </c>
      <c r="BS231" s="5">
        <f>IF('Project Database'!A235="","",N('Project Database'!AL235))</f>
        <v/>
      </c>
      <c r="BT231" s="5">
        <f>IF('Project Database'!A235="","",N('Project Database'!AM235))</f>
        <v/>
      </c>
      <c r="BU231" s="5">
        <f>IF('Project Database'!A235="","",N('Project Database'!AN235))</f>
        <v/>
      </c>
      <c r="BV231" s="5">
        <f>IF('Project Database'!A235="","",N('Project Database'!AO235))</f>
        <v/>
      </c>
      <c r="BW231" s="5">
        <f>IF('Project Database'!A235="","",N('Project Database'!AP235))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</row>
    <row r="232" ht="15" customHeight="1" s="74">
      <c r="A232" s="66">
        <f>'Project Database'!A236</f>
        <v/>
      </c>
      <c r="B232" s="66">
        <f>'Project Database'!B236</f>
        <v/>
      </c>
      <c r="C232" s="66">
        <f>'Project Database'!G236</f>
        <v/>
      </c>
      <c r="D232" s="66">
        <f>'Project Database'!H236</f>
        <v/>
      </c>
      <c r="E232" s="66">
        <f>'Project Database'!I236</f>
        <v/>
      </c>
      <c r="F232" s="66">
        <f>'Project Database'!J236</f>
        <v/>
      </c>
      <c r="G232" s="66">
        <f>'Project Database'!K236</f>
        <v/>
      </c>
      <c r="H232" s="66">
        <f>'Project Database'!L236</f>
        <v/>
      </c>
      <c r="I232" s="66">
        <f>'Project Database'!M236</f>
        <v/>
      </c>
      <c r="J232" s="66">
        <f>'Project Database'!N236</f>
        <v/>
      </c>
      <c r="K232" s="66">
        <f>'Project Database'!O236</f>
        <v/>
      </c>
      <c r="L232" s="66">
        <f>'Project Database'!P236</f>
        <v/>
      </c>
      <c r="M232" s="66">
        <f>'Project Database'!Q236</f>
        <v/>
      </c>
      <c r="N232" s="66">
        <f>'Project Database'!R236</f>
        <v/>
      </c>
      <c r="O232" s="66">
        <f>'Project Database'!S236</f>
        <v/>
      </c>
      <c r="P232" s="66">
        <f>'Project Database'!T236</f>
        <v/>
      </c>
      <c r="Q232" s="66">
        <f>'Project Database'!U236</f>
        <v/>
      </c>
      <c r="R232" s="66">
        <f>'Project Database'!V236</f>
        <v/>
      </c>
      <c r="S232" s="66">
        <f>'Project Database'!W236</f>
        <v/>
      </c>
      <c r="T232" s="66">
        <f>'Project Database'!X236</f>
        <v/>
      </c>
      <c r="U232" s="67">
        <f>'Project Database'!Y236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'Project Database'!Z236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IF(AND('Project Database'!A236&lt;&gt;"",OR('Smart Search'!$L$5="",'Smart Search'!$L$5="All",TRIM('Project Database'!D236)=TRIM('Smart Search'!$L$5)),OR(TRIM('Smart Search'!$L$6)="",TRIM('Smart Search'!$L$6)="All",ISNUMBER(SEARCH(SUBSTITUTE(SUBSTITUTE(SUBSTITUTE(TRIM('Smart Search'!$L$6),"~","~~"),"*","~*"),"?","~?"),'Project Database'!C236))),OR('Smart Search'!$L$7="",AND('Project Database'!E236&lt;&gt;"",'Project Database'!E236='Smart Search'!$L$7)),OR('Smart Search'!$L$8="",'Smart Search'!$L$8="All",TRIM('Project Database'!F236)=TRIM('Smart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IF('Project Database'!A236="","",N('Project Database'!AC236))</f>
        <v/>
      </c>
      <c r="BK232" s="5">
        <f>IF('Project Database'!A236="","",N('Project Database'!AD236))</f>
        <v/>
      </c>
      <c r="BL232" s="5">
        <f>IF('Project Database'!A236="","",N('Project Database'!AE236))</f>
        <v/>
      </c>
      <c r="BM232" s="5">
        <f>IF('Project Database'!A236="","",N('Project Database'!AF236))</f>
        <v/>
      </c>
      <c r="BN232" s="5">
        <f>IF('Project Database'!A236="","",N('Project Database'!AG236))</f>
        <v/>
      </c>
      <c r="BO232" s="5">
        <f>IF('Project Database'!A236="","",N('Project Database'!AH236))</f>
        <v/>
      </c>
      <c r="BP232" s="5">
        <f>IF('Project Database'!A236="","",N('Project Database'!AI236))</f>
        <v/>
      </c>
      <c r="BQ232" s="5">
        <f>IF('Project Database'!A236="","",N('Project Database'!AJ236))</f>
        <v/>
      </c>
      <c r="BR232" s="5">
        <f>IF('Project Database'!A236="","",N('Project Database'!AK236))</f>
        <v/>
      </c>
      <c r="BS232" s="5">
        <f>IF('Project Database'!A236="","",N('Project Database'!AL236))</f>
        <v/>
      </c>
      <c r="BT232" s="5">
        <f>IF('Project Database'!A236="","",N('Project Database'!AM236))</f>
        <v/>
      </c>
      <c r="BU232" s="5">
        <f>IF('Project Database'!A236="","",N('Project Database'!AN236))</f>
        <v/>
      </c>
      <c r="BV232" s="5">
        <f>IF('Project Database'!A236="","",N('Project Database'!AO236))</f>
        <v/>
      </c>
      <c r="BW232" s="5">
        <f>IF('Project Database'!A236="","",N('Project Database'!AP236))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</row>
    <row r="233" ht="15" customHeight="1" s="74">
      <c r="A233" s="66">
        <f>'Project Database'!A237</f>
        <v/>
      </c>
      <c r="B233" s="66">
        <f>'Project Database'!B237</f>
        <v/>
      </c>
      <c r="C233" s="66">
        <f>'Project Database'!G237</f>
        <v/>
      </c>
      <c r="D233" s="66">
        <f>'Project Database'!H237</f>
        <v/>
      </c>
      <c r="E233" s="66">
        <f>'Project Database'!I237</f>
        <v/>
      </c>
      <c r="F233" s="66">
        <f>'Project Database'!J237</f>
        <v/>
      </c>
      <c r="G233" s="66">
        <f>'Project Database'!K237</f>
        <v/>
      </c>
      <c r="H233" s="66">
        <f>'Project Database'!L237</f>
        <v/>
      </c>
      <c r="I233" s="66">
        <f>'Project Database'!M237</f>
        <v/>
      </c>
      <c r="J233" s="66">
        <f>'Project Database'!N237</f>
        <v/>
      </c>
      <c r="K233" s="66">
        <f>'Project Database'!O237</f>
        <v/>
      </c>
      <c r="L233" s="66">
        <f>'Project Database'!P237</f>
        <v/>
      </c>
      <c r="M233" s="66">
        <f>'Project Database'!Q237</f>
        <v/>
      </c>
      <c r="N233" s="66">
        <f>'Project Database'!R237</f>
        <v/>
      </c>
      <c r="O233" s="66">
        <f>'Project Database'!S237</f>
        <v/>
      </c>
      <c r="P233" s="66">
        <f>'Project Database'!T237</f>
        <v/>
      </c>
      <c r="Q233" s="66">
        <f>'Project Database'!U237</f>
        <v/>
      </c>
      <c r="R233" s="66">
        <f>'Project Database'!V237</f>
        <v/>
      </c>
      <c r="S233" s="66">
        <f>'Project Database'!W237</f>
        <v/>
      </c>
      <c r="T233" s="66">
        <f>'Project Database'!X237</f>
        <v/>
      </c>
      <c r="U233" s="67">
        <f>'Project Database'!Y237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'Project Database'!Z237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IF(AND('Project Database'!A237&lt;&gt;"",OR('Smart Search'!$L$5="",'Smart Search'!$L$5="All",TRIM('Project Database'!D237)=TRIM('Smart Search'!$L$5)),OR(TRIM('Smart Search'!$L$6)="",TRIM('Smart Search'!$L$6)="All",ISNUMBER(SEARCH(SUBSTITUTE(SUBSTITUTE(SUBSTITUTE(TRIM('Smart Search'!$L$6),"~","~~"),"*","~*"),"?","~?"),'Project Database'!C237))),OR('Smart Search'!$L$7="",AND('Project Database'!E237&lt;&gt;"",'Project Database'!E237='Smart Search'!$L$7)),OR('Smart Search'!$L$8="",'Smart Search'!$L$8="All",TRIM('Project Database'!F237)=TRIM('Smart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IF('Project Database'!A237="","",N('Project Database'!AC237))</f>
        <v/>
      </c>
      <c r="BK233" s="5">
        <f>IF('Project Database'!A237="","",N('Project Database'!AD237))</f>
        <v/>
      </c>
      <c r="BL233" s="5">
        <f>IF('Project Database'!A237="","",N('Project Database'!AE237))</f>
        <v/>
      </c>
      <c r="BM233" s="5">
        <f>IF('Project Database'!A237="","",N('Project Database'!AF237))</f>
        <v/>
      </c>
      <c r="BN233" s="5">
        <f>IF('Project Database'!A237="","",N('Project Database'!AG237))</f>
        <v/>
      </c>
      <c r="BO233" s="5">
        <f>IF('Project Database'!A237="","",N('Project Database'!AH237))</f>
        <v/>
      </c>
      <c r="BP233" s="5">
        <f>IF('Project Database'!A237="","",N('Project Database'!AI237))</f>
        <v/>
      </c>
      <c r="BQ233" s="5">
        <f>IF('Project Database'!A237="","",N('Project Database'!AJ237))</f>
        <v/>
      </c>
      <c r="BR233" s="5">
        <f>IF('Project Database'!A237="","",N('Project Database'!AK237))</f>
        <v/>
      </c>
      <c r="BS233" s="5">
        <f>IF('Project Database'!A237="","",N('Project Database'!AL237))</f>
        <v/>
      </c>
      <c r="BT233" s="5">
        <f>IF('Project Database'!A237="","",N('Project Database'!AM237))</f>
        <v/>
      </c>
      <c r="BU233" s="5">
        <f>IF('Project Database'!A237="","",N('Project Database'!AN237))</f>
        <v/>
      </c>
      <c r="BV233" s="5">
        <f>IF('Project Database'!A237="","",N('Project Database'!AO237))</f>
        <v/>
      </c>
      <c r="BW233" s="5">
        <f>IF('Project Database'!A237="","",N('Project Database'!AP237))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</row>
    <row r="234" ht="15" customHeight="1" s="74">
      <c r="A234" s="66">
        <f>'Project Database'!A238</f>
        <v/>
      </c>
      <c r="B234" s="66">
        <f>'Project Database'!B238</f>
        <v/>
      </c>
      <c r="C234" s="66">
        <f>'Project Database'!G238</f>
        <v/>
      </c>
      <c r="D234" s="66">
        <f>'Project Database'!H238</f>
        <v/>
      </c>
      <c r="E234" s="66">
        <f>'Project Database'!I238</f>
        <v/>
      </c>
      <c r="F234" s="66">
        <f>'Project Database'!J238</f>
        <v/>
      </c>
      <c r="G234" s="66">
        <f>'Project Database'!K238</f>
        <v/>
      </c>
      <c r="H234" s="66">
        <f>'Project Database'!L238</f>
        <v/>
      </c>
      <c r="I234" s="66">
        <f>'Project Database'!M238</f>
        <v/>
      </c>
      <c r="J234" s="66">
        <f>'Project Database'!N238</f>
        <v/>
      </c>
      <c r="K234" s="66">
        <f>'Project Database'!O238</f>
        <v/>
      </c>
      <c r="L234" s="66">
        <f>'Project Database'!P238</f>
        <v/>
      </c>
      <c r="M234" s="66">
        <f>'Project Database'!Q238</f>
        <v/>
      </c>
      <c r="N234" s="66">
        <f>'Project Database'!R238</f>
        <v/>
      </c>
      <c r="O234" s="66">
        <f>'Project Database'!S238</f>
        <v/>
      </c>
      <c r="P234" s="66">
        <f>'Project Database'!T238</f>
        <v/>
      </c>
      <c r="Q234" s="66">
        <f>'Project Database'!U238</f>
        <v/>
      </c>
      <c r="R234" s="66">
        <f>'Project Database'!V238</f>
        <v/>
      </c>
      <c r="S234" s="66">
        <f>'Project Database'!W238</f>
        <v/>
      </c>
      <c r="T234" s="66">
        <f>'Project Database'!X238</f>
        <v/>
      </c>
      <c r="U234" s="67">
        <f>'Project Database'!Y238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'Project Database'!Z238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IF(AND('Project Database'!A238&lt;&gt;"",OR('Smart Search'!$L$5="",'Smart Search'!$L$5="All",TRIM('Project Database'!D238)=TRIM('Smart Search'!$L$5)),OR(TRIM('Smart Search'!$L$6)="",TRIM('Smart Search'!$L$6)="All",ISNUMBER(SEARCH(SUBSTITUTE(SUBSTITUTE(SUBSTITUTE(TRIM('Smart Search'!$L$6),"~","~~"),"*","~*"),"?","~?"),'Project Database'!C238))),OR('Smart Search'!$L$7="",AND('Project Database'!E238&lt;&gt;"",'Project Database'!E238='Smart Search'!$L$7)),OR('Smart Search'!$L$8="",'Smart Search'!$L$8="All",TRIM('Project Database'!F238)=TRIM('Smart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IF('Project Database'!A238="","",N('Project Database'!AC238))</f>
        <v/>
      </c>
      <c r="BK234" s="5">
        <f>IF('Project Database'!A238="","",N('Project Database'!AD238))</f>
        <v/>
      </c>
      <c r="BL234" s="5">
        <f>IF('Project Database'!A238="","",N('Project Database'!AE238))</f>
        <v/>
      </c>
      <c r="BM234" s="5">
        <f>IF('Project Database'!A238="","",N('Project Database'!AF238))</f>
        <v/>
      </c>
      <c r="BN234" s="5">
        <f>IF('Project Database'!A238="","",N('Project Database'!AG238))</f>
        <v/>
      </c>
      <c r="BO234" s="5">
        <f>IF('Project Database'!A238="","",N('Project Database'!AH238))</f>
        <v/>
      </c>
      <c r="BP234" s="5">
        <f>IF('Project Database'!A238="","",N('Project Database'!AI238))</f>
        <v/>
      </c>
      <c r="BQ234" s="5">
        <f>IF('Project Database'!A238="","",N('Project Database'!AJ238))</f>
        <v/>
      </c>
      <c r="BR234" s="5">
        <f>IF('Project Database'!A238="","",N('Project Database'!AK238))</f>
        <v/>
      </c>
      <c r="BS234" s="5">
        <f>IF('Project Database'!A238="","",N('Project Database'!AL238))</f>
        <v/>
      </c>
      <c r="BT234" s="5">
        <f>IF('Project Database'!A238="","",N('Project Database'!AM238))</f>
        <v/>
      </c>
      <c r="BU234" s="5">
        <f>IF('Project Database'!A238="","",N('Project Database'!AN238))</f>
        <v/>
      </c>
      <c r="BV234" s="5">
        <f>IF('Project Database'!A238="","",N('Project Database'!AO238))</f>
        <v/>
      </c>
      <c r="BW234" s="5">
        <f>IF('Project Database'!A238="","",N('Project Database'!AP238))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</row>
    <row r="235" ht="15" customHeight="1" s="74">
      <c r="A235" s="66">
        <f>'Project Database'!A239</f>
        <v/>
      </c>
      <c r="B235" s="66">
        <f>'Project Database'!B239</f>
        <v/>
      </c>
      <c r="C235" s="66">
        <f>'Project Database'!G239</f>
        <v/>
      </c>
      <c r="D235" s="66">
        <f>'Project Database'!H239</f>
        <v/>
      </c>
      <c r="E235" s="66">
        <f>'Project Database'!I239</f>
        <v/>
      </c>
      <c r="F235" s="66">
        <f>'Project Database'!J239</f>
        <v/>
      </c>
      <c r="G235" s="66">
        <f>'Project Database'!K239</f>
        <v/>
      </c>
      <c r="H235" s="66">
        <f>'Project Database'!L239</f>
        <v/>
      </c>
      <c r="I235" s="66">
        <f>'Project Database'!M239</f>
        <v/>
      </c>
      <c r="J235" s="66">
        <f>'Project Database'!N239</f>
        <v/>
      </c>
      <c r="K235" s="66">
        <f>'Project Database'!O239</f>
        <v/>
      </c>
      <c r="L235" s="66">
        <f>'Project Database'!P239</f>
        <v/>
      </c>
      <c r="M235" s="66">
        <f>'Project Database'!Q239</f>
        <v/>
      </c>
      <c r="N235" s="66">
        <f>'Project Database'!R239</f>
        <v/>
      </c>
      <c r="O235" s="66">
        <f>'Project Database'!S239</f>
        <v/>
      </c>
      <c r="P235" s="66">
        <f>'Project Database'!T239</f>
        <v/>
      </c>
      <c r="Q235" s="66">
        <f>'Project Database'!U239</f>
        <v/>
      </c>
      <c r="R235" s="66">
        <f>'Project Database'!V239</f>
        <v/>
      </c>
      <c r="S235" s="66">
        <f>'Project Database'!W239</f>
        <v/>
      </c>
      <c r="T235" s="66">
        <f>'Project Database'!X239</f>
        <v/>
      </c>
      <c r="U235" s="67">
        <f>'Project Database'!Y239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'Project Database'!Z239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IF(AND('Project Database'!A239&lt;&gt;"",OR('Smart Search'!$L$5="",'Smart Search'!$L$5="All",TRIM('Project Database'!D239)=TRIM('Smart Search'!$L$5)),OR(TRIM('Smart Search'!$L$6)="",TRIM('Smart Search'!$L$6)="All",ISNUMBER(SEARCH(SUBSTITUTE(SUBSTITUTE(SUBSTITUTE(TRIM('Smart Search'!$L$6),"~","~~"),"*","~*"),"?","~?"),'Project Database'!C239))),OR('Smart Search'!$L$7="",AND('Project Database'!E239&lt;&gt;"",'Project Database'!E239='Smart Search'!$L$7)),OR('Smart Search'!$L$8="",'Smart Search'!$L$8="All",TRIM('Project Database'!F239)=TRIM('Smart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IF('Project Database'!A239="","",N('Project Database'!AC239))</f>
        <v/>
      </c>
      <c r="BK235" s="5">
        <f>IF('Project Database'!A239="","",N('Project Database'!AD239))</f>
        <v/>
      </c>
      <c r="BL235" s="5">
        <f>IF('Project Database'!A239="","",N('Project Database'!AE239))</f>
        <v/>
      </c>
      <c r="BM235" s="5">
        <f>IF('Project Database'!A239="","",N('Project Database'!AF239))</f>
        <v/>
      </c>
      <c r="BN235" s="5">
        <f>IF('Project Database'!A239="","",N('Project Database'!AG239))</f>
        <v/>
      </c>
      <c r="BO235" s="5">
        <f>IF('Project Database'!A239="","",N('Project Database'!AH239))</f>
        <v/>
      </c>
      <c r="BP235" s="5">
        <f>IF('Project Database'!A239="","",N('Project Database'!AI239))</f>
        <v/>
      </c>
      <c r="BQ235" s="5">
        <f>IF('Project Database'!A239="","",N('Project Database'!AJ239))</f>
        <v/>
      </c>
      <c r="BR235" s="5">
        <f>IF('Project Database'!A239="","",N('Project Database'!AK239))</f>
        <v/>
      </c>
      <c r="BS235" s="5">
        <f>IF('Project Database'!A239="","",N('Project Database'!AL239))</f>
        <v/>
      </c>
      <c r="BT235" s="5">
        <f>IF('Project Database'!A239="","",N('Project Database'!AM239))</f>
        <v/>
      </c>
      <c r="BU235" s="5">
        <f>IF('Project Database'!A239="","",N('Project Database'!AN239))</f>
        <v/>
      </c>
      <c r="BV235" s="5">
        <f>IF('Project Database'!A239="","",N('Project Database'!AO239))</f>
        <v/>
      </c>
      <c r="BW235" s="5">
        <f>IF('Project Database'!A239="","",N('Project Database'!AP239))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</row>
    <row r="236" ht="15" customHeight="1" s="74">
      <c r="A236" s="66">
        <f>'Project Database'!A240</f>
        <v/>
      </c>
      <c r="B236" s="66">
        <f>'Project Database'!B240</f>
        <v/>
      </c>
      <c r="C236" s="66">
        <f>'Project Database'!G240</f>
        <v/>
      </c>
      <c r="D236" s="66">
        <f>'Project Database'!H240</f>
        <v/>
      </c>
      <c r="E236" s="66">
        <f>'Project Database'!I240</f>
        <v/>
      </c>
      <c r="F236" s="66">
        <f>'Project Database'!J240</f>
        <v/>
      </c>
      <c r="G236" s="66">
        <f>'Project Database'!K240</f>
        <v/>
      </c>
      <c r="H236" s="66">
        <f>'Project Database'!L240</f>
        <v/>
      </c>
      <c r="I236" s="66">
        <f>'Project Database'!M240</f>
        <v/>
      </c>
      <c r="J236" s="66">
        <f>'Project Database'!N240</f>
        <v/>
      </c>
      <c r="K236" s="66">
        <f>'Project Database'!O240</f>
        <v/>
      </c>
      <c r="L236" s="66">
        <f>'Project Database'!P240</f>
        <v/>
      </c>
      <c r="M236" s="66">
        <f>'Project Database'!Q240</f>
        <v/>
      </c>
      <c r="N236" s="66">
        <f>'Project Database'!R240</f>
        <v/>
      </c>
      <c r="O236" s="66">
        <f>'Project Database'!S240</f>
        <v/>
      </c>
      <c r="P236" s="66">
        <f>'Project Database'!T240</f>
        <v/>
      </c>
      <c r="Q236" s="66">
        <f>'Project Database'!U240</f>
        <v/>
      </c>
      <c r="R236" s="66">
        <f>'Project Database'!V240</f>
        <v/>
      </c>
      <c r="S236" s="66">
        <f>'Project Database'!W240</f>
        <v/>
      </c>
      <c r="T236" s="66">
        <f>'Project Database'!X240</f>
        <v/>
      </c>
      <c r="U236" s="67">
        <f>'Project Database'!Y240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'Project Database'!Z240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IF(AND('Project Database'!A240&lt;&gt;"",OR('Smart Search'!$L$5="",'Smart Search'!$L$5="All",TRIM('Project Database'!D240)=TRIM('Smart Search'!$L$5)),OR(TRIM('Smart Search'!$L$6)="",TRIM('Smart Search'!$L$6)="All",ISNUMBER(SEARCH(SUBSTITUTE(SUBSTITUTE(SUBSTITUTE(TRIM('Smart Search'!$L$6),"~","~~"),"*","~*"),"?","~?"),'Project Database'!C240))),OR('Smart Search'!$L$7="",AND('Project Database'!E240&lt;&gt;"",'Project Database'!E240='Smart Search'!$L$7)),OR('Smart Search'!$L$8="",'Smart Search'!$L$8="All",TRIM('Project Database'!F240)=TRIM('Smart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IF('Project Database'!A240="","",N('Project Database'!AC240))</f>
        <v/>
      </c>
      <c r="BK236" s="5">
        <f>IF('Project Database'!A240="","",N('Project Database'!AD240))</f>
        <v/>
      </c>
      <c r="BL236" s="5">
        <f>IF('Project Database'!A240="","",N('Project Database'!AE240))</f>
        <v/>
      </c>
      <c r="BM236" s="5">
        <f>IF('Project Database'!A240="","",N('Project Database'!AF240))</f>
        <v/>
      </c>
      <c r="BN236" s="5">
        <f>IF('Project Database'!A240="","",N('Project Database'!AG240))</f>
        <v/>
      </c>
      <c r="BO236" s="5">
        <f>IF('Project Database'!A240="","",N('Project Database'!AH240))</f>
        <v/>
      </c>
      <c r="BP236" s="5">
        <f>IF('Project Database'!A240="","",N('Project Database'!AI240))</f>
        <v/>
      </c>
      <c r="BQ236" s="5">
        <f>IF('Project Database'!A240="","",N('Project Database'!AJ240))</f>
        <v/>
      </c>
      <c r="BR236" s="5">
        <f>IF('Project Database'!A240="","",N('Project Database'!AK240))</f>
        <v/>
      </c>
      <c r="BS236" s="5">
        <f>IF('Project Database'!A240="","",N('Project Database'!AL240))</f>
        <v/>
      </c>
      <c r="BT236" s="5">
        <f>IF('Project Database'!A240="","",N('Project Database'!AM240))</f>
        <v/>
      </c>
      <c r="BU236" s="5">
        <f>IF('Project Database'!A240="","",N('Project Database'!AN240))</f>
        <v/>
      </c>
      <c r="BV236" s="5">
        <f>IF('Project Database'!A240="","",N('Project Database'!AO240))</f>
        <v/>
      </c>
      <c r="BW236" s="5">
        <f>IF('Project Database'!A240="","",N('Project Database'!AP240))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</row>
    <row r="237" ht="15" customHeight="1" s="74">
      <c r="A237" s="66">
        <f>'Project Database'!A241</f>
        <v/>
      </c>
      <c r="B237" s="66">
        <f>'Project Database'!B241</f>
        <v/>
      </c>
      <c r="C237" s="66">
        <f>'Project Database'!G241</f>
        <v/>
      </c>
      <c r="D237" s="66">
        <f>'Project Database'!H241</f>
        <v/>
      </c>
      <c r="E237" s="66">
        <f>'Project Database'!I241</f>
        <v/>
      </c>
      <c r="F237" s="66">
        <f>'Project Database'!J241</f>
        <v/>
      </c>
      <c r="G237" s="66">
        <f>'Project Database'!K241</f>
        <v/>
      </c>
      <c r="H237" s="66">
        <f>'Project Database'!L241</f>
        <v/>
      </c>
      <c r="I237" s="66">
        <f>'Project Database'!M241</f>
        <v/>
      </c>
      <c r="J237" s="66">
        <f>'Project Database'!N241</f>
        <v/>
      </c>
      <c r="K237" s="66">
        <f>'Project Database'!O241</f>
        <v/>
      </c>
      <c r="L237" s="66">
        <f>'Project Database'!P241</f>
        <v/>
      </c>
      <c r="M237" s="66">
        <f>'Project Database'!Q241</f>
        <v/>
      </c>
      <c r="N237" s="66">
        <f>'Project Database'!R241</f>
        <v/>
      </c>
      <c r="O237" s="66">
        <f>'Project Database'!S241</f>
        <v/>
      </c>
      <c r="P237" s="66">
        <f>'Project Database'!T241</f>
        <v/>
      </c>
      <c r="Q237" s="66">
        <f>'Project Database'!U241</f>
        <v/>
      </c>
      <c r="R237" s="66">
        <f>'Project Database'!V241</f>
        <v/>
      </c>
      <c r="S237" s="66">
        <f>'Project Database'!W241</f>
        <v/>
      </c>
      <c r="T237" s="66">
        <f>'Project Database'!X241</f>
        <v/>
      </c>
      <c r="U237" s="67">
        <f>'Project Database'!Y241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'Project Database'!Z241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IF(AND('Project Database'!A241&lt;&gt;"",OR('Smart Search'!$L$5="",'Smart Search'!$L$5="All",TRIM('Project Database'!D241)=TRIM('Smart Search'!$L$5)),OR(TRIM('Smart Search'!$L$6)="",TRIM('Smart Search'!$L$6)="All",ISNUMBER(SEARCH(SUBSTITUTE(SUBSTITUTE(SUBSTITUTE(TRIM('Smart Search'!$L$6),"~","~~"),"*","~*"),"?","~?"),'Project Database'!C241))),OR('Smart Search'!$L$7="",AND('Project Database'!E241&lt;&gt;"",'Project Database'!E241='Smart Search'!$L$7)),OR('Smart Search'!$L$8="",'Smart Search'!$L$8="All",TRIM('Project Database'!F241)=TRIM('Smart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IF('Project Database'!A241="","",N('Project Database'!AC241))</f>
        <v/>
      </c>
      <c r="BK237" s="5">
        <f>IF('Project Database'!A241="","",N('Project Database'!AD241))</f>
        <v/>
      </c>
      <c r="BL237" s="5">
        <f>IF('Project Database'!A241="","",N('Project Database'!AE241))</f>
        <v/>
      </c>
      <c r="BM237" s="5">
        <f>IF('Project Database'!A241="","",N('Project Database'!AF241))</f>
        <v/>
      </c>
      <c r="BN237" s="5">
        <f>IF('Project Database'!A241="","",N('Project Database'!AG241))</f>
        <v/>
      </c>
      <c r="BO237" s="5">
        <f>IF('Project Database'!A241="","",N('Project Database'!AH241))</f>
        <v/>
      </c>
      <c r="BP237" s="5">
        <f>IF('Project Database'!A241="","",N('Project Database'!AI241))</f>
        <v/>
      </c>
      <c r="BQ237" s="5">
        <f>IF('Project Database'!A241="","",N('Project Database'!AJ241))</f>
        <v/>
      </c>
      <c r="BR237" s="5">
        <f>IF('Project Database'!A241="","",N('Project Database'!AK241))</f>
        <v/>
      </c>
      <c r="BS237" s="5">
        <f>IF('Project Database'!A241="","",N('Project Database'!AL241))</f>
        <v/>
      </c>
      <c r="BT237" s="5">
        <f>IF('Project Database'!A241="","",N('Project Database'!AM241))</f>
        <v/>
      </c>
      <c r="BU237" s="5">
        <f>IF('Project Database'!A241="","",N('Project Database'!AN241))</f>
        <v/>
      </c>
      <c r="BV237" s="5">
        <f>IF('Project Database'!A241="","",N('Project Database'!AO241))</f>
        <v/>
      </c>
      <c r="BW237" s="5">
        <f>IF('Project Database'!A241="","",N('Project Database'!AP241))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</row>
    <row r="238" ht="15" customHeight="1" s="74">
      <c r="A238" s="66">
        <f>'Project Database'!A242</f>
        <v/>
      </c>
      <c r="B238" s="66">
        <f>'Project Database'!B242</f>
        <v/>
      </c>
      <c r="C238" s="66">
        <f>'Project Database'!G242</f>
        <v/>
      </c>
      <c r="D238" s="66">
        <f>'Project Database'!H242</f>
        <v/>
      </c>
      <c r="E238" s="66">
        <f>'Project Database'!I242</f>
        <v/>
      </c>
      <c r="F238" s="66">
        <f>'Project Database'!J242</f>
        <v/>
      </c>
      <c r="G238" s="66">
        <f>'Project Database'!K242</f>
        <v/>
      </c>
      <c r="H238" s="66">
        <f>'Project Database'!L242</f>
        <v/>
      </c>
      <c r="I238" s="66">
        <f>'Project Database'!M242</f>
        <v/>
      </c>
      <c r="J238" s="66">
        <f>'Project Database'!N242</f>
        <v/>
      </c>
      <c r="K238" s="66">
        <f>'Project Database'!O242</f>
        <v/>
      </c>
      <c r="L238" s="66">
        <f>'Project Database'!P242</f>
        <v/>
      </c>
      <c r="M238" s="66">
        <f>'Project Database'!Q242</f>
        <v/>
      </c>
      <c r="N238" s="66">
        <f>'Project Database'!R242</f>
        <v/>
      </c>
      <c r="O238" s="66">
        <f>'Project Database'!S242</f>
        <v/>
      </c>
      <c r="P238" s="66">
        <f>'Project Database'!T242</f>
        <v/>
      </c>
      <c r="Q238" s="66">
        <f>'Project Database'!U242</f>
        <v/>
      </c>
      <c r="R238" s="66">
        <f>'Project Database'!V242</f>
        <v/>
      </c>
      <c r="S238" s="66">
        <f>'Project Database'!W242</f>
        <v/>
      </c>
      <c r="T238" s="66">
        <f>'Project Database'!X242</f>
        <v/>
      </c>
      <c r="U238" s="67">
        <f>'Project Database'!Y242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'Project Database'!Z242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IF(AND('Project Database'!A242&lt;&gt;"",OR('Smart Search'!$L$5="",'Smart Search'!$L$5="All",TRIM('Project Database'!D242)=TRIM('Smart Search'!$L$5)),OR(TRIM('Smart Search'!$L$6)="",TRIM('Smart Search'!$L$6)="All",ISNUMBER(SEARCH(SUBSTITUTE(SUBSTITUTE(SUBSTITUTE(TRIM('Smart Search'!$L$6),"~","~~"),"*","~*"),"?","~?"),'Project Database'!C242))),OR('Smart Search'!$L$7="",AND('Project Database'!E242&lt;&gt;"",'Project Database'!E242='Smart Search'!$L$7)),OR('Smart Search'!$L$8="",'Smart Search'!$L$8="All",TRIM('Project Database'!F242)=TRIM('Smart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IF('Project Database'!A242="","",N('Project Database'!AC242))</f>
        <v/>
      </c>
      <c r="BK238" s="5">
        <f>IF('Project Database'!A242="","",N('Project Database'!AD242))</f>
        <v/>
      </c>
      <c r="BL238" s="5">
        <f>IF('Project Database'!A242="","",N('Project Database'!AE242))</f>
        <v/>
      </c>
      <c r="BM238" s="5">
        <f>IF('Project Database'!A242="","",N('Project Database'!AF242))</f>
        <v/>
      </c>
      <c r="BN238" s="5">
        <f>IF('Project Database'!A242="","",N('Project Database'!AG242))</f>
        <v/>
      </c>
      <c r="BO238" s="5">
        <f>IF('Project Database'!A242="","",N('Project Database'!AH242))</f>
        <v/>
      </c>
      <c r="BP238" s="5">
        <f>IF('Project Database'!A242="","",N('Project Database'!AI242))</f>
        <v/>
      </c>
      <c r="BQ238" s="5">
        <f>IF('Project Database'!A242="","",N('Project Database'!AJ242))</f>
        <v/>
      </c>
      <c r="BR238" s="5">
        <f>IF('Project Database'!A242="","",N('Project Database'!AK242))</f>
        <v/>
      </c>
      <c r="BS238" s="5">
        <f>IF('Project Database'!A242="","",N('Project Database'!AL242))</f>
        <v/>
      </c>
      <c r="BT238" s="5">
        <f>IF('Project Database'!A242="","",N('Project Database'!AM242))</f>
        <v/>
      </c>
      <c r="BU238" s="5">
        <f>IF('Project Database'!A242="","",N('Project Database'!AN242))</f>
        <v/>
      </c>
      <c r="BV238" s="5">
        <f>IF('Project Database'!A242="","",N('Project Database'!AO242))</f>
        <v/>
      </c>
      <c r="BW238" s="5">
        <f>IF('Project Database'!A242="","",N('Project Database'!AP242))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</row>
    <row r="239" ht="15" customHeight="1" s="74">
      <c r="A239" s="66">
        <f>'Project Database'!A243</f>
        <v/>
      </c>
      <c r="B239" s="66">
        <f>'Project Database'!B243</f>
        <v/>
      </c>
      <c r="C239" s="66">
        <f>'Project Database'!G243</f>
        <v/>
      </c>
      <c r="D239" s="66">
        <f>'Project Database'!H243</f>
        <v/>
      </c>
      <c r="E239" s="66">
        <f>'Project Database'!I243</f>
        <v/>
      </c>
      <c r="F239" s="66">
        <f>'Project Database'!J243</f>
        <v/>
      </c>
      <c r="G239" s="66">
        <f>'Project Database'!K243</f>
        <v/>
      </c>
      <c r="H239" s="66">
        <f>'Project Database'!L243</f>
        <v/>
      </c>
      <c r="I239" s="66">
        <f>'Project Database'!M243</f>
        <v/>
      </c>
      <c r="J239" s="66">
        <f>'Project Database'!N243</f>
        <v/>
      </c>
      <c r="K239" s="66">
        <f>'Project Database'!O243</f>
        <v/>
      </c>
      <c r="L239" s="66">
        <f>'Project Database'!P243</f>
        <v/>
      </c>
      <c r="M239" s="66">
        <f>'Project Database'!Q243</f>
        <v/>
      </c>
      <c r="N239" s="66">
        <f>'Project Database'!R243</f>
        <v/>
      </c>
      <c r="O239" s="66">
        <f>'Project Database'!S243</f>
        <v/>
      </c>
      <c r="P239" s="66">
        <f>'Project Database'!T243</f>
        <v/>
      </c>
      <c r="Q239" s="66">
        <f>'Project Database'!U243</f>
        <v/>
      </c>
      <c r="R239" s="66">
        <f>'Project Database'!V243</f>
        <v/>
      </c>
      <c r="S239" s="66">
        <f>'Project Database'!W243</f>
        <v/>
      </c>
      <c r="T239" s="66">
        <f>'Project Database'!X243</f>
        <v/>
      </c>
      <c r="U239" s="67">
        <f>'Project Database'!Y243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'Project Database'!Z243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IF(AND('Project Database'!A243&lt;&gt;"",OR('Smart Search'!$L$5="",'Smart Search'!$L$5="All",TRIM('Project Database'!D243)=TRIM('Smart Search'!$L$5)),OR(TRIM('Smart Search'!$L$6)="",TRIM('Smart Search'!$L$6)="All",ISNUMBER(SEARCH(SUBSTITUTE(SUBSTITUTE(SUBSTITUTE(TRIM('Smart Search'!$L$6),"~","~~"),"*","~*"),"?","~?"),'Project Database'!C243))),OR('Smart Search'!$L$7="",AND('Project Database'!E243&lt;&gt;"",'Project Database'!E243='Smart Search'!$L$7)),OR('Smart Search'!$L$8="",'Smart Search'!$L$8="All",TRIM('Project Database'!F243)=TRIM('Smart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IF('Project Database'!A243="","",N('Project Database'!AC243))</f>
        <v/>
      </c>
      <c r="BK239" s="5">
        <f>IF('Project Database'!A243="","",N('Project Database'!AD243))</f>
        <v/>
      </c>
      <c r="BL239" s="5">
        <f>IF('Project Database'!A243="","",N('Project Database'!AE243))</f>
        <v/>
      </c>
      <c r="BM239" s="5">
        <f>IF('Project Database'!A243="","",N('Project Database'!AF243))</f>
        <v/>
      </c>
      <c r="BN239" s="5">
        <f>IF('Project Database'!A243="","",N('Project Database'!AG243))</f>
        <v/>
      </c>
      <c r="BO239" s="5">
        <f>IF('Project Database'!A243="","",N('Project Database'!AH243))</f>
        <v/>
      </c>
      <c r="BP239" s="5">
        <f>IF('Project Database'!A243="","",N('Project Database'!AI243))</f>
        <v/>
      </c>
      <c r="BQ239" s="5">
        <f>IF('Project Database'!A243="","",N('Project Database'!AJ243))</f>
        <v/>
      </c>
      <c r="BR239" s="5">
        <f>IF('Project Database'!A243="","",N('Project Database'!AK243))</f>
        <v/>
      </c>
      <c r="BS239" s="5">
        <f>IF('Project Database'!A243="","",N('Project Database'!AL243))</f>
        <v/>
      </c>
      <c r="BT239" s="5">
        <f>IF('Project Database'!A243="","",N('Project Database'!AM243))</f>
        <v/>
      </c>
      <c r="BU239" s="5">
        <f>IF('Project Database'!A243="","",N('Project Database'!AN243))</f>
        <v/>
      </c>
      <c r="BV239" s="5">
        <f>IF('Project Database'!A243="","",N('Project Database'!AO243))</f>
        <v/>
      </c>
      <c r="BW239" s="5">
        <f>IF('Project Database'!A243="","",N('Project Database'!AP243))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</row>
    <row r="240" ht="15" customHeight="1" s="74">
      <c r="A240" s="66">
        <f>'Project Database'!A244</f>
        <v/>
      </c>
      <c r="B240" s="66">
        <f>'Project Database'!B244</f>
        <v/>
      </c>
      <c r="C240" s="66">
        <f>'Project Database'!G244</f>
        <v/>
      </c>
      <c r="D240" s="66">
        <f>'Project Database'!H244</f>
        <v/>
      </c>
      <c r="E240" s="66">
        <f>'Project Database'!I244</f>
        <v/>
      </c>
      <c r="F240" s="66">
        <f>'Project Database'!J244</f>
        <v/>
      </c>
      <c r="G240" s="66">
        <f>'Project Database'!K244</f>
        <v/>
      </c>
      <c r="H240" s="66">
        <f>'Project Database'!L244</f>
        <v/>
      </c>
      <c r="I240" s="66">
        <f>'Project Database'!M244</f>
        <v/>
      </c>
      <c r="J240" s="66">
        <f>'Project Database'!N244</f>
        <v/>
      </c>
      <c r="K240" s="66">
        <f>'Project Database'!O244</f>
        <v/>
      </c>
      <c r="L240" s="66">
        <f>'Project Database'!P244</f>
        <v/>
      </c>
      <c r="M240" s="66">
        <f>'Project Database'!Q244</f>
        <v/>
      </c>
      <c r="N240" s="66">
        <f>'Project Database'!R244</f>
        <v/>
      </c>
      <c r="O240" s="66">
        <f>'Project Database'!S244</f>
        <v/>
      </c>
      <c r="P240" s="66">
        <f>'Project Database'!T244</f>
        <v/>
      </c>
      <c r="Q240" s="66">
        <f>'Project Database'!U244</f>
        <v/>
      </c>
      <c r="R240" s="66">
        <f>'Project Database'!V244</f>
        <v/>
      </c>
      <c r="S240" s="66">
        <f>'Project Database'!W244</f>
        <v/>
      </c>
      <c r="T240" s="66">
        <f>'Project Database'!X244</f>
        <v/>
      </c>
      <c r="U240" s="67">
        <f>'Project Database'!Y244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'Project Database'!Z244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IF(AND('Project Database'!A244&lt;&gt;"",OR('Smart Search'!$L$5="",'Smart Search'!$L$5="All",TRIM('Project Database'!D244)=TRIM('Smart Search'!$L$5)),OR(TRIM('Smart Search'!$L$6)="",TRIM('Smart Search'!$L$6)="All",ISNUMBER(SEARCH(SUBSTITUTE(SUBSTITUTE(SUBSTITUTE(TRIM('Smart Search'!$L$6),"~","~~"),"*","~*"),"?","~?"),'Project Database'!C244))),OR('Smart Search'!$L$7="",AND('Project Database'!E244&lt;&gt;"",'Project Database'!E244='Smart Search'!$L$7)),OR('Smart Search'!$L$8="",'Smart Search'!$L$8="All",TRIM('Project Database'!F244)=TRIM('Smart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IF('Project Database'!A244="","",N('Project Database'!AC244))</f>
        <v/>
      </c>
      <c r="BK240" s="5">
        <f>IF('Project Database'!A244="","",N('Project Database'!AD244))</f>
        <v/>
      </c>
      <c r="BL240" s="5">
        <f>IF('Project Database'!A244="","",N('Project Database'!AE244))</f>
        <v/>
      </c>
      <c r="BM240" s="5">
        <f>IF('Project Database'!A244="","",N('Project Database'!AF244))</f>
        <v/>
      </c>
      <c r="BN240" s="5">
        <f>IF('Project Database'!A244="","",N('Project Database'!AG244))</f>
        <v/>
      </c>
      <c r="BO240" s="5">
        <f>IF('Project Database'!A244="","",N('Project Database'!AH244))</f>
        <v/>
      </c>
      <c r="BP240" s="5">
        <f>IF('Project Database'!A244="","",N('Project Database'!AI244))</f>
        <v/>
      </c>
      <c r="BQ240" s="5">
        <f>IF('Project Database'!A244="","",N('Project Database'!AJ244))</f>
        <v/>
      </c>
      <c r="BR240" s="5">
        <f>IF('Project Database'!A244="","",N('Project Database'!AK244))</f>
        <v/>
      </c>
      <c r="BS240" s="5">
        <f>IF('Project Database'!A244="","",N('Project Database'!AL244))</f>
        <v/>
      </c>
      <c r="BT240" s="5">
        <f>IF('Project Database'!A244="","",N('Project Database'!AM244))</f>
        <v/>
      </c>
      <c r="BU240" s="5">
        <f>IF('Project Database'!A244="","",N('Project Database'!AN244))</f>
        <v/>
      </c>
      <c r="BV240" s="5">
        <f>IF('Project Database'!A244="","",N('Project Database'!AO244))</f>
        <v/>
      </c>
      <c r="BW240" s="5">
        <f>IF('Project Database'!A244="","",N('Project Database'!AP244))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</row>
    <row r="241" ht="15" customHeight="1" s="74">
      <c r="A241" s="66">
        <f>'Project Database'!A245</f>
        <v/>
      </c>
      <c r="B241" s="66">
        <f>'Project Database'!B245</f>
        <v/>
      </c>
      <c r="C241" s="66">
        <f>'Project Database'!G245</f>
        <v/>
      </c>
      <c r="D241" s="66">
        <f>'Project Database'!H245</f>
        <v/>
      </c>
      <c r="E241" s="66">
        <f>'Project Database'!I245</f>
        <v/>
      </c>
      <c r="F241" s="66">
        <f>'Project Database'!J245</f>
        <v/>
      </c>
      <c r="G241" s="66">
        <f>'Project Database'!K245</f>
        <v/>
      </c>
      <c r="H241" s="66">
        <f>'Project Database'!L245</f>
        <v/>
      </c>
      <c r="I241" s="66">
        <f>'Project Database'!M245</f>
        <v/>
      </c>
      <c r="J241" s="66">
        <f>'Project Database'!N245</f>
        <v/>
      </c>
      <c r="K241" s="66">
        <f>'Project Database'!O245</f>
        <v/>
      </c>
      <c r="L241" s="66">
        <f>'Project Database'!P245</f>
        <v/>
      </c>
      <c r="M241" s="66">
        <f>'Project Database'!Q245</f>
        <v/>
      </c>
      <c r="N241" s="66">
        <f>'Project Database'!R245</f>
        <v/>
      </c>
      <c r="O241" s="66">
        <f>'Project Database'!S245</f>
        <v/>
      </c>
      <c r="P241" s="66">
        <f>'Project Database'!T245</f>
        <v/>
      </c>
      <c r="Q241" s="66">
        <f>'Project Database'!U245</f>
        <v/>
      </c>
      <c r="R241" s="66">
        <f>'Project Database'!V245</f>
        <v/>
      </c>
      <c r="S241" s="66">
        <f>'Project Database'!W245</f>
        <v/>
      </c>
      <c r="T241" s="66">
        <f>'Project Database'!X245</f>
        <v/>
      </c>
      <c r="U241" s="67">
        <f>'Project Database'!Y245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'Project Database'!Z245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IF(AND('Project Database'!A245&lt;&gt;"",OR('Smart Search'!$L$5="",'Smart Search'!$L$5="All",TRIM('Project Database'!D245)=TRIM('Smart Search'!$L$5)),OR(TRIM('Smart Search'!$L$6)="",TRIM('Smart Search'!$L$6)="All",ISNUMBER(SEARCH(SUBSTITUTE(SUBSTITUTE(SUBSTITUTE(TRIM('Smart Search'!$L$6),"~","~~"),"*","~*"),"?","~?"),'Project Database'!C245))),OR('Smart Search'!$L$7="",AND('Project Database'!E245&lt;&gt;"",'Project Database'!E245='Smart Search'!$L$7)),OR('Smart Search'!$L$8="",'Smart Search'!$L$8="All",TRIM('Project Database'!F245)=TRIM('Smart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IF('Project Database'!A245="","",N('Project Database'!AC245))</f>
        <v/>
      </c>
      <c r="BK241" s="5">
        <f>IF('Project Database'!A245="","",N('Project Database'!AD245))</f>
        <v/>
      </c>
      <c r="BL241" s="5">
        <f>IF('Project Database'!A245="","",N('Project Database'!AE245))</f>
        <v/>
      </c>
      <c r="BM241" s="5">
        <f>IF('Project Database'!A245="","",N('Project Database'!AF245))</f>
        <v/>
      </c>
      <c r="BN241" s="5">
        <f>IF('Project Database'!A245="","",N('Project Database'!AG245))</f>
        <v/>
      </c>
      <c r="BO241" s="5">
        <f>IF('Project Database'!A245="","",N('Project Database'!AH245))</f>
        <v/>
      </c>
      <c r="BP241" s="5">
        <f>IF('Project Database'!A245="","",N('Project Database'!AI245))</f>
        <v/>
      </c>
      <c r="BQ241" s="5">
        <f>IF('Project Database'!A245="","",N('Project Database'!AJ245))</f>
        <v/>
      </c>
      <c r="BR241" s="5">
        <f>IF('Project Database'!A245="","",N('Project Database'!AK245))</f>
        <v/>
      </c>
      <c r="BS241" s="5">
        <f>IF('Project Database'!A245="","",N('Project Database'!AL245))</f>
        <v/>
      </c>
      <c r="BT241" s="5">
        <f>IF('Project Database'!A245="","",N('Project Database'!AM245))</f>
        <v/>
      </c>
      <c r="BU241" s="5">
        <f>IF('Project Database'!A245="","",N('Project Database'!AN245))</f>
        <v/>
      </c>
      <c r="BV241" s="5">
        <f>IF('Project Database'!A245="","",N('Project Database'!AO245))</f>
        <v/>
      </c>
      <c r="BW241" s="5">
        <f>IF('Project Database'!A245="","",N('Project Database'!AP245))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</row>
    <row r="242" ht="15" customHeight="1" s="74">
      <c r="A242" s="66">
        <f>'Project Database'!A246</f>
        <v/>
      </c>
      <c r="B242" s="66">
        <f>'Project Database'!B246</f>
        <v/>
      </c>
      <c r="C242" s="66">
        <f>'Project Database'!G246</f>
        <v/>
      </c>
      <c r="D242" s="66">
        <f>'Project Database'!H246</f>
        <v/>
      </c>
      <c r="E242" s="66">
        <f>'Project Database'!I246</f>
        <v/>
      </c>
      <c r="F242" s="66">
        <f>'Project Database'!J246</f>
        <v/>
      </c>
      <c r="G242" s="66">
        <f>'Project Database'!K246</f>
        <v/>
      </c>
      <c r="H242" s="66">
        <f>'Project Database'!L246</f>
        <v/>
      </c>
      <c r="I242" s="66">
        <f>'Project Database'!M246</f>
        <v/>
      </c>
      <c r="J242" s="66">
        <f>'Project Database'!N246</f>
        <v/>
      </c>
      <c r="K242" s="66">
        <f>'Project Database'!O246</f>
        <v/>
      </c>
      <c r="L242" s="66">
        <f>'Project Database'!P246</f>
        <v/>
      </c>
      <c r="M242" s="66">
        <f>'Project Database'!Q246</f>
        <v/>
      </c>
      <c r="N242" s="66">
        <f>'Project Database'!R246</f>
        <v/>
      </c>
      <c r="O242" s="66">
        <f>'Project Database'!S246</f>
        <v/>
      </c>
      <c r="P242" s="66">
        <f>'Project Database'!T246</f>
        <v/>
      </c>
      <c r="Q242" s="66">
        <f>'Project Database'!U246</f>
        <v/>
      </c>
      <c r="R242" s="66">
        <f>'Project Database'!V246</f>
        <v/>
      </c>
      <c r="S242" s="66">
        <f>'Project Database'!W246</f>
        <v/>
      </c>
      <c r="T242" s="66">
        <f>'Project Database'!X246</f>
        <v/>
      </c>
      <c r="U242" s="67">
        <f>'Project Database'!Y246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'Project Database'!Z246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IF(AND('Project Database'!A246&lt;&gt;"",OR('Smart Search'!$L$5="",'Smart Search'!$L$5="All",TRIM('Project Database'!D246)=TRIM('Smart Search'!$L$5)),OR(TRIM('Smart Search'!$L$6)="",TRIM('Smart Search'!$L$6)="All",ISNUMBER(SEARCH(SUBSTITUTE(SUBSTITUTE(SUBSTITUTE(TRIM('Smart Search'!$L$6),"~","~~"),"*","~*"),"?","~?"),'Project Database'!C246))),OR('Smart Search'!$L$7="",AND('Project Database'!E246&lt;&gt;"",'Project Database'!E246='Smart Search'!$L$7)),OR('Smart Search'!$L$8="",'Smart Search'!$L$8="All",TRIM('Project Database'!F246)=TRIM('Smart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IF('Project Database'!A246="","",N('Project Database'!AC246))</f>
        <v/>
      </c>
      <c r="BK242" s="5">
        <f>IF('Project Database'!A246="","",N('Project Database'!AD246))</f>
        <v/>
      </c>
      <c r="BL242" s="5">
        <f>IF('Project Database'!A246="","",N('Project Database'!AE246))</f>
        <v/>
      </c>
      <c r="BM242" s="5">
        <f>IF('Project Database'!A246="","",N('Project Database'!AF246))</f>
        <v/>
      </c>
      <c r="BN242" s="5">
        <f>IF('Project Database'!A246="","",N('Project Database'!AG246))</f>
        <v/>
      </c>
      <c r="BO242" s="5">
        <f>IF('Project Database'!A246="","",N('Project Database'!AH246))</f>
        <v/>
      </c>
      <c r="BP242" s="5">
        <f>IF('Project Database'!A246="","",N('Project Database'!AI246))</f>
        <v/>
      </c>
      <c r="BQ242" s="5">
        <f>IF('Project Database'!A246="","",N('Project Database'!AJ246))</f>
        <v/>
      </c>
      <c r="BR242" s="5">
        <f>IF('Project Database'!A246="","",N('Project Database'!AK246))</f>
        <v/>
      </c>
      <c r="BS242" s="5">
        <f>IF('Project Database'!A246="","",N('Project Database'!AL246))</f>
        <v/>
      </c>
      <c r="BT242" s="5">
        <f>IF('Project Database'!A246="","",N('Project Database'!AM246))</f>
        <v/>
      </c>
      <c r="BU242" s="5">
        <f>IF('Project Database'!A246="","",N('Project Database'!AN246))</f>
        <v/>
      </c>
      <c r="BV242" s="5">
        <f>IF('Project Database'!A246="","",N('Project Database'!AO246))</f>
        <v/>
      </c>
      <c r="BW242" s="5">
        <f>IF('Project Database'!A246="","",N('Project Database'!AP246))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</row>
    <row r="243" ht="15" customHeight="1" s="74">
      <c r="A243" s="66">
        <f>'Project Database'!A247</f>
        <v/>
      </c>
      <c r="B243" s="66">
        <f>'Project Database'!B247</f>
        <v/>
      </c>
      <c r="C243" s="66">
        <f>'Project Database'!G247</f>
        <v/>
      </c>
      <c r="D243" s="66">
        <f>'Project Database'!H247</f>
        <v/>
      </c>
      <c r="E243" s="66">
        <f>'Project Database'!I247</f>
        <v/>
      </c>
      <c r="F243" s="66">
        <f>'Project Database'!J247</f>
        <v/>
      </c>
      <c r="G243" s="66">
        <f>'Project Database'!K247</f>
        <v/>
      </c>
      <c r="H243" s="66">
        <f>'Project Database'!L247</f>
        <v/>
      </c>
      <c r="I243" s="66">
        <f>'Project Database'!M247</f>
        <v/>
      </c>
      <c r="J243" s="66">
        <f>'Project Database'!N247</f>
        <v/>
      </c>
      <c r="K243" s="66">
        <f>'Project Database'!O247</f>
        <v/>
      </c>
      <c r="L243" s="66">
        <f>'Project Database'!P247</f>
        <v/>
      </c>
      <c r="M243" s="66">
        <f>'Project Database'!Q247</f>
        <v/>
      </c>
      <c r="N243" s="66">
        <f>'Project Database'!R247</f>
        <v/>
      </c>
      <c r="O243" s="66">
        <f>'Project Database'!S247</f>
        <v/>
      </c>
      <c r="P243" s="66">
        <f>'Project Database'!T247</f>
        <v/>
      </c>
      <c r="Q243" s="66">
        <f>'Project Database'!U247</f>
        <v/>
      </c>
      <c r="R243" s="66">
        <f>'Project Database'!V247</f>
        <v/>
      </c>
      <c r="S243" s="66">
        <f>'Project Database'!W247</f>
        <v/>
      </c>
      <c r="T243" s="66">
        <f>'Project Database'!X247</f>
        <v/>
      </c>
      <c r="U243" s="67">
        <f>'Project Database'!Y247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'Project Database'!Z247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IF(AND('Project Database'!A247&lt;&gt;"",OR('Smart Search'!$L$5="",'Smart Search'!$L$5="All",TRIM('Project Database'!D247)=TRIM('Smart Search'!$L$5)),OR(TRIM('Smart Search'!$L$6)="",TRIM('Smart Search'!$L$6)="All",ISNUMBER(SEARCH(SUBSTITUTE(SUBSTITUTE(SUBSTITUTE(TRIM('Smart Search'!$L$6),"~","~~"),"*","~*"),"?","~?"),'Project Database'!C247))),OR('Smart Search'!$L$7="",AND('Project Database'!E247&lt;&gt;"",'Project Database'!E247='Smart Search'!$L$7)),OR('Smart Search'!$L$8="",'Smart Search'!$L$8="All",TRIM('Project Database'!F247)=TRIM('Smart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IF('Project Database'!A247="","",N('Project Database'!AC247))</f>
        <v/>
      </c>
      <c r="BK243" s="5">
        <f>IF('Project Database'!A247="","",N('Project Database'!AD247))</f>
        <v/>
      </c>
      <c r="BL243" s="5">
        <f>IF('Project Database'!A247="","",N('Project Database'!AE247))</f>
        <v/>
      </c>
      <c r="BM243" s="5">
        <f>IF('Project Database'!A247="","",N('Project Database'!AF247))</f>
        <v/>
      </c>
      <c r="BN243" s="5">
        <f>IF('Project Database'!A247="","",N('Project Database'!AG247))</f>
        <v/>
      </c>
      <c r="BO243" s="5">
        <f>IF('Project Database'!A247="","",N('Project Database'!AH247))</f>
        <v/>
      </c>
      <c r="BP243" s="5">
        <f>IF('Project Database'!A247="","",N('Project Database'!AI247))</f>
        <v/>
      </c>
      <c r="BQ243" s="5">
        <f>IF('Project Database'!A247="","",N('Project Database'!AJ247))</f>
        <v/>
      </c>
      <c r="BR243" s="5">
        <f>IF('Project Database'!A247="","",N('Project Database'!AK247))</f>
        <v/>
      </c>
      <c r="BS243" s="5">
        <f>IF('Project Database'!A247="","",N('Project Database'!AL247))</f>
        <v/>
      </c>
      <c r="BT243" s="5">
        <f>IF('Project Database'!A247="","",N('Project Database'!AM247))</f>
        <v/>
      </c>
      <c r="BU243" s="5">
        <f>IF('Project Database'!A247="","",N('Project Database'!AN247))</f>
        <v/>
      </c>
      <c r="BV243" s="5">
        <f>IF('Project Database'!A247="","",N('Project Database'!AO247))</f>
        <v/>
      </c>
      <c r="BW243" s="5">
        <f>IF('Project Database'!A247="","",N('Project Database'!AP247))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</row>
    <row r="244" ht="15" customHeight="1" s="74">
      <c r="A244" s="66">
        <f>'Project Database'!A248</f>
        <v/>
      </c>
      <c r="B244" s="66">
        <f>'Project Database'!B248</f>
        <v/>
      </c>
      <c r="C244" s="66">
        <f>'Project Database'!G248</f>
        <v/>
      </c>
      <c r="D244" s="66">
        <f>'Project Database'!H248</f>
        <v/>
      </c>
      <c r="E244" s="66">
        <f>'Project Database'!I248</f>
        <v/>
      </c>
      <c r="F244" s="66">
        <f>'Project Database'!J248</f>
        <v/>
      </c>
      <c r="G244" s="66">
        <f>'Project Database'!K248</f>
        <v/>
      </c>
      <c r="H244" s="66">
        <f>'Project Database'!L248</f>
        <v/>
      </c>
      <c r="I244" s="66">
        <f>'Project Database'!M248</f>
        <v/>
      </c>
      <c r="J244" s="66">
        <f>'Project Database'!N248</f>
        <v/>
      </c>
      <c r="K244" s="66">
        <f>'Project Database'!O248</f>
        <v/>
      </c>
      <c r="L244" s="66">
        <f>'Project Database'!P248</f>
        <v/>
      </c>
      <c r="M244" s="66">
        <f>'Project Database'!Q248</f>
        <v/>
      </c>
      <c r="N244" s="66">
        <f>'Project Database'!R248</f>
        <v/>
      </c>
      <c r="O244" s="66">
        <f>'Project Database'!S248</f>
        <v/>
      </c>
      <c r="P244" s="66">
        <f>'Project Database'!T248</f>
        <v/>
      </c>
      <c r="Q244" s="66">
        <f>'Project Database'!U248</f>
        <v/>
      </c>
      <c r="R244" s="66">
        <f>'Project Database'!V248</f>
        <v/>
      </c>
      <c r="S244" s="66">
        <f>'Project Database'!W248</f>
        <v/>
      </c>
      <c r="T244" s="66">
        <f>'Project Database'!X248</f>
        <v/>
      </c>
      <c r="U244" s="67">
        <f>'Project Database'!Y248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'Project Database'!Z248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IF(AND('Project Database'!A248&lt;&gt;"",OR('Smart Search'!$L$5="",'Smart Search'!$L$5="All",TRIM('Project Database'!D248)=TRIM('Smart Search'!$L$5)),OR(TRIM('Smart Search'!$L$6)="",TRIM('Smart Search'!$L$6)="All",ISNUMBER(SEARCH(SUBSTITUTE(SUBSTITUTE(SUBSTITUTE(TRIM('Smart Search'!$L$6),"~","~~"),"*","~*"),"?","~?"),'Project Database'!C248))),OR('Smart Search'!$L$7="",AND('Project Database'!E248&lt;&gt;"",'Project Database'!E248='Smart Search'!$L$7)),OR('Smart Search'!$L$8="",'Smart Search'!$L$8="All",TRIM('Project Database'!F248)=TRIM('Smart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IF('Project Database'!A248="","",N('Project Database'!AC248))</f>
        <v/>
      </c>
      <c r="BK244" s="5">
        <f>IF('Project Database'!A248="","",N('Project Database'!AD248))</f>
        <v/>
      </c>
      <c r="BL244" s="5">
        <f>IF('Project Database'!A248="","",N('Project Database'!AE248))</f>
        <v/>
      </c>
      <c r="BM244" s="5">
        <f>IF('Project Database'!A248="","",N('Project Database'!AF248))</f>
        <v/>
      </c>
      <c r="BN244" s="5">
        <f>IF('Project Database'!A248="","",N('Project Database'!AG248))</f>
        <v/>
      </c>
      <c r="BO244" s="5">
        <f>IF('Project Database'!A248="","",N('Project Database'!AH248))</f>
        <v/>
      </c>
      <c r="BP244" s="5">
        <f>IF('Project Database'!A248="","",N('Project Database'!AI248))</f>
        <v/>
      </c>
      <c r="BQ244" s="5">
        <f>IF('Project Database'!A248="","",N('Project Database'!AJ248))</f>
        <v/>
      </c>
      <c r="BR244" s="5">
        <f>IF('Project Database'!A248="","",N('Project Database'!AK248))</f>
        <v/>
      </c>
      <c r="BS244" s="5">
        <f>IF('Project Database'!A248="","",N('Project Database'!AL248))</f>
        <v/>
      </c>
      <c r="BT244" s="5">
        <f>IF('Project Database'!A248="","",N('Project Database'!AM248))</f>
        <v/>
      </c>
      <c r="BU244" s="5">
        <f>IF('Project Database'!A248="","",N('Project Database'!AN248))</f>
        <v/>
      </c>
      <c r="BV244" s="5">
        <f>IF('Project Database'!A248="","",N('Project Database'!AO248))</f>
        <v/>
      </c>
      <c r="BW244" s="5">
        <f>IF('Project Database'!A248="","",N('Project Database'!AP248))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</row>
    <row r="245" ht="15" customHeight="1" s="74">
      <c r="A245" s="66">
        <f>'Project Database'!A249</f>
        <v/>
      </c>
      <c r="B245" s="66">
        <f>'Project Database'!B249</f>
        <v/>
      </c>
      <c r="C245" s="66">
        <f>'Project Database'!G249</f>
        <v/>
      </c>
      <c r="D245" s="66">
        <f>'Project Database'!H249</f>
        <v/>
      </c>
      <c r="E245" s="66">
        <f>'Project Database'!I249</f>
        <v/>
      </c>
      <c r="F245" s="66">
        <f>'Project Database'!J249</f>
        <v/>
      </c>
      <c r="G245" s="66">
        <f>'Project Database'!K249</f>
        <v/>
      </c>
      <c r="H245" s="66">
        <f>'Project Database'!L249</f>
        <v/>
      </c>
      <c r="I245" s="66">
        <f>'Project Database'!M249</f>
        <v/>
      </c>
      <c r="J245" s="66">
        <f>'Project Database'!N249</f>
        <v/>
      </c>
      <c r="K245" s="66">
        <f>'Project Database'!O249</f>
        <v/>
      </c>
      <c r="L245" s="66">
        <f>'Project Database'!P249</f>
        <v/>
      </c>
      <c r="M245" s="66">
        <f>'Project Database'!Q249</f>
        <v/>
      </c>
      <c r="N245" s="66">
        <f>'Project Database'!R249</f>
        <v/>
      </c>
      <c r="O245" s="66">
        <f>'Project Database'!S249</f>
        <v/>
      </c>
      <c r="P245" s="66">
        <f>'Project Database'!T249</f>
        <v/>
      </c>
      <c r="Q245" s="66">
        <f>'Project Database'!U249</f>
        <v/>
      </c>
      <c r="R245" s="66">
        <f>'Project Database'!V249</f>
        <v/>
      </c>
      <c r="S245" s="66">
        <f>'Project Database'!W249</f>
        <v/>
      </c>
      <c r="T245" s="66">
        <f>'Project Database'!X249</f>
        <v/>
      </c>
      <c r="U245" s="67">
        <f>'Project Database'!Y249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'Project Database'!Z249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IF(AND('Project Database'!A249&lt;&gt;"",OR('Smart Search'!$L$5="",'Smart Search'!$L$5="All",TRIM('Project Database'!D249)=TRIM('Smart Search'!$L$5)),OR(TRIM('Smart Search'!$L$6)="",TRIM('Smart Search'!$L$6)="All",ISNUMBER(SEARCH(SUBSTITUTE(SUBSTITUTE(SUBSTITUTE(TRIM('Smart Search'!$L$6),"~","~~"),"*","~*"),"?","~?"),'Project Database'!C249))),OR('Smart Search'!$L$7="",AND('Project Database'!E249&lt;&gt;"",'Project Database'!E249='Smart Search'!$L$7)),OR('Smart Search'!$L$8="",'Smart Search'!$L$8="All",TRIM('Project Database'!F249)=TRIM('Smart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IF('Project Database'!A249="","",N('Project Database'!AC249))</f>
        <v/>
      </c>
      <c r="BK245" s="5">
        <f>IF('Project Database'!A249="","",N('Project Database'!AD249))</f>
        <v/>
      </c>
      <c r="BL245" s="5">
        <f>IF('Project Database'!A249="","",N('Project Database'!AE249))</f>
        <v/>
      </c>
      <c r="BM245" s="5">
        <f>IF('Project Database'!A249="","",N('Project Database'!AF249))</f>
        <v/>
      </c>
      <c r="BN245" s="5">
        <f>IF('Project Database'!A249="","",N('Project Database'!AG249))</f>
        <v/>
      </c>
      <c r="BO245" s="5">
        <f>IF('Project Database'!A249="","",N('Project Database'!AH249))</f>
        <v/>
      </c>
      <c r="BP245" s="5">
        <f>IF('Project Database'!A249="","",N('Project Database'!AI249))</f>
        <v/>
      </c>
      <c r="BQ245" s="5">
        <f>IF('Project Database'!A249="","",N('Project Database'!AJ249))</f>
        <v/>
      </c>
      <c r="BR245" s="5">
        <f>IF('Project Database'!A249="","",N('Project Database'!AK249))</f>
        <v/>
      </c>
      <c r="BS245" s="5">
        <f>IF('Project Database'!A249="","",N('Project Database'!AL249))</f>
        <v/>
      </c>
      <c r="BT245" s="5">
        <f>IF('Project Database'!A249="","",N('Project Database'!AM249))</f>
        <v/>
      </c>
      <c r="BU245" s="5">
        <f>IF('Project Database'!A249="","",N('Project Database'!AN249))</f>
        <v/>
      </c>
      <c r="BV245" s="5">
        <f>IF('Project Database'!A249="","",N('Project Database'!AO249))</f>
        <v/>
      </c>
      <c r="BW245" s="5">
        <f>IF('Project Database'!A249="","",N('Project Database'!AP249))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</row>
    <row r="246" ht="15" customHeight="1" s="74">
      <c r="A246" s="66">
        <f>'Project Database'!A250</f>
        <v/>
      </c>
      <c r="B246" s="66">
        <f>'Project Database'!B250</f>
        <v/>
      </c>
      <c r="C246" s="66">
        <f>'Project Database'!G250</f>
        <v/>
      </c>
      <c r="D246" s="66">
        <f>'Project Database'!H250</f>
        <v/>
      </c>
      <c r="E246" s="66">
        <f>'Project Database'!I250</f>
        <v/>
      </c>
      <c r="F246" s="66">
        <f>'Project Database'!J250</f>
        <v/>
      </c>
      <c r="G246" s="66">
        <f>'Project Database'!K250</f>
        <v/>
      </c>
      <c r="H246" s="66">
        <f>'Project Database'!L250</f>
        <v/>
      </c>
      <c r="I246" s="66">
        <f>'Project Database'!M250</f>
        <v/>
      </c>
      <c r="J246" s="66">
        <f>'Project Database'!N250</f>
        <v/>
      </c>
      <c r="K246" s="66">
        <f>'Project Database'!O250</f>
        <v/>
      </c>
      <c r="L246" s="66">
        <f>'Project Database'!P250</f>
        <v/>
      </c>
      <c r="M246" s="66">
        <f>'Project Database'!Q250</f>
        <v/>
      </c>
      <c r="N246" s="66">
        <f>'Project Database'!R250</f>
        <v/>
      </c>
      <c r="O246" s="66">
        <f>'Project Database'!S250</f>
        <v/>
      </c>
      <c r="P246" s="66">
        <f>'Project Database'!T250</f>
        <v/>
      </c>
      <c r="Q246" s="66">
        <f>'Project Database'!U250</f>
        <v/>
      </c>
      <c r="R246" s="66">
        <f>'Project Database'!V250</f>
        <v/>
      </c>
      <c r="S246" s="66">
        <f>'Project Database'!W250</f>
        <v/>
      </c>
      <c r="T246" s="66">
        <f>'Project Database'!X250</f>
        <v/>
      </c>
      <c r="U246" s="67">
        <f>'Project Database'!Y250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'Project Database'!Z250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IF(AND('Project Database'!A250&lt;&gt;"",OR('Smart Search'!$L$5="",'Smart Search'!$L$5="All",TRIM('Project Database'!D250)=TRIM('Smart Search'!$L$5)),OR(TRIM('Smart Search'!$L$6)="",TRIM('Smart Search'!$L$6)="All",ISNUMBER(SEARCH(SUBSTITUTE(SUBSTITUTE(SUBSTITUTE(TRIM('Smart Search'!$L$6),"~","~~"),"*","~*"),"?","~?"),'Project Database'!C250))),OR('Smart Search'!$L$7="",AND('Project Database'!E250&lt;&gt;"",'Project Database'!E250='Smart Search'!$L$7)),OR('Smart Search'!$L$8="",'Smart Search'!$L$8="All",TRIM('Project Database'!F250)=TRIM('Smart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IF('Project Database'!A250="","",N('Project Database'!AC250))</f>
        <v/>
      </c>
      <c r="BK246" s="5">
        <f>IF('Project Database'!A250="","",N('Project Database'!AD250))</f>
        <v/>
      </c>
      <c r="BL246" s="5">
        <f>IF('Project Database'!A250="","",N('Project Database'!AE250))</f>
        <v/>
      </c>
      <c r="BM246" s="5">
        <f>IF('Project Database'!A250="","",N('Project Database'!AF250))</f>
        <v/>
      </c>
      <c r="BN246" s="5">
        <f>IF('Project Database'!A250="","",N('Project Database'!AG250))</f>
        <v/>
      </c>
      <c r="BO246" s="5">
        <f>IF('Project Database'!A250="","",N('Project Database'!AH250))</f>
        <v/>
      </c>
      <c r="BP246" s="5">
        <f>IF('Project Database'!A250="","",N('Project Database'!AI250))</f>
        <v/>
      </c>
      <c r="BQ246" s="5">
        <f>IF('Project Database'!A250="","",N('Project Database'!AJ250))</f>
        <v/>
      </c>
      <c r="BR246" s="5">
        <f>IF('Project Database'!A250="","",N('Project Database'!AK250))</f>
        <v/>
      </c>
      <c r="BS246" s="5">
        <f>IF('Project Database'!A250="","",N('Project Database'!AL250))</f>
        <v/>
      </c>
      <c r="BT246" s="5">
        <f>IF('Project Database'!A250="","",N('Project Database'!AM250))</f>
        <v/>
      </c>
      <c r="BU246" s="5">
        <f>IF('Project Database'!A250="","",N('Project Database'!AN250))</f>
        <v/>
      </c>
      <c r="BV246" s="5">
        <f>IF('Project Database'!A250="","",N('Project Database'!AO250))</f>
        <v/>
      </c>
      <c r="BW246" s="5">
        <f>IF('Project Database'!A250="","",N('Project Database'!AP250))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</row>
    <row r="247" ht="15" customHeight="1" s="74">
      <c r="A247" s="66">
        <f>'Project Database'!A251</f>
        <v/>
      </c>
      <c r="B247" s="66">
        <f>'Project Database'!B251</f>
        <v/>
      </c>
      <c r="C247" s="66">
        <f>'Project Database'!G251</f>
        <v/>
      </c>
      <c r="D247" s="66">
        <f>'Project Database'!H251</f>
        <v/>
      </c>
      <c r="E247" s="66">
        <f>'Project Database'!I251</f>
        <v/>
      </c>
      <c r="F247" s="66">
        <f>'Project Database'!J251</f>
        <v/>
      </c>
      <c r="G247" s="66">
        <f>'Project Database'!K251</f>
        <v/>
      </c>
      <c r="H247" s="66">
        <f>'Project Database'!L251</f>
        <v/>
      </c>
      <c r="I247" s="66">
        <f>'Project Database'!M251</f>
        <v/>
      </c>
      <c r="J247" s="66">
        <f>'Project Database'!N251</f>
        <v/>
      </c>
      <c r="K247" s="66">
        <f>'Project Database'!O251</f>
        <v/>
      </c>
      <c r="L247" s="66">
        <f>'Project Database'!P251</f>
        <v/>
      </c>
      <c r="M247" s="66">
        <f>'Project Database'!Q251</f>
        <v/>
      </c>
      <c r="N247" s="66">
        <f>'Project Database'!R251</f>
        <v/>
      </c>
      <c r="O247" s="66">
        <f>'Project Database'!S251</f>
        <v/>
      </c>
      <c r="P247" s="66">
        <f>'Project Database'!T251</f>
        <v/>
      </c>
      <c r="Q247" s="66">
        <f>'Project Database'!U251</f>
        <v/>
      </c>
      <c r="R247" s="66">
        <f>'Project Database'!V251</f>
        <v/>
      </c>
      <c r="S247" s="66">
        <f>'Project Database'!W251</f>
        <v/>
      </c>
      <c r="T247" s="66">
        <f>'Project Database'!X251</f>
        <v/>
      </c>
      <c r="U247" s="67">
        <f>'Project Database'!Y251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'Project Database'!Z251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IF(AND('Project Database'!A251&lt;&gt;"",OR('Smart Search'!$L$5="",'Smart Search'!$L$5="All",TRIM('Project Database'!D251)=TRIM('Smart Search'!$L$5)),OR(TRIM('Smart Search'!$L$6)="",TRIM('Smart Search'!$L$6)="All",ISNUMBER(SEARCH(SUBSTITUTE(SUBSTITUTE(SUBSTITUTE(TRIM('Smart Search'!$L$6),"~","~~"),"*","~*"),"?","~?"),'Project Database'!C251))),OR('Smart Search'!$L$7="",AND('Project Database'!E251&lt;&gt;"",'Project Database'!E251='Smart Search'!$L$7)),OR('Smart Search'!$L$8="",'Smart Search'!$L$8="All",TRIM('Project Database'!F251)=TRIM('Smart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IF('Project Database'!A251="","",N('Project Database'!AC251))</f>
        <v/>
      </c>
      <c r="BK247" s="5">
        <f>IF('Project Database'!A251="","",N('Project Database'!AD251))</f>
        <v/>
      </c>
      <c r="BL247" s="5">
        <f>IF('Project Database'!A251="","",N('Project Database'!AE251))</f>
        <v/>
      </c>
      <c r="BM247" s="5">
        <f>IF('Project Database'!A251="","",N('Project Database'!AF251))</f>
        <v/>
      </c>
      <c r="BN247" s="5">
        <f>IF('Project Database'!A251="","",N('Project Database'!AG251))</f>
        <v/>
      </c>
      <c r="BO247" s="5">
        <f>IF('Project Database'!A251="","",N('Project Database'!AH251))</f>
        <v/>
      </c>
      <c r="BP247" s="5">
        <f>IF('Project Database'!A251="","",N('Project Database'!AI251))</f>
        <v/>
      </c>
      <c r="BQ247" s="5">
        <f>IF('Project Database'!A251="","",N('Project Database'!AJ251))</f>
        <v/>
      </c>
      <c r="BR247" s="5">
        <f>IF('Project Database'!A251="","",N('Project Database'!AK251))</f>
        <v/>
      </c>
      <c r="BS247" s="5">
        <f>IF('Project Database'!A251="","",N('Project Database'!AL251))</f>
        <v/>
      </c>
      <c r="BT247" s="5">
        <f>IF('Project Database'!A251="","",N('Project Database'!AM251))</f>
        <v/>
      </c>
      <c r="BU247" s="5">
        <f>IF('Project Database'!A251="","",N('Project Database'!AN251))</f>
        <v/>
      </c>
      <c r="BV247" s="5">
        <f>IF('Project Database'!A251="","",N('Project Database'!AO251))</f>
        <v/>
      </c>
      <c r="BW247" s="5">
        <f>IF('Project Database'!A251="","",N('Project Database'!AP251))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</row>
    <row r="248" ht="15" customHeight="1" s="74">
      <c r="A248" s="66">
        <f>'Project Database'!A252</f>
        <v/>
      </c>
      <c r="B248" s="66">
        <f>'Project Database'!B252</f>
        <v/>
      </c>
      <c r="C248" s="66">
        <f>'Project Database'!G252</f>
        <v/>
      </c>
      <c r="D248" s="66">
        <f>'Project Database'!H252</f>
        <v/>
      </c>
      <c r="E248" s="66">
        <f>'Project Database'!I252</f>
        <v/>
      </c>
      <c r="F248" s="66">
        <f>'Project Database'!J252</f>
        <v/>
      </c>
      <c r="G248" s="66">
        <f>'Project Database'!K252</f>
        <v/>
      </c>
      <c r="H248" s="66">
        <f>'Project Database'!L252</f>
        <v/>
      </c>
      <c r="I248" s="66">
        <f>'Project Database'!M252</f>
        <v/>
      </c>
      <c r="J248" s="66">
        <f>'Project Database'!N252</f>
        <v/>
      </c>
      <c r="K248" s="66">
        <f>'Project Database'!O252</f>
        <v/>
      </c>
      <c r="L248" s="66">
        <f>'Project Database'!P252</f>
        <v/>
      </c>
      <c r="M248" s="66">
        <f>'Project Database'!Q252</f>
        <v/>
      </c>
      <c r="N248" s="66">
        <f>'Project Database'!R252</f>
        <v/>
      </c>
      <c r="O248" s="66">
        <f>'Project Database'!S252</f>
        <v/>
      </c>
      <c r="P248" s="66">
        <f>'Project Database'!T252</f>
        <v/>
      </c>
      <c r="Q248" s="66">
        <f>'Project Database'!U252</f>
        <v/>
      </c>
      <c r="R248" s="66">
        <f>'Project Database'!V252</f>
        <v/>
      </c>
      <c r="S248" s="66">
        <f>'Project Database'!W252</f>
        <v/>
      </c>
      <c r="T248" s="66">
        <f>'Project Database'!X252</f>
        <v/>
      </c>
      <c r="U248" s="67">
        <f>'Project Database'!Y252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'Project Database'!Z252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IF(AND('Project Database'!A252&lt;&gt;"",OR('Smart Search'!$L$5="",'Smart Search'!$L$5="All",TRIM('Project Database'!D252)=TRIM('Smart Search'!$L$5)),OR(TRIM('Smart Search'!$L$6)="",TRIM('Smart Search'!$L$6)="All",ISNUMBER(SEARCH(SUBSTITUTE(SUBSTITUTE(SUBSTITUTE(TRIM('Smart Search'!$L$6),"~","~~"),"*","~*"),"?","~?"),'Project Database'!C252))),OR('Smart Search'!$L$7="",AND('Project Database'!E252&lt;&gt;"",'Project Database'!E252='Smart Search'!$L$7)),OR('Smart Search'!$L$8="",'Smart Search'!$L$8="All",TRIM('Project Database'!F252)=TRIM('Smart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IF('Project Database'!A252="","",N('Project Database'!AC252))</f>
        <v/>
      </c>
      <c r="BK248" s="5">
        <f>IF('Project Database'!A252="","",N('Project Database'!AD252))</f>
        <v/>
      </c>
      <c r="BL248" s="5">
        <f>IF('Project Database'!A252="","",N('Project Database'!AE252))</f>
        <v/>
      </c>
      <c r="BM248" s="5">
        <f>IF('Project Database'!A252="","",N('Project Database'!AF252))</f>
        <v/>
      </c>
      <c r="BN248" s="5">
        <f>IF('Project Database'!A252="","",N('Project Database'!AG252))</f>
        <v/>
      </c>
      <c r="BO248" s="5">
        <f>IF('Project Database'!A252="","",N('Project Database'!AH252))</f>
        <v/>
      </c>
      <c r="BP248" s="5">
        <f>IF('Project Database'!A252="","",N('Project Database'!AI252))</f>
        <v/>
      </c>
      <c r="BQ248" s="5">
        <f>IF('Project Database'!A252="","",N('Project Database'!AJ252))</f>
        <v/>
      </c>
      <c r="BR248" s="5">
        <f>IF('Project Database'!A252="","",N('Project Database'!AK252))</f>
        <v/>
      </c>
      <c r="BS248" s="5">
        <f>IF('Project Database'!A252="","",N('Project Database'!AL252))</f>
        <v/>
      </c>
      <c r="BT248" s="5">
        <f>IF('Project Database'!A252="","",N('Project Database'!AM252))</f>
        <v/>
      </c>
      <c r="BU248" s="5">
        <f>IF('Project Database'!A252="","",N('Project Database'!AN252))</f>
        <v/>
      </c>
      <c r="BV248" s="5">
        <f>IF('Project Database'!A252="","",N('Project Database'!AO252))</f>
        <v/>
      </c>
      <c r="BW248" s="5">
        <f>IF('Project Database'!A252="","",N('Project Database'!AP252))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</row>
    <row r="249" ht="15" customHeight="1" s="74">
      <c r="A249" s="66">
        <f>'Project Database'!A253</f>
        <v/>
      </c>
      <c r="B249" s="66">
        <f>'Project Database'!B253</f>
        <v/>
      </c>
      <c r="C249" s="66">
        <f>'Project Database'!G253</f>
        <v/>
      </c>
      <c r="D249" s="66">
        <f>'Project Database'!H253</f>
        <v/>
      </c>
      <c r="E249" s="66">
        <f>'Project Database'!I253</f>
        <v/>
      </c>
      <c r="F249" s="66">
        <f>'Project Database'!J253</f>
        <v/>
      </c>
      <c r="G249" s="66">
        <f>'Project Database'!K253</f>
        <v/>
      </c>
      <c r="H249" s="66">
        <f>'Project Database'!L253</f>
        <v/>
      </c>
      <c r="I249" s="66">
        <f>'Project Database'!M253</f>
        <v/>
      </c>
      <c r="J249" s="66">
        <f>'Project Database'!N253</f>
        <v/>
      </c>
      <c r="K249" s="66">
        <f>'Project Database'!O253</f>
        <v/>
      </c>
      <c r="L249" s="66">
        <f>'Project Database'!P253</f>
        <v/>
      </c>
      <c r="M249" s="66">
        <f>'Project Database'!Q253</f>
        <v/>
      </c>
      <c r="N249" s="66">
        <f>'Project Database'!R253</f>
        <v/>
      </c>
      <c r="O249" s="66">
        <f>'Project Database'!S253</f>
        <v/>
      </c>
      <c r="P249" s="66">
        <f>'Project Database'!T253</f>
        <v/>
      </c>
      <c r="Q249" s="66">
        <f>'Project Database'!U253</f>
        <v/>
      </c>
      <c r="R249" s="66">
        <f>'Project Database'!V253</f>
        <v/>
      </c>
      <c r="S249" s="66">
        <f>'Project Database'!W253</f>
        <v/>
      </c>
      <c r="T249" s="66">
        <f>'Project Database'!X253</f>
        <v/>
      </c>
      <c r="U249" s="67">
        <f>'Project Database'!Y253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'Project Database'!Z253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IF(AND('Project Database'!A253&lt;&gt;"",OR('Smart Search'!$L$5="",'Smart Search'!$L$5="All",TRIM('Project Database'!D253)=TRIM('Smart Search'!$L$5)),OR(TRIM('Smart Search'!$L$6)="",TRIM('Smart Search'!$L$6)="All",ISNUMBER(SEARCH(SUBSTITUTE(SUBSTITUTE(SUBSTITUTE(TRIM('Smart Search'!$L$6),"~","~~"),"*","~*"),"?","~?"),'Project Database'!C253))),OR('Smart Search'!$L$7="",AND('Project Database'!E253&lt;&gt;"",'Project Database'!E253='Smart Search'!$L$7)),OR('Smart Search'!$L$8="",'Smart Search'!$L$8="All",TRIM('Project Database'!F253)=TRIM('Smart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IF('Project Database'!A253="","",N('Project Database'!AC253))</f>
        <v/>
      </c>
      <c r="BK249" s="5">
        <f>IF('Project Database'!A253="","",N('Project Database'!AD253))</f>
        <v/>
      </c>
      <c r="BL249" s="5">
        <f>IF('Project Database'!A253="","",N('Project Database'!AE253))</f>
        <v/>
      </c>
      <c r="BM249" s="5">
        <f>IF('Project Database'!A253="","",N('Project Database'!AF253))</f>
        <v/>
      </c>
      <c r="BN249" s="5">
        <f>IF('Project Database'!A253="","",N('Project Database'!AG253))</f>
        <v/>
      </c>
      <c r="BO249" s="5">
        <f>IF('Project Database'!A253="","",N('Project Database'!AH253))</f>
        <v/>
      </c>
      <c r="BP249" s="5">
        <f>IF('Project Database'!A253="","",N('Project Database'!AI253))</f>
        <v/>
      </c>
      <c r="BQ249" s="5">
        <f>IF('Project Database'!A253="","",N('Project Database'!AJ253))</f>
        <v/>
      </c>
      <c r="BR249" s="5">
        <f>IF('Project Database'!A253="","",N('Project Database'!AK253))</f>
        <v/>
      </c>
      <c r="BS249" s="5">
        <f>IF('Project Database'!A253="","",N('Project Database'!AL253))</f>
        <v/>
      </c>
      <c r="BT249" s="5">
        <f>IF('Project Database'!A253="","",N('Project Database'!AM253))</f>
        <v/>
      </c>
      <c r="BU249" s="5">
        <f>IF('Project Database'!A253="","",N('Project Database'!AN253))</f>
        <v/>
      </c>
      <c r="BV249" s="5">
        <f>IF('Project Database'!A253="","",N('Project Database'!AO253))</f>
        <v/>
      </c>
      <c r="BW249" s="5">
        <f>IF('Project Database'!A253="","",N('Project Database'!AP253))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</row>
    <row r="250" ht="15" customHeight="1" s="74">
      <c r="A250" s="66">
        <f>'Project Database'!A254</f>
        <v/>
      </c>
      <c r="B250" s="66">
        <f>'Project Database'!B254</f>
        <v/>
      </c>
      <c r="C250" s="66">
        <f>'Project Database'!G254</f>
        <v/>
      </c>
      <c r="D250" s="66">
        <f>'Project Database'!H254</f>
        <v/>
      </c>
      <c r="E250" s="66">
        <f>'Project Database'!I254</f>
        <v/>
      </c>
      <c r="F250" s="66">
        <f>'Project Database'!J254</f>
        <v/>
      </c>
      <c r="G250" s="66">
        <f>'Project Database'!K254</f>
        <v/>
      </c>
      <c r="H250" s="66">
        <f>'Project Database'!L254</f>
        <v/>
      </c>
      <c r="I250" s="66">
        <f>'Project Database'!M254</f>
        <v/>
      </c>
      <c r="J250" s="66">
        <f>'Project Database'!N254</f>
        <v/>
      </c>
      <c r="K250" s="66">
        <f>'Project Database'!O254</f>
        <v/>
      </c>
      <c r="L250" s="66">
        <f>'Project Database'!P254</f>
        <v/>
      </c>
      <c r="M250" s="66">
        <f>'Project Database'!Q254</f>
        <v/>
      </c>
      <c r="N250" s="66">
        <f>'Project Database'!R254</f>
        <v/>
      </c>
      <c r="O250" s="66">
        <f>'Project Database'!S254</f>
        <v/>
      </c>
      <c r="P250" s="66">
        <f>'Project Database'!T254</f>
        <v/>
      </c>
      <c r="Q250" s="66">
        <f>'Project Database'!U254</f>
        <v/>
      </c>
      <c r="R250" s="66">
        <f>'Project Database'!V254</f>
        <v/>
      </c>
      <c r="S250" s="66">
        <f>'Project Database'!W254</f>
        <v/>
      </c>
      <c r="T250" s="66">
        <f>'Project Database'!X254</f>
        <v/>
      </c>
      <c r="U250" s="67">
        <f>'Project Database'!Y254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'Project Database'!Z254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IF(AND('Project Database'!A254&lt;&gt;"",OR('Smart Search'!$L$5="",'Smart Search'!$L$5="All",TRIM('Project Database'!D254)=TRIM('Smart Search'!$L$5)),OR(TRIM('Smart Search'!$L$6)="",TRIM('Smart Search'!$L$6)="All",ISNUMBER(SEARCH(SUBSTITUTE(SUBSTITUTE(SUBSTITUTE(TRIM('Smart Search'!$L$6),"~","~~"),"*","~*"),"?","~?"),'Project Database'!C254))),OR('Smart Search'!$L$7="",AND('Project Database'!E254&lt;&gt;"",'Project Database'!E254='Smart Search'!$L$7)),OR('Smart Search'!$L$8="",'Smart Search'!$L$8="All",TRIM('Project Database'!F254)=TRIM('Smart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IF('Project Database'!A254="","",N('Project Database'!AC254))</f>
        <v/>
      </c>
      <c r="BK250" s="5">
        <f>IF('Project Database'!A254="","",N('Project Database'!AD254))</f>
        <v/>
      </c>
      <c r="BL250" s="5">
        <f>IF('Project Database'!A254="","",N('Project Database'!AE254))</f>
        <v/>
      </c>
      <c r="BM250" s="5">
        <f>IF('Project Database'!A254="","",N('Project Database'!AF254))</f>
        <v/>
      </c>
      <c r="BN250" s="5">
        <f>IF('Project Database'!A254="","",N('Project Database'!AG254))</f>
        <v/>
      </c>
      <c r="BO250" s="5">
        <f>IF('Project Database'!A254="","",N('Project Database'!AH254))</f>
        <v/>
      </c>
      <c r="BP250" s="5">
        <f>IF('Project Database'!A254="","",N('Project Database'!AI254))</f>
        <v/>
      </c>
      <c r="BQ250" s="5">
        <f>IF('Project Database'!A254="","",N('Project Database'!AJ254))</f>
        <v/>
      </c>
      <c r="BR250" s="5">
        <f>IF('Project Database'!A254="","",N('Project Database'!AK254))</f>
        <v/>
      </c>
      <c r="BS250" s="5">
        <f>IF('Project Database'!A254="","",N('Project Database'!AL254))</f>
        <v/>
      </c>
      <c r="BT250" s="5">
        <f>IF('Project Database'!A254="","",N('Project Database'!AM254))</f>
        <v/>
      </c>
      <c r="BU250" s="5">
        <f>IF('Project Database'!A254="","",N('Project Database'!AN254))</f>
        <v/>
      </c>
      <c r="BV250" s="5">
        <f>IF('Project Database'!A254="","",N('Project Database'!AO254))</f>
        <v/>
      </c>
      <c r="BW250" s="5">
        <f>IF('Project Database'!A254="","",N('Project Database'!AP254))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</row>
    <row r="251" ht="15" customHeight="1" s="74">
      <c r="A251" s="66">
        <f>'Project Database'!A255</f>
        <v/>
      </c>
      <c r="B251" s="66">
        <f>'Project Database'!B255</f>
        <v/>
      </c>
      <c r="C251" s="66">
        <f>'Project Database'!G255</f>
        <v/>
      </c>
      <c r="D251" s="66">
        <f>'Project Database'!H255</f>
        <v/>
      </c>
      <c r="E251" s="66">
        <f>'Project Database'!I255</f>
        <v/>
      </c>
      <c r="F251" s="66">
        <f>'Project Database'!J255</f>
        <v/>
      </c>
      <c r="G251" s="66">
        <f>'Project Database'!K255</f>
        <v/>
      </c>
      <c r="H251" s="66">
        <f>'Project Database'!L255</f>
        <v/>
      </c>
      <c r="I251" s="66">
        <f>'Project Database'!M255</f>
        <v/>
      </c>
      <c r="J251" s="66">
        <f>'Project Database'!N255</f>
        <v/>
      </c>
      <c r="K251" s="66">
        <f>'Project Database'!O255</f>
        <v/>
      </c>
      <c r="L251" s="66">
        <f>'Project Database'!P255</f>
        <v/>
      </c>
      <c r="M251" s="66">
        <f>'Project Database'!Q255</f>
        <v/>
      </c>
      <c r="N251" s="66">
        <f>'Project Database'!R255</f>
        <v/>
      </c>
      <c r="O251" s="66">
        <f>'Project Database'!S255</f>
        <v/>
      </c>
      <c r="P251" s="66">
        <f>'Project Database'!T255</f>
        <v/>
      </c>
      <c r="Q251" s="66">
        <f>'Project Database'!U255</f>
        <v/>
      </c>
      <c r="R251" s="66">
        <f>'Project Database'!V255</f>
        <v/>
      </c>
      <c r="S251" s="66">
        <f>'Project Database'!W255</f>
        <v/>
      </c>
      <c r="T251" s="66">
        <f>'Project Database'!X255</f>
        <v/>
      </c>
      <c r="U251" s="67">
        <f>'Project Database'!Y255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'Project Database'!Z255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IF(AND('Project Database'!A255&lt;&gt;"",OR('Smart Search'!$L$5="",'Smart Search'!$L$5="All",TRIM('Project Database'!D255)=TRIM('Smart Search'!$L$5)),OR(TRIM('Smart Search'!$L$6)="",TRIM('Smart Search'!$L$6)="All",ISNUMBER(SEARCH(SUBSTITUTE(SUBSTITUTE(SUBSTITUTE(TRIM('Smart Search'!$L$6),"~","~~"),"*","~*"),"?","~?"),'Project Database'!C255))),OR('Smart Search'!$L$7="",AND('Project Database'!E255&lt;&gt;"",'Project Database'!E255='Smart Search'!$L$7)),OR('Smart Search'!$L$8="",'Smart Search'!$L$8="All",TRIM('Project Database'!F255)=TRIM('Smart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IF('Project Database'!A255="","",N('Project Database'!AC255))</f>
        <v/>
      </c>
      <c r="BK251" s="5">
        <f>IF('Project Database'!A255="","",N('Project Database'!AD255))</f>
        <v/>
      </c>
      <c r="BL251" s="5">
        <f>IF('Project Database'!A255="","",N('Project Database'!AE255))</f>
        <v/>
      </c>
      <c r="BM251" s="5">
        <f>IF('Project Database'!A255="","",N('Project Database'!AF255))</f>
        <v/>
      </c>
      <c r="BN251" s="5">
        <f>IF('Project Database'!A255="","",N('Project Database'!AG255))</f>
        <v/>
      </c>
      <c r="BO251" s="5">
        <f>IF('Project Database'!A255="","",N('Project Database'!AH255))</f>
        <v/>
      </c>
      <c r="BP251" s="5">
        <f>IF('Project Database'!A255="","",N('Project Database'!AI255))</f>
        <v/>
      </c>
      <c r="BQ251" s="5">
        <f>IF('Project Database'!A255="","",N('Project Database'!AJ255))</f>
        <v/>
      </c>
      <c r="BR251" s="5">
        <f>IF('Project Database'!A255="","",N('Project Database'!AK255))</f>
        <v/>
      </c>
      <c r="BS251" s="5">
        <f>IF('Project Database'!A255="","",N('Project Database'!AL255))</f>
        <v/>
      </c>
      <c r="BT251" s="5">
        <f>IF('Project Database'!A255="","",N('Project Database'!AM255))</f>
        <v/>
      </c>
      <c r="BU251" s="5">
        <f>IF('Project Database'!A255="","",N('Project Database'!AN255))</f>
        <v/>
      </c>
      <c r="BV251" s="5">
        <f>IF('Project Database'!A255="","",N('Project Database'!AO255))</f>
        <v/>
      </c>
      <c r="BW251" s="5">
        <f>IF('Project Database'!A255="","",N('Project Database'!AP255))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</row>
    <row r="252" ht="15" customHeight="1" s="74">
      <c r="A252" s="66">
        <f>'Project Database'!A256</f>
        <v/>
      </c>
      <c r="B252" s="66">
        <f>'Project Database'!B256</f>
        <v/>
      </c>
      <c r="C252" s="66">
        <f>'Project Database'!G256</f>
        <v/>
      </c>
      <c r="D252" s="66">
        <f>'Project Database'!H256</f>
        <v/>
      </c>
      <c r="E252" s="66">
        <f>'Project Database'!I256</f>
        <v/>
      </c>
      <c r="F252" s="66">
        <f>'Project Database'!J256</f>
        <v/>
      </c>
      <c r="G252" s="66">
        <f>'Project Database'!K256</f>
        <v/>
      </c>
      <c r="H252" s="66">
        <f>'Project Database'!L256</f>
        <v/>
      </c>
      <c r="I252" s="66">
        <f>'Project Database'!M256</f>
        <v/>
      </c>
      <c r="J252" s="66">
        <f>'Project Database'!N256</f>
        <v/>
      </c>
      <c r="K252" s="66">
        <f>'Project Database'!O256</f>
        <v/>
      </c>
      <c r="L252" s="66">
        <f>'Project Database'!P256</f>
        <v/>
      </c>
      <c r="M252" s="66">
        <f>'Project Database'!Q256</f>
        <v/>
      </c>
      <c r="N252" s="66">
        <f>'Project Database'!R256</f>
        <v/>
      </c>
      <c r="O252" s="66">
        <f>'Project Database'!S256</f>
        <v/>
      </c>
      <c r="P252" s="66">
        <f>'Project Database'!T256</f>
        <v/>
      </c>
      <c r="Q252" s="66">
        <f>'Project Database'!U256</f>
        <v/>
      </c>
      <c r="R252" s="66">
        <f>'Project Database'!V256</f>
        <v/>
      </c>
      <c r="S252" s="66">
        <f>'Project Database'!W256</f>
        <v/>
      </c>
      <c r="T252" s="66">
        <f>'Project Database'!X256</f>
        <v/>
      </c>
      <c r="U252" s="67">
        <f>'Project Database'!Y256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'Project Database'!Z256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IF(AND('Project Database'!A256&lt;&gt;"",OR('Smart Search'!$L$5="",'Smart Search'!$L$5="All",TRIM('Project Database'!D256)=TRIM('Smart Search'!$L$5)),OR(TRIM('Smart Search'!$L$6)="",TRIM('Smart Search'!$L$6)="All",ISNUMBER(SEARCH(SUBSTITUTE(SUBSTITUTE(SUBSTITUTE(TRIM('Smart Search'!$L$6),"~","~~"),"*","~*"),"?","~?"),'Project Database'!C256))),OR('Smart Search'!$L$7="",AND('Project Database'!E256&lt;&gt;"",'Project Database'!E256='Smart Search'!$L$7)),OR('Smart Search'!$L$8="",'Smart Search'!$L$8="All",TRIM('Project Database'!F256)=TRIM('Smart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IF('Project Database'!A256="","",N('Project Database'!AC256))</f>
        <v/>
      </c>
      <c r="BK252" s="5">
        <f>IF('Project Database'!A256="","",N('Project Database'!AD256))</f>
        <v/>
      </c>
      <c r="BL252" s="5">
        <f>IF('Project Database'!A256="","",N('Project Database'!AE256))</f>
        <v/>
      </c>
      <c r="BM252" s="5">
        <f>IF('Project Database'!A256="","",N('Project Database'!AF256))</f>
        <v/>
      </c>
      <c r="BN252" s="5">
        <f>IF('Project Database'!A256="","",N('Project Database'!AG256))</f>
        <v/>
      </c>
      <c r="BO252" s="5">
        <f>IF('Project Database'!A256="","",N('Project Database'!AH256))</f>
        <v/>
      </c>
      <c r="BP252" s="5">
        <f>IF('Project Database'!A256="","",N('Project Database'!AI256))</f>
        <v/>
      </c>
      <c r="BQ252" s="5">
        <f>IF('Project Database'!A256="","",N('Project Database'!AJ256))</f>
        <v/>
      </c>
      <c r="BR252" s="5">
        <f>IF('Project Database'!A256="","",N('Project Database'!AK256))</f>
        <v/>
      </c>
      <c r="BS252" s="5">
        <f>IF('Project Database'!A256="","",N('Project Database'!AL256))</f>
        <v/>
      </c>
      <c r="BT252" s="5">
        <f>IF('Project Database'!A256="","",N('Project Database'!AM256))</f>
        <v/>
      </c>
      <c r="BU252" s="5">
        <f>IF('Project Database'!A256="","",N('Project Database'!AN256))</f>
        <v/>
      </c>
      <c r="BV252" s="5">
        <f>IF('Project Database'!A256="","",N('Project Database'!AO256))</f>
        <v/>
      </c>
      <c r="BW252" s="5">
        <f>IF('Project Database'!A256="","",N('Project Database'!AP256))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</row>
    <row r="253" ht="15" customHeight="1" s="74">
      <c r="A253" s="66">
        <f>'Project Database'!A257</f>
        <v/>
      </c>
      <c r="B253" s="66">
        <f>'Project Database'!B257</f>
        <v/>
      </c>
      <c r="C253" s="66">
        <f>'Project Database'!G257</f>
        <v/>
      </c>
      <c r="D253" s="66">
        <f>'Project Database'!H257</f>
        <v/>
      </c>
      <c r="E253" s="66">
        <f>'Project Database'!I257</f>
        <v/>
      </c>
      <c r="F253" s="66">
        <f>'Project Database'!J257</f>
        <v/>
      </c>
      <c r="G253" s="66">
        <f>'Project Database'!K257</f>
        <v/>
      </c>
      <c r="H253" s="66">
        <f>'Project Database'!L257</f>
        <v/>
      </c>
      <c r="I253" s="66">
        <f>'Project Database'!M257</f>
        <v/>
      </c>
      <c r="J253" s="66">
        <f>'Project Database'!N257</f>
        <v/>
      </c>
      <c r="K253" s="66">
        <f>'Project Database'!O257</f>
        <v/>
      </c>
      <c r="L253" s="66">
        <f>'Project Database'!P257</f>
        <v/>
      </c>
      <c r="M253" s="66">
        <f>'Project Database'!Q257</f>
        <v/>
      </c>
      <c r="N253" s="66">
        <f>'Project Database'!R257</f>
        <v/>
      </c>
      <c r="O253" s="66">
        <f>'Project Database'!S257</f>
        <v/>
      </c>
      <c r="P253" s="66">
        <f>'Project Database'!T257</f>
        <v/>
      </c>
      <c r="Q253" s="66">
        <f>'Project Database'!U257</f>
        <v/>
      </c>
      <c r="R253" s="66">
        <f>'Project Database'!V257</f>
        <v/>
      </c>
      <c r="S253" s="66">
        <f>'Project Database'!W257</f>
        <v/>
      </c>
      <c r="T253" s="66">
        <f>'Project Database'!X257</f>
        <v/>
      </c>
      <c r="U253" s="67">
        <f>'Project Database'!Y257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'Project Database'!Z257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IF(AND('Project Database'!A257&lt;&gt;"",OR('Smart Search'!$L$5="",'Smart Search'!$L$5="All",TRIM('Project Database'!D257)=TRIM('Smart Search'!$L$5)),OR(TRIM('Smart Search'!$L$6)="",TRIM('Smart Search'!$L$6)="All",ISNUMBER(SEARCH(SUBSTITUTE(SUBSTITUTE(SUBSTITUTE(TRIM('Smart Search'!$L$6),"~","~~"),"*","~*"),"?","~?"),'Project Database'!C257))),OR('Smart Search'!$L$7="",AND('Project Database'!E257&lt;&gt;"",'Project Database'!E257='Smart Search'!$L$7)),OR('Smart Search'!$L$8="",'Smart Search'!$L$8="All",TRIM('Project Database'!F257)=TRIM('Smart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IF('Project Database'!A257="","",N('Project Database'!AC257))</f>
        <v/>
      </c>
      <c r="BK253" s="5">
        <f>IF('Project Database'!A257="","",N('Project Database'!AD257))</f>
        <v/>
      </c>
      <c r="BL253" s="5">
        <f>IF('Project Database'!A257="","",N('Project Database'!AE257))</f>
        <v/>
      </c>
      <c r="BM253" s="5">
        <f>IF('Project Database'!A257="","",N('Project Database'!AF257))</f>
        <v/>
      </c>
      <c r="BN253" s="5">
        <f>IF('Project Database'!A257="","",N('Project Database'!AG257))</f>
        <v/>
      </c>
      <c r="BO253" s="5">
        <f>IF('Project Database'!A257="","",N('Project Database'!AH257))</f>
        <v/>
      </c>
      <c r="BP253" s="5">
        <f>IF('Project Database'!A257="","",N('Project Database'!AI257))</f>
        <v/>
      </c>
      <c r="BQ253" s="5">
        <f>IF('Project Database'!A257="","",N('Project Database'!AJ257))</f>
        <v/>
      </c>
      <c r="BR253" s="5">
        <f>IF('Project Database'!A257="","",N('Project Database'!AK257))</f>
        <v/>
      </c>
      <c r="BS253" s="5">
        <f>IF('Project Database'!A257="","",N('Project Database'!AL257))</f>
        <v/>
      </c>
      <c r="BT253" s="5">
        <f>IF('Project Database'!A257="","",N('Project Database'!AM257))</f>
        <v/>
      </c>
      <c r="BU253" s="5">
        <f>IF('Project Database'!A257="","",N('Project Database'!AN257))</f>
        <v/>
      </c>
      <c r="BV253" s="5">
        <f>IF('Project Database'!A257="","",N('Project Database'!AO257))</f>
        <v/>
      </c>
      <c r="BW253" s="5">
        <f>IF('Project Database'!A257="","",N('Project Database'!AP257))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</row>
    <row r="254" ht="15" customHeight="1" s="74">
      <c r="A254" s="66">
        <f>'Project Database'!A258</f>
        <v/>
      </c>
      <c r="B254" s="66">
        <f>'Project Database'!B258</f>
        <v/>
      </c>
      <c r="C254" s="66">
        <f>'Project Database'!G258</f>
        <v/>
      </c>
      <c r="D254" s="66">
        <f>'Project Database'!H258</f>
        <v/>
      </c>
      <c r="E254" s="66">
        <f>'Project Database'!I258</f>
        <v/>
      </c>
      <c r="F254" s="66">
        <f>'Project Database'!J258</f>
        <v/>
      </c>
      <c r="G254" s="66">
        <f>'Project Database'!K258</f>
        <v/>
      </c>
      <c r="H254" s="66">
        <f>'Project Database'!L258</f>
        <v/>
      </c>
      <c r="I254" s="66">
        <f>'Project Database'!M258</f>
        <v/>
      </c>
      <c r="J254" s="66">
        <f>'Project Database'!N258</f>
        <v/>
      </c>
      <c r="K254" s="66">
        <f>'Project Database'!O258</f>
        <v/>
      </c>
      <c r="L254" s="66">
        <f>'Project Database'!P258</f>
        <v/>
      </c>
      <c r="M254" s="66">
        <f>'Project Database'!Q258</f>
        <v/>
      </c>
      <c r="N254" s="66">
        <f>'Project Database'!R258</f>
        <v/>
      </c>
      <c r="O254" s="66">
        <f>'Project Database'!S258</f>
        <v/>
      </c>
      <c r="P254" s="66">
        <f>'Project Database'!T258</f>
        <v/>
      </c>
      <c r="Q254" s="66">
        <f>'Project Database'!U258</f>
        <v/>
      </c>
      <c r="R254" s="66">
        <f>'Project Database'!V258</f>
        <v/>
      </c>
      <c r="S254" s="66">
        <f>'Project Database'!W258</f>
        <v/>
      </c>
      <c r="T254" s="66">
        <f>'Project Database'!X258</f>
        <v/>
      </c>
      <c r="U254" s="67">
        <f>'Project Database'!Y258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'Project Database'!Z258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IF(AND('Project Database'!A258&lt;&gt;"",OR('Smart Search'!$L$5="",'Smart Search'!$L$5="All",TRIM('Project Database'!D258)=TRIM('Smart Search'!$L$5)),OR(TRIM('Smart Search'!$L$6)="",TRIM('Smart Search'!$L$6)="All",ISNUMBER(SEARCH(SUBSTITUTE(SUBSTITUTE(SUBSTITUTE(TRIM('Smart Search'!$L$6),"~","~~"),"*","~*"),"?","~?"),'Project Database'!C258))),OR('Smart Search'!$L$7="",AND('Project Database'!E258&lt;&gt;"",'Project Database'!E258='Smart Search'!$L$7)),OR('Smart Search'!$L$8="",'Smart Search'!$L$8="All",TRIM('Project Database'!F258)=TRIM('Smart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IF('Project Database'!A258="","",N('Project Database'!AC258))</f>
        <v/>
      </c>
      <c r="BK254" s="5">
        <f>IF('Project Database'!A258="","",N('Project Database'!AD258))</f>
        <v/>
      </c>
      <c r="BL254" s="5">
        <f>IF('Project Database'!A258="","",N('Project Database'!AE258))</f>
        <v/>
      </c>
      <c r="BM254" s="5">
        <f>IF('Project Database'!A258="","",N('Project Database'!AF258))</f>
        <v/>
      </c>
      <c r="BN254" s="5">
        <f>IF('Project Database'!A258="","",N('Project Database'!AG258))</f>
        <v/>
      </c>
      <c r="BO254" s="5">
        <f>IF('Project Database'!A258="","",N('Project Database'!AH258))</f>
        <v/>
      </c>
      <c r="BP254" s="5">
        <f>IF('Project Database'!A258="","",N('Project Database'!AI258))</f>
        <v/>
      </c>
      <c r="BQ254" s="5">
        <f>IF('Project Database'!A258="","",N('Project Database'!AJ258))</f>
        <v/>
      </c>
      <c r="BR254" s="5">
        <f>IF('Project Database'!A258="","",N('Project Database'!AK258))</f>
        <v/>
      </c>
      <c r="BS254" s="5">
        <f>IF('Project Database'!A258="","",N('Project Database'!AL258))</f>
        <v/>
      </c>
      <c r="BT254" s="5">
        <f>IF('Project Database'!A258="","",N('Project Database'!AM258))</f>
        <v/>
      </c>
      <c r="BU254" s="5">
        <f>IF('Project Database'!A258="","",N('Project Database'!AN258))</f>
        <v/>
      </c>
      <c r="BV254" s="5">
        <f>IF('Project Database'!A258="","",N('Project Database'!AO258))</f>
        <v/>
      </c>
      <c r="BW254" s="5">
        <f>IF('Project Database'!A258="","",N('Project Database'!AP258))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</row>
    <row r="255" ht="15" customHeight="1" s="74">
      <c r="A255" s="66">
        <f>'Project Database'!A259</f>
        <v/>
      </c>
      <c r="B255" s="66">
        <f>'Project Database'!B259</f>
        <v/>
      </c>
      <c r="C255" s="66">
        <f>'Project Database'!G259</f>
        <v/>
      </c>
      <c r="D255" s="66">
        <f>'Project Database'!H259</f>
        <v/>
      </c>
      <c r="E255" s="66">
        <f>'Project Database'!I259</f>
        <v/>
      </c>
      <c r="F255" s="66">
        <f>'Project Database'!J259</f>
        <v/>
      </c>
      <c r="G255" s="66">
        <f>'Project Database'!K259</f>
        <v/>
      </c>
      <c r="H255" s="66">
        <f>'Project Database'!L259</f>
        <v/>
      </c>
      <c r="I255" s="66">
        <f>'Project Database'!M259</f>
        <v/>
      </c>
      <c r="J255" s="66">
        <f>'Project Database'!N259</f>
        <v/>
      </c>
      <c r="K255" s="66">
        <f>'Project Database'!O259</f>
        <v/>
      </c>
      <c r="L255" s="66">
        <f>'Project Database'!P259</f>
        <v/>
      </c>
      <c r="M255" s="66">
        <f>'Project Database'!Q259</f>
        <v/>
      </c>
      <c r="N255" s="66">
        <f>'Project Database'!R259</f>
        <v/>
      </c>
      <c r="O255" s="66">
        <f>'Project Database'!S259</f>
        <v/>
      </c>
      <c r="P255" s="66">
        <f>'Project Database'!T259</f>
        <v/>
      </c>
      <c r="Q255" s="66">
        <f>'Project Database'!U259</f>
        <v/>
      </c>
      <c r="R255" s="66">
        <f>'Project Database'!V259</f>
        <v/>
      </c>
      <c r="S255" s="66">
        <f>'Project Database'!W259</f>
        <v/>
      </c>
      <c r="T255" s="66">
        <f>'Project Database'!X259</f>
        <v/>
      </c>
      <c r="U255" s="67">
        <f>'Project Database'!Y259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'Project Database'!Z259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IF(AND('Project Database'!A259&lt;&gt;"",OR('Smart Search'!$L$5="",'Smart Search'!$L$5="All",TRIM('Project Database'!D259)=TRIM('Smart Search'!$L$5)),OR(TRIM('Smart Search'!$L$6)="",TRIM('Smart Search'!$L$6)="All",ISNUMBER(SEARCH(SUBSTITUTE(SUBSTITUTE(SUBSTITUTE(TRIM('Smart Search'!$L$6),"~","~~"),"*","~*"),"?","~?"),'Project Database'!C259))),OR('Smart Search'!$L$7="",AND('Project Database'!E259&lt;&gt;"",'Project Database'!E259='Smart Search'!$L$7)),OR('Smart Search'!$L$8="",'Smart Search'!$L$8="All",TRIM('Project Database'!F259)=TRIM('Smart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IF('Project Database'!A259="","",N('Project Database'!AC259))</f>
        <v/>
      </c>
      <c r="BK255" s="5">
        <f>IF('Project Database'!A259="","",N('Project Database'!AD259))</f>
        <v/>
      </c>
      <c r="BL255" s="5">
        <f>IF('Project Database'!A259="","",N('Project Database'!AE259))</f>
        <v/>
      </c>
      <c r="BM255" s="5">
        <f>IF('Project Database'!A259="","",N('Project Database'!AF259))</f>
        <v/>
      </c>
      <c r="BN255" s="5">
        <f>IF('Project Database'!A259="","",N('Project Database'!AG259))</f>
        <v/>
      </c>
      <c r="BO255" s="5">
        <f>IF('Project Database'!A259="","",N('Project Database'!AH259))</f>
        <v/>
      </c>
      <c r="BP255" s="5">
        <f>IF('Project Database'!A259="","",N('Project Database'!AI259))</f>
        <v/>
      </c>
      <c r="BQ255" s="5">
        <f>IF('Project Database'!A259="","",N('Project Database'!AJ259))</f>
        <v/>
      </c>
      <c r="BR255" s="5">
        <f>IF('Project Database'!A259="","",N('Project Database'!AK259))</f>
        <v/>
      </c>
      <c r="BS255" s="5">
        <f>IF('Project Database'!A259="","",N('Project Database'!AL259))</f>
        <v/>
      </c>
      <c r="BT255" s="5">
        <f>IF('Project Database'!A259="","",N('Project Database'!AM259))</f>
        <v/>
      </c>
      <c r="BU255" s="5">
        <f>IF('Project Database'!A259="","",N('Project Database'!AN259))</f>
        <v/>
      </c>
      <c r="BV255" s="5">
        <f>IF('Project Database'!A259="","",N('Project Database'!AO259))</f>
        <v/>
      </c>
      <c r="BW255" s="5">
        <f>IF('Project Database'!A259="","",N('Project Database'!AP259))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</row>
    <row r="256" ht="15" customHeight="1" s="74">
      <c r="A256" s="66">
        <f>'Project Database'!A260</f>
        <v/>
      </c>
      <c r="B256" s="66">
        <f>'Project Database'!B260</f>
        <v/>
      </c>
      <c r="C256" s="66">
        <f>'Project Database'!G260</f>
        <v/>
      </c>
      <c r="D256" s="66">
        <f>'Project Database'!H260</f>
        <v/>
      </c>
      <c r="E256" s="66">
        <f>'Project Database'!I260</f>
        <v/>
      </c>
      <c r="F256" s="66">
        <f>'Project Database'!J260</f>
        <v/>
      </c>
      <c r="G256" s="66">
        <f>'Project Database'!K260</f>
        <v/>
      </c>
      <c r="H256" s="66">
        <f>'Project Database'!L260</f>
        <v/>
      </c>
      <c r="I256" s="66">
        <f>'Project Database'!M260</f>
        <v/>
      </c>
      <c r="J256" s="66">
        <f>'Project Database'!N260</f>
        <v/>
      </c>
      <c r="K256" s="66">
        <f>'Project Database'!O260</f>
        <v/>
      </c>
      <c r="L256" s="66">
        <f>'Project Database'!P260</f>
        <v/>
      </c>
      <c r="M256" s="66">
        <f>'Project Database'!Q260</f>
        <v/>
      </c>
      <c r="N256" s="66">
        <f>'Project Database'!R260</f>
        <v/>
      </c>
      <c r="O256" s="66">
        <f>'Project Database'!S260</f>
        <v/>
      </c>
      <c r="P256" s="66">
        <f>'Project Database'!T260</f>
        <v/>
      </c>
      <c r="Q256" s="66">
        <f>'Project Database'!U260</f>
        <v/>
      </c>
      <c r="R256" s="66">
        <f>'Project Database'!V260</f>
        <v/>
      </c>
      <c r="S256" s="66">
        <f>'Project Database'!W260</f>
        <v/>
      </c>
      <c r="T256" s="66">
        <f>'Project Database'!X260</f>
        <v/>
      </c>
      <c r="U256" s="67">
        <f>'Project Database'!Y260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'Project Database'!Z260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IF(AND('Project Database'!A260&lt;&gt;"",OR('Smart Search'!$L$5="",'Smart Search'!$L$5="All",TRIM('Project Database'!D260)=TRIM('Smart Search'!$L$5)),OR(TRIM('Smart Search'!$L$6)="",TRIM('Smart Search'!$L$6)="All",ISNUMBER(SEARCH(SUBSTITUTE(SUBSTITUTE(SUBSTITUTE(TRIM('Smart Search'!$L$6),"~","~~"),"*","~*"),"?","~?"),'Project Database'!C260))),OR('Smart Search'!$L$7="",AND('Project Database'!E260&lt;&gt;"",'Project Database'!E260='Smart Search'!$L$7)),OR('Smart Search'!$L$8="",'Smart Search'!$L$8="All",TRIM('Project Database'!F260)=TRIM('Smart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IF('Project Database'!A260="","",N('Project Database'!AC260))</f>
        <v/>
      </c>
      <c r="BK256" s="5">
        <f>IF('Project Database'!A260="","",N('Project Database'!AD260))</f>
        <v/>
      </c>
      <c r="BL256" s="5">
        <f>IF('Project Database'!A260="","",N('Project Database'!AE260))</f>
        <v/>
      </c>
      <c r="BM256" s="5">
        <f>IF('Project Database'!A260="","",N('Project Database'!AF260))</f>
        <v/>
      </c>
      <c r="BN256" s="5">
        <f>IF('Project Database'!A260="","",N('Project Database'!AG260))</f>
        <v/>
      </c>
      <c r="BO256" s="5">
        <f>IF('Project Database'!A260="","",N('Project Database'!AH260))</f>
        <v/>
      </c>
      <c r="BP256" s="5">
        <f>IF('Project Database'!A260="","",N('Project Database'!AI260))</f>
        <v/>
      </c>
      <c r="BQ256" s="5">
        <f>IF('Project Database'!A260="","",N('Project Database'!AJ260))</f>
        <v/>
      </c>
      <c r="BR256" s="5">
        <f>IF('Project Database'!A260="","",N('Project Database'!AK260))</f>
        <v/>
      </c>
      <c r="BS256" s="5">
        <f>IF('Project Database'!A260="","",N('Project Database'!AL260))</f>
        <v/>
      </c>
      <c r="BT256" s="5">
        <f>IF('Project Database'!A260="","",N('Project Database'!AM260))</f>
        <v/>
      </c>
      <c r="BU256" s="5">
        <f>IF('Project Database'!A260="","",N('Project Database'!AN260))</f>
        <v/>
      </c>
      <c r="BV256" s="5">
        <f>IF('Project Database'!A260="","",N('Project Database'!AO260))</f>
        <v/>
      </c>
      <c r="BW256" s="5">
        <f>IF('Project Database'!A260="","",N('Project Database'!AP260))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</row>
    <row r="257" ht="15" customHeight="1" s="74">
      <c r="A257" s="66">
        <f>'Project Database'!A261</f>
        <v/>
      </c>
      <c r="B257" s="66">
        <f>'Project Database'!B261</f>
        <v/>
      </c>
      <c r="C257" s="66">
        <f>'Project Database'!G261</f>
        <v/>
      </c>
      <c r="D257" s="66">
        <f>'Project Database'!H261</f>
        <v/>
      </c>
      <c r="E257" s="66">
        <f>'Project Database'!I261</f>
        <v/>
      </c>
      <c r="F257" s="66">
        <f>'Project Database'!J261</f>
        <v/>
      </c>
      <c r="G257" s="66">
        <f>'Project Database'!K261</f>
        <v/>
      </c>
      <c r="H257" s="66">
        <f>'Project Database'!L261</f>
        <v/>
      </c>
      <c r="I257" s="66">
        <f>'Project Database'!M261</f>
        <v/>
      </c>
      <c r="J257" s="66">
        <f>'Project Database'!N261</f>
        <v/>
      </c>
      <c r="K257" s="66">
        <f>'Project Database'!O261</f>
        <v/>
      </c>
      <c r="L257" s="66">
        <f>'Project Database'!P261</f>
        <v/>
      </c>
      <c r="M257" s="66">
        <f>'Project Database'!Q261</f>
        <v/>
      </c>
      <c r="N257" s="66">
        <f>'Project Database'!R261</f>
        <v/>
      </c>
      <c r="O257" s="66">
        <f>'Project Database'!S261</f>
        <v/>
      </c>
      <c r="P257" s="66">
        <f>'Project Database'!T261</f>
        <v/>
      </c>
      <c r="Q257" s="66">
        <f>'Project Database'!U261</f>
        <v/>
      </c>
      <c r="R257" s="66">
        <f>'Project Database'!V261</f>
        <v/>
      </c>
      <c r="S257" s="66">
        <f>'Project Database'!W261</f>
        <v/>
      </c>
      <c r="T257" s="66">
        <f>'Project Database'!X261</f>
        <v/>
      </c>
      <c r="U257" s="67">
        <f>'Project Database'!Y261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'Project Database'!Z261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IF(AND('Project Database'!A261&lt;&gt;"",OR('Smart Search'!$L$5="",'Smart Search'!$L$5="All",TRIM('Project Database'!D261)=TRIM('Smart Search'!$L$5)),OR(TRIM('Smart Search'!$L$6)="",TRIM('Smart Search'!$L$6)="All",ISNUMBER(SEARCH(SUBSTITUTE(SUBSTITUTE(SUBSTITUTE(TRIM('Smart Search'!$L$6),"~","~~"),"*","~*"),"?","~?"),'Project Database'!C261))),OR('Smart Search'!$L$7="",AND('Project Database'!E261&lt;&gt;"",'Project Database'!E261='Smart Search'!$L$7)),OR('Smart Search'!$L$8="",'Smart Search'!$L$8="All",TRIM('Project Database'!F261)=TRIM('Smart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IF('Project Database'!A261="","",N('Project Database'!AC261))</f>
        <v/>
      </c>
      <c r="BK257" s="5">
        <f>IF('Project Database'!A261="","",N('Project Database'!AD261))</f>
        <v/>
      </c>
      <c r="BL257" s="5">
        <f>IF('Project Database'!A261="","",N('Project Database'!AE261))</f>
        <v/>
      </c>
      <c r="BM257" s="5">
        <f>IF('Project Database'!A261="","",N('Project Database'!AF261))</f>
        <v/>
      </c>
      <c r="BN257" s="5">
        <f>IF('Project Database'!A261="","",N('Project Database'!AG261))</f>
        <v/>
      </c>
      <c r="BO257" s="5">
        <f>IF('Project Database'!A261="","",N('Project Database'!AH261))</f>
        <v/>
      </c>
      <c r="BP257" s="5">
        <f>IF('Project Database'!A261="","",N('Project Database'!AI261))</f>
        <v/>
      </c>
      <c r="BQ257" s="5">
        <f>IF('Project Database'!A261="","",N('Project Database'!AJ261))</f>
        <v/>
      </c>
      <c r="BR257" s="5">
        <f>IF('Project Database'!A261="","",N('Project Database'!AK261))</f>
        <v/>
      </c>
      <c r="BS257" s="5">
        <f>IF('Project Database'!A261="","",N('Project Database'!AL261))</f>
        <v/>
      </c>
      <c r="BT257" s="5">
        <f>IF('Project Database'!A261="","",N('Project Database'!AM261))</f>
        <v/>
      </c>
      <c r="BU257" s="5">
        <f>IF('Project Database'!A261="","",N('Project Database'!AN261))</f>
        <v/>
      </c>
      <c r="BV257" s="5">
        <f>IF('Project Database'!A261="","",N('Project Database'!AO261))</f>
        <v/>
      </c>
      <c r="BW257" s="5">
        <f>IF('Project Database'!A261="","",N('Project Database'!AP261))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</row>
    <row r="258" ht="15" customHeight="1" s="74">
      <c r="A258" s="66">
        <f>'Project Database'!A262</f>
        <v/>
      </c>
      <c r="B258" s="66">
        <f>'Project Database'!B262</f>
        <v/>
      </c>
      <c r="C258" s="66">
        <f>'Project Database'!G262</f>
        <v/>
      </c>
      <c r="D258" s="66">
        <f>'Project Database'!H262</f>
        <v/>
      </c>
      <c r="E258" s="66">
        <f>'Project Database'!I262</f>
        <v/>
      </c>
      <c r="F258" s="66">
        <f>'Project Database'!J262</f>
        <v/>
      </c>
      <c r="G258" s="66">
        <f>'Project Database'!K262</f>
        <v/>
      </c>
      <c r="H258" s="66">
        <f>'Project Database'!L262</f>
        <v/>
      </c>
      <c r="I258" s="66">
        <f>'Project Database'!M262</f>
        <v/>
      </c>
      <c r="J258" s="66">
        <f>'Project Database'!N262</f>
        <v/>
      </c>
      <c r="K258" s="66">
        <f>'Project Database'!O262</f>
        <v/>
      </c>
      <c r="L258" s="66">
        <f>'Project Database'!P262</f>
        <v/>
      </c>
      <c r="M258" s="66">
        <f>'Project Database'!Q262</f>
        <v/>
      </c>
      <c r="N258" s="66">
        <f>'Project Database'!R262</f>
        <v/>
      </c>
      <c r="O258" s="66">
        <f>'Project Database'!S262</f>
        <v/>
      </c>
      <c r="P258" s="66">
        <f>'Project Database'!T262</f>
        <v/>
      </c>
      <c r="Q258" s="66">
        <f>'Project Database'!U262</f>
        <v/>
      </c>
      <c r="R258" s="66">
        <f>'Project Database'!V262</f>
        <v/>
      </c>
      <c r="S258" s="66">
        <f>'Project Database'!W262</f>
        <v/>
      </c>
      <c r="T258" s="66">
        <f>'Project Database'!X262</f>
        <v/>
      </c>
      <c r="U258" s="67">
        <f>'Project Database'!Y262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'Project Database'!Z262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IF(AND('Project Database'!A262&lt;&gt;"",OR('Smart Search'!$L$5="",'Smart Search'!$L$5="All",TRIM('Project Database'!D262)=TRIM('Smart Search'!$L$5)),OR(TRIM('Smart Search'!$L$6)="",TRIM('Smart Search'!$L$6)="All",ISNUMBER(SEARCH(SUBSTITUTE(SUBSTITUTE(SUBSTITUTE(TRIM('Smart Search'!$L$6),"~","~~"),"*","~*"),"?","~?"),'Project Database'!C262))),OR('Smart Search'!$L$7="",AND('Project Database'!E262&lt;&gt;"",'Project Database'!E262='Smart Search'!$L$7)),OR('Smart Search'!$L$8="",'Smart Search'!$L$8="All",TRIM('Project Database'!F262)=TRIM('Smart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IF('Project Database'!A262="","",N('Project Database'!AC262))</f>
        <v/>
      </c>
      <c r="BK258" s="5">
        <f>IF('Project Database'!A262="","",N('Project Database'!AD262))</f>
        <v/>
      </c>
      <c r="BL258" s="5">
        <f>IF('Project Database'!A262="","",N('Project Database'!AE262))</f>
        <v/>
      </c>
      <c r="BM258" s="5">
        <f>IF('Project Database'!A262="","",N('Project Database'!AF262))</f>
        <v/>
      </c>
      <c r="BN258" s="5">
        <f>IF('Project Database'!A262="","",N('Project Database'!AG262))</f>
        <v/>
      </c>
      <c r="BO258" s="5">
        <f>IF('Project Database'!A262="","",N('Project Database'!AH262))</f>
        <v/>
      </c>
      <c r="BP258" s="5">
        <f>IF('Project Database'!A262="","",N('Project Database'!AI262))</f>
        <v/>
      </c>
      <c r="BQ258" s="5">
        <f>IF('Project Database'!A262="","",N('Project Database'!AJ262))</f>
        <v/>
      </c>
      <c r="BR258" s="5">
        <f>IF('Project Database'!A262="","",N('Project Database'!AK262))</f>
        <v/>
      </c>
      <c r="BS258" s="5">
        <f>IF('Project Database'!A262="","",N('Project Database'!AL262))</f>
        <v/>
      </c>
      <c r="BT258" s="5">
        <f>IF('Project Database'!A262="","",N('Project Database'!AM262))</f>
        <v/>
      </c>
      <c r="BU258" s="5">
        <f>IF('Project Database'!A262="","",N('Project Database'!AN262))</f>
        <v/>
      </c>
      <c r="BV258" s="5">
        <f>IF('Project Database'!A262="","",N('Project Database'!AO262))</f>
        <v/>
      </c>
      <c r="BW258" s="5">
        <f>IF('Project Database'!A262="","",N('Project Database'!AP262))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</row>
    <row r="259" ht="15" customHeight="1" s="74">
      <c r="A259" s="66">
        <f>'Project Database'!A263</f>
        <v/>
      </c>
      <c r="B259" s="66">
        <f>'Project Database'!B263</f>
        <v/>
      </c>
      <c r="C259" s="66">
        <f>'Project Database'!G263</f>
        <v/>
      </c>
      <c r="D259" s="66">
        <f>'Project Database'!H263</f>
        <v/>
      </c>
      <c r="E259" s="66">
        <f>'Project Database'!I263</f>
        <v/>
      </c>
      <c r="F259" s="66">
        <f>'Project Database'!J263</f>
        <v/>
      </c>
      <c r="G259" s="66">
        <f>'Project Database'!K263</f>
        <v/>
      </c>
      <c r="H259" s="66">
        <f>'Project Database'!L263</f>
        <v/>
      </c>
      <c r="I259" s="66">
        <f>'Project Database'!M263</f>
        <v/>
      </c>
      <c r="J259" s="66">
        <f>'Project Database'!N263</f>
        <v/>
      </c>
      <c r="K259" s="66">
        <f>'Project Database'!O263</f>
        <v/>
      </c>
      <c r="L259" s="66">
        <f>'Project Database'!P263</f>
        <v/>
      </c>
      <c r="M259" s="66">
        <f>'Project Database'!Q263</f>
        <v/>
      </c>
      <c r="N259" s="66">
        <f>'Project Database'!R263</f>
        <v/>
      </c>
      <c r="O259" s="66">
        <f>'Project Database'!S263</f>
        <v/>
      </c>
      <c r="P259" s="66">
        <f>'Project Database'!T263</f>
        <v/>
      </c>
      <c r="Q259" s="66">
        <f>'Project Database'!U263</f>
        <v/>
      </c>
      <c r="R259" s="66">
        <f>'Project Database'!V263</f>
        <v/>
      </c>
      <c r="S259" s="66">
        <f>'Project Database'!W263</f>
        <v/>
      </c>
      <c r="T259" s="66">
        <f>'Project Database'!X263</f>
        <v/>
      </c>
      <c r="U259" s="67">
        <f>'Project Database'!Y263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'Project Database'!Z263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IF(AND('Project Database'!A263&lt;&gt;"",OR('Smart Search'!$L$5="",'Smart Search'!$L$5="All",TRIM('Project Database'!D263)=TRIM('Smart Search'!$L$5)),OR(TRIM('Smart Search'!$L$6)="",TRIM('Smart Search'!$L$6)="All",ISNUMBER(SEARCH(SUBSTITUTE(SUBSTITUTE(SUBSTITUTE(TRIM('Smart Search'!$L$6),"~","~~"),"*","~*"),"?","~?"),'Project Database'!C263))),OR('Smart Search'!$L$7="",AND('Project Database'!E263&lt;&gt;"",'Project Database'!E263='Smart Search'!$L$7)),OR('Smart Search'!$L$8="",'Smart Search'!$L$8="All",TRIM('Project Database'!F263)=TRIM('Smart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IF('Project Database'!A263="","",N('Project Database'!AC263))</f>
        <v/>
      </c>
      <c r="BK259" s="5">
        <f>IF('Project Database'!A263="","",N('Project Database'!AD263))</f>
        <v/>
      </c>
      <c r="BL259" s="5">
        <f>IF('Project Database'!A263="","",N('Project Database'!AE263))</f>
        <v/>
      </c>
      <c r="BM259" s="5">
        <f>IF('Project Database'!A263="","",N('Project Database'!AF263))</f>
        <v/>
      </c>
      <c r="BN259" s="5">
        <f>IF('Project Database'!A263="","",N('Project Database'!AG263))</f>
        <v/>
      </c>
      <c r="BO259" s="5">
        <f>IF('Project Database'!A263="","",N('Project Database'!AH263))</f>
        <v/>
      </c>
      <c r="BP259" s="5">
        <f>IF('Project Database'!A263="","",N('Project Database'!AI263))</f>
        <v/>
      </c>
      <c r="BQ259" s="5">
        <f>IF('Project Database'!A263="","",N('Project Database'!AJ263))</f>
        <v/>
      </c>
      <c r="BR259" s="5">
        <f>IF('Project Database'!A263="","",N('Project Database'!AK263))</f>
        <v/>
      </c>
      <c r="BS259" s="5">
        <f>IF('Project Database'!A263="","",N('Project Database'!AL263))</f>
        <v/>
      </c>
      <c r="BT259" s="5">
        <f>IF('Project Database'!A263="","",N('Project Database'!AM263))</f>
        <v/>
      </c>
      <c r="BU259" s="5">
        <f>IF('Project Database'!A263="","",N('Project Database'!AN263))</f>
        <v/>
      </c>
      <c r="BV259" s="5">
        <f>IF('Project Database'!A263="","",N('Project Database'!AO263))</f>
        <v/>
      </c>
      <c r="BW259" s="5">
        <f>IF('Project Database'!A263="","",N('Project Database'!AP263))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</row>
    <row r="260" ht="15" customHeight="1" s="74">
      <c r="A260" s="66">
        <f>'Project Database'!A264</f>
        <v/>
      </c>
      <c r="B260" s="66">
        <f>'Project Database'!B264</f>
        <v/>
      </c>
      <c r="C260" s="66">
        <f>'Project Database'!G264</f>
        <v/>
      </c>
      <c r="D260" s="66">
        <f>'Project Database'!H264</f>
        <v/>
      </c>
      <c r="E260" s="66">
        <f>'Project Database'!I264</f>
        <v/>
      </c>
      <c r="F260" s="66">
        <f>'Project Database'!J264</f>
        <v/>
      </c>
      <c r="G260" s="66">
        <f>'Project Database'!K264</f>
        <v/>
      </c>
      <c r="H260" s="66">
        <f>'Project Database'!L264</f>
        <v/>
      </c>
      <c r="I260" s="66">
        <f>'Project Database'!M264</f>
        <v/>
      </c>
      <c r="J260" s="66">
        <f>'Project Database'!N264</f>
        <v/>
      </c>
      <c r="K260" s="66">
        <f>'Project Database'!O264</f>
        <v/>
      </c>
      <c r="L260" s="66">
        <f>'Project Database'!P264</f>
        <v/>
      </c>
      <c r="M260" s="66">
        <f>'Project Database'!Q264</f>
        <v/>
      </c>
      <c r="N260" s="66">
        <f>'Project Database'!R264</f>
        <v/>
      </c>
      <c r="O260" s="66">
        <f>'Project Database'!S264</f>
        <v/>
      </c>
      <c r="P260" s="66">
        <f>'Project Database'!T264</f>
        <v/>
      </c>
      <c r="Q260" s="66">
        <f>'Project Database'!U264</f>
        <v/>
      </c>
      <c r="R260" s="66">
        <f>'Project Database'!V264</f>
        <v/>
      </c>
      <c r="S260" s="66">
        <f>'Project Database'!W264</f>
        <v/>
      </c>
      <c r="T260" s="66">
        <f>'Project Database'!X264</f>
        <v/>
      </c>
      <c r="U260" s="67">
        <f>'Project Database'!Y264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'Project Database'!Z264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IF(AND('Project Database'!A264&lt;&gt;"",OR('Smart Search'!$L$5="",'Smart Search'!$L$5="All",TRIM('Project Database'!D264)=TRIM('Smart Search'!$L$5)),OR(TRIM('Smart Search'!$L$6)="",TRIM('Smart Search'!$L$6)="All",ISNUMBER(SEARCH(SUBSTITUTE(SUBSTITUTE(SUBSTITUTE(TRIM('Smart Search'!$L$6),"~","~~"),"*","~*"),"?","~?"),'Project Database'!C264))),OR('Smart Search'!$L$7="",AND('Project Database'!E264&lt;&gt;"",'Project Database'!E264='Smart Search'!$L$7)),OR('Smart Search'!$L$8="",'Smart Search'!$L$8="All",TRIM('Project Database'!F264)=TRIM('Smart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IF('Project Database'!A264="","",N('Project Database'!AC264))</f>
        <v/>
      </c>
      <c r="BK260" s="5">
        <f>IF('Project Database'!A264="","",N('Project Database'!AD264))</f>
        <v/>
      </c>
      <c r="BL260" s="5">
        <f>IF('Project Database'!A264="","",N('Project Database'!AE264))</f>
        <v/>
      </c>
      <c r="BM260" s="5">
        <f>IF('Project Database'!A264="","",N('Project Database'!AF264))</f>
        <v/>
      </c>
      <c r="BN260" s="5">
        <f>IF('Project Database'!A264="","",N('Project Database'!AG264))</f>
        <v/>
      </c>
      <c r="BO260" s="5">
        <f>IF('Project Database'!A264="","",N('Project Database'!AH264))</f>
        <v/>
      </c>
      <c r="BP260" s="5">
        <f>IF('Project Database'!A264="","",N('Project Database'!AI264))</f>
        <v/>
      </c>
      <c r="BQ260" s="5">
        <f>IF('Project Database'!A264="","",N('Project Database'!AJ264))</f>
        <v/>
      </c>
      <c r="BR260" s="5">
        <f>IF('Project Database'!A264="","",N('Project Database'!AK264))</f>
        <v/>
      </c>
      <c r="BS260" s="5">
        <f>IF('Project Database'!A264="","",N('Project Database'!AL264))</f>
        <v/>
      </c>
      <c r="BT260" s="5">
        <f>IF('Project Database'!A264="","",N('Project Database'!AM264))</f>
        <v/>
      </c>
      <c r="BU260" s="5">
        <f>IF('Project Database'!A264="","",N('Project Database'!AN264))</f>
        <v/>
      </c>
      <c r="BV260" s="5">
        <f>IF('Project Database'!A264="","",N('Project Database'!AO264))</f>
        <v/>
      </c>
      <c r="BW260" s="5">
        <f>IF('Project Database'!A264="","",N('Project Database'!AP264))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</row>
    <row r="261" ht="15" customHeight="1" s="74">
      <c r="A261" s="66">
        <f>'Project Database'!A265</f>
        <v/>
      </c>
      <c r="B261" s="66">
        <f>'Project Database'!B265</f>
        <v/>
      </c>
      <c r="C261" s="66">
        <f>'Project Database'!G265</f>
        <v/>
      </c>
      <c r="D261" s="66">
        <f>'Project Database'!H265</f>
        <v/>
      </c>
      <c r="E261" s="66">
        <f>'Project Database'!I265</f>
        <v/>
      </c>
      <c r="F261" s="66">
        <f>'Project Database'!J265</f>
        <v/>
      </c>
      <c r="G261" s="66">
        <f>'Project Database'!K265</f>
        <v/>
      </c>
      <c r="H261" s="66">
        <f>'Project Database'!L265</f>
        <v/>
      </c>
      <c r="I261" s="66">
        <f>'Project Database'!M265</f>
        <v/>
      </c>
      <c r="J261" s="66">
        <f>'Project Database'!N265</f>
        <v/>
      </c>
      <c r="K261" s="66">
        <f>'Project Database'!O265</f>
        <v/>
      </c>
      <c r="L261" s="66">
        <f>'Project Database'!P265</f>
        <v/>
      </c>
      <c r="M261" s="66">
        <f>'Project Database'!Q265</f>
        <v/>
      </c>
      <c r="N261" s="66">
        <f>'Project Database'!R265</f>
        <v/>
      </c>
      <c r="O261" s="66">
        <f>'Project Database'!S265</f>
        <v/>
      </c>
      <c r="P261" s="66">
        <f>'Project Database'!T265</f>
        <v/>
      </c>
      <c r="Q261" s="66">
        <f>'Project Database'!U265</f>
        <v/>
      </c>
      <c r="R261" s="66">
        <f>'Project Database'!V265</f>
        <v/>
      </c>
      <c r="S261" s="66">
        <f>'Project Database'!W265</f>
        <v/>
      </c>
      <c r="T261" s="66">
        <f>'Project Database'!X265</f>
        <v/>
      </c>
      <c r="U261" s="67">
        <f>'Project Database'!Y265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'Project Database'!Z265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IF(AND('Project Database'!A265&lt;&gt;"",OR('Smart Search'!$L$5="",'Smart Search'!$L$5="All",TRIM('Project Database'!D265)=TRIM('Smart Search'!$L$5)),OR(TRIM('Smart Search'!$L$6)="",TRIM('Smart Search'!$L$6)="All",ISNUMBER(SEARCH(SUBSTITUTE(SUBSTITUTE(SUBSTITUTE(TRIM('Smart Search'!$L$6),"~","~~"),"*","~*"),"?","~?"),'Project Database'!C265))),OR('Smart Search'!$L$7="",AND('Project Database'!E265&lt;&gt;"",'Project Database'!E265='Smart Search'!$L$7)),OR('Smart Search'!$L$8="",'Smart Search'!$L$8="All",TRIM('Project Database'!F265)=TRIM('Smart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IF('Project Database'!A265="","",N('Project Database'!AC265))</f>
        <v/>
      </c>
      <c r="BK261" s="5">
        <f>IF('Project Database'!A265="","",N('Project Database'!AD265))</f>
        <v/>
      </c>
      <c r="BL261" s="5">
        <f>IF('Project Database'!A265="","",N('Project Database'!AE265))</f>
        <v/>
      </c>
      <c r="BM261" s="5">
        <f>IF('Project Database'!A265="","",N('Project Database'!AF265))</f>
        <v/>
      </c>
      <c r="BN261" s="5">
        <f>IF('Project Database'!A265="","",N('Project Database'!AG265))</f>
        <v/>
      </c>
      <c r="BO261" s="5">
        <f>IF('Project Database'!A265="","",N('Project Database'!AH265))</f>
        <v/>
      </c>
      <c r="BP261" s="5">
        <f>IF('Project Database'!A265="","",N('Project Database'!AI265))</f>
        <v/>
      </c>
      <c r="BQ261" s="5">
        <f>IF('Project Database'!A265="","",N('Project Database'!AJ265))</f>
        <v/>
      </c>
      <c r="BR261" s="5">
        <f>IF('Project Database'!A265="","",N('Project Database'!AK265))</f>
        <v/>
      </c>
      <c r="BS261" s="5">
        <f>IF('Project Database'!A265="","",N('Project Database'!AL265))</f>
        <v/>
      </c>
      <c r="BT261" s="5">
        <f>IF('Project Database'!A265="","",N('Project Database'!AM265))</f>
        <v/>
      </c>
      <c r="BU261" s="5">
        <f>IF('Project Database'!A265="","",N('Project Database'!AN265))</f>
        <v/>
      </c>
      <c r="BV261" s="5">
        <f>IF('Project Database'!A265="","",N('Project Database'!AO265))</f>
        <v/>
      </c>
      <c r="BW261" s="5">
        <f>IF('Project Database'!A265="","",N('Project Database'!AP265))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</row>
    <row r="262" ht="15" customHeight="1" s="74">
      <c r="A262" s="66">
        <f>'Project Database'!A266</f>
        <v/>
      </c>
      <c r="B262" s="66">
        <f>'Project Database'!B266</f>
        <v/>
      </c>
      <c r="C262" s="66">
        <f>'Project Database'!G266</f>
        <v/>
      </c>
      <c r="D262" s="66">
        <f>'Project Database'!H266</f>
        <v/>
      </c>
      <c r="E262" s="66">
        <f>'Project Database'!I266</f>
        <v/>
      </c>
      <c r="F262" s="66">
        <f>'Project Database'!J266</f>
        <v/>
      </c>
      <c r="G262" s="66">
        <f>'Project Database'!K266</f>
        <v/>
      </c>
      <c r="H262" s="66">
        <f>'Project Database'!L266</f>
        <v/>
      </c>
      <c r="I262" s="66">
        <f>'Project Database'!M266</f>
        <v/>
      </c>
      <c r="J262" s="66">
        <f>'Project Database'!N266</f>
        <v/>
      </c>
      <c r="K262" s="66">
        <f>'Project Database'!O266</f>
        <v/>
      </c>
      <c r="L262" s="66">
        <f>'Project Database'!P266</f>
        <v/>
      </c>
      <c r="M262" s="66">
        <f>'Project Database'!Q266</f>
        <v/>
      </c>
      <c r="N262" s="66">
        <f>'Project Database'!R266</f>
        <v/>
      </c>
      <c r="O262" s="66">
        <f>'Project Database'!S266</f>
        <v/>
      </c>
      <c r="P262" s="66">
        <f>'Project Database'!T266</f>
        <v/>
      </c>
      <c r="Q262" s="66">
        <f>'Project Database'!U266</f>
        <v/>
      </c>
      <c r="R262" s="66">
        <f>'Project Database'!V266</f>
        <v/>
      </c>
      <c r="S262" s="66">
        <f>'Project Database'!W266</f>
        <v/>
      </c>
      <c r="T262" s="66">
        <f>'Project Database'!X266</f>
        <v/>
      </c>
      <c r="U262" s="67">
        <f>'Project Database'!Y266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'Project Database'!Z266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IF(AND('Project Database'!A266&lt;&gt;"",OR('Smart Search'!$L$5="",'Smart Search'!$L$5="All",TRIM('Project Database'!D266)=TRIM('Smart Search'!$L$5)),OR(TRIM('Smart Search'!$L$6)="",TRIM('Smart Search'!$L$6)="All",ISNUMBER(SEARCH(SUBSTITUTE(SUBSTITUTE(SUBSTITUTE(TRIM('Smart Search'!$L$6),"~","~~"),"*","~*"),"?","~?"),'Project Database'!C266))),OR('Smart Search'!$L$7="",AND('Project Database'!E266&lt;&gt;"",'Project Database'!E266='Smart Search'!$L$7)),OR('Smart Search'!$L$8="",'Smart Search'!$L$8="All",TRIM('Project Database'!F266)=TRIM('Smart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IF('Project Database'!A266="","",N('Project Database'!AC266))</f>
        <v/>
      </c>
      <c r="BK262" s="5">
        <f>IF('Project Database'!A266="","",N('Project Database'!AD266))</f>
        <v/>
      </c>
      <c r="BL262" s="5">
        <f>IF('Project Database'!A266="","",N('Project Database'!AE266))</f>
        <v/>
      </c>
      <c r="BM262" s="5">
        <f>IF('Project Database'!A266="","",N('Project Database'!AF266))</f>
        <v/>
      </c>
      <c r="BN262" s="5">
        <f>IF('Project Database'!A266="","",N('Project Database'!AG266))</f>
        <v/>
      </c>
      <c r="BO262" s="5">
        <f>IF('Project Database'!A266="","",N('Project Database'!AH266))</f>
        <v/>
      </c>
      <c r="BP262" s="5">
        <f>IF('Project Database'!A266="","",N('Project Database'!AI266))</f>
        <v/>
      </c>
      <c r="BQ262" s="5">
        <f>IF('Project Database'!A266="","",N('Project Database'!AJ266))</f>
        <v/>
      </c>
      <c r="BR262" s="5">
        <f>IF('Project Database'!A266="","",N('Project Database'!AK266))</f>
        <v/>
      </c>
      <c r="BS262" s="5">
        <f>IF('Project Database'!A266="","",N('Project Database'!AL266))</f>
        <v/>
      </c>
      <c r="BT262" s="5">
        <f>IF('Project Database'!A266="","",N('Project Database'!AM266))</f>
        <v/>
      </c>
      <c r="BU262" s="5">
        <f>IF('Project Database'!A266="","",N('Project Database'!AN266))</f>
        <v/>
      </c>
      <c r="BV262" s="5">
        <f>IF('Project Database'!A266="","",N('Project Database'!AO266))</f>
        <v/>
      </c>
      <c r="BW262" s="5">
        <f>IF('Project Database'!A266="","",N('Project Database'!AP266))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</row>
    <row r="263" ht="15" customHeight="1" s="74">
      <c r="A263" s="66">
        <f>'Project Database'!A267</f>
        <v/>
      </c>
      <c r="B263" s="66">
        <f>'Project Database'!B267</f>
        <v/>
      </c>
      <c r="C263" s="66">
        <f>'Project Database'!G267</f>
        <v/>
      </c>
      <c r="D263" s="66">
        <f>'Project Database'!H267</f>
        <v/>
      </c>
      <c r="E263" s="66">
        <f>'Project Database'!I267</f>
        <v/>
      </c>
      <c r="F263" s="66">
        <f>'Project Database'!J267</f>
        <v/>
      </c>
      <c r="G263" s="66">
        <f>'Project Database'!K267</f>
        <v/>
      </c>
      <c r="H263" s="66">
        <f>'Project Database'!L267</f>
        <v/>
      </c>
      <c r="I263" s="66">
        <f>'Project Database'!M267</f>
        <v/>
      </c>
      <c r="J263" s="66">
        <f>'Project Database'!N267</f>
        <v/>
      </c>
      <c r="K263" s="66">
        <f>'Project Database'!O267</f>
        <v/>
      </c>
      <c r="L263" s="66">
        <f>'Project Database'!P267</f>
        <v/>
      </c>
      <c r="M263" s="66">
        <f>'Project Database'!Q267</f>
        <v/>
      </c>
      <c r="N263" s="66">
        <f>'Project Database'!R267</f>
        <v/>
      </c>
      <c r="O263" s="66">
        <f>'Project Database'!S267</f>
        <v/>
      </c>
      <c r="P263" s="66">
        <f>'Project Database'!T267</f>
        <v/>
      </c>
      <c r="Q263" s="66">
        <f>'Project Database'!U267</f>
        <v/>
      </c>
      <c r="R263" s="66">
        <f>'Project Database'!V267</f>
        <v/>
      </c>
      <c r="S263" s="66">
        <f>'Project Database'!W267</f>
        <v/>
      </c>
      <c r="T263" s="66">
        <f>'Project Database'!X267</f>
        <v/>
      </c>
      <c r="U263" s="67">
        <f>'Project Database'!Y267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'Project Database'!Z267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IF(AND('Project Database'!A267&lt;&gt;"",OR('Smart Search'!$L$5="",'Smart Search'!$L$5="All",TRIM('Project Database'!D267)=TRIM('Smart Search'!$L$5)),OR(TRIM('Smart Search'!$L$6)="",TRIM('Smart Search'!$L$6)="All",ISNUMBER(SEARCH(SUBSTITUTE(SUBSTITUTE(SUBSTITUTE(TRIM('Smart Search'!$L$6),"~","~~"),"*","~*"),"?","~?"),'Project Database'!C267))),OR('Smart Search'!$L$7="",AND('Project Database'!E267&lt;&gt;"",'Project Database'!E267='Smart Search'!$L$7)),OR('Smart Search'!$L$8="",'Smart Search'!$L$8="All",TRIM('Project Database'!F267)=TRIM('Smart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IF('Project Database'!A267="","",N('Project Database'!AC267))</f>
        <v/>
      </c>
      <c r="BK263" s="5">
        <f>IF('Project Database'!A267="","",N('Project Database'!AD267))</f>
        <v/>
      </c>
      <c r="BL263" s="5">
        <f>IF('Project Database'!A267="","",N('Project Database'!AE267))</f>
        <v/>
      </c>
      <c r="BM263" s="5">
        <f>IF('Project Database'!A267="","",N('Project Database'!AF267))</f>
        <v/>
      </c>
      <c r="BN263" s="5">
        <f>IF('Project Database'!A267="","",N('Project Database'!AG267))</f>
        <v/>
      </c>
      <c r="BO263" s="5">
        <f>IF('Project Database'!A267="","",N('Project Database'!AH267))</f>
        <v/>
      </c>
      <c r="BP263" s="5">
        <f>IF('Project Database'!A267="","",N('Project Database'!AI267))</f>
        <v/>
      </c>
      <c r="BQ263" s="5">
        <f>IF('Project Database'!A267="","",N('Project Database'!AJ267))</f>
        <v/>
      </c>
      <c r="BR263" s="5">
        <f>IF('Project Database'!A267="","",N('Project Database'!AK267))</f>
        <v/>
      </c>
      <c r="BS263" s="5">
        <f>IF('Project Database'!A267="","",N('Project Database'!AL267))</f>
        <v/>
      </c>
      <c r="BT263" s="5">
        <f>IF('Project Database'!A267="","",N('Project Database'!AM267))</f>
        <v/>
      </c>
      <c r="BU263" s="5">
        <f>IF('Project Database'!A267="","",N('Project Database'!AN267))</f>
        <v/>
      </c>
      <c r="BV263" s="5">
        <f>IF('Project Database'!A267="","",N('Project Database'!AO267))</f>
        <v/>
      </c>
      <c r="BW263" s="5">
        <f>IF('Project Database'!A267="","",N('Project Database'!AP267))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</row>
    <row r="264" ht="15" customHeight="1" s="74">
      <c r="A264" s="66">
        <f>'Project Database'!A268</f>
        <v/>
      </c>
      <c r="B264" s="66">
        <f>'Project Database'!B268</f>
        <v/>
      </c>
      <c r="C264" s="66">
        <f>'Project Database'!G268</f>
        <v/>
      </c>
      <c r="D264" s="66">
        <f>'Project Database'!H268</f>
        <v/>
      </c>
      <c r="E264" s="66">
        <f>'Project Database'!I268</f>
        <v/>
      </c>
      <c r="F264" s="66">
        <f>'Project Database'!J268</f>
        <v/>
      </c>
      <c r="G264" s="66">
        <f>'Project Database'!K268</f>
        <v/>
      </c>
      <c r="H264" s="66">
        <f>'Project Database'!L268</f>
        <v/>
      </c>
      <c r="I264" s="66">
        <f>'Project Database'!M268</f>
        <v/>
      </c>
      <c r="J264" s="66">
        <f>'Project Database'!N268</f>
        <v/>
      </c>
      <c r="K264" s="66">
        <f>'Project Database'!O268</f>
        <v/>
      </c>
      <c r="L264" s="66">
        <f>'Project Database'!P268</f>
        <v/>
      </c>
      <c r="M264" s="66">
        <f>'Project Database'!Q268</f>
        <v/>
      </c>
      <c r="N264" s="66">
        <f>'Project Database'!R268</f>
        <v/>
      </c>
      <c r="O264" s="66">
        <f>'Project Database'!S268</f>
        <v/>
      </c>
      <c r="P264" s="66">
        <f>'Project Database'!T268</f>
        <v/>
      </c>
      <c r="Q264" s="66">
        <f>'Project Database'!U268</f>
        <v/>
      </c>
      <c r="R264" s="66">
        <f>'Project Database'!V268</f>
        <v/>
      </c>
      <c r="S264" s="66">
        <f>'Project Database'!W268</f>
        <v/>
      </c>
      <c r="T264" s="66">
        <f>'Project Database'!X268</f>
        <v/>
      </c>
      <c r="U264" s="67">
        <f>'Project Database'!Y268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'Project Database'!Z268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IF(AND('Project Database'!A268&lt;&gt;"",OR('Smart Search'!$L$5="",'Smart Search'!$L$5="All",TRIM('Project Database'!D268)=TRIM('Smart Search'!$L$5)),OR(TRIM('Smart Search'!$L$6)="",TRIM('Smart Search'!$L$6)="All",ISNUMBER(SEARCH(SUBSTITUTE(SUBSTITUTE(SUBSTITUTE(TRIM('Smart Search'!$L$6),"~","~~"),"*","~*"),"?","~?"),'Project Database'!C268))),OR('Smart Search'!$L$7="",AND('Project Database'!E268&lt;&gt;"",'Project Database'!E268='Smart Search'!$L$7)),OR('Smart Search'!$L$8="",'Smart Search'!$L$8="All",TRIM('Project Database'!F268)=TRIM('Smart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IF('Project Database'!A268="","",N('Project Database'!AC268))</f>
        <v/>
      </c>
      <c r="BK264" s="5">
        <f>IF('Project Database'!A268="","",N('Project Database'!AD268))</f>
        <v/>
      </c>
      <c r="BL264" s="5">
        <f>IF('Project Database'!A268="","",N('Project Database'!AE268))</f>
        <v/>
      </c>
      <c r="BM264" s="5">
        <f>IF('Project Database'!A268="","",N('Project Database'!AF268))</f>
        <v/>
      </c>
      <c r="BN264" s="5">
        <f>IF('Project Database'!A268="","",N('Project Database'!AG268))</f>
        <v/>
      </c>
      <c r="BO264" s="5">
        <f>IF('Project Database'!A268="","",N('Project Database'!AH268))</f>
        <v/>
      </c>
      <c r="BP264" s="5">
        <f>IF('Project Database'!A268="","",N('Project Database'!AI268))</f>
        <v/>
      </c>
      <c r="BQ264" s="5">
        <f>IF('Project Database'!A268="","",N('Project Database'!AJ268))</f>
        <v/>
      </c>
      <c r="BR264" s="5">
        <f>IF('Project Database'!A268="","",N('Project Database'!AK268))</f>
        <v/>
      </c>
      <c r="BS264" s="5">
        <f>IF('Project Database'!A268="","",N('Project Database'!AL268))</f>
        <v/>
      </c>
      <c r="BT264" s="5">
        <f>IF('Project Database'!A268="","",N('Project Database'!AM268))</f>
        <v/>
      </c>
      <c r="BU264" s="5">
        <f>IF('Project Database'!A268="","",N('Project Database'!AN268))</f>
        <v/>
      </c>
      <c r="BV264" s="5">
        <f>IF('Project Database'!A268="","",N('Project Database'!AO268))</f>
        <v/>
      </c>
      <c r="BW264" s="5">
        <f>IF('Project Database'!A268="","",N('Project Database'!AP268))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</row>
    <row r="265" ht="15" customHeight="1" s="74">
      <c r="A265" s="66">
        <f>'Project Database'!A269</f>
        <v/>
      </c>
      <c r="B265" s="66">
        <f>'Project Database'!B269</f>
        <v/>
      </c>
      <c r="C265" s="66">
        <f>'Project Database'!G269</f>
        <v/>
      </c>
      <c r="D265" s="66">
        <f>'Project Database'!H269</f>
        <v/>
      </c>
      <c r="E265" s="66">
        <f>'Project Database'!I269</f>
        <v/>
      </c>
      <c r="F265" s="66">
        <f>'Project Database'!J269</f>
        <v/>
      </c>
      <c r="G265" s="66">
        <f>'Project Database'!K269</f>
        <v/>
      </c>
      <c r="H265" s="66">
        <f>'Project Database'!L269</f>
        <v/>
      </c>
      <c r="I265" s="66">
        <f>'Project Database'!M269</f>
        <v/>
      </c>
      <c r="J265" s="66">
        <f>'Project Database'!N269</f>
        <v/>
      </c>
      <c r="K265" s="66">
        <f>'Project Database'!O269</f>
        <v/>
      </c>
      <c r="L265" s="66">
        <f>'Project Database'!P269</f>
        <v/>
      </c>
      <c r="M265" s="66">
        <f>'Project Database'!Q269</f>
        <v/>
      </c>
      <c r="N265" s="66">
        <f>'Project Database'!R269</f>
        <v/>
      </c>
      <c r="O265" s="66">
        <f>'Project Database'!S269</f>
        <v/>
      </c>
      <c r="P265" s="66">
        <f>'Project Database'!T269</f>
        <v/>
      </c>
      <c r="Q265" s="66">
        <f>'Project Database'!U269</f>
        <v/>
      </c>
      <c r="R265" s="66">
        <f>'Project Database'!V269</f>
        <v/>
      </c>
      <c r="S265" s="66">
        <f>'Project Database'!W269</f>
        <v/>
      </c>
      <c r="T265" s="66">
        <f>'Project Database'!X269</f>
        <v/>
      </c>
      <c r="U265" s="67">
        <f>'Project Database'!Y269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'Project Database'!Z269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IF(AND('Project Database'!A269&lt;&gt;"",OR('Smart Search'!$L$5="",'Smart Search'!$L$5="All",TRIM('Project Database'!D269)=TRIM('Smart Search'!$L$5)),OR(TRIM('Smart Search'!$L$6)="",TRIM('Smart Search'!$L$6)="All",ISNUMBER(SEARCH(SUBSTITUTE(SUBSTITUTE(SUBSTITUTE(TRIM('Smart Search'!$L$6),"~","~~"),"*","~*"),"?","~?"),'Project Database'!C269))),OR('Smart Search'!$L$7="",AND('Project Database'!E269&lt;&gt;"",'Project Database'!E269='Smart Search'!$L$7)),OR('Smart Search'!$L$8="",'Smart Search'!$L$8="All",TRIM('Project Database'!F269)=TRIM('Smart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IF('Project Database'!A269="","",N('Project Database'!AC269))</f>
        <v/>
      </c>
      <c r="BK265" s="5">
        <f>IF('Project Database'!A269="","",N('Project Database'!AD269))</f>
        <v/>
      </c>
      <c r="BL265" s="5">
        <f>IF('Project Database'!A269="","",N('Project Database'!AE269))</f>
        <v/>
      </c>
      <c r="BM265" s="5">
        <f>IF('Project Database'!A269="","",N('Project Database'!AF269))</f>
        <v/>
      </c>
      <c r="BN265" s="5">
        <f>IF('Project Database'!A269="","",N('Project Database'!AG269))</f>
        <v/>
      </c>
      <c r="BO265" s="5">
        <f>IF('Project Database'!A269="","",N('Project Database'!AH269))</f>
        <v/>
      </c>
      <c r="BP265" s="5">
        <f>IF('Project Database'!A269="","",N('Project Database'!AI269))</f>
        <v/>
      </c>
      <c r="BQ265" s="5">
        <f>IF('Project Database'!A269="","",N('Project Database'!AJ269))</f>
        <v/>
      </c>
      <c r="BR265" s="5">
        <f>IF('Project Database'!A269="","",N('Project Database'!AK269))</f>
        <v/>
      </c>
      <c r="BS265" s="5">
        <f>IF('Project Database'!A269="","",N('Project Database'!AL269))</f>
        <v/>
      </c>
      <c r="BT265" s="5">
        <f>IF('Project Database'!A269="","",N('Project Database'!AM269))</f>
        <v/>
      </c>
      <c r="BU265" s="5">
        <f>IF('Project Database'!A269="","",N('Project Database'!AN269))</f>
        <v/>
      </c>
      <c r="BV265" s="5">
        <f>IF('Project Database'!A269="","",N('Project Database'!AO269))</f>
        <v/>
      </c>
      <c r="BW265" s="5">
        <f>IF('Project Database'!A269="","",N('Project Database'!AP269))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</row>
    <row r="266" ht="15" customHeight="1" s="74">
      <c r="A266" s="66">
        <f>'Project Database'!A270</f>
        <v/>
      </c>
      <c r="B266" s="66">
        <f>'Project Database'!B270</f>
        <v/>
      </c>
      <c r="C266" s="66">
        <f>'Project Database'!G270</f>
        <v/>
      </c>
      <c r="D266" s="66">
        <f>'Project Database'!H270</f>
        <v/>
      </c>
      <c r="E266" s="66">
        <f>'Project Database'!I270</f>
        <v/>
      </c>
      <c r="F266" s="66">
        <f>'Project Database'!J270</f>
        <v/>
      </c>
      <c r="G266" s="66">
        <f>'Project Database'!K270</f>
        <v/>
      </c>
      <c r="H266" s="66">
        <f>'Project Database'!L270</f>
        <v/>
      </c>
      <c r="I266" s="66">
        <f>'Project Database'!M270</f>
        <v/>
      </c>
      <c r="J266" s="66">
        <f>'Project Database'!N270</f>
        <v/>
      </c>
      <c r="K266" s="66">
        <f>'Project Database'!O270</f>
        <v/>
      </c>
      <c r="L266" s="66">
        <f>'Project Database'!P270</f>
        <v/>
      </c>
      <c r="M266" s="66">
        <f>'Project Database'!Q270</f>
        <v/>
      </c>
      <c r="N266" s="66">
        <f>'Project Database'!R270</f>
        <v/>
      </c>
      <c r="O266" s="66">
        <f>'Project Database'!S270</f>
        <v/>
      </c>
      <c r="P266" s="66">
        <f>'Project Database'!T270</f>
        <v/>
      </c>
      <c r="Q266" s="66">
        <f>'Project Database'!U270</f>
        <v/>
      </c>
      <c r="R266" s="66">
        <f>'Project Database'!V270</f>
        <v/>
      </c>
      <c r="S266" s="66">
        <f>'Project Database'!W270</f>
        <v/>
      </c>
      <c r="T266" s="66">
        <f>'Project Database'!X270</f>
        <v/>
      </c>
      <c r="U266" s="67">
        <f>'Project Database'!Y270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'Project Database'!Z270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IF(AND('Project Database'!A270&lt;&gt;"",OR('Smart Search'!$L$5="",'Smart Search'!$L$5="All",TRIM('Project Database'!D270)=TRIM('Smart Search'!$L$5)),OR(TRIM('Smart Search'!$L$6)="",TRIM('Smart Search'!$L$6)="All",ISNUMBER(SEARCH(SUBSTITUTE(SUBSTITUTE(SUBSTITUTE(TRIM('Smart Search'!$L$6),"~","~~"),"*","~*"),"?","~?"),'Project Database'!C270))),OR('Smart Search'!$L$7="",AND('Project Database'!E270&lt;&gt;"",'Project Database'!E270='Smart Search'!$L$7)),OR('Smart Search'!$L$8="",'Smart Search'!$L$8="All",TRIM('Project Database'!F270)=TRIM('Smart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IF('Project Database'!A270="","",N('Project Database'!AC270))</f>
        <v/>
      </c>
      <c r="BK266" s="5">
        <f>IF('Project Database'!A270="","",N('Project Database'!AD270))</f>
        <v/>
      </c>
      <c r="BL266" s="5">
        <f>IF('Project Database'!A270="","",N('Project Database'!AE270))</f>
        <v/>
      </c>
      <c r="BM266" s="5">
        <f>IF('Project Database'!A270="","",N('Project Database'!AF270))</f>
        <v/>
      </c>
      <c r="BN266" s="5">
        <f>IF('Project Database'!A270="","",N('Project Database'!AG270))</f>
        <v/>
      </c>
      <c r="BO266" s="5">
        <f>IF('Project Database'!A270="","",N('Project Database'!AH270))</f>
        <v/>
      </c>
      <c r="BP266" s="5">
        <f>IF('Project Database'!A270="","",N('Project Database'!AI270))</f>
        <v/>
      </c>
      <c r="BQ266" s="5">
        <f>IF('Project Database'!A270="","",N('Project Database'!AJ270))</f>
        <v/>
      </c>
      <c r="BR266" s="5">
        <f>IF('Project Database'!A270="","",N('Project Database'!AK270))</f>
        <v/>
      </c>
      <c r="BS266" s="5">
        <f>IF('Project Database'!A270="","",N('Project Database'!AL270))</f>
        <v/>
      </c>
      <c r="BT266" s="5">
        <f>IF('Project Database'!A270="","",N('Project Database'!AM270))</f>
        <v/>
      </c>
      <c r="BU266" s="5">
        <f>IF('Project Database'!A270="","",N('Project Database'!AN270))</f>
        <v/>
      </c>
      <c r="BV266" s="5">
        <f>IF('Project Database'!A270="","",N('Project Database'!AO270))</f>
        <v/>
      </c>
      <c r="BW266" s="5">
        <f>IF('Project Database'!A270="","",N('Project Database'!AP270))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</row>
    <row r="267" ht="15" customHeight="1" s="74">
      <c r="A267" s="66">
        <f>'Project Database'!A271</f>
        <v/>
      </c>
      <c r="B267" s="66">
        <f>'Project Database'!B271</f>
        <v/>
      </c>
      <c r="C267" s="66">
        <f>'Project Database'!G271</f>
        <v/>
      </c>
      <c r="D267" s="66">
        <f>'Project Database'!H271</f>
        <v/>
      </c>
      <c r="E267" s="66">
        <f>'Project Database'!I271</f>
        <v/>
      </c>
      <c r="F267" s="66">
        <f>'Project Database'!J271</f>
        <v/>
      </c>
      <c r="G267" s="66">
        <f>'Project Database'!K271</f>
        <v/>
      </c>
      <c r="H267" s="66">
        <f>'Project Database'!L271</f>
        <v/>
      </c>
      <c r="I267" s="66">
        <f>'Project Database'!M271</f>
        <v/>
      </c>
      <c r="J267" s="66">
        <f>'Project Database'!N271</f>
        <v/>
      </c>
      <c r="K267" s="66">
        <f>'Project Database'!O271</f>
        <v/>
      </c>
      <c r="L267" s="66">
        <f>'Project Database'!P271</f>
        <v/>
      </c>
      <c r="M267" s="66">
        <f>'Project Database'!Q271</f>
        <v/>
      </c>
      <c r="N267" s="66">
        <f>'Project Database'!R271</f>
        <v/>
      </c>
      <c r="O267" s="66">
        <f>'Project Database'!S271</f>
        <v/>
      </c>
      <c r="P267" s="66">
        <f>'Project Database'!T271</f>
        <v/>
      </c>
      <c r="Q267" s="66">
        <f>'Project Database'!U271</f>
        <v/>
      </c>
      <c r="R267" s="66">
        <f>'Project Database'!V271</f>
        <v/>
      </c>
      <c r="S267" s="66">
        <f>'Project Database'!W271</f>
        <v/>
      </c>
      <c r="T267" s="66">
        <f>'Project Database'!X271</f>
        <v/>
      </c>
      <c r="U267" s="67">
        <f>'Project Database'!Y271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'Project Database'!Z271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IF(AND('Project Database'!A271&lt;&gt;"",OR('Smart Search'!$L$5="",'Smart Search'!$L$5="All",TRIM('Project Database'!D271)=TRIM('Smart Search'!$L$5)),OR(TRIM('Smart Search'!$L$6)="",TRIM('Smart Search'!$L$6)="All",ISNUMBER(SEARCH(SUBSTITUTE(SUBSTITUTE(SUBSTITUTE(TRIM('Smart Search'!$L$6),"~","~~"),"*","~*"),"?","~?"),'Project Database'!C271))),OR('Smart Search'!$L$7="",AND('Project Database'!E271&lt;&gt;"",'Project Database'!E271='Smart Search'!$L$7)),OR('Smart Search'!$L$8="",'Smart Search'!$L$8="All",TRIM('Project Database'!F271)=TRIM('Smart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IF('Project Database'!A271="","",N('Project Database'!AC271))</f>
        <v/>
      </c>
      <c r="BK267" s="5">
        <f>IF('Project Database'!A271="","",N('Project Database'!AD271))</f>
        <v/>
      </c>
      <c r="BL267" s="5">
        <f>IF('Project Database'!A271="","",N('Project Database'!AE271))</f>
        <v/>
      </c>
      <c r="BM267" s="5">
        <f>IF('Project Database'!A271="","",N('Project Database'!AF271))</f>
        <v/>
      </c>
      <c r="BN267" s="5">
        <f>IF('Project Database'!A271="","",N('Project Database'!AG271))</f>
        <v/>
      </c>
      <c r="BO267" s="5">
        <f>IF('Project Database'!A271="","",N('Project Database'!AH271))</f>
        <v/>
      </c>
      <c r="BP267" s="5">
        <f>IF('Project Database'!A271="","",N('Project Database'!AI271))</f>
        <v/>
      </c>
      <c r="BQ267" s="5">
        <f>IF('Project Database'!A271="","",N('Project Database'!AJ271))</f>
        <v/>
      </c>
      <c r="BR267" s="5">
        <f>IF('Project Database'!A271="","",N('Project Database'!AK271))</f>
        <v/>
      </c>
      <c r="BS267" s="5">
        <f>IF('Project Database'!A271="","",N('Project Database'!AL271))</f>
        <v/>
      </c>
      <c r="BT267" s="5">
        <f>IF('Project Database'!A271="","",N('Project Database'!AM271))</f>
        <v/>
      </c>
      <c r="BU267" s="5">
        <f>IF('Project Database'!A271="","",N('Project Database'!AN271))</f>
        <v/>
      </c>
      <c r="BV267" s="5">
        <f>IF('Project Database'!A271="","",N('Project Database'!AO271))</f>
        <v/>
      </c>
      <c r="BW267" s="5">
        <f>IF('Project Database'!A271="","",N('Project Database'!AP271))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</row>
    <row r="268" ht="15" customHeight="1" s="74">
      <c r="A268" s="66">
        <f>'Project Database'!A272</f>
        <v/>
      </c>
      <c r="B268" s="66">
        <f>'Project Database'!B272</f>
        <v/>
      </c>
      <c r="C268" s="66">
        <f>'Project Database'!G272</f>
        <v/>
      </c>
      <c r="D268" s="66">
        <f>'Project Database'!H272</f>
        <v/>
      </c>
      <c r="E268" s="66">
        <f>'Project Database'!I272</f>
        <v/>
      </c>
      <c r="F268" s="66">
        <f>'Project Database'!J272</f>
        <v/>
      </c>
      <c r="G268" s="66">
        <f>'Project Database'!K272</f>
        <v/>
      </c>
      <c r="H268" s="66">
        <f>'Project Database'!L272</f>
        <v/>
      </c>
      <c r="I268" s="66">
        <f>'Project Database'!M272</f>
        <v/>
      </c>
      <c r="J268" s="66">
        <f>'Project Database'!N272</f>
        <v/>
      </c>
      <c r="K268" s="66">
        <f>'Project Database'!O272</f>
        <v/>
      </c>
      <c r="L268" s="66">
        <f>'Project Database'!P272</f>
        <v/>
      </c>
      <c r="M268" s="66">
        <f>'Project Database'!Q272</f>
        <v/>
      </c>
      <c r="N268" s="66">
        <f>'Project Database'!R272</f>
        <v/>
      </c>
      <c r="O268" s="66">
        <f>'Project Database'!S272</f>
        <v/>
      </c>
      <c r="P268" s="66">
        <f>'Project Database'!T272</f>
        <v/>
      </c>
      <c r="Q268" s="66">
        <f>'Project Database'!U272</f>
        <v/>
      </c>
      <c r="R268" s="66">
        <f>'Project Database'!V272</f>
        <v/>
      </c>
      <c r="S268" s="66">
        <f>'Project Database'!W272</f>
        <v/>
      </c>
      <c r="T268" s="66">
        <f>'Project Database'!X272</f>
        <v/>
      </c>
      <c r="U268" s="67">
        <f>'Project Database'!Y272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'Project Database'!Z272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IF(AND('Project Database'!A272&lt;&gt;"",OR('Smart Search'!$L$5="",'Smart Search'!$L$5="All",TRIM('Project Database'!D272)=TRIM('Smart Search'!$L$5)),OR(TRIM('Smart Search'!$L$6)="",TRIM('Smart Search'!$L$6)="All",ISNUMBER(SEARCH(SUBSTITUTE(SUBSTITUTE(SUBSTITUTE(TRIM('Smart Search'!$L$6),"~","~~"),"*","~*"),"?","~?"),'Project Database'!C272))),OR('Smart Search'!$L$7="",AND('Project Database'!E272&lt;&gt;"",'Project Database'!E272='Smart Search'!$L$7)),OR('Smart Search'!$L$8="",'Smart Search'!$L$8="All",TRIM('Project Database'!F272)=TRIM('Smart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IF('Project Database'!A272="","",N('Project Database'!AC272))</f>
        <v/>
      </c>
      <c r="BK268" s="5">
        <f>IF('Project Database'!A272="","",N('Project Database'!AD272))</f>
        <v/>
      </c>
      <c r="BL268" s="5">
        <f>IF('Project Database'!A272="","",N('Project Database'!AE272))</f>
        <v/>
      </c>
      <c r="BM268" s="5">
        <f>IF('Project Database'!A272="","",N('Project Database'!AF272))</f>
        <v/>
      </c>
      <c r="BN268" s="5">
        <f>IF('Project Database'!A272="","",N('Project Database'!AG272))</f>
        <v/>
      </c>
      <c r="BO268" s="5">
        <f>IF('Project Database'!A272="","",N('Project Database'!AH272))</f>
        <v/>
      </c>
      <c r="BP268" s="5">
        <f>IF('Project Database'!A272="","",N('Project Database'!AI272))</f>
        <v/>
      </c>
      <c r="BQ268" s="5">
        <f>IF('Project Database'!A272="","",N('Project Database'!AJ272))</f>
        <v/>
      </c>
      <c r="BR268" s="5">
        <f>IF('Project Database'!A272="","",N('Project Database'!AK272))</f>
        <v/>
      </c>
      <c r="BS268" s="5">
        <f>IF('Project Database'!A272="","",N('Project Database'!AL272))</f>
        <v/>
      </c>
      <c r="BT268" s="5">
        <f>IF('Project Database'!A272="","",N('Project Database'!AM272))</f>
        <v/>
      </c>
      <c r="BU268" s="5">
        <f>IF('Project Database'!A272="","",N('Project Database'!AN272))</f>
        <v/>
      </c>
      <c r="BV268" s="5">
        <f>IF('Project Database'!A272="","",N('Project Database'!AO272))</f>
        <v/>
      </c>
      <c r="BW268" s="5">
        <f>IF('Project Database'!A272="","",N('Project Database'!AP272))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</row>
    <row r="269" ht="15" customHeight="1" s="74">
      <c r="A269" s="66">
        <f>'Project Database'!A273</f>
        <v/>
      </c>
      <c r="B269" s="66">
        <f>'Project Database'!B273</f>
        <v/>
      </c>
      <c r="C269" s="66">
        <f>'Project Database'!G273</f>
        <v/>
      </c>
      <c r="D269" s="66">
        <f>'Project Database'!H273</f>
        <v/>
      </c>
      <c r="E269" s="66">
        <f>'Project Database'!I273</f>
        <v/>
      </c>
      <c r="F269" s="66">
        <f>'Project Database'!J273</f>
        <v/>
      </c>
      <c r="G269" s="66">
        <f>'Project Database'!K273</f>
        <v/>
      </c>
      <c r="H269" s="66">
        <f>'Project Database'!L273</f>
        <v/>
      </c>
      <c r="I269" s="66">
        <f>'Project Database'!M273</f>
        <v/>
      </c>
      <c r="J269" s="66">
        <f>'Project Database'!N273</f>
        <v/>
      </c>
      <c r="K269" s="66">
        <f>'Project Database'!O273</f>
        <v/>
      </c>
      <c r="L269" s="66">
        <f>'Project Database'!P273</f>
        <v/>
      </c>
      <c r="M269" s="66">
        <f>'Project Database'!Q273</f>
        <v/>
      </c>
      <c r="N269" s="66">
        <f>'Project Database'!R273</f>
        <v/>
      </c>
      <c r="O269" s="66">
        <f>'Project Database'!S273</f>
        <v/>
      </c>
      <c r="P269" s="66">
        <f>'Project Database'!T273</f>
        <v/>
      </c>
      <c r="Q269" s="66">
        <f>'Project Database'!U273</f>
        <v/>
      </c>
      <c r="R269" s="66">
        <f>'Project Database'!V273</f>
        <v/>
      </c>
      <c r="S269" s="66">
        <f>'Project Database'!W273</f>
        <v/>
      </c>
      <c r="T269" s="66">
        <f>'Project Database'!X273</f>
        <v/>
      </c>
      <c r="U269" s="67">
        <f>'Project Database'!Y273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'Project Database'!Z273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IF(AND('Project Database'!A273&lt;&gt;"",OR('Smart Search'!$L$5="",'Smart Search'!$L$5="All",TRIM('Project Database'!D273)=TRIM('Smart Search'!$L$5)),OR(TRIM('Smart Search'!$L$6)="",TRIM('Smart Search'!$L$6)="All",ISNUMBER(SEARCH(SUBSTITUTE(SUBSTITUTE(SUBSTITUTE(TRIM('Smart Search'!$L$6),"~","~~"),"*","~*"),"?","~?"),'Project Database'!C273))),OR('Smart Search'!$L$7="",AND('Project Database'!E273&lt;&gt;"",'Project Database'!E273='Smart Search'!$L$7)),OR('Smart Search'!$L$8="",'Smart Search'!$L$8="All",TRIM('Project Database'!F273)=TRIM('Smart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IF('Project Database'!A273="","",N('Project Database'!AC273))</f>
        <v/>
      </c>
      <c r="BK269" s="5">
        <f>IF('Project Database'!A273="","",N('Project Database'!AD273))</f>
        <v/>
      </c>
      <c r="BL269" s="5">
        <f>IF('Project Database'!A273="","",N('Project Database'!AE273))</f>
        <v/>
      </c>
      <c r="BM269" s="5">
        <f>IF('Project Database'!A273="","",N('Project Database'!AF273))</f>
        <v/>
      </c>
      <c r="BN269" s="5">
        <f>IF('Project Database'!A273="","",N('Project Database'!AG273))</f>
        <v/>
      </c>
      <c r="BO269" s="5">
        <f>IF('Project Database'!A273="","",N('Project Database'!AH273))</f>
        <v/>
      </c>
      <c r="BP269" s="5">
        <f>IF('Project Database'!A273="","",N('Project Database'!AI273))</f>
        <v/>
      </c>
      <c r="BQ269" s="5">
        <f>IF('Project Database'!A273="","",N('Project Database'!AJ273))</f>
        <v/>
      </c>
      <c r="BR269" s="5">
        <f>IF('Project Database'!A273="","",N('Project Database'!AK273))</f>
        <v/>
      </c>
      <c r="BS269" s="5">
        <f>IF('Project Database'!A273="","",N('Project Database'!AL273))</f>
        <v/>
      </c>
      <c r="BT269" s="5">
        <f>IF('Project Database'!A273="","",N('Project Database'!AM273))</f>
        <v/>
      </c>
      <c r="BU269" s="5">
        <f>IF('Project Database'!A273="","",N('Project Database'!AN273))</f>
        <v/>
      </c>
      <c r="BV269" s="5">
        <f>IF('Project Database'!A273="","",N('Project Database'!AO273))</f>
        <v/>
      </c>
      <c r="BW269" s="5">
        <f>IF('Project Database'!A273="","",N('Project Database'!AP273))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</row>
    <row r="270" ht="15" customHeight="1" s="74">
      <c r="A270" s="66">
        <f>'Project Database'!A274</f>
        <v/>
      </c>
      <c r="B270" s="66">
        <f>'Project Database'!B274</f>
        <v/>
      </c>
      <c r="C270" s="66">
        <f>'Project Database'!G274</f>
        <v/>
      </c>
      <c r="D270" s="66">
        <f>'Project Database'!H274</f>
        <v/>
      </c>
      <c r="E270" s="66">
        <f>'Project Database'!I274</f>
        <v/>
      </c>
      <c r="F270" s="66">
        <f>'Project Database'!J274</f>
        <v/>
      </c>
      <c r="G270" s="66">
        <f>'Project Database'!K274</f>
        <v/>
      </c>
      <c r="H270" s="66">
        <f>'Project Database'!L274</f>
        <v/>
      </c>
      <c r="I270" s="66">
        <f>'Project Database'!M274</f>
        <v/>
      </c>
      <c r="J270" s="66">
        <f>'Project Database'!N274</f>
        <v/>
      </c>
      <c r="K270" s="66">
        <f>'Project Database'!O274</f>
        <v/>
      </c>
      <c r="L270" s="66">
        <f>'Project Database'!P274</f>
        <v/>
      </c>
      <c r="M270" s="66">
        <f>'Project Database'!Q274</f>
        <v/>
      </c>
      <c r="N270" s="66">
        <f>'Project Database'!R274</f>
        <v/>
      </c>
      <c r="O270" s="66">
        <f>'Project Database'!S274</f>
        <v/>
      </c>
      <c r="P270" s="66">
        <f>'Project Database'!T274</f>
        <v/>
      </c>
      <c r="Q270" s="66">
        <f>'Project Database'!U274</f>
        <v/>
      </c>
      <c r="R270" s="66">
        <f>'Project Database'!V274</f>
        <v/>
      </c>
      <c r="S270" s="66">
        <f>'Project Database'!W274</f>
        <v/>
      </c>
      <c r="T270" s="66">
        <f>'Project Database'!X274</f>
        <v/>
      </c>
      <c r="U270" s="67">
        <f>'Project Database'!Y274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'Project Database'!Z274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IF(AND('Project Database'!A274&lt;&gt;"",OR('Smart Search'!$L$5="",'Smart Search'!$L$5="All",TRIM('Project Database'!D274)=TRIM('Smart Search'!$L$5)),OR(TRIM('Smart Search'!$L$6)="",TRIM('Smart Search'!$L$6)="All",ISNUMBER(SEARCH(SUBSTITUTE(SUBSTITUTE(SUBSTITUTE(TRIM('Smart Search'!$L$6),"~","~~"),"*","~*"),"?","~?"),'Project Database'!C274))),OR('Smart Search'!$L$7="",AND('Project Database'!E274&lt;&gt;"",'Project Database'!E274='Smart Search'!$L$7)),OR('Smart Search'!$L$8="",'Smart Search'!$L$8="All",TRIM('Project Database'!F274)=TRIM('Smart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IF('Project Database'!A274="","",N('Project Database'!AC274))</f>
        <v/>
      </c>
      <c r="BK270" s="5">
        <f>IF('Project Database'!A274="","",N('Project Database'!AD274))</f>
        <v/>
      </c>
      <c r="BL270" s="5">
        <f>IF('Project Database'!A274="","",N('Project Database'!AE274))</f>
        <v/>
      </c>
      <c r="BM270" s="5">
        <f>IF('Project Database'!A274="","",N('Project Database'!AF274))</f>
        <v/>
      </c>
      <c r="BN270" s="5">
        <f>IF('Project Database'!A274="","",N('Project Database'!AG274))</f>
        <v/>
      </c>
      <c r="BO270" s="5">
        <f>IF('Project Database'!A274="","",N('Project Database'!AH274))</f>
        <v/>
      </c>
      <c r="BP270" s="5">
        <f>IF('Project Database'!A274="","",N('Project Database'!AI274))</f>
        <v/>
      </c>
      <c r="BQ270" s="5">
        <f>IF('Project Database'!A274="","",N('Project Database'!AJ274))</f>
        <v/>
      </c>
      <c r="BR270" s="5">
        <f>IF('Project Database'!A274="","",N('Project Database'!AK274))</f>
        <v/>
      </c>
      <c r="BS270" s="5">
        <f>IF('Project Database'!A274="","",N('Project Database'!AL274))</f>
        <v/>
      </c>
      <c r="BT270" s="5">
        <f>IF('Project Database'!A274="","",N('Project Database'!AM274))</f>
        <v/>
      </c>
      <c r="BU270" s="5">
        <f>IF('Project Database'!A274="","",N('Project Database'!AN274))</f>
        <v/>
      </c>
      <c r="BV270" s="5">
        <f>IF('Project Database'!A274="","",N('Project Database'!AO274))</f>
        <v/>
      </c>
      <c r="BW270" s="5">
        <f>IF('Project Database'!A274="","",N('Project Database'!AP274))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</row>
    <row r="271" ht="15" customHeight="1" s="74">
      <c r="A271" s="66">
        <f>'Project Database'!A275</f>
        <v/>
      </c>
      <c r="B271" s="66">
        <f>'Project Database'!B275</f>
        <v/>
      </c>
      <c r="C271" s="66">
        <f>'Project Database'!G275</f>
        <v/>
      </c>
      <c r="D271" s="66">
        <f>'Project Database'!H275</f>
        <v/>
      </c>
      <c r="E271" s="66">
        <f>'Project Database'!I275</f>
        <v/>
      </c>
      <c r="F271" s="66">
        <f>'Project Database'!J275</f>
        <v/>
      </c>
      <c r="G271" s="66">
        <f>'Project Database'!K275</f>
        <v/>
      </c>
      <c r="H271" s="66">
        <f>'Project Database'!L275</f>
        <v/>
      </c>
      <c r="I271" s="66">
        <f>'Project Database'!M275</f>
        <v/>
      </c>
      <c r="J271" s="66">
        <f>'Project Database'!N275</f>
        <v/>
      </c>
      <c r="K271" s="66">
        <f>'Project Database'!O275</f>
        <v/>
      </c>
      <c r="L271" s="66">
        <f>'Project Database'!P275</f>
        <v/>
      </c>
      <c r="M271" s="66">
        <f>'Project Database'!Q275</f>
        <v/>
      </c>
      <c r="N271" s="66">
        <f>'Project Database'!R275</f>
        <v/>
      </c>
      <c r="O271" s="66">
        <f>'Project Database'!S275</f>
        <v/>
      </c>
      <c r="P271" s="66">
        <f>'Project Database'!T275</f>
        <v/>
      </c>
      <c r="Q271" s="66">
        <f>'Project Database'!U275</f>
        <v/>
      </c>
      <c r="R271" s="66">
        <f>'Project Database'!V275</f>
        <v/>
      </c>
      <c r="S271" s="66">
        <f>'Project Database'!W275</f>
        <v/>
      </c>
      <c r="T271" s="66">
        <f>'Project Database'!X275</f>
        <v/>
      </c>
      <c r="U271" s="67">
        <f>'Project Database'!Y275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'Project Database'!Z275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IF(AND('Project Database'!A275&lt;&gt;"",OR('Smart Search'!$L$5="",'Smart Search'!$L$5="All",TRIM('Project Database'!D275)=TRIM('Smart Search'!$L$5)),OR(TRIM('Smart Search'!$L$6)="",TRIM('Smart Search'!$L$6)="All",ISNUMBER(SEARCH(SUBSTITUTE(SUBSTITUTE(SUBSTITUTE(TRIM('Smart Search'!$L$6),"~","~~"),"*","~*"),"?","~?"),'Project Database'!C275))),OR('Smart Search'!$L$7="",AND('Project Database'!E275&lt;&gt;"",'Project Database'!E275='Smart Search'!$L$7)),OR('Smart Search'!$L$8="",'Smart Search'!$L$8="All",TRIM('Project Database'!F275)=TRIM('Smart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IF('Project Database'!A275="","",N('Project Database'!AC275))</f>
        <v/>
      </c>
      <c r="BK271" s="5">
        <f>IF('Project Database'!A275="","",N('Project Database'!AD275))</f>
        <v/>
      </c>
      <c r="BL271" s="5">
        <f>IF('Project Database'!A275="","",N('Project Database'!AE275))</f>
        <v/>
      </c>
      <c r="BM271" s="5">
        <f>IF('Project Database'!A275="","",N('Project Database'!AF275))</f>
        <v/>
      </c>
      <c r="BN271" s="5">
        <f>IF('Project Database'!A275="","",N('Project Database'!AG275))</f>
        <v/>
      </c>
      <c r="BO271" s="5">
        <f>IF('Project Database'!A275="","",N('Project Database'!AH275))</f>
        <v/>
      </c>
      <c r="BP271" s="5">
        <f>IF('Project Database'!A275="","",N('Project Database'!AI275))</f>
        <v/>
      </c>
      <c r="BQ271" s="5">
        <f>IF('Project Database'!A275="","",N('Project Database'!AJ275))</f>
        <v/>
      </c>
      <c r="BR271" s="5">
        <f>IF('Project Database'!A275="","",N('Project Database'!AK275))</f>
        <v/>
      </c>
      <c r="BS271" s="5">
        <f>IF('Project Database'!A275="","",N('Project Database'!AL275))</f>
        <v/>
      </c>
      <c r="BT271" s="5">
        <f>IF('Project Database'!A275="","",N('Project Database'!AM275))</f>
        <v/>
      </c>
      <c r="BU271" s="5">
        <f>IF('Project Database'!A275="","",N('Project Database'!AN275))</f>
        <v/>
      </c>
      <c r="BV271" s="5">
        <f>IF('Project Database'!A275="","",N('Project Database'!AO275))</f>
        <v/>
      </c>
      <c r="BW271" s="5">
        <f>IF('Project Database'!A275="","",N('Project Database'!AP275))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</row>
    <row r="272" ht="15" customHeight="1" s="74">
      <c r="A272" s="66">
        <f>'Project Database'!A276</f>
        <v/>
      </c>
      <c r="B272" s="66">
        <f>'Project Database'!B276</f>
        <v/>
      </c>
      <c r="C272" s="66">
        <f>'Project Database'!G276</f>
        <v/>
      </c>
      <c r="D272" s="66">
        <f>'Project Database'!H276</f>
        <v/>
      </c>
      <c r="E272" s="66">
        <f>'Project Database'!I276</f>
        <v/>
      </c>
      <c r="F272" s="66">
        <f>'Project Database'!J276</f>
        <v/>
      </c>
      <c r="G272" s="66">
        <f>'Project Database'!K276</f>
        <v/>
      </c>
      <c r="H272" s="66">
        <f>'Project Database'!L276</f>
        <v/>
      </c>
      <c r="I272" s="66">
        <f>'Project Database'!M276</f>
        <v/>
      </c>
      <c r="J272" s="66">
        <f>'Project Database'!N276</f>
        <v/>
      </c>
      <c r="K272" s="66">
        <f>'Project Database'!O276</f>
        <v/>
      </c>
      <c r="L272" s="66">
        <f>'Project Database'!P276</f>
        <v/>
      </c>
      <c r="M272" s="66">
        <f>'Project Database'!Q276</f>
        <v/>
      </c>
      <c r="N272" s="66">
        <f>'Project Database'!R276</f>
        <v/>
      </c>
      <c r="O272" s="66">
        <f>'Project Database'!S276</f>
        <v/>
      </c>
      <c r="P272" s="66">
        <f>'Project Database'!T276</f>
        <v/>
      </c>
      <c r="Q272" s="66">
        <f>'Project Database'!U276</f>
        <v/>
      </c>
      <c r="R272" s="66">
        <f>'Project Database'!V276</f>
        <v/>
      </c>
      <c r="S272" s="66">
        <f>'Project Database'!W276</f>
        <v/>
      </c>
      <c r="T272" s="66">
        <f>'Project Database'!X276</f>
        <v/>
      </c>
      <c r="U272" s="67">
        <f>'Project Database'!Y276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'Project Database'!Z276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IF(AND('Project Database'!A276&lt;&gt;"",OR('Smart Search'!$L$5="",'Smart Search'!$L$5="All",TRIM('Project Database'!D276)=TRIM('Smart Search'!$L$5)),OR(TRIM('Smart Search'!$L$6)="",TRIM('Smart Search'!$L$6)="All",ISNUMBER(SEARCH(SUBSTITUTE(SUBSTITUTE(SUBSTITUTE(TRIM('Smart Search'!$L$6),"~","~~"),"*","~*"),"?","~?"),'Project Database'!C276))),OR('Smart Search'!$L$7="",AND('Project Database'!E276&lt;&gt;"",'Project Database'!E276='Smart Search'!$L$7)),OR('Smart Search'!$L$8="",'Smart Search'!$L$8="All",TRIM('Project Database'!F276)=TRIM('Smart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IF('Project Database'!A276="","",N('Project Database'!AC276))</f>
        <v/>
      </c>
      <c r="BK272" s="5">
        <f>IF('Project Database'!A276="","",N('Project Database'!AD276))</f>
        <v/>
      </c>
      <c r="BL272" s="5">
        <f>IF('Project Database'!A276="","",N('Project Database'!AE276))</f>
        <v/>
      </c>
      <c r="BM272" s="5">
        <f>IF('Project Database'!A276="","",N('Project Database'!AF276))</f>
        <v/>
      </c>
      <c r="BN272" s="5">
        <f>IF('Project Database'!A276="","",N('Project Database'!AG276))</f>
        <v/>
      </c>
      <c r="BO272" s="5">
        <f>IF('Project Database'!A276="","",N('Project Database'!AH276))</f>
        <v/>
      </c>
      <c r="BP272" s="5">
        <f>IF('Project Database'!A276="","",N('Project Database'!AI276))</f>
        <v/>
      </c>
      <c r="BQ272" s="5">
        <f>IF('Project Database'!A276="","",N('Project Database'!AJ276))</f>
        <v/>
      </c>
      <c r="BR272" s="5">
        <f>IF('Project Database'!A276="","",N('Project Database'!AK276))</f>
        <v/>
      </c>
      <c r="BS272" s="5">
        <f>IF('Project Database'!A276="","",N('Project Database'!AL276))</f>
        <v/>
      </c>
      <c r="BT272" s="5">
        <f>IF('Project Database'!A276="","",N('Project Database'!AM276))</f>
        <v/>
      </c>
      <c r="BU272" s="5">
        <f>IF('Project Database'!A276="","",N('Project Database'!AN276))</f>
        <v/>
      </c>
      <c r="BV272" s="5">
        <f>IF('Project Database'!A276="","",N('Project Database'!AO276))</f>
        <v/>
      </c>
      <c r="BW272" s="5">
        <f>IF('Project Database'!A276="","",N('Project Database'!AP276))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</row>
    <row r="273" ht="15" customHeight="1" s="74">
      <c r="A273" s="66">
        <f>'Project Database'!A277</f>
        <v/>
      </c>
      <c r="B273" s="66">
        <f>'Project Database'!B277</f>
        <v/>
      </c>
      <c r="C273" s="66">
        <f>'Project Database'!G277</f>
        <v/>
      </c>
      <c r="D273" s="66">
        <f>'Project Database'!H277</f>
        <v/>
      </c>
      <c r="E273" s="66">
        <f>'Project Database'!I277</f>
        <v/>
      </c>
      <c r="F273" s="66">
        <f>'Project Database'!J277</f>
        <v/>
      </c>
      <c r="G273" s="66">
        <f>'Project Database'!K277</f>
        <v/>
      </c>
      <c r="H273" s="66">
        <f>'Project Database'!L277</f>
        <v/>
      </c>
      <c r="I273" s="66">
        <f>'Project Database'!M277</f>
        <v/>
      </c>
      <c r="J273" s="66">
        <f>'Project Database'!N277</f>
        <v/>
      </c>
      <c r="K273" s="66">
        <f>'Project Database'!O277</f>
        <v/>
      </c>
      <c r="L273" s="66">
        <f>'Project Database'!P277</f>
        <v/>
      </c>
      <c r="M273" s="66">
        <f>'Project Database'!Q277</f>
        <v/>
      </c>
      <c r="N273" s="66">
        <f>'Project Database'!R277</f>
        <v/>
      </c>
      <c r="O273" s="66">
        <f>'Project Database'!S277</f>
        <v/>
      </c>
      <c r="P273" s="66">
        <f>'Project Database'!T277</f>
        <v/>
      </c>
      <c r="Q273" s="66">
        <f>'Project Database'!U277</f>
        <v/>
      </c>
      <c r="R273" s="66">
        <f>'Project Database'!V277</f>
        <v/>
      </c>
      <c r="S273" s="66">
        <f>'Project Database'!W277</f>
        <v/>
      </c>
      <c r="T273" s="66">
        <f>'Project Database'!X277</f>
        <v/>
      </c>
      <c r="U273" s="67">
        <f>'Project Database'!Y277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'Project Database'!Z277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IF(AND('Project Database'!A277&lt;&gt;"",OR('Smart Search'!$L$5="",'Smart Search'!$L$5="All",TRIM('Project Database'!D277)=TRIM('Smart Search'!$L$5)),OR(TRIM('Smart Search'!$L$6)="",TRIM('Smart Search'!$L$6)="All",ISNUMBER(SEARCH(SUBSTITUTE(SUBSTITUTE(SUBSTITUTE(TRIM('Smart Search'!$L$6),"~","~~"),"*","~*"),"?","~?"),'Project Database'!C277))),OR('Smart Search'!$L$7="",AND('Project Database'!E277&lt;&gt;"",'Project Database'!E277='Smart Search'!$L$7)),OR('Smart Search'!$L$8="",'Smart Search'!$L$8="All",TRIM('Project Database'!F277)=TRIM('Smart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IF('Project Database'!A277="","",N('Project Database'!AC277))</f>
        <v/>
      </c>
      <c r="BK273" s="5">
        <f>IF('Project Database'!A277="","",N('Project Database'!AD277))</f>
        <v/>
      </c>
      <c r="BL273" s="5">
        <f>IF('Project Database'!A277="","",N('Project Database'!AE277))</f>
        <v/>
      </c>
      <c r="BM273" s="5">
        <f>IF('Project Database'!A277="","",N('Project Database'!AF277))</f>
        <v/>
      </c>
      <c r="BN273" s="5">
        <f>IF('Project Database'!A277="","",N('Project Database'!AG277))</f>
        <v/>
      </c>
      <c r="BO273" s="5">
        <f>IF('Project Database'!A277="","",N('Project Database'!AH277))</f>
        <v/>
      </c>
      <c r="BP273" s="5">
        <f>IF('Project Database'!A277="","",N('Project Database'!AI277))</f>
        <v/>
      </c>
      <c r="BQ273" s="5">
        <f>IF('Project Database'!A277="","",N('Project Database'!AJ277))</f>
        <v/>
      </c>
      <c r="BR273" s="5">
        <f>IF('Project Database'!A277="","",N('Project Database'!AK277))</f>
        <v/>
      </c>
      <c r="BS273" s="5">
        <f>IF('Project Database'!A277="","",N('Project Database'!AL277))</f>
        <v/>
      </c>
      <c r="BT273" s="5">
        <f>IF('Project Database'!A277="","",N('Project Database'!AM277))</f>
        <v/>
      </c>
      <c r="BU273" s="5">
        <f>IF('Project Database'!A277="","",N('Project Database'!AN277))</f>
        <v/>
      </c>
      <c r="BV273" s="5">
        <f>IF('Project Database'!A277="","",N('Project Database'!AO277))</f>
        <v/>
      </c>
      <c r="BW273" s="5">
        <f>IF('Project Database'!A277="","",N('Project Database'!AP277))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</row>
    <row r="274" ht="15" customHeight="1" s="74">
      <c r="A274" s="66">
        <f>'Project Database'!A278</f>
        <v/>
      </c>
      <c r="B274" s="66">
        <f>'Project Database'!B278</f>
        <v/>
      </c>
      <c r="C274" s="66">
        <f>'Project Database'!G278</f>
        <v/>
      </c>
      <c r="D274" s="66">
        <f>'Project Database'!H278</f>
        <v/>
      </c>
      <c r="E274" s="66">
        <f>'Project Database'!I278</f>
        <v/>
      </c>
      <c r="F274" s="66">
        <f>'Project Database'!J278</f>
        <v/>
      </c>
      <c r="G274" s="66">
        <f>'Project Database'!K278</f>
        <v/>
      </c>
      <c r="H274" s="66">
        <f>'Project Database'!L278</f>
        <v/>
      </c>
      <c r="I274" s="66">
        <f>'Project Database'!M278</f>
        <v/>
      </c>
      <c r="J274" s="66">
        <f>'Project Database'!N278</f>
        <v/>
      </c>
      <c r="K274" s="66">
        <f>'Project Database'!O278</f>
        <v/>
      </c>
      <c r="L274" s="66">
        <f>'Project Database'!P278</f>
        <v/>
      </c>
      <c r="M274" s="66">
        <f>'Project Database'!Q278</f>
        <v/>
      </c>
      <c r="N274" s="66">
        <f>'Project Database'!R278</f>
        <v/>
      </c>
      <c r="O274" s="66">
        <f>'Project Database'!S278</f>
        <v/>
      </c>
      <c r="P274" s="66">
        <f>'Project Database'!T278</f>
        <v/>
      </c>
      <c r="Q274" s="66">
        <f>'Project Database'!U278</f>
        <v/>
      </c>
      <c r="R274" s="66">
        <f>'Project Database'!V278</f>
        <v/>
      </c>
      <c r="S274" s="66">
        <f>'Project Database'!W278</f>
        <v/>
      </c>
      <c r="T274" s="66">
        <f>'Project Database'!X278</f>
        <v/>
      </c>
      <c r="U274" s="67">
        <f>'Project Database'!Y278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'Project Database'!Z278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IF(AND('Project Database'!A278&lt;&gt;"",OR('Smart Search'!$L$5="",'Smart Search'!$L$5="All",TRIM('Project Database'!D278)=TRIM('Smart Search'!$L$5)),OR(TRIM('Smart Search'!$L$6)="",TRIM('Smart Search'!$L$6)="All",ISNUMBER(SEARCH(SUBSTITUTE(SUBSTITUTE(SUBSTITUTE(TRIM('Smart Search'!$L$6),"~","~~"),"*","~*"),"?","~?"),'Project Database'!C278))),OR('Smart Search'!$L$7="",AND('Project Database'!E278&lt;&gt;"",'Project Database'!E278='Smart Search'!$L$7)),OR('Smart Search'!$L$8="",'Smart Search'!$L$8="All",TRIM('Project Database'!F278)=TRIM('Smart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IF('Project Database'!A278="","",N('Project Database'!AC278))</f>
        <v/>
      </c>
      <c r="BK274" s="5">
        <f>IF('Project Database'!A278="","",N('Project Database'!AD278))</f>
        <v/>
      </c>
      <c r="BL274" s="5">
        <f>IF('Project Database'!A278="","",N('Project Database'!AE278))</f>
        <v/>
      </c>
      <c r="BM274" s="5">
        <f>IF('Project Database'!A278="","",N('Project Database'!AF278))</f>
        <v/>
      </c>
      <c r="BN274" s="5">
        <f>IF('Project Database'!A278="","",N('Project Database'!AG278))</f>
        <v/>
      </c>
      <c r="BO274" s="5">
        <f>IF('Project Database'!A278="","",N('Project Database'!AH278))</f>
        <v/>
      </c>
      <c r="BP274" s="5">
        <f>IF('Project Database'!A278="","",N('Project Database'!AI278))</f>
        <v/>
      </c>
      <c r="BQ274" s="5">
        <f>IF('Project Database'!A278="","",N('Project Database'!AJ278))</f>
        <v/>
      </c>
      <c r="BR274" s="5">
        <f>IF('Project Database'!A278="","",N('Project Database'!AK278))</f>
        <v/>
      </c>
      <c r="BS274" s="5">
        <f>IF('Project Database'!A278="","",N('Project Database'!AL278))</f>
        <v/>
      </c>
      <c r="BT274" s="5">
        <f>IF('Project Database'!A278="","",N('Project Database'!AM278))</f>
        <v/>
      </c>
      <c r="BU274" s="5">
        <f>IF('Project Database'!A278="","",N('Project Database'!AN278))</f>
        <v/>
      </c>
      <c r="BV274" s="5">
        <f>IF('Project Database'!A278="","",N('Project Database'!AO278))</f>
        <v/>
      </c>
      <c r="BW274" s="5">
        <f>IF('Project Database'!A278="","",N('Project Database'!AP278))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</row>
    <row r="275" ht="15" customHeight="1" s="74">
      <c r="A275" s="66">
        <f>'Project Database'!A279</f>
        <v/>
      </c>
      <c r="B275" s="66">
        <f>'Project Database'!B279</f>
        <v/>
      </c>
      <c r="C275" s="66">
        <f>'Project Database'!G279</f>
        <v/>
      </c>
      <c r="D275" s="66">
        <f>'Project Database'!H279</f>
        <v/>
      </c>
      <c r="E275" s="66">
        <f>'Project Database'!I279</f>
        <v/>
      </c>
      <c r="F275" s="66">
        <f>'Project Database'!J279</f>
        <v/>
      </c>
      <c r="G275" s="66">
        <f>'Project Database'!K279</f>
        <v/>
      </c>
      <c r="H275" s="66">
        <f>'Project Database'!L279</f>
        <v/>
      </c>
      <c r="I275" s="66">
        <f>'Project Database'!M279</f>
        <v/>
      </c>
      <c r="J275" s="66">
        <f>'Project Database'!N279</f>
        <v/>
      </c>
      <c r="K275" s="66">
        <f>'Project Database'!O279</f>
        <v/>
      </c>
      <c r="L275" s="66">
        <f>'Project Database'!P279</f>
        <v/>
      </c>
      <c r="M275" s="66">
        <f>'Project Database'!Q279</f>
        <v/>
      </c>
      <c r="N275" s="66">
        <f>'Project Database'!R279</f>
        <v/>
      </c>
      <c r="O275" s="66">
        <f>'Project Database'!S279</f>
        <v/>
      </c>
      <c r="P275" s="66">
        <f>'Project Database'!T279</f>
        <v/>
      </c>
      <c r="Q275" s="66">
        <f>'Project Database'!U279</f>
        <v/>
      </c>
      <c r="R275" s="66">
        <f>'Project Database'!V279</f>
        <v/>
      </c>
      <c r="S275" s="66">
        <f>'Project Database'!W279</f>
        <v/>
      </c>
      <c r="T275" s="66">
        <f>'Project Database'!X279</f>
        <v/>
      </c>
      <c r="U275" s="67">
        <f>'Project Database'!Y279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'Project Database'!Z279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IF(AND('Project Database'!A279&lt;&gt;"",OR('Smart Search'!$L$5="",'Smart Search'!$L$5="All",TRIM('Project Database'!D279)=TRIM('Smart Search'!$L$5)),OR(TRIM('Smart Search'!$L$6)="",TRIM('Smart Search'!$L$6)="All",ISNUMBER(SEARCH(SUBSTITUTE(SUBSTITUTE(SUBSTITUTE(TRIM('Smart Search'!$L$6),"~","~~"),"*","~*"),"?","~?"),'Project Database'!C279))),OR('Smart Search'!$L$7="",AND('Project Database'!E279&lt;&gt;"",'Project Database'!E279='Smart Search'!$L$7)),OR('Smart Search'!$L$8="",'Smart Search'!$L$8="All",TRIM('Project Database'!F279)=TRIM('Smart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IF('Project Database'!A279="","",N('Project Database'!AC279))</f>
        <v/>
      </c>
      <c r="BK275" s="5">
        <f>IF('Project Database'!A279="","",N('Project Database'!AD279))</f>
        <v/>
      </c>
      <c r="BL275" s="5">
        <f>IF('Project Database'!A279="","",N('Project Database'!AE279))</f>
        <v/>
      </c>
      <c r="BM275" s="5">
        <f>IF('Project Database'!A279="","",N('Project Database'!AF279))</f>
        <v/>
      </c>
      <c r="BN275" s="5">
        <f>IF('Project Database'!A279="","",N('Project Database'!AG279))</f>
        <v/>
      </c>
      <c r="BO275" s="5">
        <f>IF('Project Database'!A279="","",N('Project Database'!AH279))</f>
        <v/>
      </c>
      <c r="BP275" s="5">
        <f>IF('Project Database'!A279="","",N('Project Database'!AI279))</f>
        <v/>
      </c>
      <c r="BQ275" s="5">
        <f>IF('Project Database'!A279="","",N('Project Database'!AJ279))</f>
        <v/>
      </c>
      <c r="BR275" s="5">
        <f>IF('Project Database'!A279="","",N('Project Database'!AK279))</f>
        <v/>
      </c>
      <c r="BS275" s="5">
        <f>IF('Project Database'!A279="","",N('Project Database'!AL279))</f>
        <v/>
      </c>
      <c r="BT275" s="5">
        <f>IF('Project Database'!A279="","",N('Project Database'!AM279))</f>
        <v/>
      </c>
      <c r="BU275" s="5">
        <f>IF('Project Database'!A279="","",N('Project Database'!AN279))</f>
        <v/>
      </c>
      <c r="BV275" s="5">
        <f>IF('Project Database'!A279="","",N('Project Database'!AO279))</f>
        <v/>
      </c>
      <c r="BW275" s="5">
        <f>IF('Project Database'!A279="","",N('Project Database'!AP279))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</row>
    <row r="276" ht="15" customHeight="1" s="74">
      <c r="A276" s="66">
        <f>'Project Database'!A280</f>
        <v/>
      </c>
      <c r="B276" s="66">
        <f>'Project Database'!B280</f>
        <v/>
      </c>
      <c r="C276" s="66">
        <f>'Project Database'!G280</f>
        <v/>
      </c>
      <c r="D276" s="66">
        <f>'Project Database'!H280</f>
        <v/>
      </c>
      <c r="E276" s="66">
        <f>'Project Database'!I280</f>
        <v/>
      </c>
      <c r="F276" s="66">
        <f>'Project Database'!J280</f>
        <v/>
      </c>
      <c r="G276" s="66">
        <f>'Project Database'!K280</f>
        <v/>
      </c>
      <c r="H276" s="66">
        <f>'Project Database'!L280</f>
        <v/>
      </c>
      <c r="I276" s="66">
        <f>'Project Database'!M280</f>
        <v/>
      </c>
      <c r="J276" s="66">
        <f>'Project Database'!N280</f>
        <v/>
      </c>
      <c r="K276" s="66">
        <f>'Project Database'!O280</f>
        <v/>
      </c>
      <c r="L276" s="66">
        <f>'Project Database'!P280</f>
        <v/>
      </c>
      <c r="M276" s="66">
        <f>'Project Database'!Q280</f>
        <v/>
      </c>
      <c r="N276" s="66">
        <f>'Project Database'!R280</f>
        <v/>
      </c>
      <c r="O276" s="66">
        <f>'Project Database'!S280</f>
        <v/>
      </c>
      <c r="P276" s="66">
        <f>'Project Database'!T280</f>
        <v/>
      </c>
      <c r="Q276" s="66">
        <f>'Project Database'!U280</f>
        <v/>
      </c>
      <c r="R276" s="66">
        <f>'Project Database'!V280</f>
        <v/>
      </c>
      <c r="S276" s="66">
        <f>'Project Database'!W280</f>
        <v/>
      </c>
      <c r="T276" s="66">
        <f>'Project Database'!X280</f>
        <v/>
      </c>
      <c r="U276" s="67">
        <f>'Project Database'!Y280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'Project Database'!Z280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IF(AND('Project Database'!A280&lt;&gt;"",OR('Smart Search'!$L$5="",'Smart Search'!$L$5="All",TRIM('Project Database'!D280)=TRIM('Smart Search'!$L$5)),OR(TRIM('Smart Search'!$L$6)="",TRIM('Smart Search'!$L$6)="All",ISNUMBER(SEARCH(SUBSTITUTE(SUBSTITUTE(SUBSTITUTE(TRIM('Smart Search'!$L$6),"~","~~"),"*","~*"),"?","~?"),'Project Database'!C280))),OR('Smart Search'!$L$7="",AND('Project Database'!E280&lt;&gt;"",'Project Database'!E280='Smart Search'!$L$7)),OR('Smart Search'!$L$8="",'Smart Search'!$L$8="All",TRIM('Project Database'!F280)=TRIM('Smart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IF('Project Database'!A280="","",N('Project Database'!AC280))</f>
        <v/>
      </c>
      <c r="BK276" s="5">
        <f>IF('Project Database'!A280="","",N('Project Database'!AD280))</f>
        <v/>
      </c>
      <c r="BL276" s="5">
        <f>IF('Project Database'!A280="","",N('Project Database'!AE280))</f>
        <v/>
      </c>
      <c r="BM276" s="5">
        <f>IF('Project Database'!A280="","",N('Project Database'!AF280))</f>
        <v/>
      </c>
      <c r="BN276" s="5">
        <f>IF('Project Database'!A280="","",N('Project Database'!AG280))</f>
        <v/>
      </c>
      <c r="BO276" s="5">
        <f>IF('Project Database'!A280="","",N('Project Database'!AH280))</f>
        <v/>
      </c>
      <c r="BP276" s="5">
        <f>IF('Project Database'!A280="","",N('Project Database'!AI280))</f>
        <v/>
      </c>
      <c r="BQ276" s="5">
        <f>IF('Project Database'!A280="","",N('Project Database'!AJ280))</f>
        <v/>
      </c>
      <c r="BR276" s="5">
        <f>IF('Project Database'!A280="","",N('Project Database'!AK280))</f>
        <v/>
      </c>
      <c r="BS276" s="5">
        <f>IF('Project Database'!A280="","",N('Project Database'!AL280))</f>
        <v/>
      </c>
      <c r="BT276" s="5">
        <f>IF('Project Database'!A280="","",N('Project Database'!AM280))</f>
        <v/>
      </c>
      <c r="BU276" s="5">
        <f>IF('Project Database'!A280="","",N('Project Database'!AN280))</f>
        <v/>
      </c>
      <c r="BV276" s="5">
        <f>IF('Project Database'!A280="","",N('Project Database'!AO280))</f>
        <v/>
      </c>
      <c r="BW276" s="5">
        <f>IF('Project Database'!A280="","",N('Project Database'!AP280))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</row>
    <row r="277" ht="15" customHeight="1" s="74">
      <c r="A277" s="66">
        <f>'Project Database'!A281</f>
        <v/>
      </c>
      <c r="B277" s="66">
        <f>'Project Database'!B281</f>
        <v/>
      </c>
      <c r="C277" s="66">
        <f>'Project Database'!G281</f>
        <v/>
      </c>
      <c r="D277" s="66">
        <f>'Project Database'!H281</f>
        <v/>
      </c>
      <c r="E277" s="66">
        <f>'Project Database'!I281</f>
        <v/>
      </c>
      <c r="F277" s="66">
        <f>'Project Database'!J281</f>
        <v/>
      </c>
      <c r="G277" s="66">
        <f>'Project Database'!K281</f>
        <v/>
      </c>
      <c r="H277" s="66">
        <f>'Project Database'!L281</f>
        <v/>
      </c>
      <c r="I277" s="66">
        <f>'Project Database'!M281</f>
        <v/>
      </c>
      <c r="J277" s="66">
        <f>'Project Database'!N281</f>
        <v/>
      </c>
      <c r="K277" s="66">
        <f>'Project Database'!O281</f>
        <v/>
      </c>
      <c r="L277" s="66">
        <f>'Project Database'!P281</f>
        <v/>
      </c>
      <c r="M277" s="66">
        <f>'Project Database'!Q281</f>
        <v/>
      </c>
      <c r="N277" s="66">
        <f>'Project Database'!R281</f>
        <v/>
      </c>
      <c r="O277" s="66">
        <f>'Project Database'!S281</f>
        <v/>
      </c>
      <c r="P277" s="66">
        <f>'Project Database'!T281</f>
        <v/>
      </c>
      <c r="Q277" s="66">
        <f>'Project Database'!U281</f>
        <v/>
      </c>
      <c r="R277" s="66">
        <f>'Project Database'!V281</f>
        <v/>
      </c>
      <c r="S277" s="66">
        <f>'Project Database'!W281</f>
        <v/>
      </c>
      <c r="T277" s="66">
        <f>'Project Database'!X281</f>
        <v/>
      </c>
      <c r="U277" s="67">
        <f>'Project Database'!Y281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'Project Database'!Z281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IF(AND('Project Database'!A281&lt;&gt;"",OR('Smart Search'!$L$5="",'Smart Search'!$L$5="All",TRIM('Project Database'!D281)=TRIM('Smart Search'!$L$5)),OR(TRIM('Smart Search'!$L$6)="",TRIM('Smart Search'!$L$6)="All",ISNUMBER(SEARCH(SUBSTITUTE(SUBSTITUTE(SUBSTITUTE(TRIM('Smart Search'!$L$6),"~","~~"),"*","~*"),"?","~?"),'Project Database'!C281))),OR('Smart Search'!$L$7="",AND('Project Database'!E281&lt;&gt;"",'Project Database'!E281='Smart Search'!$L$7)),OR('Smart Search'!$L$8="",'Smart Search'!$L$8="All",TRIM('Project Database'!F281)=TRIM('Smart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IF('Project Database'!A281="","",N('Project Database'!AC281))</f>
        <v/>
      </c>
      <c r="BK277" s="5">
        <f>IF('Project Database'!A281="","",N('Project Database'!AD281))</f>
        <v/>
      </c>
      <c r="BL277" s="5">
        <f>IF('Project Database'!A281="","",N('Project Database'!AE281))</f>
        <v/>
      </c>
      <c r="BM277" s="5">
        <f>IF('Project Database'!A281="","",N('Project Database'!AF281))</f>
        <v/>
      </c>
      <c r="BN277" s="5">
        <f>IF('Project Database'!A281="","",N('Project Database'!AG281))</f>
        <v/>
      </c>
      <c r="BO277" s="5">
        <f>IF('Project Database'!A281="","",N('Project Database'!AH281))</f>
        <v/>
      </c>
      <c r="BP277" s="5">
        <f>IF('Project Database'!A281="","",N('Project Database'!AI281))</f>
        <v/>
      </c>
      <c r="BQ277" s="5">
        <f>IF('Project Database'!A281="","",N('Project Database'!AJ281))</f>
        <v/>
      </c>
      <c r="BR277" s="5">
        <f>IF('Project Database'!A281="","",N('Project Database'!AK281))</f>
        <v/>
      </c>
      <c r="BS277" s="5">
        <f>IF('Project Database'!A281="","",N('Project Database'!AL281))</f>
        <v/>
      </c>
      <c r="BT277" s="5">
        <f>IF('Project Database'!A281="","",N('Project Database'!AM281))</f>
        <v/>
      </c>
      <c r="BU277" s="5">
        <f>IF('Project Database'!A281="","",N('Project Database'!AN281))</f>
        <v/>
      </c>
      <c r="BV277" s="5">
        <f>IF('Project Database'!A281="","",N('Project Database'!AO281))</f>
        <v/>
      </c>
      <c r="BW277" s="5">
        <f>IF('Project Database'!A281="","",N('Project Database'!AP281))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</row>
    <row r="278" ht="15" customHeight="1" s="74">
      <c r="A278" s="66">
        <f>'Project Database'!A282</f>
        <v/>
      </c>
      <c r="B278" s="66">
        <f>'Project Database'!B282</f>
        <v/>
      </c>
      <c r="C278" s="66">
        <f>'Project Database'!G282</f>
        <v/>
      </c>
      <c r="D278" s="66">
        <f>'Project Database'!H282</f>
        <v/>
      </c>
      <c r="E278" s="66">
        <f>'Project Database'!I282</f>
        <v/>
      </c>
      <c r="F278" s="66">
        <f>'Project Database'!J282</f>
        <v/>
      </c>
      <c r="G278" s="66">
        <f>'Project Database'!K282</f>
        <v/>
      </c>
      <c r="H278" s="66">
        <f>'Project Database'!L282</f>
        <v/>
      </c>
      <c r="I278" s="66">
        <f>'Project Database'!M282</f>
        <v/>
      </c>
      <c r="J278" s="66">
        <f>'Project Database'!N282</f>
        <v/>
      </c>
      <c r="K278" s="66">
        <f>'Project Database'!O282</f>
        <v/>
      </c>
      <c r="L278" s="66">
        <f>'Project Database'!P282</f>
        <v/>
      </c>
      <c r="M278" s="66">
        <f>'Project Database'!Q282</f>
        <v/>
      </c>
      <c r="N278" s="66">
        <f>'Project Database'!R282</f>
        <v/>
      </c>
      <c r="O278" s="66">
        <f>'Project Database'!S282</f>
        <v/>
      </c>
      <c r="P278" s="66">
        <f>'Project Database'!T282</f>
        <v/>
      </c>
      <c r="Q278" s="66">
        <f>'Project Database'!U282</f>
        <v/>
      </c>
      <c r="R278" s="66">
        <f>'Project Database'!V282</f>
        <v/>
      </c>
      <c r="S278" s="66">
        <f>'Project Database'!W282</f>
        <v/>
      </c>
      <c r="T278" s="66">
        <f>'Project Database'!X282</f>
        <v/>
      </c>
      <c r="U278" s="67">
        <f>'Project Database'!Y282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'Project Database'!Z282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IF(AND('Project Database'!A282&lt;&gt;"",OR('Smart Search'!$L$5="",'Smart Search'!$L$5="All",TRIM('Project Database'!D282)=TRIM('Smart Search'!$L$5)),OR(TRIM('Smart Search'!$L$6)="",TRIM('Smart Search'!$L$6)="All",ISNUMBER(SEARCH(SUBSTITUTE(SUBSTITUTE(SUBSTITUTE(TRIM('Smart Search'!$L$6),"~","~~"),"*","~*"),"?","~?"),'Project Database'!C282))),OR('Smart Search'!$L$7="",AND('Project Database'!E282&lt;&gt;"",'Project Database'!E282='Smart Search'!$L$7)),OR('Smart Search'!$L$8="",'Smart Search'!$L$8="All",TRIM('Project Database'!F282)=TRIM('Smart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IF('Project Database'!A282="","",N('Project Database'!AC282))</f>
        <v/>
      </c>
      <c r="BK278" s="5">
        <f>IF('Project Database'!A282="","",N('Project Database'!AD282))</f>
        <v/>
      </c>
      <c r="BL278" s="5">
        <f>IF('Project Database'!A282="","",N('Project Database'!AE282))</f>
        <v/>
      </c>
      <c r="BM278" s="5">
        <f>IF('Project Database'!A282="","",N('Project Database'!AF282))</f>
        <v/>
      </c>
      <c r="BN278" s="5">
        <f>IF('Project Database'!A282="","",N('Project Database'!AG282))</f>
        <v/>
      </c>
      <c r="BO278" s="5">
        <f>IF('Project Database'!A282="","",N('Project Database'!AH282))</f>
        <v/>
      </c>
      <c r="BP278" s="5">
        <f>IF('Project Database'!A282="","",N('Project Database'!AI282))</f>
        <v/>
      </c>
      <c r="BQ278" s="5">
        <f>IF('Project Database'!A282="","",N('Project Database'!AJ282))</f>
        <v/>
      </c>
      <c r="BR278" s="5">
        <f>IF('Project Database'!A282="","",N('Project Database'!AK282))</f>
        <v/>
      </c>
      <c r="BS278" s="5">
        <f>IF('Project Database'!A282="","",N('Project Database'!AL282))</f>
        <v/>
      </c>
      <c r="BT278" s="5">
        <f>IF('Project Database'!A282="","",N('Project Database'!AM282))</f>
        <v/>
      </c>
      <c r="BU278" s="5">
        <f>IF('Project Database'!A282="","",N('Project Database'!AN282))</f>
        <v/>
      </c>
      <c r="BV278" s="5">
        <f>IF('Project Database'!A282="","",N('Project Database'!AO282))</f>
        <v/>
      </c>
      <c r="BW278" s="5">
        <f>IF('Project Database'!A282="","",N('Project Database'!AP282))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</row>
    <row r="279" ht="15" customHeight="1" s="74">
      <c r="A279" s="66">
        <f>'Project Database'!A283</f>
        <v/>
      </c>
      <c r="B279" s="66">
        <f>'Project Database'!B283</f>
        <v/>
      </c>
      <c r="C279" s="66">
        <f>'Project Database'!G283</f>
        <v/>
      </c>
      <c r="D279" s="66">
        <f>'Project Database'!H283</f>
        <v/>
      </c>
      <c r="E279" s="66">
        <f>'Project Database'!I283</f>
        <v/>
      </c>
      <c r="F279" s="66">
        <f>'Project Database'!J283</f>
        <v/>
      </c>
      <c r="G279" s="66">
        <f>'Project Database'!K283</f>
        <v/>
      </c>
      <c r="H279" s="66">
        <f>'Project Database'!L283</f>
        <v/>
      </c>
      <c r="I279" s="66">
        <f>'Project Database'!M283</f>
        <v/>
      </c>
      <c r="J279" s="66">
        <f>'Project Database'!N283</f>
        <v/>
      </c>
      <c r="K279" s="66">
        <f>'Project Database'!O283</f>
        <v/>
      </c>
      <c r="L279" s="66">
        <f>'Project Database'!P283</f>
        <v/>
      </c>
      <c r="M279" s="66">
        <f>'Project Database'!Q283</f>
        <v/>
      </c>
      <c r="N279" s="66">
        <f>'Project Database'!R283</f>
        <v/>
      </c>
      <c r="O279" s="66">
        <f>'Project Database'!S283</f>
        <v/>
      </c>
      <c r="P279" s="66">
        <f>'Project Database'!T283</f>
        <v/>
      </c>
      <c r="Q279" s="66">
        <f>'Project Database'!U283</f>
        <v/>
      </c>
      <c r="R279" s="66">
        <f>'Project Database'!V283</f>
        <v/>
      </c>
      <c r="S279" s="66">
        <f>'Project Database'!W283</f>
        <v/>
      </c>
      <c r="T279" s="66">
        <f>'Project Database'!X283</f>
        <v/>
      </c>
      <c r="U279" s="67">
        <f>'Project Database'!Y283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'Project Database'!Z283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IF(AND('Project Database'!A283&lt;&gt;"",OR('Smart Search'!$L$5="",'Smart Search'!$L$5="All",TRIM('Project Database'!D283)=TRIM('Smart Search'!$L$5)),OR(TRIM('Smart Search'!$L$6)="",TRIM('Smart Search'!$L$6)="All",ISNUMBER(SEARCH(SUBSTITUTE(SUBSTITUTE(SUBSTITUTE(TRIM('Smart Search'!$L$6),"~","~~"),"*","~*"),"?","~?"),'Project Database'!C283))),OR('Smart Search'!$L$7="",AND('Project Database'!E283&lt;&gt;"",'Project Database'!E283='Smart Search'!$L$7)),OR('Smart Search'!$L$8="",'Smart Search'!$L$8="All",TRIM('Project Database'!F283)=TRIM('Smart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IF('Project Database'!A283="","",N('Project Database'!AC283))</f>
        <v/>
      </c>
      <c r="BK279" s="5">
        <f>IF('Project Database'!A283="","",N('Project Database'!AD283))</f>
        <v/>
      </c>
      <c r="BL279" s="5">
        <f>IF('Project Database'!A283="","",N('Project Database'!AE283))</f>
        <v/>
      </c>
      <c r="BM279" s="5">
        <f>IF('Project Database'!A283="","",N('Project Database'!AF283))</f>
        <v/>
      </c>
      <c r="BN279" s="5">
        <f>IF('Project Database'!A283="","",N('Project Database'!AG283))</f>
        <v/>
      </c>
      <c r="BO279" s="5">
        <f>IF('Project Database'!A283="","",N('Project Database'!AH283))</f>
        <v/>
      </c>
      <c r="BP279" s="5">
        <f>IF('Project Database'!A283="","",N('Project Database'!AI283))</f>
        <v/>
      </c>
      <c r="BQ279" s="5">
        <f>IF('Project Database'!A283="","",N('Project Database'!AJ283))</f>
        <v/>
      </c>
      <c r="BR279" s="5">
        <f>IF('Project Database'!A283="","",N('Project Database'!AK283))</f>
        <v/>
      </c>
      <c r="BS279" s="5">
        <f>IF('Project Database'!A283="","",N('Project Database'!AL283))</f>
        <v/>
      </c>
      <c r="BT279" s="5">
        <f>IF('Project Database'!A283="","",N('Project Database'!AM283))</f>
        <v/>
      </c>
      <c r="BU279" s="5">
        <f>IF('Project Database'!A283="","",N('Project Database'!AN283))</f>
        <v/>
      </c>
      <c r="BV279" s="5">
        <f>IF('Project Database'!A283="","",N('Project Database'!AO283))</f>
        <v/>
      </c>
      <c r="BW279" s="5">
        <f>IF('Project Database'!A283="","",N('Project Database'!AP283))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</row>
    <row r="280" ht="15" customHeight="1" s="74">
      <c r="A280" s="66">
        <f>'Project Database'!A284</f>
        <v/>
      </c>
      <c r="B280" s="66">
        <f>'Project Database'!B284</f>
        <v/>
      </c>
      <c r="C280" s="66">
        <f>'Project Database'!G284</f>
        <v/>
      </c>
      <c r="D280" s="66">
        <f>'Project Database'!H284</f>
        <v/>
      </c>
      <c r="E280" s="66">
        <f>'Project Database'!I284</f>
        <v/>
      </c>
      <c r="F280" s="66">
        <f>'Project Database'!J284</f>
        <v/>
      </c>
      <c r="G280" s="66">
        <f>'Project Database'!K284</f>
        <v/>
      </c>
      <c r="H280" s="66">
        <f>'Project Database'!L284</f>
        <v/>
      </c>
      <c r="I280" s="66">
        <f>'Project Database'!M284</f>
        <v/>
      </c>
      <c r="J280" s="66">
        <f>'Project Database'!N284</f>
        <v/>
      </c>
      <c r="K280" s="66">
        <f>'Project Database'!O284</f>
        <v/>
      </c>
      <c r="L280" s="66">
        <f>'Project Database'!P284</f>
        <v/>
      </c>
      <c r="M280" s="66">
        <f>'Project Database'!Q284</f>
        <v/>
      </c>
      <c r="N280" s="66">
        <f>'Project Database'!R284</f>
        <v/>
      </c>
      <c r="O280" s="66">
        <f>'Project Database'!S284</f>
        <v/>
      </c>
      <c r="P280" s="66">
        <f>'Project Database'!T284</f>
        <v/>
      </c>
      <c r="Q280" s="66">
        <f>'Project Database'!U284</f>
        <v/>
      </c>
      <c r="R280" s="66">
        <f>'Project Database'!V284</f>
        <v/>
      </c>
      <c r="S280" s="66">
        <f>'Project Database'!W284</f>
        <v/>
      </c>
      <c r="T280" s="66">
        <f>'Project Database'!X284</f>
        <v/>
      </c>
      <c r="U280" s="67">
        <f>'Project Database'!Y284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'Project Database'!Z284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IF(AND('Project Database'!A284&lt;&gt;"",OR('Smart Search'!$L$5="",'Smart Search'!$L$5="All",TRIM('Project Database'!D284)=TRIM('Smart Search'!$L$5)),OR(TRIM('Smart Search'!$L$6)="",TRIM('Smart Search'!$L$6)="All",ISNUMBER(SEARCH(SUBSTITUTE(SUBSTITUTE(SUBSTITUTE(TRIM('Smart Search'!$L$6),"~","~~"),"*","~*"),"?","~?"),'Project Database'!C284))),OR('Smart Search'!$L$7="",AND('Project Database'!E284&lt;&gt;"",'Project Database'!E284='Smart Search'!$L$7)),OR('Smart Search'!$L$8="",'Smart Search'!$L$8="All",TRIM('Project Database'!F284)=TRIM('Smart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IF('Project Database'!A284="","",N('Project Database'!AC284))</f>
        <v/>
      </c>
      <c r="BK280" s="5">
        <f>IF('Project Database'!A284="","",N('Project Database'!AD284))</f>
        <v/>
      </c>
      <c r="BL280" s="5">
        <f>IF('Project Database'!A284="","",N('Project Database'!AE284))</f>
        <v/>
      </c>
      <c r="BM280" s="5">
        <f>IF('Project Database'!A284="","",N('Project Database'!AF284))</f>
        <v/>
      </c>
      <c r="BN280" s="5">
        <f>IF('Project Database'!A284="","",N('Project Database'!AG284))</f>
        <v/>
      </c>
      <c r="BO280" s="5">
        <f>IF('Project Database'!A284="","",N('Project Database'!AH284))</f>
        <v/>
      </c>
      <c r="BP280" s="5">
        <f>IF('Project Database'!A284="","",N('Project Database'!AI284))</f>
        <v/>
      </c>
      <c r="BQ280" s="5">
        <f>IF('Project Database'!A284="","",N('Project Database'!AJ284))</f>
        <v/>
      </c>
      <c r="BR280" s="5">
        <f>IF('Project Database'!A284="","",N('Project Database'!AK284))</f>
        <v/>
      </c>
      <c r="BS280" s="5">
        <f>IF('Project Database'!A284="","",N('Project Database'!AL284))</f>
        <v/>
      </c>
      <c r="BT280" s="5">
        <f>IF('Project Database'!A284="","",N('Project Database'!AM284))</f>
        <v/>
      </c>
      <c r="BU280" s="5">
        <f>IF('Project Database'!A284="","",N('Project Database'!AN284))</f>
        <v/>
      </c>
      <c r="BV280" s="5">
        <f>IF('Project Database'!A284="","",N('Project Database'!AO284))</f>
        <v/>
      </c>
      <c r="BW280" s="5">
        <f>IF('Project Database'!A284="","",N('Project Database'!AP284))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</row>
    <row r="281" ht="15" customHeight="1" s="74">
      <c r="A281" s="66">
        <f>'Project Database'!A285</f>
        <v/>
      </c>
      <c r="B281" s="66">
        <f>'Project Database'!B285</f>
        <v/>
      </c>
      <c r="C281" s="66">
        <f>'Project Database'!G285</f>
        <v/>
      </c>
      <c r="D281" s="66">
        <f>'Project Database'!H285</f>
        <v/>
      </c>
      <c r="E281" s="66">
        <f>'Project Database'!I285</f>
        <v/>
      </c>
      <c r="F281" s="66">
        <f>'Project Database'!J285</f>
        <v/>
      </c>
      <c r="G281" s="66">
        <f>'Project Database'!K285</f>
        <v/>
      </c>
      <c r="H281" s="66">
        <f>'Project Database'!L285</f>
        <v/>
      </c>
      <c r="I281" s="66">
        <f>'Project Database'!M285</f>
        <v/>
      </c>
      <c r="J281" s="66">
        <f>'Project Database'!N285</f>
        <v/>
      </c>
      <c r="K281" s="66">
        <f>'Project Database'!O285</f>
        <v/>
      </c>
      <c r="L281" s="66">
        <f>'Project Database'!P285</f>
        <v/>
      </c>
      <c r="M281" s="66">
        <f>'Project Database'!Q285</f>
        <v/>
      </c>
      <c r="N281" s="66">
        <f>'Project Database'!R285</f>
        <v/>
      </c>
      <c r="O281" s="66">
        <f>'Project Database'!S285</f>
        <v/>
      </c>
      <c r="P281" s="66">
        <f>'Project Database'!T285</f>
        <v/>
      </c>
      <c r="Q281" s="66">
        <f>'Project Database'!U285</f>
        <v/>
      </c>
      <c r="R281" s="66">
        <f>'Project Database'!V285</f>
        <v/>
      </c>
      <c r="S281" s="66">
        <f>'Project Database'!W285</f>
        <v/>
      </c>
      <c r="T281" s="66">
        <f>'Project Database'!X285</f>
        <v/>
      </c>
      <c r="U281" s="67">
        <f>'Project Database'!Y285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'Project Database'!Z285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IF(AND('Project Database'!A285&lt;&gt;"",OR('Smart Search'!$L$5="",'Smart Search'!$L$5="All",TRIM('Project Database'!D285)=TRIM('Smart Search'!$L$5)),OR(TRIM('Smart Search'!$L$6)="",TRIM('Smart Search'!$L$6)="All",ISNUMBER(SEARCH(SUBSTITUTE(SUBSTITUTE(SUBSTITUTE(TRIM('Smart Search'!$L$6),"~","~~"),"*","~*"),"?","~?"),'Project Database'!C285))),OR('Smart Search'!$L$7="",AND('Project Database'!E285&lt;&gt;"",'Project Database'!E285='Smart Search'!$L$7)),OR('Smart Search'!$L$8="",'Smart Search'!$L$8="All",TRIM('Project Database'!F285)=TRIM('Smart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IF('Project Database'!A285="","",N('Project Database'!AC285))</f>
        <v/>
      </c>
      <c r="BK281" s="5">
        <f>IF('Project Database'!A285="","",N('Project Database'!AD285))</f>
        <v/>
      </c>
      <c r="BL281" s="5">
        <f>IF('Project Database'!A285="","",N('Project Database'!AE285))</f>
        <v/>
      </c>
      <c r="BM281" s="5">
        <f>IF('Project Database'!A285="","",N('Project Database'!AF285))</f>
        <v/>
      </c>
      <c r="BN281" s="5">
        <f>IF('Project Database'!A285="","",N('Project Database'!AG285))</f>
        <v/>
      </c>
      <c r="BO281" s="5">
        <f>IF('Project Database'!A285="","",N('Project Database'!AH285))</f>
        <v/>
      </c>
      <c r="BP281" s="5">
        <f>IF('Project Database'!A285="","",N('Project Database'!AI285))</f>
        <v/>
      </c>
      <c r="BQ281" s="5">
        <f>IF('Project Database'!A285="","",N('Project Database'!AJ285))</f>
        <v/>
      </c>
      <c r="BR281" s="5">
        <f>IF('Project Database'!A285="","",N('Project Database'!AK285))</f>
        <v/>
      </c>
      <c r="BS281" s="5">
        <f>IF('Project Database'!A285="","",N('Project Database'!AL285))</f>
        <v/>
      </c>
      <c r="BT281" s="5">
        <f>IF('Project Database'!A285="","",N('Project Database'!AM285))</f>
        <v/>
      </c>
      <c r="BU281" s="5">
        <f>IF('Project Database'!A285="","",N('Project Database'!AN285))</f>
        <v/>
      </c>
      <c r="BV281" s="5">
        <f>IF('Project Database'!A285="","",N('Project Database'!AO285))</f>
        <v/>
      </c>
      <c r="BW281" s="5">
        <f>IF('Project Database'!A285="","",N('Project Database'!AP285))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</row>
    <row r="282" ht="15" customHeight="1" s="74">
      <c r="A282" s="66">
        <f>'Project Database'!A286</f>
        <v/>
      </c>
      <c r="B282" s="66">
        <f>'Project Database'!B286</f>
        <v/>
      </c>
      <c r="C282" s="66">
        <f>'Project Database'!G286</f>
        <v/>
      </c>
      <c r="D282" s="66">
        <f>'Project Database'!H286</f>
        <v/>
      </c>
      <c r="E282" s="66">
        <f>'Project Database'!I286</f>
        <v/>
      </c>
      <c r="F282" s="66">
        <f>'Project Database'!J286</f>
        <v/>
      </c>
      <c r="G282" s="66">
        <f>'Project Database'!K286</f>
        <v/>
      </c>
      <c r="H282" s="66">
        <f>'Project Database'!L286</f>
        <v/>
      </c>
      <c r="I282" s="66">
        <f>'Project Database'!M286</f>
        <v/>
      </c>
      <c r="J282" s="66">
        <f>'Project Database'!N286</f>
        <v/>
      </c>
      <c r="K282" s="66">
        <f>'Project Database'!O286</f>
        <v/>
      </c>
      <c r="L282" s="66">
        <f>'Project Database'!P286</f>
        <v/>
      </c>
      <c r="M282" s="66">
        <f>'Project Database'!Q286</f>
        <v/>
      </c>
      <c r="N282" s="66">
        <f>'Project Database'!R286</f>
        <v/>
      </c>
      <c r="O282" s="66">
        <f>'Project Database'!S286</f>
        <v/>
      </c>
      <c r="P282" s="66">
        <f>'Project Database'!T286</f>
        <v/>
      </c>
      <c r="Q282" s="66">
        <f>'Project Database'!U286</f>
        <v/>
      </c>
      <c r="R282" s="66">
        <f>'Project Database'!V286</f>
        <v/>
      </c>
      <c r="S282" s="66">
        <f>'Project Database'!W286</f>
        <v/>
      </c>
      <c r="T282" s="66">
        <f>'Project Database'!X286</f>
        <v/>
      </c>
      <c r="U282" s="67">
        <f>'Project Database'!Y286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'Project Database'!Z286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IF(AND('Project Database'!A286&lt;&gt;"",OR('Smart Search'!$L$5="",'Smart Search'!$L$5="All",TRIM('Project Database'!D286)=TRIM('Smart Search'!$L$5)),OR(TRIM('Smart Search'!$L$6)="",TRIM('Smart Search'!$L$6)="All",ISNUMBER(SEARCH(SUBSTITUTE(SUBSTITUTE(SUBSTITUTE(TRIM('Smart Search'!$L$6),"~","~~"),"*","~*"),"?","~?"),'Project Database'!C286))),OR('Smart Search'!$L$7="",AND('Project Database'!E286&lt;&gt;"",'Project Database'!E286='Smart Search'!$L$7)),OR('Smart Search'!$L$8="",'Smart Search'!$L$8="All",TRIM('Project Database'!F286)=TRIM('Smart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IF('Project Database'!A286="","",N('Project Database'!AC286))</f>
        <v/>
      </c>
      <c r="BK282" s="5">
        <f>IF('Project Database'!A286="","",N('Project Database'!AD286))</f>
        <v/>
      </c>
      <c r="BL282" s="5">
        <f>IF('Project Database'!A286="","",N('Project Database'!AE286))</f>
        <v/>
      </c>
      <c r="BM282" s="5">
        <f>IF('Project Database'!A286="","",N('Project Database'!AF286))</f>
        <v/>
      </c>
      <c r="BN282" s="5">
        <f>IF('Project Database'!A286="","",N('Project Database'!AG286))</f>
        <v/>
      </c>
      <c r="BO282" s="5">
        <f>IF('Project Database'!A286="","",N('Project Database'!AH286))</f>
        <v/>
      </c>
      <c r="BP282" s="5">
        <f>IF('Project Database'!A286="","",N('Project Database'!AI286))</f>
        <v/>
      </c>
      <c r="BQ282" s="5">
        <f>IF('Project Database'!A286="","",N('Project Database'!AJ286))</f>
        <v/>
      </c>
      <c r="BR282" s="5">
        <f>IF('Project Database'!A286="","",N('Project Database'!AK286))</f>
        <v/>
      </c>
      <c r="BS282" s="5">
        <f>IF('Project Database'!A286="","",N('Project Database'!AL286))</f>
        <v/>
      </c>
      <c r="BT282" s="5">
        <f>IF('Project Database'!A286="","",N('Project Database'!AM286))</f>
        <v/>
      </c>
      <c r="BU282" s="5">
        <f>IF('Project Database'!A286="","",N('Project Database'!AN286))</f>
        <v/>
      </c>
      <c r="BV282" s="5">
        <f>IF('Project Database'!A286="","",N('Project Database'!AO286))</f>
        <v/>
      </c>
      <c r="BW282" s="5">
        <f>IF('Project Database'!A286="","",N('Project Database'!AP286))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</row>
    <row r="283" ht="15" customHeight="1" s="74">
      <c r="A283" s="66">
        <f>'Project Database'!A287</f>
        <v/>
      </c>
      <c r="B283" s="66">
        <f>'Project Database'!B287</f>
        <v/>
      </c>
      <c r="C283" s="66">
        <f>'Project Database'!G287</f>
        <v/>
      </c>
      <c r="D283" s="66">
        <f>'Project Database'!H287</f>
        <v/>
      </c>
      <c r="E283" s="66">
        <f>'Project Database'!I287</f>
        <v/>
      </c>
      <c r="F283" s="66">
        <f>'Project Database'!J287</f>
        <v/>
      </c>
      <c r="G283" s="66">
        <f>'Project Database'!K287</f>
        <v/>
      </c>
      <c r="H283" s="66">
        <f>'Project Database'!L287</f>
        <v/>
      </c>
      <c r="I283" s="66">
        <f>'Project Database'!M287</f>
        <v/>
      </c>
      <c r="J283" s="66">
        <f>'Project Database'!N287</f>
        <v/>
      </c>
      <c r="K283" s="66">
        <f>'Project Database'!O287</f>
        <v/>
      </c>
      <c r="L283" s="66">
        <f>'Project Database'!P287</f>
        <v/>
      </c>
      <c r="M283" s="66">
        <f>'Project Database'!Q287</f>
        <v/>
      </c>
      <c r="N283" s="66">
        <f>'Project Database'!R287</f>
        <v/>
      </c>
      <c r="O283" s="66">
        <f>'Project Database'!S287</f>
        <v/>
      </c>
      <c r="P283" s="66">
        <f>'Project Database'!T287</f>
        <v/>
      </c>
      <c r="Q283" s="66">
        <f>'Project Database'!U287</f>
        <v/>
      </c>
      <c r="R283" s="66">
        <f>'Project Database'!V287</f>
        <v/>
      </c>
      <c r="S283" s="66">
        <f>'Project Database'!W287</f>
        <v/>
      </c>
      <c r="T283" s="66">
        <f>'Project Database'!X287</f>
        <v/>
      </c>
      <c r="U283" s="67">
        <f>'Project Database'!Y287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'Project Database'!Z287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IF(AND('Project Database'!A287&lt;&gt;"",OR('Smart Search'!$L$5="",'Smart Search'!$L$5="All",TRIM('Project Database'!D287)=TRIM('Smart Search'!$L$5)),OR(TRIM('Smart Search'!$L$6)="",TRIM('Smart Search'!$L$6)="All",ISNUMBER(SEARCH(SUBSTITUTE(SUBSTITUTE(SUBSTITUTE(TRIM('Smart Search'!$L$6),"~","~~"),"*","~*"),"?","~?"),'Project Database'!C287))),OR('Smart Search'!$L$7="",AND('Project Database'!E287&lt;&gt;"",'Project Database'!E287='Smart Search'!$L$7)),OR('Smart Search'!$L$8="",'Smart Search'!$L$8="All",TRIM('Project Database'!F287)=TRIM('Smart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IF('Project Database'!A287="","",N('Project Database'!AC287))</f>
        <v/>
      </c>
      <c r="BK283" s="5">
        <f>IF('Project Database'!A287="","",N('Project Database'!AD287))</f>
        <v/>
      </c>
      <c r="BL283" s="5">
        <f>IF('Project Database'!A287="","",N('Project Database'!AE287))</f>
        <v/>
      </c>
      <c r="BM283" s="5">
        <f>IF('Project Database'!A287="","",N('Project Database'!AF287))</f>
        <v/>
      </c>
      <c r="BN283" s="5">
        <f>IF('Project Database'!A287="","",N('Project Database'!AG287))</f>
        <v/>
      </c>
      <c r="BO283" s="5">
        <f>IF('Project Database'!A287="","",N('Project Database'!AH287))</f>
        <v/>
      </c>
      <c r="BP283" s="5">
        <f>IF('Project Database'!A287="","",N('Project Database'!AI287))</f>
        <v/>
      </c>
      <c r="BQ283" s="5">
        <f>IF('Project Database'!A287="","",N('Project Database'!AJ287))</f>
        <v/>
      </c>
      <c r="BR283" s="5">
        <f>IF('Project Database'!A287="","",N('Project Database'!AK287))</f>
        <v/>
      </c>
      <c r="BS283" s="5">
        <f>IF('Project Database'!A287="","",N('Project Database'!AL287))</f>
        <v/>
      </c>
      <c r="BT283" s="5">
        <f>IF('Project Database'!A287="","",N('Project Database'!AM287))</f>
        <v/>
      </c>
      <c r="BU283" s="5">
        <f>IF('Project Database'!A287="","",N('Project Database'!AN287))</f>
        <v/>
      </c>
      <c r="BV283" s="5">
        <f>IF('Project Database'!A287="","",N('Project Database'!AO287))</f>
        <v/>
      </c>
      <c r="BW283" s="5">
        <f>IF('Project Database'!A287="","",N('Project Database'!AP287))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</row>
    <row r="284" ht="15" customHeight="1" s="74">
      <c r="A284" s="66">
        <f>'Project Database'!A288</f>
        <v/>
      </c>
      <c r="B284" s="66">
        <f>'Project Database'!B288</f>
        <v/>
      </c>
      <c r="C284" s="66">
        <f>'Project Database'!G288</f>
        <v/>
      </c>
      <c r="D284" s="66">
        <f>'Project Database'!H288</f>
        <v/>
      </c>
      <c r="E284" s="66">
        <f>'Project Database'!I288</f>
        <v/>
      </c>
      <c r="F284" s="66">
        <f>'Project Database'!J288</f>
        <v/>
      </c>
      <c r="G284" s="66">
        <f>'Project Database'!K288</f>
        <v/>
      </c>
      <c r="H284" s="66">
        <f>'Project Database'!L288</f>
        <v/>
      </c>
      <c r="I284" s="66">
        <f>'Project Database'!M288</f>
        <v/>
      </c>
      <c r="J284" s="66">
        <f>'Project Database'!N288</f>
        <v/>
      </c>
      <c r="K284" s="66">
        <f>'Project Database'!O288</f>
        <v/>
      </c>
      <c r="L284" s="66">
        <f>'Project Database'!P288</f>
        <v/>
      </c>
      <c r="M284" s="66">
        <f>'Project Database'!Q288</f>
        <v/>
      </c>
      <c r="N284" s="66">
        <f>'Project Database'!R288</f>
        <v/>
      </c>
      <c r="O284" s="66">
        <f>'Project Database'!S288</f>
        <v/>
      </c>
      <c r="P284" s="66">
        <f>'Project Database'!T288</f>
        <v/>
      </c>
      <c r="Q284" s="66">
        <f>'Project Database'!U288</f>
        <v/>
      </c>
      <c r="R284" s="66">
        <f>'Project Database'!V288</f>
        <v/>
      </c>
      <c r="S284" s="66">
        <f>'Project Database'!W288</f>
        <v/>
      </c>
      <c r="T284" s="66">
        <f>'Project Database'!X288</f>
        <v/>
      </c>
      <c r="U284" s="67">
        <f>'Project Database'!Y288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'Project Database'!Z288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IF(AND('Project Database'!A288&lt;&gt;"",OR('Smart Search'!$L$5="",'Smart Search'!$L$5="All",TRIM('Project Database'!D288)=TRIM('Smart Search'!$L$5)),OR(TRIM('Smart Search'!$L$6)="",TRIM('Smart Search'!$L$6)="All",ISNUMBER(SEARCH(SUBSTITUTE(SUBSTITUTE(SUBSTITUTE(TRIM('Smart Search'!$L$6),"~","~~"),"*","~*"),"?","~?"),'Project Database'!C288))),OR('Smart Search'!$L$7="",AND('Project Database'!E288&lt;&gt;"",'Project Database'!E288='Smart Search'!$L$7)),OR('Smart Search'!$L$8="",'Smart Search'!$L$8="All",TRIM('Project Database'!F288)=TRIM('Smart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IF('Project Database'!A288="","",N('Project Database'!AC288))</f>
        <v/>
      </c>
      <c r="BK284" s="5">
        <f>IF('Project Database'!A288="","",N('Project Database'!AD288))</f>
        <v/>
      </c>
      <c r="BL284" s="5">
        <f>IF('Project Database'!A288="","",N('Project Database'!AE288))</f>
        <v/>
      </c>
      <c r="BM284" s="5">
        <f>IF('Project Database'!A288="","",N('Project Database'!AF288))</f>
        <v/>
      </c>
      <c r="BN284" s="5">
        <f>IF('Project Database'!A288="","",N('Project Database'!AG288))</f>
        <v/>
      </c>
      <c r="BO284" s="5">
        <f>IF('Project Database'!A288="","",N('Project Database'!AH288))</f>
        <v/>
      </c>
      <c r="BP284" s="5">
        <f>IF('Project Database'!A288="","",N('Project Database'!AI288))</f>
        <v/>
      </c>
      <c r="BQ284" s="5">
        <f>IF('Project Database'!A288="","",N('Project Database'!AJ288))</f>
        <v/>
      </c>
      <c r="BR284" s="5">
        <f>IF('Project Database'!A288="","",N('Project Database'!AK288))</f>
        <v/>
      </c>
      <c r="BS284" s="5">
        <f>IF('Project Database'!A288="","",N('Project Database'!AL288))</f>
        <v/>
      </c>
      <c r="BT284" s="5">
        <f>IF('Project Database'!A288="","",N('Project Database'!AM288))</f>
        <v/>
      </c>
      <c r="BU284" s="5">
        <f>IF('Project Database'!A288="","",N('Project Database'!AN288))</f>
        <v/>
      </c>
      <c r="BV284" s="5">
        <f>IF('Project Database'!A288="","",N('Project Database'!AO288))</f>
        <v/>
      </c>
      <c r="BW284" s="5">
        <f>IF('Project Database'!A288="","",N('Project Database'!AP288))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</row>
    <row r="285" ht="15" customHeight="1" s="74">
      <c r="A285" s="66">
        <f>'Project Database'!A289</f>
        <v/>
      </c>
      <c r="B285" s="66">
        <f>'Project Database'!B289</f>
        <v/>
      </c>
      <c r="C285" s="66">
        <f>'Project Database'!G289</f>
        <v/>
      </c>
      <c r="D285" s="66">
        <f>'Project Database'!H289</f>
        <v/>
      </c>
      <c r="E285" s="66">
        <f>'Project Database'!I289</f>
        <v/>
      </c>
      <c r="F285" s="66">
        <f>'Project Database'!J289</f>
        <v/>
      </c>
      <c r="G285" s="66">
        <f>'Project Database'!K289</f>
        <v/>
      </c>
      <c r="H285" s="66">
        <f>'Project Database'!L289</f>
        <v/>
      </c>
      <c r="I285" s="66">
        <f>'Project Database'!M289</f>
        <v/>
      </c>
      <c r="J285" s="66">
        <f>'Project Database'!N289</f>
        <v/>
      </c>
      <c r="K285" s="66">
        <f>'Project Database'!O289</f>
        <v/>
      </c>
      <c r="L285" s="66">
        <f>'Project Database'!P289</f>
        <v/>
      </c>
      <c r="M285" s="66">
        <f>'Project Database'!Q289</f>
        <v/>
      </c>
      <c r="N285" s="66">
        <f>'Project Database'!R289</f>
        <v/>
      </c>
      <c r="O285" s="66">
        <f>'Project Database'!S289</f>
        <v/>
      </c>
      <c r="P285" s="66">
        <f>'Project Database'!T289</f>
        <v/>
      </c>
      <c r="Q285" s="66">
        <f>'Project Database'!U289</f>
        <v/>
      </c>
      <c r="R285" s="66">
        <f>'Project Database'!V289</f>
        <v/>
      </c>
      <c r="S285" s="66">
        <f>'Project Database'!W289</f>
        <v/>
      </c>
      <c r="T285" s="66">
        <f>'Project Database'!X289</f>
        <v/>
      </c>
      <c r="U285" s="67">
        <f>'Project Database'!Y289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'Project Database'!Z289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IF(AND('Project Database'!A289&lt;&gt;"",OR('Smart Search'!$L$5="",'Smart Search'!$L$5="All",TRIM('Project Database'!D289)=TRIM('Smart Search'!$L$5)),OR(TRIM('Smart Search'!$L$6)="",TRIM('Smart Search'!$L$6)="All",ISNUMBER(SEARCH(SUBSTITUTE(SUBSTITUTE(SUBSTITUTE(TRIM('Smart Search'!$L$6),"~","~~"),"*","~*"),"?","~?"),'Project Database'!C289))),OR('Smart Search'!$L$7="",AND('Project Database'!E289&lt;&gt;"",'Project Database'!E289='Smart Search'!$L$7)),OR('Smart Search'!$L$8="",'Smart Search'!$L$8="All",TRIM('Project Database'!F289)=TRIM('Smart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IF('Project Database'!A289="","",N('Project Database'!AC289))</f>
        <v/>
      </c>
      <c r="BK285" s="5">
        <f>IF('Project Database'!A289="","",N('Project Database'!AD289))</f>
        <v/>
      </c>
      <c r="BL285" s="5">
        <f>IF('Project Database'!A289="","",N('Project Database'!AE289))</f>
        <v/>
      </c>
      <c r="BM285" s="5">
        <f>IF('Project Database'!A289="","",N('Project Database'!AF289))</f>
        <v/>
      </c>
      <c r="BN285" s="5">
        <f>IF('Project Database'!A289="","",N('Project Database'!AG289))</f>
        <v/>
      </c>
      <c r="BO285" s="5">
        <f>IF('Project Database'!A289="","",N('Project Database'!AH289))</f>
        <v/>
      </c>
      <c r="BP285" s="5">
        <f>IF('Project Database'!A289="","",N('Project Database'!AI289))</f>
        <v/>
      </c>
      <c r="BQ285" s="5">
        <f>IF('Project Database'!A289="","",N('Project Database'!AJ289))</f>
        <v/>
      </c>
      <c r="BR285" s="5">
        <f>IF('Project Database'!A289="","",N('Project Database'!AK289))</f>
        <v/>
      </c>
      <c r="BS285" s="5">
        <f>IF('Project Database'!A289="","",N('Project Database'!AL289))</f>
        <v/>
      </c>
      <c r="BT285" s="5">
        <f>IF('Project Database'!A289="","",N('Project Database'!AM289))</f>
        <v/>
      </c>
      <c r="BU285" s="5">
        <f>IF('Project Database'!A289="","",N('Project Database'!AN289))</f>
        <v/>
      </c>
      <c r="BV285" s="5">
        <f>IF('Project Database'!A289="","",N('Project Database'!AO289))</f>
        <v/>
      </c>
      <c r="BW285" s="5">
        <f>IF('Project Database'!A289="","",N('Project Database'!AP289))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</row>
    <row r="286" ht="15" customHeight="1" s="74">
      <c r="A286" s="66">
        <f>'Project Database'!A290</f>
        <v/>
      </c>
      <c r="B286" s="66">
        <f>'Project Database'!B290</f>
        <v/>
      </c>
      <c r="C286" s="66">
        <f>'Project Database'!G290</f>
        <v/>
      </c>
      <c r="D286" s="66">
        <f>'Project Database'!H290</f>
        <v/>
      </c>
      <c r="E286" s="66">
        <f>'Project Database'!I290</f>
        <v/>
      </c>
      <c r="F286" s="66">
        <f>'Project Database'!J290</f>
        <v/>
      </c>
      <c r="G286" s="66">
        <f>'Project Database'!K290</f>
        <v/>
      </c>
      <c r="H286" s="66">
        <f>'Project Database'!L290</f>
        <v/>
      </c>
      <c r="I286" s="66">
        <f>'Project Database'!M290</f>
        <v/>
      </c>
      <c r="J286" s="66">
        <f>'Project Database'!N290</f>
        <v/>
      </c>
      <c r="K286" s="66">
        <f>'Project Database'!O290</f>
        <v/>
      </c>
      <c r="L286" s="66">
        <f>'Project Database'!P290</f>
        <v/>
      </c>
      <c r="M286" s="66">
        <f>'Project Database'!Q290</f>
        <v/>
      </c>
      <c r="N286" s="66">
        <f>'Project Database'!R290</f>
        <v/>
      </c>
      <c r="O286" s="66">
        <f>'Project Database'!S290</f>
        <v/>
      </c>
      <c r="P286" s="66">
        <f>'Project Database'!T290</f>
        <v/>
      </c>
      <c r="Q286" s="66">
        <f>'Project Database'!U290</f>
        <v/>
      </c>
      <c r="R286" s="66">
        <f>'Project Database'!V290</f>
        <v/>
      </c>
      <c r="S286" s="66">
        <f>'Project Database'!W290</f>
        <v/>
      </c>
      <c r="T286" s="66">
        <f>'Project Database'!X290</f>
        <v/>
      </c>
      <c r="U286" s="67">
        <f>'Project Database'!Y290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'Project Database'!Z290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IF(AND('Project Database'!A290&lt;&gt;"",OR('Smart Search'!$L$5="",'Smart Search'!$L$5="All",TRIM('Project Database'!D290)=TRIM('Smart Search'!$L$5)),OR(TRIM('Smart Search'!$L$6)="",TRIM('Smart Search'!$L$6)="All",ISNUMBER(SEARCH(SUBSTITUTE(SUBSTITUTE(SUBSTITUTE(TRIM('Smart Search'!$L$6),"~","~~"),"*","~*"),"?","~?"),'Project Database'!C290))),OR('Smart Search'!$L$7="",AND('Project Database'!E290&lt;&gt;"",'Project Database'!E290='Smart Search'!$L$7)),OR('Smart Search'!$L$8="",'Smart Search'!$L$8="All",TRIM('Project Database'!F290)=TRIM('Smart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IF('Project Database'!A290="","",N('Project Database'!AC290))</f>
        <v/>
      </c>
      <c r="BK286" s="5">
        <f>IF('Project Database'!A290="","",N('Project Database'!AD290))</f>
        <v/>
      </c>
      <c r="BL286" s="5">
        <f>IF('Project Database'!A290="","",N('Project Database'!AE290))</f>
        <v/>
      </c>
      <c r="BM286" s="5">
        <f>IF('Project Database'!A290="","",N('Project Database'!AF290))</f>
        <v/>
      </c>
      <c r="BN286" s="5">
        <f>IF('Project Database'!A290="","",N('Project Database'!AG290))</f>
        <v/>
      </c>
      <c r="BO286" s="5">
        <f>IF('Project Database'!A290="","",N('Project Database'!AH290))</f>
        <v/>
      </c>
      <c r="BP286" s="5">
        <f>IF('Project Database'!A290="","",N('Project Database'!AI290))</f>
        <v/>
      </c>
      <c r="BQ286" s="5">
        <f>IF('Project Database'!A290="","",N('Project Database'!AJ290))</f>
        <v/>
      </c>
      <c r="BR286" s="5">
        <f>IF('Project Database'!A290="","",N('Project Database'!AK290))</f>
        <v/>
      </c>
      <c r="BS286" s="5">
        <f>IF('Project Database'!A290="","",N('Project Database'!AL290))</f>
        <v/>
      </c>
      <c r="BT286" s="5">
        <f>IF('Project Database'!A290="","",N('Project Database'!AM290))</f>
        <v/>
      </c>
      <c r="BU286" s="5">
        <f>IF('Project Database'!A290="","",N('Project Database'!AN290))</f>
        <v/>
      </c>
      <c r="BV286" s="5">
        <f>IF('Project Database'!A290="","",N('Project Database'!AO290))</f>
        <v/>
      </c>
      <c r="BW286" s="5">
        <f>IF('Project Database'!A290="","",N('Project Database'!AP290))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</row>
    <row r="287" ht="15" customHeight="1" s="74">
      <c r="A287" s="66">
        <f>'Project Database'!A291</f>
        <v/>
      </c>
      <c r="B287" s="66">
        <f>'Project Database'!B291</f>
        <v/>
      </c>
      <c r="C287" s="66">
        <f>'Project Database'!G291</f>
        <v/>
      </c>
      <c r="D287" s="66">
        <f>'Project Database'!H291</f>
        <v/>
      </c>
      <c r="E287" s="66">
        <f>'Project Database'!I291</f>
        <v/>
      </c>
      <c r="F287" s="66">
        <f>'Project Database'!J291</f>
        <v/>
      </c>
      <c r="G287" s="66">
        <f>'Project Database'!K291</f>
        <v/>
      </c>
      <c r="H287" s="66">
        <f>'Project Database'!L291</f>
        <v/>
      </c>
      <c r="I287" s="66">
        <f>'Project Database'!M291</f>
        <v/>
      </c>
      <c r="J287" s="66">
        <f>'Project Database'!N291</f>
        <v/>
      </c>
      <c r="K287" s="66">
        <f>'Project Database'!O291</f>
        <v/>
      </c>
      <c r="L287" s="66">
        <f>'Project Database'!P291</f>
        <v/>
      </c>
      <c r="M287" s="66">
        <f>'Project Database'!Q291</f>
        <v/>
      </c>
      <c r="N287" s="66">
        <f>'Project Database'!R291</f>
        <v/>
      </c>
      <c r="O287" s="66">
        <f>'Project Database'!S291</f>
        <v/>
      </c>
      <c r="P287" s="66">
        <f>'Project Database'!T291</f>
        <v/>
      </c>
      <c r="Q287" s="66">
        <f>'Project Database'!U291</f>
        <v/>
      </c>
      <c r="R287" s="66">
        <f>'Project Database'!V291</f>
        <v/>
      </c>
      <c r="S287" s="66">
        <f>'Project Database'!W291</f>
        <v/>
      </c>
      <c r="T287" s="66">
        <f>'Project Database'!X291</f>
        <v/>
      </c>
      <c r="U287" s="67">
        <f>'Project Database'!Y291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'Project Database'!Z291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IF(AND('Project Database'!A291&lt;&gt;"",OR('Smart Search'!$L$5="",'Smart Search'!$L$5="All",TRIM('Project Database'!D291)=TRIM('Smart Search'!$L$5)),OR(TRIM('Smart Search'!$L$6)="",TRIM('Smart Search'!$L$6)="All",ISNUMBER(SEARCH(SUBSTITUTE(SUBSTITUTE(SUBSTITUTE(TRIM('Smart Search'!$L$6),"~","~~"),"*","~*"),"?","~?"),'Project Database'!C291))),OR('Smart Search'!$L$7="",AND('Project Database'!E291&lt;&gt;"",'Project Database'!E291='Smart Search'!$L$7)),OR('Smart Search'!$L$8="",'Smart Search'!$L$8="All",TRIM('Project Database'!F291)=TRIM('Smart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IF('Project Database'!A291="","",N('Project Database'!AC291))</f>
        <v/>
      </c>
      <c r="BK287" s="5">
        <f>IF('Project Database'!A291="","",N('Project Database'!AD291))</f>
        <v/>
      </c>
      <c r="BL287" s="5">
        <f>IF('Project Database'!A291="","",N('Project Database'!AE291))</f>
        <v/>
      </c>
      <c r="BM287" s="5">
        <f>IF('Project Database'!A291="","",N('Project Database'!AF291))</f>
        <v/>
      </c>
      <c r="BN287" s="5">
        <f>IF('Project Database'!A291="","",N('Project Database'!AG291))</f>
        <v/>
      </c>
      <c r="BO287" s="5">
        <f>IF('Project Database'!A291="","",N('Project Database'!AH291))</f>
        <v/>
      </c>
      <c r="BP287" s="5">
        <f>IF('Project Database'!A291="","",N('Project Database'!AI291))</f>
        <v/>
      </c>
      <c r="BQ287" s="5">
        <f>IF('Project Database'!A291="","",N('Project Database'!AJ291))</f>
        <v/>
      </c>
      <c r="BR287" s="5">
        <f>IF('Project Database'!A291="","",N('Project Database'!AK291))</f>
        <v/>
      </c>
      <c r="BS287" s="5">
        <f>IF('Project Database'!A291="","",N('Project Database'!AL291))</f>
        <v/>
      </c>
      <c r="BT287" s="5">
        <f>IF('Project Database'!A291="","",N('Project Database'!AM291))</f>
        <v/>
      </c>
      <c r="BU287" s="5">
        <f>IF('Project Database'!A291="","",N('Project Database'!AN291))</f>
        <v/>
      </c>
      <c r="BV287" s="5">
        <f>IF('Project Database'!A291="","",N('Project Database'!AO291))</f>
        <v/>
      </c>
      <c r="BW287" s="5">
        <f>IF('Project Database'!A291="","",N('Project Database'!AP291))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</row>
    <row r="288" ht="15" customHeight="1" s="74">
      <c r="A288" s="66">
        <f>'Project Database'!A292</f>
        <v/>
      </c>
      <c r="B288" s="66">
        <f>'Project Database'!B292</f>
        <v/>
      </c>
      <c r="C288" s="66">
        <f>'Project Database'!G292</f>
        <v/>
      </c>
      <c r="D288" s="66">
        <f>'Project Database'!H292</f>
        <v/>
      </c>
      <c r="E288" s="66">
        <f>'Project Database'!I292</f>
        <v/>
      </c>
      <c r="F288" s="66">
        <f>'Project Database'!J292</f>
        <v/>
      </c>
      <c r="G288" s="66">
        <f>'Project Database'!K292</f>
        <v/>
      </c>
      <c r="H288" s="66">
        <f>'Project Database'!L292</f>
        <v/>
      </c>
      <c r="I288" s="66">
        <f>'Project Database'!M292</f>
        <v/>
      </c>
      <c r="J288" s="66">
        <f>'Project Database'!N292</f>
        <v/>
      </c>
      <c r="K288" s="66">
        <f>'Project Database'!O292</f>
        <v/>
      </c>
      <c r="L288" s="66">
        <f>'Project Database'!P292</f>
        <v/>
      </c>
      <c r="M288" s="66">
        <f>'Project Database'!Q292</f>
        <v/>
      </c>
      <c r="N288" s="66">
        <f>'Project Database'!R292</f>
        <v/>
      </c>
      <c r="O288" s="66">
        <f>'Project Database'!S292</f>
        <v/>
      </c>
      <c r="P288" s="66">
        <f>'Project Database'!T292</f>
        <v/>
      </c>
      <c r="Q288" s="66">
        <f>'Project Database'!U292</f>
        <v/>
      </c>
      <c r="R288" s="66">
        <f>'Project Database'!V292</f>
        <v/>
      </c>
      <c r="S288" s="66">
        <f>'Project Database'!W292</f>
        <v/>
      </c>
      <c r="T288" s="66">
        <f>'Project Database'!X292</f>
        <v/>
      </c>
      <c r="U288" s="67">
        <f>'Project Database'!Y292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'Project Database'!Z292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IF(AND('Project Database'!A292&lt;&gt;"",OR('Smart Search'!$L$5="",'Smart Search'!$L$5="All",TRIM('Project Database'!D292)=TRIM('Smart Search'!$L$5)),OR(TRIM('Smart Search'!$L$6)="",TRIM('Smart Search'!$L$6)="All",ISNUMBER(SEARCH(SUBSTITUTE(SUBSTITUTE(SUBSTITUTE(TRIM('Smart Search'!$L$6),"~","~~"),"*","~*"),"?","~?"),'Project Database'!C292))),OR('Smart Search'!$L$7="",AND('Project Database'!E292&lt;&gt;"",'Project Database'!E292='Smart Search'!$L$7)),OR('Smart Search'!$L$8="",'Smart Search'!$L$8="All",TRIM('Project Database'!F292)=TRIM('Smart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IF('Project Database'!A292="","",N('Project Database'!AC292))</f>
        <v/>
      </c>
      <c r="BK288" s="5">
        <f>IF('Project Database'!A292="","",N('Project Database'!AD292))</f>
        <v/>
      </c>
      <c r="BL288" s="5">
        <f>IF('Project Database'!A292="","",N('Project Database'!AE292))</f>
        <v/>
      </c>
      <c r="BM288" s="5">
        <f>IF('Project Database'!A292="","",N('Project Database'!AF292))</f>
        <v/>
      </c>
      <c r="BN288" s="5">
        <f>IF('Project Database'!A292="","",N('Project Database'!AG292))</f>
        <v/>
      </c>
      <c r="BO288" s="5">
        <f>IF('Project Database'!A292="","",N('Project Database'!AH292))</f>
        <v/>
      </c>
      <c r="BP288" s="5">
        <f>IF('Project Database'!A292="","",N('Project Database'!AI292))</f>
        <v/>
      </c>
      <c r="BQ288" s="5">
        <f>IF('Project Database'!A292="","",N('Project Database'!AJ292))</f>
        <v/>
      </c>
      <c r="BR288" s="5">
        <f>IF('Project Database'!A292="","",N('Project Database'!AK292))</f>
        <v/>
      </c>
      <c r="BS288" s="5">
        <f>IF('Project Database'!A292="","",N('Project Database'!AL292))</f>
        <v/>
      </c>
      <c r="BT288" s="5">
        <f>IF('Project Database'!A292="","",N('Project Database'!AM292))</f>
        <v/>
      </c>
      <c r="BU288" s="5">
        <f>IF('Project Database'!A292="","",N('Project Database'!AN292))</f>
        <v/>
      </c>
      <c r="BV288" s="5">
        <f>IF('Project Database'!A292="","",N('Project Database'!AO292))</f>
        <v/>
      </c>
      <c r="BW288" s="5">
        <f>IF('Project Database'!A292="","",N('Project Database'!AP292))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</row>
    <row r="289" ht="15" customHeight="1" s="74">
      <c r="A289" s="66">
        <f>'Project Database'!A293</f>
        <v/>
      </c>
      <c r="B289" s="66">
        <f>'Project Database'!B293</f>
        <v/>
      </c>
      <c r="C289" s="66">
        <f>'Project Database'!G293</f>
        <v/>
      </c>
      <c r="D289" s="66">
        <f>'Project Database'!H293</f>
        <v/>
      </c>
      <c r="E289" s="66">
        <f>'Project Database'!I293</f>
        <v/>
      </c>
      <c r="F289" s="66">
        <f>'Project Database'!J293</f>
        <v/>
      </c>
      <c r="G289" s="66">
        <f>'Project Database'!K293</f>
        <v/>
      </c>
      <c r="H289" s="66">
        <f>'Project Database'!L293</f>
        <v/>
      </c>
      <c r="I289" s="66">
        <f>'Project Database'!M293</f>
        <v/>
      </c>
      <c r="J289" s="66">
        <f>'Project Database'!N293</f>
        <v/>
      </c>
      <c r="K289" s="66">
        <f>'Project Database'!O293</f>
        <v/>
      </c>
      <c r="L289" s="66">
        <f>'Project Database'!P293</f>
        <v/>
      </c>
      <c r="M289" s="66">
        <f>'Project Database'!Q293</f>
        <v/>
      </c>
      <c r="N289" s="66">
        <f>'Project Database'!R293</f>
        <v/>
      </c>
      <c r="O289" s="66">
        <f>'Project Database'!S293</f>
        <v/>
      </c>
      <c r="P289" s="66">
        <f>'Project Database'!T293</f>
        <v/>
      </c>
      <c r="Q289" s="66">
        <f>'Project Database'!U293</f>
        <v/>
      </c>
      <c r="R289" s="66">
        <f>'Project Database'!V293</f>
        <v/>
      </c>
      <c r="S289" s="66">
        <f>'Project Database'!W293</f>
        <v/>
      </c>
      <c r="T289" s="66">
        <f>'Project Database'!X293</f>
        <v/>
      </c>
      <c r="U289" s="67">
        <f>'Project Database'!Y293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'Project Database'!Z293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IF(AND('Project Database'!A293&lt;&gt;"",OR('Smart Search'!$L$5="",'Smart Search'!$L$5="All",TRIM('Project Database'!D293)=TRIM('Smart Search'!$L$5)),OR(TRIM('Smart Search'!$L$6)="",TRIM('Smart Search'!$L$6)="All",ISNUMBER(SEARCH(SUBSTITUTE(SUBSTITUTE(SUBSTITUTE(TRIM('Smart Search'!$L$6),"~","~~"),"*","~*"),"?","~?"),'Project Database'!C293))),OR('Smart Search'!$L$7="",AND('Project Database'!E293&lt;&gt;"",'Project Database'!E293='Smart Search'!$L$7)),OR('Smart Search'!$L$8="",'Smart Search'!$L$8="All",TRIM('Project Database'!F293)=TRIM('Smart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IF('Project Database'!A293="","",N('Project Database'!AC293))</f>
        <v/>
      </c>
      <c r="BK289" s="5">
        <f>IF('Project Database'!A293="","",N('Project Database'!AD293))</f>
        <v/>
      </c>
      <c r="BL289" s="5">
        <f>IF('Project Database'!A293="","",N('Project Database'!AE293))</f>
        <v/>
      </c>
      <c r="BM289" s="5">
        <f>IF('Project Database'!A293="","",N('Project Database'!AF293))</f>
        <v/>
      </c>
      <c r="BN289" s="5">
        <f>IF('Project Database'!A293="","",N('Project Database'!AG293))</f>
        <v/>
      </c>
      <c r="BO289" s="5">
        <f>IF('Project Database'!A293="","",N('Project Database'!AH293))</f>
        <v/>
      </c>
      <c r="BP289" s="5">
        <f>IF('Project Database'!A293="","",N('Project Database'!AI293))</f>
        <v/>
      </c>
      <c r="BQ289" s="5">
        <f>IF('Project Database'!A293="","",N('Project Database'!AJ293))</f>
        <v/>
      </c>
      <c r="BR289" s="5">
        <f>IF('Project Database'!A293="","",N('Project Database'!AK293))</f>
        <v/>
      </c>
      <c r="BS289" s="5">
        <f>IF('Project Database'!A293="","",N('Project Database'!AL293))</f>
        <v/>
      </c>
      <c r="BT289" s="5">
        <f>IF('Project Database'!A293="","",N('Project Database'!AM293))</f>
        <v/>
      </c>
      <c r="BU289" s="5">
        <f>IF('Project Database'!A293="","",N('Project Database'!AN293))</f>
        <v/>
      </c>
      <c r="BV289" s="5">
        <f>IF('Project Database'!A293="","",N('Project Database'!AO293))</f>
        <v/>
      </c>
      <c r="BW289" s="5">
        <f>IF('Project Database'!A293="","",N('Project Database'!AP293))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</row>
    <row r="290" ht="15" customHeight="1" s="74">
      <c r="A290" s="66">
        <f>'Project Database'!A294</f>
        <v/>
      </c>
      <c r="B290" s="66">
        <f>'Project Database'!B294</f>
        <v/>
      </c>
      <c r="C290" s="66">
        <f>'Project Database'!G294</f>
        <v/>
      </c>
      <c r="D290" s="66">
        <f>'Project Database'!H294</f>
        <v/>
      </c>
      <c r="E290" s="66">
        <f>'Project Database'!I294</f>
        <v/>
      </c>
      <c r="F290" s="66">
        <f>'Project Database'!J294</f>
        <v/>
      </c>
      <c r="G290" s="66">
        <f>'Project Database'!K294</f>
        <v/>
      </c>
      <c r="H290" s="66">
        <f>'Project Database'!L294</f>
        <v/>
      </c>
      <c r="I290" s="66">
        <f>'Project Database'!M294</f>
        <v/>
      </c>
      <c r="J290" s="66">
        <f>'Project Database'!N294</f>
        <v/>
      </c>
      <c r="K290" s="66">
        <f>'Project Database'!O294</f>
        <v/>
      </c>
      <c r="L290" s="66">
        <f>'Project Database'!P294</f>
        <v/>
      </c>
      <c r="M290" s="66">
        <f>'Project Database'!Q294</f>
        <v/>
      </c>
      <c r="N290" s="66">
        <f>'Project Database'!R294</f>
        <v/>
      </c>
      <c r="O290" s="66">
        <f>'Project Database'!S294</f>
        <v/>
      </c>
      <c r="P290" s="66">
        <f>'Project Database'!T294</f>
        <v/>
      </c>
      <c r="Q290" s="66">
        <f>'Project Database'!U294</f>
        <v/>
      </c>
      <c r="R290" s="66">
        <f>'Project Database'!V294</f>
        <v/>
      </c>
      <c r="S290" s="66">
        <f>'Project Database'!W294</f>
        <v/>
      </c>
      <c r="T290" s="66">
        <f>'Project Database'!X294</f>
        <v/>
      </c>
      <c r="U290" s="67">
        <f>'Project Database'!Y294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'Project Database'!Z294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IF(AND('Project Database'!A294&lt;&gt;"",OR('Smart Search'!$L$5="",'Smart Search'!$L$5="All",TRIM('Project Database'!D294)=TRIM('Smart Search'!$L$5)),OR(TRIM('Smart Search'!$L$6)="",TRIM('Smart Search'!$L$6)="All",ISNUMBER(SEARCH(SUBSTITUTE(SUBSTITUTE(SUBSTITUTE(TRIM('Smart Search'!$L$6),"~","~~"),"*","~*"),"?","~?"),'Project Database'!C294))),OR('Smart Search'!$L$7="",AND('Project Database'!E294&lt;&gt;"",'Project Database'!E294='Smart Search'!$L$7)),OR('Smart Search'!$L$8="",'Smart Search'!$L$8="All",TRIM('Project Database'!F294)=TRIM('Smart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IF('Project Database'!A294="","",N('Project Database'!AC294))</f>
        <v/>
      </c>
      <c r="BK290" s="5">
        <f>IF('Project Database'!A294="","",N('Project Database'!AD294))</f>
        <v/>
      </c>
      <c r="BL290" s="5">
        <f>IF('Project Database'!A294="","",N('Project Database'!AE294))</f>
        <v/>
      </c>
      <c r="BM290" s="5">
        <f>IF('Project Database'!A294="","",N('Project Database'!AF294))</f>
        <v/>
      </c>
      <c r="BN290" s="5">
        <f>IF('Project Database'!A294="","",N('Project Database'!AG294))</f>
        <v/>
      </c>
      <c r="BO290" s="5">
        <f>IF('Project Database'!A294="","",N('Project Database'!AH294))</f>
        <v/>
      </c>
      <c r="BP290" s="5">
        <f>IF('Project Database'!A294="","",N('Project Database'!AI294))</f>
        <v/>
      </c>
      <c r="BQ290" s="5">
        <f>IF('Project Database'!A294="","",N('Project Database'!AJ294))</f>
        <v/>
      </c>
      <c r="BR290" s="5">
        <f>IF('Project Database'!A294="","",N('Project Database'!AK294))</f>
        <v/>
      </c>
      <c r="BS290" s="5">
        <f>IF('Project Database'!A294="","",N('Project Database'!AL294))</f>
        <v/>
      </c>
      <c r="BT290" s="5">
        <f>IF('Project Database'!A294="","",N('Project Database'!AM294))</f>
        <v/>
      </c>
      <c r="BU290" s="5">
        <f>IF('Project Database'!A294="","",N('Project Database'!AN294))</f>
        <v/>
      </c>
      <c r="BV290" s="5">
        <f>IF('Project Database'!A294="","",N('Project Database'!AO294))</f>
        <v/>
      </c>
      <c r="BW290" s="5">
        <f>IF('Project Database'!A294="","",N('Project Database'!AP294))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</row>
    <row r="291" ht="15" customHeight="1" s="74">
      <c r="A291" s="66">
        <f>'Project Database'!A295</f>
        <v/>
      </c>
      <c r="B291" s="66">
        <f>'Project Database'!B295</f>
        <v/>
      </c>
      <c r="C291" s="66">
        <f>'Project Database'!G295</f>
        <v/>
      </c>
      <c r="D291" s="66">
        <f>'Project Database'!H295</f>
        <v/>
      </c>
      <c r="E291" s="66">
        <f>'Project Database'!I295</f>
        <v/>
      </c>
      <c r="F291" s="66">
        <f>'Project Database'!J295</f>
        <v/>
      </c>
      <c r="G291" s="66">
        <f>'Project Database'!K295</f>
        <v/>
      </c>
      <c r="H291" s="66">
        <f>'Project Database'!L295</f>
        <v/>
      </c>
      <c r="I291" s="66">
        <f>'Project Database'!M295</f>
        <v/>
      </c>
      <c r="J291" s="66">
        <f>'Project Database'!N295</f>
        <v/>
      </c>
      <c r="K291" s="66">
        <f>'Project Database'!O295</f>
        <v/>
      </c>
      <c r="L291" s="66">
        <f>'Project Database'!P295</f>
        <v/>
      </c>
      <c r="M291" s="66">
        <f>'Project Database'!Q295</f>
        <v/>
      </c>
      <c r="N291" s="66">
        <f>'Project Database'!R295</f>
        <v/>
      </c>
      <c r="O291" s="66">
        <f>'Project Database'!S295</f>
        <v/>
      </c>
      <c r="P291" s="66">
        <f>'Project Database'!T295</f>
        <v/>
      </c>
      <c r="Q291" s="66">
        <f>'Project Database'!U295</f>
        <v/>
      </c>
      <c r="R291" s="66">
        <f>'Project Database'!V295</f>
        <v/>
      </c>
      <c r="S291" s="66">
        <f>'Project Database'!W295</f>
        <v/>
      </c>
      <c r="T291" s="66">
        <f>'Project Database'!X295</f>
        <v/>
      </c>
      <c r="U291" s="67">
        <f>'Project Database'!Y295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'Project Database'!Z295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IF(AND('Project Database'!A295&lt;&gt;"",OR('Smart Search'!$L$5="",'Smart Search'!$L$5="All",TRIM('Project Database'!D295)=TRIM('Smart Search'!$L$5)),OR(TRIM('Smart Search'!$L$6)="",TRIM('Smart Search'!$L$6)="All",ISNUMBER(SEARCH(SUBSTITUTE(SUBSTITUTE(SUBSTITUTE(TRIM('Smart Search'!$L$6),"~","~~"),"*","~*"),"?","~?"),'Project Database'!C295))),OR('Smart Search'!$L$7="",AND('Project Database'!E295&lt;&gt;"",'Project Database'!E295='Smart Search'!$L$7)),OR('Smart Search'!$L$8="",'Smart Search'!$L$8="All",TRIM('Project Database'!F295)=TRIM('Smart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IF('Project Database'!A295="","",N('Project Database'!AC295))</f>
        <v/>
      </c>
      <c r="BK291" s="5">
        <f>IF('Project Database'!A295="","",N('Project Database'!AD295))</f>
        <v/>
      </c>
      <c r="BL291" s="5">
        <f>IF('Project Database'!A295="","",N('Project Database'!AE295))</f>
        <v/>
      </c>
      <c r="BM291" s="5">
        <f>IF('Project Database'!A295="","",N('Project Database'!AF295))</f>
        <v/>
      </c>
      <c r="BN291" s="5">
        <f>IF('Project Database'!A295="","",N('Project Database'!AG295))</f>
        <v/>
      </c>
      <c r="BO291" s="5">
        <f>IF('Project Database'!A295="","",N('Project Database'!AH295))</f>
        <v/>
      </c>
      <c r="BP291" s="5">
        <f>IF('Project Database'!A295="","",N('Project Database'!AI295))</f>
        <v/>
      </c>
      <c r="BQ291" s="5">
        <f>IF('Project Database'!A295="","",N('Project Database'!AJ295))</f>
        <v/>
      </c>
      <c r="BR291" s="5">
        <f>IF('Project Database'!A295="","",N('Project Database'!AK295))</f>
        <v/>
      </c>
      <c r="BS291" s="5">
        <f>IF('Project Database'!A295="","",N('Project Database'!AL295))</f>
        <v/>
      </c>
      <c r="BT291" s="5">
        <f>IF('Project Database'!A295="","",N('Project Database'!AM295))</f>
        <v/>
      </c>
      <c r="BU291" s="5">
        <f>IF('Project Database'!A295="","",N('Project Database'!AN295))</f>
        <v/>
      </c>
      <c r="BV291" s="5">
        <f>IF('Project Database'!A295="","",N('Project Database'!AO295))</f>
        <v/>
      </c>
      <c r="BW291" s="5">
        <f>IF('Project Database'!A295="","",N('Project Database'!AP295))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</row>
    <row r="292" ht="15" customHeight="1" s="74">
      <c r="A292" s="66">
        <f>'Project Database'!A296</f>
        <v/>
      </c>
      <c r="B292" s="66">
        <f>'Project Database'!B296</f>
        <v/>
      </c>
      <c r="C292" s="66">
        <f>'Project Database'!G296</f>
        <v/>
      </c>
      <c r="D292" s="66">
        <f>'Project Database'!H296</f>
        <v/>
      </c>
      <c r="E292" s="66">
        <f>'Project Database'!I296</f>
        <v/>
      </c>
      <c r="F292" s="66">
        <f>'Project Database'!J296</f>
        <v/>
      </c>
      <c r="G292" s="66">
        <f>'Project Database'!K296</f>
        <v/>
      </c>
      <c r="H292" s="66">
        <f>'Project Database'!L296</f>
        <v/>
      </c>
      <c r="I292" s="66">
        <f>'Project Database'!M296</f>
        <v/>
      </c>
      <c r="J292" s="66">
        <f>'Project Database'!N296</f>
        <v/>
      </c>
      <c r="K292" s="66">
        <f>'Project Database'!O296</f>
        <v/>
      </c>
      <c r="L292" s="66">
        <f>'Project Database'!P296</f>
        <v/>
      </c>
      <c r="M292" s="66">
        <f>'Project Database'!Q296</f>
        <v/>
      </c>
      <c r="N292" s="66">
        <f>'Project Database'!R296</f>
        <v/>
      </c>
      <c r="O292" s="66">
        <f>'Project Database'!S296</f>
        <v/>
      </c>
      <c r="P292" s="66">
        <f>'Project Database'!T296</f>
        <v/>
      </c>
      <c r="Q292" s="66">
        <f>'Project Database'!U296</f>
        <v/>
      </c>
      <c r="R292" s="66">
        <f>'Project Database'!V296</f>
        <v/>
      </c>
      <c r="S292" s="66">
        <f>'Project Database'!W296</f>
        <v/>
      </c>
      <c r="T292" s="66">
        <f>'Project Database'!X296</f>
        <v/>
      </c>
      <c r="U292" s="67">
        <f>'Project Database'!Y296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'Project Database'!Z296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IF(AND('Project Database'!A296&lt;&gt;"",OR('Smart Search'!$L$5="",'Smart Search'!$L$5="All",TRIM('Project Database'!D296)=TRIM('Smart Search'!$L$5)),OR(TRIM('Smart Search'!$L$6)="",TRIM('Smart Search'!$L$6)="All",ISNUMBER(SEARCH(SUBSTITUTE(SUBSTITUTE(SUBSTITUTE(TRIM('Smart Search'!$L$6),"~","~~"),"*","~*"),"?","~?"),'Project Database'!C296))),OR('Smart Search'!$L$7="",AND('Project Database'!E296&lt;&gt;"",'Project Database'!E296='Smart Search'!$L$7)),OR('Smart Search'!$L$8="",'Smart Search'!$L$8="All",TRIM('Project Database'!F296)=TRIM('Smart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IF('Project Database'!A296="","",N('Project Database'!AC296))</f>
        <v/>
      </c>
      <c r="BK292" s="5">
        <f>IF('Project Database'!A296="","",N('Project Database'!AD296))</f>
        <v/>
      </c>
      <c r="BL292" s="5">
        <f>IF('Project Database'!A296="","",N('Project Database'!AE296))</f>
        <v/>
      </c>
      <c r="BM292" s="5">
        <f>IF('Project Database'!A296="","",N('Project Database'!AF296))</f>
        <v/>
      </c>
      <c r="BN292" s="5">
        <f>IF('Project Database'!A296="","",N('Project Database'!AG296))</f>
        <v/>
      </c>
      <c r="BO292" s="5">
        <f>IF('Project Database'!A296="","",N('Project Database'!AH296))</f>
        <v/>
      </c>
      <c r="BP292" s="5">
        <f>IF('Project Database'!A296="","",N('Project Database'!AI296))</f>
        <v/>
      </c>
      <c r="BQ292" s="5">
        <f>IF('Project Database'!A296="","",N('Project Database'!AJ296))</f>
        <v/>
      </c>
      <c r="BR292" s="5">
        <f>IF('Project Database'!A296="","",N('Project Database'!AK296))</f>
        <v/>
      </c>
      <c r="BS292" s="5">
        <f>IF('Project Database'!A296="","",N('Project Database'!AL296))</f>
        <v/>
      </c>
      <c r="BT292" s="5">
        <f>IF('Project Database'!A296="","",N('Project Database'!AM296))</f>
        <v/>
      </c>
      <c r="BU292" s="5">
        <f>IF('Project Database'!A296="","",N('Project Database'!AN296))</f>
        <v/>
      </c>
      <c r="BV292" s="5">
        <f>IF('Project Database'!A296="","",N('Project Database'!AO296))</f>
        <v/>
      </c>
      <c r="BW292" s="5">
        <f>IF('Project Database'!A296="","",N('Project Database'!AP296))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</row>
    <row r="293" ht="15" customHeight="1" s="74">
      <c r="A293" s="66">
        <f>'Project Database'!A297</f>
        <v/>
      </c>
      <c r="B293" s="66">
        <f>'Project Database'!B297</f>
        <v/>
      </c>
      <c r="C293" s="66">
        <f>'Project Database'!G297</f>
        <v/>
      </c>
      <c r="D293" s="66">
        <f>'Project Database'!H297</f>
        <v/>
      </c>
      <c r="E293" s="66">
        <f>'Project Database'!I297</f>
        <v/>
      </c>
      <c r="F293" s="66">
        <f>'Project Database'!J297</f>
        <v/>
      </c>
      <c r="G293" s="66">
        <f>'Project Database'!K297</f>
        <v/>
      </c>
      <c r="H293" s="66">
        <f>'Project Database'!L297</f>
        <v/>
      </c>
      <c r="I293" s="66">
        <f>'Project Database'!M297</f>
        <v/>
      </c>
      <c r="J293" s="66">
        <f>'Project Database'!N297</f>
        <v/>
      </c>
      <c r="K293" s="66">
        <f>'Project Database'!O297</f>
        <v/>
      </c>
      <c r="L293" s="66">
        <f>'Project Database'!P297</f>
        <v/>
      </c>
      <c r="M293" s="66">
        <f>'Project Database'!Q297</f>
        <v/>
      </c>
      <c r="N293" s="66">
        <f>'Project Database'!R297</f>
        <v/>
      </c>
      <c r="O293" s="66">
        <f>'Project Database'!S297</f>
        <v/>
      </c>
      <c r="P293" s="66">
        <f>'Project Database'!T297</f>
        <v/>
      </c>
      <c r="Q293" s="66">
        <f>'Project Database'!U297</f>
        <v/>
      </c>
      <c r="R293" s="66">
        <f>'Project Database'!V297</f>
        <v/>
      </c>
      <c r="S293" s="66">
        <f>'Project Database'!W297</f>
        <v/>
      </c>
      <c r="T293" s="66">
        <f>'Project Database'!X297</f>
        <v/>
      </c>
      <c r="U293" s="67">
        <f>'Project Database'!Y297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'Project Database'!Z297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IF(AND('Project Database'!A297&lt;&gt;"",OR('Smart Search'!$L$5="",'Smart Search'!$L$5="All",TRIM('Project Database'!D297)=TRIM('Smart Search'!$L$5)),OR(TRIM('Smart Search'!$L$6)="",TRIM('Smart Search'!$L$6)="All",ISNUMBER(SEARCH(SUBSTITUTE(SUBSTITUTE(SUBSTITUTE(TRIM('Smart Search'!$L$6),"~","~~"),"*","~*"),"?","~?"),'Project Database'!C297))),OR('Smart Search'!$L$7="",AND('Project Database'!E297&lt;&gt;"",'Project Database'!E297='Smart Search'!$L$7)),OR('Smart Search'!$L$8="",'Smart Search'!$L$8="All",TRIM('Project Database'!F297)=TRIM('Smart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IF('Project Database'!A297="","",N('Project Database'!AC297))</f>
        <v/>
      </c>
      <c r="BK293" s="5">
        <f>IF('Project Database'!A297="","",N('Project Database'!AD297))</f>
        <v/>
      </c>
      <c r="BL293" s="5">
        <f>IF('Project Database'!A297="","",N('Project Database'!AE297))</f>
        <v/>
      </c>
      <c r="BM293" s="5">
        <f>IF('Project Database'!A297="","",N('Project Database'!AF297))</f>
        <v/>
      </c>
      <c r="BN293" s="5">
        <f>IF('Project Database'!A297="","",N('Project Database'!AG297))</f>
        <v/>
      </c>
      <c r="BO293" s="5">
        <f>IF('Project Database'!A297="","",N('Project Database'!AH297))</f>
        <v/>
      </c>
      <c r="BP293" s="5">
        <f>IF('Project Database'!A297="","",N('Project Database'!AI297))</f>
        <v/>
      </c>
      <c r="BQ293" s="5">
        <f>IF('Project Database'!A297="","",N('Project Database'!AJ297))</f>
        <v/>
      </c>
      <c r="BR293" s="5">
        <f>IF('Project Database'!A297="","",N('Project Database'!AK297))</f>
        <v/>
      </c>
      <c r="BS293" s="5">
        <f>IF('Project Database'!A297="","",N('Project Database'!AL297))</f>
        <v/>
      </c>
      <c r="BT293" s="5">
        <f>IF('Project Database'!A297="","",N('Project Database'!AM297))</f>
        <v/>
      </c>
      <c r="BU293" s="5">
        <f>IF('Project Database'!A297="","",N('Project Database'!AN297))</f>
        <v/>
      </c>
      <c r="BV293" s="5">
        <f>IF('Project Database'!A297="","",N('Project Database'!AO297))</f>
        <v/>
      </c>
      <c r="BW293" s="5">
        <f>IF('Project Database'!A297="","",N('Project Database'!AP297))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</row>
    <row r="294" ht="15" customHeight="1" s="74">
      <c r="A294" s="66">
        <f>'Project Database'!A298</f>
        <v/>
      </c>
      <c r="B294" s="66">
        <f>'Project Database'!B298</f>
        <v/>
      </c>
      <c r="C294" s="66">
        <f>'Project Database'!G298</f>
        <v/>
      </c>
      <c r="D294" s="66">
        <f>'Project Database'!H298</f>
        <v/>
      </c>
      <c r="E294" s="66">
        <f>'Project Database'!I298</f>
        <v/>
      </c>
      <c r="F294" s="66">
        <f>'Project Database'!J298</f>
        <v/>
      </c>
      <c r="G294" s="66">
        <f>'Project Database'!K298</f>
        <v/>
      </c>
      <c r="H294" s="66">
        <f>'Project Database'!L298</f>
        <v/>
      </c>
      <c r="I294" s="66">
        <f>'Project Database'!M298</f>
        <v/>
      </c>
      <c r="J294" s="66">
        <f>'Project Database'!N298</f>
        <v/>
      </c>
      <c r="K294" s="66">
        <f>'Project Database'!O298</f>
        <v/>
      </c>
      <c r="L294" s="66">
        <f>'Project Database'!P298</f>
        <v/>
      </c>
      <c r="M294" s="66">
        <f>'Project Database'!Q298</f>
        <v/>
      </c>
      <c r="N294" s="66">
        <f>'Project Database'!R298</f>
        <v/>
      </c>
      <c r="O294" s="66">
        <f>'Project Database'!S298</f>
        <v/>
      </c>
      <c r="P294" s="66">
        <f>'Project Database'!T298</f>
        <v/>
      </c>
      <c r="Q294" s="66">
        <f>'Project Database'!U298</f>
        <v/>
      </c>
      <c r="R294" s="66">
        <f>'Project Database'!V298</f>
        <v/>
      </c>
      <c r="S294" s="66">
        <f>'Project Database'!W298</f>
        <v/>
      </c>
      <c r="T294" s="66">
        <f>'Project Database'!X298</f>
        <v/>
      </c>
      <c r="U294" s="67">
        <f>'Project Database'!Y298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'Project Database'!Z298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IF(AND('Project Database'!A298&lt;&gt;"",OR('Smart Search'!$L$5="",'Smart Search'!$L$5="All",TRIM('Project Database'!D298)=TRIM('Smart Search'!$L$5)),OR(TRIM('Smart Search'!$L$6)="",TRIM('Smart Search'!$L$6)="All",ISNUMBER(SEARCH(SUBSTITUTE(SUBSTITUTE(SUBSTITUTE(TRIM('Smart Search'!$L$6),"~","~~"),"*","~*"),"?","~?"),'Project Database'!C298))),OR('Smart Search'!$L$7="",AND('Project Database'!E298&lt;&gt;"",'Project Database'!E298='Smart Search'!$L$7)),OR('Smart Search'!$L$8="",'Smart Search'!$L$8="All",TRIM('Project Database'!F298)=TRIM('Smart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IF('Project Database'!A298="","",N('Project Database'!AC298))</f>
        <v/>
      </c>
      <c r="BK294" s="5">
        <f>IF('Project Database'!A298="","",N('Project Database'!AD298))</f>
        <v/>
      </c>
      <c r="BL294" s="5">
        <f>IF('Project Database'!A298="","",N('Project Database'!AE298))</f>
        <v/>
      </c>
      <c r="BM294" s="5">
        <f>IF('Project Database'!A298="","",N('Project Database'!AF298))</f>
        <v/>
      </c>
      <c r="BN294" s="5">
        <f>IF('Project Database'!A298="","",N('Project Database'!AG298))</f>
        <v/>
      </c>
      <c r="BO294" s="5">
        <f>IF('Project Database'!A298="","",N('Project Database'!AH298))</f>
        <v/>
      </c>
      <c r="BP294" s="5">
        <f>IF('Project Database'!A298="","",N('Project Database'!AI298))</f>
        <v/>
      </c>
      <c r="BQ294" s="5">
        <f>IF('Project Database'!A298="","",N('Project Database'!AJ298))</f>
        <v/>
      </c>
      <c r="BR294" s="5">
        <f>IF('Project Database'!A298="","",N('Project Database'!AK298))</f>
        <v/>
      </c>
      <c r="BS294" s="5">
        <f>IF('Project Database'!A298="","",N('Project Database'!AL298))</f>
        <v/>
      </c>
      <c r="BT294" s="5">
        <f>IF('Project Database'!A298="","",N('Project Database'!AM298))</f>
        <v/>
      </c>
      <c r="BU294" s="5">
        <f>IF('Project Database'!A298="","",N('Project Database'!AN298))</f>
        <v/>
      </c>
      <c r="BV294" s="5">
        <f>IF('Project Database'!A298="","",N('Project Database'!AO298))</f>
        <v/>
      </c>
      <c r="BW294" s="5">
        <f>IF('Project Database'!A298="","",N('Project Database'!AP298))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</row>
    <row r="295" ht="15" customHeight="1" s="74">
      <c r="A295" s="66">
        <f>'Project Database'!A299</f>
        <v/>
      </c>
      <c r="B295" s="66">
        <f>'Project Database'!B299</f>
        <v/>
      </c>
      <c r="C295" s="66">
        <f>'Project Database'!G299</f>
        <v/>
      </c>
      <c r="D295" s="66">
        <f>'Project Database'!H299</f>
        <v/>
      </c>
      <c r="E295" s="66">
        <f>'Project Database'!I299</f>
        <v/>
      </c>
      <c r="F295" s="66">
        <f>'Project Database'!J299</f>
        <v/>
      </c>
      <c r="G295" s="66">
        <f>'Project Database'!K299</f>
        <v/>
      </c>
      <c r="H295" s="66">
        <f>'Project Database'!L299</f>
        <v/>
      </c>
      <c r="I295" s="66">
        <f>'Project Database'!M299</f>
        <v/>
      </c>
      <c r="J295" s="66">
        <f>'Project Database'!N299</f>
        <v/>
      </c>
      <c r="K295" s="66">
        <f>'Project Database'!O299</f>
        <v/>
      </c>
      <c r="L295" s="66">
        <f>'Project Database'!P299</f>
        <v/>
      </c>
      <c r="M295" s="66">
        <f>'Project Database'!Q299</f>
        <v/>
      </c>
      <c r="N295" s="66">
        <f>'Project Database'!R299</f>
        <v/>
      </c>
      <c r="O295" s="66">
        <f>'Project Database'!S299</f>
        <v/>
      </c>
      <c r="P295" s="66">
        <f>'Project Database'!T299</f>
        <v/>
      </c>
      <c r="Q295" s="66">
        <f>'Project Database'!U299</f>
        <v/>
      </c>
      <c r="R295" s="66">
        <f>'Project Database'!V299</f>
        <v/>
      </c>
      <c r="S295" s="66">
        <f>'Project Database'!W299</f>
        <v/>
      </c>
      <c r="T295" s="66">
        <f>'Project Database'!X299</f>
        <v/>
      </c>
      <c r="U295" s="67">
        <f>'Project Database'!Y299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'Project Database'!Z299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IF(AND('Project Database'!A299&lt;&gt;"",OR('Smart Search'!$L$5="",'Smart Search'!$L$5="All",TRIM('Project Database'!D299)=TRIM('Smart Search'!$L$5)),OR(TRIM('Smart Search'!$L$6)="",TRIM('Smart Search'!$L$6)="All",ISNUMBER(SEARCH(SUBSTITUTE(SUBSTITUTE(SUBSTITUTE(TRIM('Smart Search'!$L$6),"~","~~"),"*","~*"),"?","~?"),'Project Database'!C299))),OR('Smart Search'!$L$7="",AND('Project Database'!E299&lt;&gt;"",'Project Database'!E299='Smart Search'!$L$7)),OR('Smart Search'!$L$8="",'Smart Search'!$L$8="All",TRIM('Project Database'!F299)=TRIM('Smart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IF('Project Database'!A299="","",N('Project Database'!AC299))</f>
        <v/>
      </c>
      <c r="BK295" s="5">
        <f>IF('Project Database'!A299="","",N('Project Database'!AD299))</f>
        <v/>
      </c>
      <c r="BL295" s="5">
        <f>IF('Project Database'!A299="","",N('Project Database'!AE299))</f>
        <v/>
      </c>
      <c r="BM295" s="5">
        <f>IF('Project Database'!A299="","",N('Project Database'!AF299))</f>
        <v/>
      </c>
      <c r="BN295" s="5">
        <f>IF('Project Database'!A299="","",N('Project Database'!AG299))</f>
        <v/>
      </c>
      <c r="BO295" s="5">
        <f>IF('Project Database'!A299="","",N('Project Database'!AH299))</f>
        <v/>
      </c>
      <c r="BP295" s="5">
        <f>IF('Project Database'!A299="","",N('Project Database'!AI299))</f>
        <v/>
      </c>
      <c r="BQ295" s="5">
        <f>IF('Project Database'!A299="","",N('Project Database'!AJ299))</f>
        <v/>
      </c>
      <c r="BR295" s="5">
        <f>IF('Project Database'!A299="","",N('Project Database'!AK299))</f>
        <v/>
      </c>
      <c r="BS295" s="5">
        <f>IF('Project Database'!A299="","",N('Project Database'!AL299))</f>
        <v/>
      </c>
      <c r="BT295" s="5">
        <f>IF('Project Database'!A299="","",N('Project Database'!AM299))</f>
        <v/>
      </c>
      <c r="BU295" s="5">
        <f>IF('Project Database'!A299="","",N('Project Database'!AN299))</f>
        <v/>
      </c>
      <c r="BV295" s="5">
        <f>IF('Project Database'!A299="","",N('Project Database'!AO299))</f>
        <v/>
      </c>
      <c r="BW295" s="5">
        <f>IF('Project Database'!A299="","",N('Project Database'!AP299))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</row>
    <row r="296" ht="15" customHeight="1" s="74">
      <c r="A296" s="66">
        <f>'Project Database'!A300</f>
        <v/>
      </c>
      <c r="B296" s="66">
        <f>'Project Database'!B300</f>
        <v/>
      </c>
      <c r="C296" s="66">
        <f>'Project Database'!G300</f>
        <v/>
      </c>
      <c r="D296" s="66">
        <f>'Project Database'!H300</f>
        <v/>
      </c>
      <c r="E296" s="66">
        <f>'Project Database'!I300</f>
        <v/>
      </c>
      <c r="F296" s="66">
        <f>'Project Database'!J300</f>
        <v/>
      </c>
      <c r="G296" s="66">
        <f>'Project Database'!K300</f>
        <v/>
      </c>
      <c r="H296" s="66">
        <f>'Project Database'!L300</f>
        <v/>
      </c>
      <c r="I296" s="66">
        <f>'Project Database'!M300</f>
        <v/>
      </c>
      <c r="J296" s="66">
        <f>'Project Database'!N300</f>
        <v/>
      </c>
      <c r="K296" s="66">
        <f>'Project Database'!O300</f>
        <v/>
      </c>
      <c r="L296" s="66">
        <f>'Project Database'!P300</f>
        <v/>
      </c>
      <c r="M296" s="66">
        <f>'Project Database'!Q300</f>
        <v/>
      </c>
      <c r="N296" s="66">
        <f>'Project Database'!R300</f>
        <v/>
      </c>
      <c r="O296" s="66">
        <f>'Project Database'!S300</f>
        <v/>
      </c>
      <c r="P296" s="66">
        <f>'Project Database'!T300</f>
        <v/>
      </c>
      <c r="Q296" s="66">
        <f>'Project Database'!U300</f>
        <v/>
      </c>
      <c r="R296" s="66">
        <f>'Project Database'!V300</f>
        <v/>
      </c>
      <c r="S296" s="66">
        <f>'Project Database'!W300</f>
        <v/>
      </c>
      <c r="T296" s="66">
        <f>'Project Database'!X300</f>
        <v/>
      </c>
      <c r="U296" s="67">
        <f>'Project Database'!Y300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'Project Database'!Z300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IF(AND('Project Database'!A300&lt;&gt;"",OR('Smart Search'!$L$5="",'Smart Search'!$L$5="All",TRIM('Project Database'!D300)=TRIM('Smart Search'!$L$5)),OR(TRIM('Smart Search'!$L$6)="",TRIM('Smart Search'!$L$6)="All",ISNUMBER(SEARCH(SUBSTITUTE(SUBSTITUTE(SUBSTITUTE(TRIM('Smart Search'!$L$6),"~","~~"),"*","~*"),"?","~?"),'Project Database'!C300))),OR('Smart Search'!$L$7="",AND('Project Database'!E300&lt;&gt;"",'Project Database'!E300='Smart Search'!$L$7)),OR('Smart Search'!$L$8="",'Smart Search'!$L$8="All",TRIM('Project Database'!F300)=TRIM('Smart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IF('Project Database'!A300="","",N('Project Database'!AC300))</f>
        <v/>
      </c>
      <c r="BK296" s="5">
        <f>IF('Project Database'!A300="","",N('Project Database'!AD300))</f>
        <v/>
      </c>
      <c r="BL296" s="5">
        <f>IF('Project Database'!A300="","",N('Project Database'!AE300))</f>
        <v/>
      </c>
      <c r="BM296" s="5">
        <f>IF('Project Database'!A300="","",N('Project Database'!AF300))</f>
        <v/>
      </c>
      <c r="BN296" s="5">
        <f>IF('Project Database'!A300="","",N('Project Database'!AG300))</f>
        <v/>
      </c>
      <c r="BO296" s="5">
        <f>IF('Project Database'!A300="","",N('Project Database'!AH300))</f>
        <v/>
      </c>
      <c r="BP296" s="5">
        <f>IF('Project Database'!A300="","",N('Project Database'!AI300))</f>
        <v/>
      </c>
      <c r="BQ296" s="5">
        <f>IF('Project Database'!A300="","",N('Project Database'!AJ300))</f>
        <v/>
      </c>
      <c r="BR296" s="5">
        <f>IF('Project Database'!A300="","",N('Project Database'!AK300))</f>
        <v/>
      </c>
      <c r="BS296" s="5">
        <f>IF('Project Database'!A300="","",N('Project Database'!AL300))</f>
        <v/>
      </c>
      <c r="BT296" s="5">
        <f>IF('Project Database'!A300="","",N('Project Database'!AM300))</f>
        <v/>
      </c>
      <c r="BU296" s="5">
        <f>IF('Project Database'!A300="","",N('Project Database'!AN300))</f>
        <v/>
      </c>
      <c r="BV296" s="5">
        <f>IF('Project Database'!A300="","",N('Project Database'!AO300))</f>
        <v/>
      </c>
      <c r="BW296" s="5">
        <f>IF('Project Database'!A300="","",N('Project Database'!AP300))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</row>
    <row r="297" ht="15" customHeight="1" s="74">
      <c r="A297" s="66">
        <f>'Project Database'!A301</f>
        <v/>
      </c>
      <c r="B297" s="66">
        <f>'Project Database'!B301</f>
        <v/>
      </c>
      <c r="C297" s="66">
        <f>'Project Database'!G301</f>
        <v/>
      </c>
      <c r="D297" s="66">
        <f>'Project Database'!H301</f>
        <v/>
      </c>
      <c r="E297" s="66">
        <f>'Project Database'!I301</f>
        <v/>
      </c>
      <c r="F297" s="66">
        <f>'Project Database'!J301</f>
        <v/>
      </c>
      <c r="G297" s="66">
        <f>'Project Database'!K301</f>
        <v/>
      </c>
      <c r="H297" s="66">
        <f>'Project Database'!L301</f>
        <v/>
      </c>
      <c r="I297" s="66">
        <f>'Project Database'!M301</f>
        <v/>
      </c>
      <c r="J297" s="66">
        <f>'Project Database'!N301</f>
        <v/>
      </c>
      <c r="K297" s="66">
        <f>'Project Database'!O301</f>
        <v/>
      </c>
      <c r="L297" s="66">
        <f>'Project Database'!P301</f>
        <v/>
      </c>
      <c r="M297" s="66">
        <f>'Project Database'!Q301</f>
        <v/>
      </c>
      <c r="N297" s="66">
        <f>'Project Database'!R301</f>
        <v/>
      </c>
      <c r="O297" s="66">
        <f>'Project Database'!S301</f>
        <v/>
      </c>
      <c r="P297" s="66">
        <f>'Project Database'!T301</f>
        <v/>
      </c>
      <c r="Q297" s="66">
        <f>'Project Database'!U301</f>
        <v/>
      </c>
      <c r="R297" s="66">
        <f>'Project Database'!V301</f>
        <v/>
      </c>
      <c r="S297" s="66">
        <f>'Project Database'!W301</f>
        <v/>
      </c>
      <c r="T297" s="66">
        <f>'Project Database'!X301</f>
        <v/>
      </c>
      <c r="U297" s="67">
        <f>'Project Database'!Y301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'Project Database'!Z301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IF(AND('Project Database'!A301&lt;&gt;"",OR('Smart Search'!$L$5="",'Smart Search'!$L$5="All",TRIM('Project Database'!D301)=TRIM('Smart Search'!$L$5)),OR(TRIM('Smart Search'!$L$6)="",TRIM('Smart Search'!$L$6)="All",ISNUMBER(SEARCH(SUBSTITUTE(SUBSTITUTE(SUBSTITUTE(TRIM('Smart Search'!$L$6),"~","~~"),"*","~*"),"?","~?"),'Project Database'!C301))),OR('Smart Search'!$L$7="",AND('Project Database'!E301&lt;&gt;"",'Project Database'!E301='Smart Search'!$L$7)),OR('Smart Search'!$L$8="",'Smart Search'!$L$8="All",TRIM('Project Database'!F301)=TRIM('Smart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IF('Project Database'!A301="","",N('Project Database'!AC301))</f>
        <v/>
      </c>
      <c r="BK297" s="5">
        <f>IF('Project Database'!A301="","",N('Project Database'!AD301))</f>
        <v/>
      </c>
      <c r="BL297" s="5">
        <f>IF('Project Database'!A301="","",N('Project Database'!AE301))</f>
        <v/>
      </c>
      <c r="BM297" s="5">
        <f>IF('Project Database'!A301="","",N('Project Database'!AF301))</f>
        <v/>
      </c>
      <c r="BN297" s="5">
        <f>IF('Project Database'!A301="","",N('Project Database'!AG301))</f>
        <v/>
      </c>
      <c r="BO297" s="5">
        <f>IF('Project Database'!A301="","",N('Project Database'!AH301))</f>
        <v/>
      </c>
      <c r="BP297" s="5">
        <f>IF('Project Database'!A301="","",N('Project Database'!AI301))</f>
        <v/>
      </c>
      <c r="BQ297" s="5">
        <f>IF('Project Database'!A301="","",N('Project Database'!AJ301))</f>
        <v/>
      </c>
      <c r="BR297" s="5">
        <f>IF('Project Database'!A301="","",N('Project Database'!AK301))</f>
        <v/>
      </c>
      <c r="BS297" s="5">
        <f>IF('Project Database'!A301="","",N('Project Database'!AL301))</f>
        <v/>
      </c>
      <c r="BT297" s="5">
        <f>IF('Project Database'!A301="","",N('Project Database'!AM301))</f>
        <v/>
      </c>
      <c r="BU297" s="5">
        <f>IF('Project Database'!A301="","",N('Project Database'!AN301))</f>
        <v/>
      </c>
      <c r="BV297" s="5">
        <f>IF('Project Database'!A301="","",N('Project Database'!AO301))</f>
        <v/>
      </c>
      <c r="BW297" s="5">
        <f>IF('Project Database'!A301="","",N('Project Database'!AP301))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</row>
    <row r="298" ht="15" customHeight="1" s="74">
      <c r="A298" s="66">
        <f>'Project Database'!A302</f>
        <v/>
      </c>
      <c r="B298" s="66">
        <f>'Project Database'!B302</f>
        <v/>
      </c>
      <c r="C298" s="66">
        <f>'Project Database'!G302</f>
        <v/>
      </c>
      <c r="D298" s="66">
        <f>'Project Database'!H302</f>
        <v/>
      </c>
      <c r="E298" s="66">
        <f>'Project Database'!I302</f>
        <v/>
      </c>
      <c r="F298" s="66">
        <f>'Project Database'!J302</f>
        <v/>
      </c>
      <c r="G298" s="66">
        <f>'Project Database'!K302</f>
        <v/>
      </c>
      <c r="H298" s="66">
        <f>'Project Database'!L302</f>
        <v/>
      </c>
      <c r="I298" s="66">
        <f>'Project Database'!M302</f>
        <v/>
      </c>
      <c r="J298" s="66">
        <f>'Project Database'!N302</f>
        <v/>
      </c>
      <c r="K298" s="66">
        <f>'Project Database'!O302</f>
        <v/>
      </c>
      <c r="L298" s="66">
        <f>'Project Database'!P302</f>
        <v/>
      </c>
      <c r="M298" s="66">
        <f>'Project Database'!Q302</f>
        <v/>
      </c>
      <c r="N298" s="66">
        <f>'Project Database'!R302</f>
        <v/>
      </c>
      <c r="O298" s="66">
        <f>'Project Database'!S302</f>
        <v/>
      </c>
      <c r="P298" s="66">
        <f>'Project Database'!T302</f>
        <v/>
      </c>
      <c r="Q298" s="66">
        <f>'Project Database'!U302</f>
        <v/>
      </c>
      <c r="R298" s="66">
        <f>'Project Database'!V302</f>
        <v/>
      </c>
      <c r="S298" s="66">
        <f>'Project Database'!W302</f>
        <v/>
      </c>
      <c r="T298" s="66">
        <f>'Project Database'!X302</f>
        <v/>
      </c>
      <c r="U298" s="67">
        <f>'Project Database'!Y302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'Project Database'!Z302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IF(AND('Project Database'!A302&lt;&gt;"",OR('Smart Search'!$L$5="",'Smart Search'!$L$5="All",TRIM('Project Database'!D302)=TRIM('Smart Search'!$L$5)),OR(TRIM('Smart Search'!$L$6)="",TRIM('Smart Search'!$L$6)="All",ISNUMBER(SEARCH(SUBSTITUTE(SUBSTITUTE(SUBSTITUTE(TRIM('Smart Search'!$L$6),"~","~~"),"*","~*"),"?","~?"),'Project Database'!C302))),OR('Smart Search'!$L$7="",AND('Project Database'!E302&lt;&gt;"",'Project Database'!E302='Smart Search'!$L$7)),OR('Smart Search'!$L$8="",'Smart Search'!$L$8="All",TRIM('Project Database'!F302)=TRIM('Smart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IF('Project Database'!A302="","",N('Project Database'!AC302))</f>
        <v/>
      </c>
      <c r="BK298" s="5">
        <f>IF('Project Database'!A302="","",N('Project Database'!AD302))</f>
        <v/>
      </c>
      <c r="BL298" s="5">
        <f>IF('Project Database'!A302="","",N('Project Database'!AE302))</f>
        <v/>
      </c>
      <c r="BM298" s="5">
        <f>IF('Project Database'!A302="","",N('Project Database'!AF302))</f>
        <v/>
      </c>
      <c r="BN298" s="5">
        <f>IF('Project Database'!A302="","",N('Project Database'!AG302))</f>
        <v/>
      </c>
      <c r="BO298" s="5">
        <f>IF('Project Database'!A302="","",N('Project Database'!AH302))</f>
        <v/>
      </c>
      <c r="BP298" s="5">
        <f>IF('Project Database'!A302="","",N('Project Database'!AI302))</f>
        <v/>
      </c>
      <c r="BQ298" s="5">
        <f>IF('Project Database'!A302="","",N('Project Database'!AJ302))</f>
        <v/>
      </c>
      <c r="BR298" s="5">
        <f>IF('Project Database'!A302="","",N('Project Database'!AK302))</f>
        <v/>
      </c>
      <c r="BS298" s="5">
        <f>IF('Project Database'!A302="","",N('Project Database'!AL302))</f>
        <v/>
      </c>
      <c r="BT298" s="5">
        <f>IF('Project Database'!A302="","",N('Project Database'!AM302))</f>
        <v/>
      </c>
      <c r="BU298" s="5">
        <f>IF('Project Database'!A302="","",N('Project Database'!AN302))</f>
        <v/>
      </c>
      <c r="BV298" s="5">
        <f>IF('Project Database'!A302="","",N('Project Database'!AO302))</f>
        <v/>
      </c>
      <c r="BW298" s="5">
        <f>IF('Project Database'!A302="","",N('Project Database'!AP302))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</row>
    <row r="299" ht="15" customHeight="1" s="74">
      <c r="A299" s="66">
        <f>'Project Database'!A303</f>
        <v/>
      </c>
      <c r="B299" s="66">
        <f>'Project Database'!B303</f>
        <v/>
      </c>
      <c r="C299" s="66">
        <f>'Project Database'!G303</f>
        <v/>
      </c>
      <c r="D299" s="66">
        <f>'Project Database'!H303</f>
        <v/>
      </c>
      <c r="E299" s="66">
        <f>'Project Database'!I303</f>
        <v/>
      </c>
      <c r="F299" s="66">
        <f>'Project Database'!J303</f>
        <v/>
      </c>
      <c r="G299" s="66">
        <f>'Project Database'!K303</f>
        <v/>
      </c>
      <c r="H299" s="66">
        <f>'Project Database'!L303</f>
        <v/>
      </c>
      <c r="I299" s="66">
        <f>'Project Database'!M303</f>
        <v/>
      </c>
      <c r="J299" s="66">
        <f>'Project Database'!N303</f>
        <v/>
      </c>
      <c r="K299" s="66">
        <f>'Project Database'!O303</f>
        <v/>
      </c>
      <c r="L299" s="66">
        <f>'Project Database'!P303</f>
        <v/>
      </c>
      <c r="M299" s="66">
        <f>'Project Database'!Q303</f>
        <v/>
      </c>
      <c r="N299" s="66">
        <f>'Project Database'!R303</f>
        <v/>
      </c>
      <c r="O299" s="66">
        <f>'Project Database'!S303</f>
        <v/>
      </c>
      <c r="P299" s="66">
        <f>'Project Database'!T303</f>
        <v/>
      </c>
      <c r="Q299" s="66">
        <f>'Project Database'!U303</f>
        <v/>
      </c>
      <c r="R299" s="66">
        <f>'Project Database'!V303</f>
        <v/>
      </c>
      <c r="S299" s="66">
        <f>'Project Database'!W303</f>
        <v/>
      </c>
      <c r="T299" s="66">
        <f>'Project Database'!X303</f>
        <v/>
      </c>
      <c r="U299" s="67">
        <f>'Project Database'!Y303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'Project Database'!Z303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IF(AND('Project Database'!A303&lt;&gt;"",OR('Smart Search'!$L$5="",'Smart Search'!$L$5="All",TRIM('Project Database'!D303)=TRIM('Smart Search'!$L$5)),OR(TRIM('Smart Search'!$L$6)="",TRIM('Smart Search'!$L$6)="All",ISNUMBER(SEARCH(SUBSTITUTE(SUBSTITUTE(SUBSTITUTE(TRIM('Smart Search'!$L$6),"~","~~"),"*","~*"),"?","~?"),'Project Database'!C303))),OR('Smart Search'!$L$7="",AND('Project Database'!E303&lt;&gt;"",'Project Database'!E303='Smart Search'!$L$7)),OR('Smart Search'!$L$8="",'Smart Search'!$L$8="All",TRIM('Project Database'!F303)=TRIM('Smart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IF('Project Database'!A303="","",N('Project Database'!AC303))</f>
        <v/>
      </c>
      <c r="BK299" s="5">
        <f>IF('Project Database'!A303="","",N('Project Database'!AD303))</f>
        <v/>
      </c>
      <c r="BL299" s="5">
        <f>IF('Project Database'!A303="","",N('Project Database'!AE303))</f>
        <v/>
      </c>
      <c r="BM299" s="5">
        <f>IF('Project Database'!A303="","",N('Project Database'!AF303))</f>
        <v/>
      </c>
      <c r="BN299" s="5">
        <f>IF('Project Database'!A303="","",N('Project Database'!AG303))</f>
        <v/>
      </c>
      <c r="BO299" s="5">
        <f>IF('Project Database'!A303="","",N('Project Database'!AH303))</f>
        <v/>
      </c>
      <c r="BP299" s="5">
        <f>IF('Project Database'!A303="","",N('Project Database'!AI303))</f>
        <v/>
      </c>
      <c r="BQ299" s="5">
        <f>IF('Project Database'!A303="","",N('Project Database'!AJ303))</f>
        <v/>
      </c>
      <c r="BR299" s="5">
        <f>IF('Project Database'!A303="","",N('Project Database'!AK303))</f>
        <v/>
      </c>
      <c r="BS299" s="5">
        <f>IF('Project Database'!A303="","",N('Project Database'!AL303))</f>
        <v/>
      </c>
      <c r="BT299" s="5">
        <f>IF('Project Database'!A303="","",N('Project Database'!AM303))</f>
        <v/>
      </c>
      <c r="BU299" s="5">
        <f>IF('Project Database'!A303="","",N('Project Database'!AN303))</f>
        <v/>
      </c>
      <c r="BV299" s="5">
        <f>IF('Project Database'!A303="","",N('Project Database'!AO303))</f>
        <v/>
      </c>
      <c r="BW299" s="5">
        <f>IF('Project Database'!A303="","",N('Project Database'!AP303))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</row>
    <row r="300" ht="15" customHeight="1" s="74">
      <c r="A300" s="66">
        <f>'Project Database'!A304</f>
        <v/>
      </c>
      <c r="B300" s="66">
        <f>'Project Database'!B304</f>
        <v/>
      </c>
      <c r="C300" s="66">
        <f>'Project Database'!G304</f>
        <v/>
      </c>
      <c r="D300" s="66">
        <f>'Project Database'!H304</f>
        <v/>
      </c>
      <c r="E300" s="66">
        <f>'Project Database'!I304</f>
        <v/>
      </c>
      <c r="F300" s="66">
        <f>'Project Database'!J304</f>
        <v/>
      </c>
      <c r="G300" s="66">
        <f>'Project Database'!K304</f>
        <v/>
      </c>
      <c r="H300" s="66">
        <f>'Project Database'!L304</f>
        <v/>
      </c>
      <c r="I300" s="66">
        <f>'Project Database'!M304</f>
        <v/>
      </c>
      <c r="J300" s="66">
        <f>'Project Database'!N304</f>
        <v/>
      </c>
      <c r="K300" s="66">
        <f>'Project Database'!O304</f>
        <v/>
      </c>
      <c r="L300" s="66">
        <f>'Project Database'!P304</f>
        <v/>
      </c>
      <c r="M300" s="66">
        <f>'Project Database'!Q304</f>
        <v/>
      </c>
      <c r="N300" s="66">
        <f>'Project Database'!R304</f>
        <v/>
      </c>
      <c r="O300" s="66">
        <f>'Project Database'!S304</f>
        <v/>
      </c>
      <c r="P300" s="66">
        <f>'Project Database'!T304</f>
        <v/>
      </c>
      <c r="Q300" s="66">
        <f>'Project Database'!U304</f>
        <v/>
      </c>
      <c r="R300" s="66">
        <f>'Project Database'!V304</f>
        <v/>
      </c>
      <c r="S300" s="66">
        <f>'Project Database'!W304</f>
        <v/>
      </c>
      <c r="T300" s="66">
        <f>'Project Database'!X304</f>
        <v/>
      </c>
      <c r="U300" s="67">
        <f>'Project Database'!Y304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'Project Database'!Z304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IF(AND('Project Database'!A304&lt;&gt;"",OR('Smart Search'!$L$5="",'Smart Search'!$L$5="All",TRIM('Project Database'!D304)=TRIM('Smart Search'!$L$5)),OR(TRIM('Smart Search'!$L$6)="",TRIM('Smart Search'!$L$6)="All",ISNUMBER(SEARCH(SUBSTITUTE(SUBSTITUTE(SUBSTITUTE(TRIM('Smart Search'!$L$6),"~","~~"),"*","~*"),"?","~?"),'Project Database'!C304))),OR('Smart Search'!$L$7="",AND('Project Database'!E304&lt;&gt;"",'Project Database'!E304='Smart Search'!$L$7)),OR('Smart Search'!$L$8="",'Smart Search'!$L$8="All",TRIM('Project Database'!F304)=TRIM('Smart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IF('Project Database'!A304="","",N('Project Database'!AC304))</f>
        <v/>
      </c>
      <c r="BK300" s="5">
        <f>IF('Project Database'!A304="","",N('Project Database'!AD304))</f>
        <v/>
      </c>
      <c r="BL300" s="5">
        <f>IF('Project Database'!A304="","",N('Project Database'!AE304))</f>
        <v/>
      </c>
      <c r="BM300" s="5">
        <f>IF('Project Database'!A304="","",N('Project Database'!AF304))</f>
        <v/>
      </c>
      <c r="BN300" s="5">
        <f>IF('Project Database'!A304="","",N('Project Database'!AG304))</f>
        <v/>
      </c>
      <c r="BO300" s="5">
        <f>IF('Project Database'!A304="","",N('Project Database'!AH304))</f>
        <v/>
      </c>
      <c r="BP300" s="5">
        <f>IF('Project Database'!A304="","",N('Project Database'!AI304))</f>
        <v/>
      </c>
      <c r="BQ300" s="5">
        <f>IF('Project Database'!A304="","",N('Project Database'!AJ304))</f>
        <v/>
      </c>
      <c r="BR300" s="5">
        <f>IF('Project Database'!A304="","",N('Project Database'!AK304))</f>
        <v/>
      </c>
      <c r="BS300" s="5">
        <f>IF('Project Database'!A304="","",N('Project Database'!AL304))</f>
        <v/>
      </c>
      <c r="BT300" s="5">
        <f>IF('Project Database'!A304="","",N('Project Database'!AM304))</f>
        <v/>
      </c>
      <c r="BU300" s="5">
        <f>IF('Project Database'!A304="","",N('Project Database'!AN304))</f>
        <v/>
      </c>
      <c r="BV300" s="5">
        <f>IF('Project Database'!A304="","",N('Project Database'!AO304))</f>
        <v/>
      </c>
      <c r="BW300" s="5">
        <f>IF('Project Database'!A304="","",N('Project Database'!AP304))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</row>
    <row r="301" ht="15" customHeight="1" s="74">
      <c r="A301" s="66">
        <f>'Project Database'!A305</f>
        <v/>
      </c>
      <c r="B301" s="66">
        <f>'Project Database'!B305</f>
        <v/>
      </c>
      <c r="C301" s="66">
        <f>'Project Database'!G305</f>
        <v/>
      </c>
      <c r="D301" s="66">
        <f>'Project Database'!H305</f>
        <v/>
      </c>
      <c r="E301" s="66">
        <f>'Project Database'!I305</f>
        <v/>
      </c>
      <c r="F301" s="66">
        <f>'Project Database'!J305</f>
        <v/>
      </c>
      <c r="G301" s="66">
        <f>'Project Database'!K305</f>
        <v/>
      </c>
      <c r="H301" s="66">
        <f>'Project Database'!L305</f>
        <v/>
      </c>
      <c r="I301" s="66">
        <f>'Project Database'!M305</f>
        <v/>
      </c>
      <c r="J301" s="66">
        <f>'Project Database'!N305</f>
        <v/>
      </c>
      <c r="K301" s="66">
        <f>'Project Database'!O305</f>
        <v/>
      </c>
      <c r="L301" s="66">
        <f>'Project Database'!P305</f>
        <v/>
      </c>
      <c r="M301" s="66">
        <f>'Project Database'!Q305</f>
        <v/>
      </c>
      <c r="N301" s="66">
        <f>'Project Database'!R305</f>
        <v/>
      </c>
      <c r="O301" s="66">
        <f>'Project Database'!S305</f>
        <v/>
      </c>
      <c r="P301" s="66">
        <f>'Project Database'!T305</f>
        <v/>
      </c>
      <c r="Q301" s="66">
        <f>'Project Database'!U305</f>
        <v/>
      </c>
      <c r="R301" s="66">
        <f>'Project Database'!V305</f>
        <v/>
      </c>
      <c r="S301" s="66">
        <f>'Project Database'!W305</f>
        <v/>
      </c>
      <c r="T301" s="66">
        <f>'Project Database'!X305</f>
        <v/>
      </c>
      <c r="U301" s="67">
        <f>'Project Database'!Y305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'Project Database'!Z305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IF(AND('Project Database'!A305&lt;&gt;"",OR('Smart Search'!$L$5="",'Smart Search'!$L$5="All",TRIM('Project Database'!D305)=TRIM('Smart Search'!$L$5)),OR(TRIM('Smart Search'!$L$6)="",TRIM('Smart Search'!$L$6)="All",ISNUMBER(SEARCH(SUBSTITUTE(SUBSTITUTE(SUBSTITUTE(TRIM('Smart Search'!$L$6),"~","~~"),"*","~*"),"?","~?"),'Project Database'!C305))),OR('Smart Search'!$L$7="",AND('Project Database'!E305&lt;&gt;"",'Project Database'!E305='Smart Search'!$L$7)),OR('Smart Search'!$L$8="",'Smart Search'!$L$8="All",TRIM('Project Database'!F305)=TRIM('Smart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IF('Project Database'!A305="","",N('Project Database'!AC305))</f>
        <v/>
      </c>
      <c r="BK301" s="5">
        <f>IF('Project Database'!A305="","",N('Project Database'!AD305))</f>
        <v/>
      </c>
      <c r="BL301" s="5">
        <f>IF('Project Database'!A305="","",N('Project Database'!AE305))</f>
        <v/>
      </c>
      <c r="BM301" s="5">
        <f>IF('Project Database'!A305="","",N('Project Database'!AF305))</f>
        <v/>
      </c>
      <c r="BN301" s="5">
        <f>IF('Project Database'!A305="","",N('Project Database'!AG305))</f>
        <v/>
      </c>
      <c r="BO301" s="5">
        <f>IF('Project Database'!A305="","",N('Project Database'!AH305))</f>
        <v/>
      </c>
      <c r="BP301" s="5">
        <f>IF('Project Database'!A305="","",N('Project Database'!AI305))</f>
        <v/>
      </c>
      <c r="BQ301" s="5">
        <f>IF('Project Database'!A305="","",N('Project Database'!AJ305))</f>
        <v/>
      </c>
      <c r="BR301" s="5">
        <f>IF('Project Database'!A305="","",N('Project Database'!AK305))</f>
        <v/>
      </c>
      <c r="BS301" s="5">
        <f>IF('Project Database'!A305="","",N('Project Database'!AL305))</f>
        <v/>
      </c>
      <c r="BT301" s="5">
        <f>IF('Project Database'!A305="","",N('Project Database'!AM305))</f>
        <v/>
      </c>
      <c r="BU301" s="5">
        <f>IF('Project Database'!A305="","",N('Project Database'!AN305))</f>
        <v/>
      </c>
      <c r="BV301" s="5">
        <f>IF('Project Database'!A305="","",N('Project Database'!AO305))</f>
        <v/>
      </c>
      <c r="BW301" s="5">
        <f>IF('Project Database'!A305="","",N('Project Database'!AP305))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</row>
    <row r="302" ht="15" customHeight="1" s="74">
      <c r="A302" s="66">
        <f>'Project Database'!A306</f>
        <v/>
      </c>
      <c r="B302" s="66">
        <f>'Project Database'!B306</f>
        <v/>
      </c>
      <c r="C302" s="66">
        <f>'Project Database'!G306</f>
        <v/>
      </c>
      <c r="D302" s="66">
        <f>'Project Database'!H306</f>
        <v/>
      </c>
      <c r="E302" s="66">
        <f>'Project Database'!I306</f>
        <v/>
      </c>
      <c r="F302" s="66">
        <f>'Project Database'!J306</f>
        <v/>
      </c>
      <c r="G302" s="66">
        <f>'Project Database'!K306</f>
        <v/>
      </c>
      <c r="H302" s="66">
        <f>'Project Database'!L306</f>
        <v/>
      </c>
      <c r="I302" s="66">
        <f>'Project Database'!M306</f>
        <v/>
      </c>
      <c r="J302" s="66">
        <f>'Project Database'!N306</f>
        <v/>
      </c>
      <c r="K302" s="66">
        <f>'Project Database'!O306</f>
        <v/>
      </c>
      <c r="L302" s="66">
        <f>'Project Database'!P306</f>
        <v/>
      </c>
      <c r="M302" s="66">
        <f>'Project Database'!Q306</f>
        <v/>
      </c>
      <c r="N302" s="66">
        <f>'Project Database'!R306</f>
        <v/>
      </c>
      <c r="O302" s="66">
        <f>'Project Database'!S306</f>
        <v/>
      </c>
      <c r="P302" s="66">
        <f>'Project Database'!T306</f>
        <v/>
      </c>
      <c r="Q302" s="66">
        <f>'Project Database'!U306</f>
        <v/>
      </c>
      <c r="R302" s="66">
        <f>'Project Database'!V306</f>
        <v/>
      </c>
      <c r="S302" s="66">
        <f>'Project Database'!W306</f>
        <v/>
      </c>
      <c r="T302" s="66">
        <f>'Project Database'!X306</f>
        <v/>
      </c>
      <c r="U302" s="67">
        <f>'Project Database'!Y306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'Project Database'!Z306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IF(AND('Project Database'!A306&lt;&gt;"",OR('Smart Search'!$L$5="",'Smart Search'!$L$5="All",TRIM('Project Database'!D306)=TRIM('Smart Search'!$L$5)),OR(TRIM('Smart Search'!$L$6)="",TRIM('Smart Search'!$L$6)="All",ISNUMBER(SEARCH(SUBSTITUTE(SUBSTITUTE(SUBSTITUTE(TRIM('Smart Search'!$L$6),"~","~~"),"*","~*"),"?","~?"),'Project Database'!C306))),OR('Smart Search'!$L$7="",AND('Project Database'!E306&lt;&gt;"",'Project Database'!E306='Smart Search'!$L$7)),OR('Smart Search'!$L$8="",'Smart Search'!$L$8="All",TRIM('Project Database'!F306)=TRIM('Smart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IF('Project Database'!A306="","",N('Project Database'!AC306))</f>
        <v/>
      </c>
      <c r="BK302" s="5">
        <f>IF('Project Database'!A306="","",N('Project Database'!AD306))</f>
        <v/>
      </c>
      <c r="BL302" s="5">
        <f>IF('Project Database'!A306="","",N('Project Database'!AE306))</f>
        <v/>
      </c>
      <c r="BM302" s="5">
        <f>IF('Project Database'!A306="","",N('Project Database'!AF306))</f>
        <v/>
      </c>
      <c r="BN302" s="5">
        <f>IF('Project Database'!A306="","",N('Project Database'!AG306))</f>
        <v/>
      </c>
      <c r="BO302" s="5">
        <f>IF('Project Database'!A306="","",N('Project Database'!AH306))</f>
        <v/>
      </c>
      <c r="BP302" s="5">
        <f>IF('Project Database'!A306="","",N('Project Database'!AI306))</f>
        <v/>
      </c>
      <c r="BQ302" s="5">
        <f>IF('Project Database'!A306="","",N('Project Database'!AJ306))</f>
        <v/>
      </c>
      <c r="BR302" s="5">
        <f>IF('Project Database'!A306="","",N('Project Database'!AK306))</f>
        <v/>
      </c>
      <c r="BS302" s="5">
        <f>IF('Project Database'!A306="","",N('Project Database'!AL306))</f>
        <v/>
      </c>
      <c r="BT302" s="5">
        <f>IF('Project Database'!A306="","",N('Project Database'!AM306))</f>
        <v/>
      </c>
      <c r="BU302" s="5">
        <f>IF('Project Database'!A306="","",N('Project Database'!AN306))</f>
        <v/>
      </c>
      <c r="BV302" s="5">
        <f>IF('Project Database'!A306="","",N('Project Database'!AO306))</f>
        <v/>
      </c>
      <c r="BW302" s="5">
        <f>IF('Project Database'!A306="","",N('Project Database'!AP306))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</row>
    <row r="303" ht="15" customHeight="1" s="74">
      <c r="A303" s="66">
        <f>'Project Database'!A307</f>
        <v/>
      </c>
      <c r="B303" s="66">
        <f>'Project Database'!B307</f>
        <v/>
      </c>
      <c r="C303" s="66">
        <f>'Project Database'!G307</f>
        <v/>
      </c>
      <c r="D303" s="66">
        <f>'Project Database'!H307</f>
        <v/>
      </c>
      <c r="E303" s="66">
        <f>'Project Database'!I307</f>
        <v/>
      </c>
      <c r="F303" s="66">
        <f>'Project Database'!J307</f>
        <v/>
      </c>
      <c r="G303" s="66">
        <f>'Project Database'!K307</f>
        <v/>
      </c>
      <c r="H303" s="66">
        <f>'Project Database'!L307</f>
        <v/>
      </c>
      <c r="I303" s="66">
        <f>'Project Database'!M307</f>
        <v/>
      </c>
      <c r="J303" s="66">
        <f>'Project Database'!N307</f>
        <v/>
      </c>
      <c r="K303" s="66">
        <f>'Project Database'!O307</f>
        <v/>
      </c>
      <c r="L303" s="66">
        <f>'Project Database'!P307</f>
        <v/>
      </c>
      <c r="M303" s="66">
        <f>'Project Database'!Q307</f>
        <v/>
      </c>
      <c r="N303" s="66">
        <f>'Project Database'!R307</f>
        <v/>
      </c>
      <c r="O303" s="66">
        <f>'Project Database'!S307</f>
        <v/>
      </c>
      <c r="P303" s="66">
        <f>'Project Database'!T307</f>
        <v/>
      </c>
      <c r="Q303" s="66">
        <f>'Project Database'!U307</f>
        <v/>
      </c>
      <c r="R303" s="66">
        <f>'Project Database'!V307</f>
        <v/>
      </c>
      <c r="S303" s="66">
        <f>'Project Database'!W307</f>
        <v/>
      </c>
      <c r="T303" s="66">
        <f>'Project Database'!X307</f>
        <v/>
      </c>
      <c r="U303" s="67">
        <f>'Project Database'!Y307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'Project Database'!Z307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IF(AND('Project Database'!A307&lt;&gt;"",OR('Smart Search'!$L$5="",'Smart Search'!$L$5="All",TRIM('Project Database'!D307)=TRIM('Smart Search'!$L$5)),OR(TRIM('Smart Search'!$L$6)="",TRIM('Smart Search'!$L$6)="All",ISNUMBER(SEARCH(SUBSTITUTE(SUBSTITUTE(SUBSTITUTE(TRIM('Smart Search'!$L$6),"~","~~"),"*","~*"),"?","~?"),'Project Database'!C307))),OR('Smart Search'!$L$7="",AND('Project Database'!E307&lt;&gt;"",'Project Database'!E307='Smart Search'!$L$7)),OR('Smart Search'!$L$8="",'Smart Search'!$L$8="All",TRIM('Project Database'!F307)=TRIM('Smart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IF('Project Database'!A307="","",N('Project Database'!AC307))</f>
        <v/>
      </c>
      <c r="BK303" s="5">
        <f>IF('Project Database'!A307="","",N('Project Database'!AD307))</f>
        <v/>
      </c>
      <c r="BL303" s="5">
        <f>IF('Project Database'!A307="","",N('Project Database'!AE307))</f>
        <v/>
      </c>
      <c r="BM303" s="5">
        <f>IF('Project Database'!A307="","",N('Project Database'!AF307))</f>
        <v/>
      </c>
      <c r="BN303" s="5">
        <f>IF('Project Database'!A307="","",N('Project Database'!AG307))</f>
        <v/>
      </c>
      <c r="BO303" s="5">
        <f>IF('Project Database'!A307="","",N('Project Database'!AH307))</f>
        <v/>
      </c>
      <c r="BP303" s="5">
        <f>IF('Project Database'!A307="","",N('Project Database'!AI307))</f>
        <v/>
      </c>
      <c r="BQ303" s="5">
        <f>IF('Project Database'!A307="","",N('Project Database'!AJ307))</f>
        <v/>
      </c>
      <c r="BR303" s="5">
        <f>IF('Project Database'!A307="","",N('Project Database'!AK307))</f>
        <v/>
      </c>
      <c r="BS303" s="5">
        <f>IF('Project Database'!A307="","",N('Project Database'!AL307))</f>
        <v/>
      </c>
      <c r="BT303" s="5">
        <f>IF('Project Database'!A307="","",N('Project Database'!AM307))</f>
        <v/>
      </c>
      <c r="BU303" s="5">
        <f>IF('Project Database'!A307="","",N('Project Database'!AN307))</f>
        <v/>
      </c>
      <c r="BV303" s="5">
        <f>IF('Project Database'!A307="","",N('Project Database'!AO307))</f>
        <v/>
      </c>
      <c r="BW303" s="5">
        <f>IF('Project Database'!A307="","",N('Project Database'!AP307))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</row>
    <row r="304" ht="15" customHeight="1" s="74">
      <c r="A304" s="66">
        <f>'Project Database'!A308</f>
        <v/>
      </c>
      <c r="B304" s="66">
        <f>'Project Database'!B308</f>
        <v/>
      </c>
      <c r="C304" s="66">
        <f>'Project Database'!G308</f>
        <v/>
      </c>
      <c r="D304" s="66">
        <f>'Project Database'!H308</f>
        <v/>
      </c>
      <c r="E304" s="66">
        <f>'Project Database'!I308</f>
        <v/>
      </c>
      <c r="F304" s="66">
        <f>'Project Database'!J308</f>
        <v/>
      </c>
      <c r="G304" s="66">
        <f>'Project Database'!K308</f>
        <v/>
      </c>
      <c r="H304" s="66">
        <f>'Project Database'!L308</f>
        <v/>
      </c>
      <c r="I304" s="66">
        <f>'Project Database'!M308</f>
        <v/>
      </c>
      <c r="J304" s="66">
        <f>'Project Database'!N308</f>
        <v/>
      </c>
      <c r="K304" s="66">
        <f>'Project Database'!O308</f>
        <v/>
      </c>
      <c r="L304" s="66">
        <f>'Project Database'!P308</f>
        <v/>
      </c>
      <c r="M304" s="66">
        <f>'Project Database'!Q308</f>
        <v/>
      </c>
      <c r="N304" s="66">
        <f>'Project Database'!R308</f>
        <v/>
      </c>
      <c r="O304" s="66">
        <f>'Project Database'!S308</f>
        <v/>
      </c>
      <c r="P304" s="66">
        <f>'Project Database'!T308</f>
        <v/>
      </c>
      <c r="Q304" s="66">
        <f>'Project Database'!U308</f>
        <v/>
      </c>
      <c r="R304" s="66">
        <f>'Project Database'!V308</f>
        <v/>
      </c>
      <c r="S304" s="66">
        <f>'Project Database'!W308</f>
        <v/>
      </c>
      <c r="T304" s="66">
        <f>'Project Database'!X308</f>
        <v/>
      </c>
      <c r="U304" s="67">
        <f>'Project Database'!Y308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'Project Database'!Z308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IF(AND('Project Database'!A308&lt;&gt;"",OR('Smart Search'!$L$5="",'Smart Search'!$L$5="All",TRIM('Project Database'!D308)=TRIM('Smart Search'!$L$5)),OR(TRIM('Smart Search'!$L$6)="",TRIM('Smart Search'!$L$6)="All",ISNUMBER(SEARCH(SUBSTITUTE(SUBSTITUTE(SUBSTITUTE(TRIM('Smart Search'!$L$6),"~","~~"),"*","~*"),"?","~?"),'Project Database'!C308))),OR('Smart Search'!$L$7="",AND('Project Database'!E308&lt;&gt;"",'Project Database'!E308='Smart Search'!$L$7)),OR('Smart Search'!$L$8="",'Smart Search'!$L$8="All",TRIM('Project Database'!F308)=TRIM('Smart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IF('Project Database'!A308="","",N('Project Database'!AC308))</f>
        <v/>
      </c>
      <c r="BK304" s="5">
        <f>IF('Project Database'!A308="","",N('Project Database'!AD308))</f>
        <v/>
      </c>
      <c r="BL304" s="5">
        <f>IF('Project Database'!A308="","",N('Project Database'!AE308))</f>
        <v/>
      </c>
      <c r="BM304" s="5">
        <f>IF('Project Database'!A308="","",N('Project Database'!AF308))</f>
        <v/>
      </c>
      <c r="BN304" s="5">
        <f>IF('Project Database'!A308="","",N('Project Database'!AG308))</f>
        <v/>
      </c>
      <c r="BO304" s="5">
        <f>IF('Project Database'!A308="","",N('Project Database'!AH308))</f>
        <v/>
      </c>
      <c r="BP304" s="5">
        <f>IF('Project Database'!A308="","",N('Project Database'!AI308))</f>
        <v/>
      </c>
      <c r="BQ304" s="5">
        <f>IF('Project Database'!A308="","",N('Project Database'!AJ308))</f>
        <v/>
      </c>
      <c r="BR304" s="5">
        <f>IF('Project Database'!A308="","",N('Project Database'!AK308))</f>
        <v/>
      </c>
      <c r="BS304" s="5">
        <f>IF('Project Database'!A308="","",N('Project Database'!AL308))</f>
        <v/>
      </c>
      <c r="BT304" s="5">
        <f>IF('Project Database'!A308="","",N('Project Database'!AM308))</f>
        <v/>
      </c>
      <c r="BU304" s="5">
        <f>IF('Project Database'!A308="","",N('Project Database'!AN308))</f>
        <v/>
      </c>
      <c r="BV304" s="5">
        <f>IF('Project Database'!A308="","",N('Project Database'!AO308))</f>
        <v/>
      </c>
      <c r="BW304" s="5">
        <f>IF('Project Database'!A308="","",N('Project Database'!AP308))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</row>
    <row r="305" ht="15" customHeight="1" s="74">
      <c r="A305" s="66">
        <f>'Project Database'!A309</f>
        <v/>
      </c>
      <c r="B305" s="66">
        <f>'Project Database'!B309</f>
        <v/>
      </c>
      <c r="C305" s="66">
        <f>'Project Database'!G309</f>
        <v/>
      </c>
      <c r="D305" s="66">
        <f>'Project Database'!H309</f>
        <v/>
      </c>
      <c r="E305" s="66">
        <f>'Project Database'!I309</f>
        <v/>
      </c>
      <c r="F305" s="66">
        <f>'Project Database'!J309</f>
        <v/>
      </c>
      <c r="G305" s="66">
        <f>'Project Database'!K309</f>
        <v/>
      </c>
      <c r="H305" s="66">
        <f>'Project Database'!L309</f>
        <v/>
      </c>
      <c r="I305" s="66">
        <f>'Project Database'!M309</f>
        <v/>
      </c>
      <c r="J305" s="66">
        <f>'Project Database'!N309</f>
        <v/>
      </c>
      <c r="K305" s="66">
        <f>'Project Database'!O309</f>
        <v/>
      </c>
      <c r="L305" s="66">
        <f>'Project Database'!P309</f>
        <v/>
      </c>
      <c r="M305" s="66">
        <f>'Project Database'!Q309</f>
        <v/>
      </c>
      <c r="N305" s="66">
        <f>'Project Database'!R309</f>
        <v/>
      </c>
      <c r="O305" s="66">
        <f>'Project Database'!S309</f>
        <v/>
      </c>
      <c r="P305" s="66">
        <f>'Project Database'!T309</f>
        <v/>
      </c>
      <c r="Q305" s="66">
        <f>'Project Database'!U309</f>
        <v/>
      </c>
      <c r="R305" s="66">
        <f>'Project Database'!V309</f>
        <v/>
      </c>
      <c r="S305" s="66">
        <f>'Project Database'!W309</f>
        <v/>
      </c>
      <c r="T305" s="66">
        <f>'Project Database'!X309</f>
        <v/>
      </c>
      <c r="U305" s="67">
        <f>'Project Database'!Y309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'Project Database'!Z309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IF(AND('Project Database'!A309&lt;&gt;"",OR('Smart Search'!$L$5="",'Smart Search'!$L$5="All",TRIM('Project Database'!D309)=TRIM('Smart Search'!$L$5)),OR(TRIM('Smart Search'!$L$6)="",TRIM('Smart Search'!$L$6)="All",ISNUMBER(SEARCH(SUBSTITUTE(SUBSTITUTE(SUBSTITUTE(TRIM('Smart Search'!$L$6),"~","~~"),"*","~*"),"?","~?"),'Project Database'!C309))),OR('Smart Search'!$L$7="",AND('Project Database'!E309&lt;&gt;"",'Project Database'!E309='Smart Search'!$L$7)),OR('Smart Search'!$L$8="",'Smart Search'!$L$8="All",TRIM('Project Database'!F309)=TRIM('Smart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IF('Project Database'!A309="","",N('Project Database'!AC309))</f>
        <v/>
      </c>
      <c r="BK305" s="5">
        <f>IF('Project Database'!A309="","",N('Project Database'!AD309))</f>
        <v/>
      </c>
      <c r="BL305" s="5">
        <f>IF('Project Database'!A309="","",N('Project Database'!AE309))</f>
        <v/>
      </c>
      <c r="BM305" s="5">
        <f>IF('Project Database'!A309="","",N('Project Database'!AF309))</f>
        <v/>
      </c>
      <c r="BN305" s="5">
        <f>IF('Project Database'!A309="","",N('Project Database'!AG309))</f>
        <v/>
      </c>
      <c r="BO305" s="5">
        <f>IF('Project Database'!A309="","",N('Project Database'!AH309))</f>
        <v/>
      </c>
      <c r="BP305" s="5">
        <f>IF('Project Database'!A309="","",N('Project Database'!AI309))</f>
        <v/>
      </c>
      <c r="BQ305" s="5">
        <f>IF('Project Database'!A309="","",N('Project Database'!AJ309))</f>
        <v/>
      </c>
      <c r="BR305" s="5">
        <f>IF('Project Database'!A309="","",N('Project Database'!AK309))</f>
        <v/>
      </c>
      <c r="BS305" s="5">
        <f>IF('Project Database'!A309="","",N('Project Database'!AL309))</f>
        <v/>
      </c>
      <c r="BT305" s="5">
        <f>IF('Project Database'!A309="","",N('Project Database'!AM309))</f>
        <v/>
      </c>
      <c r="BU305" s="5">
        <f>IF('Project Database'!A309="","",N('Project Database'!AN309))</f>
        <v/>
      </c>
      <c r="BV305" s="5">
        <f>IF('Project Database'!A309="","",N('Project Database'!AO309))</f>
        <v/>
      </c>
      <c r="BW305" s="5">
        <f>IF('Project Database'!A309="","",N('Project Database'!AP309))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</row>
    <row r="306" ht="15" customHeight="1" s="74">
      <c r="A306" s="66">
        <f>'Project Database'!A310</f>
        <v/>
      </c>
      <c r="B306" s="66">
        <f>'Project Database'!B310</f>
        <v/>
      </c>
      <c r="C306" s="66">
        <f>'Project Database'!G310</f>
        <v/>
      </c>
      <c r="D306" s="66">
        <f>'Project Database'!H310</f>
        <v/>
      </c>
      <c r="E306" s="66">
        <f>'Project Database'!I310</f>
        <v/>
      </c>
      <c r="F306" s="66">
        <f>'Project Database'!J310</f>
        <v/>
      </c>
      <c r="G306" s="66">
        <f>'Project Database'!K310</f>
        <v/>
      </c>
      <c r="H306" s="66">
        <f>'Project Database'!L310</f>
        <v/>
      </c>
      <c r="I306" s="66">
        <f>'Project Database'!M310</f>
        <v/>
      </c>
      <c r="J306" s="66">
        <f>'Project Database'!N310</f>
        <v/>
      </c>
      <c r="K306" s="66">
        <f>'Project Database'!O310</f>
        <v/>
      </c>
      <c r="L306" s="66">
        <f>'Project Database'!P310</f>
        <v/>
      </c>
      <c r="M306" s="66">
        <f>'Project Database'!Q310</f>
        <v/>
      </c>
      <c r="N306" s="66">
        <f>'Project Database'!R310</f>
        <v/>
      </c>
      <c r="O306" s="66">
        <f>'Project Database'!S310</f>
        <v/>
      </c>
      <c r="P306" s="66">
        <f>'Project Database'!T310</f>
        <v/>
      </c>
      <c r="Q306" s="66">
        <f>'Project Database'!U310</f>
        <v/>
      </c>
      <c r="R306" s="66">
        <f>'Project Database'!V310</f>
        <v/>
      </c>
      <c r="S306" s="66">
        <f>'Project Database'!W310</f>
        <v/>
      </c>
      <c r="T306" s="66">
        <f>'Project Database'!X310</f>
        <v/>
      </c>
      <c r="U306" s="67">
        <f>'Project Database'!Y310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'Project Database'!Z310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IF(AND('Project Database'!A310&lt;&gt;"",OR('Smart Search'!$L$5="",'Smart Search'!$L$5="All",TRIM('Project Database'!D310)=TRIM('Smart Search'!$L$5)),OR(TRIM('Smart Search'!$L$6)="",TRIM('Smart Search'!$L$6)="All",ISNUMBER(SEARCH(SUBSTITUTE(SUBSTITUTE(SUBSTITUTE(TRIM('Smart Search'!$L$6),"~","~~"),"*","~*"),"?","~?"),'Project Database'!C310))),OR('Smart Search'!$L$7="",AND('Project Database'!E310&lt;&gt;"",'Project Database'!E310='Smart Search'!$L$7)),OR('Smart Search'!$L$8="",'Smart Search'!$L$8="All",TRIM('Project Database'!F310)=TRIM('Smart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IF('Project Database'!A310="","",N('Project Database'!AC310))</f>
        <v/>
      </c>
      <c r="BK306" s="5">
        <f>IF('Project Database'!A310="","",N('Project Database'!AD310))</f>
        <v/>
      </c>
      <c r="BL306" s="5">
        <f>IF('Project Database'!A310="","",N('Project Database'!AE310))</f>
        <v/>
      </c>
      <c r="BM306" s="5">
        <f>IF('Project Database'!A310="","",N('Project Database'!AF310))</f>
        <v/>
      </c>
      <c r="BN306" s="5">
        <f>IF('Project Database'!A310="","",N('Project Database'!AG310))</f>
        <v/>
      </c>
      <c r="BO306" s="5">
        <f>IF('Project Database'!A310="","",N('Project Database'!AH310))</f>
        <v/>
      </c>
      <c r="BP306" s="5">
        <f>IF('Project Database'!A310="","",N('Project Database'!AI310))</f>
        <v/>
      </c>
      <c r="BQ306" s="5">
        <f>IF('Project Database'!A310="","",N('Project Database'!AJ310))</f>
        <v/>
      </c>
      <c r="BR306" s="5">
        <f>IF('Project Database'!A310="","",N('Project Database'!AK310))</f>
        <v/>
      </c>
      <c r="BS306" s="5">
        <f>IF('Project Database'!A310="","",N('Project Database'!AL310))</f>
        <v/>
      </c>
      <c r="BT306" s="5">
        <f>IF('Project Database'!A310="","",N('Project Database'!AM310))</f>
        <v/>
      </c>
      <c r="BU306" s="5">
        <f>IF('Project Database'!A310="","",N('Project Database'!AN310))</f>
        <v/>
      </c>
      <c r="BV306" s="5">
        <f>IF('Project Database'!A310="","",N('Project Database'!AO310))</f>
        <v/>
      </c>
      <c r="BW306" s="5">
        <f>IF('Project Database'!A310="","",N('Project Database'!AP310))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</row>
    <row r="307" ht="15" customHeight="1" s="74">
      <c r="A307" s="66">
        <f>'Project Database'!A311</f>
        <v/>
      </c>
      <c r="B307" s="66">
        <f>'Project Database'!B311</f>
        <v/>
      </c>
      <c r="C307" s="66">
        <f>'Project Database'!G311</f>
        <v/>
      </c>
      <c r="D307" s="66">
        <f>'Project Database'!H311</f>
        <v/>
      </c>
      <c r="E307" s="66">
        <f>'Project Database'!I311</f>
        <v/>
      </c>
      <c r="F307" s="66">
        <f>'Project Database'!J311</f>
        <v/>
      </c>
      <c r="G307" s="66">
        <f>'Project Database'!K311</f>
        <v/>
      </c>
      <c r="H307" s="66">
        <f>'Project Database'!L311</f>
        <v/>
      </c>
      <c r="I307" s="66">
        <f>'Project Database'!M311</f>
        <v/>
      </c>
      <c r="J307" s="66">
        <f>'Project Database'!N311</f>
        <v/>
      </c>
      <c r="K307" s="66">
        <f>'Project Database'!O311</f>
        <v/>
      </c>
      <c r="L307" s="66">
        <f>'Project Database'!P311</f>
        <v/>
      </c>
      <c r="M307" s="66">
        <f>'Project Database'!Q311</f>
        <v/>
      </c>
      <c r="N307" s="66">
        <f>'Project Database'!R311</f>
        <v/>
      </c>
      <c r="O307" s="66">
        <f>'Project Database'!S311</f>
        <v/>
      </c>
      <c r="P307" s="66">
        <f>'Project Database'!T311</f>
        <v/>
      </c>
      <c r="Q307" s="66">
        <f>'Project Database'!U311</f>
        <v/>
      </c>
      <c r="R307" s="66">
        <f>'Project Database'!V311</f>
        <v/>
      </c>
      <c r="S307" s="66">
        <f>'Project Database'!W311</f>
        <v/>
      </c>
      <c r="T307" s="66">
        <f>'Project Database'!X311</f>
        <v/>
      </c>
      <c r="U307" s="67">
        <f>'Project Database'!Y311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'Project Database'!Z311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IF(AND('Project Database'!A311&lt;&gt;"",OR('Smart Search'!$L$5="",'Smart Search'!$L$5="All",TRIM('Project Database'!D311)=TRIM('Smart Search'!$L$5)),OR(TRIM('Smart Search'!$L$6)="",TRIM('Smart Search'!$L$6)="All",ISNUMBER(SEARCH(SUBSTITUTE(SUBSTITUTE(SUBSTITUTE(TRIM('Smart Search'!$L$6),"~","~~"),"*","~*"),"?","~?"),'Project Database'!C311))),OR('Smart Search'!$L$7="",AND('Project Database'!E311&lt;&gt;"",'Project Database'!E311='Smart Search'!$L$7)),OR('Smart Search'!$L$8="",'Smart Search'!$L$8="All",TRIM('Project Database'!F311)=TRIM('Smart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IF('Project Database'!A311="","",N('Project Database'!AC311))</f>
        <v/>
      </c>
      <c r="BK307" s="5">
        <f>IF('Project Database'!A311="","",N('Project Database'!AD311))</f>
        <v/>
      </c>
      <c r="BL307" s="5">
        <f>IF('Project Database'!A311="","",N('Project Database'!AE311))</f>
        <v/>
      </c>
      <c r="BM307" s="5">
        <f>IF('Project Database'!A311="","",N('Project Database'!AF311))</f>
        <v/>
      </c>
      <c r="BN307" s="5">
        <f>IF('Project Database'!A311="","",N('Project Database'!AG311))</f>
        <v/>
      </c>
      <c r="BO307" s="5">
        <f>IF('Project Database'!A311="","",N('Project Database'!AH311))</f>
        <v/>
      </c>
      <c r="BP307" s="5">
        <f>IF('Project Database'!A311="","",N('Project Database'!AI311))</f>
        <v/>
      </c>
      <c r="BQ307" s="5">
        <f>IF('Project Database'!A311="","",N('Project Database'!AJ311))</f>
        <v/>
      </c>
      <c r="BR307" s="5">
        <f>IF('Project Database'!A311="","",N('Project Database'!AK311))</f>
        <v/>
      </c>
      <c r="BS307" s="5">
        <f>IF('Project Database'!A311="","",N('Project Database'!AL311))</f>
        <v/>
      </c>
      <c r="BT307" s="5">
        <f>IF('Project Database'!A311="","",N('Project Database'!AM311))</f>
        <v/>
      </c>
      <c r="BU307" s="5">
        <f>IF('Project Database'!A311="","",N('Project Database'!AN311))</f>
        <v/>
      </c>
      <c r="BV307" s="5">
        <f>IF('Project Database'!A311="","",N('Project Database'!AO311))</f>
        <v/>
      </c>
      <c r="BW307" s="5">
        <f>IF('Project Database'!A311="","",N('Project Database'!AP311))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</row>
    <row r="308" ht="15" customHeight="1" s="74">
      <c r="A308" s="66">
        <f>'Project Database'!A312</f>
        <v/>
      </c>
      <c r="B308" s="66">
        <f>'Project Database'!B312</f>
        <v/>
      </c>
      <c r="C308" s="66">
        <f>'Project Database'!G312</f>
        <v/>
      </c>
      <c r="D308" s="66">
        <f>'Project Database'!H312</f>
        <v/>
      </c>
      <c r="E308" s="66">
        <f>'Project Database'!I312</f>
        <v/>
      </c>
      <c r="F308" s="66">
        <f>'Project Database'!J312</f>
        <v/>
      </c>
      <c r="G308" s="66">
        <f>'Project Database'!K312</f>
        <v/>
      </c>
      <c r="H308" s="66">
        <f>'Project Database'!L312</f>
        <v/>
      </c>
      <c r="I308" s="66">
        <f>'Project Database'!M312</f>
        <v/>
      </c>
      <c r="J308" s="66">
        <f>'Project Database'!N312</f>
        <v/>
      </c>
      <c r="K308" s="66">
        <f>'Project Database'!O312</f>
        <v/>
      </c>
      <c r="L308" s="66">
        <f>'Project Database'!P312</f>
        <v/>
      </c>
      <c r="M308" s="66">
        <f>'Project Database'!Q312</f>
        <v/>
      </c>
      <c r="N308" s="66">
        <f>'Project Database'!R312</f>
        <v/>
      </c>
      <c r="O308" s="66">
        <f>'Project Database'!S312</f>
        <v/>
      </c>
      <c r="P308" s="66">
        <f>'Project Database'!T312</f>
        <v/>
      </c>
      <c r="Q308" s="66">
        <f>'Project Database'!U312</f>
        <v/>
      </c>
      <c r="R308" s="66">
        <f>'Project Database'!V312</f>
        <v/>
      </c>
      <c r="S308" s="66">
        <f>'Project Database'!W312</f>
        <v/>
      </c>
      <c r="T308" s="66">
        <f>'Project Database'!X312</f>
        <v/>
      </c>
      <c r="U308" s="67">
        <f>'Project Database'!Y312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'Project Database'!Z312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IF(AND('Project Database'!A312&lt;&gt;"",OR('Smart Search'!$L$5="",'Smart Search'!$L$5="All",TRIM('Project Database'!D312)=TRIM('Smart Search'!$L$5)),OR(TRIM('Smart Search'!$L$6)="",TRIM('Smart Search'!$L$6)="All",ISNUMBER(SEARCH(SUBSTITUTE(SUBSTITUTE(SUBSTITUTE(TRIM('Smart Search'!$L$6),"~","~~"),"*","~*"),"?","~?"),'Project Database'!C312))),OR('Smart Search'!$L$7="",AND('Project Database'!E312&lt;&gt;"",'Project Database'!E312='Smart Search'!$L$7)),OR('Smart Search'!$L$8="",'Smart Search'!$L$8="All",TRIM('Project Database'!F312)=TRIM('Smart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IF('Project Database'!A312="","",N('Project Database'!AC312))</f>
        <v/>
      </c>
      <c r="BK308" s="5">
        <f>IF('Project Database'!A312="","",N('Project Database'!AD312))</f>
        <v/>
      </c>
      <c r="BL308" s="5">
        <f>IF('Project Database'!A312="","",N('Project Database'!AE312))</f>
        <v/>
      </c>
      <c r="BM308" s="5">
        <f>IF('Project Database'!A312="","",N('Project Database'!AF312))</f>
        <v/>
      </c>
      <c r="BN308" s="5">
        <f>IF('Project Database'!A312="","",N('Project Database'!AG312))</f>
        <v/>
      </c>
      <c r="BO308" s="5">
        <f>IF('Project Database'!A312="","",N('Project Database'!AH312))</f>
        <v/>
      </c>
      <c r="BP308" s="5">
        <f>IF('Project Database'!A312="","",N('Project Database'!AI312))</f>
        <v/>
      </c>
      <c r="BQ308" s="5">
        <f>IF('Project Database'!A312="","",N('Project Database'!AJ312))</f>
        <v/>
      </c>
      <c r="BR308" s="5">
        <f>IF('Project Database'!A312="","",N('Project Database'!AK312))</f>
        <v/>
      </c>
      <c r="BS308" s="5">
        <f>IF('Project Database'!A312="","",N('Project Database'!AL312))</f>
        <v/>
      </c>
      <c r="BT308" s="5">
        <f>IF('Project Database'!A312="","",N('Project Database'!AM312))</f>
        <v/>
      </c>
      <c r="BU308" s="5">
        <f>IF('Project Database'!A312="","",N('Project Database'!AN312))</f>
        <v/>
      </c>
      <c r="BV308" s="5">
        <f>IF('Project Database'!A312="","",N('Project Database'!AO312))</f>
        <v/>
      </c>
      <c r="BW308" s="5">
        <f>IF('Project Database'!A312="","",N('Project Database'!AP312))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</row>
    <row r="309" ht="15" customHeight="1" s="74">
      <c r="A309" s="66">
        <f>'Project Database'!A313</f>
        <v/>
      </c>
      <c r="B309" s="66">
        <f>'Project Database'!B313</f>
        <v/>
      </c>
      <c r="C309" s="66">
        <f>'Project Database'!G313</f>
        <v/>
      </c>
      <c r="D309" s="66">
        <f>'Project Database'!H313</f>
        <v/>
      </c>
      <c r="E309" s="66">
        <f>'Project Database'!I313</f>
        <v/>
      </c>
      <c r="F309" s="66">
        <f>'Project Database'!J313</f>
        <v/>
      </c>
      <c r="G309" s="66">
        <f>'Project Database'!K313</f>
        <v/>
      </c>
      <c r="H309" s="66">
        <f>'Project Database'!L313</f>
        <v/>
      </c>
      <c r="I309" s="66">
        <f>'Project Database'!M313</f>
        <v/>
      </c>
      <c r="J309" s="66">
        <f>'Project Database'!N313</f>
        <v/>
      </c>
      <c r="K309" s="66">
        <f>'Project Database'!O313</f>
        <v/>
      </c>
      <c r="L309" s="66">
        <f>'Project Database'!P313</f>
        <v/>
      </c>
      <c r="M309" s="66">
        <f>'Project Database'!Q313</f>
        <v/>
      </c>
      <c r="N309" s="66">
        <f>'Project Database'!R313</f>
        <v/>
      </c>
      <c r="O309" s="66">
        <f>'Project Database'!S313</f>
        <v/>
      </c>
      <c r="P309" s="66">
        <f>'Project Database'!T313</f>
        <v/>
      </c>
      <c r="Q309" s="66">
        <f>'Project Database'!U313</f>
        <v/>
      </c>
      <c r="R309" s="66">
        <f>'Project Database'!V313</f>
        <v/>
      </c>
      <c r="S309" s="66">
        <f>'Project Database'!W313</f>
        <v/>
      </c>
      <c r="T309" s="66">
        <f>'Project Database'!X313</f>
        <v/>
      </c>
      <c r="U309" s="67">
        <f>'Project Database'!Y313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'Project Database'!Z313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IF(AND('Project Database'!A313&lt;&gt;"",OR('Smart Search'!$L$5="",'Smart Search'!$L$5="All",TRIM('Project Database'!D313)=TRIM('Smart Search'!$L$5)),OR(TRIM('Smart Search'!$L$6)="",TRIM('Smart Search'!$L$6)="All",ISNUMBER(SEARCH(SUBSTITUTE(SUBSTITUTE(SUBSTITUTE(TRIM('Smart Search'!$L$6),"~","~~"),"*","~*"),"?","~?"),'Project Database'!C313))),OR('Smart Search'!$L$7="",AND('Project Database'!E313&lt;&gt;"",'Project Database'!E313='Smart Search'!$L$7)),OR('Smart Search'!$L$8="",'Smart Search'!$L$8="All",TRIM('Project Database'!F313)=TRIM('Smart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IF('Project Database'!A313="","",N('Project Database'!AC313))</f>
        <v/>
      </c>
      <c r="BK309" s="5">
        <f>IF('Project Database'!A313="","",N('Project Database'!AD313))</f>
        <v/>
      </c>
      <c r="BL309" s="5">
        <f>IF('Project Database'!A313="","",N('Project Database'!AE313))</f>
        <v/>
      </c>
      <c r="BM309" s="5">
        <f>IF('Project Database'!A313="","",N('Project Database'!AF313))</f>
        <v/>
      </c>
      <c r="BN309" s="5">
        <f>IF('Project Database'!A313="","",N('Project Database'!AG313))</f>
        <v/>
      </c>
      <c r="BO309" s="5">
        <f>IF('Project Database'!A313="","",N('Project Database'!AH313))</f>
        <v/>
      </c>
      <c r="BP309" s="5">
        <f>IF('Project Database'!A313="","",N('Project Database'!AI313))</f>
        <v/>
      </c>
      <c r="BQ309" s="5">
        <f>IF('Project Database'!A313="","",N('Project Database'!AJ313))</f>
        <v/>
      </c>
      <c r="BR309" s="5">
        <f>IF('Project Database'!A313="","",N('Project Database'!AK313))</f>
        <v/>
      </c>
      <c r="BS309" s="5">
        <f>IF('Project Database'!A313="","",N('Project Database'!AL313))</f>
        <v/>
      </c>
      <c r="BT309" s="5">
        <f>IF('Project Database'!A313="","",N('Project Database'!AM313))</f>
        <v/>
      </c>
      <c r="BU309" s="5">
        <f>IF('Project Database'!A313="","",N('Project Database'!AN313))</f>
        <v/>
      </c>
      <c r="BV309" s="5">
        <f>IF('Project Database'!A313="","",N('Project Database'!AO313))</f>
        <v/>
      </c>
      <c r="BW309" s="5">
        <f>IF('Project Database'!A313="","",N('Project Database'!AP313))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</row>
    <row r="310" ht="15" customHeight="1" s="74">
      <c r="A310" s="66">
        <f>'Project Database'!A314</f>
        <v/>
      </c>
      <c r="B310" s="66">
        <f>'Project Database'!B314</f>
        <v/>
      </c>
      <c r="C310" s="66">
        <f>'Project Database'!G314</f>
        <v/>
      </c>
      <c r="D310" s="66">
        <f>'Project Database'!H314</f>
        <v/>
      </c>
      <c r="E310" s="66">
        <f>'Project Database'!I314</f>
        <v/>
      </c>
      <c r="F310" s="66">
        <f>'Project Database'!J314</f>
        <v/>
      </c>
      <c r="G310" s="66">
        <f>'Project Database'!K314</f>
        <v/>
      </c>
      <c r="H310" s="66">
        <f>'Project Database'!L314</f>
        <v/>
      </c>
      <c r="I310" s="66">
        <f>'Project Database'!M314</f>
        <v/>
      </c>
      <c r="J310" s="66">
        <f>'Project Database'!N314</f>
        <v/>
      </c>
      <c r="K310" s="66">
        <f>'Project Database'!O314</f>
        <v/>
      </c>
      <c r="L310" s="66">
        <f>'Project Database'!P314</f>
        <v/>
      </c>
      <c r="M310" s="66">
        <f>'Project Database'!Q314</f>
        <v/>
      </c>
      <c r="N310" s="66">
        <f>'Project Database'!R314</f>
        <v/>
      </c>
      <c r="O310" s="66">
        <f>'Project Database'!S314</f>
        <v/>
      </c>
      <c r="P310" s="66">
        <f>'Project Database'!T314</f>
        <v/>
      </c>
      <c r="Q310" s="66">
        <f>'Project Database'!U314</f>
        <v/>
      </c>
      <c r="R310" s="66">
        <f>'Project Database'!V314</f>
        <v/>
      </c>
      <c r="S310" s="66">
        <f>'Project Database'!W314</f>
        <v/>
      </c>
      <c r="T310" s="66">
        <f>'Project Database'!X314</f>
        <v/>
      </c>
      <c r="U310" s="67">
        <f>'Project Database'!Y314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'Project Database'!Z314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IF(AND('Project Database'!A314&lt;&gt;"",OR('Smart Search'!$L$5="",'Smart Search'!$L$5="All",TRIM('Project Database'!D314)=TRIM('Smart Search'!$L$5)),OR(TRIM('Smart Search'!$L$6)="",TRIM('Smart Search'!$L$6)="All",ISNUMBER(SEARCH(SUBSTITUTE(SUBSTITUTE(SUBSTITUTE(TRIM('Smart Search'!$L$6),"~","~~"),"*","~*"),"?","~?"),'Project Database'!C314))),OR('Smart Search'!$L$7="",AND('Project Database'!E314&lt;&gt;"",'Project Database'!E314='Smart Search'!$L$7)),OR('Smart Search'!$L$8="",'Smart Search'!$L$8="All",TRIM('Project Database'!F314)=TRIM('Smart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IF('Project Database'!A314="","",N('Project Database'!AC314))</f>
        <v/>
      </c>
      <c r="BK310" s="5">
        <f>IF('Project Database'!A314="","",N('Project Database'!AD314))</f>
        <v/>
      </c>
      <c r="BL310" s="5">
        <f>IF('Project Database'!A314="","",N('Project Database'!AE314))</f>
        <v/>
      </c>
      <c r="BM310" s="5">
        <f>IF('Project Database'!A314="","",N('Project Database'!AF314))</f>
        <v/>
      </c>
      <c r="BN310" s="5">
        <f>IF('Project Database'!A314="","",N('Project Database'!AG314))</f>
        <v/>
      </c>
      <c r="BO310" s="5">
        <f>IF('Project Database'!A314="","",N('Project Database'!AH314))</f>
        <v/>
      </c>
      <c r="BP310" s="5">
        <f>IF('Project Database'!A314="","",N('Project Database'!AI314))</f>
        <v/>
      </c>
      <c r="BQ310" s="5">
        <f>IF('Project Database'!A314="","",N('Project Database'!AJ314))</f>
        <v/>
      </c>
      <c r="BR310" s="5">
        <f>IF('Project Database'!A314="","",N('Project Database'!AK314))</f>
        <v/>
      </c>
      <c r="BS310" s="5">
        <f>IF('Project Database'!A314="","",N('Project Database'!AL314))</f>
        <v/>
      </c>
      <c r="BT310" s="5">
        <f>IF('Project Database'!A314="","",N('Project Database'!AM314))</f>
        <v/>
      </c>
      <c r="BU310" s="5">
        <f>IF('Project Database'!A314="","",N('Project Database'!AN314))</f>
        <v/>
      </c>
      <c r="BV310" s="5">
        <f>IF('Project Database'!A314="","",N('Project Database'!AO314))</f>
        <v/>
      </c>
      <c r="BW310" s="5">
        <f>IF('Project Database'!A314="","",N('Project Database'!AP314))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</row>
    <row r="311" ht="15" customHeight="1" s="74">
      <c r="A311" s="66">
        <f>'Project Database'!A315</f>
        <v/>
      </c>
      <c r="B311" s="66">
        <f>'Project Database'!B315</f>
        <v/>
      </c>
      <c r="C311" s="66">
        <f>'Project Database'!G315</f>
        <v/>
      </c>
      <c r="D311" s="66">
        <f>'Project Database'!H315</f>
        <v/>
      </c>
      <c r="E311" s="66">
        <f>'Project Database'!I315</f>
        <v/>
      </c>
      <c r="F311" s="66">
        <f>'Project Database'!J315</f>
        <v/>
      </c>
      <c r="G311" s="66">
        <f>'Project Database'!K315</f>
        <v/>
      </c>
      <c r="H311" s="66">
        <f>'Project Database'!L315</f>
        <v/>
      </c>
      <c r="I311" s="66">
        <f>'Project Database'!M315</f>
        <v/>
      </c>
      <c r="J311" s="66">
        <f>'Project Database'!N315</f>
        <v/>
      </c>
      <c r="K311" s="66">
        <f>'Project Database'!O315</f>
        <v/>
      </c>
      <c r="L311" s="66">
        <f>'Project Database'!P315</f>
        <v/>
      </c>
      <c r="M311" s="66">
        <f>'Project Database'!Q315</f>
        <v/>
      </c>
      <c r="N311" s="66">
        <f>'Project Database'!R315</f>
        <v/>
      </c>
      <c r="O311" s="66">
        <f>'Project Database'!S315</f>
        <v/>
      </c>
      <c r="P311" s="66">
        <f>'Project Database'!T315</f>
        <v/>
      </c>
      <c r="Q311" s="66">
        <f>'Project Database'!U315</f>
        <v/>
      </c>
      <c r="R311" s="66">
        <f>'Project Database'!V315</f>
        <v/>
      </c>
      <c r="S311" s="66">
        <f>'Project Database'!W315</f>
        <v/>
      </c>
      <c r="T311" s="66">
        <f>'Project Database'!X315</f>
        <v/>
      </c>
      <c r="U311" s="67">
        <f>'Project Database'!Y315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'Project Database'!Z315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IF(AND('Project Database'!A315&lt;&gt;"",OR('Smart Search'!$L$5="",'Smart Search'!$L$5="All",TRIM('Project Database'!D315)=TRIM('Smart Search'!$L$5)),OR(TRIM('Smart Search'!$L$6)="",TRIM('Smart Search'!$L$6)="All",ISNUMBER(SEARCH(SUBSTITUTE(SUBSTITUTE(SUBSTITUTE(TRIM('Smart Search'!$L$6),"~","~~"),"*","~*"),"?","~?"),'Project Database'!C315))),OR('Smart Search'!$L$7="",AND('Project Database'!E315&lt;&gt;"",'Project Database'!E315='Smart Search'!$L$7)),OR('Smart Search'!$L$8="",'Smart Search'!$L$8="All",TRIM('Project Database'!F315)=TRIM('Smart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IF('Project Database'!A315="","",N('Project Database'!AC315))</f>
        <v/>
      </c>
      <c r="BK311" s="5">
        <f>IF('Project Database'!A315="","",N('Project Database'!AD315))</f>
        <v/>
      </c>
      <c r="BL311" s="5">
        <f>IF('Project Database'!A315="","",N('Project Database'!AE315))</f>
        <v/>
      </c>
      <c r="BM311" s="5">
        <f>IF('Project Database'!A315="","",N('Project Database'!AF315))</f>
        <v/>
      </c>
      <c r="BN311" s="5">
        <f>IF('Project Database'!A315="","",N('Project Database'!AG315))</f>
        <v/>
      </c>
      <c r="BO311" s="5">
        <f>IF('Project Database'!A315="","",N('Project Database'!AH315))</f>
        <v/>
      </c>
      <c r="BP311" s="5">
        <f>IF('Project Database'!A315="","",N('Project Database'!AI315))</f>
        <v/>
      </c>
      <c r="BQ311" s="5">
        <f>IF('Project Database'!A315="","",N('Project Database'!AJ315))</f>
        <v/>
      </c>
      <c r="BR311" s="5">
        <f>IF('Project Database'!A315="","",N('Project Database'!AK315))</f>
        <v/>
      </c>
      <c r="BS311" s="5">
        <f>IF('Project Database'!A315="","",N('Project Database'!AL315))</f>
        <v/>
      </c>
      <c r="BT311" s="5">
        <f>IF('Project Database'!A315="","",N('Project Database'!AM315))</f>
        <v/>
      </c>
      <c r="BU311" s="5">
        <f>IF('Project Database'!A315="","",N('Project Database'!AN315))</f>
        <v/>
      </c>
      <c r="BV311" s="5">
        <f>IF('Project Database'!A315="","",N('Project Database'!AO315))</f>
        <v/>
      </c>
      <c r="BW311" s="5">
        <f>IF('Project Database'!A315="","",N('Project Database'!AP315))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</row>
    <row r="312" ht="15" customHeight="1" s="74">
      <c r="A312" s="66">
        <f>'Project Database'!A316</f>
        <v/>
      </c>
      <c r="B312" s="66">
        <f>'Project Database'!B316</f>
        <v/>
      </c>
      <c r="C312" s="66">
        <f>'Project Database'!G316</f>
        <v/>
      </c>
      <c r="D312" s="66">
        <f>'Project Database'!H316</f>
        <v/>
      </c>
      <c r="E312" s="66">
        <f>'Project Database'!I316</f>
        <v/>
      </c>
      <c r="F312" s="66">
        <f>'Project Database'!J316</f>
        <v/>
      </c>
      <c r="G312" s="66">
        <f>'Project Database'!K316</f>
        <v/>
      </c>
      <c r="H312" s="66">
        <f>'Project Database'!L316</f>
        <v/>
      </c>
      <c r="I312" s="66">
        <f>'Project Database'!M316</f>
        <v/>
      </c>
      <c r="J312" s="66">
        <f>'Project Database'!N316</f>
        <v/>
      </c>
      <c r="K312" s="66">
        <f>'Project Database'!O316</f>
        <v/>
      </c>
      <c r="L312" s="66">
        <f>'Project Database'!P316</f>
        <v/>
      </c>
      <c r="M312" s="66">
        <f>'Project Database'!Q316</f>
        <v/>
      </c>
      <c r="N312" s="66">
        <f>'Project Database'!R316</f>
        <v/>
      </c>
      <c r="O312" s="66">
        <f>'Project Database'!S316</f>
        <v/>
      </c>
      <c r="P312" s="66">
        <f>'Project Database'!T316</f>
        <v/>
      </c>
      <c r="Q312" s="66">
        <f>'Project Database'!U316</f>
        <v/>
      </c>
      <c r="R312" s="66">
        <f>'Project Database'!V316</f>
        <v/>
      </c>
      <c r="S312" s="66">
        <f>'Project Database'!W316</f>
        <v/>
      </c>
      <c r="T312" s="66">
        <f>'Project Database'!X316</f>
        <v/>
      </c>
      <c r="U312" s="67">
        <f>'Project Database'!Y316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'Project Database'!Z316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IF(AND('Project Database'!A316&lt;&gt;"",OR('Smart Search'!$L$5="",'Smart Search'!$L$5="All",TRIM('Project Database'!D316)=TRIM('Smart Search'!$L$5)),OR(TRIM('Smart Search'!$L$6)="",TRIM('Smart Search'!$L$6)="All",ISNUMBER(SEARCH(SUBSTITUTE(SUBSTITUTE(SUBSTITUTE(TRIM('Smart Search'!$L$6),"~","~~"),"*","~*"),"?","~?"),'Project Database'!C316))),OR('Smart Search'!$L$7="",AND('Project Database'!E316&lt;&gt;"",'Project Database'!E316='Smart Search'!$L$7)),OR('Smart Search'!$L$8="",'Smart Search'!$L$8="All",TRIM('Project Database'!F316)=TRIM('Smart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IF('Project Database'!A316="","",N('Project Database'!AC316))</f>
        <v/>
      </c>
      <c r="BK312" s="5">
        <f>IF('Project Database'!A316="","",N('Project Database'!AD316))</f>
        <v/>
      </c>
      <c r="BL312" s="5">
        <f>IF('Project Database'!A316="","",N('Project Database'!AE316))</f>
        <v/>
      </c>
      <c r="BM312" s="5">
        <f>IF('Project Database'!A316="","",N('Project Database'!AF316))</f>
        <v/>
      </c>
      <c r="BN312" s="5">
        <f>IF('Project Database'!A316="","",N('Project Database'!AG316))</f>
        <v/>
      </c>
      <c r="BO312" s="5">
        <f>IF('Project Database'!A316="","",N('Project Database'!AH316))</f>
        <v/>
      </c>
      <c r="BP312" s="5">
        <f>IF('Project Database'!A316="","",N('Project Database'!AI316))</f>
        <v/>
      </c>
      <c r="BQ312" s="5">
        <f>IF('Project Database'!A316="","",N('Project Database'!AJ316))</f>
        <v/>
      </c>
      <c r="BR312" s="5">
        <f>IF('Project Database'!A316="","",N('Project Database'!AK316))</f>
        <v/>
      </c>
      <c r="BS312" s="5">
        <f>IF('Project Database'!A316="","",N('Project Database'!AL316))</f>
        <v/>
      </c>
      <c r="BT312" s="5">
        <f>IF('Project Database'!A316="","",N('Project Database'!AM316))</f>
        <v/>
      </c>
      <c r="BU312" s="5">
        <f>IF('Project Database'!A316="","",N('Project Database'!AN316))</f>
        <v/>
      </c>
      <c r="BV312" s="5">
        <f>IF('Project Database'!A316="","",N('Project Database'!AO316))</f>
        <v/>
      </c>
      <c r="BW312" s="5">
        <f>IF('Project Database'!A316="","",N('Project Database'!AP316))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</row>
    <row r="313" ht="15" customHeight="1" s="74">
      <c r="A313" s="66">
        <f>'Project Database'!A317</f>
        <v/>
      </c>
      <c r="B313" s="66">
        <f>'Project Database'!B317</f>
        <v/>
      </c>
      <c r="C313" s="66">
        <f>'Project Database'!G317</f>
        <v/>
      </c>
      <c r="D313" s="66">
        <f>'Project Database'!H317</f>
        <v/>
      </c>
      <c r="E313" s="66">
        <f>'Project Database'!I317</f>
        <v/>
      </c>
      <c r="F313" s="66">
        <f>'Project Database'!J317</f>
        <v/>
      </c>
      <c r="G313" s="66">
        <f>'Project Database'!K317</f>
        <v/>
      </c>
      <c r="H313" s="66">
        <f>'Project Database'!L317</f>
        <v/>
      </c>
      <c r="I313" s="66">
        <f>'Project Database'!M317</f>
        <v/>
      </c>
      <c r="J313" s="66">
        <f>'Project Database'!N317</f>
        <v/>
      </c>
      <c r="K313" s="66">
        <f>'Project Database'!O317</f>
        <v/>
      </c>
      <c r="L313" s="66">
        <f>'Project Database'!P317</f>
        <v/>
      </c>
      <c r="M313" s="66">
        <f>'Project Database'!Q317</f>
        <v/>
      </c>
      <c r="N313" s="66">
        <f>'Project Database'!R317</f>
        <v/>
      </c>
      <c r="O313" s="66">
        <f>'Project Database'!S317</f>
        <v/>
      </c>
      <c r="P313" s="66">
        <f>'Project Database'!T317</f>
        <v/>
      </c>
      <c r="Q313" s="66">
        <f>'Project Database'!U317</f>
        <v/>
      </c>
      <c r="R313" s="66">
        <f>'Project Database'!V317</f>
        <v/>
      </c>
      <c r="S313" s="66">
        <f>'Project Database'!W317</f>
        <v/>
      </c>
      <c r="T313" s="66">
        <f>'Project Database'!X317</f>
        <v/>
      </c>
      <c r="U313" s="67">
        <f>'Project Database'!Y317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'Project Database'!Z317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IF(AND('Project Database'!A317&lt;&gt;"",OR('Smart Search'!$L$5="",'Smart Search'!$L$5="All",TRIM('Project Database'!D317)=TRIM('Smart Search'!$L$5)),OR(TRIM('Smart Search'!$L$6)="",TRIM('Smart Search'!$L$6)="All",ISNUMBER(SEARCH(SUBSTITUTE(SUBSTITUTE(SUBSTITUTE(TRIM('Smart Search'!$L$6),"~","~~"),"*","~*"),"?","~?"),'Project Database'!C317))),OR('Smart Search'!$L$7="",AND('Project Database'!E317&lt;&gt;"",'Project Database'!E317='Smart Search'!$L$7)),OR('Smart Search'!$L$8="",'Smart Search'!$L$8="All",TRIM('Project Database'!F317)=TRIM('Smart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IF('Project Database'!A317="","",N('Project Database'!AC317))</f>
        <v/>
      </c>
      <c r="BK313" s="5">
        <f>IF('Project Database'!A317="","",N('Project Database'!AD317))</f>
        <v/>
      </c>
      <c r="BL313" s="5">
        <f>IF('Project Database'!A317="","",N('Project Database'!AE317))</f>
        <v/>
      </c>
      <c r="BM313" s="5">
        <f>IF('Project Database'!A317="","",N('Project Database'!AF317))</f>
        <v/>
      </c>
      <c r="BN313" s="5">
        <f>IF('Project Database'!A317="","",N('Project Database'!AG317))</f>
        <v/>
      </c>
      <c r="BO313" s="5">
        <f>IF('Project Database'!A317="","",N('Project Database'!AH317))</f>
        <v/>
      </c>
      <c r="BP313" s="5">
        <f>IF('Project Database'!A317="","",N('Project Database'!AI317))</f>
        <v/>
      </c>
      <c r="BQ313" s="5">
        <f>IF('Project Database'!A317="","",N('Project Database'!AJ317))</f>
        <v/>
      </c>
      <c r="BR313" s="5">
        <f>IF('Project Database'!A317="","",N('Project Database'!AK317))</f>
        <v/>
      </c>
      <c r="BS313" s="5">
        <f>IF('Project Database'!A317="","",N('Project Database'!AL317))</f>
        <v/>
      </c>
      <c r="BT313" s="5">
        <f>IF('Project Database'!A317="","",N('Project Database'!AM317))</f>
        <v/>
      </c>
      <c r="BU313" s="5">
        <f>IF('Project Database'!A317="","",N('Project Database'!AN317))</f>
        <v/>
      </c>
      <c r="BV313" s="5">
        <f>IF('Project Database'!A317="","",N('Project Database'!AO317))</f>
        <v/>
      </c>
      <c r="BW313" s="5">
        <f>IF('Project Database'!A317="","",N('Project Database'!AP317))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</row>
    <row r="314" ht="15" customHeight="1" s="74">
      <c r="A314" s="66">
        <f>'Project Database'!A318</f>
        <v/>
      </c>
      <c r="B314" s="66">
        <f>'Project Database'!B318</f>
        <v/>
      </c>
      <c r="C314" s="66">
        <f>'Project Database'!G318</f>
        <v/>
      </c>
      <c r="D314" s="66">
        <f>'Project Database'!H318</f>
        <v/>
      </c>
      <c r="E314" s="66">
        <f>'Project Database'!I318</f>
        <v/>
      </c>
      <c r="F314" s="66">
        <f>'Project Database'!J318</f>
        <v/>
      </c>
      <c r="G314" s="66">
        <f>'Project Database'!K318</f>
        <v/>
      </c>
      <c r="H314" s="66">
        <f>'Project Database'!L318</f>
        <v/>
      </c>
      <c r="I314" s="66">
        <f>'Project Database'!M318</f>
        <v/>
      </c>
      <c r="J314" s="66">
        <f>'Project Database'!N318</f>
        <v/>
      </c>
      <c r="K314" s="66">
        <f>'Project Database'!O318</f>
        <v/>
      </c>
      <c r="L314" s="66">
        <f>'Project Database'!P318</f>
        <v/>
      </c>
      <c r="M314" s="66">
        <f>'Project Database'!Q318</f>
        <v/>
      </c>
      <c r="N314" s="66">
        <f>'Project Database'!R318</f>
        <v/>
      </c>
      <c r="O314" s="66">
        <f>'Project Database'!S318</f>
        <v/>
      </c>
      <c r="P314" s="66">
        <f>'Project Database'!T318</f>
        <v/>
      </c>
      <c r="Q314" s="66">
        <f>'Project Database'!U318</f>
        <v/>
      </c>
      <c r="R314" s="66">
        <f>'Project Database'!V318</f>
        <v/>
      </c>
      <c r="S314" s="66">
        <f>'Project Database'!W318</f>
        <v/>
      </c>
      <c r="T314" s="66">
        <f>'Project Database'!X318</f>
        <v/>
      </c>
      <c r="U314" s="67">
        <f>'Project Database'!Y318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'Project Database'!Z318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IF(AND('Project Database'!A318&lt;&gt;"",OR('Smart Search'!$L$5="",'Smart Search'!$L$5="All",TRIM('Project Database'!D318)=TRIM('Smart Search'!$L$5)),OR(TRIM('Smart Search'!$L$6)="",TRIM('Smart Search'!$L$6)="All",ISNUMBER(SEARCH(SUBSTITUTE(SUBSTITUTE(SUBSTITUTE(TRIM('Smart Search'!$L$6),"~","~~"),"*","~*"),"?","~?"),'Project Database'!C318))),OR('Smart Search'!$L$7="",AND('Project Database'!E318&lt;&gt;"",'Project Database'!E318='Smart Search'!$L$7)),OR('Smart Search'!$L$8="",'Smart Search'!$L$8="All",TRIM('Project Database'!F318)=TRIM('Smart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IF('Project Database'!A318="","",N('Project Database'!AC318))</f>
        <v/>
      </c>
      <c r="BK314" s="5">
        <f>IF('Project Database'!A318="","",N('Project Database'!AD318))</f>
        <v/>
      </c>
      <c r="BL314" s="5">
        <f>IF('Project Database'!A318="","",N('Project Database'!AE318))</f>
        <v/>
      </c>
      <c r="BM314" s="5">
        <f>IF('Project Database'!A318="","",N('Project Database'!AF318))</f>
        <v/>
      </c>
      <c r="BN314" s="5">
        <f>IF('Project Database'!A318="","",N('Project Database'!AG318))</f>
        <v/>
      </c>
      <c r="BO314" s="5">
        <f>IF('Project Database'!A318="","",N('Project Database'!AH318))</f>
        <v/>
      </c>
      <c r="BP314" s="5">
        <f>IF('Project Database'!A318="","",N('Project Database'!AI318))</f>
        <v/>
      </c>
      <c r="BQ314" s="5">
        <f>IF('Project Database'!A318="","",N('Project Database'!AJ318))</f>
        <v/>
      </c>
      <c r="BR314" s="5">
        <f>IF('Project Database'!A318="","",N('Project Database'!AK318))</f>
        <v/>
      </c>
      <c r="BS314" s="5">
        <f>IF('Project Database'!A318="","",N('Project Database'!AL318))</f>
        <v/>
      </c>
      <c r="BT314" s="5">
        <f>IF('Project Database'!A318="","",N('Project Database'!AM318))</f>
        <v/>
      </c>
      <c r="BU314" s="5">
        <f>IF('Project Database'!A318="","",N('Project Database'!AN318))</f>
        <v/>
      </c>
      <c r="BV314" s="5">
        <f>IF('Project Database'!A318="","",N('Project Database'!AO318))</f>
        <v/>
      </c>
      <c r="BW314" s="5">
        <f>IF('Project Database'!A318="","",N('Project Database'!AP318))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</row>
    <row r="315" ht="15" customHeight="1" s="74">
      <c r="A315" s="66">
        <f>'Project Database'!A319</f>
        <v/>
      </c>
      <c r="B315" s="66">
        <f>'Project Database'!B319</f>
        <v/>
      </c>
      <c r="C315" s="66">
        <f>'Project Database'!G319</f>
        <v/>
      </c>
      <c r="D315" s="66">
        <f>'Project Database'!H319</f>
        <v/>
      </c>
      <c r="E315" s="66">
        <f>'Project Database'!I319</f>
        <v/>
      </c>
      <c r="F315" s="66">
        <f>'Project Database'!J319</f>
        <v/>
      </c>
      <c r="G315" s="66">
        <f>'Project Database'!K319</f>
        <v/>
      </c>
      <c r="H315" s="66">
        <f>'Project Database'!L319</f>
        <v/>
      </c>
      <c r="I315" s="66">
        <f>'Project Database'!M319</f>
        <v/>
      </c>
      <c r="J315" s="66">
        <f>'Project Database'!N319</f>
        <v/>
      </c>
      <c r="K315" s="66">
        <f>'Project Database'!O319</f>
        <v/>
      </c>
      <c r="L315" s="66">
        <f>'Project Database'!P319</f>
        <v/>
      </c>
      <c r="M315" s="66">
        <f>'Project Database'!Q319</f>
        <v/>
      </c>
      <c r="N315" s="66">
        <f>'Project Database'!R319</f>
        <v/>
      </c>
      <c r="O315" s="66">
        <f>'Project Database'!S319</f>
        <v/>
      </c>
      <c r="P315" s="66">
        <f>'Project Database'!T319</f>
        <v/>
      </c>
      <c r="Q315" s="66">
        <f>'Project Database'!U319</f>
        <v/>
      </c>
      <c r="R315" s="66">
        <f>'Project Database'!V319</f>
        <v/>
      </c>
      <c r="S315" s="66">
        <f>'Project Database'!W319</f>
        <v/>
      </c>
      <c r="T315" s="66">
        <f>'Project Database'!X319</f>
        <v/>
      </c>
      <c r="U315" s="67">
        <f>'Project Database'!Y319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'Project Database'!Z319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IF(AND('Project Database'!A319&lt;&gt;"",OR('Smart Search'!$L$5="",'Smart Search'!$L$5="All",TRIM('Project Database'!D319)=TRIM('Smart Search'!$L$5)),OR(TRIM('Smart Search'!$L$6)="",TRIM('Smart Search'!$L$6)="All",ISNUMBER(SEARCH(SUBSTITUTE(SUBSTITUTE(SUBSTITUTE(TRIM('Smart Search'!$L$6),"~","~~"),"*","~*"),"?","~?"),'Project Database'!C319))),OR('Smart Search'!$L$7="",AND('Project Database'!E319&lt;&gt;"",'Project Database'!E319='Smart Search'!$L$7)),OR('Smart Search'!$L$8="",'Smart Search'!$L$8="All",TRIM('Project Database'!F319)=TRIM('Smart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IF('Project Database'!A319="","",N('Project Database'!AC319))</f>
        <v/>
      </c>
      <c r="BK315" s="5">
        <f>IF('Project Database'!A319="","",N('Project Database'!AD319))</f>
        <v/>
      </c>
      <c r="BL315" s="5">
        <f>IF('Project Database'!A319="","",N('Project Database'!AE319))</f>
        <v/>
      </c>
      <c r="BM315" s="5">
        <f>IF('Project Database'!A319="","",N('Project Database'!AF319))</f>
        <v/>
      </c>
      <c r="BN315" s="5">
        <f>IF('Project Database'!A319="","",N('Project Database'!AG319))</f>
        <v/>
      </c>
      <c r="BO315" s="5">
        <f>IF('Project Database'!A319="","",N('Project Database'!AH319))</f>
        <v/>
      </c>
      <c r="BP315" s="5">
        <f>IF('Project Database'!A319="","",N('Project Database'!AI319))</f>
        <v/>
      </c>
      <c r="BQ315" s="5">
        <f>IF('Project Database'!A319="","",N('Project Database'!AJ319))</f>
        <v/>
      </c>
      <c r="BR315" s="5">
        <f>IF('Project Database'!A319="","",N('Project Database'!AK319))</f>
        <v/>
      </c>
      <c r="BS315" s="5">
        <f>IF('Project Database'!A319="","",N('Project Database'!AL319))</f>
        <v/>
      </c>
      <c r="BT315" s="5">
        <f>IF('Project Database'!A319="","",N('Project Database'!AM319))</f>
        <v/>
      </c>
      <c r="BU315" s="5">
        <f>IF('Project Database'!A319="","",N('Project Database'!AN319))</f>
        <v/>
      </c>
      <c r="BV315" s="5">
        <f>IF('Project Database'!A319="","",N('Project Database'!AO319))</f>
        <v/>
      </c>
      <c r="BW315" s="5">
        <f>IF('Project Database'!A319="","",N('Project Database'!AP319))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</row>
    <row r="316" ht="15" customHeight="1" s="74">
      <c r="A316" s="66">
        <f>'Project Database'!A320</f>
        <v/>
      </c>
      <c r="B316" s="66">
        <f>'Project Database'!B320</f>
        <v/>
      </c>
      <c r="C316" s="66">
        <f>'Project Database'!G320</f>
        <v/>
      </c>
      <c r="D316" s="66">
        <f>'Project Database'!H320</f>
        <v/>
      </c>
      <c r="E316" s="66">
        <f>'Project Database'!I320</f>
        <v/>
      </c>
      <c r="F316" s="66">
        <f>'Project Database'!J320</f>
        <v/>
      </c>
      <c r="G316" s="66">
        <f>'Project Database'!K320</f>
        <v/>
      </c>
      <c r="H316" s="66">
        <f>'Project Database'!L320</f>
        <v/>
      </c>
      <c r="I316" s="66">
        <f>'Project Database'!M320</f>
        <v/>
      </c>
      <c r="J316" s="66">
        <f>'Project Database'!N320</f>
        <v/>
      </c>
      <c r="K316" s="66">
        <f>'Project Database'!O320</f>
        <v/>
      </c>
      <c r="L316" s="66">
        <f>'Project Database'!P320</f>
        <v/>
      </c>
      <c r="M316" s="66">
        <f>'Project Database'!Q320</f>
        <v/>
      </c>
      <c r="N316" s="66">
        <f>'Project Database'!R320</f>
        <v/>
      </c>
      <c r="O316" s="66">
        <f>'Project Database'!S320</f>
        <v/>
      </c>
      <c r="P316" s="66">
        <f>'Project Database'!T320</f>
        <v/>
      </c>
      <c r="Q316" s="66">
        <f>'Project Database'!U320</f>
        <v/>
      </c>
      <c r="R316" s="66">
        <f>'Project Database'!V320</f>
        <v/>
      </c>
      <c r="S316" s="66">
        <f>'Project Database'!W320</f>
        <v/>
      </c>
      <c r="T316" s="66">
        <f>'Project Database'!X320</f>
        <v/>
      </c>
      <c r="U316" s="67">
        <f>'Project Database'!Y320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'Project Database'!Z320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IF(AND('Project Database'!A320&lt;&gt;"",OR('Smart Search'!$L$5="",'Smart Search'!$L$5="All",TRIM('Project Database'!D320)=TRIM('Smart Search'!$L$5)),OR(TRIM('Smart Search'!$L$6)="",TRIM('Smart Search'!$L$6)="All",ISNUMBER(SEARCH(SUBSTITUTE(SUBSTITUTE(SUBSTITUTE(TRIM('Smart Search'!$L$6),"~","~~"),"*","~*"),"?","~?"),'Project Database'!C320))),OR('Smart Search'!$L$7="",AND('Project Database'!E320&lt;&gt;"",'Project Database'!E320='Smart Search'!$L$7)),OR('Smart Search'!$L$8="",'Smart Search'!$L$8="All",TRIM('Project Database'!F320)=TRIM('Smart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IF('Project Database'!A320="","",N('Project Database'!AC320))</f>
        <v/>
      </c>
      <c r="BK316" s="5">
        <f>IF('Project Database'!A320="","",N('Project Database'!AD320))</f>
        <v/>
      </c>
      <c r="BL316" s="5">
        <f>IF('Project Database'!A320="","",N('Project Database'!AE320))</f>
        <v/>
      </c>
      <c r="BM316" s="5">
        <f>IF('Project Database'!A320="","",N('Project Database'!AF320))</f>
        <v/>
      </c>
      <c r="BN316" s="5">
        <f>IF('Project Database'!A320="","",N('Project Database'!AG320))</f>
        <v/>
      </c>
      <c r="BO316" s="5">
        <f>IF('Project Database'!A320="","",N('Project Database'!AH320))</f>
        <v/>
      </c>
      <c r="BP316" s="5">
        <f>IF('Project Database'!A320="","",N('Project Database'!AI320))</f>
        <v/>
      </c>
      <c r="BQ316" s="5">
        <f>IF('Project Database'!A320="","",N('Project Database'!AJ320))</f>
        <v/>
      </c>
      <c r="BR316" s="5">
        <f>IF('Project Database'!A320="","",N('Project Database'!AK320))</f>
        <v/>
      </c>
      <c r="BS316" s="5">
        <f>IF('Project Database'!A320="","",N('Project Database'!AL320))</f>
        <v/>
      </c>
      <c r="BT316" s="5">
        <f>IF('Project Database'!A320="","",N('Project Database'!AM320))</f>
        <v/>
      </c>
      <c r="BU316" s="5">
        <f>IF('Project Database'!A320="","",N('Project Database'!AN320))</f>
        <v/>
      </c>
      <c r="BV316" s="5">
        <f>IF('Project Database'!A320="","",N('Project Database'!AO320))</f>
        <v/>
      </c>
      <c r="BW316" s="5">
        <f>IF('Project Database'!A320="","",N('Project Database'!AP320))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</row>
    <row r="317" ht="15" customHeight="1" s="74">
      <c r="A317" s="66">
        <f>'Project Database'!A321</f>
        <v/>
      </c>
      <c r="B317" s="66">
        <f>'Project Database'!B321</f>
        <v/>
      </c>
      <c r="C317" s="66">
        <f>'Project Database'!G321</f>
        <v/>
      </c>
      <c r="D317" s="66">
        <f>'Project Database'!H321</f>
        <v/>
      </c>
      <c r="E317" s="66">
        <f>'Project Database'!I321</f>
        <v/>
      </c>
      <c r="F317" s="66">
        <f>'Project Database'!J321</f>
        <v/>
      </c>
      <c r="G317" s="66">
        <f>'Project Database'!K321</f>
        <v/>
      </c>
      <c r="H317" s="66">
        <f>'Project Database'!L321</f>
        <v/>
      </c>
      <c r="I317" s="66">
        <f>'Project Database'!M321</f>
        <v/>
      </c>
      <c r="J317" s="66">
        <f>'Project Database'!N321</f>
        <v/>
      </c>
      <c r="K317" s="66">
        <f>'Project Database'!O321</f>
        <v/>
      </c>
      <c r="L317" s="66">
        <f>'Project Database'!P321</f>
        <v/>
      </c>
      <c r="M317" s="66">
        <f>'Project Database'!Q321</f>
        <v/>
      </c>
      <c r="N317" s="66">
        <f>'Project Database'!R321</f>
        <v/>
      </c>
      <c r="O317" s="66">
        <f>'Project Database'!S321</f>
        <v/>
      </c>
      <c r="P317" s="66">
        <f>'Project Database'!T321</f>
        <v/>
      </c>
      <c r="Q317" s="66">
        <f>'Project Database'!U321</f>
        <v/>
      </c>
      <c r="R317" s="66">
        <f>'Project Database'!V321</f>
        <v/>
      </c>
      <c r="S317" s="66">
        <f>'Project Database'!W321</f>
        <v/>
      </c>
      <c r="T317" s="66">
        <f>'Project Database'!X321</f>
        <v/>
      </c>
      <c r="U317" s="67">
        <f>'Project Database'!Y321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'Project Database'!Z321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IF(AND('Project Database'!A321&lt;&gt;"",OR('Smart Search'!$L$5="",'Smart Search'!$L$5="All",TRIM('Project Database'!D321)=TRIM('Smart Search'!$L$5)),OR(TRIM('Smart Search'!$L$6)="",TRIM('Smart Search'!$L$6)="All",ISNUMBER(SEARCH(SUBSTITUTE(SUBSTITUTE(SUBSTITUTE(TRIM('Smart Search'!$L$6),"~","~~"),"*","~*"),"?","~?"),'Project Database'!C321))),OR('Smart Search'!$L$7="",AND('Project Database'!E321&lt;&gt;"",'Project Database'!E321='Smart Search'!$L$7)),OR('Smart Search'!$L$8="",'Smart Search'!$L$8="All",TRIM('Project Database'!F321)=TRIM('Smart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IF('Project Database'!A321="","",N('Project Database'!AC321))</f>
        <v/>
      </c>
      <c r="BK317" s="5">
        <f>IF('Project Database'!A321="","",N('Project Database'!AD321))</f>
        <v/>
      </c>
      <c r="BL317" s="5">
        <f>IF('Project Database'!A321="","",N('Project Database'!AE321))</f>
        <v/>
      </c>
      <c r="BM317" s="5">
        <f>IF('Project Database'!A321="","",N('Project Database'!AF321))</f>
        <v/>
      </c>
      <c r="BN317" s="5">
        <f>IF('Project Database'!A321="","",N('Project Database'!AG321))</f>
        <v/>
      </c>
      <c r="BO317" s="5">
        <f>IF('Project Database'!A321="","",N('Project Database'!AH321))</f>
        <v/>
      </c>
      <c r="BP317" s="5">
        <f>IF('Project Database'!A321="","",N('Project Database'!AI321))</f>
        <v/>
      </c>
      <c r="BQ317" s="5">
        <f>IF('Project Database'!A321="","",N('Project Database'!AJ321))</f>
        <v/>
      </c>
      <c r="BR317" s="5">
        <f>IF('Project Database'!A321="","",N('Project Database'!AK321))</f>
        <v/>
      </c>
      <c r="BS317" s="5">
        <f>IF('Project Database'!A321="","",N('Project Database'!AL321))</f>
        <v/>
      </c>
      <c r="BT317" s="5">
        <f>IF('Project Database'!A321="","",N('Project Database'!AM321))</f>
        <v/>
      </c>
      <c r="BU317" s="5">
        <f>IF('Project Database'!A321="","",N('Project Database'!AN321))</f>
        <v/>
      </c>
      <c r="BV317" s="5">
        <f>IF('Project Database'!A321="","",N('Project Database'!AO321))</f>
        <v/>
      </c>
      <c r="BW317" s="5">
        <f>IF('Project Database'!A321="","",N('Project Database'!AP321))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</row>
    <row r="318" ht="15" customHeight="1" s="74">
      <c r="A318" s="66">
        <f>'Project Database'!A322</f>
        <v/>
      </c>
      <c r="B318" s="66">
        <f>'Project Database'!B322</f>
        <v/>
      </c>
      <c r="C318" s="66">
        <f>'Project Database'!G322</f>
        <v/>
      </c>
      <c r="D318" s="66">
        <f>'Project Database'!H322</f>
        <v/>
      </c>
      <c r="E318" s="66">
        <f>'Project Database'!I322</f>
        <v/>
      </c>
      <c r="F318" s="66">
        <f>'Project Database'!J322</f>
        <v/>
      </c>
      <c r="G318" s="66">
        <f>'Project Database'!K322</f>
        <v/>
      </c>
      <c r="H318" s="66">
        <f>'Project Database'!L322</f>
        <v/>
      </c>
      <c r="I318" s="66">
        <f>'Project Database'!M322</f>
        <v/>
      </c>
      <c r="J318" s="66">
        <f>'Project Database'!N322</f>
        <v/>
      </c>
      <c r="K318" s="66">
        <f>'Project Database'!O322</f>
        <v/>
      </c>
      <c r="L318" s="66">
        <f>'Project Database'!P322</f>
        <v/>
      </c>
      <c r="M318" s="66">
        <f>'Project Database'!Q322</f>
        <v/>
      </c>
      <c r="N318" s="66">
        <f>'Project Database'!R322</f>
        <v/>
      </c>
      <c r="O318" s="66">
        <f>'Project Database'!S322</f>
        <v/>
      </c>
      <c r="P318" s="66">
        <f>'Project Database'!T322</f>
        <v/>
      </c>
      <c r="Q318" s="66">
        <f>'Project Database'!U322</f>
        <v/>
      </c>
      <c r="R318" s="66">
        <f>'Project Database'!V322</f>
        <v/>
      </c>
      <c r="S318" s="66">
        <f>'Project Database'!W322</f>
        <v/>
      </c>
      <c r="T318" s="66">
        <f>'Project Database'!X322</f>
        <v/>
      </c>
      <c r="U318" s="67">
        <f>'Project Database'!Y322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'Project Database'!Z322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IF(AND('Project Database'!A322&lt;&gt;"",OR('Smart Search'!$L$5="",'Smart Search'!$L$5="All",TRIM('Project Database'!D322)=TRIM('Smart Search'!$L$5)),OR(TRIM('Smart Search'!$L$6)="",TRIM('Smart Search'!$L$6)="All",ISNUMBER(SEARCH(SUBSTITUTE(SUBSTITUTE(SUBSTITUTE(TRIM('Smart Search'!$L$6),"~","~~"),"*","~*"),"?","~?"),'Project Database'!C322))),OR('Smart Search'!$L$7="",AND('Project Database'!E322&lt;&gt;"",'Project Database'!E322='Smart Search'!$L$7)),OR('Smart Search'!$L$8="",'Smart Search'!$L$8="All",TRIM('Project Database'!F322)=TRIM('Smart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IF('Project Database'!A322="","",N('Project Database'!AC322))</f>
        <v/>
      </c>
      <c r="BK318" s="5">
        <f>IF('Project Database'!A322="","",N('Project Database'!AD322))</f>
        <v/>
      </c>
      <c r="BL318" s="5">
        <f>IF('Project Database'!A322="","",N('Project Database'!AE322))</f>
        <v/>
      </c>
      <c r="BM318" s="5">
        <f>IF('Project Database'!A322="","",N('Project Database'!AF322))</f>
        <v/>
      </c>
      <c r="BN318" s="5">
        <f>IF('Project Database'!A322="","",N('Project Database'!AG322))</f>
        <v/>
      </c>
      <c r="BO318" s="5">
        <f>IF('Project Database'!A322="","",N('Project Database'!AH322))</f>
        <v/>
      </c>
      <c r="BP318" s="5">
        <f>IF('Project Database'!A322="","",N('Project Database'!AI322))</f>
        <v/>
      </c>
      <c r="BQ318" s="5">
        <f>IF('Project Database'!A322="","",N('Project Database'!AJ322))</f>
        <v/>
      </c>
      <c r="BR318" s="5">
        <f>IF('Project Database'!A322="","",N('Project Database'!AK322))</f>
        <v/>
      </c>
      <c r="BS318" s="5">
        <f>IF('Project Database'!A322="","",N('Project Database'!AL322))</f>
        <v/>
      </c>
      <c r="BT318" s="5">
        <f>IF('Project Database'!A322="","",N('Project Database'!AM322))</f>
        <v/>
      </c>
      <c r="BU318" s="5">
        <f>IF('Project Database'!A322="","",N('Project Database'!AN322))</f>
        <v/>
      </c>
      <c r="BV318" s="5">
        <f>IF('Project Database'!A322="","",N('Project Database'!AO322))</f>
        <v/>
      </c>
      <c r="BW318" s="5">
        <f>IF('Project Database'!A322="","",N('Project Database'!AP322))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</row>
    <row r="319" ht="15" customHeight="1" s="74">
      <c r="A319" s="66">
        <f>'Project Database'!A323</f>
        <v/>
      </c>
      <c r="B319" s="66">
        <f>'Project Database'!B323</f>
        <v/>
      </c>
      <c r="C319" s="66">
        <f>'Project Database'!G323</f>
        <v/>
      </c>
      <c r="D319" s="66">
        <f>'Project Database'!H323</f>
        <v/>
      </c>
      <c r="E319" s="66">
        <f>'Project Database'!I323</f>
        <v/>
      </c>
      <c r="F319" s="66">
        <f>'Project Database'!J323</f>
        <v/>
      </c>
      <c r="G319" s="66">
        <f>'Project Database'!K323</f>
        <v/>
      </c>
      <c r="H319" s="66">
        <f>'Project Database'!L323</f>
        <v/>
      </c>
      <c r="I319" s="66">
        <f>'Project Database'!M323</f>
        <v/>
      </c>
      <c r="J319" s="66">
        <f>'Project Database'!N323</f>
        <v/>
      </c>
      <c r="K319" s="66">
        <f>'Project Database'!O323</f>
        <v/>
      </c>
      <c r="L319" s="66">
        <f>'Project Database'!P323</f>
        <v/>
      </c>
      <c r="M319" s="66">
        <f>'Project Database'!Q323</f>
        <v/>
      </c>
      <c r="N319" s="66">
        <f>'Project Database'!R323</f>
        <v/>
      </c>
      <c r="O319" s="66">
        <f>'Project Database'!S323</f>
        <v/>
      </c>
      <c r="P319" s="66">
        <f>'Project Database'!T323</f>
        <v/>
      </c>
      <c r="Q319" s="66">
        <f>'Project Database'!U323</f>
        <v/>
      </c>
      <c r="R319" s="66">
        <f>'Project Database'!V323</f>
        <v/>
      </c>
      <c r="S319" s="66">
        <f>'Project Database'!W323</f>
        <v/>
      </c>
      <c r="T319" s="66">
        <f>'Project Database'!X323</f>
        <v/>
      </c>
      <c r="U319" s="67">
        <f>'Project Database'!Y323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'Project Database'!Z323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IF(AND('Project Database'!A323&lt;&gt;"",OR('Smart Search'!$L$5="",'Smart Search'!$L$5="All",TRIM('Project Database'!D323)=TRIM('Smart Search'!$L$5)),OR(TRIM('Smart Search'!$L$6)="",TRIM('Smart Search'!$L$6)="All",ISNUMBER(SEARCH(SUBSTITUTE(SUBSTITUTE(SUBSTITUTE(TRIM('Smart Search'!$L$6),"~","~~"),"*","~*"),"?","~?"),'Project Database'!C323))),OR('Smart Search'!$L$7="",AND('Project Database'!E323&lt;&gt;"",'Project Database'!E323='Smart Search'!$L$7)),OR('Smart Search'!$L$8="",'Smart Search'!$L$8="All",TRIM('Project Database'!F323)=TRIM('Smart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IF('Project Database'!A323="","",N('Project Database'!AC323))</f>
        <v/>
      </c>
      <c r="BK319" s="5">
        <f>IF('Project Database'!A323="","",N('Project Database'!AD323))</f>
        <v/>
      </c>
      <c r="BL319" s="5">
        <f>IF('Project Database'!A323="","",N('Project Database'!AE323))</f>
        <v/>
      </c>
      <c r="BM319" s="5">
        <f>IF('Project Database'!A323="","",N('Project Database'!AF323))</f>
        <v/>
      </c>
      <c r="BN319" s="5">
        <f>IF('Project Database'!A323="","",N('Project Database'!AG323))</f>
        <v/>
      </c>
      <c r="BO319" s="5">
        <f>IF('Project Database'!A323="","",N('Project Database'!AH323))</f>
        <v/>
      </c>
      <c r="BP319" s="5">
        <f>IF('Project Database'!A323="","",N('Project Database'!AI323))</f>
        <v/>
      </c>
      <c r="BQ319" s="5">
        <f>IF('Project Database'!A323="","",N('Project Database'!AJ323))</f>
        <v/>
      </c>
      <c r="BR319" s="5">
        <f>IF('Project Database'!A323="","",N('Project Database'!AK323))</f>
        <v/>
      </c>
      <c r="BS319" s="5">
        <f>IF('Project Database'!A323="","",N('Project Database'!AL323))</f>
        <v/>
      </c>
      <c r="BT319" s="5">
        <f>IF('Project Database'!A323="","",N('Project Database'!AM323))</f>
        <v/>
      </c>
      <c r="BU319" s="5">
        <f>IF('Project Database'!A323="","",N('Project Database'!AN323))</f>
        <v/>
      </c>
      <c r="BV319" s="5">
        <f>IF('Project Database'!A323="","",N('Project Database'!AO323))</f>
        <v/>
      </c>
      <c r="BW319" s="5">
        <f>IF('Project Database'!A323="","",N('Project Database'!AP323))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</row>
    <row r="320" ht="15" customHeight="1" s="74">
      <c r="A320" s="66">
        <f>'Project Database'!A324</f>
        <v/>
      </c>
      <c r="B320" s="66">
        <f>'Project Database'!B324</f>
        <v/>
      </c>
      <c r="C320" s="66">
        <f>'Project Database'!G324</f>
        <v/>
      </c>
      <c r="D320" s="66">
        <f>'Project Database'!H324</f>
        <v/>
      </c>
      <c r="E320" s="66">
        <f>'Project Database'!I324</f>
        <v/>
      </c>
      <c r="F320" s="66">
        <f>'Project Database'!J324</f>
        <v/>
      </c>
      <c r="G320" s="66">
        <f>'Project Database'!K324</f>
        <v/>
      </c>
      <c r="H320" s="66">
        <f>'Project Database'!L324</f>
        <v/>
      </c>
      <c r="I320" s="66">
        <f>'Project Database'!M324</f>
        <v/>
      </c>
      <c r="J320" s="66">
        <f>'Project Database'!N324</f>
        <v/>
      </c>
      <c r="K320" s="66">
        <f>'Project Database'!O324</f>
        <v/>
      </c>
      <c r="L320" s="66">
        <f>'Project Database'!P324</f>
        <v/>
      </c>
      <c r="M320" s="66">
        <f>'Project Database'!Q324</f>
        <v/>
      </c>
      <c r="N320" s="66">
        <f>'Project Database'!R324</f>
        <v/>
      </c>
      <c r="O320" s="66">
        <f>'Project Database'!S324</f>
        <v/>
      </c>
      <c r="P320" s="66">
        <f>'Project Database'!T324</f>
        <v/>
      </c>
      <c r="Q320" s="66">
        <f>'Project Database'!U324</f>
        <v/>
      </c>
      <c r="R320" s="66">
        <f>'Project Database'!V324</f>
        <v/>
      </c>
      <c r="S320" s="66">
        <f>'Project Database'!W324</f>
        <v/>
      </c>
      <c r="T320" s="66">
        <f>'Project Database'!X324</f>
        <v/>
      </c>
      <c r="U320" s="67">
        <f>'Project Database'!Y324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'Project Database'!Z324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IF(AND('Project Database'!A324&lt;&gt;"",OR('Smart Search'!$L$5="",'Smart Search'!$L$5="All",TRIM('Project Database'!D324)=TRIM('Smart Search'!$L$5)),OR(TRIM('Smart Search'!$L$6)="",TRIM('Smart Search'!$L$6)="All",ISNUMBER(SEARCH(SUBSTITUTE(SUBSTITUTE(SUBSTITUTE(TRIM('Smart Search'!$L$6),"~","~~"),"*","~*"),"?","~?"),'Project Database'!C324))),OR('Smart Search'!$L$7="",AND('Project Database'!E324&lt;&gt;"",'Project Database'!E324='Smart Search'!$L$7)),OR('Smart Search'!$L$8="",'Smart Search'!$L$8="All",TRIM('Project Database'!F324)=TRIM('Smart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IF('Project Database'!A324="","",N('Project Database'!AC324))</f>
        <v/>
      </c>
      <c r="BK320" s="5">
        <f>IF('Project Database'!A324="","",N('Project Database'!AD324))</f>
        <v/>
      </c>
      <c r="BL320" s="5">
        <f>IF('Project Database'!A324="","",N('Project Database'!AE324))</f>
        <v/>
      </c>
      <c r="BM320" s="5">
        <f>IF('Project Database'!A324="","",N('Project Database'!AF324))</f>
        <v/>
      </c>
      <c r="BN320" s="5">
        <f>IF('Project Database'!A324="","",N('Project Database'!AG324))</f>
        <v/>
      </c>
      <c r="BO320" s="5">
        <f>IF('Project Database'!A324="","",N('Project Database'!AH324))</f>
        <v/>
      </c>
      <c r="BP320" s="5">
        <f>IF('Project Database'!A324="","",N('Project Database'!AI324))</f>
        <v/>
      </c>
      <c r="BQ320" s="5">
        <f>IF('Project Database'!A324="","",N('Project Database'!AJ324))</f>
        <v/>
      </c>
      <c r="BR320" s="5">
        <f>IF('Project Database'!A324="","",N('Project Database'!AK324))</f>
        <v/>
      </c>
      <c r="BS320" s="5">
        <f>IF('Project Database'!A324="","",N('Project Database'!AL324))</f>
        <v/>
      </c>
      <c r="BT320" s="5">
        <f>IF('Project Database'!A324="","",N('Project Database'!AM324))</f>
        <v/>
      </c>
      <c r="BU320" s="5">
        <f>IF('Project Database'!A324="","",N('Project Database'!AN324))</f>
        <v/>
      </c>
      <c r="BV320" s="5">
        <f>IF('Project Database'!A324="","",N('Project Database'!AO324))</f>
        <v/>
      </c>
      <c r="BW320" s="5">
        <f>IF('Project Database'!A324="","",N('Project Database'!AP324))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</row>
    <row r="321" ht="15" customHeight="1" s="74">
      <c r="A321" s="66">
        <f>'Project Database'!A325</f>
        <v/>
      </c>
      <c r="B321" s="66">
        <f>'Project Database'!B325</f>
        <v/>
      </c>
      <c r="C321" s="66">
        <f>'Project Database'!G325</f>
        <v/>
      </c>
      <c r="D321" s="66">
        <f>'Project Database'!H325</f>
        <v/>
      </c>
      <c r="E321" s="66">
        <f>'Project Database'!I325</f>
        <v/>
      </c>
      <c r="F321" s="66">
        <f>'Project Database'!J325</f>
        <v/>
      </c>
      <c r="G321" s="66">
        <f>'Project Database'!K325</f>
        <v/>
      </c>
      <c r="H321" s="66">
        <f>'Project Database'!L325</f>
        <v/>
      </c>
      <c r="I321" s="66">
        <f>'Project Database'!M325</f>
        <v/>
      </c>
      <c r="J321" s="66">
        <f>'Project Database'!N325</f>
        <v/>
      </c>
      <c r="K321" s="66">
        <f>'Project Database'!O325</f>
        <v/>
      </c>
      <c r="L321" s="66">
        <f>'Project Database'!P325</f>
        <v/>
      </c>
      <c r="M321" s="66">
        <f>'Project Database'!Q325</f>
        <v/>
      </c>
      <c r="N321" s="66">
        <f>'Project Database'!R325</f>
        <v/>
      </c>
      <c r="O321" s="66">
        <f>'Project Database'!S325</f>
        <v/>
      </c>
      <c r="P321" s="66">
        <f>'Project Database'!T325</f>
        <v/>
      </c>
      <c r="Q321" s="66">
        <f>'Project Database'!U325</f>
        <v/>
      </c>
      <c r="R321" s="66">
        <f>'Project Database'!V325</f>
        <v/>
      </c>
      <c r="S321" s="66">
        <f>'Project Database'!W325</f>
        <v/>
      </c>
      <c r="T321" s="66">
        <f>'Project Database'!X325</f>
        <v/>
      </c>
      <c r="U321" s="67">
        <f>'Project Database'!Y325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'Project Database'!Z325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IF(AND('Project Database'!A325&lt;&gt;"",OR('Smart Search'!$L$5="",'Smart Search'!$L$5="All",TRIM('Project Database'!D325)=TRIM('Smart Search'!$L$5)),OR(TRIM('Smart Search'!$L$6)="",TRIM('Smart Search'!$L$6)="All",ISNUMBER(SEARCH(SUBSTITUTE(SUBSTITUTE(SUBSTITUTE(TRIM('Smart Search'!$L$6),"~","~~"),"*","~*"),"?","~?"),'Project Database'!C325))),OR('Smart Search'!$L$7="",AND('Project Database'!E325&lt;&gt;"",'Project Database'!E325='Smart Search'!$L$7)),OR('Smart Search'!$L$8="",'Smart Search'!$L$8="All",TRIM('Project Database'!F325)=TRIM('Smart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IF('Project Database'!A325="","",N('Project Database'!AC325))</f>
        <v/>
      </c>
      <c r="BK321" s="5">
        <f>IF('Project Database'!A325="","",N('Project Database'!AD325))</f>
        <v/>
      </c>
      <c r="BL321" s="5">
        <f>IF('Project Database'!A325="","",N('Project Database'!AE325))</f>
        <v/>
      </c>
      <c r="BM321" s="5">
        <f>IF('Project Database'!A325="","",N('Project Database'!AF325))</f>
        <v/>
      </c>
      <c r="BN321" s="5">
        <f>IF('Project Database'!A325="","",N('Project Database'!AG325))</f>
        <v/>
      </c>
      <c r="BO321" s="5">
        <f>IF('Project Database'!A325="","",N('Project Database'!AH325))</f>
        <v/>
      </c>
      <c r="BP321" s="5">
        <f>IF('Project Database'!A325="","",N('Project Database'!AI325))</f>
        <v/>
      </c>
      <c r="BQ321" s="5">
        <f>IF('Project Database'!A325="","",N('Project Database'!AJ325))</f>
        <v/>
      </c>
      <c r="BR321" s="5">
        <f>IF('Project Database'!A325="","",N('Project Database'!AK325))</f>
        <v/>
      </c>
      <c r="BS321" s="5">
        <f>IF('Project Database'!A325="","",N('Project Database'!AL325))</f>
        <v/>
      </c>
      <c r="BT321" s="5">
        <f>IF('Project Database'!A325="","",N('Project Database'!AM325))</f>
        <v/>
      </c>
      <c r="BU321" s="5">
        <f>IF('Project Database'!A325="","",N('Project Database'!AN325))</f>
        <v/>
      </c>
      <c r="BV321" s="5">
        <f>IF('Project Database'!A325="","",N('Project Database'!AO325))</f>
        <v/>
      </c>
      <c r="BW321" s="5">
        <f>IF('Project Database'!A325="","",N('Project Database'!AP325))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</row>
    <row r="322" ht="15" customHeight="1" s="74">
      <c r="A322" s="66">
        <f>'Project Database'!A326</f>
        <v/>
      </c>
      <c r="B322" s="66">
        <f>'Project Database'!B326</f>
        <v/>
      </c>
      <c r="C322" s="66">
        <f>'Project Database'!G326</f>
        <v/>
      </c>
      <c r="D322" s="66">
        <f>'Project Database'!H326</f>
        <v/>
      </c>
      <c r="E322" s="66">
        <f>'Project Database'!I326</f>
        <v/>
      </c>
      <c r="F322" s="66">
        <f>'Project Database'!J326</f>
        <v/>
      </c>
      <c r="G322" s="66">
        <f>'Project Database'!K326</f>
        <v/>
      </c>
      <c r="H322" s="66">
        <f>'Project Database'!L326</f>
        <v/>
      </c>
      <c r="I322" s="66">
        <f>'Project Database'!M326</f>
        <v/>
      </c>
      <c r="J322" s="66">
        <f>'Project Database'!N326</f>
        <v/>
      </c>
      <c r="K322" s="66">
        <f>'Project Database'!O326</f>
        <v/>
      </c>
      <c r="L322" s="66">
        <f>'Project Database'!P326</f>
        <v/>
      </c>
      <c r="M322" s="66">
        <f>'Project Database'!Q326</f>
        <v/>
      </c>
      <c r="N322" s="66">
        <f>'Project Database'!R326</f>
        <v/>
      </c>
      <c r="O322" s="66">
        <f>'Project Database'!S326</f>
        <v/>
      </c>
      <c r="P322" s="66">
        <f>'Project Database'!T326</f>
        <v/>
      </c>
      <c r="Q322" s="66">
        <f>'Project Database'!U326</f>
        <v/>
      </c>
      <c r="R322" s="66">
        <f>'Project Database'!V326</f>
        <v/>
      </c>
      <c r="S322" s="66">
        <f>'Project Database'!W326</f>
        <v/>
      </c>
      <c r="T322" s="66">
        <f>'Project Database'!X326</f>
        <v/>
      </c>
      <c r="U322" s="67">
        <f>'Project Database'!Y326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'Project Database'!Z326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IF(AND('Project Database'!A326&lt;&gt;"",OR('Smart Search'!$L$5="",'Smart Search'!$L$5="All",TRIM('Project Database'!D326)=TRIM('Smart Search'!$L$5)),OR(TRIM('Smart Search'!$L$6)="",TRIM('Smart Search'!$L$6)="All",ISNUMBER(SEARCH(SUBSTITUTE(SUBSTITUTE(SUBSTITUTE(TRIM('Smart Search'!$L$6),"~","~~"),"*","~*"),"?","~?"),'Project Database'!C326))),OR('Smart Search'!$L$7="",AND('Project Database'!E326&lt;&gt;"",'Project Database'!E326='Smart Search'!$L$7)),OR('Smart Search'!$L$8="",'Smart Search'!$L$8="All",TRIM('Project Database'!F326)=TRIM('Smart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IF('Project Database'!A326="","",N('Project Database'!AC326))</f>
        <v/>
      </c>
      <c r="BK322" s="5">
        <f>IF('Project Database'!A326="","",N('Project Database'!AD326))</f>
        <v/>
      </c>
      <c r="BL322" s="5">
        <f>IF('Project Database'!A326="","",N('Project Database'!AE326))</f>
        <v/>
      </c>
      <c r="BM322" s="5">
        <f>IF('Project Database'!A326="","",N('Project Database'!AF326))</f>
        <v/>
      </c>
      <c r="BN322" s="5">
        <f>IF('Project Database'!A326="","",N('Project Database'!AG326))</f>
        <v/>
      </c>
      <c r="BO322" s="5">
        <f>IF('Project Database'!A326="","",N('Project Database'!AH326))</f>
        <v/>
      </c>
      <c r="BP322" s="5">
        <f>IF('Project Database'!A326="","",N('Project Database'!AI326))</f>
        <v/>
      </c>
      <c r="BQ322" s="5">
        <f>IF('Project Database'!A326="","",N('Project Database'!AJ326))</f>
        <v/>
      </c>
      <c r="BR322" s="5">
        <f>IF('Project Database'!A326="","",N('Project Database'!AK326))</f>
        <v/>
      </c>
      <c r="BS322" s="5">
        <f>IF('Project Database'!A326="","",N('Project Database'!AL326))</f>
        <v/>
      </c>
      <c r="BT322" s="5">
        <f>IF('Project Database'!A326="","",N('Project Database'!AM326))</f>
        <v/>
      </c>
      <c r="BU322" s="5">
        <f>IF('Project Database'!A326="","",N('Project Database'!AN326))</f>
        <v/>
      </c>
      <c r="BV322" s="5">
        <f>IF('Project Database'!A326="","",N('Project Database'!AO326))</f>
        <v/>
      </c>
      <c r="BW322" s="5">
        <f>IF('Project Database'!A326="","",N('Project Database'!AP326))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</row>
    <row r="323" ht="15" customHeight="1" s="74">
      <c r="A323" s="66">
        <f>'Project Database'!A327</f>
        <v/>
      </c>
      <c r="B323" s="66">
        <f>'Project Database'!B327</f>
        <v/>
      </c>
      <c r="C323" s="66">
        <f>'Project Database'!G327</f>
        <v/>
      </c>
      <c r="D323" s="66">
        <f>'Project Database'!H327</f>
        <v/>
      </c>
      <c r="E323" s="66">
        <f>'Project Database'!I327</f>
        <v/>
      </c>
      <c r="F323" s="66">
        <f>'Project Database'!J327</f>
        <v/>
      </c>
      <c r="G323" s="66">
        <f>'Project Database'!K327</f>
        <v/>
      </c>
      <c r="H323" s="66">
        <f>'Project Database'!L327</f>
        <v/>
      </c>
      <c r="I323" s="66">
        <f>'Project Database'!M327</f>
        <v/>
      </c>
      <c r="J323" s="66">
        <f>'Project Database'!N327</f>
        <v/>
      </c>
      <c r="K323" s="66">
        <f>'Project Database'!O327</f>
        <v/>
      </c>
      <c r="L323" s="66">
        <f>'Project Database'!P327</f>
        <v/>
      </c>
      <c r="M323" s="66">
        <f>'Project Database'!Q327</f>
        <v/>
      </c>
      <c r="N323" s="66">
        <f>'Project Database'!R327</f>
        <v/>
      </c>
      <c r="O323" s="66">
        <f>'Project Database'!S327</f>
        <v/>
      </c>
      <c r="P323" s="66">
        <f>'Project Database'!T327</f>
        <v/>
      </c>
      <c r="Q323" s="66">
        <f>'Project Database'!U327</f>
        <v/>
      </c>
      <c r="R323" s="66">
        <f>'Project Database'!V327</f>
        <v/>
      </c>
      <c r="S323" s="66">
        <f>'Project Database'!W327</f>
        <v/>
      </c>
      <c r="T323" s="66">
        <f>'Project Database'!X327</f>
        <v/>
      </c>
      <c r="U323" s="67">
        <f>'Project Database'!Y327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'Project Database'!Z327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IF(AND('Project Database'!A327&lt;&gt;"",OR('Smart Search'!$L$5="",'Smart Search'!$L$5="All",TRIM('Project Database'!D327)=TRIM('Smart Search'!$L$5)),OR(TRIM('Smart Search'!$L$6)="",TRIM('Smart Search'!$L$6)="All",ISNUMBER(SEARCH(SUBSTITUTE(SUBSTITUTE(SUBSTITUTE(TRIM('Smart Search'!$L$6),"~","~~"),"*","~*"),"?","~?"),'Project Database'!C327))),OR('Smart Search'!$L$7="",AND('Project Database'!E327&lt;&gt;"",'Project Database'!E327='Smart Search'!$L$7)),OR('Smart Search'!$L$8="",'Smart Search'!$L$8="All",TRIM('Project Database'!F327)=TRIM('Smart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IF('Project Database'!A327="","",N('Project Database'!AC327))</f>
        <v/>
      </c>
      <c r="BK323" s="5">
        <f>IF('Project Database'!A327="","",N('Project Database'!AD327))</f>
        <v/>
      </c>
      <c r="BL323" s="5">
        <f>IF('Project Database'!A327="","",N('Project Database'!AE327))</f>
        <v/>
      </c>
      <c r="BM323" s="5">
        <f>IF('Project Database'!A327="","",N('Project Database'!AF327))</f>
        <v/>
      </c>
      <c r="BN323" s="5">
        <f>IF('Project Database'!A327="","",N('Project Database'!AG327))</f>
        <v/>
      </c>
      <c r="BO323" s="5">
        <f>IF('Project Database'!A327="","",N('Project Database'!AH327))</f>
        <v/>
      </c>
      <c r="BP323" s="5">
        <f>IF('Project Database'!A327="","",N('Project Database'!AI327))</f>
        <v/>
      </c>
      <c r="BQ323" s="5">
        <f>IF('Project Database'!A327="","",N('Project Database'!AJ327))</f>
        <v/>
      </c>
      <c r="BR323" s="5">
        <f>IF('Project Database'!A327="","",N('Project Database'!AK327))</f>
        <v/>
      </c>
      <c r="BS323" s="5">
        <f>IF('Project Database'!A327="","",N('Project Database'!AL327))</f>
        <v/>
      </c>
      <c r="BT323" s="5">
        <f>IF('Project Database'!A327="","",N('Project Database'!AM327))</f>
        <v/>
      </c>
      <c r="BU323" s="5">
        <f>IF('Project Database'!A327="","",N('Project Database'!AN327))</f>
        <v/>
      </c>
      <c r="BV323" s="5">
        <f>IF('Project Database'!A327="","",N('Project Database'!AO327))</f>
        <v/>
      </c>
      <c r="BW323" s="5">
        <f>IF('Project Database'!A327="","",N('Project Database'!AP327))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</row>
    <row r="324" ht="15" customHeight="1" s="74">
      <c r="A324" s="66">
        <f>'Project Database'!A328</f>
        <v/>
      </c>
      <c r="B324" s="66">
        <f>'Project Database'!B328</f>
        <v/>
      </c>
      <c r="C324" s="66">
        <f>'Project Database'!G328</f>
        <v/>
      </c>
      <c r="D324" s="66">
        <f>'Project Database'!H328</f>
        <v/>
      </c>
      <c r="E324" s="66">
        <f>'Project Database'!I328</f>
        <v/>
      </c>
      <c r="F324" s="66">
        <f>'Project Database'!J328</f>
        <v/>
      </c>
      <c r="G324" s="66">
        <f>'Project Database'!K328</f>
        <v/>
      </c>
      <c r="H324" s="66">
        <f>'Project Database'!L328</f>
        <v/>
      </c>
      <c r="I324" s="66">
        <f>'Project Database'!M328</f>
        <v/>
      </c>
      <c r="J324" s="66">
        <f>'Project Database'!N328</f>
        <v/>
      </c>
      <c r="K324" s="66">
        <f>'Project Database'!O328</f>
        <v/>
      </c>
      <c r="L324" s="66">
        <f>'Project Database'!P328</f>
        <v/>
      </c>
      <c r="M324" s="66">
        <f>'Project Database'!Q328</f>
        <v/>
      </c>
      <c r="N324" s="66">
        <f>'Project Database'!R328</f>
        <v/>
      </c>
      <c r="O324" s="66">
        <f>'Project Database'!S328</f>
        <v/>
      </c>
      <c r="P324" s="66">
        <f>'Project Database'!T328</f>
        <v/>
      </c>
      <c r="Q324" s="66">
        <f>'Project Database'!U328</f>
        <v/>
      </c>
      <c r="R324" s="66">
        <f>'Project Database'!V328</f>
        <v/>
      </c>
      <c r="S324" s="66">
        <f>'Project Database'!W328</f>
        <v/>
      </c>
      <c r="T324" s="66">
        <f>'Project Database'!X328</f>
        <v/>
      </c>
      <c r="U324" s="67">
        <f>'Project Database'!Y328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'Project Database'!Z328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IF(AND('Project Database'!A328&lt;&gt;"",OR('Smart Search'!$L$5="",'Smart Search'!$L$5="All",TRIM('Project Database'!D328)=TRIM('Smart Search'!$L$5)),OR(TRIM('Smart Search'!$L$6)="",TRIM('Smart Search'!$L$6)="All",ISNUMBER(SEARCH(SUBSTITUTE(SUBSTITUTE(SUBSTITUTE(TRIM('Smart Search'!$L$6),"~","~~"),"*","~*"),"?","~?"),'Project Database'!C328))),OR('Smart Search'!$L$7="",AND('Project Database'!E328&lt;&gt;"",'Project Database'!E328='Smart Search'!$L$7)),OR('Smart Search'!$L$8="",'Smart Search'!$L$8="All",TRIM('Project Database'!F328)=TRIM('Smart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IF('Project Database'!A328="","",N('Project Database'!AC328))</f>
        <v/>
      </c>
      <c r="BK324" s="5">
        <f>IF('Project Database'!A328="","",N('Project Database'!AD328))</f>
        <v/>
      </c>
      <c r="BL324" s="5">
        <f>IF('Project Database'!A328="","",N('Project Database'!AE328))</f>
        <v/>
      </c>
      <c r="BM324" s="5">
        <f>IF('Project Database'!A328="","",N('Project Database'!AF328))</f>
        <v/>
      </c>
      <c r="BN324" s="5">
        <f>IF('Project Database'!A328="","",N('Project Database'!AG328))</f>
        <v/>
      </c>
      <c r="BO324" s="5">
        <f>IF('Project Database'!A328="","",N('Project Database'!AH328))</f>
        <v/>
      </c>
      <c r="BP324" s="5">
        <f>IF('Project Database'!A328="","",N('Project Database'!AI328))</f>
        <v/>
      </c>
      <c r="BQ324" s="5">
        <f>IF('Project Database'!A328="","",N('Project Database'!AJ328))</f>
        <v/>
      </c>
      <c r="BR324" s="5">
        <f>IF('Project Database'!A328="","",N('Project Database'!AK328))</f>
        <v/>
      </c>
      <c r="BS324" s="5">
        <f>IF('Project Database'!A328="","",N('Project Database'!AL328))</f>
        <v/>
      </c>
      <c r="BT324" s="5">
        <f>IF('Project Database'!A328="","",N('Project Database'!AM328))</f>
        <v/>
      </c>
      <c r="BU324" s="5">
        <f>IF('Project Database'!A328="","",N('Project Database'!AN328))</f>
        <v/>
      </c>
      <c r="BV324" s="5">
        <f>IF('Project Database'!A328="","",N('Project Database'!AO328))</f>
        <v/>
      </c>
      <c r="BW324" s="5">
        <f>IF('Project Database'!A328="","",N('Project Database'!AP328))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</row>
    <row r="325" ht="15" customHeight="1" s="74">
      <c r="A325" s="66">
        <f>'Project Database'!A329</f>
        <v/>
      </c>
      <c r="B325" s="66">
        <f>'Project Database'!B329</f>
        <v/>
      </c>
      <c r="C325" s="66">
        <f>'Project Database'!G329</f>
        <v/>
      </c>
      <c r="D325" s="66">
        <f>'Project Database'!H329</f>
        <v/>
      </c>
      <c r="E325" s="66">
        <f>'Project Database'!I329</f>
        <v/>
      </c>
      <c r="F325" s="66">
        <f>'Project Database'!J329</f>
        <v/>
      </c>
      <c r="G325" s="66">
        <f>'Project Database'!K329</f>
        <v/>
      </c>
      <c r="H325" s="66">
        <f>'Project Database'!L329</f>
        <v/>
      </c>
      <c r="I325" s="66">
        <f>'Project Database'!M329</f>
        <v/>
      </c>
      <c r="J325" s="66">
        <f>'Project Database'!N329</f>
        <v/>
      </c>
      <c r="K325" s="66">
        <f>'Project Database'!O329</f>
        <v/>
      </c>
      <c r="L325" s="66">
        <f>'Project Database'!P329</f>
        <v/>
      </c>
      <c r="M325" s="66">
        <f>'Project Database'!Q329</f>
        <v/>
      </c>
      <c r="N325" s="66">
        <f>'Project Database'!R329</f>
        <v/>
      </c>
      <c r="O325" s="66">
        <f>'Project Database'!S329</f>
        <v/>
      </c>
      <c r="P325" s="66">
        <f>'Project Database'!T329</f>
        <v/>
      </c>
      <c r="Q325" s="66">
        <f>'Project Database'!U329</f>
        <v/>
      </c>
      <c r="R325" s="66">
        <f>'Project Database'!V329</f>
        <v/>
      </c>
      <c r="S325" s="66">
        <f>'Project Database'!W329</f>
        <v/>
      </c>
      <c r="T325" s="66">
        <f>'Project Database'!X329</f>
        <v/>
      </c>
      <c r="U325" s="67">
        <f>'Project Database'!Y329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'Project Database'!Z329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IF(AND('Project Database'!A329&lt;&gt;"",OR('Smart Search'!$L$5="",'Smart Search'!$L$5="All",TRIM('Project Database'!D329)=TRIM('Smart Search'!$L$5)),OR(TRIM('Smart Search'!$L$6)="",TRIM('Smart Search'!$L$6)="All",ISNUMBER(SEARCH(SUBSTITUTE(SUBSTITUTE(SUBSTITUTE(TRIM('Smart Search'!$L$6),"~","~~"),"*","~*"),"?","~?"),'Project Database'!C329))),OR('Smart Search'!$L$7="",AND('Project Database'!E329&lt;&gt;"",'Project Database'!E329='Smart Search'!$L$7)),OR('Smart Search'!$L$8="",'Smart Search'!$L$8="All",TRIM('Project Database'!F329)=TRIM('Smart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IF('Project Database'!A329="","",N('Project Database'!AC329))</f>
        <v/>
      </c>
      <c r="BK325" s="5">
        <f>IF('Project Database'!A329="","",N('Project Database'!AD329))</f>
        <v/>
      </c>
      <c r="BL325" s="5">
        <f>IF('Project Database'!A329="","",N('Project Database'!AE329))</f>
        <v/>
      </c>
      <c r="BM325" s="5">
        <f>IF('Project Database'!A329="","",N('Project Database'!AF329))</f>
        <v/>
      </c>
      <c r="BN325" s="5">
        <f>IF('Project Database'!A329="","",N('Project Database'!AG329))</f>
        <v/>
      </c>
      <c r="BO325" s="5">
        <f>IF('Project Database'!A329="","",N('Project Database'!AH329))</f>
        <v/>
      </c>
      <c r="BP325" s="5">
        <f>IF('Project Database'!A329="","",N('Project Database'!AI329))</f>
        <v/>
      </c>
      <c r="BQ325" s="5">
        <f>IF('Project Database'!A329="","",N('Project Database'!AJ329))</f>
        <v/>
      </c>
      <c r="BR325" s="5">
        <f>IF('Project Database'!A329="","",N('Project Database'!AK329))</f>
        <v/>
      </c>
      <c r="BS325" s="5">
        <f>IF('Project Database'!A329="","",N('Project Database'!AL329))</f>
        <v/>
      </c>
      <c r="BT325" s="5">
        <f>IF('Project Database'!A329="","",N('Project Database'!AM329))</f>
        <v/>
      </c>
      <c r="BU325" s="5">
        <f>IF('Project Database'!A329="","",N('Project Database'!AN329))</f>
        <v/>
      </c>
      <c r="BV325" s="5">
        <f>IF('Project Database'!A329="","",N('Project Database'!AO329))</f>
        <v/>
      </c>
      <c r="BW325" s="5">
        <f>IF('Project Database'!A329="","",N('Project Database'!AP329))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</row>
    <row r="326" ht="15" customHeight="1" s="74">
      <c r="A326" s="66">
        <f>'Project Database'!A330</f>
        <v/>
      </c>
      <c r="B326" s="66">
        <f>'Project Database'!B330</f>
        <v/>
      </c>
      <c r="C326" s="66">
        <f>'Project Database'!G330</f>
        <v/>
      </c>
      <c r="D326" s="66">
        <f>'Project Database'!H330</f>
        <v/>
      </c>
      <c r="E326" s="66">
        <f>'Project Database'!I330</f>
        <v/>
      </c>
      <c r="F326" s="66">
        <f>'Project Database'!J330</f>
        <v/>
      </c>
      <c r="G326" s="66">
        <f>'Project Database'!K330</f>
        <v/>
      </c>
      <c r="H326" s="66">
        <f>'Project Database'!L330</f>
        <v/>
      </c>
      <c r="I326" s="66">
        <f>'Project Database'!M330</f>
        <v/>
      </c>
      <c r="J326" s="66">
        <f>'Project Database'!N330</f>
        <v/>
      </c>
      <c r="K326" s="66">
        <f>'Project Database'!O330</f>
        <v/>
      </c>
      <c r="L326" s="66">
        <f>'Project Database'!P330</f>
        <v/>
      </c>
      <c r="M326" s="66">
        <f>'Project Database'!Q330</f>
        <v/>
      </c>
      <c r="N326" s="66">
        <f>'Project Database'!R330</f>
        <v/>
      </c>
      <c r="O326" s="66">
        <f>'Project Database'!S330</f>
        <v/>
      </c>
      <c r="P326" s="66">
        <f>'Project Database'!T330</f>
        <v/>
      </c>
      <c r="Q326" s="66">
        <f>'Project Database'!U330</f>
        <v/>
      </c>
      <c r="R326" s="66">
        <f>'Project Database'!V330</f>
        <v/>
      </c>
      <c r="S326" s="66">
        <f>'Project Database'!W330</f>
        <v/>
      </c>
      <c r="T326" s="66">
        <f>'Project Database'!X330</f>
        <v/>
      </c>
      <c r="U326" s="67">
        <f>'Project Database'!Y330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'Project Database'!Z330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IF(AND('Project Database'!A330&lt;&gt;"",OR('Smart Search'!$L$5="",'Smart Search'!$L$5="All",TRIM('Project Database'!D330)=TRIM('Smart Search'!$L$5)),OR(TRIM('Smart Search'!$L$6)="",TRIM('Smart Search'!$L$6)="All",ISNUMBER(SEARCH(SUBSTITUTE(SUBSTITUTE(SUBSTITUTE(TRIM('Smart Search'!$L$6),"~","~~"),"*","~*"),"?","~?"),'Project Database'!C330))),OR('Smart Search'!$L$7="",AND('Project Database'!E330&lt;&gt;"",'Project Database'!E330='Smart Search'!$L$7)),OR('Smart Search'!$L$8="",'Smart Search'!$L$8="All",TRIM('Project Database'!F330)=TRIM('Smart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IF('Project Database'!A330="","",N('Project Database'!AC330))</f>
        <v/>
      </c>
      <c r="BK326" s="5">
        <f>IF('Project Database'!A330="","",N('Project Database'!AD330))</f>
        <v/>
      </c>
      <c r="BL326" s="5">
        <f>IF('Project Database'!A330="","",N('Project Database'!AE330))</f>
        <v/>
      </c>
      <c r="BM326" s="5">
        <f>IF('Project Database'!A330="","",N('Project Database'!AF330))</f>
        <v/>
      </c>
      <c r="BN326" s="5">
        <f>IF('Project Database'!A330="","",N('Project Database'!AG330))</f>
        <v/>
      </c>
      <c r="BO326" s="5">
        <f>IF('Project Database'!A330="","",N('Project Database'!AH330))</f>
        <v/>
      </c>
      <c r="BP326" s="5">
        <f>IF('Project Database'!A330="","",N('Project Database'!AI330))</f>
        <v/>
      </c>
      <c r="BQ326" s="5">
        <f>IF('Project Database'!A330="","",N('Project Database'!AJ330))</f>
        <v/>
      </c>
      <c r="BR326" s="5">
        <f>IF('Project Database'!A330="","",N('Project Database'!AK330))</f>
        <v/>
      </c>
      <c r="BS326" s="5">
        <f>IF('Project Database'!A330="","",N('Project Database'!AL330))</f>
        <v/>
      </c>
      <c r="BT326" s="5">
        <f>IF('Project Database'!A330="","",N('Project Database'!AM330))</f>
        <v/>
      </c>
      <c r="BU326" s="5">
        <f>IF('Project Database'!A330="","",N('Project Database'!AN330))</f>
        <v/>
      </c>
      <c r="BV326" s="5">
        <f>IF('Project Database'!A330="","",N('Project Database'!AO330))</f>
        <v/>
      </c>
      <c r="BW326" s="5">
        <f>IF('Project Database'!A330="","",N('Project Database'!AP330))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</row>
    <row r="327" ht="15" customHeight="1" s="74">
      <c r="A327" s="66">
        <f>'Project Database'!A331</f>
        <v/>
      </c>
      <c r="B327" s="66">
        <f>'Project Database'!B331</f>
        <v/>
      </c>
      <c r="C327" s="66">
        <f>'Project Database'!G331</f>
        <v/>
      </c>
      <c r="D327" s="66">
        <f>'Project Database'!H331</f>
        <v/>
      </c>
      <c r="E327" s="66">
        <f>'Project Database'!I331</f>
        <v/>
      </c>
      <c r="F327" s="66">
        <f>'Project Database'!J331</f>
        <v/>
      </c>
      <c r="G327" s="66">
        <f>'Project Database'!K331</f>
        <v/>
      </c>
      <c r="H327" s="66">
        <f>'Project Database'!L331</f>
        <v/>
      </c>
      <c r="I327" s="66">
        <f>'Project Database'!M331</f>
        <v/>
      </c>
      <c r="J327" s="66">
        <f>'Project Database'!N331</f>
        <v/>
      </c>
      <c r="K327" s="66">
        <f>'Project Database'!O331</f>
        <v/>
      </c>
      <c r="L327" s="66">
        <f>'Project Database'!P331</f>
        <v/>
      </c>
      <c r="M327" s="66">
        <f>'Project Database'!Q331</f>
        <v/>
      </c>
      <c r="N327" s="66">
        <f>'Project Database'!R331</f>
        <v/>
      </c>
      <c r="O327" s="66">
        <f>'Project Database'!S331</f>
        <v/>
      </c>
      <c r="P327" s="66">
        <f>'Project Database'!T331</f>
        <v/>
      </c>
      <c r="Q327" s="66">
        <f>'Project Database'!U331</f>
        <v/>
      </c>
      <c r="R327" s="66">
        <f>'Project Database'!V331</f>
        <v/>
      </c>
      <c r="S327" s="66">
        <f>'Project Database'!W331</f>
        <v/>
      </c>
      <c r="T327" s="66">
        <f>'Project Database'!X331</f>
        <v/>
      </c>
      <c r="U327" s="67">
        <f>'Project Database'!Y331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'Project Database'!Z331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IF(AND('Project Database'!A331&lt;&gt;"",OR('Smart Search'!$L$5="",'Smart Search'!$L$5="All",TRIM('Project Database'!D331)=TRIM('Smart Search'!$L$5)),OR(TRIM('Smart Search'!$L$6)="",TRIM('Smart Search'!$L$6)="All",ISNUMBER(SEARCH(SUBSTITUTE(SUBSTITUTE(SUBSTITUTE(TRIM('Smart Search'!$L$6),"~","~~"),"*","~*"),"?","~?"),'Project Database'!C331))),OR('Smart Search'!$L$7="",AND('Project Database'!E331&lt;&gt;"",'Project Database'!E331='Smart Search'!$L$7)),OR('Smart Search'!$L$8="",'Smart Search'!$L$8="All",TRIM('Project Database'!F331)=TRIM('Smart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IF('Project Database'!A331="","",N('Project Database'!AC331))</f>
        <v/>
      </c>
      <c r="BK327" s="5">
        <f>IF('Project Database'!A331="","",N('Project Database'!AD331))</f>
        <v/>
      </c>
      <c r="BL327" s="5">
        <f>IF('Project Database'!A331="","",N('Project Database'!AE331))</f>
        <v/>
      </c>
      <c r="BM327" s="5">
        <f>IF('Project Database'!A331="","",N('Project Database'!AF331))</f>
        <v/>
      </c>
      <c r="BN327" s="5">
        <f>IF('Project Database'!A331="","",N('Project Database'!AG331))</f>
        <v/>
      </c>
      <c r="BO327" s="5">
        <f>IF('Project Database'!A331="","",N('Project Database'!AH331))</f>
        <v/>
      </c>
      <c r="BP327" s="5">
        <f>IF('Project Database'!A331="","",N('Project Database'!AI331))</f>
        <v/>
      </c>
      <c r="BQ327" s="5">
        <f>IF('Project Database'!A331="","",N('Project Database'!AJ331))</f>
        <v/>
      </c>
      <c r="BR327" s="5">
        <f>IF('Project Database'!A331="","",N('Project Database'!AK331))</f>
        <v/>
      </c>
      <c r="BS327" s="5">
        <f>IF('Project Database'!A331="","",N('Project Database'!AL331))</f>
        <v/>
      </c>
      <c r="BT327" s="5">
        <f>IF('Project Database'!A331="","",N('Project Database'!AM331))</f>
        <v/>
      </c>
      <c r="BU327" s="5">
        <f>IF('Project Database'!A331="","",N('Project Database'!AN331))</f>
        <v/>
      </c>
      <c r="BV327" s="5">
        <f>IF('Project Database'!A331="","",N('Project Database'!AO331))</f>
        <v/>
      </c>
      <c r="BW327" s="5">
        <f>IF('Project Database'!A331="","",N('Project Database'!AP331))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</row>
    <row r="328" ht="15" customHeight="1" s="74">
      <c r="A328" s="66">
        <f>'Project Database'!A332</f>
        <v/>
      </c>
      <c r="B328" s="66">
        <f>'Project Database'!B332</f>
        <v/>
      </c>
      <c r="C328" s="66">
        <f>'Project Database'!G332</f>
        <v/>
      </c>
      <c r="D328" s="66">
        <f>'Project Database'!H332</f>
        <v/>
      </c>
      <c r="E328" s="66">
        <f>'Project Database'!I332</f>
        <v/>
      </c>
      <c r="F328" s="66">
        <f>'Project Database'!J332</f>
        <v/>
      </c>
      <c r="G328" s="66">
        <f>'Project Database'!K332</f>
        <v/>
      </c>
      <c r="H328" s="66">
        <f>'Project Database'!L332</f>
        <v/>
      </c>
      <c r="I328" s="66">
        <f>'Project Database'!M332</f>
        <v/>
      </c>
      <c r="J328" s="66">
        <f>'Project Database'!N332</f>
        <v/>
      </c>
      <c r="K328" s="66">
        <f>'Project Database'!O332</f>
        <v/>
      </c>
      <c r="L328" s="66">
        <f>'Project Database'!P332</f>
        <v/>
      </c>
      <c r="M328" s="66">
        <f>'Project Database'!Q332</f>
        <v/>
      </c>
      <c r="N328" s="66">
        <f>'Project Database'!R332</f>
        <v/>
      </c>
      <c r="O328" s="66">
        <f>'Project Database'!S332</f>
        <v/>
      </c>
      <c r="P328" s="66">
        <f>'Project Database'!T332</f>
        <v/>
      </c>
      <c r="Q328" s="66">
        <f>'Project Database'!U332</f>
        <v/>
      </c>
      <c r="R328" s="66">
        <f>'Project Database'!V332</f>
        <v/>
      </c>
      <c r="S328" s="66">
        <f>'Project Database'!W332</f>
        <v/>
      </c>
      <c r="T328" s="66">
        <f>'Project Database'!X332</f>
        <v/>
      </c>
      <c r="U328" s="67">
        <f>'Project Database'!Y332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'Project Database'!Z332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IF(AND('Project Database'!A332&lt;&gt;"",OR('Smart Search'!$L$5="",'Smart Search'!$L$5="All",TRIM('Project Database'!D332)=TRIM('Smart Search'!$L$5)),OR(TRIM('Smart Search'!$L$6)="",TRIM('Smart Search'!$L$6)="All",ISNUMBER(SEARCH(SUBSTITUTE(SUBSTITUTE(SUBSTITUTE(TRIM('Smart Search'!$L$6),"~","~~"),"*","~*"),"?","~?"),'Project Database'!C332))),OR('Smart Search'!$L$7="",AND('Project Database'!E332&lt;&gt;"",'Project Database'!E332='Smart Search'!$L$7)),OR('Smart Search'!$L$8="",'Smart Search'!$L$8="All",TRIM('Project Database'!F332)=TRIM('Smart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IF('Project Database'!A332="","",N('Project Database'!AC332))</f>
        <v/>
      </c>
      <c r="BK328" s="5">
        <f>IF('Project Database'!A332="","",N('Project Database'!AD332))</f>
        <v/>
      </c>
      <c r="BL328" s="5">
        <f>IF('Project Database'!A332="","",N('Project Database'!AE332))</f>
        <v/>
      </c>
      <c r="BM328" s="5">
        <f>IF('Project Database'!A332="","",N('Project Database'!AF332))</f>
        <v/>
      </c>
      <c r="BN328" s="5">
        <f>IF('Project Database'!A332="","",N('Project Database'!AG332))</f>
        <v/>
      </c>
      <c r="BO328" s="5">
        <f>IF('Project Database'!A332="","",N('Project Database'!AH332))</f>
        <v/>
      </c>
      <c r="BP328" s="5">
        <f>IF('Project Database'!A332="","",N('Project Database'!AI332))</f>
        <v/>
      </c>
      <c r="BQ328" s="5">
        <f>IF('Project Database'!A332="","",N('Project Database'!AJ332))</f>
        <v/>
      </c>
      <c r="BR328" s="5">
        <f>IF('Project Database'!A332="","",N('Project Database'!AK332))</f>
        <v/>
      </c>
      <c r="BS328" s="5">
        <f>IF('Project Database'!A332="","",N('Project Database'!AL332))</f>
        <v/>
      </c>
      <c r="BT328" s="5">
        <f>IF('Project Database'!A332="","",N('Project Database'!AM332))</f>
        <v/>
      </c>
      <c r="BU328" s="5">
        <f>IF('Project Database'!A332="","",N('Project Database'!AN332))</f>
        <v/>
      </c>
      <c r="BV328" s="5">
        <f>IF('Project Database'!A332="","",N('Project Database'!AO332))</f>
        <v/>
      </c>
      <c r="BW328" s="5">
        <f>IF('Project Database'!A332="","",N('Project Database'!AP332))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</row>
    <row r="329" ht="15" customHeight="1" s="74">
      <c r="A329" s="66">
        <f>'Project Database'!A333</f>
        <v/>
      </c>
      <c r="B329" s="66">
        <f>'Project Database'!B333</f>
        <v/>
      </c>
      <c r="C329" s="66">
        <f>'Project Database'!G333</f>
        <v/>
      </c>
      <c r="D329" s="66">
        <f>'Project Database'!H333</f>
        <v/>
      </c>
      <c r="E329" s="66">
        <f>'Project Database'!I333</f>
        <v/>
      </c>
      <c r="F329" s="66">
        <f>'Project Database'!J333</f>
        <v/>
      </c>
      <c r="G329" s="66">
        <f>'Project Database'!K333</f>
        <v/>
      </c>
      <c r="H329" s="66">
        <f>'Project Database'!L333</f>
        <v/>
      </c>
      <c r="I329" s="66">
        <f>'Project Database'!M333</f>
        <v/>
      </c>
      <c r="J329" s="66">
        <f>'Project Database'!N333</f>
        <v/>
      </c>
      <c r="K329" s="66">
        <f>'Project Database'!O333</f>
        <v/>
      </c>
      <c r="L329" s="66">
        <f>'Project Database'!P333</f>
        <v/>
      </c>
      <c r="M329" s="66">
        <f>'Project Database'!Q333</f>
        <v/>
      </c>
      <c r="N329" s="66">
        <f>'Project Database'!R333</f>
        <v/>
      </c>
      <c r="O329" s="66">
        <f>'Project Database'!S333</f>
        <v/>
      </c>
      <c r="P329" s="66">
        <f>'Project Database'!T333</f>
        <v/>
      </c>
      <c r="Q329" s="66">
        <f>'Project Database'!U333</f>
        <v/>
      </c>
      <c r="R329" s="66">
        <f>'Project Database'!V333</f>
        <v/>
      </c>
      <c r="S329" s="66">
        <f>'Project Database'!W333</f>
        <v/>
      </c>
      <c r="T329" s="66">
        <f>'Project Database'!X333</f>
        <v/>
      </c>
      <c r="U329" s="67">
        <f>'Project Database'!Y333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'Project Database'!Z333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IF(AND('Project Database'!A333&lt;&gt;"",OR('Smart Search'!$L$5="",'Smart Search'!$L$5="All",TRIM('Project Database'!D333)=TRIM('Smart Search'!$L$5)),OR(TRIM('Smart Search'!$L$6)="",TRIM('Smart Search'!$L$6)="All",ISNUMBER(SEARCH(SUBSTITUTE(SUBSTITUTE(SUBSTITUTE(TRIM('Smart Search'!$L$6),"~","~~"),"*","~*"),"?","~?"),'Project Database'!C333))),OR('Smart Search'!$L$7="",AND('Project Database'!E333&lt;&gt;"",'Project Database'!E333='Smart Search'!$L$7)),OR('Smart Search'!$L$8="",'Smart Search'!$L$8="All",TRIM('Project Database'!F333)=TRIM('Smart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IF('Project Database'!A333="","",N('Project Database'!AC333))</f>
        <v/>
      </c>
      <c r="BK329" s="5">
        <f>IF('Project Database'!A333="","",N('Project Database'!AD333))</f>
        <v/>
      </c>
      <c r="BL329" s="5">
        <f>IF('Project Database'!A333="","",N('Project Database'!AE333))</f>
        <v/>
      </c>
      <c r="BM329" s="5">
        <f>IF('Project Database'!A333="","",N('Project Database'!AF333))</f>
        <v/>
      </c>
      <c r="BN329" s="5">
        <f>IF('Project Database'!A333="","",N('Project Database'!AG333))</f>
        <v/>
      </c>
      <c r="BO329" s="5">
        <f>IF('Project Database'!A333="","",N('Project Database'!AH333))</f>
        <v/>
      </c>
      <c r="BP329" s="5">
        <f>IF('Project Database'!A333="","",N('Project Database'!AI333))</f>
        <v/>
      </c>
      <c r="BQ329" s="5">
        <f>IF('Project Database'!A333="","",N('Project Database'!AJ333))</f>
        <v/>
      </c>
      <c r="BR329" s="5">
        <f>IF('Project Database'!A333="","",N('Project Database'!AK333))</f>
        <v/>
      </c>
      <c r="BS329" s="5">
        <f>IF('Project Database'!A333="","",N('Project Database'!AL333))</f>
        <v/>
      </c>
      <c r="BT329" s="5">
        <f>IF('Project Database'!A333="","",N('Project Database'!AM333))</f>
        <v/>
      </c>
      <c r="BU329" s="5">
        <f>IF('Project Database'!A333="","",N('Project Database'!AN333))</f>
        <v/>
      </c>
      <c r="BV329" s="5">
        <f>IF('Project Database'!A333="","",N('Project Database'!AO333))</f>
        <v/>
      </c>
      <c r="BW329" s="5">
        <f>IF('Project Database'!A333="","",N('Project Database'!AP333))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</row>
    <row r="330" ht="15" customHeight="1" s="74">
      <c r="A330" s="66">
        <f>'Project Database'!A334</f>
        <v/>
      </c>
      <c r="B330" s="66">
        <f>'Project Database'!B334</f>
        <v/>
      </c>
      <c r="C330" s="66">
        <f>'Project Database'!G334</f>
        <v/>
      </c>
      <c r="D330" s="66">
        <f>'Project Database'!H334</f>
        <v/>
      </c>
      <c r="E330" s="66">
        <f>'Project Database'!I334</f>
        <v/>
      </c>
      <c r="F330" s="66">
        <f>'Project Database'!J334</f>
        <v/>
      </c>
      <c r="G330" s="66">
        <f>'Project Database'!K334</f>
        <v/>
      </c>
      <c r="H330" s="66">
        <f>'Project Database'!L334</f>
        <v/>
      </c>
      <c r="I330" s="66">
        <f>'Project Database'!M334</f>
        <v/>
      </c>
      <c r="J330" s="66">
        <f>'Project Database'!N334</f>
        <v/>
      </c>
      <c r="K330" s="66">
        <f>'Project Database'!O334</f>
        <v/>
      </c>
      <c r="L330" s="66">
        <f>'Project Database'!P334</f>
        <v/>
      </c>
      <c r="M330" s="66">
        <f>'Project Database'!Q334</f>
        <v/>
      </c>
      <c r="N330" s="66">
        <f>'Project Database'!R334</f>
        <v/>
      </c>
      <c r="O330" s="66">
        <f>'Project Database'!S334</f>
        <v/>
      </c>
      <c r="P330" s="66">
        <f>'Project Database'!T334</f>
        <v/>
      </c>
      <c r="Q330" s="66">
        <f>'Project Database'!U334</f>
        <v/>
      </c>
      <c r="R330" s="66">
        <f>'Project Database'!V334</f>
        <v/>
      </c>
      <c r="S330" s="66">
        <f>'Project Database'!W334</f>
        <v/>
      </c>
      <c r="T330" s="66">
        <f>'Project Database'!X334</f>
        <v/>
      </c>
      <c r="U330" s="67">
        <f>'Project Database'!Y334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'Project Database'!Z334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IF(AND('Project Database'!A334&lt;&gt;"",OR('Smart Search'!$L$5="",'Smart Search'!$L$5="All",TRIM('Project Database'!D334)=TRIM('Smart Search'!$L$5)),OR(TRIM('Smart Search'!$L$6)="",TRIM('Smart Search'!$L$6)="All",ISNUMBER(SEARCH(SUBSTITUTE(SUBSTITUTE(SUBSTITUTE(TRIM('Smart Search'!$L$6),"~","~~"),"*","~*"),"?","~?"),'Project Database'!C334))),OR('Smart Search'!$L$7="",AND('Project Database'!E334&lt;&gt;"",'Project Database'!E334='Smart Search'!$L$7)),OR('Smart Search'!$L$8="",'Smart Search'!$L$8="All",TRIM('Project Database'!F334)=TRIM('Smart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IF('Project Database'!A334="","",N('Project Database'!AC334))</f>
        <v/>
      </c>
      <c r="BK330" s="5">
        <f>IF('Project Database'!A334="","",N('Project Database'!AD334))</f>
        <v/>
      </c>
      <c r="BL330" s="5">
        <f>IF('Project Database'!A334="","",N('Project Database'!AE334))</f>
        <v/>
      </c>
      <c r="BM330" s="5">
        <f>IF('Project Database'!A334="","",N('Project Database'!AF334))</f>
        <v/>
      </c>
      <c r="BN330" s="5">
        <f>IF('Project Database'!A334="","",N('Project Database'!AG334))</f>
        <v/>
      </c>
      <c r="BO330" s="5">
        <f>IF('Project Database'!A334="","",N('Project Database'!AH334))</f>
        <v/>
      </c>
      <c r="BP330" s="5">
        <f>IF('Project Database'!A334="","",N('Project Database'!AI334))</f>
        <v/>
      </c>
      <c r="BQ330" s="5">
        <f>IF('Project Database'!A334="","",N('Project Database'!AJ334))</f>
        <v/>
      </c>
      <c r="BR330" s="5">
        <f>IF('Project Database'!A334="","",N('Project Database'!AK334))</f>
        <v/>
      </c>
      <c r="BS330" s="5">
        <f>IF('Project Database'!A334="","",N('Project Database'!AL334))</f>
        <v/>
      </c>
      <c r="BT330" s="5">
        <f>IF('Project Database'!A334="","",N('Project Database'!AM334))</f>
        <v/>
      </c>
      <c r="BU330" s="5">
        <f>IF('Project Database'!A334="","",N('Project Database'!AN334))</f>
        <v/>
      </c>
      <c r="BV330" s="5">
        <f>IF('Project Database'!A334="","",N('Project Database'!AO334))</f>
        <v/>
      </c>
      <c r="BW330" s="5">
        <f>IF('Project Database'!A334="","",N('Project Database'!AP334))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</row>
    <row r="331" ht="15" customHeight="1" s="74">
      <c r="A331" s="66">
        <f>'Project Database'!A335</f>
        <v/>
      </c>
      <c r="B331" s="66">
        <f>'Project Database'!B335</f>
        <v/>
      </c>
      <c r="C331" s="66">
        <f>'Project Database'!G335</f>
        <v/>
      </c>
      <c r="D331" s="66">
        <f>'Project Database'!H335</f>
        <v/>
      </c>
      <c r="E331" s="66">
        <f>'Project Database'!I335</f>
        <v/>
      </c>
      <c r="F331" s="66">
        <f>'Project Database'!J335</f>
        <v/>
      </c>
      <c r="G331" s="66">
        <f>'Project Database'!K335</f>
        <v/>
      </c>
      <c r="H331" s="66">
        <f>'Project Database'!L335</f>
        <v/>
      </c>
      <c r="I331" s="66">
        <f>'Project Database'!M335</f>
        <v/>
      </c>
      <c r="J331" s="66">
        <f>'Project Database'!N335</f>
        <v/>
      </c>
      <c r="K331" s="66">
        <f>'Project Database'!O335</f>
        <v/>
      </c>
      <c r="L331" s="66">
        <f>'Project Database'!P335</f>
        <v/>
      </c>
      <c r="M331" s="66">
        <f>'Project Database'!Q335</f>
        <v/>
      </c>
      <c r="N331" s="66">
        <f>'Project Database'!R335</f>
        <v/>
      </c>
      <c r="O331" s="66">
        <f>'Project Database'!S335</f>
        <v/>
      </c>
      <c r="P331" s="66">
        <f>'Project Database'!T335</f>
        <v/>
      </c>
      <c r="Q331" s="66">
        <f>'Project Database'!U335</f>
        <v/>
      </c>
      <c r="R331" s="66">
        <f>'Project Database'!V335</f>
        <v/>
      </c>
      <c r="S331" s="66">
        <f>'Project Database'!W335</f>
        <v/>
      </c>
      <c r="T331" s="66">
        <f>'Project Database'!X335</f>
        <v/>
      </c>
      <c r="U331" s="67">
        <f>'Project Database'!Y335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'Project Database'!Z335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IF(AND('Project Database'!A335&lt;&gt;"",OR('Smart Search'!$L$5="",'Smart Search'!$L$5="All",TRIM('Project Database'!D335)=TRIM('Smart Search'!$L$5)),OR(TRIM('Smart Search'!$L$6)="",TRIM('Smart Search'!$L$6)="All",ISNUMBER(SEARCH(SUBSTITUTE(SUBSTITUTE(SUBSTITUTE(TRIM('Smart Search'!$L$6),"~","~~"),"*","~*"),"?","~?"),'Project Database'!C335))),OR('Smart Search'!$L$7="",AND('Project Database'!E335&lt;&gt;"",'Project Database'!E335='Smart Search'!$L$7)),OR('Smart Search'!$L$8="",'Smart Search'!$L$8="All",TRIM('Project Database'!F335)=TRIM('Smart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IF('Project Database'!A335="","",N('Project Database'!AC335))</f>
        <v/>
      </c>
      <c r="BK331" s="5">
        <f>IF('Project Database'!A335="","",N('Project Database'!AD335))</f>
        <v/>
      </c>
      <c r="BL331" s="5">
        <f>IF('Project Database'!A335="","",N('Project Database'!AE335))</f>
        <v/>
      </c>
      <c r="BM331" s="5">
        <f>IF('Project Database'!A335="","",N('Project Database'!AF335))</f>
        <v/>
      </c>
      <c r="BN331" s="5">
        <f>IF('Project Database'!A335="","",N('Project Database'!AG335))</f>
        <v/>
      </c>
      <c r="BO331" s="5">
        <f>IF('Project Database'!A335="","",N('Project Database'!AH335))</f>
        <v/>
      </c>
      <c r="BP331" s="5">
        <f>IF('Project Database'!A335="","",N('Project Database'!AI335))</f>
        <v/>
      </c>
      <c r="BQ331" s="5">
        <f>IF('Project Database'!A335="","",N('Project Database'!AJ335))</f>
        <v/>
      </c>
      <c r="BR331" s="5">
        <f>IF('Project Database'!A335="","",N('Project Database'!AK335))</f>
        <v/>
      </c>
      <c r="BS331" s="5">
        <f>IF('Project Database'!A335="","",N('Project Database'!AL335))</f>
        <v/>
      </c>
      <c r="BT331" s="5">
        <f>IF('Project Database'!A335="","",N('Project Database'!AM335))</f>
        <v/>
      </c>
      <c r="BU331" s="5">
        <f>IF('Project Database'!A335="","",N('Project Database'!AN335))</f>
        <v/>
      </c>
      <c r="BV331" s="5">
        <f>IF('Project Database'!A335="","",N('Project Database'!AO335))</f>
        <v/>
      </c>
      <c r="BW331" s="5">
        <f>IF('Project Database'!A335="","",N('Project Database'!AP335))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</row>
    <row r="332" ht="15" customHeight="1" s="74">
      <c r="A332" s="66">
        <f>'Project Database'!A336</f>
        <v/>
      </c>
      <c r="B332" s="66">
        <f>'Project Database'!B336</f>
        <v/>
      </c>
      <c r="C332" s="66">
        <f>'Project Database'!G336</f>
        <v/>
      </c>
      <c r="D332" s="66">
        <f>'Project Database'!H336</f>
        <v/>
      </c>
      <c r="E332" s="66">
        <f>'Project Database'!I336</f>
        <v/>
      </c>
      <c r="F332" s="66">
        <f>'Project Database'!J336</f>
        <v/>
      </c>
      <c r="G332" s="66">
        <f>'Project Database'!K336</f>
        <v/>
      </c>
      <c r="H332" s="66">
        <f>'Project Database'!L336</f>
        <v/>
      </c>
      <c r="I332" s="66">
        <f>'Project Database'!M336</f>
        <v/>
      </c>
      <c r="J332" s="66">
        <f>'Project Database'!N336</f>
        <v/>
      </c>
      <c r="K332" s="66">
        <f>'Project Database'!O336</f>
        <v/>
      </c>
      <c r="L332" s="66">
        <f>'Project Database'!P336</f>
        <v/>
      </c>
      <c r="M332" s="66">
        <f>'Project Database'!Q336</f>
        <v/>
      </c>
      <c r="N332" s="66">
        <f>'Project Database'!R336</f>
        <v/>
      </c>
      <c r="O332" s="66">
        <f>'Project Database'!S336</f>
        <v/>
      </c>
      <c r="P332" s="66">
        <f>'Project Database'!T336</f>
        <v/>
      </c>
      <c r="Q332" s="66">
        <f>'Project Database'!U336</f>
        <v/>
      </c>
      <c r="R332" s="66">
        <f>'Project Database'!V336</f>
        <v/>
      </c>
      <c r="S332" s="66">
        <f>'Project Database'!W336</f>
        <v/>
      </c>
      <c r="T332" s="66">
        <f>'Project Database'!X336</f>
        <v/>
      </c>
      <c r="U332" s="67">
        <f>'Project Database'!Y336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'Project Database'!Z336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IF(AND('Project Database'!A336&lt;&gt;"",OR('Smart Search'!$L$5="",'Smart Search'!$L$5="All",TRIM('Project Database'!D336)=TRIM('Smart Search'!$L$5)),OR(TRIM('Smart Search'!$L$6)="",TRIM('Smart Search'!$L$6)="All",ISNUMBER(SEARCH(SUBSTITUTE(SUBSTITUTE(SUBSTITUTE(TRIM('Smart Search'!$L$6),"~","~~"),"*","~*"),"?","~?"),'Project Database'!C336))),OR('Smart Search'!$L$7="",AND('Project Database'!E336&lt;&gt;"",'Project Database'!E336='Smart Search'!$L$7)),OR('Smart Search'!$L$8="",'Smart Search'!$L$8="All",TRIM('Project Database'!F336)=TRIM('Smart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IF('Project Database'!A336="","",N('Project Database'!AC336))</f>
        <v/>
      </c>
      <c r="BK332" s="5">
        <f>IF('Project Database'!A336="","",N('Project Database'!AD336))</f>
        <v/>
      </c>
      <c r="BL332" s="5">
        <f>IF('Project Database'!A336="","",N('Project Database'!AE336))</f>
        <v/>
      </c>
      <c r="BM332" s="5">
        <f>IF('Project Database'!A336="","",N('Project Database'!AF336))</f>
        <v/>
      </c>
      <c r="BN332" s="5">
        <f>IF('Project Database'!A336="","",N('Project Database'!AG336))</f>
        <v/>
      </c>
      <c r="BO332" s="5">
        <f>IF('Project Database'!A336="","",N('Project Database'!AH336))</f>
        <v/>
      </c>
      <c r="BP332" s="5">
        <f>IF('Project Database'!A336="","",N('Project Database'!AI336))</f>
        <v/>
      </c>
      <c r="BQ332" s="5">
        <f>IF('Project Database'!A336="","",N('Project Database'!AJ336))</f>
        <v/>
      </c>
      <c r="BR332" s="5">
        <f>IF('Project Database'!A336="","",N('Project Database'!AK336))</f>
        <v/>
      </c>
      <c r="BS332" s="5">
        <f>IF('Project Database'!A336="","",N('Project Database'!AL336))</f>
        <v/>
      </c>
      <c r="BT332" s="5">
        <f>IF('Project Database'!A336="","",N('Project Database'!AM336))</f>
        <v/>
      </c>
      <c r="BU332" s="5">
        <f>IF('Project Database'!A336="","",N('Project Database'!AN336))</f>
        <v/>
      </c>
      <c r="BV332" s="5">
        <f>IF('Project Database'!A336="","",N('Project Database'!AO336))</f>
        <v/>
      </c>
      <c r="BW332" s="5">
        <f>IF('Project Database'!A336="","",N('Project Database'!AP336))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</row>
    <row r="333" ht="15" customHeight="1" s="74">
      <c r="A333" s="66">
        <f>'Project Database'!A337</f>
        <v/>
      </c>
      <c r="B333" s="66">
        <f>'Project Database'!B337</f>
        <v/>
      </c>
      <c r="C333" s="66">
        <f>'Project Database'!G337</f>
        <v/>
      </c>
      <c r="D333" s="66">
        <f>'Project Database'!H337</f>
        <v/>
      </c>
      <c r="E333" s="66">
        <f>'Project Database'!I337</f>
        <v/>
      </c>
      <c r="F333" s="66">
        <f>'Project Database'!J337</f>
        <v/>
      </c>
      <c r="G333" s="66">
        <f>'Project Database'!K337</f>
        <v/>
      </c>
      <c r="H333" s="66">
        <f>'Project Database'!L337</f>
        <v/>
      </c>
      <c r="I333" s="66">
        <f>'Project Database'!M337</f>
        <v/>
      </c>
      <c r="J333" s="66">
        <f>'Project Database'!N337</f>
        <v/>
      </c>
      <c r="K333" s="66">
        <f>'Project Database'!O337</f>
        <v/>
      </c>
      <c r="L333" s="66">
        <f>'Project Database'!P337</f>
        <v/>
      </c>
      <c r="M333" s="66">
        <f>'Project Database'!Q337</f>
        <v/>
      </c>
      <c r="N333" s="66">
        <f>'Project Database'!R337</f>
        <v/>
      </c>
      <c r="O333" s="66">
        <f>'Project Database'!S337</f>
        <v/>
      </c>
      <c r="P333" s="66">
        <f>'Project Database'!T337</f>
        <v/>
      </c>
      <c r="Q333" s="66">
        <f>'Project Database'!U337</f>
        <v/>
      </c>
      <c r="R333" s="66">
        <f>'Project Database'!V337</f>
        <v/>
      </c>
      <c r="S333" s="66">
        <f>'Project Database'!W337</f>
        <v/>
      </c>
      <c r="T333" s="66">
        <f>'Project Database'!X337</f>
        <v/>
      </c>
      <c r="U333" s="67">
        <f>'Project Database'!Y337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'Project Database'!Z337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IF(AND('Project Database'!A337&lt;&gt;"",OR('Smart Search'!$L$5="",'Smart Search'!$L$5="All",TRIM('Project Database'!D337)=TRIM('Smart Search'!$L$5)),OR(TRIM('Smart Search'!$L$6)="",TRIM('Smart Search'!$L$6)="All",ISNUMBER(SEARCH(SUBSTITUTE(SUBSTITUTE(SUBSTITUTE(TRIM('Smart Search'!$L$6),"~","~~"),"*","~*"),"?","~?"),'Project Database'!C337))),OR('Smart Search'!$L$7="",AND('Project Database'!E337&lt;&gt;"",'Project Database'!E337='Smart Search'!$L$7)),OR('Smart Search'!$L$8="",'Smart Search'!$L$8="All",TRIM('Project Database'!F337)=TRIM('Smart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IF('Project Database'!A337="","",N('Project Database'!AC337))</f>
        <v/>
      </c>
      <c r="BK333" s="5">
        <f>IF('Project Database'!A337="","",N('Project Database'!AD337))</f>
        <v/>
      </c>
      <c r="BL333" s="5">
        <f>IF('Project Database'!A337="","",N('Project Database'!AE337))</f>
        <v/>
      </c>
      <c r="BM333" s="5">
        <f>IF('Project Database'!A337="","",N('Project Database'!AF337))</f>
        <v/>
      </c>
      <c r="BN333" s="5">
        <f>IF('Project Database'!A337="","",N('Project Database'!AG337))</f>
        <v/>
      </c>
      <c r="BO333" s="5">
        <f>IF('Project Database'!A337="","",N('Project Database'!AH337))</f>
        <v/>
      </c>
      <c r="BP333" s="5">
        <f>IF('Project Database'!A337="","",N('Project Database'!AI337))</f>
        <v/>
      </c>
      <c r="BQ333" s="5">
        <f>IF('Project Database'!A337="","",N('Project Database'!AJ337))</f>
        <v/>
      </c>
      <c r="BR333" s="5">
        <f>IF('Project Database'!A337="","",N('Project Database'!AK337))</f>
        <v/>
      </c>
      <c r="BS333" s="5">
        <f>IF('Project Database'!A337="","",N('Project Database'!AL337))</f>
        <v/>
      </c>
      <c r="BT333" s="5">
        <f>IF('Project Database'!A337="","",N('Project Database'!AM337))</f>
        <v/>
      </c>
      <c r="BU333" s="5">
        <f>IF('Project Database'!A337="","",N('Project Database'!AN337))</f>
        <v/>
      </c>
      <c r="BV333" s="5">
        <f>IF('Project Database'!A337="","",N('Project Database'!AO337))</f>
        <v/>
      </c>
      <c r="BW333" s="5">
        <f>IF('Project Database'!A337="","",N('Project Database'!AP337))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</row>
    <row r="334" ht="15" customHeight="1" s="74">
      <c r="A334" s="66">
        <f>'Project Database'!A338</f>
        <v/>
      </c>
      <c r="B334" s="66">
        <f>'Project Database'!B338</f>
        <v/>
      </c>
      <c r="C334" s="66">
        <f>'Project Database'!G338</f>
        <v/>
      </c>
      <c r="D334" s="66">
        <f>'Project Database'!H338</f>
        <v/>
      </c>
      <c r="E334" s="66">
        <f>'Project Database'!I338</f>
        <v/>
      </c>
      <c r="F334" s="66">
        <f>'Project Database'!J338</f>
        <v/>
      </c>
      <c r="G334" s="66">
        <f>'Project Database'!K338</f>
        <v/>
      </c>
      <c r="H334" s="66">
        <f>'Project Database'!L338</f>
        <v/>
      </c>
      <c r="I334" s="66">
        <f>'Project Database'!M338</f>
        <v/>
      </c>
      <c r="J334" s="66">
        <f>'Project Database'!N338</f>
        <v/>
      </c>
      <c r="K334" s="66">
        <f>'Project Database'!O338</f>
        <v/>
      </c>
      <c r="L334" s="66">
        <f>'Project Database'!P338</f>
        <v/>
      </c>
      <c r="M334" s="66">
        <f>'Project Database'!Q338</f>
        <v/>
      </c>
      <c r="N334" s="66">
        <f>'Project Database'!R338</f>
        <v/>
      </c>
      <c r="O334" s="66">
        <f>'Project Database'!S338</f>
        <v/>
      </c>
      <c r="P334" s="66">
        <f>'Project Database'!T338</f>
        <v/>
      </c>
      <c r="Q334" s="66">
        <f>'Project Database'!U338</f>
        <v/>
      </c>
      <c r="R334" s="66">
        <f>'Project Database'!V338</f>
        <v/>
      </c>
      <c r="S334" s="66">
        <f>'Project Database'!W338</f>
        <v/>
      </c>
      <c r="T334" s="66">
        <f>'Project Database'!X338</f>
        <v/>
      </c>
      <c r="U334" s="67">
        <f>'Project Database'!Y338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'Project Database'!Z338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IF(AND('Project Database'!A338&lt;&gt;"",OR('Smart Search'!$L$5="",'Smart Search'!$L$5="All",TRIM('Project Database'!D338)=TRIM('Smart Search'!$L$5)),OR(TRIM('Smart Search'!$L$6)="",TRIM('Smart Search'!$L$6)="All",ISNUMBER(SEARCH(SUBSTITUTE(SUBSTITUTE(SUBSTITUTE(TRIM('Smart Search'!$L$6),"~","~~"),"*","~*"),"?","~?"),'Project Database'!C338))),OR('Smart Search'!$L$7="",AND('Project Database'!E338&lt;&gt;"",'Project Database'!E338='Smart Search'!$L$7)),OR('Smart Search'!$L$8="",'Smart Search'!$L$8="All",TRIM('Project Database'!F338)=TRIM('Smart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IF('Project Database'!A338="","",N('Project Database'!AC338))</f>
        <v/>
      </c>
      <c r="BK334" s="5">
        <f>IF('Project Database'!A338="","",N('Project Database'!AD338))</f>
        <v/>
      </c>
      <c r="BL334" s="5">
        <f>IF('Project Database'!A338="","",N('Project Database'!AE338))</f>
        <v/>
      </c>
      <c r="BM334" s="5">
        <f>IF('Project Database'!A338="","",N('Project Database'!AF338))</f>
        <v/>
      </c>
      <c r="BN334" s="5">
        <f>IF('Project Database'!A338="","",N('Project Database'!AG338))</f>
        <v/>
      </c>
      <c r="BO334" s="5">
        <f>IF('Project Database'!A338="","",N('Project Database'!AH338))</f>
        <v/>
      </c>
      <c r="BP334" s="5">
        <f>IF('Project Database'!A338="","",N('Project Database'!AI338))</f>
        <v/>
      </c>
      <c r="BQ334" s="5">
        <f>IF('Project Database'!A338="","",N('Project Database'!AJ338))</f>
        <v/>
      </c>
      <c r="BR334" s="5">
        <f>IF('Project Database'!A338="","",N('Project Database'!AK338))</f>
        <v/>
      </c>
      <c r="BS334" s="5">
        <f>IF('Project Database'!A338="","",N('Project Database'!AL338))</f>
        <v/>
      </c>
      <c r="BT334" s="5">
        <f>IF('Project Database'!A338="","",N('Project Database'!AM338))</f>
        <v/>
      </c>
      <c r="BU334" s="5">
        <f>IF('Project Database'!A338="","",N('Project Database'!AN338))</f>
        <v/>
      </c>
      <c r="BV334" s="5">
        <f>IF('Project Database'!A338="","",N('Project Database'!AO338))</f>
        <v/>
      </c>
      <c r="BW334" s="5">
        <f>IF('Project Database'!A338="","",N('Project Database'!AP338))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</row>
    <row r="335" ht="15" customHeight="1" s="74">
      <c r="A335" s="66">
        <f>'Project Database'!A339</f>
        <v/>
      </c>
      <c r="B335" s="66">
        <f>'Project Database'!B339</f>
        <v/>
      </c>
      <c r="C335" s="66">
        <f>'Project Database'!G339</f>
        <v/>
      </c>
      <c r="D335" s="66">
        <f>'Project Database'!H339</f>
        <v/>
      </c>
      <c r="E335" s="66">
        <f>'Project Database'!I339</f>
        <v/>
      </c>
      <c r="F335" s="66">
        <f>'Project Database'!J339</f>
        <v/>
      </c>
      <c r="G335" s="66">
        <f>'Project Database'!K339</f>
        <v/>
      </c>
      <c r="H335" s="66">
        <f>'Project Database'!L339</f>
        <v/>
      </c>
      <c r="I335" s="66">
        <f>'Project Database'!M339</f>
        <v/>
      </c>
      <c r="J335" s="66">
        <f>'Project Database'!N339</f>
        <v/>
      </c>
      <c r="K335" s="66">
        <f>'Project Database'!O339</f>
        <v/>
      </c>
      <c r="L335" s="66">
        <f>'Project Database'!P339</f>
        <v/>
      </c>
      <c r="M335" s="66">
        <f>'Project Database'!Q339</f>
        <v/>
      </c>
      <c r="N335" s="66">
        <f>'Project Database'!R339</f>
        <v/>
      </c>
      <c r="O335" s="66">
        <f>'Project Database'!S339</f>
        <v/>
      </c>
      <c r="P335" s="66">
        <f>'Project Database'!T339</f>
        <v/>
      </c>
      <c r="Q335" s="66">
        <f>'Project Database'!U339</f>
        <v/>
      </c>
      <c r="R335" s="66">
        <f>'Project Database'!V339</f>
        <v/>
      </c>
      <c r="S335" s="66">
        <f>'Project Database'!W339</f>
        <v/>
      </c>
      <c r="T335" s="66">
        <f>'Project Database'!X339</f>
        <v/>
      </c>
      <c r="U335" s="67">
        <f>'Project Database'!Y339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'Project Database'!Z339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IF(AND('Project Database'!A339&lt;&gt;"",OR('Smart Search'!$L$5="",'Smart Search'!$L$5="All",TRIM('Project Database'!D339)=TRIM('Smart Search'!$L$5)),OR(TRIM('Smart Search'!$L$6)="",TRIM('Smart Search'!$L$6)="All",ISNUMBER(SEARCH(SUBSTITUTE(SUBSTITUTE(SUBSTITUTE(TRIM('Smart Search'!$L$6),"~","~~"),"*","~*"),"?","~?"),'Project Database'!C339))),OR('Smart Search'!$L$7="",AND('Project Database'!E339&lt;&gt;"",'Project Database'!E339='Smart Search'!$L$7)),OR('Smart Search'!$L$8="",'Smart Search'!$L$8="All",TRIM('Project Database'!F339)=TRIM('Smart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IF('Project Database'!A339="","",N('Project Database'!AC339))</f>
        <v/>
      </c>
      <c r="BK335" s="5">
        <f>IF('Project Database'!A339="","",N('Project Database'!AD339))</f>
        <v/>
      </c>
      <c r="BL335" s="5">
        <f>IF('Project Database'!A339="","",N('Project Database'!AE339))</f>
        <v/>
      </c>
      <c r="BM335" s="5">
        <f>IF('Project Database'!A339="","",N('Project Database'!AF339))</f>
        <v/>
      </c>
      <c r="BN335" s="5">
        <f>IF('Project Database'!A339="","",N('Project Database'!AG339))</f>
        <v/>
      </c>
      <c r="BO335" s="5">
        <f>IF('Project Database'!A339="","",N('Project Database'!AH339))</f>
        <v/>
      </c>
      <c r="BP335" s="5">
        <f>IF('Project Database'!A339="","",N('Project Database'!AI339))</f>
        <v/>
      </c>
      <c r="BQ335" s="5">
        <f>IF('Project Database'!A339="","",N('Project Database'!AJ339))</f>
        <v/>
      </c>
      <c r="BR335" s="5">
        <f>IF('Project Database'!A339="","",N('Project Database'!AK339))</f>
        <v/>
      </c>
      <c r="BS335" s="5">
        <f>IF('Project Database'!A339="","",N('Project Database'!AL339))</f>
        <v/>
      </c>
      <c r="BT335" s="5">
        <f>IF('Project Database'!A339="","",N('Project Database'!AM339))</f>
        <v/>
      </c>
      <c r="BU335" s="5">
        <f>IF('Project Database'!A339="","",N('Project Database'!AN339))</f>
        <v/>
      </c>
      <c r="BV335" s="5">
        <f>IF('Project Database'!A339="","",N('Project Database'!AO339))</f>
        <v/>
      </c>
      <c r="BW335" s="5">
        <f>IF('Project Database'!A339="","",N('Project Database'!AP339))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</row>
    <row r="336" ht="15" customHeight="1" s="74">
      <c r="A336" s="66">
        <f>'Project Database'!A340</f>
        <v/>
      </c>
      <c r="B336" s="66">
        <f>'Project Database'!B340</f>
        <v/>
      </c>
      <c r="C336" s="66">
        <f>'Project Database'!G340</f>
        <v/>
      </c>
      <c r="D336" s="66">
        <f>'Project Database'!H340</f>
        <v/>
      </c>
      <c r="E336" s="66">
        <f>'Project Database'!I340</f>
        <v/>
      </c>
      <c r="F336" s="66">
        <f>'Project Database'!J340</f>
        <v/>
      </c>
      <c r="G336" s="66">
        <f>'Project Database'!K340</f>
        <v/>
      </c>
      <c r="H336" s="66">
        <f>'Project Database'!L340</f>
        <v/>
      </c>
      <c r="I336" s="66">
        <f>'Project Database'!M340</f>
        <v/>
      </c>
      <c r="J336" s="66">
        <f>'Project Database'!N340</f>
        <v/>
      </c>
      <c r="K336" s="66">
        <f>'Project Database'!O340</f>
        <v/>
      </c>
      <c r="L336" s="66">
        <f>'Project Database'!P340</f>
        <v/>
      </c>
      <c r="M336" s="66">
        <f>'Project Database'!Q340</f>
        <v/>
      </c>
      <c r="N336" s="66">
        <f>'Project Database'!R340</f>
        <v/>
      </c>
      <c r="O336" s="66">
        <f>'Project Database'!S340</f>
        <v/>
      </c>
      <c r="P336" s="66">
        <f>'Project Database'!T340</f>
        <v/>
      </c>
      <c r="Q336" s="66">
        <f>'Project Database'!U340</f>
        <v/>
      </c>
      <c r="R336" s="66">
        <f>'Project Database'!V340</f>
        <v/>
      </c>
      <c r="S336" s="66">
        <f>'Project Database'!W340</f>
        <v/>
      </c>
      <c r="T336" s="66">
        <f>'Project Database'!X340</f>
        <v/>
      </c>
      <c r="U336" s="67">
        <f>'Project Database'!Y340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'Project Database'!Z340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IF(AND('Project Database'!A340&lt;&gt;"",OR('Smart Search'!$L$5="",'Smart Search'!$L$5="All",TRIM('Project Database'!D340)=TRIM('Smart Search'!$L$5)),OR(TRIM('Smart Search'!$L$6)="",TRIM('Smart Search'!$L$6)="All",ISNUMBER(SEARCH(SUBSTITUTE(SUBSTITUTE(SUBSTITUTE(TRIM('Smart Search'!$L$6),"~","~~"),"*","~*"),"?","~?"),'Project Database'!C340))),OR('Smart Search'!$L$7="",AND('Project Database'!E340&lt;&gt;"",'Project Database'!E340='Smart Search'!$L$7)),OR('Smart Search'!$L$8="",'Smart Search'!$L$8="All",TRIM('Project Database'!F340)=TRIM('Smart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IF('Project Database'!A340="","",N('Project Database'!AC340))</f>
        <v/>
      </c>
      <c r="BK336" s="5">
        <f>IF('Project Database'!A340="","",N('Project Database'!AD340))</f>
        <v/>
      </c>
      <c r="BL336" s="5">
        <f>IF('Project Database'!A340="","",N('Project Database'!AE340))</f>
        <v/>
      </c>
      <c r="BM336" s="5">
        <f>IF('Project Database'!A340="","",N('Project Database'!AF340))</f>
        <v/>
      </c>
      <c r="BN336" s="5">
        <f>IF('Project Database'!A340="","",N('Project Database'!AG340))</f>
        <v/>
      </c>
      <c r="BO336" s="5">
        <f>IF('Project Database'!A340="","",N('Project Database'!AH340))</f>
        <v/>
      </c>
      <c r="BP336" s="5">
        <f>IF('Project Database'!A340="","",N('Project Database'!AI340))</f>
        <v/>
      </c>
      <c r="BQ336" s="5">
        <f>IF('Project Database'!A340="","",N('Project Database'!AJ340))</f>
        <v/>
      </c>
      <c r="BR336" s="5">
        <f>IF('Project Database'!A340="","",N('Project Database'!AK340))</f>
        <v/>
      </c>
      <c r="BS336" s="5">
        <f>IF('Project Database'!A340="","",N('Project Database'!AL340))</f>
        <v/>
      </c>
      <c r="BT336" s="5">
        <f>IF('Project Database'!A340="","",N('Project Database'!AM340))</f>
        <v/>
      </c>
      <c r="BU336" s="5">
        <f>IF('Project Database'!A340="","",N('Project Database'!AN340))</f>
        <v/>
      </c>
      <c r="BV336" s="5">
        <f>IF('Project Database'!A340="","",N('Project Database'!AO340))</f>
        <v/>
      </c>
      <c r="BW336" s="5">
        <f>IF('Project Database'!A340="","",N('Project Database'!AP340))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</row>
    <row r="337" ht="15" customHeight="1" s="74">
      <c r="A337" s="66">
        <f>'Project Database'!A341</f>
        <v/>
      </c>
      <c r="B337" s="66">
        <f>'Project Database'!B341</f>
        <v/>
      </c>
      <c r="C337" s="66">
        <f>'Project Database'!G341</f>
        <v/>
      </c>
      <c r="D337" s="66">
        <f>'Project Database'!H341</f>
        <v/>
      </c>
      <c r="E337" s="66">
        <f>'Project Database'!I341</f>
        <v/>
      </c>
      <c r="F337" s="66">
        <f>'Project Database'!J341</f>
        <v/>
      </c>
      <c r="G337" s="66">
        <f>'Project Database'!K341</f>
        <v/>
      </c>
      <c r="H337" s="66">
        <f>'Project Database'!L341</f>
        <v/>
      </c>
      <c r="I337" s="66">
        <f>'Project Database'!M341</f>
        <v/>
      </c>
      <c r="J337" s="66">
        <f>'Project Database'!N341</f>
        <v/>
      </c>
      <c r="K337" s="66">
        <f>'Project Database'!O341</f>
        <v/>
      </c>
      <c r="L337" s="66">
        <f>'Project Database'!P341</f>
        <v/>
      </c>
      <c r="M337" s="66">
        <f>'Project Database'!Q341</f>
        <v/>
      </c>
      <c r="N337" s="66">
        <f>'Project Database'!R341</f>
        <v/>
      </c>
      <c r="O337" s="66">
        <f>'Project Database'!S341</f>
        <v/>
      </c>
      <c r="P337" s="66">
        <f>'Project Database'!T341</f>
        <v/>
      </c>
      <c r="Q337" s="66">
        <f>'Project Database'!U341</f>
        <v/>
      </c>
      <c r="R337" s="66">
        <f>'Project Database'!V341</f>
        <v/>
      </c>
      <c r="S337" s="66">
        <f>'Project Database'!W341</f>
        <v/>
      </c>
      <c r="T337" s="66">
        <f>'Project Database'!X341</f>
        <v/>
      </c>
      <c r="U337" s="67">
        <f>'Project Database'!Y341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'Project Database'!Z341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IF(AND('Project Database'!A341&lt;&gt;"",OR('Smart Search'!$L$5="",'Smart Search'!$L$5="All",TRIM('Project Database'!D341)=TRIM('Smart Search'!$L$5)),OR(TRIM('Smart Search'!$L$6)="",TRIM('Smart Search'!$L$6)="All",ISNUMBER(SEARCH(SUBSTITUTE(SUBSTITUTE(SUBSTITUTE(TRIM('Smart Search'!$L$6),"~","~~"),"*","~*"),"?","~?"),'Project Database'!C341))),OR('Smart Search'!$L$7="",AND('Project Database'!E341&lt;&gt;"",'Project Database'!E341='Smart Search'!$L$7)),OR('Smart Search'!$L$8="",'Smart Search'!$L$8="All",TRIM('Project Database'!F341)=TRIM('Smart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IF('Project Database'!A341="","",N('Project Database'!AC341))</f>
        <v/>
      </c>
      <c r="BK337" s="5">
        <f>IF('Project Database'!A341="","",N('Project Database'!AD341))</f>
        <v/>
      </c>
      <c r="BL337" s="5">
        <f>IF('Project Database'!A341="","",N('Project Database'!AE341))</f>
        <v/>
      </c>
      <c r="BM337" s="5">
        <f>IF('Project Database'!A341="","",N('Project Database'!AF341))</f>
        <v/>
      </c>
      <c r="BN337" s="5">
        <f>IF('Project Database'!A341="","",N('Project Database'!AG341))</f>
        <v/>
      </c>
      <c r="BO337" s="5">
        <f>IF('Project Database'!A341="","",N('Project Database'!AH341))</f>
        <v/>
      </c>
      <c r="BP337" s="5">
        <f>IF('Project Database'!A341="","",N('Project Database'!AI341))</f>
        <v/>
      </c>
      <c r="BQ337" s="5">
        <f>IF('Project Database'!A341="","",N('Project Database'!AJ341))</f>
        <v/>
      </c>
      <c r="BR337" s="5">
        <f>IF('Project Database'!A341="","",N('Project Database'!AK341))</f>
        <v/>
      </c>
      <c r="BS337" s="5">
        <f>IF('Project Database'!A341="","",N('Project Database'!AL341))</f>
        <v/>
      </c>
      <c r="BT337" s="5">
        <f>IF('Project Database'!A341="","",N('Project Database'!AM341))</f>
        <v/>
      </c>
      <c r="BU337" s="5">
        <f>IF('Project Database'!A341="","",N('Project Database'!AN341))</f>
        <v/>
      </c>
      <c r="BV337" s="5">
        <f>IF('Project Database'!A341="","",N('Project Database'!AO341))</f>
        <v/>
      </c>
      <c r="BW337" s="5">
        <f>IF('Project Database'!A341="","",N('Project Database'!AP341))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</row>
    <row r="338" ht="15" customHeight="1" s="74">
      <c r="A338" s="66">
        <f>'Project Database'!A342</f>
        <v/>
      </c>
      <c r="B338" s="66">
        <f>'Project Database'!B342</f>
        <v/>
      </c>
      <c r="C338" s="66">
        <f>'Project Database'!G342</f>
        <v/>
      </c>
      <c r="D338" s="66">
        <f>'Project Database'!H342</f>
        <v/>
      </c>
      <c r="E338" s="66">
        <f>'Project Database'!I342</f>
        <v/>
      </c>
      <c r="F338" s="66">
        <f>'Project Database'!J342</f>
        <v/>
      </c>
      <c r="G338" s="66">
        <f>'Project Database'!K342</f>
        <v/>
      </c>
      <c r="H338" s="66">
        <f>'Project Database'!L342</f>
        <v/>
      </c>
      <c r="I338" s="66">
        <f>'Project Database'!M342</f>
        <v/>
      </c>
      <c r="J338" s="66">
        <f>'Project Database'!N342</f>
        <v/>
      </c>
      <c r="K338" s="66">
        <f>'Project Database'!O342</f>
        <v/>
      </c>
      <c r="L338" s="66">
        <f>'Project Database'!P342</f>
        <v/>
      </c>
      <c r="M338" s="66">
        <f>'Project Database'!Q342</f>
        <v/>
      </c>
      <c r="N338" s="66">
        <f>'Project Database'!R342</f>
        <v/>
      </c>
      <c r="O338" s="66">
        <f>'Project Database'!S342</f>
        <v/>
      </c>
      <c r="P338" s="66">
        <f>'Project Database'!T342</f>
        <v/>
      </c>
      <c r="Q338" s="66">
        <f>'Project Database'!U342</f>
        <v/>
      </c>
      <c r="R338" s="66">
        <f>'Project Database'!V342</f>
        <v/>
      </c>
      <c r="S338" s="66">
        <f>'Project Database'!W342</f>
        <v/>
      </c>
      <c r="T338" s="66">
        <f>'Project Database'!X342</f>
        <v/>
      </c>
      <c r="U338" s="67">
        <f>'Project Database'!Y342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'Project Database'!Z342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IF(AND('Project Database'!A342&lt;&gt;"",OR('Smart Search'!$L$5="",'Smart Search'!$L$5="All",TRIM('Project Database'!D342)=TRIM('Smart Search'!$L$5)),OR(TRIM('Smart Search'!$L$6)="",TRIM('Smart Search'!$L$6)="All",ISNUMBER(SEARCH(SUBSTITUTE(SUBSTITUTE(SUBSTITUTE(TRIM('Smart Search'!$L$6),"~","~~"),"*","~*"),"?","~?"),'Project Database'!C342))),OR('Smart Search'!$L$7="",AND('Project Database'!E342&lt;&gt;"",'Project Database'!E342='Smart Search'!$L$7)),OR('Smart Search'!$L$8="",'Smart Search'!$L$8="All",TRIM('Project Database'!F342)=TRIM('Smart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IF('Project Database'!A342="","",N('Project Database'!AC342))</f>
        <v/>
      </c>
      <c r="BK338" s="5">
        <f>IF('Project Database'!A342="","",N('Project Database'!AD342))</f>
        <v/>
      </c>
      <c r="BL338" s="5">
        <f>IF('Project Database'!A342="","",N('Project Database'!AE342))</f>
        <v/>
      </c>
      <c r="BM338" s="5">
        <f>IF('Project Database'!A342="","",N('Project Database'!AF342))</f>
        <v/>
      </c>
      <c r="BN338" s="5">
        <f>IF('Project Database'!A342="","",N('Project Database'!AG342))</f>
        <v/>
      </c>
      <c r="BO338" s="5">
        <f>IF('Project Database'!A342="","",N('Project Database'!AH342))</f>
        <v/>
      </c>
      <c r="BP338" s="5">
        <f>IF('Project Database'!A342="","",N('Project Database'!AI342))</f>
        <v/>
      </c>
      <c r="BQ338" s="5">
        <f>IF('Project Database'!A342="","",N('Project Database'!AJ342))</f>
        <v/>
      </c>
      <c r="BR338" s="5">
        <f>IF('Project Database'!A342="","",N('Project Database'!AK342))</f>
        <v/>
      </c>
      <c r="BS338" s="5">
        <f>IF('Project Database'!A342="","",N('Project Database'!AL342))</f>
        <v/>
      </c>
      <c r="BT338" s="5">
        <f>IF('Project Database'!A342="","",N('Project Database'!AM342))</f>
        <v/>
      </c>
      <c r="BU338" s="5">
        <f>IF('Project Database'!A342="","",N('Project Database'!AN342))</f>
        <v/>
      </c>
      <c r="BV338" s="5">
        <f>IF('Project Database'!A342="","",N('Project Database'!AO342))</f>
        <v/>
      </c>
      <c r="BW338" s="5">
        <f>IF('Project Database'!A342="","",N('Project Database'!AP342))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</row>
    <row r="339" ht="15" customHeight="1" s="74">
      <c r="A339" s="66">
        <f>'Project Database'!A343</f>
        <v/>
      </c>
      <c r="B339" s="66">
        <f>'Project Database'!B343</f>
        <v/>
      </c>
      <c r="C339" s="66">
        <f>'Project Database'!G343</f>
        <v/>
      </c>
      <c r="D339" s="66">
        <f>'Project Database'!H343</f>
        <v/>
      </c>
      <c r="E339" s="66">
        <f>'Project Database'!I343</f>
        <v/>
      </c>
      <c r="F339" s="66">
        <f>'Project Database'!J343</f>
        <v/>
      </c>
      <c r="G339" s="66">
        <f>'Project Database'!K343</f>
        <v/>
      </c>
      <c r="H339" s="66">
        <f>'Project Database'!L343</f>
        <v/>
      </c>
      <c r="I339" s="66">
        <f>'Project Database'!M343</f>
        <v/>
      </c>
      <c r="J339" s="66">
        <f>'Project Database'!N343</f>
        <v/>
      </c>
      <c r="K339" s="66">
        <f>'Project Database'!O343</f>
        <v/>
      </c>
      <c r="L339" s="66">
        <f>'Project Database'!P343</f>
        <v/>
      </c>
      <c r="M339" s="66">
        <f>'Project Database'!Q343</f>
        <v/>
      </c>
      <c r="N339" s="66">
        <f>'Project Database'!R343</f>
        <v/>
      </c>
      <c r="O339" s="66">
        <f>'Project Database'!S343</f>
        <v/>
      </c>
      <c r="P339" s="66">
        <f>'Project Database'!T343</f>
        <v/>
      </c>
      <c r="Q339" s="66">
        <f>'Project Database'!U343</f>
        <v/>
      </c>
      <c r="R339" s="66">
        <f>'Project Database'!V343</f>
        <v/>
      </c>
      <c r="S339" s="66">
        <f>'Project Database'!W343</f>
        <v/>
      </c>
      <c r="T339" s="66">
        <f>'Project Database'!X343</f>
        <v/>
      </c>
      <c r="U339" s="67">
        <f>'Project Database'!Y343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'Project Database'!Z343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IF(AND('Project Database'!A343&lt;&gt;"",OR('Smart Search'!$L$5="",'Smart Search'!$L$5="All",TRIM('Project Database'!D343)=TRIM('Smart Search'!$L$5)),OR(TRIM('Smart Search'!$L$6)="",TRIM('Smart Search'!$L$6)="All",ISNUMBER(SEARCH(SUBSTITUTE(SUBSTITUTE(SUBSTITUTE(TRIM('Smart Search'!$L$6),"~","~~"),"*","~*"),"?","~?"),'Project Database'!C343))),OR('Smart Search'!$L$7="",AND('Project Database'!E343&lt;&gt;"",'Project Database'!E343='Smart Search'!$L$7)),OR('Smart Search'!$L$8="",'Smart Search'!$L$8="All",TRIM('Project Database'!F343)=TRIM('Smart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IF('Project Database'!A343="","",N('Project Database'!AC343))</f>
        <v/>
      </c>
      <c r="BK339" s="5">
        <f>IF('Project Database'!A343="","",N('Project Database'!AD343))</f>
        <v/>
      </c>
      <c r="BL339" s="5">
        <f>IF('Project Database'!A343="","",N('Project Database'!AE343))</f>
        <v/>
      </c>
      <c r="BM339" s="5">
        <f>IF('Project Database'!A343="","",N('Project Database'!AF343))</f>
        <v/>
      </c>
      <c r="BN339" s="5">
        <f>IF('Project Database'!A343="","",N('Project Database'!AG343))</f>
        <v/>
      </c>
      <c r="BO339" s="5">
        <f>IF('Project Database'!A343="","",N('Project Database'!AH343))</f>
        <v/>
      </c>
      <c r="BP339" s="5">
        <f>IF('Project Database'!A343="","",N('Project Database'!AI343))</f>
        <v/>
      </c>
      <c r="BQ339" s="5">
        <f>IF('Project Database'!A343="","",N('Project Database'!AJ343))</f>
        <v/>
      </c>
      <c r="BR339" s="5">
        <f>IF('Project Database'!A343="","",N('Project Database'!AK343))</f>
        <v/>
      </c>
      <c r="BS339" s="5">
        <f>IF('Project Database'!A343="","",N('Project Database'!AL343))</f>
        <v/>
      </c>
      <c r="BT339" s="5">
        <f>IF('Project Database'!A343="","",N('Project Database'!AM343))</f>
        <v/>
      </c>
      <c r="BU339" s="5">
        <f>IF('Project Database'!A343="","",N('Project Database'!AN343))</f>
        <v/>
      </c>
      <c r="BV339" s="5">
        <f>IF('Project Database'!A343="","",N('Project Database'!AO343))</f>
        <v/>
      </c>
      <c r="BW339" s="5">
        <f>IF('Project Database'!A343="","",N('Project Database'!AP343))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</row>
    <row r="340" ht="15" customHeight="1" s="74">
      <c r="A340" s="66">
        <f>'Project Database'!A344</f>
        <v/>
      </c>
      <c r="B340" s="66">
        <f>'Project Database'!B344</f>
        <v/>
      </c>
      <c r="C340" s="66">
        <f>'Project Database'!G344</f>
        <v/>
      </c>
      <c r="D340" s="66">
        <f>'Project Database'!H344</f>
        <v/>
      </c>
      <c r="E340" s="66">
        <f>'Project Database'!I344</f>
        <v/>
      </c>
      <c r="F340" s="66">
        <f>'Project Database'!J344</f>
        <v/>
      </c>
      <c r="G340" s="66">
        <f>'Project Database'!K344</f>
        <v/>
      </c>
      <c r="H340" s="66">
        <f>'Project Database'!L344</f>
        <v/>
      </c>
      <c r="I340" s="66">
        <f>'Project Database'!M344</f>
        <v/>
      </c>
      <c r="J340" s="66">
        <f>'Project Database'!N344</f>
        <v/>
      </c>
      <c r="K340" s="66">
        <f>'Project Database'!O344</f>
        <v/>
      </c>
      <c r="L340" s="66">
        <f>'Project Database'!P344</f>
        <v/>
      </c>
      <c r="M340" s="66">
        <f>'Project Database'!Q344</f>
        <v/>
      </c>
      <c r="N340" s="66">
        <f>'Project Database'!R344</f>
        <v/>
      </c>
      <c r="O340" s="66">
        <f>'Project Database'!S344</f>
        <v/>
      </c>
      <c r="P340" s="66">
        <f>'Project Database'!T344</f>
        <v/>
      </c>
      <c r="Q340" s="66">
        <f>'Project Database'!U344</f>
        <v/>
      </c>
      <c r="R340" s="66">
        <f>'Project Database'!V344</f>
        <v/>
      </c>
      <c r="S340" s="66">
        <f>'Project Database'!W344</f>
        <v/>
      </c>
      <c r="T340" s="66">
        <f>'Project Database'!X344</f>
        <v/>
      </c>
      <c r="U340" s="67">
        <f>'Project Database'!Y344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'Project Database'!Z344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IF(AND('Project Database'!A344&lt;&gt;"",OR('Smart Search'!$L$5="",'Smart Search'!$L$5="All",TRIM('Project Database'!D344)=TRIM('Smart Search'!$L$5)),OR(TRIM('Smart Search'!$L$6)="",TRIM('Smart Search'!$L$6)="All",ISNUMBER(SEARCH(SUBSTITUTE(SUBSTITUTE(SUBSTITUTE(TRIM('Smart Search'!$L$6),"~","~~"),"*","~*"),"?","~?"),'Project Database'!C344))),OR('Smart Search'!$L$7="",AND('Project Database'!E344&lt;&gt;"",'Project Database'!E344='Smart Search'!$L$7)),OR('Smart Search'!$L$8="",'Smart Search'!$L$8="All",TRIM('Project Database'!F344)=TRIM('Smart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IF('Project Database'!A344="","",N('Project Database'!AC344))</f>
        <v/>
      </c>
      <c r="BK340" s="5">
        <f>IF('Project Database'!A344="","",N('Project Database'!AD344))</f>
        <v/>
      </c>
      <c r="BL340" s="5">
        <f>IF('Project Database'!A344="","",N('Project Database'!AE344))</f>
        <v/>
      </c>
      <c r="BM340" s="5">
        <f>IF('Project Database'!A344="","",N('Project Database'!AF344))</f>
        <v/>
      </c>
      <c r="BN340" s="5">
        <f>IF('Project Database'!A344="","",N('Project Database'!AG344))</f>
        <v/>
      </c>
      <c r="BO340" s="5">
        <f>IF('Project Database'!A344="","",N('Project Database'!AH344))</f>
        <v/>
      </c>
      <c r="BP340" s="5">
        <f>IF('Project Database'!A344="","",N('Project Database'!AI344))</f>
        <v/>
      </c>
      <c r="BQ340" s="5">
        <f>IF('Project Database'!A344="","",N('Project Database'!AJ344))</f>
        <v/>
      </c>
      <c r="BR340" s="5">
        <f>IF('Project Database'!A344="","",N('Project Database'!AK344))</f>
        <v/>
      </c>
      <c r="BS340" s="5">
        <f>IF('Project Database'!A344="","",N('Project Database'!AL344))</f>
        <v/>
      </c>
      <c r="BT340" s="5">
        <f>IF('Project Database'!A344="","",N('Project Database'!AM344))</f>
        <v/>
      </c>
      <c r="BU340" s="5">
        <f>IF('Project Database'!A344="","",N('Project Database'!AN344))</f>
        <v/>
      </c>
      <c r="BV340" s="5">
        <f>IF('Project Database'!A344="","",N('Project Database'!AO344))</f>
        <v/>
      </c>
      <c r="BW340" s="5">
        <f>IF('Project Database'!A344="","",N('Project Database'!AP344))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</row>
    <row r="341" ht="15" customHeight="1" s="74">
      <c r="A341" s="66">
        <f>'Project Database'!A345</f>
        <v/>
      </c>
      <c r="B341" s="66">
        <f>'Project Database'!B345</f>
        <v/>
      </c>
      <c r="C341" s="66">
        <f>'Project Database'!G345</f>
        <v/>
      </c>
      <c r="D341" s="66">
        <f>'Project Database'!H345</f>
        <v/>
      </c>
      <c r="E341" s="66">
        <f>'Project Database'!I345</f>
        <v/>
      </c>
      <c r="F341" s="66">
        <f>'Project Database'!J345</f>
        <v/>
      </c>
      <c r="G341" s="66">
        <f>'Project Database'!K345</f>
        <v/>
      </c>
      <c r="H341" s="66">
        <f>'Project Database'!L345</f>
        <v/>
      </c>
      <c r="I341" s="66">
        <f>'Project Database'!M345</f>
        <v/>
      </c>
      <c r="J341" s="66">
        <f>'Project Database'!N345</f>
        <v/>
      </c>
      <c r="K341" s="66">
        <f>'Project Database'!O345</f>
        <v/>
      </c>
      <c r="L341" s="66">
        <f>'Project Database'!P345</f>
        <v/>
      </c>
      <c r="M341" s="66">
        <f>'Project Database'!Q345</f>
        <v/>
      </c>
      <c r="N341" s="66">
        <f>'Project Database'!R345</f>
        <v/>
      </c>
      <c r="O341" s="66">
        <f>'Project Database'!S345</f>
        <v/>
      </c>
      <c r="P341" s="66">
        <f>'Project Database'!T345</f>
        <v/>
      </c>
      <c r="Q341" s="66">
        <f>'Project Database'!U345</f>
        <v/>
      </c>
      <c r="R341" s="66">
        <f>'Project Database'!V345</f>
        <v/>
      </c>
      <c r="S341" s="66">
        <f>'Project Database'!W345</f>
        <v/>
      </c>
      <c r="T341" s="66">
        <f>'Project Database'!X345</f>
        <v/>
      </c>
      <c r="U341" s="67">
        <f>'Project Database'!Y345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'Project Database'!Z345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IF(AND('Project Database'!A345&lt;&gt;"",OR('Smart Search'!$L$5="",'Smart Search'!$L$5="All",TRIM('Project Database'!D345)=TRIM('Smart Search'!$L$5)),OR(TRIM('Smart Search'!$L$6)="",TRIM('Smart Search'!$L$6)="All",ISNUMBER(SEARCH(SUBSTITUTE(SUBSTITUTE(SUBSTITUTE(TRIM('Smart Search'!$L$6),"~","~~"),"*","~*"),"?","~?"),'Project Database'!C345))),OR('Smart Search'!$L$7="",AND('Project Database'!E345&lt;&gt;"",'Project Database'!E345='Smart Search'!$L$7)),OR('Smart Search'!$L$8="",'Smart Search'!$L$8="All",TRIM('Project Database'!F345)=TRIM('Smart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IF('Project Database'!A345="","",N('Project Database'!AC345))</f>
        <v/>
      </c>
      <c r="BK341" s="5">
        <f>IF('Project Database'!A345="","",N('Project Database'!AD345))</f>
        <v/>
      </c>
      <c r="BL341" s="5">
        <f>IF('Project Database'!A345="","",N('Project Database'!AE345))</f>
        <v/>
      </c>
      <c r="BM341" s="5">
        <f>IF('Project Database'!A345="","",N('Project Database'!AF345))</f>
        <v/>
      </c>
      <c r="BN341" s="5">
        <f>IF('Project Database'!A345="","",N('Project Database'!AG345))</f>
        <v/>
      </c>
      <c r="BO341" s="5">
        <f>IF('Project Database'!A345="","",N('Project Database'!AH345))</f>
        <v/>
      </c>
      <c r="BP341" s="5">
        <f>IF('Project Database'!A345="","",N('Project Database'!AI345))</f>
        <v/>
      </c>
      <c r="BQ341" s="5">
        <f>IF('Project Database'!A345="","",N('Project Database'!AJ345))</f>
        <v/>
      </c>
      <c r="BR341" s="5">
        <f>IF('Project Database'!A345="","",N('Project Database'!AK345))</f>
        <v/>
      </c>
      <c r="BS341" s="5">
        <f>IF('Project Database'!A345="","",N('Project Database'!AL345))</f>
        <v/>
      </c>
      <c r="BT341" s="5">
        <f>IF('Project Database'!A345="","",N('Project Database'!AM345))</f>
        <v/>
      </c>
      <c r="BU341" s="5">
        <f>IF('Project Database'!A345="","",N('Project Database'!AN345))</f>
        <v/>
      </c>
      <c r="BV341" s="5">
        <f>IF('Project Database'!A345="","",N('Project Database'!AO345))</f>
        <v/>
      </c>
      <c r="BW341" s="5">
        <f>IF('Project Database'!A345="","",N('Project Database'!AP345))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</row>
    <row r="342" ht="15" customHeight="1" s="74">
      <c r="A342" s="66">
        <f>'Project Database'!A346</f>
        <v/>
      </c>
      <c r="B342" s="66">
        <f>'Project Database'!B346</f>
        <v/>
      </c>
      <c r="C342" s="66">
        <f>'Project Database'!G346</f>
        <v/>
      </c>
      <c r="D342" s="66">
        <f>'Project Database'!H346</f>
        <v/>
      </c>
      <c r="E342" s="66">
        <f>'Project Database'!I346</f>
        <v/>
      </c>
      <c r="F342" s="66">
        <f>'Project Database'!J346</f>
        <v/>
      </c>
      <c r="G342" s="66">
        <f>'Project Database'!K346</f>
        <v/>
      </c>
      <c r="H342" s="66">
        <f>'Project Database'!L346</f>
        <v/>
      </c>
      <c r="I342" s="66">
        <f>'Project Database'!M346</f>
        <v/>
      </c>
      <c r="J342" s="66">
        <f>'Project Database'!N346</f>
        <v/>
      </c>
      <c r="K342" s="66">
        <f>'Project Database'!O346</f>
        <v/>
      </c>
      <c r="L342" s="66">
        <f>'Project Database'!P346</f>
        <v/>
      </c>
      <c r="M342" s="66">
        <f>'Project Database'!Q346</f>
        <v/>
      </c>
      <c r="N342" s="66">
        <f>'Project Database'!R346</f>
        <v/>
      </c>
      <c r="O342" s="66">
        <f>'Project Database'!S346</f>
        <v/>
      </c>
      <c r="P342" s="66">
        <f>'Project Database'!T346</f>
        <v/>
      </c>
      <c r="Q342" s="66">
        <f>'Project Database'!U346</f>
        <v/>
      </c>
      <c r="R342" s="66">
        <f>'Project Database'!V346</f>
        <v/>
      </c>
      <c r="S342" s="66">
        <f>'Project Database'!W346</f>
        <v/>
      </c>
      <c r="T342" s="66">
        <f>'Project Database'!X346</f>
        <v/>
      </c>
      <c r="U342" s="67">
        <f>'Project Database'!Y346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'Project Database'!Z346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IF(AND('Project Database'!A346&lt;&gt;"",OR('Smart Search'!$L$5="",'Smart Search'!$L$5="All",TRIM('Project Database'!D346)=TRIM('Smart Search'!$L$5)),OR(TRIM('Smart Search'!$L$6)="",TRIM('Smart Search'!$L$6)="All",ISNUMBER(SEARCH(SUBSTITUTE(SUBSTITUTE(SUBSTITUTE(TRIM('Smart Search'!$L$6),"~","~~"),"*","~*"),"?","~?"),'Project Database'!C346))),OR('Smart Search'!$L$7="",AND('Project Database'!E346&lt;&gt;"",'Project Database'!E346='Smart Search'!$L$7)),OR('Smart Search'!$L$8="",'Smart Search'!$L$8="All",TRIM('Project Database'!F346)=TRIM('Smart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IF('Project Database'!A346="","",N('Project Database'!AC346))</f>
        <v/>
      </c>
      <c r="BK342" s="5">
        <f>IF('Project Database'!A346="","",N('Project Database'!AD346))</f>
        <v/>
      </c>
      <c r="BL342" s="5">
        <f>IF('Project Database'!A346="","",N('Project Database'!AE346))</f>
        <v/>
      </c>
      <c r="BM342" s="5">
        <f>IF('Project Database'!A346="","",N('Project Database'!AF346))</f>
        <v/>
      </c>
      <c r="BN342" s="5">
        <f>IF('Project Database'!A346="","",N('Project Database'!AG346))</f>
        <v/>
      </c>
      <c r="BO342" s="5">
        <f>IF('Project Database'!A346="","",N('Project Database'!AH346))</f>
        <v/>
      </c>
      <c r="BP342" s="5">
        <f>IF('Project Database'!A346="","",N('Project Database'!AI346))</f>
        <v/>
      </c>
      <c r="BQ342" s="5">
        <f>IF('Project Database'!A346="","",N('Project Database'!AJ346))</f>
        <v/>
      </c>
      <c r="BR342" s="5">
        <f>IF('Project Database'!A346="","",N('Project Database'!AK346))</f>
        <v/>
      </c>
      <c r="BS342" s="5">
        <f>IF('Project Database'!A346="","",N('Project Database'!AL346))</f>
        <v/>
      </c>
      <c r="BT342" s="5">
        <f>IF('Project Database'!A346="","",N('Project Database'!AM346))</f>
        <v/>
      </c>
      <c r="BU342" s="5">
        <f>IF('Project Database'!A346="","",N('Project Database'!AN346))</f>
        <v/>
      </c>
      <c r="BV342" s="5">
        <f>IF('Project Database'!A346="","",N('Project Database'!AO346))</f>
        <v/>
      </c>
      <c r="BW342" s="5">
        <f>IF('Project Database'!A346="","",N('Project Database'!AP346))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</row>
    <row r="343" ht="15" customHeight="1" s="74">
      <c r="A343" s="66">
        <f>'Project Database'!A347</f>
        <v/>
      </c>
      <c r="B343" s="66">
        <f>'Project Database'!B347</f>
        <v/>
      </c>
      <c r="C343" s="66">
        <f>'Project Database'!G347</f>
        <v/>
      </c>
      <c r="D343" s="66">
        <f>'Project Database'!H347</f>
        <v/>
      </c>
      <c r="E343" s="66">
        <f>'Project Database'!I347</f>
        <v/>
      </c>
      <c r="F343" s="66">
        <f>'Project Database'!J347</f>
        <v/>
      </c>
      <c r="G343" s="66">
        <f>'Project Database'!K347</f>
        <v/>
      </c>
      <c r="H343" s="66">
        <f>'Project Database'!L347</f>
        <v/>
      </c>
      <c r="I343" s="66">
        <f>'Project Database'!M347</f>
        <v/>
      </c>
      <c r="J343" s="66">
        <f>'Project Database'!N347</f>
        <v/>
      </c>
      <c r="K343" s="66">
        <f>'Project Database'!O347</f>
        <v/>
      </c>
      <c r="L343" s="66">
        <f>'Project Database'!P347</f>
        <v/>
      </c>
      <c r="M343" s="66">
        <f>'Project Database'!Q347</f>
        <v/>
      </c>
      <c r="N343" s="66">
        <f>'Project Database'!R347</f>
        <v/>
      </c>
      <c r="O343" s="66">
        <f>'Project Database'!S347</f>
        <v/>
      </c>
      <c r="P343" s="66">
        <f>'Project Database'!T347</f>
        <v/>
      </c>
      <c r="Q343" s="66">
        <f>'Project Database'!U347</f>
        <v/>
      </c>
      <c r="R343" s="66">
        <f>'Project Database'!V347</f>
        <v/>
      </c>
      <c r="S343" s="66">
        <f>'Project Database'!W347</f>
        <v/>
      </c>
      <c r="T343" s="66">
        <f>'Project Database'!X347</f>
        <v/>
      </c>
      <c r="U343" s="67">
        <f>'Project Database'!Y347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'Project Database'!Z347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IF(AND('Project Database'!A347&lt;&gt;"",OR('Smart Search'!$L$5="",'Smart Search'!$L$5="All",TRIM('Project Database'!D347)=TRIM('Smart Search'!$L$5)),OR(TRIM('Smart Search'!$L$6)="",TRIM('Smart Search'!$L$6)="All",ISNUMBER(SEARCH(SUBSTITUTE(SUBSTITUTE(SUBSTITUTE(TRIM('Smart Search'!$L$6),"~","~~"),"*","~*"),"?","~?"),'Project Database'!C347))),OR('Smart Search'!$L$7="",AND('Project Database'!E347&lt;&gt;"",'Project Database'!E347='Smart Search'!$L$7)),OR('Smart Search'!$L$8="",'Smart Search'!$L$8="All",TRIM('Project Database'!F347)=TRIM('Smart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IF('Project Database'!A347="","",N('Project Database'!AC347))</f>
        <v/>
      </c>
      <c r="BK343" s="5">
        <f>IF('Project Database'!A347="","",N('Project Database'!AD347))</f>
        <v/>
      </c>
      <c r="BL343" s="5">
        <f>IF('Project Database'!A347="","",N('Project Database'!AE347))</f>
        <v/>
      </c>
      <c r="BM343" s="5">
        <f>IF('Project Database'!A347="","",N('Project Database'!AF347))</f>
        <v/>
      </c>
      <c r="BN343" s="5">
        <f>IF('Project Database'!A347="","",N('Project Database'!AG347))</f>
        <v/>
      </c>
      <c r="BO343" s="5">
        <f>IF('Project Database'!A347="","",N('Project Database'!AH347))</f>
        <v/>
      </c>
      <c r="BP343" s="5">
        <f>IF('Project Database'!A347="","",N('Project Database'!AI347))</f>
        <v/>
      </c>
      <c r="BQ343" s="5">
        <f>IF('Project Database'!A347="","",N('Project Database'!AJ347))</f>
        <v/>
      </c>
      <c r="BR343" s="5">
        <f>IF('Project Database'!A347="","",N('Project Database'!AK347))</f>
        <v/>
      </c>
      <c r="BS343" s="5">
        <f>IF('Project Database'!A347="","",N('Project Database'!AL347))</f>
        <v/>
      </c>
      <c r="BT343" s="5">
        <f>IF('Project Database'!A347="","",N('Project Database'!AM347))</f>
        <v/>
      </c>
      <c r="BU343" s="5">
        <f>IF('Project Database'!A347="","",N('Project Database'!AN347))</f>
        <v/>
      </c>
      <c r="BV343" s="5">
        <f>IF('Project Database'!A347="","",N('Project Database'!AO347))</f>
        <v/>
      </c>
      <c r="BW343" s="5">
        <f>IF('Project Database'!A347="","",N('Project Database'!AP347))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</row>
    <row r="344" ht="15" customHeight="1" s="74">
      <c r="A344" s="66">
        <f>'Project Database'!A348</f>
        <v/>
      </c>
      <c r="B344" s="66">
        <f>'Project Database'!B348</f>
        <v/>
      </c>
      <c r="C344" s="66">
        <f>'Project Database'!G348</f>
        <v/>
      </c>
      <c r="D344" s="66">
        <f>'Project Database'!H348</f>
        <v/>
      </c>
      <c r="E344" s="66">
        <f>'Project Database'!I348</f>
        <v/>
      </c>
      <c r="F344" s="66">
        <f>'Project Database'!J348</f>
        <v/>
      </c>
      <c r="G344" s="66">
        <f>'Project Database'!K348</f>
        <v/>
      </c>
      <c r="H344" s="66">
        <f>'Project Database'!L348</f>
        <v/>
      </c>
      <c r="I344" s="66">
        <f>'Project Database'!M348</f>
        <v/>
      </c>
      <c r="J344" s="66">
        <f>'Project Database'!N348</f>
        <v/>
      </c>
      <c r="K344" s="66">
        <f>'Project Database'!O348</f>
        <v/>
      </c>
      <c r="L344" s="66">
        <f>'Project Database'!P348</f>
        <v/>
      </c>
      <c r="M344" s="66">
        <f>'Project Database'!Q348</f>
        <v/>
      </c>
      <c r="N344" s="66">
        <f>'Project Database'!R348</f>
        <v/>
      </c>
      <c r="O344" s="66">
        <f>'Project Database'!S348</f>
        <v/>
      </c>
      <c r="P344" s="66">
        <f>'Project Database'!T348</f>
        <v/>
      </c>
      <c r="Q344" s="66">
        <f>'Project Database'!U348</f>
        <v/>
      </c>
      <c r="R344" s="66">
        <f>'Project Database'!V348</f>
        <v/>
      </c>
      <c r="S344" s="66">
        <f>'Project Database'!W348</f>
        <v/>
      </c>
      <c r="T344" s="66">
        <f>'Project Database'!X348</f>
        <v/>
      </c>
      <c r="U344" s="67">
        <f>'Project Database'!Y348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'Project Database'!Z348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IF(AND('Project Database'!A348&lt;&gt;"",OR('Smart Search'!$L$5="",'Smart Search'!$L$5="All",TRIM('Project Database'!D348)=TRIM('Smart Search'!$L$5)),OR(TRIM('Smart Search'!$L$6)="",TRIM('Smart Search'!$L$6)="All",ISNUMBER(SEARCH(SUBSTITUTE(SUBSTITUTE(SUBSTITUTE(TRIM('Smart Search'!$L$6),"~","~~"),"*","~*"),"?","~?"),'Project Database'!C348))),OR('Smart Search'!$L$7="",AND('Project Database'!E348&lt;&gt;"",'Project Database'!E348='Smart Search'!$L$7)),OR('Smart Search'!$L$8="",'Smart Search'!$L$8="All",TRIM('Project Database'!F348)=TRIM('Smart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IF('Project Database'!A348="","",N('Project Database'!AC348))</f>
        <v/>
      </c>
      <c r="BK344" s="5">
        <f>IF('Project Database'!A348="","",N('Project Database'!AD348))</f>
        <v/>
      </c>
      <c r="BL344" s="5">
        <f>IF('Project Database'!A348="","",N('Project Database'!AE348))</f>
        <v/>
      </c>
      <c r="BM344" s="5">
        <f>IF('Project Database'!A348="","",N('Project Database'!AF348))</f>
        <v/>
      </c>
      <c r="BN344" s="5">
        <f>IF('Project Database'!A348="","",N('Project Database'!AG348))</f>
        <v/>
      </c>
      <c r="BO344" s="5">
        <f>IF('Project Database'!A348="","",N('Project Database'!AH348))</f>
        <v/>
      </c>
      <c r="BP344" s="5">
        <f>IF('Project Database'!A348="","",N('Project Database'!AI348))</f>
        <v/>
      </c>
      <c r="BQ344" s="5">
        <f>IF('Project Database'!A348="","",N('Project Database'!AJ348))</f>
        <v/>
      </c>
      <c r="BR344" s="5">
        <f>IF('Project Database'!A348="","",N('Project Database'!AK348))</f>
        <v/>
      </c>
      <c r="BS344" s="5">
        <f>IF('Project Database'!A348="","",N('Project Database'!AL348))</f>
        <v/>
      </c>
      <c r="BT344" s="5">
        <f>IF('Project Database'!A348="","",N('Project Database'!AM348))</f>
        <v/>
      </c>
      <c r="BU344" s="5">
        <f>IF('Project Database'!A348="","",N('Project Database'!AN348))</f>
        <v/>
      </c>
      <c r="BV344" s="5">
        <f>IF('Project Database'!A348="","",N('Project Database'!AO348))</f>
        <v/>
      </c>
      <c r="BW344" s="5">
        <f>IF('Project Database'!A348="","",N('Project Database'!AP348))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</row>
    <row r="345" ht="15" customHeight="1" s="74">
      <c r="A345" s="66">
        <f>'Project Database'!A349</f>
        <v/>
      </c>
      <c r="B345" s="66">
        <f>'Project Database'!B349</f>
        <v/>
      </c>
      <c r="C345" s="66">
        <f>'Project Database'!G349</f>
        <v/>
      </c>
      <c r="D345" s="66">
        <f>'Project Database'!H349</f>
        <v/>
      </c>
      <c r="E345" s="66">
        <f>'Project Database'!I349</f>
        <v/>
      </c>
      <c r="F345" s="66">
        <f>'Project Database'!J349</f>
        <v/>
      </c>
      <c r="G345" s="66">
        <f>'Project Database'!K349</f>
        <v/>
      </c>
      <c r="H345" s="66">
        <f>'Project Database'!L349</f>
        <v/>
      </c>
      <c r="I345" s="66">
        <f>'Project Database'!M349</f>
        <v/>
      </c>
      <c r="J345" s="66">
        <f>'Project Database'!N349</f>
        <v/>
      </c>
      <c r="K345" s="66">
        <f>'Project Database'!O349</f>
        <v/>
      </c>
      <c r="L345" s="66">
        <f>'Project Database'!P349</f>
        <v/>
      </c>
      <c r="M345" s="66">
        <f>'Project Database'!Q349</f>
        <v/>
      </c>
      <c r="N345" s="66">
        <f>'Project Database'!R349</f>
        <v/>
      </c>
      <c r="O345" s="66">
        <f>'Project Database'!S349</f>
        <v/>
      </c>
      <c r="P345" s="66">
        <f>'Project Database'!T349</f>
        <v/>
      </c>
      <c r="Q345" s="66">
        <f>'Project Database'!U349</f>
        <v/>
      </c>
      <c r="R345" s="66">
        <f>'Project Database'!V349</f>
        <v/>
      </c>
      <c r="S345" s="66">
        <f>'Project Database'!W349</f>
        <v/>
      </c>
      <c r="T345" s="66">
        <f>'Project Database'!X349</f>
        <v/>
      </c>
      <c r="U345" s="67">
        <f>'Project Database'!Y349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'Project Database'!Z349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IF(AND('Project Database'!A349&lt;&gt;"",OR('Smart Search'!$L$5="",'Smart Search'!$L$5="All",TRIM('Project Database'!D349)=TRIM('Smart Search'!$L$5)),OR(TRIM('Smart Search'!$L$6)="",TRIM('Smart Search'!$L$6)="All",ISNUMBER(SEARCH(SUBSTITUTE(SUBSTITUTE(SUBSTITUTE(TRIM('Smart Search'!$L$6),"~","~~"),"*","~*"),"?","~?"),'Project Database'!C349))),OR('Smart Search'!$L$7="",AND('Project Database'!E349&lt;&gt;"",'Project Database'!E349='Smart Search'!$L$7)),OR('Smart Search'!$L$8="",'Smart Search'!$L$8="All",TRIM('Project Database'!F349)=TRIM('Smart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IF('Project Database'!A349="","",N('Project Database'!AC349))</f>
        <v/>
      </c>
      <c r="BK345" s="5">
        <f>IF('Project Database'!A349="","",N('Project Database'!AD349))</f>
        <v/>
      </c>
      <c r="BL345" s="5">
        <f>IF('Project Database'!A349="","",N('Project Database'!AE349))</f>
        <v/>
      </c>
      <c r="BM345" s="5">
        <f>IF('Project Database'!A349="","",N('Project Database'!AF349))</f>
        <v/>
      </c>
      <c r="BN345" s="5">
        <f>IF('Project Database'!A349="","",N('Project Database'!AG349))</f>
        <v/>
      </c>
      <c r="BO345" s="5">
        <f>IF('Project Database'!A349="","",N('Project Database'!AH349))</f>
        <v/>
      </c>
      <c r="BP345" s="5">
        <f>IF('Project Database'!A349="","",N('Project Database'!AI349))</f>
        <v/>
      </c>
      <c r="BQ345" s="5">
        <f>IF('Project Database'!A349="","",N('Project Database'!AJ349))</f>
        <v/>
      </c>
      <c r="BR345" s="5">
        <f>IF('Project Database'!A349="","",N('Project Database'!AK349))</f>
        <v/>
      </c>
      <c r="BS345" s="5">
        <f>IF('Project Database'!A349="","",N('Project Database'!AL349))</f>
        <v/>
      </c>
      <c r="BT345" s="5">
        <f>IF('Project Database'!A349="","",N('Project Database'!AM349))</f>
        <v/>
      </c>
      <c r="BU345" s="5">
        <f>IF('Project Database'!A349="","",N('Project Database'!AN349))</f>
        <v/>
      </c>
      <c r="BV345" s="5">
        <f>IF('Project Database'!A349="","",N('Project Database'!AO349))</f>
        <v/>
      </c>
      <c r="BW345" s="5">
        <f>IF('Project Database'!A349="","",N('Project Database'!AP349))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</row>
    <row r="346" ht="15" customHeight="1" s="74">
      <c r="A346" s="66">
        <f>'Project Database'!A350</f>
        <v/>
      </c>
      <c r="B346" s="66">
        <f>'Project Database'!B350</f>
        <v/>
      </c>
      <c r="C346" s="66">
        <f>'Project Database'!G350</f>
        <v/>
      </c>
      <c r="D346" s="66">
        <f>'Project Database'!H350</f>
        <v/>
      </c>
      <c r="E346" s="66">
        <f>'Project Database'!I350</f>
        <v/>
      </c>
      <c r="F346" s="66">
        <f>'Project Database'!J350</f>
        <v/>
      </c>
      <c r="G346" s="66">
        <f>'Project Database'!K350</f>
        <v/>
      </c>
      <c r="H346" s="66">
        <f>'Project Database'!L350</f>
        <v/>
      </c>
      <c r="I346" s="66">
        <f>'Project Database'!M350</f>
        <v/>
      </c>
      <c r="J346" s="66">
        <f>'Project Database'!N350</f>
        <v/>
      </c>
      <c r="K346" s="66">
        <f>'Project Database'!O350</f>
        <v/>
      </c>
      <c r="L346" s="66">
        <f>'Project Database'!P350</f>
        <v/>
      </c>
      <c r="M346" s="66">
        <f>'Project Database'!Q350</f>
        <v/>
      </c>
      <c r="N346" s="66">
        <f>'Project Database'!R350</f>
        <v/>
      </c>
      <c r="O346" s="66">
        <f>'Project Database'!S350</f>
        <v/>
      </c>
      <c r="P346" s="66">
        <f>'Project Database'!T350</f>
        <v/>
      </c>
      <c r="Q346" s="66">
        <f>'Project Database'!U350</f>
        <v/>
      </c>
      <c r="R346" s="66">
        <f>'Project Database'!V350</f>
        <v/>
      </c>
      <c r="S346" s="66">
        <f>'Project Database'!W350</f>
        <v/>
      </c>
      <c r="T346" s="66">
        <f>'Project Database'!X350</f>
        <v/>
      </c>
      <c r="U346" s="67">
        <f>'Project Database'!Y350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'Project Database'!Z350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IF(AND('Project Database'!A350&lt;&gt;"",OR('Smart Search'!$L$5="",'Smart Search'!$L$5="All",TRIM('Project Database'!D350)=TRIM('Smart Search'!$L$5)),OR(TRIM('Smart Search'!$L$6)="",TRIM('Smart Search'!$L$6)="All",ISNUMBER(SEARCH(SUBSTITUTE(SUBSTITUTE(SUBSTITUTE(TRIM('Smart Search'!$L$6),"~","~~"),"*","~*"),"?","~?"),'Project Database'!C350))),OR('Smart Search'!$L$7="",AND('Project Database'!E350&lt;&gt;"",'Project Database'!E350='Smart Search'!$L$7)),OR('Smart Search'!$L$8="",'Smart Search'!$L$8="All",TRIM('Project Database'!F350)=TRIM('Smart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IF('Project Database'!A350="","",N('Project Database'!AC350))</f>
        <v/>
      </c>
      <c r="BK346" s="5">
        <f>IF('Project Database'!A350="","",N('Project Database'!AD350))</f>
        <v/>
      </c>
      <c r="BL346" s="5">
        <f>IF('Project Database'!A350="","",N('Project Database'!AE350))</f>
        <v/>
      </c>
      <c r="BM346" s="5">
        <f>IF('Project Database'!A350="","",N('Project Database'!AF350))</f>
        <v/>
      </c>
      <c r="BN346" s="5">
        <f>IF('Project Database'!A350="","",N('Project Database'!AG350))</f>
        <v/>
      </c>
      <c r="BO346" s="5">
        <f>IF('Project Database'!A350="","",N('Project Database'!AH350))</f>
        <v/>
      </c>
      <c r="BP346" s="5">
        <f>IF('Project Database'!A350="","",N('Project Database'!AI350))</f>
        <v/>
      </c>
      <c r="BQ346" s="5">
        <f>IF('Project Database'!A350="","",N('Project Database'!AJ350))</f>
        <v/>
      </c>
      <c r="BR346" s="5">
        <f>IF('Project Database'!A350="","",N('Project Database'!AK350))</f>
        <v/>
      </c>
      <c r="BS346" s="5">
        <f>IF('Project Database'!A350="","",N('Project Database'!AL350))</f>
        <v/>
      </c>
      <c r="BT346" s="5">
        <f>IF('Project Database'!A350="","",N('Project Database'!AM350))</f>
        <v/>
      </c>
      <c r="BU346" s="5">
        <f>IF('Project Database'!A350="","",N('Project Database'!AN350))</f>
        <v/>
      </c>
      <c r="BV346" s="5">
        <f>IF('Project Database'!A350="","",N('Project Database'!AO350))</f>
        <v/>
      </c>
      <c r="BW346" s="5">
        <f>IF('Project Database'!A350="","",N('Project Database'!AP350))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</row>
    <row r="347" ht="15" customHeight="1" s="74">
      <c r="A347" s="66">
        <f>'Project Database'!A351</f>
        <v/>
      </c>
      <c r="B347" s="66">
        <f>'Project Database'!B351</f>
        <v/>
      </c>
      <c r="C347" s="66">
        <f>'Project Database'!G351</f>
        <v/>
      </c>
      <c r="D347" s="66">
        <f>'Project Database'!H351</f>
        <v/>
      </c>
      <c r="E347" s="66">
        <f>'Project Database'!I351</f>
        <v/>
      </c>
      <c r="F347" s="66">
        <f>'Project Database'!J351</f>
        <v/>
      </c>
      <c r="G347" s="66">
        <f>'Project Database'!K351</f>
        <v/>
      </c>
      <c r="H347" s="66">
        <f>'Project Database'!L351</f>
        <v/>
      </c>
      <c r="I347" s="66">
        <f>'Project Database'!M351</f>
        <v/>
      </c>
      <c r="J347" s="66">
        <f>'Project Database'!N351</f>
        <v/>
      </c>
      <c r="K347" s="66">
        <f>'Project Database'!O351</f>
        <v/>
      </c>
      <c r="L347" s="66">
        <f>'Project Database'!P351</f>
        <v/>
      </c>
      <c r="M347" s="66">
        <f>'Project Database'!Q351</f>
        <v/>
      </c>
      <c r="N347" s="66">
        <f>'Project Database'!R351</f>
        <v/>
      </c>
      <c r="O347" s="66">
        <f>'Project Database'!S351</f>
        <v/>
      </c>
      <c r="P347" s="66">
        <f>'Project Database'!T351</f>
        <v/>
      </c>
      <c r="Q347" s="66">
        <f>'Project Database'!U351</f>
        <v/>
      </c>
      <c r="R347" s="66">
        <f>'Project Database'!V351</f>
        <v/>
      </c>
      <c r="S347" s="66">
        <f>'Project Database'!W351</f>
        <v/>
      </c>
      <c r="T347" s="66">
        <f>'Project Database'!X351</f>
        <v/>
      </c>
      <c r="U347" s="67">
        <f>'Project Database'!Y351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'Project Database'!Z351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IF(AND('Project Database'!A351&lt;&gt;"",OR('Smart Search'!$L$5="",'Smart Search'!$L$5="All",TRIM('Project Database'!D351)=TRIM('Smart Search'!$L$5)),OR(TRIM('Smart Search'!$L$6)="",TRIM('Smart Search'!$L$6)="All",ISNUMBER(SEARCH(SUBSTITUTE(SUBSTITUTE(SUBSTITUTE(TRIM('Smart Search'!$L$6),"~","~~"),"*","~*"),"?","~?"),'Project Database'!C351))),OR('Smart Search'!$L$7="",AND('Project Database'!E351&lt;&gt;"",'Project Database'!E351='Smart Search'!$L$7)),OR('Smart Search'!$L$8="",'Smart Search'!$L$8="All",TRIM('Project Database'!F351)=TRIM('Smart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IF('Project Database'!A351="","",N('Project Database'!AC351))</f>
        <v/>
      </c>
      <c r="BK347" s="5">
        <f>IF('Project Database'!A351="","",N('Project Database'!AD351))</f>
        <v/>
      </c>
      <c r="BL347" s="5">
        <f>IF('Project Database'!A351="","",N('Project Database'!AE351))</f>
        <v/>
      </c>
      <c r="BM347" s="5">
        <f>IF('Project Database'!A351="","",N('Project Database'!AF351))</f>
        <v/>
      </c>
      <c r="BN347" s="5">
        <f>IF('Project Database'!A351="","",N('Project Database'!AG351))</f>
        <v/>
      </c>
      <c r="BO347" s="5">
        <f>IF('Project Database'!A351="","",N('Project Database'!AH351))</f>
        <v/>
      </c>
      <c r="BP347" s="5">
        <f>IF('Project Database'!A351="","",N('Project Database'!AI351))</f>
        <v/>
      </c>
      <c r="BQ347" s="5">
        <f>IF('Project Database'!A351="","",N('Project Database'!AJ351))</f>
        <v/>
      </c>
      <c r="BR347" s="5">
        <f>IF('Project Database'!A351="","",N('Project Database'!AK351))</f>
        <v/>
      </c>
      <c r="BS347" s="5">
        <f>IF('Project Database'!A351="","",N('Project Database'!AL351))</f>
        <v/>
      </c>
      <c r="BT347" s="5">
        <f>IF('Project Database'!A351="","",N('Project Database'!AM351))</f>
        <v/>
      </c>
      <c r="BU347" s="5">
        <f>IF('Project Database'!A351="","",N('Project Database'!AN351))</f>
        <v/>
      </c>
      <c r="BV347" s="5">
        <f>IF('Project Database'!A351="","",N('Project Database'!AO351))</f>
        <v/>
      </c>
      <c r="BW347" s="5">
        <f>IF('Project Database'!A351="","",N('Project Database'!AP351))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</row>
    <row r="348" ht="15" customHeight="1" s="74">
      <c r="A348" s="66">
        <f>'Project Database'!A352</f>
        <v/>
      </c>
      <c r="B348" s="66">
        <f>'Project Database'!B352</f>
        <v/>
      </c>
      <c r="C348" s="66">
        <f>'Project Database'!G352</f>
        <v/>
      </c>
      <c r="D348" s="66">
        <f>'Project Database'!H352</f>
        <v/>
      </c>
      <c r="E348" s="66">
        <f>'Project Database'!I352</f>
        <v/>
      </c>
      <c r="F348" s="66">
        <f>'Project Database'!J352</f>
        <v/>
      </c>
      <c r="G348" s="66">
        <f>'Project Database'!K352</f>
        <v/>
      </c>
      <c r="H348" s="66">
        <f>'Project Database'!L352</f>
        <v/>
      </c>
      <c r="I348" s="66">
        <f>'Project Database'!M352</f>
        <v/>
      </c>
      <c r="J348" s="66">
        <f>'Project Database'!N352</f>
        <v/>
      </c>
      <c r="K348" s="66">
        <f>'Project Database'!O352</f>
        <v/>
      </c>
      <c r="L348" s="66">
        <f>'Project Database'!P352</f>
        <v/>
      </c>
      <c r="M348" s="66">
        <f>'Project Database'!Q352</f>
        <v/>
      </c>
      <c r="N348" s="66">
        <f>'Project Database'!R352</f>
        <v/>
      </c>
      <c r="O348" s="66">
        <f>'Project Database'!S352</f>
        <v/>
      </c>
      <c r="P348" s="66">
        <f>'Project Database'!T352</f>
        <v/>
      </c>
      <c r="Q348" s="66">
        <f>'Project Database'!U352</f>
        <v/>
      </c>
      <c r="R348" s="66">
        <f>'Project Database'!V352</f>
        <v/>
      </c>
      <c r="S348" s="66">
        <f>'Project Database'!W352</f>
        <v/>
      </c>
      <c r="T348" s="66">
        <f>'Project Database'!X352</f>
        <v/>
      </c>
      <c r="U348" s="67">
        <f>'Project Database'!Y352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'Project Database'!Z352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IF(AND('Project Database'!A352&lt;&gt;"",OR('Smart Search'!$L$5="",'Smart Search'!$L$5="All",TRIM('Project Database'!D352)=TRIM('Smart Search'!$L$5)),OR(TRIM('Smart Search'!$L$6)="",TRIM('Smart Search'!$L$6)="All",ISNUMBER(SEARCH(SUBSTITUTE(SUBSTITUTE(SUBSTITUTE(TRIM('Smart Search'!$L$6),"~","~~"),"*","~*"),"?","~?"),'Project Database'!C352))),OR('Smart Search'!$L$7="",AND('Project Database'!E352&lt;&gt;"",'Project Database'!E352='Smart Search'!$L$7)),OR('Smart Search'!$L$8="",'Smart Search'!$L$8="All",TRIM('Project Database'!F352)=TRIM('Smart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IF('Project Database'!A352="","",N('Project Database'!AC352))</f>
        <v/>
      </c>
      <c r="BK348" s="5">
        <f>IF('Project Database'!A352="","",N('Project Database'!AD352))</f>
        <v/>
      </c>
      <c r="BL348" s="5">
        <f>IF('Project Database'!A352="","",N('Project Database'!AE352))</f>
        <v/>
      </c>
      <c r="BM348" s="5">
        <f>IF('Project Database'!A352="","",N('Project Database'!AF352))</f>
        <v/>
      </c>
      <c r="BN348" s="5">
        <f>IF('Project Database'!A352="","",N('Project Database'!AG352))</f>
        <v/>
      </c>
      <c r="BO348" s="5">
        <f>IF('Project Database'!A352="","",N('Project Database'!AH352))</f>
        <v/>
      </c>
      <c r="BP348" s="5">
        <f>IF('Project Database'!A352="","",N('Project Database'!AI352))</f>
        <v/>
      </c>
      <c r="BQ348" s="5">
        <f>IF('Project Database'!A352="","",N('Project Database'!AJ352))</f>
        <v/>
      </c>
      <c r="BR348" s="5">
        <f>IF('Project Database'!A352="","",N('Project Database'!AK352))</f>
        <v/>
      </c>
      <c r="BS348" s="5">
        <f>IF('Project Database'!A352="","",N('Project Database'!AL352))</f>
        <v/>
      </c>
      <c r="BT348" s="5">
        <f>IF('Project Database'!A352="","",N('Project Database'!AM352))</f>
        <v/>
      </c>
      <c r="BU348" s="5">
        <f>IF('Project Database'!A352="","",N('Project Database'!AN352))</f>
        <v/>
      </c>
      <c r="BV348" s="5">
        <f>IF('Project Database'!A352="","",N('Project Database'!AO352))</f>
        <v/>
      </c>
      <c r="BW348" s="5">
        <f>IF('Project Database'!A352="","",N('Project Database'!AP352))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</row>
    <row r="349" ht="15" customHeight="1" s="74">
      <c r="A349" s="66">
        <f>'Project Database'!A353</f>
        <v/>
      </c>
      <c r="B349" s="66">
        <f>'Project Database'!B353</f>
        <v/>
      </c>
      <c r="C349" s="66">
        <f>'Project Database'!G353</f>
        <v/>
      </c>
      <c r="D349" s="66">
        <f>'Project Database'!H353</f>
        <v/>
      </c>
      <c r="E349" s="66">
        <f>'Project Database'!I353</f>
        <v/>
      </c>
      <c r="F349" s="66">
        <f>'Project Database'!J353</f>
        <v/>
      </c>
      <c r="G349" s="66">
        <f>'Project Database'!K353</f>
        <v/>
      </c>
      <c r="H349" s="66">
        <f>'Project Database'!L353</f>
        <v/>
      </c>
      <c r="I349" s="66">
        <f>'Project Database'!M353</f>
        <v/>
      </c>
      <c r="J349" s="66">
        <f>'Project Database'!N353</f>
        <v/>
      </c>
      <c r="K349" s="66">
        <f>'Project Database'!O353</f>
        <v/>
      </c>
      <c r="L349" s="66">
        <f>'Project Database'!P353</f>
        <v/>
      </c>
      <c r="M349" s="66">
        <f>'Project Database'!Q353</f>
        <v/>
      </c>
      <c r="N349" s="66">
        <f>'Project Database'!R353</f>
        <v/>
      </c>
      <c r="O349" s="66">
        <f>'Project Database'!S353</f>
        <v/>
      </c>
      <c r="P349" s="66">
        <f>'Project Database'!T353</f>
        <v/>
      </c>
      <c r="Q349" s="66">
        <f>'Project Database'!U353</f>
        <v/>
      </c>
      <c r="R349" s="66">
        <f>'Project Database'!V353</f>
        <v/>
      </c>
      <c r="S349" s="66">
        <f>'Project Database'!W353</f>
        <v/>
      </c>
      <c r="T349" s="66">
        <f>'Project Database'!X353</f>
        <v/>
      </c>
      <c r="U349" s="67">
        <f>'Project Database'!Y353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'Project Database'!Z353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IF(AND('Project Database'!A353&lt;&gt;"",OR('Smart Search'!$L$5="",'Smart Search'!$L$5="All",TRIM('Project Database'!D353)=TRIM('Smart Search'!$L$5)),OR(TRIM('Smart Search'!$L$6)="",TRIM('Smart Search'!$L$6)="All",ISNUMBER(SEARCH(SUBSTITUTE(SUBSTITUTE(SUBSTITUTE(TRIM('Smart Search'!$L$6),"~","~~"),"*","~*"),"?","~?"),'Project Database'!C353))),OR('Smart Search'!$L$7="",AND('Project Database'!E353&lt;&gt;"",'Project Database'!E353='Smart Search'!$L$7)),OR('Smart Search'!$L$8="",'Smart Search'!$L$8="All",TRIM('Project Database'!F353)=TRIM('Smart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IF('Project Database'!A353="","",N('Project Database'!AC353))</f>
        <v/>
      </c>
      <c r="BK349" s="5">
        <f>IF('Project Database'!A353="","",N('Project Database'!AD353))</f>
        <v/>
      </c>
      <c r="BL349" s="5">
        <f>IF('Project Database'!A353="","",N('Project Database'!AE353))</f>
        <v/>
      </c>
      <c r="BM349" s="5">
        <f>IF('Project Database'!A353="","",N('Project Database'!AF353))</f>
        <v/>
      </c>
      <c r="BN349" s="5">
        <f>IF('Project Database'!A353="","",N('Project Database'!AG353))</f>
        <v/>
      </c>
      <c r="BO349" s="5">
        <f>IF('Project Database'!A353="","",N('Project Database'!AH353))</f>
        <v/>
      </c>
      <c r="BP349" s="5">
        <f>IF('Project Database'!A353="","",N('Project Database'!AI353))</f>
        <v/>
      </c>
      <c r="BQ349" s="5">
        <f>IF('Project Database'!A353="","",N('Project Database'!AJ353))</f>
        <v/>
      </c>
      <c r="BR349" s="5">
        <f>IF('Project Database'!A353="","",N('Project Database'!AK353))</f>
        <v/>
      </c>
      <c r="BS349" s="5">
        <f>IF('Project Database'!A353="","",N('Project Database'!AL353))</f>
        <v/>
      </c>
      <c r="BT349" s="5">
        <f>IF('Project Database'!A353="","",N('Project Database'!AM353))</f>
        <v/>
      </c>
      <c r="BU349" s="5">
        <f>IF('Project Database'!A353="","",N('Project Database'!AN353))</f>
        <v/>
      </c>
      <c r="BV349" s="5">
        <f>IF('Project Database'!A353="","",N('Project Database'!AO353))</f>
        <v/>
      </c>
      <c r="BW349" s="5">
        <f>IF('Project Database'!A353="","",N('Project Database'!AP353))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</row>
    <row r="350" ht="15" customHeight="1" s="74">
      <c r="A350" s="66">
        <f>'Project Database'!A354</f>
        <v/>
      </c>
      <c r="B350" s="66">
        <f>'Project Database'!B354</f>
        <v/>
      </c>
      <c r="C350" s="66">
        <f>'Project Database'!G354</f>
        <v/>
      </c>
      <c r="D350" s="66">
        <f>'Project Database'!H354</f>
        <v/>
      </c>
      <c r="E350" s="66">
        <f>'Project Database'!I354</f>
        <v/>
      </c>
      <c r="F350" s="66">
        <f>'Project Database'!J354</f>
        <v/>
      </c>
      <c r="G350" s="66">
        <f>'Project Database'!K354</f>
        <v/>
      </c>
      <c r="H350" s="66">
        <f>'Project Database'!L354</f>
        <v/>
      </c>
      <c r="I350" s="66">
        <f>'Project Database'!M354</f>
        <v/>
      </c>
      <c r="J350" s="66">
        <f>'Project Database'!N354</f>
        <v/>
      </c>
      <c r="K350" s="66">
        <f>'Project Database'!O354</f>
        <v/>
      </c>
      <c r="L350" s="66">
        <f>'Project Database'!P354</f>
        <v/>
      </c>
      <c r="M350" s="66">
        <f>'Project Database'!Q354</f>
        <v/>
      </c>
      <c r="N350" s="66">
        <f>'Project Database'!R354</f>
        <v/>
      </c>
      <c r="O350" s="66">
        <f>'Project Database'!S354</f>
        <v/>
      </c>
      <c r="P350" s="66">
        <f>'Project Database'!T354</f>
        <v/>
      </c>
      <c r="Q350" s="66">
        <f>'Project Database'!U354</f>
        <v/>
      </c>
      <c r="R350" s="66">
        <f>'Project Database'!V354</f>
        <v/>
      </c>
      <c r="S350" s="66">
        <f>'Project Database'!W354</f>
        <v/>
      </c>
      <c r="T350" s="66">
        <f>'Project Database'!X354</f>
        <v/>
      </c>
      <c r="U350" s="67">
        <f>'Project Database'!Y354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'Project Database'!Z354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IF(AND('Project Database'!A354&lt;&gt;"",OR('Smart Search'!$L$5="",'Smart Search'!$L$5="All",TRIM('Project Database'!D354)=TRIM('Smart Search'!$L$5)),OR(TRIM('Smart Search'!$L$6)="",TRIM('Smart Search'!$L$6)="All",ISNUMBER(SEARCH(SUBSTITUTE(SUBSTITUTE(SUBSTITUTE(TRIM('Smart Search'!$L$6),"~","~~"),"*","~*"),"?","~?"),'Project Database'!C354))),OR('Smart Search'!$L$7="",AND('Project Database'!E354&lt;&gt;"",'Project Database'!E354='Smart Search'!$L$7)),OR('Smart Search'!$L$8="",'Smart Search'!$L$8="All",TRIM('Project Database'!F354)=TRIM('Smart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IF('Project Database'!A354="","",N('Project Database'!AC354))</f>
        <v/>
      </c>
      <c r="BK350" s="5">
        <f>IF('Project Database'!A354="","",N('Project Database'!AD354))</f>
        <v/>
      </c>
      <c r="BL350" s="5">
        <f>IF('Project Database'!A354="","",N('Project Database'!AE354))</f>
        <v/>
      </c>
      <c r="BM350" s="5">
        <f>IF('Project Database'!A354="","",N('Project Database'!AF354))</f>
        <v/>
      </c>
      <c r="BN350" s="5">
        <f>IF('Project Database'!A354="","",N('Project Database'!AG354))</f>
        <v/>
      </c>
      <c r="BO350" s="5">
        <f>IF('Project Database'!A354="","",N('Project Database'!AH354))</f>
        <v/>
      </c>
      <c r="BP350" s="5">
        <f>IF('Project Database'!A354="","",N('Project Database'!AI354))</f>
        <v/>
      </c>
      <c r="BQ350" s="5">
        <f>IF('Project Database'!A354="","",N('Project Database'!AJ354))</f>
        <v/>
      </c>
      <c r="BR350" s="5">
        <f>IF('Project Database'!A354="","",N('Project Database'!AK354))</f>
        <v/>
      </c>
      <c r="BS350" s="5">
        <f>IF('Project Database'!A354="","",N('Project Database'!AL354))</f>
        <v/>
      </c>
      <c r="BT350" s="5">
        <f>IF('Project Database'!A354="","",N('Project Database'!AM354))</f>
        <v/>
      </c>
      <c r="BU350" s="5">
        <f>IF('Project Database'!A354="","",N('Project Database'!AN354))</f>
        <v/>
      </c>
      <c r="BV350" s="5">
        <f>IF('Project Database'!A354="","",N('Project Database'!AO354))</f>
        <v/>
      </c>
      <c r="BW350" s="5">
        <f>IF('Project Database'!A354="","",N('Project Database'!AP354))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</row>
    <row r="351" ht="15" customHeight="1" s="74">
      <c r="A351" s="66">
        <f>'Project Database'!A355</f>
        <v/>
      </c>
      <c r="B351" s="66">
        <f>'Project Database'!B355</f>
        <v/>
      </c>
      <c r="C351" s="66">
        <f>'Project Database'!G355</f>
        <v/>
      </c>
      <c r="D351" s="66">
        <f>'Project Database'!H355</f>
        <v/>
      </c>
      <c r="E351" s="66">
        <f>'Project Database'!I355</f>
        <v/>
      </c>
      <c r="F351" s="66">
        <f>'Project Database'!J355</f>
        <v/>
      </c>
      <c r="G351" s="66">
        <f>'Project Database'!K355</f>
        <v/>
      </c>
      <c r="H351" s="66">
        <f>'Project Database'!L355</f>
        <v/>
      </c>
      <c r="I351" s="66">
        <f>'Project Database'!M355</f>
        <v/>
      </c>
      <c r="J351" s="66">
        <f>'Project Database'!N355</f>
        <v/>
      </c>
      <c r="K351" s="66">
        <f>'Project Database'!O355</f>
        <v/>
      </c>
      <c r="L351" s="66">
        <f>'Project Database'!P355</f>
        <v/>
      </c>
      <c r="M351" s="66">
        <f>'Project Database'!Q355</f>
        <v/>
      </c>
      <c r="N351" s="66">
        <f>'Project Database'!R355</f>
        <v/>
      </c>
      <c r="O351" s="66">
        <f>'Project Database'!S355</f>
        <v/>
      </c>
      <c r="P351" s="66">
        <f>'Project Database'!T355</f>
        <v/>
      </c>
      <c r="Q351" s="66">
        <f>'Project Database'!U355</f>
        <v/>
      </c>
      <c r="R351" s="66">
        <f>'Project Database'!V355</f>
        <v/>
      </c>
      <c r="S351" s="66">
        <f>'Project Database'!W355</f>
        <v/>
      </c>
      <c r="T351" s="66">
        <f>'Project Database'!X355</f>
        <v/>
      </c>
      <c r="U351" s="67">
        <f>'Project Database'!Y355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'Project Database'!Z355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IF(AND('Project Database'!A355&lt;&gt;"",OR('Smart Search'!$L$5="",'Smart Search'!$L$5="All",TRIM('Project Database'!D355)=TRIM('Smart Search'!$L$5)),OR(TRIM('Smart Search'!$L$6)="",TRIM('Smart Search'!$L$6)="All",ISNUMBER(SEARCH(SUBSTITUTE(SUBSTITUTE(SUBSTITUTE(TRIM('Smart Search'!$L$6),"~","~~"),"*","~*"),"?","~?"),'Project Database'!C355))),OR('Smart Search'!$L$7="",AND('Project Database'!E355&lt;&gt;"",'Project Database'!E355='Smart Search'!$L$7)),OR('Smart Search'!$L$8="",'Smart Search'!$L$8="All",TRIM('Project Database'!F355)=TRIM('Smart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IF('Project Database'!A355="","",N('Project Database'!AC355))</f>
        <v/>
      </c>
      <c r="BK351" s="5">
        <f>IF('Project Database'!A355="","",N('Project Database'!AD355))</f>
        <v/>
      </c>
      <c r="BL351" s="5">
        <f>IF('Project Database'!A355="","",N('Project Database'!AE355))</f>
        <v/>
      </c>
      <c r="BM351" s="5">
        <f>IF('Project Database'!A355="","",N('Project Database'!AF355))</f>
        <v/>
      </c>
      <c r="BN351" s="5">
        <f>IF('Project Database'!A355="","",N('Project Database'!AG355))</f>
        <v/>
      </c>
      <c r="BO351" s="5">
        <f>IF('Project Database'!A355="","",N('Project Database'!AH355))</f>
        <v/>
      </c>
      <c r="BP351" s="5">
        <f>IF('Project Database'!A355="","",N('Project Database'!AI355))</f>
        <v/>
      </c>
      <c r="BQ351" s="5">
        <f>IF('Project Database'!A355="","",N('Project Database'!AJ355))</f>
        <v/>
      </c>
      <c r="BR351" s="5">
        <f>IF('Project Database'!A355="","",N('Project Database'!AK355))</f>
        <v/>
      </c>
      <c r="BS351" s="5">
        <f>IF('Project Database'!A355="","",N('Project Database'!AL355))</f>
        <v/>
      </c>
      <c r="BT351" s="5">
        <f>IF('Project Database'!A355="","",N('Project Database'!AM355))</f>
        <v/>
      </c>
      <c r="BU351" s="5">
        <f>IF('Project Database'!A355="","",N('Project Database'!AN355))</f>
        <v/>
      </c>
      <c r="BV351" s="5">
        <f>IF('Project Database'!A355="","",N('Project Database'!AO355))</f>
        <v/>
      </c>
      <c r="BW351" s="5">
        <f>IF('Project Database'!A355="","",N('Project Database'!AP355))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</row>
    <row r="352" ht="15" customHeight="1" s="74">
      <c r="A352" s="66">
        <f>'Project Database'!A356</f>
        <v/>
      </c>
      <c r="B352" s="66">
        <f>'Project Database'!B356</f>
        <v/>
      </c>
      <c r="C352" s="66">
        <f>'Project Database'!G356</f>
        <v/>
      </c>
      <c r="D352" s="66">
        <f>'Project Database'!H356</f>
        <v/>
      </c>
      <c r="E352" s="66">
        <f>'Project Database'!I356</f>
        <v/>
      </c>
      <c r="F352" s="66">
        <f>'Project Database'!J356</f>
        <v/>
      </c>
      <c r="G352" s="66">
        <f>'Project Database'!K356</f>
        <v/>
      </c>
      <c r="H352" s="66">
        <f>'Project Database'!L356</f>
        <v/>
      </c>
      <c r="I352" s="66">
        <f>'Project Database'!M356</f>
        <v/>
      </c>
      <c r="J352" s="66">
        <f>'Project Database'!N356</f>
        <v/>
      </c>
      <c r="K352" s="66">
        <f>'Project Database'!O356</f>
        <v/>
      </c>
      <c r="L352" s="66">
        <f>'Project Database'!P356</f>
        <v/>
      </c>
      <c r="M352" s="66">
        <f>'Project Database'!Q356</f>
        <v/>
      </c>
      <c r="N352" s="66">
        <f>'Project Database'!R356</f>
        <v/>
      </c>
      <c r="O352" s="66">
        <f>'Project Database'!S356</f>
        <v/>
      </c>
      <c r="P352" s="66">
        <f>'Project Database'!T356</f>
        <v/>
      </c>
      <c r="Q352" s="66">
        <f>'Project Database'!U356</f>
        <v/>
      </c>
      <c r="R352" s="66">
        <f>'Project Database'!V356</f>
        <v/>
      </c>
      <c r="S352" s="66">
        <f>'Project Database'!W356</f>
        <v/>
      </c>
      <c r="T352" s="66">
        <f>'Project Database'!X356</f>
        <v/>
      </c>
      <c r="U352" s="67">
        <f>'Project Database'!Y356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'Project Database'!Z356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IF(AND('Project Database'!A356&lt;&gt;"",OR('Smart Search'!$L$5="",'Smart Search'!$L$5="All",TRIM('Project Database'!D356)=TRIM('Smart Search'!$L$5)),OR(TRIM('Smart Search'!$L$6)="",TRIM('Smart Search'!$L$6)="All",ISNUMBER(SEARCH(SUBSTITUTE(SUBSTITUTE(SUBSTITUTE(TRIM('Smart Search'!$L$6),"~","~~"),"*","~*"),"?","~?"),'Project Database'!C356))),OR('Smart Search'!$L$7="",AND('Project Database'!E356&lt;&gt;"",'Project Database'!E356='Smart Search'!$L$7)),OR('Smart Search'!$L$8="",'Smart Search'!$L$8="All",TRIM('Project Database'!F356)=TRIM('Smart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IF('Project Database'!A356="","",N('Project Database'!AC356))</f>
        <v/>
      </c>
      <c r="BK352" s="5">
        <f>IF('Project Database'!A356="","",N('Project Database'!AD356))</f>
        <v/>
      </c>
      <c r="BL352" s="5">
        <f>IF('Project Database'!A356="","",N('Project Database'!AE356))</f>
        <v/>
      </c>
      <c r="BM352" s="5">
        <f>IF('Project Database'!A356="","",N('Project Database'!AF356))</f>
        <v/>
      </c>
      <c r="BN352" s="5">
        <f>IF('Project Database'!A356="","",N('Project Database'!AG356))</f>
        <v/>
      </c>
      <c r="BO352" s="5">
        <f>IF('Project Database'!A356="","",N('Project Database'!AH356))</f>
        <v/>
      </c>
      <c r="BP352" s="5">
        <f>IF('Project Database'!A356="","",N('Project Database'!AI356))</f>
        <v/>
      </c>
      <c r="BQ352" s="5">
        <f>IF('Project Database'!A356="","",N('Project Database'!AJ356))</f>
        <v/>
      </c>
      <c r="BR352" s="5">
        <f>IF('Project Database'!A356="","",N('Project Database'!AK356))</f>
        <v/>
      </c>
      <c r="BS352" s="5">
        <f>IF('Project Database'!A356="","",N('Project Database'!AL356))</f>
        <v/>
      </c>
      <c r="BT352" s="5">
        <f>IF('Project Database'!A356="","",N('Project Database'!AM356))</f>
        <v/>
      </c>
      <c r="BU352" s="5">
        <f>IF('Project Database'!A356="","",N('Project Database'!AN356))</f>
        <v/>
      </c>
      <c r="BV352" s="5">
        <f>IF('Project Database'!A356="","",N('Project Database'!AO356))</f>
        <v/>
      </c>
      <c r="BW352" s="5">
        <f>IF('Project Database'!A356="","",N('Project Database'!AP356))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</row>
    <row r="353" ht="15" customHeight="1" s="74">
      <c r="A353" s="66">
        <f>'Project Database'!A357</f>
        <v/>
      </c>
      <c r="B353" s="66">
        <f>'Project Database'!B357</f>
        <v/>
      </c>
      <c r="C353" s="66">
        <f>'Project Database'!G357</f>
        <v/>
      </c>
      <c r="D353" s="66">
        <f>'Project Database'!H357</f>
        <v/>
      </c>
      <c r="E353" s="66">
        <f>'Project Database'!I357</f>
        <v/>
      </c>
      <c r="F353" s="66">
        <f>'Project Database'!J357</f>
        <v/>
      </c>
      <c r="G353" s="66">
        <f>'Project Database'!K357</f>
        <v/>
      </c>
      <c r="H353" s="66">
        <f>'Project Database'!L357</f>
        <v/>
      </c>
      <c r="I353" s="66">
        <f>'Project Database'!M357</f>
        <v/>
      </c>
      <c r="J353" s="66">
        <f>'Project Database'!N357</f>
        <v/>
      </c>
      <c r="K353" s="66">
        <f>'Project Database'!O357</f>
        <v/>
      </c>
      <c r="L353" s="66">
        <f>'Project Database'!P357</f>
        <v/>
      </c>
      <c r="M353" s="66">
        <f>'Project Database'!Q357</f>
        <v/>
      </c>
      <c r="N353" s="66">
        <f>'Project Database'!R357</f>
        <v/>
      </c>
      <c r="O353" s="66">
        <f>'Project Database'!S357</f>
        <v/>
      </c>
      <c r="P353" s="66">
        <f>'Project Database'!T357</f>
        <v/>
      </c>
      <c r="Q353" s="66">
        <f>'Project Database'!U357</f>
        <v/>
      </c>
      <c r="R353" s="66">
        <f>'Project Database'!V357</f>
        <v/>
      </c>
      <c r="S353" s="66">
        <f>'Project Database'!W357</f>
        <v/>
      </c>
      <c r="T353" s="66">
        <f>'Project Database'!X357</f>
        <v/>
      </c>
      <c r="U353" s="67">
        <f>'Project Database'!Y357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'Project Database'!Z357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IF(AND('Project Database'!A357&lt;&gt;"",OR('Smart Search'!$L$5="",'Smart Search'!$L$5="All",TRIM('Project Database'!D357)=TRIM('Smart Search'!$L$5)),OR(TRIM('Smart Search'!$L$6)="",TRIM('Smart Search'!$L$6)="All",ISNUMBER(SEARCH(SUBSTITUTE(SUBSTITUTE(SUBSTITUTE(TRIM('Smart Search'!$L$6),"~","~~"),"*","~*"),"?","~?"),'Project Database'!C357))),OR('Smart Search'!$L$7="",AND('Project Database'!E357&lt;&gt;"",'Project Database'!E357='Smart Search'!$L$7)),OR('Smart Search'!$L$8="",'Smart Search'!$L$8="All",TRIM('Project Database'!F357)=TRIM('Smart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IF('Project Database'!A357="","",N('Project Database'!AC357))</f>
        <v/>
      </c>
      <c r="BK353" s="5">
        <f>IF('Project Database'!A357="","",N('Project Database'!AD357))</f>
        <v/>
      </c>
      <c r="BL353" s="5">
        <f>IF('Project Database'!A357="","",N('Project Database'!AE357))</f>
        <v/>
      </c>
      <c r="BM353" s="5">
        <f>IF('Project Database'!A357="","",N('Project Database'!AF357))</f>
        <v/>
      </c>
      <c r="BN353" s="5">
        <f>IF('Project Database'!A357="","",N('Project Database'!AG357))</f>
        <v/>
      </c>
      <c r="BO353" s="5">
        <f>IF('Project Database'!A357="","",N('Project Database'!AH357))</f>
        <v/>
      </c>
      <c r="BP353" s="5">
        <f>IF('Project Database'!A357="","",N('Project Database'!AI357))</f>
        <v/>
      </c>
      <c r="BQ353" s="5">
        <f>IF('Project Database'!A357="","",N('Project Database'!AJ357))</f>
        <v/>
      </c>
      <c r="BR353" s="5">
        <f>IF('Project Database'!A357="","",N('Project Database'!AK357))</f>
        <v/>
      </c>
      <c r="BS353" s="5">
        <f>IF('Project Database'!A357="","",N('Project Database'!AL357))</f>
        <v/>
      </c>
      <c r="BT353" s="5">
        <f>IF('Project Database'!A357="","",N('Project Database'!AM357))</f>
        <v/>
      </c>
      <c r="BU353" s="5">
        <f>IF('Project Database'!A357="","",N('Project Database'!AN357))</f>
        <v/>
      </c>
      <c r="BV353" s="5">
        <f>IF('Project Database'!A357="","",N('Project Database'!AO357))</f>
        <v/>
      </c>
      <c r="BW353" s="5">
        <f>IF('Project Database'!A357="","",N('Project Database'!AP357))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</row>
    <row r="354" ht="15" customHeight="1" s="74">
      <c r="A354" s="66">
        <f>'Project Database'!A358</f>
        <v/>
      </c>
      <c r="B354" s="66">
        <f>'Project Database'!B358</f>
        <v/>
      </c>
      <c r="C354" s="66">
        <f>'Project Database'!G358</f>
        <v/>
      </c>
      <c r="D354" s="66">
        <f>'Project Database'!H358</f>
        <v/>
      </c>
      <c r="E354" s="66">
        <f>'Project Database'!I358</f>
        <v/>
      </c>
      <c r="F354" s="66">
        <f>'Project Database'!J358</f>
        <v/>
      </c>
      <c r="G354" s="66">
        <f>'Project Database'!K358</f>
        <v/>
      </c>
      <c r="H354" s="66">
        <f>'Project Database'!L358</f>
        <v/>
      </c>
      <c r="I354" s="66">
        <f>'Project Database'!M358</f>
        <v/>
      </c>
      <c r="J354" s="66">
        <f>'Project Database'!N358</f>
        <v/>
      </c>
      <c r="K354" s="66">
        <f>'Project Database'!O358</f>
        <v/>
      </c>
      <c r="L354" s="66">
        <f>'Project Database'!P358</f>
        <v/>
      </c>
      <c r="M354" s="66">
        <f>'Project Database'!Q358</f>
        <v/>
      </c>
      <c r="N354" s="66">
        <f>'Project Database'!R358</f>
        <v/>
      </c>
      <c r="O354" s="66">
        <f>'Project Database'!S358</f>
        <v/>
      </c>
      <c r="P354" s="66">
        <f>'Project Database'!T358</f>
        <v/>
      </c>
      <c r="Q354" s="66">
        <f>'Project Database'!U358</f>
        <v/>
      </c>
      <c r="R354" s="66">
        <f>'Project Database'!V358</f>
        <v/>
      </c>
      <c r="S354" s="66">
        <f>'Project Database'!W358</f>
        <v/>
      </c>
      <c r="T354" s="66">
        <f>'Project Database'!X358</f>
        <v/>
      </c>
      <c r="U354" s="67">
        <f>'Project Database'!Y358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'Project Database'!Z358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IF(AND('Project Database'!A358&lt;&gt;"",OR('Smart Search'!$L$5="",'Smart Search'!$L$5="All",TRIM('Project Database'!D358)=TRIM('Smart Search'!$L$5)),OR(TRIM('Smart Search'!$L$6)="",TRIM('Smart Search'!$L$6)="All",ISNUMBER(SEARCH(SUBSTITUTE(SUBSTITUTE(SUBSTITUTE(TRIM('Smart Search'!$L$6),"~","~~"),"*","~*"),"?","~?"),'Project Database'!C358))),OR('Smart Search'!$L$7="",AND('Project Database'!E358&lt;&gt;"",'Project Database'!E358='Smart Search'!$L$7)),OR('Smart Search'!$L$8="",'Smart Search'!$L$8="All",TRIM('Project Database'!F358)=TRIM('Smart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IF('Project Database'!A358="","",N('Project Database'!AC358))</f>
        <v/>
      </c>
      <c r="BK354" s="5">
        <f>IF('Project Database'!A358="","",N('Project Database'!AD358))</f>
        <v/>
      </c>
      <c r="BL354" s="5">
        <f>IF('Project Database'!A358="","",N('Project Database'!AE358))</f>
        <v/>
      </c>
      <c r="BM354" s="5">
        <f>IF('Project Database'!A358="","",N('Project Database'!AF358))</f>
        <v/>
      </c>
      <c r="BN354" s="5">
        <f>IF('Project Database'!A358="","",N('Project Database'!AG358))</f>
        <v/>
      </c>
      <c r="BO354" s="5">
        <f>IF('Project Database'!A358="","",N('Project Database'!AH358))</f>
        <v/>
      </c>
      <c r="BP354" s="5">
        <f>IF('Project Database'!A358="","",N('Project Database'!AI358))</f>
        <v/>
      </c>
      <c r="BQ354" s="5">
        <f>IF('Project Database'!A358="","",N('Project Database'!AJ358))</f>
        <v/>
      </c>
      <c r="BR354" s="5">
        <f>IF('Project Database'!A358="","",N('Project Database'!AK358))</f>
        <v/>
      </c>
      <c r="BS354" s="5">
        <f>IF('Project Database'!A358="","",N('Project Database'!AL358))</f>
        <v/>
      </c>
      <c r="BT354" s="5">
        <f>IF('Project Database'!A358="","",N('Project Database'!AM358))</f>
        <v/>
      </c>
      <c r="BU354" s="5">
        <f>IF('Project Database'!A358="","",N('Project Database'!AN358))</f>
        <v/>
      </c>
      <c r="BV354" s="5">
        <f>IF('Project Database'!A358="","",N('Project Database'!AO358))</f>
        <v/>
      </c>
      <c r="BW354" s="5">
        <f>IF('Project Database'!A358="","",N('Project Database'!AP358))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</row>
    <row r="355" ht="15" customHeight="1" s="74">
      <c r="A355" s="66">
        <f>'Project Database'!A359</f>
        <v/>
      </c>
      <c r="B355" s="66">
        <f>'Project Database'!B359</f>
        <v/>
      </c>
      <c r="C355" s="66">
        <f>'Project Database'!G359</f>
        <v/>
      </c>
      <c r="D355" s="66">
        <f>'Project Database'!H359</f>
        <v/>
      </c>
      <c r="E355" s="66">
        <f>'Project Database'!I359</f>
        <v/>
      </c>
      <c r="F355" s="66">
        <f>'Project Database'!J359</f>
        <v/>
      </c>
      <c r="G355" s="66">
        <f>'Project Database'!K359</f>
        <v/>
      </c>
      <c r="H355" s="66">
        <f>'Project Database'!L359</f>
        <v/>
      </c>
      <c r="I355" s="66">
        <f>'Project Database'!M359</f>
        <v/>
      </c>
      <c r="J355" s="66">
        <f>'Project Database'!N359</f>
        <v/>
      </c>
      <c r="K355" s="66">
        <f>'Project Database'!O359</f>
        <v/>
      </c>
      <c r="L355" s="66">
        <f>'Project Database'!P359</f>
        <v/>
      </c>
      <c r="M355" s="66">
        <f>'Project Database'!Q359</f>
        <v/>
      </c>
      <c r="N355" s="66">
        <f>'Project Database'!R359</f>
        <v/>
      </c>
      <c r="O355" s="66">
        <f>'Project Database'!S359</f>
        <v/>
      </c>
      <c r="P355" s="66">
        <f>'Project Database'!T359</f>
        <v/>
      </c>
      <c r="Q355" s="66">
        <f>'Project Database'!U359</f>
        <v/>
      </c>
      <c r="R355" s="66">
        <f>'Project Database'!V359</f>
        <v/>
      </c>
      <c r="S355" s="66">
        <f>'Project Database'!W359</f>
        <v/>
      </c>
      <c r="T355" s="66">
        <f>'Project Database'!X359</f>
        <v/>
      </c>
      <c r="U355" s="67">
        <f>'Project Database'!Y359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'Project Database'!Z359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IF(AND('Project Database'!A359&lt;&gt;"",OR('Smart Search'!$L$5="",'Smart Search'!$L$5="All",TRIM('Project Database'!D359)=TRIM('Smart Search'!$L$5)),OR(TRIM('Smart Search'!$L$6)="",TRIM('Smart Search'!$L$6)="All",ISNUMBER(SEARCH(SUBSTITUTE(SUBSTITUTE(SUBSTITUTE(TRIM('Smart Search'!$L$6),"~","~~"),"*","~*"),"?","~?"),'Project Database'!C359))),OR('Smart Search'!$L$7="",AND('Project Database'!E359&lt;&gt;"",'Project Database'!E359='Smart Search'!$L$7)),OR('Smart Search'!$L$8="",'Smart Search'!$L$8="All",TRIM('Project Database'!F359)=TRIM('Smart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IF('Project Database'!A359="","",N('Project Database'!AC359))</f>
        <v/>
      </c>
      <c r="BK355" s="5">
        <f>IF('Project Database'!A359="","",N('Project Database'!AD359))</f>
        <v/>
      </c>
      <c r="BL355" s="5">
        <f>IF('Project Database'!A359="","",N('Project Database'!AE359))</f>
        <v/>
      </c>
      <c r="BM355" s="5">
        <f>IF('Project Database'!A359="","",N('Project Database'!AF359))</f>
        <v/>
      </c>
      <c r="BN355" s="5">
        <f>IF('Project Database'!A359="","",N('Project Database'!AG359))</f>
        <v/>
      </c>
      <c r="BO355" s="5">
        <f>IF('Project Database'!A359="","",N('Project Database'!AH359))</f>
        <v/>
      </c>
      <c r="BP355" s="5">
        <f>IF('Project Database'!A359="","",N('Project Database'!AI359))</f>
        <v/>
      </c>
      <c r="BQ355" s="5">
        <f>IF('Project Database'!A359="","",N('Project Database'!AJ359))</f>
        <v/>
      </c>
      <c r="BR355" s="5">
        <f>IF('Project Database'!A359="","",N('Project Database'!AK359))</f>
        <v/>
      </c>
      <c r="BS355" s="5">
        <f>IF('Project Database'!A359="","",N('Project Database'!AL359))</f>
        <v/>
      </c>
      <c r="BT355" s="5">
        <f>IF('Project Database'!A359="","",N('Project Database'!AM359))</f>
        <v/>
      </c>
      <c r="BU355" s="5">
        <f>IF('Project Database'!A359="","",N('Project Database'!AN359))</f>
        <v/>
      </c>
      <c r="BV355" s="5">
        <f>IF('Project Database'!A359="","",N('Project Database'!AO359))</f>
        <v/>
      </c>
      <c r="BW355" s="5">
        <f>IF('Project Database'!A359="","",N('Project Database'!AP359))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</row>
    <row r="356" ht="15" customHeight="1" s="74">
      <c r="A356" s="66">
        <f>'Project Database'!A360</f>
        <v/>
      </c>
      <c r="B356" s="66">
        <f>'Project Database'!B360</f>
        <v/>
      </c>
      <c r="C356" s="66">
        <f>'Project Database'!G360</f>
        <v/>
      </c>
      <c r="D356" s="66">
        <f>'Project Database'!H360</f>
        <v/>
      </c>
      <c r="E356" s="66">
        <f>'Project Database'!I360</f>
        <v/>
      </c>
      <c r="F356" s="66">
        <f>'Project Database'!J360</f>
        <v/>
      </c>
      <c r="G356" s="66">
        <f>'Project Database'!K360</f>
        <v/>
      </c>
      <c r="H356" s="66">
        <f>'Project Database'!L360</f>
        <v/>
      </c>
      <c r="I356" s="66">
        <f>'Project Database'!M360</f>
        <v/>
      </c>
      <c r="J356" s="66">
        <f>'Project Database'!N360</f>
        <v/>
      </c>
      <c r="K356" s="66">
        <f>'Project Database'!O360</f>
        <v/>
      </c>
      <c r="L356" s="66">
        <f>'Project Database'!P360</f>
        <v/>
      </c>
      <c r="M356" s="66">
        <f>'Project Database'!Q360</f>
        <v/>
      </c>
      <c r="N356" s="66">
        <f>'Project Database'!R360</f>
        <v/>
      </c>
      <c r="O356" s="66">
        <f>'Project Database'!S360</f>
        <v/>
      </c>
      <c r="P356" s="66">
        <f>'Project Database'!T360</f>
        <v/>
      </c>
      <c r="Q356" s="66">
        <f>'Project Database'!U360</f>
        <v/>
      </c>
      <c r="R356" s="66">
        <f>'Project Database'!V360</f>
        <v/>
      </c>
      <c r="S356" s="66">
        <f>'Project Database'!W360</f>
        <v/>
      </c>
      <c r="T356" s="66">
        <f>'Project Database'!X360</f>
        <v/>
      </c>
      <c r="U356" s="67">
        <f>'Project Database'!Y360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'Project Database'!Z360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IF(AND('Project Database'!A360&lt;&gt;"",OR('Smart Search'!$L$5="",'Smart Search'!$L$5="All",TRIM('Project Database'!D360)=TRIM('Smart Search'!$L$5)),OR(TRIM('Smart Search'!$L$6)="",TRIM('Smart Search'!$L$6)="All",ISNUMBER(SEARCH(SUBSTITUTE(SUBSTITUTE(SUBSTITUTE(TRIM('Smart Search'!$L$6),"~","~~"),"*","~*"),"?","~?"),'Project Database'!C360))),OR('Smart Search'!$L$7="",AND('Project Database'!E360&lt;&gt;"",'Project Database'!E360='Smart Search'!$L$7)),OR('Smart Search'!$L$8="",'Smart Search'!$L$8="All",TRIM('Project Database'!F360)=TRIM('Smart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IF('Project Database'!A360="","",N('Project Database'!AC360))</f>
        <v/>
      </c>
      <c r="BK356" s="5">
        <f>IF('Project Database'!A360="","",N('Project Database'!AD360))</f>
        <v/>
      </c>
      <c r="BL356" s="5">
        <f>IF('Project Database'!A360="","",N('Project Database'!AE360))</f>
        <v/>
      </c>
      <c r="BM356" s="5">
        <f>IF('Project Database'!A360="","",N('Project Database'!AF360))</f>
        <v/>
      </c>
      <c r="BN356" s="5">
        <f>IF('Project Database'!A360="","",N('Project Database'!AG360))</f>
        <v/>
      </c>
      <c r="BO356" s="5">
        <f>IF('Project Database'!A360="","",N('Project Database'!AH360))</f>
        <v/>
      </c>
      <c r="BP356" s="5">
        <f>IF('Project Database'!A360="","",N('Project Database'!AI360))</f>
        <v/>
      </c>
      <c r="BQ356" s="5">
        <f>IF('Project Database'!A360="","",N('Project Database'!AJ360))</f>
        <v/>
      </c>
      <c r="BR356" s="5">
        <f>IF('Project Database'!A360="","",N('Project Database'!AK360))</f>
        <v/>
      </c>
      <c r="BS356" s="5">
        <f>IF('Project Database'!A360="","",N('Project Database'!AL360))</f>
        <v/>
      </c>
      <c r="BT356" s="5">
        <f>IF('Project Database'!A360="","",N('Project Database'!AM360))</f>
        <v/>
      </c>
      <c r="BU356" s="5">
        <f>IF('Project Database'!A360="","",N('Project Database'!AN360))</f>
        <v/>
      </c>
      <c r="BV356" s="5">
        <f>IF('Project Database'!A360="","",N('Project Database'!AO360))</f>
        <v/>
      </c>
      <c r="BW356" s="5">
        <f>IF('Project Database'!A360="","",N('Project Database'!AP360))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</row>
    <row r="357" ht="15" customHeight="1" s="74">
      <c r="A357" s="66">
        <f>'Project Database'!A361</f>
        <v/>
      </c>
      <c r="B357" s="66">
        <f>'Project Database'!B361</f>
        <v/>
      </c>
      <c r="C357" s="66">
        <f>'Project Database'!G361</f>
        <v/>
      </c>
      <c r="D357" s="66">
        <f>'Project Database'!H361</f>
        <v/>
      </c>
      <c r="E357" s="66">
        <f>'Project Database'!I361</f>
        <v/>
      </c>
      <c r="F357" s="66">
        <f>'Project Database'!J361</f>
        <v/>
      </c>
      <c r="G357" s="66">
        <f>'Project Database'!K361</f>
        <v/>
      </c>
      <c r="H357" s="66">
        <f>'Project Database'!L361</f>
        <v/>
      </c>
      <c r="I357" s="66">
        <f>'Project Database'!M361</f>
        <v/>
      </c>
      <c r="J357" s="66">
        <f>'Project Database'!N361</f>
        <v/>
      </c>
      <c r="K357" s="66">
        <f>'Project Database'!O361</f>
        <v/>
      </c>
      <c r="L357" s="66">
        <f>'Project Database'!P361</f>
        <v/>
      </c>
      <c r="M357" s="66">
        <f>'Project Database'!Q361</f>
        <v/>
      </c>
      <c r="N357" s="66">
        <f>'Project Database'!R361</f>
        <v/>
      </c>
      <c r="O357" s="66">
        <f>'Project Database'!S361</f>
        <v/>
      </c>
      <c r="P357" s="66">
        <f>'Project Database'!T361</f>
        <v/>
      </c>
      <c r="Q357" s="66">
        <f>'Project Database'!U361</f>
        <v/>
      </c>
      <c r="R357" s="66">
        <f>'Project Database'!V361</f>
        <v/>
      </c>
      <c r="S357" s="66">
        <f>'Project Database'!W361</f>
        <v/>
      </c>
      <c r="T357" s="66">
        <f>'Project Database'!X361</f>
        <v/>
      </c>
      <c r="U357" s="67">
        <f>'Project Database'!Y361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'Project Database'!Z361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IF(AND('Project Database'!A361&lt;&gt;"",OR('Smart Search'!$L$5="",'Smart Search'!$L$5="All",TRIM('Project Database'!D361)=TRIM('Smart Search'!$L$5)),OR(TRIM('Smart Search'!$L$6)="",TRIM('Smart Search'!$L$6)="All",ISNUMBER(SEARCH(SUBSTITUTE(SUBSTITUTE(SUBSTITUTE(TRIM('Smart Search'!$L$6),"~","~~"),"*","~*"),"?","~?"),'Project Database'!C361))),OR('Smart Search'!$L$7="",AND('Project Database'!E361&lt;&gt;"",'Project Database'!E361='Smart Search'!$L$7)),OR('Smart Search'!$L$8="",'Smart Search'!$L$8="All",TRIM('Project Database'!F361)=TRIM('Smart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IF('Project Database'!A361="","",N('Project Database'!AC361))</f>
        <v/>
      </c>
      <c r="BK357" s="5">
        <f>IF('Project Database'!A361="","",N('Project Database'!AD361))</f>
        <v/>
      </c>
      <c r="BL357" s="5">
        <f>IF('Project Database'!A361="","",N('Project Database'!AE361))</f>
        <v/>
      </c>
      <c r="BM357" s="5">
        <f>IF('Project Database'!A361="","",N('Project Database'!AF361))</f>
        <v/>
      </c>
      <c r="BN357" s="5">
        <f>IF('Project Database'!A361="","",N('Project Database'!AG361))</f>
        <v/>
      </c>
      <c r="BO357" s="5">
        <f>IF('Project Database'!A361="","",N('Project Database'!AH361))</f>
        <v/>
      </c>
      <c r="BP357" s="5">
        <f>IF('Project Database'!A361="","",N('Project Database'!AI361))</f>
        <v/>
      </c>
      <c r="BQ357" s="5">
        <f>IF('Project Database'!A361="","",N('Project Database'!AJ361))</f>
        <v/>
      </c>
      <c r="BR357" s="5">
        <f>IF('Project Database'!A361="","",N('Project Database'!AK361))</f>
        <v/>
      </c>
      <c r="BS357" s="5">
        <f>IF('Project Database'!A361="","",N('Project Database'!AL361))</f>
        <v/>
      </c>
      <c r="BT357" s="5">
        <f>IF('Project Database'!A361="","",N('Project Database'!AM361))</f>
        <v/>
      </c>
      <c r="BU357" s="5">
        <f>IF('Project Database'!A361="","",N('Project Database'!AN361))</f>
        <v/>
      </c>
      <c r="BV357" s="5">
        <f>IF('Project Database'!A361="","",N('Project Database'!AO361))</f>
        <v/>
      </c>
      <c r="BW357" s="5">
        <f>IF('Project Database'!A361="","",N('Project Database'!AP361))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</row>
    <row r="358" ht="15" customHeight="1" s="74">
      <c r="A358" s="66">
        <f>'Project Database'!A362</f>
        <v/>
      </c>
      <c r="B358" s="66">
        <f>'Project Database'!B362</f>
        <v/>
      </c>
      <c r="C358" s="66">
        <f>'Project Database'!G362</f>
        <v/>
      </c>
      <c r="D358" s="66">
        <f>'Project Database'!H362</f>
        <v/>
      </c>
      <c r="E358" s="66">
        <f>'Project Database'!I362</f>
        <v/>
      </c>
      <c r="F358" s="66">
        <f>'Project Database'!J362</f>
        <v/>
      </c>
      <c r="G358" s="66">
        <f>'Project Database'!K362</f>
        <v/>
      </c>
      <c r="H358" s="66">
        <f>'Project Database'!L362</f>
        <v/>
      </c>
      <c r="I358" s="66">
        <f>'Project Database'!M362</f>
        <v/>
      </c>
      <c r="J358" s="66">
        <f>'Project Database'!N362</f>
        <v/>
      </c>
      <c r="K358" s="66">
        <f>'Project Database'!O362</f>
        <v/>
      </c>
      <c r="L358" s="66">
        <f>'Project Database'!P362</f>
        <v/>
      </c>
      <c r="M358" s="66">
        <f>'Project Database'!Q362</f>
        <v/>
      </c>
      <c r="N358" s="66">
        <f>'Project Database'!R362</f>
        <v/>
      </c>
      <c r="O358" s="66">
        <f>'Project Database'!S362</f>
        <v/>
      </c>
      <c r="P358" s="66">
        <f>'Project Database'!T362</f>
        <v/>
      </c>
      <c r="Q358" s="66">
        <f>'Project Database'!U362</f>
        <v/>
      </c>
      <c r="R358" s="66">
        <f>'Project Database'!V362</f>
        <v/>
      </c>
      <c r="S358" s="66">
        <f>'Project Database'!W362</f>
        <v/>
      </c>
      <c r="T358" s="66">
        <f>'Project Database'!X362</f>
        <v/>
      </c>
      <c r="U358" s="67">
        <f>'Project Database'!Y362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'Project Database'!Z362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IF(AND('Project Database'!A362&lt;&gt;"",OR('Smart Search'!$L$5="",'Smart Search'!$L$5="All",TRIM('Project Database'!D362)=TRIM('Smart Search'!$L$5)),OR(TRIM('Smart Search'!$L$6)="",TRIM('Smart Search'!$L$6)="All",ISNUMBER(SEARCH(SUBSTITUTE(SUBSTITUTE(SUBSTITUTE(TRIM('Smart Search'!$L$6),"~","~~"),"*","~*"),"?","~?"),'Project Database'!C362))),OR('Smart Search'!$L$7="",AND('Project Database'!E362&lt;&gt;"",'Project Database'!E362='Smart Search'!$L$7)),OR('Smart Search'!$L$8="",'Smart Search'!$L$8="All",TRIM('Project Database'!F362)=TRIM('Smart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IF('Project Database'!A362="","",N('Project Database'!AC362))</f>
        <v/>
      </c>
      <c r="BK358" s="5">
        <f>IF('Project Database'!A362="","",N('Project Database'!AD362))</f>
        <v/>
      </c>
      <c r="BL358" s="5">
        <f>IF('Project Database'!A362="","",N('Project Database'!AE362))</f>
        <v/>
      </c>
      <c r="BM358" s="5">
        <f>IF('Project Database'!A362="","",N('Project Database'!AF362))</f>
        <v/>
      </c>
      <c r="BN358" s="5">
        <f>IF('Project Database'!A362="","",N('Project Database'!AG362))</f>
        <v/>
      </c>
      <c r="BO358" s="5">
        <f>IF('Project Database'!A362="","",N('Project Database'!AH362))</f>
        <v/>
      </c>
      <c r="BP358" s="5">
        <f>IF('Project Database'!A362="","",N('Project Database'!AI362))</f>
        <v/>
      </c>
      <c r="BQ358" s="5">
        <f>IF('Project Database'!A362="","",N('Project Database'!AJ362))</f>
        <v/>
      </c>
      <c r="BR358" s="5">
        <f>IF('Project Database'!A362="","",N('Project Database'!AK362))</f>
        <v/>
      </c>
      <c r="BS358" s="5">
        <f>IF('Project Database'!A362="","",N('Project Database'!AL362))</f>
        <v/>
      </c>
      <c r="BT358" s="5">
        <f>IF('Project Database'!A362="","",N('Project Database'!AM362))</f>
        <v/>
      </c>
      <c r="BU358" s="5">
        <f>IF('Project Database'!A362="","",N('Project Database'!AN362))</f>
        <v/>
      </c>
      <c r="BV358" s="5">
        <f>IF('Project Database'!A362="","",N('Project Database'!AO362))</f>
        <v/>
      </c>
      <c r="BW358" s="5">
        <f>IF('Project Database'!A362="","",N('Project Database'!AP362))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</row>
    <row r="359" ht="15" customHeight="1" s="74">
      <c r="A359" s="66">
        <f>'Project Database'!A363</f>
        <v/>
      </c>
      <c r="B359" s="66">
        <f>'Project Database'!B363</f>
        <v/>
      </c>
      <c r="C359" s="66">
        <f>'Project Database'!G363</f>
        <v/>
      </c>
      <c r="D359" s="66">
        <f>'Project Database'!H363</f>
        <v/>
      </c>
      <c r="E359" s="66">
        <f>'Project Database'!I363</f>
        <v/>
      </c>
      <c r="F359" s="66">
        <f>'Project Database'!J363</f>
        <v/>
      </c>
      <c r="G359" s="66">
        <f>'Project Database'!K363</f>
        <v/>
      </c>
      <c r="H359" s="66">
        <f>'Project Database'!L363</f>
        <v/>
      </c>
      <c r="I359" s="66">
        <f>'Project Database'!M363</f>
        <v/>
      </c>
      <c r="J359" s="66">
        <f>'Project Database'!N363</f>
        <v/>
      </c>
      <c r="K359" s="66">
        <f>'Project Database'!O363</f>
        <v/>
      </c>
      <c r="L359" s="66">
        <f>'Project Database'!P363</f>
        <v/>
      </c>
      <c r="M359" s="66">
        <f>'Project Database'!Q363</f>
        <v/>
      </c>
      <c r="N359" s="66">
        <f>'Project Database'!R363</f>
        <v/>
      </c>
      <c r="O359" s="66">
        <f>'Project Database'!S363</f>
        <v/>
      </c>
      <c r="P359" s="66">
        <f>'Project Database'!T363</f>
        <v/>
      </c>
      <c r="Q359" s="66">
        <f>'Project Database'!U363</f>
        <v/>
      </c>
      <c r="R359" s="66">
        <f>'Project Database'!V363</f>
        <v/>
      </c>
      <c r="S359" s="66">
        <f>'Project Database'!W363</f>
        <v/>
      </c>
      <c r="T359" s="66">
        <f>'Project Database'!X363</f>
        <v/>
      </c>
      <c r="U359" s="67">
        <f>'Project Database'!Y363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'Project Database'!Z363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IF(AND('Project Database'!A363&lt;&gt;"",OR('Smart Search'!$L$5="",'Smart Search'!$L$5="All",TRIM('Project Database'!D363)=TRIM('Smart Search'!$L$5)),OR(TRIM('Smart Search'!$L$6)="",TRIM('Smart Search'!$L$6)="All",ISNUMBER(SEARCH(SUBSTITUTE(SUBSTITUTE(SUBSTITUTE(TRIM('Smart Search'!$L$6),"~","~~"),"*","~*"),"?","~?"),'Project Database'!C363))),OR('Smart Search'!$L$7="",AND('Project Database'!E363&lt;&gt;"",'Project Database'!E363='Smart Search'!$L$7)),OR('Smart Search'!$L$8="",'Smart Search'!$L$8="All",TRIM('Project Database'!F363)=TRIM('Smart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IF('Project Database'!A363="","",N('Project Database'!AC363))</f>
        <v/>
      </c>
      <c r="BK359" s="5">
        <f>IF('Project Database'!A363="","",N('Project Database'!AD363))</f>
        <v/>
      </c>
      <c r="BL359" s="5">
        <f>IF('Project Database'!A363="","",N('Project Database'!AE363))</f>
        <v/>
      </c>
      <c r="BM359" s="5">
        <f>IF('Project Database'!A363="","",N('Project Database'!AF363))</f>
        <v/>
      </c>
      <c r="BN359" s="5">
        <f>IF('Project Database'!A363="","",N('Project Database'!AG363))</f>
        <v/>
      </c>
      <c r="BO359" s="5">
        <f>IF('Project Database'!A363="","",N('Project Database'!AH363))</f>
        <v/>
      </c>
      <c r="BP359" s="5">
        <f>IF('Project Database'!A363="","",N('Project Database'!AI363))</f>
        <v/>
      </c>
      <c r="BQ359" s="5">
        <f>IF('Project Database'!A363="","",N('Project Database'!AJ363))</f>
        <v/>
      </c>
      <c r="BR359" s="5">
        <f>IF('Project Database'!A363="","",N('Project Database'!AK363))</f>
        <v/>
      </c>
      <c r="BS359" s="5">
        <f>IF('Project Database'!A363="","",N('Project Database'!AL363))</f>
        <v/>
      </c>
      <c r="BT359" s="5">
        <f>IF('Project Database'!A363="","",N('Project Database'!AM363))</f>
        <v/>
      </c>
      <c r="BU359" s="5">
        <f>IF('Project Database'!A363="","",N('Project Database'!AN363))</f>
        <v/>
      </c>
      <c r="BV359" s="5">
        <f>IF('Project Database'!A363="","",N('Project Database'!AO363))</f>
        <v/>
      </c>
      <c r="BW359" s="5">
        <f>IF('Project Database'!A363="","",N('Project Database'!AP363))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</row>
    <row r="360" ht="15" customHeight="1" s="74">
      <c r="A360" s="66">
        <f>'Project Database'!A364</f>
        <v/>
      </c>
      <c r="B360" s="66">
        <f>'Project Database'!B364</f>
        <v/>
      </c>
      <c r="C360" s="66">
        <f>'Project Database'!G364</f>
        <v/>
      </c>
      <c r="D360" s="66">
        <f>'Project Database'!H364</f>
        <v/>
      </c>
      <c r="E360" s="66">
        <f>'Project Database'!I364</f>
        <v/>
      </c>
      <c r="F360" s="66">
        <f>'Project Database'!J364</f>
        <v/>
      </c>
      <c r="G360" s="66">
        <f>'Project Database'!K364</f>
        <v/>
      </c>
      <c r="H360" s="66">
        <f>'Project Database'!L364</f>
        <v/>
      </c>
      <c r="I360" s="66">
        <f>'Project Database'!M364</f>
        <v/>
      </c>
      <c r="J360" s="66">
        <f>'Project Database'!N364</f>
        <v/>
      </c>
      <c r="K360" s="66">
        <f>'Project Database'!O364</f>
        <v/>
      </c>
      <c r="L360" s="66">
        <f>'Project Database'!P364</f>
        <v/>
      </c>
      <c r="M360" s="66">
        <f>'Project Database'!Q364</f>
        <v/>
      </c>
      <c r="N360" s="66">
        <f>'Project Database'!R364</f>
        <v/>
      </c>
      <c r="O360" s="66">
        <f>'Project Database'!S364</f>
        <v/>
      </c>
      <c r="P360" s="66">
        <f>'Project Database'!T364</f>
        <v/>
      </c>
      <c r="Q360" s="66">
        <f>'Project Database'!U364</f>
        <v/>
      </c>
      <c r="R360" s="66">
        <f>'Project Database'!V364</f>
        <v/>
      </c>
      <c r="S360" s="66">
        <f>'Project Database'!W364</f>
        <v/>
      </c>
      <c r="T360" s="66">
        <f>'Project Database'!X364</f>
        <v/>
      </c>
      <c r="U360" s="67">
        <f>'Project Database'!Y364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'Project Database'!Z364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IF(AND('Project Database'!A364&lt;&gt;"",OR('Smart Search'!$L$5="",'Smart Search'!$L$5="All",TRIM('Project Database'!D364)=TRIM('Smart Search'!$L$5)),OR(TRIM('Smart Search'!$L$6)="",TRIM('Smart Search'!$L$6)="All",ISNUMBER(SEARCH(SUBSTITUTE(SUBSTITUTE(SUBSTITUTE(TRIM('Smart Search'!$L$6),"~","~~"),"*","~*"),"?","~?"),'Project Database'!C364))),OR('Smart Search'!$L$7="",AND('Project Database'!E364&lt;&gt;"",'Project Database'!E364='Smart Search'!$L$7)),OR('Smart Search'!$L$8="",'Smart Search'!$L$8="All",TRIM('Project Database'!F364)=TRIM('Smart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IF('Project Database'!A364="","",N('Project Database'!AC364))</f>
        <v/>
      </c>
      <c r="BK360" s="5">
        <f>IF('Project Database'!A364="","",N('Project Database'!AD364))</f>
        <v/>
      </c>
      <c r="BL360" s="5">
        <f>IF('Project Database'!A364="","",N('Project Database'!AE364))</f>
        <v/>
      </c>
      <c r="BM360" s="5">
        <f>IF('Project Database'!A364="","",N('Project Database'!AF364))</f>
        <v/>
      </c>
      <c r="BN360" s="5">
        <f>IF('Project Database'!A364="","",N('Project Database'!AG364))</f>
        <v/>
      </c>
      <c r="BO360" s="5">
        <f>IF('Project Database'!A364="","",N('Project Database'!AH364))</f>
        <v/>
      </c>
      <c r="BP360" s="5">
        <f>IF('Project Database'!A364="","",N('Project Database'!AI364))</f>
        <v/>
      </c>
      <c r="BQ360" s="5">
        <f>IF('Project Database'!A364="","",N('Project Database'!AJ364))</f>
        <v/>
      </c>
      <c r="BR360" s="5">
        <f>IF('Project Database'!A364="","",N('Project Database'!AK364))</f>
        <v/>
      </c>
      <c r="BS360" s="5">
        <f>IF('Project Database'!A364="","",N('Project Database'!AL364))</f>
        <v/>
      </c>
      <c r="BT360" s="5">
        <f>IF('Project Database'!A364="","",N('Project Database'!AM364))</f>
        <v/>
      </c>
      <c r="BU360" s="5">
        <f>IF('Project Database'!A364="","",N('Project Database'!AN364))</f>
        <v/>
      </c>
      <c r="BV360" s="5">
        <f>IF('Project Database'!A364="","",N('Project Database'!AO364))</f>
        <v/>
      </c>
      <c r="BW360" s="5">
        <f>IF('Project Database'!A364="","",N('Project Database'!AP364))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</row>
    <row r="361" ht="15" customHeight="1" s="74">
      <c r="A361" s="66">
        <f>'Project Database'!A365</f>
        <v/>
      </c>
      <c r="B361" s="66">
        <f>'Project Database'!B365</f>
        <v/>
      </c>
      <c r="C361" s="66">
        <f>'Project Database'!G365</f>
        <v/>
      </c>
      <c r="D361" s="66">
        <f>'Project Database'!H365</f>
        <v/>
      </c>
      <c r="E361" s="66">
        <f>'Project Database'!I365</f>
        <v/>
      </c>
      <c r="F361" s="66">
        <f>'Project Database'!J365</f>
        <v/>
      </c>
      <c r="G361" s="66">
        <f>'Project Database'!K365</f>
        <v/>
      </c>
      <c r="H361" s="66">
        <f>'Project Database'!L365</f>
        <v/>
      </c>
      <c r="I361" s="66">
        <f>'Project Database'!M365</f>
        <v/>
      </c>
      <c r="J361" s="66">
        <f>'Project Database'!N365</f>
        <v/>
      </c>
      <c r="K361" s="66">
        <f>'Project Database'!O365</f>
        <v/>
      </c>
      <c r="L361" s="66">
        <f>'Project Database'!P365</f>
        <v/>
      </c>
      <c r="M361" s="66">
        <f>'Project Database'!Q365</f>
        <v/>
      </c>
      <c r="N361" s="66">
        <f>'Project Database'!R365</f>
        <v/>
      </c>
      <c r="O361" s="66">
        <f>'Project Database'!S365</f>
        <v/>
      </c>
      <c r="P361" s="66">
        <f>'Project Database'!T365</f>
        <v/>
      </c>
      <c r="Q361" s="66">
        <f>'Project Database'!U365</f>
        <v/>
      </c>
      <c r="R361" s="66">
        <f>'Project Database'!V365</f>
        <v/>
      </c>
      <c r="S361" s="66">
        <f>'Project Database'!W365</f>
        <v/>
      </c>
      <c r="T361" s="66">
        <f>'Project Database'!X365</f>
        <v/>
      </c>
      <c r="U361" s="67">
        <f>'Project Database'!Y365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'Project Database'!Z365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IF(AND('Project Database'!A365&lt;&gt;"",OR('Smart Search'!$L$5="",'Smart Search'!$L$5="All",TRIM('Project Database'!D365)=TRIM('Smart Search'!$L$5)),OR(TRIM('Smart Search'!$L$6)="",TRIM('Smart Search'!$L$6)="All",ISNUMBER(SEARCH(SUBSTITUTE(SUBSTITUTE(SUBSTITUTE(TRIM('Smart Search'!$L$6),"~","~~"),"*","~*"),"?","~?"),'Project Database'!C365))),OR('Smart Search'!$L$7="",AND('Project Database'!E365&lt;&gt;"",'Project Database'!E365='Smart Search'!$L$7)),OR('Smart Search'!$L$8="",'Smart Search'!$L$8="All",TRIM('Project Database'!F365)=TRIM('Smart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IF('Project Database'!A365="","",N('Project Database'!AC365))</f>
        <v/>
      </c>
      <c r="BK361" s="5">
        <f>IF('Project Database'!A365="","",N('Project Database'!AD365))</f>
        <v/>
      </c>
      <c r="BL361" s="5">
        <f>IF('Project Database'!A365="","",N('Project Database'!AE365))</f>
        <v/>
      </c>
      <c r="BM361" s="5">
        <f>IF('Project Database'!A365="","",N('Project Database'!AF365))</f>
        <v/>
      </c>
      <c r="BN361" s="5">
        <f>IF('Project Database'!A365="","",N('Project Database'!AG365))</f>
        <v/>
      </c>
      <c r="BO361" s="5">
        <f>IF('Project Database'!A365="","",N('Project Database'!AH365))</f>
        <v/>
      </c>
      <c r="BP361" s="5">
        <f>IF('Project Database'!A365="","",N('Project Database'!AI365))</f>
        <v/>
      </c>
      <c r="BQ361" s="5">
        <f>IF('Project Database'!A365="","",N('Project Database'!AJ365))</f>
        <v/>
      </c>
      <c r="BR361" s="5">
        <f>IF('Project Database'!A365="","",N('Project Database'!AK365))</f>
        <v/>
      </c>
      <c r="BS361" s="5">
        <f>IF('Project Database'!A365="","",N('Project Database'!AL365))</f>
        <v/>
      </c>
      <c r="BT361" s="5">
        <f>IF('Project Database'!A365="","",N('Project Database'!AM365))</f>
        <v/>
      </c>
      <c r="BU361" s="5">
        <f>IF('Project Database'!A365="","",N('Project Database'!AN365))</f>
        <v/>
      </c>
      <c r="BV361" s="5">
        <f>IF('Project Database'!A365="","",N('Project Database'!AO365))</f>
        <v/>
      </c>
      <c r="BW361" s="5">
        <f>IF('Project Database'!A365="","",N('Project Database'!AP365))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</row>
    <row r="362" ht="15" customHeight="1" s="74">
      <c r="A362" s="66">
        <f>'Project Database'!A366</f>
        <v/>
      </c>
      <c r="B362" s="66">
        <f>'Project Database'!B366</f>
        <v/>
      </c>
      <c r="C362" s="66">
        <f>'Project Database'!G366</f>
        <v/>
      </c>
      <c r="D362" s="66">
        <f>'Project Database'!H366</f>
        <v/>
      </c>
      <c r="E362" s="66">
        <f>'Project Database'!I366</f>
        <v/>
      </c>
      <c r="F362" s="66">
        <f>'Project Database'!J366</f>
        <v/>
      </c>
      <c r="G362" s="66">
        <f>'Project Database'!K366</f>
        <v/>
      </c>
      <c r="H362" s="66">
        <f>'Project Database'!L366</f>
        <v/>
      </c>
      <c r="I362" s="66">
        <f>'Project Database'!M366</f>
        <v/>
      </c>
      <c r="J362" s="66">
        <f>'Project Database'!N366</f>
        <v/>
      </c>
      <c r="K362" s="66">
        <f>'Project Database'!O366</f>
        <v/>
      </c>
      <c r="L362" s="66">
        <f>'Project Database'!P366</f>
        <v/>
      </c>
      <c r="M362" s="66">
        <f>'Project Database'!Q366</f>
        <v/>
      </c>
      <c r="N362" s="66">
        <f>'Project Database'!R366</f>
        <v/>
      </c>
      <c r="O362" s="66">
        <f>'Project Database'!S366</f>
        <v/>
      </c>
      <c r="P362" s="66">
        <f>'Project Database'!T366</f>
        <v/>
      </c>
      <c r="Q362" s="66">
        <f>'Project Database'!U366</f>
        <v/>
      </c>
      <c r="R362" s="66">
        <f>'Project Database'!V366</f>
        <v/>
      </c>
      <c r="S362" s="66">
        <f>'Project Database'!W366</f>
        <v/>
      </c>
      <c r="T362" s="66">
        <f>'Project Database'!X366</f>
        <v/>
      </c>
      <c r="U362" s="67">
        <f>'Project Database'!Y366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'Project Database'!Z366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IF(AND('Project Database'!A366&lt;&gt;"",OR('Smart Search'!$L$5="",'Smart Search'!$L$5="All",TRIM('Project Database'!D366)=TRIM('Smart Search'!$L$5)),OR(TRIM('Smart Search'!$L$6)="",TRIM('Smart Search'!$L$6)="All",ISNUMBER(SEARCH(SUBSTITUTE(SUBSTITUTE(SUBSTITUTE(TRIM('Smart Search'!$L$6),"~","~~"),"*","~*"),"?","~?"),'Project Database'!C366))),OR('Smart Search'!$L$7="",AND('Project Database'!E366&lt;&gt;"",'Project Database'!E366='Smart Search'!$L$7)),OR('Smart Search'!$L$8="",'Smart Search'!$L$8="All",TRIM('Project Database'!F366)=TRIM('Smart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IF('Project Database'!A366="","",N('Project Database'!AC366))</f>
        <v/>
      </c>
      <c r="BK362" s="5">
        <f>IF('Project Database'!A366="","",N('Project Database'!AD366))</f>
        <v/>
      </c>
      <c r="BL362" s="5">
        <f>IF('Project Database'!A366="","",N('Project Database'!AE366))</f>
        <v/>
      </c>
      <c r="BM362" s="5">
        <f>IF('Project Database'!A366="","",N('Project Database'!AF366))</f>
        <v/>
      </c>
      <c r="BN362" s="5">
        <f>IF('Project Database'!A366="","",N('Project Database'!AG366))</f>
        <v/>
      </c>
      <c r="BO362" s="5">
        <f>IF('Project Database'!A366="","",N('Project Database'!AH366))</f>
        <v/>
      </c>
      <c r="BP362" s="5">
        <f>IF('Project Database'!A366="","",N('Project Database'!AI366))</f>
        <v/>
      </c>
      <c r="BQ362" s="5">
        <f>IF('Project Database'!A366="","",N('Project Database'!AJ366))</f>
        <v/>
      </c>
      <c r="BR362" s="5">
        <f>IF('Project Database'!A366="","",N('Project Database'!AK366))</f>
        <v/>
      </c>
      <c r="BS362" s="5">
        <f>IF('Project Database'!A366="","",N('Project Database'!AL366))</f>
        <v/>
      </c>
      <c r="BT362" s="5">
        <f>IF('Project Database'!A366="","",N('Project Database'!AM366))</f>
        <v/>
      </c>
      <c r="BU362" s="5">
        <f>IF('Project Database'!A366="","",N('Project Database'!AN366))</f>
        <v/>
      </c>
      <c r="BV362" s="5">
        <f>IF('Project Database'!A366="","",N('Project Database'!AO366))</f>
        <v/>
      </c>
      <c r="BW362" s="5">
        <f>IF('Project Database'!A366="","",N('Project Database'!AP366))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</row>
    <row r="363" ht="15" customHeight="1" s="74">
      <c r="A363" s="66">
        <f>'Project Database'!A367</f>
        <v/>
      </c>
      <c r="B363" s="66">
        <f>'Project Database'!B367</f>
        <v/>
      </c>
      <c r="C363" s="66">
        <f>'Project Database'!G367</f>
        <v/>
      </c>
      <c r="D363" s="66">
        <f>'Project Database'!H367</f>
        <v/>
      </c>
      <c r="E363" s="66">
        <f>'Project Database'!I367</f>
        <v/>
      </c>
      <c r="F363" s="66">
        <f>'Project Database'!J367</f>
        <v/>
      </c>
      <c r="G363" s="66">
        <f>'Project Database'!K367</f>
        <v/>
      </c>
      <c r="H363" s="66">
        <f>'Project Database'!L367</f>
        <v/>
      </c>
      <c r="I363" s="66">
        <f>'Project Database'!M367</f>
        <v/>
      </c>
      <c r="J363" s="66">
        <f>'Project Database'!N367</f>
        <v/>
      </c>
      <c r="K363" s="66">
        <f>'Project Database'!O367</f>
        <v/>
      </c>
      <c r="L363" s="66">
        <f>'Project Database'!P367</f>
        <v/>
      </c>
      <c r="M363" s="66">
        <f>'Project Database'!Q367</f>
        <v/>
      </c>
      <c r="N363" s="66">
        <f>'Project Database'!R367</f>
        <v/>
      </c>
      <c r="O363" s="66">
        <f>'Project Database'!S367</f>
        <v/>
      </c>
      <c r="P363" s="66">
        <f>'Project Database'!T367</f>
        <v/>
      </c>
      <c r="Q363" s="66">
        <f>'Project Database'!U367</f>
        <v/>
      </c>
      <c r="R363" s="66">
        <f>'Project Database'!V367</f>
        <v/>
      </c>
      <c r="S363" s="66">
        <f>'Project Database'!W367</f>
        <v/>
      </c>
      <c r="T363" s="66">
        <f>'Project Database'!X367</f>
        <v/>
      </c>
      <c r="U363" s="67">
        <f>'Project Database'!Y367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'Project Database'!Z367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IF(AND('Project Database'!A367&lt;&gt;"",OR('Smart Search'!$L$5="",'Smart Search'!$L$5="All",TRIM('Project Database'!D367)=TRIM('Smart Search'!$L$5)),OR(TRIM('Smart Search'!$L$6)="",TRIM('Smart Search'!$L$6)="All",ISNUMBER(SEARCH(SUBSTITUTE(SUBSTITUTE(SUBSTITUTE(TRIM('Smart Search'!$L$6),"~","~~"),"*","~*"),"?","~?"),'Project Database'!C367))),OR('Smart Search'!$L$7="",AND('Project Database'!E367&lt;&gt;"",'Project Database'!E367='Smart Search'!$L$7)),OR('Smart Search'!$L$8="",'Smart Search'!$L$8="All",TRIM('Project Database'!F367)=TRIM('Smart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IF('Project Database'!A367="","",N('Project Database'!AC367))</f>
        <v/>
      </c>
      <c r="BK363" s="5">
        <f>IF('Project Database'!A367="","",N('Project Database'!AD367))</f>
        <v/>
      </c>
      <c r="BL363" s="5">
        <f>IF('Project Database'!A367="","",N('Project Database'!AE367))</f>
        <v/>
      </c>
      <c r="BM363" s="5">
        <f>IF('Project Database'!A367="","",N('Project Database'!AF367))</f>
        <v/>
      </c>
      <c r="BN363" s="5">
        <f>IF('Project Database'!A367="","",N('Project Database'!AG367))</f>
        <v/>
      </c>
      <c r="BO363" s="5">
        <f>IF('Project Database'!A367="","",N('Project Database'!AH367))</f>
        <v/>
      </c>
      <c r="BP363" s="5">
        <f>IF('Project Database'!A367="","",N('Project Database'!AI367))</f>
        <v/>
      </c>
      <c r="BQ363" s="5">
        <f>IF('Project Database'!A367="","",N('Project Database'!AJ367))</f>
        <v/>
      </c>
      <c r="BR363" s="5">
        <f>IF('Project Database'!A367="","",N('Project Database'!AK367))</f>
        <v/>
      </c>
      <c r="BS363" s="5">
        <f>IF('Project Database'!A367="","",N('Project Database'!AL367))</f>
        <v/>
      </c>
      <c r="BT363" s="5">
        <f>IF('Project Database'!A367="","",N('Project Database'!AM367))</f>
        <v/>
      </c>
      <c r="BU363" s="5">
        <f>IF('Project Database'!A367="","",N('Project Database'!AN367))</f>
        <v/>
      </c>
      <c r="BV363" s="5">
        <f>IF('Project Database'!A367="","",N('Project Database'!AO367))</f>
        <v/>
      </c>
      <c r="BW363" s="5">
        <f>IF('Project Database'!A367="","",N('Project Database'!AP367))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</row>
    <row r="364" ht="15" customHeight="1" s="74">
      <c r="A364" s="66">
        <f>'Project Database'!A368</f>
        <v/>
      </c>
      <c r="B364" s="66">
        <f>'Project Database'!B368</f>
        <v/>
      </c>
      <c r="C364" s="66">
        <f>'Project Database'!G368</f>
        <v/>
      </c>
      <c r="D364" s="66">
        <f>'Project Database'!H368</f>
        <v/>
      </c>
      <c r="E364" s="66">
        <f>'Project Database'!I368</f>
        <v/>
      </c>
      <c r="F364" s="66">
        <f>'Project Database'!J368</f>
        <v/>
      </c>
      <c r="G364" s="66">
        <f>'Project Database'!K368</f>
        <v/>
      </c>
      <c r="H364" s="66">
        <f>'Project Database'!L368</f>
        <v/>
      </c>
      <c r="I364" s="66">
        <f>'Project Database'!M368</f>
        <v/>
      </c>
      <c r="J364" s="66">
        <f>'Project Database'!N368</f>
        <v/>
      </c>
      <c r="K364" s="66">
        <f>'Project Database'!O368</f>
        <v/>
      </c>
      <c r="L364" s="66">
        <f>'Project Database'!P368</f>
        <v/>
      </c>
      <c r="M364" s="66">
        <f>'Project Database'!Q368</f>
        <v/>
      </c>
      <c r="N364" s="66">
        <f>'Project Database'!R368</f>
        <v/>
      </c>
      <c r="O364" s="66">
        <f>'Project Database'!S368</f>
        <v/>
      </c>
      <c r="P364" s="66">
        <f>'Project Database'!T368</f>
        <v/>
      </c>
      <c r="Q364" s="66">
        <f>'Project Database'!U368</f>
        <v/>
      </c>
      <c r="R364" s="66">
        <f>'Project Database'!V368</f>
        <v/>
      </c>
      <c r="S364" s="66">
        <f>'Project Database'!W368</f>
        <v/>
      </c>
      <c r="T364" s="66">
        <f>'Project Database'!X368</f>
        <v/>
      </c>
      <c r="U364" s="67">
        <f>'Project Database'!Y368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'Project Database'!Z368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IF(AND('Project Database'!A368&lt;&gt;"",OR('Smart Search'!$L$5="",'Smart Search'!$L$5="All",TRIM('Project Database'!D368)=TRIM('Smart Search'!$L$5)),OR(TRIM('Smart Search'!$L$6)="",TRIM('Smart Search'!$L$6)="All",ISNUMBER(SEARCH(SUBSTITUTE(SUBSTITUTE(SUBSTITUTE(TRIM('Smart Search'!$L$6),"~","~~"),"*","~*"),"?","~?"),'Project Database'!C368))),OR('Smart Search'!$L$7="",AND('Project Database'!E368&lt;&gt;"",'Project Database'!E368='Smart Search'!$L$7)),OR('Smart Search'!$L$8="",'Smart Search'!$L$8="All",TRIM('Project Database'!F368)=TRIM('Smart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IF('Project Database'!A368="","",N('Project Database'!AC368))</f>
        <v/>
      </c>
      <c r="BK364" s="5">
        <f>IF('Project Database'!A368="","",N('Project Database'!AD368))</f>
        <v/>
      </c>
      <c r="BL364" s="5">
        <f>IF('Project Database'!A368="","",N('Project Database'!AE368))</f>
        <v/>
      </c>
      <c r="BM364" s="5">
        <f>IF('Project Database'!A368="","",N('Project Database'!AF368))</f>
        <v/>
      </c>
      <c r="BN364" s="5">
        <f>IF('Project Database'!A368="","",N('Project Database'!AG368))</f>
        <v/>
      </c>
      <c r="BO364" s="5">
        <f>IF('Project Database'!A368="","",N('Project Database'!AH368))</f>
        <v/>
      </c>
      <c r="BP364" s="5">
        <f>IF('Project Database'!A368="","",N('Project Database'!AI368))</f>
        <v/>
      </c>
      <c r="BQ364" s="5">
        <f>IF('Project Database'!A368="","",N('Project Database'!AJ368))</f>
        <v/>
      </c>
      <c r="BR364" s="5">
        <f>IF('Project Database'!A368="","",N('Project Database'!AK368))</f>
        <v/>
      </c>
      <c r="BS364" s="5">
        <f>IF('Project Database'!A368="","",N('Project Database'!AL368))</f>
        <v/>
      </c>
      <c r="BT364" s="5">
        <f>IF('Project Database'!A368="","",N('Project Database'!AM368))</f>
        <v/>
      </c>
      <c r="BU364" s="5">
        <f>IF('Project Database'!A368="","",N('Project Database'!AN368))</f>
        <v/>
      </c>
      <c r="BV364" s="5">
        <f>IF('Project Database'!A368="","",N('Project Database'!AO368))</f>
        <v/>
      </c>
      <c r="BW364" s="5">
        <f>IF('Project Database'!A368="","",N('Project Database'!AP368))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</row>
    <row r="365" ht="15" customHeight="1" s="74">
      <c r="A365" s="66">
        <f>'Project Database'!A369</f>
        <v/>
      </c>
      <c r="B365" s="66">
        <f>'Project Database'!B369</f>
        <v/>
      </c>
      <c r="C365" s="66">
        <f>'Project Database'!G369</f>
        <v/>
      </c>
      <c r="D365" s="66">
        <f>'Project Database'!H369</f>
        <v/>
      </c>
      <c r="E365" s="66">
        <f>'Project Database'!I369</f>
        <v/>
      </c>
      <c r="F365" s="66">
        <f>'Project Database'!J369</f>
        <v/>
      </c>
      <c r="G365" s="66">
        <f>'Project Database'!K369</f>
        <v/>
      </c>
      <c r="H365" s="66">
        <f>'Project Database'!L369</f>
        <v/>
      </c>
      <c r="I365" s="66">
        <f>'Project Database'!M369</f>
        <v/>
      </c>
      <c r="J365" s="66">
        <f>'Project Database'!N369</f>
        <v/>
      </c>
      <c r="K365" s="66">
        <f>'Project Database'!O369</f>
        <v/>
      </c>
      <c r="L365" s="66">
        <f>'Project Database'!P369</f>
        <v/>
      </c>
      <c r="M365" s="66">
        <f>'Project Database'!Q369</f>
        <v/>
      </c>
      <c r="N365" s="66">
        <f>'Project Database'!R369</f>
        <v/>
      </c>
      <c r="O365" s="66">
        <f>'Project Database'!S369</f>
        <v/>
      </c>
      <c r="P365" s="66">
        <f>'Project Database'!T369</f>
        <v/>
      </c>
      <c r="Q365" s="66">
        <f>'Project Database'!U369</f>
        <v/>
      </c>
      <c r="R365" s="66">
        <f>'Project Database'!V369</f>
        <v/>
      </c>
      <c r="S365" s="66">
        <f>'Project Database'!W369</f>
        <v/>
      </c>
      <c r="T365" s="66">
        <f>'Project Database'!X369</f>
        <v/>
      </c>
      <c r="U365" s="67">
        <f>'Project Database'!Y369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'Project Database'!Z369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IF(AND('Project Database'!A369&lt;&gt;"",OR('Smart Search'!$L$5="",'Smart Search'!$L$5="All",TRIM('Project Database'!D369)=TRIM('Smart Search'!$L$5)),OR(TRIM('Smart Search'!$L$6)="",TRIM('Smart Search'!$L$6)="All",ISNUMBER(SEARCH(SUBSTITUTE(SUBSTITUTE(SUBSTITUTE(TRIM('Smart Search'!$L$6),"~","~~"),"*","~*"),"?","~?"),'Project Database'!C369))),OR('Smart Search'!$L$7="",AND('Project Database'!E369&lt;&gt;"",'Project Database'!E369='Smart Search'!$L$7)),OR('Smart Search'!$L$8="",'Smart Search'!$L$8="All",TRIM('Project Database'!F369)=TRIM('Smart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IF('Project Database'!A369="","",N('Project Database'!AC369))</f>
        <v/>
      </c>
      <c r="BK365" s="5">
        <f>IF('Project Database'!A369="","",N('Project Database'!AD369))</f>
        <v/>
      </c>
      <c r="BL365" s="5">
        <f>IF('Project Database'!A369="","",N('Project Database'!AE369))</f>
        <v/>
      </c>
      <c r="BM365" s="5">
        <f>IF('Project Database'!A369="","",N('Project Database'!AF369))</f>
        <v/>
      </c>
      <c r="BN365" s="5">
        <f>IF('Project Database'!A369="","",N('Project Database'!AG369))</f>
        <v/>
      </c>
      <c r="BO365" s="5">
        <f>IF('Project Database'!A369="","",N('Project Database'!AH369))</f>
        <v/>
      </c>
      <c r="BP365" s="5">
        <f>IF('Project Database'!A369="","",N('Project Database'!AI369))</f>
        <v/>
      </c>
      <c r="BQ365" s="5">
        <f>IF('Project Database'!A369="","",N('Project Database'!AJ369))</f>
        <v/>
      </c>
      <c r="BR365" s="5">
        <f>IF('Project Database'!A369="","",N('Project Database'!AK369))</f>
        <v/>
      </c>
      <c r="BS365" s="5">
        <f>IF('Project Database'!A369="","",N('Project Database'!AL369))</f>
        <v/>
      </c>
      <c r="BT365" s="5">
        <f>IF('Project Database'!A369="","",N('Project Database'!AM369))</f>
        <v/>
      </c>
      <c r="BU365" s="5">
        <f>IF('Project Database'!A369="","",N('Project Database'!AN369))</f>
        <v/>
      </c>
      <c r="BV365" s="5">
        <f>IF('Project Database'!A369="","",N('Project Database'!AO369))</f>
        <v/>
      </c>
      <c r="BW365" s="5">
        <f>IF('Project Database'!A369="","",N('Project Database'!AP369))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</row>
    <row r="366" ht="15" customHeight="1" s="74">
      <c r="A366" s="66">
        <f>'Project Database'!A370</f>
        <v/>
      </c>
      <c r="B366" s="66">
        <f>'Project Database'!B370</f>
        <v/>
      </c>
      <c r="C366" s="66">
        <f>'Project Database'!G370</f>
        <v/>
      </c>
      <c r="D366" s="66">
        <f>'Project Database'!H370</f>
        <v/>
      </c>
      <c r="E366" s="66">
        <f>'Project Database'!I370</f>
        <v/>
      </c>
      <c r="F366" s="66">
        <f>'Project Database'!J370</f>
        <v/>
      </c>
      <c r="G366" s="66">
        <f>'Project Database'!K370</f>
        <v/>
      </c>
      <c r="H366" s="66">
        <f>'Project Database'!L370</f>
        <v/>
      </c>
      <c r="I366" s="66">
        <f>'Project Database'!M370</f>
        <v/>
      </c>
      <c r="J366" s="66">
        <f>'Project Database'!N370</f>
        <v/>
      </c>
      <c r="K366" s="66">
        <f>'Project Database'!O370</f>
        <v/>
      </c>
      <c r="L366" s="66">
        <f>'Project Database'!P370</f>
        <v/>
      </c>
      <c r="M366" s="66">
        <f>'Project Database'!Q370</f>
        <v/>
      </c>
      <c r="N366" s="66">
        <f>'Project Database'!R370</f>
        <v/>
      </c>
      <c r="O366" s="66">
        <f>'Project Database'!S370</f>
        <v/>
      </c>
      <c r="P366" s="66">
        <f>'Project Database'!T370</f>
        <v/>
      </c>
      <c r="Q366" s="66">
        <f>'Project Database'!U370</f>
        <v/>
      </c>
      <c r="R366" s="66">
        <f>'Project Database'!V370</f>
        <v/>
      </c>
      <c r="S366" s="66">
        <f>'Project Database'!W370</f>
        <v/>
      </c>
      <c r="T366" s="66">
        <f>'Project Database'!X370</f>
        <v/>
      </c>
      <c r="U366" s="67">
        <f>'Project Database'!Y370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'Project Database'!Z370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IF(AND('Project Database'!A370&lt;&gt;"",OR('Smart Search'!$L$5="",'Smart Search'!$L$5="All",TRIM('Project Database'!D370)=TRIM('Smart Search'!$L$5)),OR(TRIM('Smart Search'!$L$6)="",TRIM('Smart Search'!$L$6)="All",ISNUMBER(SEARCH(SUBSTITUTE(SUBSTITUTE(SUBSTITUTE(TRIM('Smart Search'!$L$6),"~","~~"),"*","~*"),"?","~?"),'Project Database'!C370))),OR('Smart Search'!$L$7="",AND('Project Database'!E370&lt;&gt;"",'Project Database'!E370='Smart Search'!$L$7)),OR('Smart Search'!$L$8="",'Smart Search'!$L$8="All",TRIM('Project Database'!F370)=TRIM('Smart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IF('Project Database'!A370="","",N('Project Database'!AC370))</f>
        <v/>
      </c>
      <c r="BK366" s="5">
        <f>IF('Project Database'!A370="","",N('Project Database'!AD370))</f>
        <v/>
      </c>
      <c r="BL366" s="5">
        <f>IF('Project Database'!A370="","",N('Project Database'!AE370))</f>
        <v/>
      </c>
      <c r="BM366" s="5">
        <f>IF('Project Database'!A370="","",N('Project Database'!AF370))</f>
        <v/>
      </c>
      <c r="BN366" s="5">
        <f>IF('Project Database'!A370="","",N('Project Database'!AG370))</f>
        <v/>
      </c>
      <c r="BO366" s="5">
        <f>IF('Project Database'!A370="","",N('Project Database'!AH370))</f>
        <v/>
      </c>
      <c r="BP366" s="5">
        <f>IF('Project Database'!A370="","",N('Project Database'!AI370))</f>
        <v/>
      </c>
      <c r="BQ366" s="5">
        <f>IF('Project Database'!A370="","",N('Project Database'!AJ370))</f>
        <v/>
      </c>
      <c r="BR366" s="5">
        <f>IF('Project Database'!A370="","",N('Project Database'!AK370))</f>
        <v/>
      </c>
      <c r="BS366" s="5">
        <f>IF('Project Database'!A370="","",N('Project Database'!AL370))</f>
        <v/>
      </c>
      <c r="BT366" s="5">
        <f>IF('Project Database'!A370="","",N('Project Database'!AM370))</f>
        <v/>
      </c>
      <c r="BU366" s="5">
        <f>IF('Project Database'!A370="","",N('Project Database'!AN370))</f>
        <v/>
      </c>
      <c r="BV366" s="5">
        <f>IF('Project Database'!A370="","",N('Project Database'!AO370))</f>
        <v/>
      </c>
      <c r="BW366" s="5">
        <f>IF('Project Database'!A370="","",N('Project Database'!AP370))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</row>
    <row r="367" ht="15" customHeight="1" s="74">
      <c r="A367" s="66">
        <f>'Project Database'!A371</f>
        <v/>
      </c>
      <c r="B367" s="66">
        <f>'Project Database'!B371</f>
        <v/>
      </c>
      <c r="C367" s="66">
        <f>'Project Database'!G371</f>
        <v/>
      </c>
      <c r="D367" s="66">
        <f>'Project Database'!H371</f>
        <v/>
      </c>
      <c r="E367" s="66">
        <f>'Project Database'!I371</f>
        <v/>
      </c>
      <c r="F367" s="66">
        <f>'Project Database'!J371</f>
        <v/>
      </c>
      <c r="G367" s="66">
        <f>'Project Database'!K371</f>
        <v/>
      </c>
      <c r="H367" s="66">
        <f>'Project Database'!L371</f>
        <v/>
      </c>
      <c r="I367" s="66">
        <f>'Project Database'!M371</f>
        <v/>
      </c>
      <c r="J367" s="66">
        <f>'Project Database'!N371</f>
        <v/>
      </c>
      <c r="K367" s="66">
        <f>'Project Database'!O371</f>
        <v/>
      </c>
      <c r="L367" s="66">
        <f>'Project Database'!P371</f>
        <v/>
      </c>
      <c r="M367" s="66">
        <f>'Project Database'!Q371</f>
        <v/>
      </c>
      <c r="N367" s="66">
        <f>'Project Database'!R371</f>
        <v/>
      </c>
      <c r="O367" s="66">
        <f>'Project Database'!S371</f>
        <v/>
      </c>
      <c r="P367" s="66">
        <f>'Project Database'!T371</f>
        <v/>
      </c>
      <c r="Q367" s="66">
        <f>'Project Database'!U371</f>
        <v/>
      </c>
      <c r="R367" s="66">
        <f>'Project Database'!V371</f>
        <v/>
      </c>
      <c r="S367" s="66">
        <f>'Project Database'!W371</f>
        <v/>
      </c>
      <c r="T367" s="66">
        <f>'Project Database'!X371</f>
        <v/>
      </c>
      <c r="U367" s="67">
        <f>'Project Database'!Y371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'Project Database'!Z371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IF(AND('Project Database'!A371&lt;&gt;"",OR('Smart Search'!$L$5="",'Smart Search'!$L$5="All",TRIM('Project Database'!D371)=TRIM('Smart Search'!$L$5)),OR(TRIM('Smart Search'!$L$6)="",TRIM('Smart Search'!$L$6)="All",ISNUMBER(SEARCH(SUBSTITUTE(SUBSTITUTE(SUBSTITUTE(TRIM('Smart Search'!$L$6),"~","~~"),"*","~*"),"?","~?"),'Project Database'!C371))),OR('Smart Search'!$L$7="",AND('Project Database'!E371&lt;&gt;"",'Project Database'!E371='Smart Search'!$L$7)),OR('Smart Search'!$L$8="",'Smart Search'!$L$8="All",TRIM('Project Database'!F371)=TRIM('Smart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IF('Project Database'!A371="","",N('Project Database'!AC371))</f>
        <v/>
      </c>
      <c r="BK367" s="5">
        <f>IF('Project Database'!A371="","",N('Project Database'!AD371))</f>
        <v/>
      </c>
      <c r="BL367" s="5">
        <f>IF('Project Database'!A371="","",N('Project Database'!AE371))</f>
        <v/>
      </c>
      <c r="BM367" s="5">
        <f>IF('Project Database'!A371="","",N('Project Database'!AF371))</f>
        <v/>
      </c>
      <c r="BN367" s="5">
        <f>IF('Project Database'!A371="","",N('Project Database'!AG371))</f>
        <v/>
      </c>
      <c r="BO367" s="5">
        <f>IF('Project Database'!A371="","",N('Project Database'!AH371))</f>
        <v/>
      </c>
      <c r="BP367" s="5">
        <f>IF('Project Database'!A371="","",N('Project Database'!AI371))</f>
        <v/>
      </c>
      <c r="BQ367" s="5">
        <f>IF('Project Database'!A371="","",N('Project Database'!AJ371))</f>
        <v/>
      </c>
      <c r="BR367" s="5">
        <f>IF('Project Database'!A371="","",N('Project Database'!AK371))</f>
        <v/>
      </c>
      <c r="BS367" s="5">
        <f>IF('Project Database'!A371="","",N('Project Database'!AL371))</f>
        <v/>
      </c>
      <c r="BT367" s="5">
        <f>IF('Project Database'!A371="","",N('Project Database'!AM371))</f>
        <v/>
      </c>
      <c r="BU367" s="5">
        <f>IF('Project Database'!A371="","",N('Project Database'!AN371))</f>
        <v/>
      </c>
      <c r="BV367" s="5">
        <f>IF('Project Database'!A371="","",N('Project Database'!AO371))</f>
        <v/>
      </c>
      <c r="BW367" s="5">
        <f>IF('Project Database'!A371="","",N('Project Database'!AP371))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</row>
    <row r="368" ht="15" customHeight="1" s="74">
      <c r="A368" s="66">
        <f>'Project Database'!A372</f>
        <v/>
      </c>
      <c r="B368" s="66">
        <f>'Project Database'!B372</f>
        <v/>
      </c>
      <c r="C368" s="66">
        <f>'Project Database'!G372</f>
        <v/>
      </c>
      <c r="D368" s="66">
        <f>'Project Database'!H372</f>
        <v/>
      </c>
      <c r="E368" s="66">
        <f>'Project Database'!I372</f>
        <v/>
      </c>
      <c r="F368" s="66">
        <f>'Project Database'!J372</f>
        <v/>
      </c>
      <c r="G368" s="66">
        <f>'Project Database'!K372</f>
        <v/>
      </c>
      <c r="H368" s="66">
        <f>'Project Database'!L372</f>
        <v/>
      </c>
      <c r="I368" s="66">
        <f>'Project Database'!M372</f>
        <v/>
      </c>
      <c r="J368" s="66">
        <f>'Project Database'!N372</f>
        <v/>
      </c>
      <c r="K368" s="66">
        <f>'Project Database'!O372</f>
        <v/>
      </c>
      <c r="L368" s="66">
        <f>'Project Database'!P372</f>
        <v/>
      </c>
      <c r="M368" s="66">
        <f>'Project Database'!Q372</f>
        <v/>
      </c>
      <c r="N368" s="66">
        <f>'Project Database'!R372</f>
        <v/>
      </c>
      <c r="O368" s="66">
        <f>'Project Database'!S372</f>
        <v/>
      </c>
      <c r="P368" s="66">
        <f>'Project Database'!T372</f>
        <v/>
      </c>
      <c r="Q368" s="66">
        <f>'Project Database'!U372</f>
        <v/>
      </c>
      <c r="R368" s="66">
        <f>'Project Database'!V372</f>
        <v/>
      </c>
      <c r="S368" s="66">
        <f>'Project Database'!W372</f>
        <v/>
      </c>
      <c r="T368" s="66">
        <f>'Project Database'!X372</f>
        <v/>
      </c>
      <c r="U368" s="67">
        <f>'Project Database'!Y372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'Project Database'!Z372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IF(AND('Project Database'!A372&lt;&gt;"",OR('Smart Search'!$L$5="",'Smart Search'!$L$5="All",TRIM('Project Database'!D372)=TRIM('Smart Search'!$L$5)),OR(TRIM('Smart Search'!$L$6)="",TRIM('Smart Search'!$L$6)="All",ISNUMBER(SEARCH(SUBSTITUTE(SUBSTITUTE(SUBSTITUTE(TRIM('Smart Search'!$L$6),"~","~~"),"*","~*"),"?","~?"),'Project Database'!C372))),OR('Smart Search'!$L$7="",AND('Project Database'!E372&lt;&gt;"",'Project Database'!E372='Smart Search'!$L$7)),OR('Smart Search'!$L$8="",'Smart Search'!$L$8="All",TRIM('Project Database'!F372)=TRIM('Smart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IF('Project Database'!A372="","",N('Project Database'!AC372))</f>
        <v/>
      </c>
      <c r="BK368" s="5">
        <f>IF('Project Database'!A372="","",N('Project Database'!AD372))</f>
        <v/>
      </c>
      <c r="BL368" s="5">
        <f>IF('Project Database'!A372="","",N('Project Database'!AE372))</f>
        <v/>
      </c>
      <c r="BM368" s="5">
        <f>IF('Project Database'!A372="","",N('Project Database'!AF372))</f>
        <v/>
      </c>
      <c r="BN368" s="5">
        <f>IF('Project Database'!A372="","",N('Project Database'!AG372))</f>
        <v/>
      </c>
      <c r="BO368" s="5">
        <f>IF('Project Database'!A372="","",N('Project Database'!AH372))</f>
        <v/>
      </c>
      <c r="BP368" s="5">
        <f>IF('Project Database'!A372="","",N('Project Database'!AI372))</f>
        <v/>
      </c>
      <c r="BQ368" s="5">
        <f>IF('Project Database'!A372="","",N('Project Database'!AJ372))</f>
        <v/>
      </c>
      <c r="BR368" s="5">
        <f>IF('Project Database'!A372="","",N('Project Database'!AK372))</f>
        <v/>
      </c>
      <c r="BS368" s="5">
        <f>IF('Project Database'!A372="","",N('Project Database'!AL372))</f>
        <v/>
      </c>
      <c r="BT368" s="5">
        <f>IF('Project Database'!A372="","",N('Project Database'!AM372))</f>
        <v/>
      </c>
      <c r="BU368" s="5">
        <f>IF('Project Database'!A372="","",N('Project Database'!AN372))</f>
        <v/>
      </c>
      <c r="BV368" s="5">
        <f>IF('Project Database'!A372="","",N('Project Database'!AO372))</f>
        <v/>
      </c>
      <c r="BW368" s="5">
        <f>IF('Project Database'!A372="","",N('Project Database'!AP372))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</row>
    <row r="369" ht="15" customHeight="1" s="74">
      <c r="A369" s="66">
        <f>'Project Database'!A373</f>
        <v/>
      </c>
      <c r="B369" s="66">
        <f>'Project Database'!B373</f>
        <v/>
      </c>
      <c r="C369" s="66">
        <f>'Project Database'!G373</f>
        <v/>
      </c>
      <c r="D369" s="66">
        <f>'Project Database'!H373</f>
        <v/>
      </c>
      <c r="E369" s="66">
        <f>'Project Database'!I373</f>
        <v/>
      </c>
      <c r="F369" s="66">
        <f>'Project Database'!J373</f>
        <v/>
      </c>
      <c r="G369" s="66">
        <f>'Project Database'!K373</f>
        <v/>
      </c>
      <c r="H369" s="66">
        <f>'Project Database'!L373</f>
        <v/>
      </c>
      <c r="I369" s="66">
        <f>'Project Database'!M373</f>
        <v/>
      </c>
      <c r="J369" s="66">
        <f>'Project Database'!N373</f>
        <v/>
      </c>
      <c r="K369" s="66">
        <f>'Project Database'!O373</f>
        <v/>
      </c>
      <c r="L369" s="66">
        <f>'Project Database'!P373</f>
        <v/>
      </c>
      <c r="M369" s="66">
        <f>'Project Database'!Q373</f>
        <v/>
      </c>
      <c r="N369" s="66">
        <f>'Project Database'!R373</f>
        <v/>
      </c>
      <c r="O369" s="66">
        <f>'Project Database'!S373</f>
        <v/>
      </c>
      <c r="P369" s="66">
        <f>'Project Database'!T373</f>
        <v/>
      </c>
      <c r="Q369" s="66">
        <f>'Project Database'!U373</f>
        <v/>
      </c>
      <c r="R369" s="66">
        <f>'Project Database'!V373</f>
        <v/>
      </c>
      <c r="S369" s="66">
        <f>'Project Database'!W373</f>
        <v/>
      </c>
      <c r="T369" s="66">
        <f>'Project Database'!X373</f>
        <v/>
      </c>
      <c r="U369" s="67">
        <f>'Project Database'!Y373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'Project Database'!Z373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IF(AND('Project Database'!A373&lt;&gt;"",OR('Smart Search'!$L$5="",'Smart Search'!$L$5="All",TRIM('Project Database'!D373)=TRIM('Smart Search'!$L$5)),OR(TRIM('Smart Search'!$L$6)="",TRIM('Smart Search'!$L$6)="All",ISNUMBER(SEARCH(SUBSTITUTE(SUBSTITUTE(SUBSTITUTE(TRIM('Smart Search'!$L$6),"~","~~"),"*","~*"),"?","~?"),'Project Database'!C373))),OR('Smart Search'!$L$7="",AND('Project Database'!E373&lt;&gt;"",'Project Database'!E373='Smart Search'!$L$7)),OR('Smart Search'!$L$8="",'Smart Search'!$L$8="All",TRIM('Project Database'!F373)=TRIM('Smart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IF('Project Database'!A373="","",N('Project Database'!AC373))</f>
        <v/>
      </c>
      <c r="BK369" s="5">
        <f>IF('Project Database'!A373="","",N('Project Database'!AD373))</f>
        <v/>
      </c>
      <c r="BL369" s="5">
        <f>IF('Project Database'!A373="","",N('Project Database'!AE373))</f>
        <v/>
      </c>
      <c r="BM369" s="5">
        <f>IF('Project Database'!A373="","",N('Project Database'!AF373))</f>
        <v/>
      </c>
      <c r="BN369" s="5">
        <f>IF('Project Database'!A373="","",N('Project Database'!AG373))</f>
        <v/>
      </c>
      <c r="BO369" s="5">
        <f>IF('Project Database'!A373="","",N('Project Database'!AH373))</f>
        <v/>
      </c>
      <c r="BP369" s="5">
        <f>IF('Project Database'!A373="","",N('Project Database'!AI373))</f>
        <v/>
      </c>
      <c r="BQ369" s="5">
        <f>IF('Project Database'!A373="","",N('Project Database'!AJ373))</f>
        <v/>
      </c>
      <c r="BR369" s="5">
        <f>IF('Project Database'!A373="","",N('Project Database'!AK373))</f>
        <v/>
      </c>
      <c r="BS369" s="5">
        <f>IF('Project Database'!A373="","",N('Project Database'!AL373))</f>
        <v/>
      </c>
      <c r="BT369" s="5">
        <f>IF('Project Database'!A373="","",N('Project Database'!AM373))</f>
        <v/>
      </c>
      <c r="BU369" s="5">
        <f>IF('Project Database'!A373="","",N('Project Database'!AN373))</f>
        <v/>
      </c>
      <c r="BV369" s="5">
        <f>IF('Project Database'!A373="","",N('Project Database'!AO373))</f>
        <v/>
      </c>
      <c r="BW369" s="5">
        <f>IF('Project Database'!A373="","",N('Project Database'!AP373))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</row>
    <row r="370" ht="15" customHeight="1" s="74">
      <c r="A370" s="66">
        <f>'Project Database'!A374</f>
        <v/>
      </c>
      <c r="B370" s="66">
        <f>'Project Database'!B374</f>
        <v/>
      </c>
      <c r="C370" s="66">
        <f>'Project Database'!G374</f>
        <v/>
      </c>
      <c r="D370" s="66">
        <f>'Project Database'!H374</f>
        <v/>
      </c>
      <c r="E370" s="66">
        <f>'Project Database'!I374</f>
        <v/>
      </c>
      <c r="F370" s="66">
        <f>'Project Database'!J374</f>
        <v/>
      </c>
      <c r="G370" s="66">
        <f>'Project Database'!K374</f>
        <v/>
      </c>
      <c r="H370" s="66">
        <f>'Project Database'!L374</f>
        <v/>
      </c>
      <c r="I370" s="66">
        <f>'Project Database'!M374</f>
        <v/>
      </c>
      <c r="J370" s="66">
        <f>'Project Database'!N374</f>
        <v/>
      </c>
      <c r="K370" s="66">
        <f>'Project Database'!O374</f>
        <v/>
      </c>
      <c r="L370" s="66">
        <f>'Project Database'!P374</f>
        <v/>
      </c>
      <c r="M370" s="66">
        <f>'Project Database'!Q374</f>
        <v/>
      </c>
      <c r="N370" s="66">
        <f>'Project Database'!R374</f>
        <v/>
      </c>
      <c r="O370" s="66">
        <f>'Project Database'!S374</f>
        <v/>
      </c>
      <c r="P370" s="66">
        <f>'Project Database'!T374</f>
        <v/>
      </c>
      <c r="Q370" s="66">
        <f>'Project Database'!U374</f>
        <v/>
      </c>
      <c r="R370" s="66">
        <f>'Project Database'!V374</f>
        <v/>
      </c>
      <c r="S370" s="66">
        <f>'Project Database'!W374</f>
        <v/>
      </c>
      <c r="T370" s="66">
        <f>'Project Database'!X374</f>
        <v/>
      </c>
      <c r="U370" s="67">
        <f>'Project Database'!Y374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'Project Database'!Z374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IF(AND('Project Database'!A374&lt;&gt;"",OR('Smart Search'!$L$5="",'Smart Search'!$L$5="All",TRIM('Project Database'!D374)=TRIM('Smart Search'!$L$5)),OR(TRIM('Smart Search'!$L$6)="",TRIM('Smart Search'!$L$6)="All",ISNUMBER(SEARCH(SUBSTITUTE(SUBSTITUTE(SUBSTITUTE(TRIM('Smart Search'!$L$6),"~","~~"),"*","~*"),"?","~?"),'Project Database'!C374))),OR('Smart Search'!$L$7="",AND('Project Database'!E374&lt;&gt;"",'Project Database'!E374='Smart Search'!$L$7)),OR('Smart Search'!$L$8="",'Smart Search'!$L$8="All",TRIM('Project Database'!F374)=TRIM('Smart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IF('Project Database'!A374="","",N('Project Database'!AC374))</f>
        <v/>
      </c>
      <c r="BK370" s="5">
        <f>IF('Project Database'!A374="","",N('Project Database'!AD374))</f>
        <v/>
      </c>
      <c r="BL370" s="5">
        <f>IF('Project Database'!A374="","",N('Project Database'!AE374))</f>
        <v/>
      </c>
      <c r="BM370" s="5">
        <f>IF('Project Database'!A374="","",N('Project Database'!AF374))</f>
        <v/>
      </c>
      <c r="BN370" s="5">
        <f>IF('Project Database'!A374="","",N('Project Database'!AG374))</f>
        <v/>
      </c>
      <c r="BO370" s="5">
        <f>IF('Project Database'!A374="","",N('Project Database'!AH374))</f>
        <v/>
      </c>
      <c r="BP370" s="5">
        <f>IF('Project Database'!A374="","",N('Project Database'!AI374))</f>
        <v/>
      </c>
      <c r="BQ370" s="5">
        <f>IF('Project Database'!A374="","",N('Project Database'!AJ374))</f>
        <v/>
      </c>
      <c r="BR370" s="5">
        <f>IF('Project Database'!A374="","",N('Project Database'!AK374))</f>
        <v/>
      </c>
      <c r="BS370" s="5">
        <f>IF('Project Database'!A374="","",N('Project Database'!AL374))</f>
        <v/>
      </c>
      <c r="BT370" s="5">
        <f>IF('Project Database'!A374="","",N('Project Database'!AM374))</f>
        <v/>
      </c>
      <c r="BU370" s="5">
        <f>IF('Project Database'!A374="","",N('Project Database'!AN374))</f>
        <v/>
      </c>
      <c r="BV370" s="5">
        <f>IF('Project Database'!A374="","",N('Project Database'!AO374))</f>
        <v/>
      </c>
      <c r="BW370" s="5">
        <f>IF('Project Database'!A374="","",N('Project Database'!AP374))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</row>
    <row r="371" ht="15" customHeight="1" s="74">
      <c r="A371" s="66">
        <f>'Project Database'!A375</f>
        <v/>
      </c>
      <c r="B371" s="66">
        <f>'Project Database'!B375</f>
        <v/>
      </c>
      <c r="C371" s="66">
        <f>'Project Database'!G375</f>
        <v/>
      </c>
      <c r="D371" s="66">
        <f>'Project Database'!H375</f>
        <v/>
      </c>
      <c r="E371" s="66">
        <f>'Project Database'!I375</f>
        <v/>
      </c>
      <c r="F371" s="66">
        <f>'Project Database'!J375</f>
        <v/>
      </c>
      <c r="G371" s="66">
        <f>'Project Database'!K375</f>
        <v/>
      </c>
      <c r="H371" s="66">
        <f>'Project Database'!L375</f>
        <v/>
      </c>
      <c r="I371" s="66">
        <f>'Project Database'!M375</f>
        <v/>
      </c>
      <c r="J371" s="66">
        <f>'Project Database'!N375</f>
        <v/>
      </c>
      <c r="K371" s="66">
        <f>'Project Database'!O375</f>
        <v/>
      </c>
      <c r="L371" s="66">
        <f>'Project Database'!P375</f>
        <v/>
      </c>
      <c r="M371" s="66">
        <f>'Project Database'!Q375</f>
        <v/>
      </c>
      <c r="N371" s="66">
        <f>'Project Database'!R375</f>
        <v/>
      </c>
      <c r="O371" s="66">
        <f>'Project Database'!S375</f>
        <v/>
      </c>
      <c r="P371" s="66">
        <f>'Project Database'!T375</f>
        <v/>
      </c>
      <c r="Q371" s="66">
        <f>'Project Database'!U375</f>
        <v/>
      </c>
      <c r="R371" s="66">
        <f>'Project Database'!V375</f>
        <v/>
      </c>
      <c r="S371" s="66">
        <f>'Project Database'!W375</f>
        <v/>
      </c>
      <c r="T371" s="66">
        <f>'Project Database'!X375</f>
        <v/>
      </c>
      <c r="U371" s="67">
        <f>'Project Database'!Y375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'Project Database'!Z375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IF(AND('Project Database'!A375&lt;&gt;"",OR('Smart Search'!$L$5="",'Smart Search'!$L$5="All",TRIM('Project Database'!D375)=TRIM('Smart Search'!$L$5)),OR(TRIM('Smart Search'!$L$6)="",TRIM('Smart Search'!$L$6)="All",ISNUMBER(SEARCH(SUBSTITUTE(SUBSTITUTE(SUBSTITUTE(TRIM('Smart Search'!$L$6),"~","~~"),"*","~*"),"?","~?"),'Project Database'!C375))),OR('Smart Search'!$L$7="",AND('Project Database'!E375&lt;&gt;"",'Project Database'!E375='Smart Search'!$L$7)),OR('Smart Search'!$L$8="",'Smart Search'!$L$8="All",TRIM('Project Database'!F375)=TRIM('Smart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IF('Project Database'!A375="","",N('Project Database'!AC375))</f>
        <v/>
      </c>
      <c r="BK371" s="5">
        <f>IF('Project Database'!A375="","",N('Project Database'!AD375))</f>
        <v/>
      </c>
      <c r="BL371" s="5">
        <f>IF('Project Database'!A375="","",N('Project Database'!AE375))</f>
        <v/>
      </c>
      <c r="BM371" s="5">
        <f>IF('Project Database'!A375="","",N('Project Database'!AF375))</f>
        <v/>
      </c>
      <c r="BN371" s="5">
        <f>IF('Project Database'!A375="","",N('Project Database'!AG375))</f>
        <v/>
      </c>
      <c r="BO371" s="5">
        <f>IF('Project Database'!A375="","",N('Project Database'!AH375))</f>
        <v/>
      </c>
      <c r="BP371" s="5">
        <f>IF('Project Database'!A375="","",N('Project Database'!AI375))</f>
        <v/>
      </c>
      <c r="BQ371" s="5">
        <f>IF('Project Database'!A375="","",N('Project Database'!AJ375))</f>
        <v/>
      </c>
      <c r="BR371" s="5">
        <f>IF('Project Database'!A375="","",N('Project Database'!AK375))</f>
        <v/>
      </c>
      <c r="BS371" s="5">
        <f>IF('Project Database'!A375="","",N('Project Database'!AL375))</f>
        <v/>
      </c>
      <c r="BT371" s="5">
        <f>IF('Project Database'!A375="","",N('Project Database'!AM375))</f>
        <v/>
      </c>
      <c r="BU371" s="5">
        <f>IF('Project Database'!A375="","",N('Project Database'!AN375))</f>
        <v/>
      </c>
      <c r="BV371" s="5">
        <f>IF('Project Database'!A375="","",N('Project Database'!AO375))</f>
        <v/>
      </c>
      <c r="BW371" s="5">
        <f>IF('Project Database'!A375="","",N('Project Database'!AP375))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</row>
    <row r="372" ht="15" customHeight="1" s="74">
      <c r="A372" s="66">
        <f>'Project Database'!A376</f>
        <v/>
      </c>
      <c r="B372" s="66">
        <f>'Project Database'!B376</f>
        <v/>
      </c>
      <c r="C372" s="66">
        <f>'Project Database'!G376</f>
        <v/>
      </c>
      <c r="D372" s="66">
        <f>'Project Database'!H376</f>
        <v/>
      </c>
      <c r="E372" s="66">
        <f>'Project Database'!I376</f>
        <v/>
      </c>
      <c r="F372" s="66">
        <f>'Project Database'!J376</f>
        <v/>
      </c>
      <c r="G372" s="66">
        <f>'Project Database'!K376</f>
        <v/>
      </c>
      <c r="H372" s="66">
        <f>'Project Database'!L376</f>
        <v/>
      </c>
      <c r="I372" s="66">
        <f>'Project Database'!M376</f>
        <v/>
      </c>
      <c r="J372" s="66">
        <f>'Project Database'!N376</f>
        <v/>
      </c>
      <c r="K372" s="66">
        <f>'Project Database'!O376</f>
        <v/>
      </c>
      <c r="L372" s="66">
        <f>'Project Database'!P376</f>
        <v/>
      </c>
      <c r="M372" s="66">
        <f>'Project Database'!Q376</f>
        <v/>
      </c>
      <c r="N372" s="66">
        <f>'Project Database'!R376</f>
        <v/>
      </c>
      <c r="O372" s="66">
        <f>'Project Database'!S376</f>
        <v/>
      </c>
      <c r="P372" s="66">
        <f>'Project Database'!T376</f>
        <v/>
      </c>
      <c r="Q372" s="66">
        <f>'Project Database'!U376</f>
        <v/>
      </c>
      <c r="R372" s="66">
        <f>'Project Database'!V376</f>
        <v/>
      </c>
      <c r="S372" s="66">
        <f>'Project Database'!W376</f>
        <v/>
      </c>
      <c r="T372" s="66">
        <f>'Project Database'!X376</f>
        <v/>
      </c>
      <c r="U372" s="67">
        <f>'Project Database'!Y376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'Project Database'!Z376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IF(AND('Project Database'!A376&lt;&gt;"",OR('Smart Search'!$L$5="",'Smart Search'!$L$5="All",TRIM('Project Database'!D376)=TRIM('Smart Search'!$L$5)),OR(TRIM('Smart Search'!$L$6)="",TRIM('Smart Search'!$L$6)="All",ISNUMBER(SEARCH(SUBSTITUTE(SUBSTITUTE(SUBSTITUTE(TRIM('Smart Search'!$L$6),"~","~~"),"*","~*"),"?","~?"),'Project Database'!C376))),OR('Smart Search'!$L$7="",AND('Project Database'!E376&lt;&gt;"",'Project Database'!E376='Smart Search'!$L$7)),OR('Smart Search'!$L$8="",'Smart Search'!$L$8="All",TRIM('Project Database'!F376)=TRIM('Smart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IF('Project Database'!A376="","",N('Project Database'!AC376))</f>
        <v/>
      </c>
      <c r="BK372" s="5">
        <f>IF('Project Database'!A376="","",N('Project Database'!AD376))</f>
        <v/>
      </c>
      <c r="BL372" s="5">
        <f>IF('Project Database'!A376="","",N('Project Database'!AE376))</f>
        <v/>
      </c>
      <c r="BM372" s="5">
        <f>IF('Project Database'!A376="","",N('Project Database'!AF376))</f>
        <v/>
      </c>
      <c r="BN372" s="5">
        <f>IF('Project Database'!A376="","",N('Project Database'!AG376))</f>
        <v/>
      </c>
      <c r="BO372" s="5">
        <f>IF('Project Database'!A376="","",N('Project Database'!AH376))</f>
        <v/>
      </c>
      <c r="BP372" s="5">
        <f>IF('Project Database'!A376="","",N('Project Database'!AI376))</f>
        <v/>
      </c>
      <c r="BQ372" s="5">
        <f>IF('Project Database'!A376="","",N('Project Database'!AJ376))</f>
        <v/>
      </c>
      <c r="BR372" s="5">
        <f>IF('Project Database'!A376="","",N('Project Database'!AK376))</f>
        <v/>
      </c>
      <c r="BS372" s="5">
        <f>IF('Project Database'!A376="","",N('Project Database'!AL376))</f>
        <v/>
      </c>
      <c r="BT372" s="5">
        <f>IF('Project Database'!A376="","",N('Project Database'!AM376))</f>
        <v/>
      </c>
      <c r="BU372" s="5">
        <f>IF('Project Database'!A376="","",N('Project Database'!AN376))</f>
        <v/>
      </c>
      <c r="BV372" s="5">
        <f>IF('Project Database'!A376="","",N('Project Database'!AO376))</f>
        <v/>
      </c>
      <c r="BW372" s="5">
        <f>IF('Project Database'!A376="","",N('Project Database'!AP376))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</row>
    <row r="373" ht="15" customHeight="1" s="74">
      <c r="A373" s="66">
        <f>'Project Database'!A377</f>
        <v/>
      </c>
      <c r="B373" s="66">
        <f>'Project Database'!B377</f>
        <v/>
      </c>
      <c r="C373" s="66">
        <f>'Project Database'!G377</f>
        <v/>
      </c>
      <c r="D373" s="66">
        <f>'Project Database'!H377</f>
        <v/>
      </c>
      <c r="E373" s="66">
        <f>'Project Database'!I377</f>
        <v/>
      </c>
      <c r="F373" s="66">
        <f>'Project Database'!J377</f>
        <v/>
      </c>
      <c r="G373" s="66">
        <f>'Project Database'!K377</f>
        <v/>
      </c>
      <c r="H373" s="66">
        <f>'Project Database'!L377</f>
        <v/>
      </c>
      <c r="I373" s="66">
        <f>'Project Database'!M377</f>
        <v/>
      </c>
      <c r="J373" s="66">
        <f>'Project Database'!N377</f>
        <v/>
      </c>
      <c r="K373" s="66">
        <f>'Project Database'!O377</f>
        <v/>
      </c>
      <c r="L373" s="66">
        <f>'Project Database'!P377</f>
        <v/>
      </c>
      <c r="M373" s="66">
        <f>'Project Database'!Q377</f>
        <v/>
      </c>
      <c r="N373" s="66">
        <f>'Project Database'!R377</f>
        <v/>
      </c>
      <c r="O373" s="66">
        <f>'Project Database'!S377</f>
        <v/>
      </c>
      <c r="P373" s="66">
        <f>'Project Database'!T377</f>
        <v/>
      </c>
      <c r="Q373" s="66">
        <f>'Project Database'!U377</f>
        <v/>
      </c>
      <c r="R373" s="66">
        <f>'Project Database'!V377</f>
        <v/>
      </c>
      <c r="S373" s="66">
        <f>'Project Database'!W377</f>
        <v/>
      </c>
      <c r="T373" s="66">
        <f>'Project Database'!X377</f>
        <v/>
      </c>
      <c r="U373" s="67">
        <f>'Project Database'!Y377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'Project Database'!Z377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IF(AND('Project Database'!A377&lt;&gt;"",OR('Smart Search'!$L$5="",'Smart Search'!$L$5="All",TRIM('Project Database'!D377)=TRIM('Smart Search'!$L$5)),OR(TRIM('Smart Search'!$L$6)="",TRIM('Smart Search'!$L$6)="All",ISNUMBER(SEARCH(SUBSTITUTE(SUBSTITUTE(SUBSTITUTE(TRIM('Smart Search'!$L$6),"~","~~"),"*","~*"),"?","~?"),'Project Database'!C377))),OR('Smart Search'!$L$7="",AND('Project Database'!E377&lt;&gt;"",'Project Database'!E377='Smart Search'!$L$7)),OR('Smart Search'!$L$8="",'Smart Search'!$L$8="All",TRIM('Project Database'!F377)=TRIM('Smart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IF('Project Database'!A377="","",N('Project Database'!AC377))</f>
        <v/>
      </c>
      <c r="BK373" s="5">
        <f>IF('Project Database'!A377="","",N('Project Database'!AD377))</f>
        <v/>
      </c>
      <c r="BL373" s="5">
        <f>IF('Project Database'!A377="","",N('Project Database'!AE377))</f>
        <v/>
      </c>
      <c r="BM373" s="5">
        <f>IF('Project Database'!A377="","",N('Project Database'!AF377))</f>
        <v/>
      </c>
      <c r="BN373" s="5">
        <f>IF('Project Database'!A377="","",N('Project Database'!AG377))</f>
        <v/>
      </c>
      <c r="BO373" s="5">
        <f>IF('Project Database'!A377="","",N('Project Database'!AH377))</f>
        <v/>
      </c>
      <c r="BP373" s="5">
        <f>IF('Project Database'!A377="","",N('Project Database'!AI377))</f>
        <v/>
      </c>
      <c r="BQ373" s="5">
        <f>IF('Project Database'!A377="","",N('Project Database'!AJ377))</f>
        <v/>
      </c>
      <c r="BR373" s="5">
        <f>IF('Project Database'!A377="","",N('Project Database'!AK377))</f>
        <v/>
      </c>
      <c r="BS373" s="5">
        <f>IF('Project Database'!A377="","",N('Project Database'!AL377))</f>
        <v/>
      </c>
      <c r="BT373" s="5">
        <f>IF('Project Database'!A377="","",N('Project Database'!AM377))</f>
        <v/>
      </c>
      <c r="BU373" s="5">
        <f>IF('Project Database'!A377="","",N('Project Database'!AN377))</f>
        <v/>
      </c>
      <c r="BV373" s="5">
        <f>IF('Project Database'!A377="","",N('Project Database'!AO377))</f>
        <v/>
      </c>
      <c r="BW373" s="5">
        <f>IF('Project Database'!A377="","",N('Project Database'!AP377))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</row>
    <row r="374" ht="15" customHeight="1" s="74">
      <c r="A374" s="66">
        <f>'Project Database'!A378</f>
        <v/>
      </c>
      <c r="B374" s="66">
        <f>'Project Database'!B378</f>
        <v/>
      </c>
      <c r="C374" s="66">
        <f>'Project Database'!G378</f>
        <v/>
      </c>
      <c r="D374" s="66">
        <f>'Project Database'!H378</f>
        <v/>
      </c>
      <c r="E374" s="66">
        <f>'Project Database'!I378</f>
        <v/>
      </c>
      <c r="F374" s="66">
        <f>'Project Database'!J378</f>
        <v/>
      </c>
      <c r="G374" s="66">
        <f>'Project Database'!K378</f>
        <v/>
      </c>
      <c r="H374" s="66">
        <f>'Project Database'!L378</f>
        <v/>
      </c>
      <c r="I374" s="66">
        <f>'Project Database'!M378</f>
        <v/>
      </c>
      <c r="J374" s="66">
        <f>'Project Database'!N378</f>
        <v/>
      </c>
      <c r="K374" s="66">
        <f>'Project Database'!O378</f>
        <v/>
      </c>
      <c r="L374" s="66">
        <f>'Project Database'!P378</f>
        <v/>
      </c>
      <c r="M374" s="66">
        <f>'Project Database'!Q378</f>
        <v/>
      </c>
      <c r="N374" s="66">
        <f>'Project Database'!R378</f>
        <v/>
      </c>
      <c r="O374" s="66">
        <f>'Project Database'!S378</f>
        <v/>
      </c>
      <c r="P374" s="66">
        <f>'Project Database'!T378</f>
        <v/>
      </c>
      <c r="Q374" s="66">
        <f>'Project Database'!U378</f>
        <v/>
      </c>
      <c r="R374" s="66">
        <f>'Project Database'!V378</f>
        <v/>
      </c>
      <c r="S374" s="66">
        <f>'Project Database'!W378</f>
        <v/>
      </c>
      <c r="T374" s="66">
        <f>'Project Database'!X378</f>
        <v/>
      </c>
      <c r="U374" s="67">
        <f>'Project Database'!Y378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'Project Database'!Z378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IF(AND('Project Database'!A378&lt;&gt;"",OR('Smart Search'!$L$5="",'Smart Search'!$L$5="All",TRIM('Project Database'!D378)=TRIM('Smart Search'!$L$5)),OR(TRIM('Smart Search'!$L$6)="",TRIM('Smart Search'!$L$6)="All",ISNUMBER(SEARCH(SUBSTITUTE(SUBSTITUTE(SUBSTITUTE(TRIM('Smart Search'!$L$6),"~","~~"),"*","~*"),"?","~?"),'Project Database'!C378))),OR('Smart Search'!$L$7="",AND('Project Database'!E378&lt;&gt;"",'Project Database'!E378='Smart Search'!$L$7)),OR('Smart Search'!$L$8="",'Smart Search'!$L$8="All",TRIM('Project Database'!F378)=TRIM('Smart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IF('Project Database'!A378="","",N('Project Database'!AC378))</f>
        <v/>
      </c>
      <c r="BK374" s="5">
        <f>IF('Project Database'!A378="","",N('Project Database'!AD378))</f>
        <v/>
      </c>
      <c r="BL374" s="5">
        <f>IF('Project Database'!A378="","",N('Project Database'!AE378))</f>
        <v/>
      </c>
      <c r="BM374" s="5">
        <f>IF('Project Database'!A378="","",N('Project Database'!AF378))</f>
        <v/>
      </c>
      <c r="BN374" s="5">
        <f>IF('Project Database'!A378="","",N('Project Database'!AG378))</f>
        <v/>
      </c>
      <c r="BO374" s="5">
        <f>IF('Project Database'!A378="","",N('Project Database'!AH378))</f>
        <v/>
      </c>
      <c r="BP374" s="5">
        <f>IF('Project Database'!A378="","",N('Project Database'!AI378))</f>
        <v/>
      </c>
      <c r="BQ374" s="5">
        <f>IF('Project Database'!A378="","",N('Project Database'!AJ378))</f>
        <v/>
      </c>
      <c r="BR374" s="5">
        <f>IF('Project Database'!A378="","",N('Project Database'!AK378))</f>
        <v/>
      </c>
      <c r="BS374" s="5">
        <f>IF('Project Database'!A378="","",N('Project Database'!AL378))</f>
        <v/>
      </c>
      <c r="BT374" s="5">
        <f>IF('Project Database'!A378="","",N('Project Database'!AM378))</f>
        <v/>
      </c>
      <c r="BU374" s="5">
        <f>IF('Project Database'!A378="","",N('Project Database'!AN378))</f>
        <v/>
      </c>
      <c r="BV374" s="5">
        <f>IF('Project Database'!A378="","",N('Project Database'!AO378))</f>
        <v/>
      </c>
      <c r="BW374" s="5">
        <f>IF('Project Database'!A378="","",N('Project Database'!AP378))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</row>
    <row r="375" ht="15" customHeight="1" s="74">
      <c r="A375" s="66">
        <f>'Project Database'!A379</f>
        <v/>
      </c>
      <c r="B375" s="66">
        <f>'Project Database'!B379</f>
        <v/>
      </c>
      <c r="C375" s="66">
        <f>'Project Database'!G379</f>
        <v/>
      </c>
      <c r="D375" s="66">
        <f>'Project Database'!H379</f>
        <v/>
      </c>
      <c r="E375" s="66">
        <f>'Project Database'!I379</f>
        <v/>
      </c>
      <c r="F375" s="66">
        <f>'Project Database'!J379</f>
        <v/>
      </c>
      <c r="G375" s="66">
        <f>'Project Database'!K379</f>
        <v/>
      </c>
      <c r="H375" s="66">
        <f>'Project Database'!L379</f>
        <v/>
      </c>
      <c r="I375" s="66">
        <f>'Project Database'!M379</f>
        <v/>
      </c>
      <c r="J375" s="66">
        <f>'Project Database'!N379</f>
        <v/>
      </c>
      <c r="K375" s="66">
        <f>'Project Database'!O379</f>
        <v/>
      </c>
      <c r="L375" s="66">
        <f>'Project Database'!P379</f>
        <v/>
      </c>
      <c r="M375" s="66">
        <f>'Project Database'!Q379</f>
        <v/>
      </c>
      <c r="N375" s="66">
        <f>'Project Database'!R379</f>
        <v/>
      </c>
      <c r="O375" s="66">
        <f>'Project Database'!S379</f>
        <v/>
      </c>
      <c r="P375" s="66">
        <f>'Project Database'!T379</f>
        <v/>
      </c>
      <c r="Q375" s="66">
        <f>'Project Database'!U379</f>
        <v/>
      </c>
      <c r="R375" s="66">
        <f>'Project Database'!V379</f>
        <v/>
      </c>
      <c r="S375" s="66">
        <f>'Project Database'!W379</f>
        <v/>
      </c>
      <c r="T375" s="66">
        <f>'Project Database'!X379</f>
        <v/>
      </c>
      <c r="U375" s="67">
        <f>'Project Database'!Y379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'Project Database'!Z379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IF(AND('Project Database'!A379&lt;&gt;"",OR('Smart Search'!$L$5="",'Smart Search'!$L$5="All",TRIM('Project Database'!D379)=TRIM('Smart Search'!$L$5)),OR(TRIM('Smart Search'!$L$6)="",TRIM('Smart Search'!$L$6)="All",ISNUMBER(SEARCH(SUBSTITUTE(SUBSTITUTE(SUBSTITUTE(TRIM('Smart Search'!$L$6),"~","~~"),"*","~*"),"?","~?"),'Project Database'!C379))),OR('Smart Search'!$L$7="",AND('Project Database'!E379&lt;&gt;"",'Project Database'!E379='Smart Search'!$L$7)),OR('Smart Search'!$L$8="",'Smart Search'!$L$8="All",TRIM('Project Database'!F379)=TRIM('Smart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IF('Project Database'!A379="","",N('Project Database'!AC379))</f>
        <v/>
      </c>
      <c r="BK375" s="5">
        <f>IF('Project Database'!A379="","",N('Project Database'!AD379))</f>
        <v/>
      </c>
      <c r="BL375" s="5">
        <f>IF('Project Database'!A379="","",N('Project Database'!AE379))</f>
        <v/>
      </c>
      <c r="BM375" s="5">
        <f>IF('Project Database'!A379="","",N('Project Database'!AF379))</f>
        <v/>
      </c>
      <c r="BN375" s="5">
        <f>IF('Project Database'!A379="","",N('Project Database'!AG379))</f>
        <v/>
      </c>
      <c r="BO375" s="5">
        <f>IF('Project Database'!A379="","",N('Project Database'!AH379))</f>
        <v/>
      </c>
      <c r="BP375" s="5">
        <f>IF('Project Database'!A379="","",N('Project Database'!AI379))</f>
        <v/>
      </c>
      <c r="BQ375" s="5">
        <f>IF('Project Database'!A379="","",N('Project Database'!AJ379))</f>
        <v/>
      </c>
      <c r="BR375" s="5">
        <f>IF('Project Database'!A379="","",N('Project Database'!AK379))</f>
        <v/>
      </c>
      <c r="BS375" s="5">
        <f>IF('Project Database'!A379="","",N('Project Database'!AL379))</f>
        <v/>
      </c>
      <c r="BT375" s="5">
        <f>IF('Project Database'!A379="","",N('Project Database'!AM379))</f>
        <v/>
      </c>
      <c r="BU375" s="5">
        <f>IF('Project Database'!A379="","",N('Project Database'!AN379))</f>
        <v/>
      </c>
      <c r="BV375" s="5">
        <f>IF('Project Database'!A379="","",N('Project Database'!AO379))</f>
        <v/>
      </c>
      <c r="BW375" s="5">
        <f>IF('Project Database'!A379="","",N('Project Database'!AP379))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</row>
    <row r="376" ht="15" customHeight="1" s="74">
      <c r="A376" s="66">
        <f>'Project Database'!A380</f>
        <v/>
      </c>
      <c r="B376" s="66">
        <f>'Project Database'!B380</f>
        <v/>
      </c>
      <c r="C376" s="66">
        <f>'Project Database'!G380</f>
        <v/>
      </c>
      <c r="D376" s="66">
        <f>'Project Database'!H380</f>
        <v/>
      </c>
      <c r="E376" s="66">
        <f>'Project Database'!I380</f>
        <v/>
      </c>
      <c r="F376" s="66">
        <f>'Project Database'!J380</f>
        <v/>
      </c>
      <c r="G376" s="66">
        <f>'Project Database'!K380</f>
        <v/>
      </c>
      <c r="H376" s="66">
        <f>'Project Database'!L380</f>
        <v/>
      </c>
      <c r="I376" s="66">
        <f>'Project Database'!M380</f>
        <v/>
      </c>
      <c r="J376" s="66">
        <f>'Project Database'!N380</f>
        <v/>
      </c>
      <c r="K376" s="66">
        <f>'Project Database'!O380</f>
        <v/>
      </c>
      <c r="L376" s="66">
        <f>'Project Database'!P380</f>
        <v/>
      </c>
      <c r="M376" s="66">
        <f>'Project Database'!Q380</f>
        <v/>
      </c>
      <c r="N376" s="66">
        <f>'Project Database'!R380</f>
        <v/>
      </c>
      <c r="O376" s="66">
        <f>'Project Database'!S380</f>
        <v/>
      </c>
      <c r="P376" s="66">
        <f>'Project Database'!T380</f>
        <v/>
      </c>
      <c r="Q376" s="66">
        <f>'Project Database'!U380</f>
        <v/>
      </c>
      <c r="R376" s="66">
        <f>'Project Database'!V380</f>
        <v/>
      </c>
      <c r="S376" s="66">
        <f>'Project Database'!W380</f>
        <v/>
      </c>
      <c r="T376" s="66">
        <f>'Project Database'!X380</f>
        <v/>
      </c>
      <c r="U376" s="67">
        <f>'Project Database'!Y380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'Project Database'!Z380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IF(AND('Project Database'!A380&lt;&gt;"",OR('Smart Search'!$L$5="",'Smart Search'!$L$5="All",TRIM('Project Database'!D380)=TRIM('Smart Search'!$L$5)),OR(TRIM('Smart Search'!$L$6)="",TRIM('Smart Search'!$L$6)="All",ISNUMBER(SEARCH(SUBSTITUTE(SUBSTITUTE(SUBSTITUTE(TRIM('Smart Search'!$L$6),"~","~~"),"*","~*"),"?","~?"),'Project Database'!C380))),OR('Smart Search'!$L$7="",AND('Project Database'!E380&lt;&gt;"",'Project Database'!E380='Smart Search'!$L$7)),OR('Smart Search'!$L$8="",'Smart Search'!$L$8="All",TRIM('Project Database'!F380)=TRIM('Smart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IF('Project Database'!A380="","",N('Project Database'!AC380))</f>
        <v/>
      </c>
      <c r="BK376" s="5">
        <f>IF('Project Database'!A380="","",N('Project Database'!AD380))</f>
        <v/>
      </c>
      <c r="BL376" s="5">
        <f>IF('Project Database'!A380="","",N('Project Database'!AE380))</f>
        <v/>
      </c>
      <c r="BM376" s="5">
        <f>IF('Project Database'!A380="","",N('Project Database'!AF380))</f>
        <v/>
      </c>
      <c r="BN376" s="5">
        <f>IF('Project Database'!A380="","",N('Project Database'!AG380))</f>
        <v/>
      </c>
      <c r="BO376" s="5">
        <f>IF('Project Database'!A380="","",N('Project Database'!AH380))</f>
        <v/>
      </c>
      <c r="BP376" s="5">
        <f>IF('Project Database'!A380="","",N('Project Database'!AI380))</f>
        <v/>
      </c>
      <c r="BQ376" s="5">
        <f>IF('Project Database'!A380="","",N('Project Database'!AJ380))</f>
        <v/>
      </c>
      <c r="BR376" s="5">
        <f>IF('Project Database'!A380="","",N('Project Database'!AK380))</f>
        <v/>
      </c>
      <c r="BS376" s="5">
        <f>IF('Project Database'!A380="","",N('Project Database'!AL380))</f>
        <v/>
      </c>
      <c r="BT376" s="5">
        <f>IF('Project Database'!A380="","",N('Project Database'!AM380))</f>
        <v/>
      </c>
      <c r="BU376" s="5">
        <f>IF('Project Database'!A380="","",N('Project Database'!AN380))</f>
        <v/>
      </c>
      <c r="BV376" s="5">
        <f>IF('Project Database'!A380="","",N('Project Database'!AO380))</f>
        <v/>
      </c>
      <c r="BW376" s="5">
        <f>IF('Project Database'!A380="","",N('Project Database'!AP380))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</row>
    <row r="377" ht="15" customHeight="1" s="74">
      <c r="A377" s="66">
        <f>'Project Database'!A381</f>
        <v/>
      </c>
      <c r="B377" s="66">
        <f>'Project Database'!B381</f>
        <v/>
      </c>
      <c r="C377" s="66">
        <f>'Project Database'!G381</f>
        <v/>
      </c>
      <c r="D377" s="66">
        <f>'Project Database'!H381</f>
        <v/>
      </c>
      <c r="E377" s="66">
        <f>'Project Database'!I381</f>
        <v/>
      </c>
      <c r="F377" s="66">
        <f>'Project Database'!J381</f>
        <v/>
      </c>
      <c r="G377" s="66">
        <f>'Project Database'!K381</f>
        <v/>
      </c>
      <c r="H377" s="66">
        <f>'Project Database'!L381</f>
        <v/>
      </c>
      <c r="I377" s="66">
        <f>'Project Database'!M381</f>
        <v/>
      </c>
      <c r="J377" s="66">
        <f>'Project Database'!N381</f>
        <v/>
      </c>
      <c r="K377" s="66">
        <f>'Project Database'!O381</f>
        <v/>
      </c>
      <c r="L377" s="66">
        <f>'Project Database'!P381</f>
        <v/>
      </c>
      <c r="M377" s="66">
        <f>'Project Database'!Q381</f>
        <v/>
      </c>
      <c r="N377" s="66">
        <f>'Project Database'!R381</f>
        <v/>
      </c>
      <c r="O377" s="66">
        <f>'Project Database'!S381</f>
        <v/>
      </c>
      <c r="P377" s="66">
        <f>'Project Database'!T381</f>
        <v/>
      </c>
      <c r="Q377" s="66">
        <f>'Project Database'!U381</f>
        <v/>
      </c>
      <c r="R377" s="66">
        <f>'Project Database'!V381</f>
        <v/>
      </c>
      <c r="S377" s="66">
        <f>'Project Database'!W381</f>
        <v/>
      </c>
      <c r="T377" s="66">
        <f>'Project Database'!X381</f>
        <v/>
      </c>
      <c r="U377" s="67">
        <f>'Project Database'!Y381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'Project Database'!Z381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IF(AND('Project Database'!A381&lt;&gt;"",OR('Smart Search'!$L$5="",'Smart Search'!$L$5="All",TRIM('Project Database'!D381)=TRIM('Smart Search'!$L$5)),OR(TRIM('Smart Search'!$L$6)="",TRIM('Smart Search'!$L$6)="All",ISNUMBER(SEARCH(SUBSTITUTE(SUBSTITUTE(SUBSTITUTE(TRIM('Smart Search'!$L$6),"~","~~"),"*","~*"),"?","~?"),'Project Database'!C381))),OR('Smart Search'!$L$7="",AND('Project Database'!E381&lt;&gt;"",'Project Database'!E381='Smart Search'!$L$7)),OR('Smart Search'!$L$8="",'Smart Search'!$L$8="All",TRIM('Project Database'!F381)=TRIM('Smart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IF('Project Database'!A381="","",N('Project Database'!AC381))</f>
        <v/>
      </c>
      <c r="BK377" s="5">
        <f>IF('Project Database'!A381="","",N('Project Database'!AD381))</f>
        <v/>
      </c>
      <c r="BL377" s="5">
        <f>IF('Project Database'!A381="","",N('Project Database'!AE381))</f>
        <v/>
      </c>
      <c r="BM377" s="5">
        <f>IF('Project Database'!A381="","",N('Project Database'!AF381))</f>
        <v/>
      </c>
      <c r="BN377" s="5">
        <f>IF('Project Database'!A381="","",N('Project Database'!AG381))</f>
        <v/>
      </c>
      <c r="BO377" s="5">
        <f>IF('Project Database'!A381="","",N('Project Database'!AH381))</f>
        <v/>
      </c>
      <c r="BP377" s="5">
        <f>IF('Project Database'!A381="","",N('Project Database'!AI381))</f>
        <v/>
      </c>
      <c r="BQ377" s="5">
        <f>IF('Project Database'!A381="","",N('Project Database'!AJ381))</f>
        <v/>
      </c>
      <c r="BR377" s="5">
        <f>IF('Project Database'!A381="","",N('Project Database'!AK381))</f>
        <v/>
      </c>
      <c r="BS377" s="5">
        <f>IF('Project Database'!A381="","",N('Project Database'!AL381))</f>
        <v/>
      </c>
      <c r="BT377" s="5">
        <f>IF('Project Database'!A381="","",N('Project Database'!AM381))</f>
        <v/>
      </c>
      <c r="BU377" s="5">
        <f>IF('Project Database'!A381="","",N('Project Database'!AN381))</f>
        <v/>
      </c>
      <c r="BV377" s="5">
        <f>IF('Project Database'!A381="","",N('Project Database'!AO381))</f>
        <v/>
      </c>
      <c r="BW377" s="5">
        <f>IF('Project Database'!A381="","",N('Project Database'!AP381))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</row>
    <row r="378" ht="15" customHeight="1" s="74">
      <c r="A378" s="66">
        <f>'Project Database'!A382</f>
        <v/>
      </c>
      <c r="B378" s="66">
        <f>'Project Database'!B382</f>
        <v/>
      </c>
      <c r="C378" s="66">
        <f>'Project Database'!G382</f>
        <v/>
      </c>
      <c r="D378" s="66">
        <f>'Project Database'!H382</f>
        <v/>
      </c>
      <c r="E378" s="66">
        <f>'Project Database'!I382</f>
        <v/>
      </c>
      <c r="F378" s="66">
        <f>'Project Database'!J382</f>
        <v/>
      </c>
      <c r="G378" s="66">
        <f>'Project Database'!K382</f>
        <v/>
      </c>
      <c r="H378" s="66">
        <f>'Project Database'!L382</f>
        <v/>
      </c>
      <c r="I378" s="66">
        <f>'Project Database'!M382</f>
        <v/>
      </c>
      <c r="J378" s="66">
        <f>'Project Database'!N382</f>
        <v/>
      </c>
      <c r="K378" s="66">
        <f>'Project Database'!O382</f>
        <v/>
      </c>
      <c r="L378" s="66">
        <f>'Project Database'!P382</f>
        <v/>
      </c>
      <c r="M378" s="66">
        <f>'Project Database'!Q382</f>
        <v/>
      </c>
      <c r="N378" s="66">
        <f>'Project Database'!R382</f>
        <v/>
      </c>
      <c r="O378" s="66">
        <f>'Project Database'!S382</f>
        <v/>
      </c>
      <c r="P378" s="66">
        <f>'Project Database'!T382</f>
        <v/>
      </c>
      <c r="Q378" s="66">
        <f>'Project Database'!U382</f>
        <v/>
      </c>
      <c r="R378" s="66">
        <f>'Project Database'!V382</f>
        <v/>
      </c>
      <c r="S378" s="66">
        <f>'Project Database'!W382</f>
        <v/>
      </c>
      <c r="T378" s="66">
        <f>'Project Database'!X382</f>
        <v/>
      </c>
      <c r="U378" s="67">
        <f>'Project Database'!Y382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'Project Database'!Z382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IF(AND('Project Database'!A382&lt;&gt;"",OR('Smart Search'!$L$5="",'Smart Search'!$L$5="All",TRIM('Project Database'!D382)=TRIM('Smart Search'!$L$5)),OR(TRIM('Smart Search'!$L$6)="",TRIM('Smart Search'!$L$6)="All",ISNUMBER(SEARCH(SUBSTITUTE(SUBSTITUTE(SUBSTITUTE(TRIM('Smart Search'!$L$6),"~","~~"),"*","~*"),"?","~?"),'Project Database'!C382))),OR('Smart Search'!$L$7="",AND('Project Database'!E382&lt;&gt;"",'Project Database'!E382='Smart Search'!$L$7)),OR('Smart Search'!$L$8="",'Smart Search'!$L$8="All",TRIM('Project Database'!F382)=TRIM('Smart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IF('Project Database'!A382="","",N('Project Database'!AC382))</f>
        <v/>
      </c>
      <c r="BK378" s="5">
        <f>IF('Project Database'!A382="","",N('Project Database'!AD382))</f>
        <v/>
      </c>
      <c r="BL378" s="5">
        <f>IF('Project Database'!A382="","",N('Project Database'!AE382))</f>
        <v/>
      </c>
      <c r="BM378" s="5">
        <f>IF('Project Database'!A382="","",N('Project Database'!AF382))</f>
        <v/>
      </c>
      <c r="BN378" s="5">
        <f>IF('Project Database'!A382="","",N('Project Database'!AG382))</f>
        <v/>
      </c>
      <c r="BO378" s="5">
        <f>IF('Project Database'!A382="","",N('Project Database'!AH382))</f>
        <v/>
      </c>
      <c r="BP378" s="5">
        <f>IF('Project Database'!A382="","",N('Project Database'!AI382))</f>
        <v/>
      </c>
      <c r="BQ378" s="5">
        <f>IF('Project Database'!A382="","",N('Project Database'!AJ382))</f>
        <v/>
      </c>
      <c r="BR378" s="5">
        <f>IF('Project Database'!A382="","",N('Project Database'!AK382))</f>
        <v/>
      </c>
      <c r="BS378" s="5">
        <f>IF('Project Database'!A382="","",N('Project Database'!AL382))</f>
        <v/>
      </c>
      <c r="BT378" s="5">
        <f>IF('Project Database'!A382="","",N('Project Database'!AM382))</f>
        <v/>
      </c>
      <c r="BU378" s="5">
        <f>IF('Project Database'!A382="","",N('Project Database'!AN382))</f>
        <v/>
      </c>
      <c r="BV378" s="5">
        <f>IF('Project Database'!A382="","",N('Project Database'!AO382))</f>
        <v/>
      </c>
      <c r="BW378" s="5">
        <f>IF('Project Database'!A382="","",N('Project Database'!AP382))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</row>
    <row r="379" ht="15" customHeight="1" s="74">
      <c r="A379" s="66">
        <f>'Project Database'!A383</f>
        <v/>
      </c>
      <c r="B379" s="66">
        <f>'Project Database'!B383</f>
        <v/>
      </c>
      <c r="C379" s="66">
        <f>'Project Database'!G383</f>
        <v/>
      </c>
      <c r="D379" s="66">
        <f>'Project Database'!H383</f>
        <v/>
      </c>
      <c r="E379" s="66">
        <f>'Project Database'!I383</f>
        <v/>
      </c>
      <c r="F379" s="66">
        <f>'Project Database'!J383</f>
        <v/>
      </c>
      <c r="G379" s="66">
        <f>'Project Database'!K383</f>
        <v/>
      </c>
      <c r="H379" s="66">
        <f>'Project Database'!L383</f>
        <v/>
      </c>
      <c r="I379" s="66">
        <f>'Project Database'!M383</f>
        <v/>
      </c>
      <c r="J379" s="66">
        <f>'Project Database'!N383</f>
        <v/>
      </c>
      <c r="K379" s="66">
        <f>'Project Database'!O383</f>
        <v/>
      </c>
      <c r="L379" s="66">
        <f>'Project Database'!P383</f>
        <v/>
      </c>
      <c r="M379" s="66">
        <f>'Project Database'!Q383</f>
        <v/>
      </c>
      <c r="N379" s="66">
        <f>'Project Database'!R383</f>
        <v/>
      </c>
      <c r="O379" s="66">
        <f>'Project Database'!S383</f>
        <v/>
      </c>
      <c r="P379" s="66">
        <f>'Project Database'!T383</f>
        <v/>
      </c>
      <c r="Q379" s="66">
        <f>'Project Database'!U383</f>
        <v/>
      </c>
      <c r="R379" s="66">
        <f>'Project Database'!V383</f>
        <v/>
      </c>
      <c r="S379" s="66">
        <f>'Project Database'!W383</f>
        <v/>
      </c>
      <c r="T379" s="66">
        <f>'Project Database'!X383</f>
        <v/>
      </c>
      <c r="U379" s="67">
        <f>'Project Database'!Y383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'Project Database'!Z383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IF(AND('Project Database'!A383&lt;&gt;"",OR('Smart Search'!$L$5="",'Smart Search'!$L$5="All",TRIM('Project Database'!D383)=TRIM('Smart Search'!$L$5)),OR(TRIM('Smart Search'!$L$6)="",TRIM('Smart Search'!$L$6)="All",ISNUMBER(SEARCH(SUBSTITUTE(SUBSTITUTE(SUBSTITUTE(TRIM('Smart Search'!$L$6),"~","~~"),"*","~*"),"?","~?"),'Project Database'!C383))),OR('Smart Search'!$L$7="",AND('Project Database'!E383&lt;&gt;"",'Project Database'!E383='Smart Search'!$L$7)),OR('Smart Search'!$L$8="",'Smart Search'!$L$8="All",TRIM('Project Database'!F383)=TRIM('Smart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IF('Project Database'!A383="","",N('Project Database'!AC383))</f>
        <v/>
      </c>
      <c r="BK379" s="5">
        <f>IF('Project Database'!A383="","",N('Project Database'!AD383))</f>
        <v/>
      </c>
      <c r="BL379" s="5">
        <f>IF('Project Database'!A383="","",N('Project Database'!AE383))</f>
        <v/>
      </c>
      <c r="BM379" s="5">
        <f>IF('Project Database'!A383="","",N('Project Database'!AF383))</f>
        <v/>
      </c>
      <c r="BN379" s="5">
        <f>IF('Project Database'!A383="","",N('Project Database'!AG383))</f>
        <v/>
      </c>
      <c r="BO379" s="5">
        <f>IF('Project Database'!A383="","",N('Project Database'!AH383))</f>
        <v/>
      </c>
      <c r="BP379" s="5">
        <f>IF('Project Database'!A383="","",N('Project Database'!AI383))</f>
        <v/>
      </c>
      <c r="BQ379" s="5">
        <f>IF('Project Database'!A383="","",N('Project Database'!AJ383))</f>
        <v/>
      </c>
      <c r="BR379" s="5">
        <f>IF('Project Database'!A383="","",N('Project Database'!AK383))</f>
        <v/>
      </c>
      <c r="BS379" s="5">
        <f>IF('Project Database'!A383="","",N('Project Database'!AL383))</f>
        <v/>
      </c>
      <c r="BT379" s="5">
        <f>IF('Project Database'!A383="","",N('Project Database'!AM383))</f>
        <v/>
      </c>
      <c r="BU379" s="5">
        <f>IF('Project Database'!A383="","",N('Project Database'!AN383))</f>
        <v/>
      </c>
      <c r="BV379" s="5">
        <f>IF('Project Database'!A383="","",N('Project Database'!AO383))</f>
        <v/>
      </c>
      <c r="BW379" s="5">
        <f>IF('Project Database'!A383="","",N('Project Database'!AP383))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</row>
    <row r="380" ht="15" customHeight="1" s="74">
      <c r="A380" s="66">
        <f>'Project Database'!A384</f>
        <v/>
      </c>
      <c r="B380" s="66">
        <f>'Project Database'!B384</f>
        <v/>
      </c>
      <c r="C380" s="66">
        <f>'Project Database'!G384</f>
        <v/>
      </c>
      <c r="D380" s="66">
        <f>'Project Database'!H384</f>
        <v/>
      </c>
      <c r="E380" s="66">
        <f>'Project Database'!I384</f>
        <v/>
      </c>
      <c r="F380" s="66">
        <f>'Project Database'!J384</f>
        <v/>
      </c>
      <c r="G380" s="66">
        <f>'Project Database'!K384</f>
        <v/>
      </c>
      <c r="H380" s="66">
        <f>'Project Database'!L384</f>
        <v/>
      </c>
      <c r="I380" s="66">
        <f>'Project Database'!M384</f>
        <v/>
      </c>
      <c r="J380" s="66">
        <f>'Project Database'!N384</f>
        <v/>
      </c>
      <c r="K380" s="66">
        <f>'Project Database'!O384</f>
        <v/>
      </c>
      <c r="L380" s="66">
        <f>'Project Database'!P384</f>
        <v/>
      </c>
      <c r="M380" s="66">
        <f>'Project Database'!Q384</f>
        <v/>
      </c>
      <c r="N380" s="66">
        <f>'Project Database'!R384</f>
        <v/>
      </c>
      <c r="O380" s="66">
        <f>'Project Database'!S384</f>
        <v/>
      </c>
      <c r="P380" s="66">
        <f>'Project Database'!T384</f>
        <v/>
      </c>
      <c r="Q380" s="66">
        <f>'Project Database'!U384</f>
        <v/>
      </c>
      <c r="R380" s="66">
        <f>'Project Database'!V384</f>
        <v/>
      </c>
      <c r="S380" s="66">
        <f>'Project Database'!W384</f>
        <v/>
      </c>
      <c r="T380" s="66">
        <f>'Project Database'!X384</f>
        <v/>
      </c>
      <c r="U380" s="67">
        <f>'Project Database'!Y384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'Project Database'!Z384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IF(AND('Project Database'!A384&lt;&gt;"",OR('Smart Search'!$L$5="",'Smart Search'!$L$5="All",TRIM('Project Database'!D384)=TRIM('Smart Search'!$L$5)),OR(TRIM('Smart Search'!$L$6)="",TRIM('Smart Search'!$L$6)="All",ISNUMBER(SEARCH(SUBSTITUTE(SUBSTITUTE(SUBSTITUTE(TRIM('Smart Search'!$L$6),"~","~~"),"*","~*"),"?","~?"),'Project Database'!C384))),OR('Smart Search'!$L$7="",AND('Project Database'!E384&lt;&gt;"",'Project Database'!E384='Smart Search'!$L$7)),OR('Smart Search'!$L$8="",'Smart Search'!$L$8="All",TRIM('Project Database'!F384)=TRIM('Smart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IF('Project Database'!A384="","",N('Project Database'!AC384))</f>
        <v/>
      </c>
      <c r="BK380" s="5">
        <f>IF('Project Database'!A384="","",N('Project Database'!AD384))</f>
        <v/>
      </c>
      <c r="BL380" s="5">
        <f>IF('Project Database'!A384="","",N('Project Database'!AE384))</f>
        <v/>
      </c>
      <c r="BM380" s="5">
        <f>IF('Project Database'!A384="","",N('Project Database'!AF384))</f>
        <v/>
      </c>
      <c r="BN380" s="5">
        <f>IF('Project Database'!A384="","",N('Project Database'!AG384))</f>
        <v/>
      </c>
      <c r="BO380" s="5">
        <f>IF('Project Database'!A384="","",N('Project Database'!AH384))</f>
        <v/>
      </c>
      <c r="BP380" s="5">
        <f>IF('Project Database'!A384="","",N('Project Database'!AI384))</f>
        <v/>
      </c>
      <c r="BQ380" s="5">
        <f>IF('Project Database'!A384="","",N('Project Database'!AJ384))</f>
        <v/>
      </c>
      <c r="BR380" s="5">
        <f>IF('Project Database'!A384="","",N('Project Database'!AK384))</f>
        <v/>
      </c>
      <c r="BS380" s="5">
        <f>IF('Project Database'!A384="","",N('Project Database'!AL384))</f>
        <v/>
      </c>
      <c r="BT380" s="5">
        <f>IF('Project Database'!A384="","",N('Project Database'!AM384))</f>
        <v/>
      </c>
      <c r="BU380" s="5">
        <f>IF('Project Database'!A384="","",N('Project Database'!AN384))</f>
        <v/>
      </c>
      <c r="BV380" s="5">
        <f>IF('Project Database'!A384="","",N('Project Database'!AO384))</f>
        <v/>
      </c>
      <c r="BW380" s="5">
        <f>IF('Project Database'!A384="","",N('Project Database'!AP384))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</row>
    <row r="381" ht="15" customHeight="1" s="74">
      <c r="A381" s="66">
        <f>'Project Database'!A385</f>
        <v/>
      </c>
      <c r="B381" s="66">
        <f>'Project Database'!B385</f>
        <v/>
      </c>
      <c r="C381" s="66">
        <f>'Project Database'!G385</f>
        <v/>
      </c>
      <c r="D381" s="66">
        <f>'Project Database'!H385</f>
        <v/>
      </c>
      <c r="E381" s="66">
        <f>'Project Database'!I385</f>
        <v/>
      </c>
      <c r="F381" s="66">
        <f>'Project Database'!J385</f>
        <v/>
      </c>
      <c r="G381" s="66">
        <f>'Project Database'!K385</f>
        <v/>
      </c>
      <c r="H381" s="66">
        <f>'Project Database'!L385</f>
        <v/>
      </c>
      <c r="I381" s="66">
        <f>'Project Database'!M385</f>
        <v/>
      </c>
      <c r="J381" s="66">
        <f>'Project Database'!N385</f>
        <v/>
      </c>
      <c r="K381" s="66">
        <f>'Project Database'!O385</f>
        <v/>
      </c>
      <c r="L381" s="66">
        <f>'Project Database'!P385</f>
        <v/>
      </c>
      <c r="M381" s="66">
        <f>'Project Database'!Q385</f>
        <v/>
      </c>
      <c r="N381" s="66">
        <f>'Project Database'!R385</f>
        <v/>
      </c>
      <c r="O381" s="66">
        <f>'Project Database'!S385</f>
        <v/>
      </c>
      <c r="P381" s="66">
        <f>'Project Database'!T385</f>
        <v/>
      </c>
      <c r="Q381" s="66">
        <f>'Project Database'!U385</f>
        <v/>
      </c>
      <c r="R381" s="66">
        <f>'Project Database'!V385</f>
        <v/>
      </c>
      <c r="S381" s="66">
        <f>'Project Database'!W385</f>
        <v/>
      </c>
      <c r="T381" s="66">
        <f>'Project Database'!X385</f>
        <v/>
      </c>
      <c r="U381" s="67">
        <f>'Project Database'!Y385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'Project Database'!Z385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IF(AND('Project Database'!A385&lt;&gt;"",OR('Smart Search'!$L$5="",'Smart Search'!$L$5="All",TRIM('Project Database'!D385)=TRIM('Smart Search'!$L$5)),OR(TRIM('Smart Search'!$L$6)="",TRIM('Smart Search'!$L$6)="All",ISNUMBER(SEARCH(SUBSTITUTE(SUBSTITUTE(SUBSTITUTE(TRIM('Smart Search'!$L$6),"~","~~"),"*","~*"),"?","~?"),'Project Database'!C385))),OR('Smart Search'!$L$7="",AND('Project Database'!E385&lt;&gt;"",'Project Database'!E385='Smart Search'!$L$7)),OR('Smart Search'!$L$8="",'Smart Search'!$L$8="All",TRIM('Project Database'!F385)=TRIM('Smart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IF('Project Database'!A385="","",N('Project Database'!AC385))</f>
        <v/>
      </c>
      <c r="BK381" s="5">
        <f>IF('Project Database'!A385="","",N('Project Database'!AD385))</f>
        <v/>
      </c>
      <c r="BL381" s="5">
        <f>IF('Project Database'!A385="","",N('Project Database'!AE385))</f>
        <v/>
      </c>
      <c r="BM381" s="5">
        <f>IF('Project Database'!A385="","",N('Project Database'!AF385))</f>
        <v/>
      </c>
      <c r="BN381" s="5">
        <f>IF('Project Database'!A385="","",N('Project Database'!AG385))</f>
        <v/>
      </c>
      <c r="BO381" s="5">
        <f>IF('Project Database'!A385="","",N('Project Database'!AH385))</f>
        <v/>
      </c>
      <c r="BP381" s="5">
        <f>IF('Project Database'!A385="","",N('Project Database'!AI385))</f>
        <v/>
      </c>
      <c r="BQ381" s="5">
        <f>IF('Project Database'!A385="","",N('Project Database'!AJ385))</f>
        <v/>
      </c>
      <c r="BR381" s="5">
        <f>IF('Project Database'!A385="","",N('Project Database'!AK385))</f>
        <v/>
      </c>
      <c r="BS381" s="5">
        <f>IF('Project Database'!A385="","",N('Project Database'!AL385))</f>
        <v/>
      </c>
      <c r="BT381" s="5">
        <f>IF('Project Database'!A385="","",N('Project Database'!AM385))</f>
        <v/>
      </c>
      <c r="BU381" s="5">
        <f>IF('Project Database'!A385="","",N('Project Database'!AN385))</f>
        <v/>
      </c>
      <c r="BV381" s="5">
        <f>IF('Project Database'!A385="","",N('Project Database'!AO385))</f>
        <v/>
      </c>
      <c r="BW381" s="5">
        <f>IF('Project Database'!A385="","",N('Project Database'!AP385))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</row>
    <row r="382" ht="15" customHeight="1" s="74">
      <c r="A382" s="66">
        <f>'Project Database'!A386</f>
        <v/>
      </c>
      <c r="B382" s="66">
        <f>'Project Database'!B386</f>
        <v/>
      </c>
      <c r="C382" s="66">
        <f>'Project Database'!G386</f>
        <v/>
      </c>
      <c r="D382" s="66">
        <f>'Project Database'!H386</f>
        <v/>
      </c>
      <c r="E382" s="66">
        <f>'Project Database'!I386</f>
        <v/>
      </c>
      <c r="F382" s="66">
        <f>'Project Database'!J386</f>
        <v/>
      </c>
      <c r="G382" s="66">
        <f>'Project Database'!K386</f>
        <v/>
      </c>
      <c r="H382" s="66">
        <f>'Project Database'!L386</f>
        <v/>
      </c>
      <c r="I382" s="66">
        <f>'Project Database'!M386</f>
        <v/>
      </c>
      <c r="J382" s="66">
        <f>'Project Database'!N386</f>
        <v/>
      </c>
      <c r="K382" s="66">
        <f>'Project Database'!O386</f>
        <v/>
      </c>
      <c r="L382" s="66">
        <f>'Project Database'!P386</f>
        <v/>
      </c>
      <c r="M382" s="66">
        <f>'Project Database'!Q386</f>
        <v/>
      </c>
      <c r="N382" s="66">
        <f>'Project Database'!R386</f>
        <v/>
      </c>
      <c r="O382" s="66">
        <f>'Project Database'!S386</f>
        <v/>
      </c>
      <c r="P382" s="66">
        <f>'Project Database'!T386</f>
        <v/>
      </c>
      <c r="Q382" s="66">
        <f>'Project Database'!U386</f>
        <v/>
      </c>
      <c r="R382" s="66">
        <f>'Project Database'!V386</f>
        <v/>
      </c>
      <c r="S382" s="66">
        <f>'Project Database'!W386</f>
        <v/>
      </c>
      <c r="T382" s="66">
        <f>'Project Database'!X386</f>
        <v/>
      </c>
      <c r="U382" s="67">
        <f>'Project Database'!Y386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'Project Database'!Z386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IF(AND('Project Database'!A386&lt;&gt;"",OR('Smart Search'!$L$5="",'Smart Search'!$L$5="All",TRIM('Project Database'!D386)=TRIM('Smart Search'!$L$5)),OR(TRIM('Smart Search'!$L$6)="",TRIM('Smart Search'!$L$6)="All",ISNUMBER(SEARCH(SUBSTITUTE(SUBSTITUTE(SUBSTITUTE(TRIM('Smart Search'!$L$6),"~","~~"),"*","~*"),"?","~?"),'Project Database'!C386))),OR('Smart Search'!$L$7="",AND('Project Database'!E386&lt;&gt;"",'Project Database'!E386='Smart Search'!$L$7)),OR('Smart Search'!$L$8="",'Smart Search'!$L$8="All",TRIM('Project Database'!F386)=TRIM('Smart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IF('Project Database'!A386="","",N('Project Database'!AC386))</f>
        <v/>
      </c>
      <c r="BK382" s="5">
        <f>IF('Project Database'!A386="","",N('Project Database'!AD386))</f>
        <v/>
      </c>
      <c r="BL382" s="5">
        <f>IF('Project Database'!A386="","",N('Project Database'!AE386))</f>
        <v/>
      </c>
      <c r="BM382" s="5">
        <f>IF('Project Database'!A386="","",N('Project Database'!AF386))</f>
        <v/>
      </c>
      <c r="BN382" s="5">
        <f>IF('Project Database'!A386="","",N('Project Database'!AG386))</f>
        <v/>
      </c>
      <c r="BO382" s="5">
        <f>IF('Project Database'!A386="","",N('Project Database'!AH386))</f>
        <v/>
      </c>
      <c r="BP382" s="5">
        <f>IF('Project Database'!A386="","",N('Project Database'!AI386))</f>
        <v/>
      </c>
      <c r="BQ382" s="5">
        <f>IF('Project Database'!A386="","",N('Project Database'!AJ386))</f>
        <v/>
      </c>
      <c r="BR382" s="5">
        <f>IF('Project Database'!A386="","",N('Project Database'!AK386))</f>
        <v/>
      </c>
      <c r="BS382" s="5">
        <f>IF('Project Database'!A386="","",N('Project Database'!AL386))</f>
        <v/>
      </c>
      <c r="BT382" s="5">
        <f>IF('Project Database'!A386="","",N('Project Database'!AM386))</f>
        <v/>
      </c>
      <c r="BU382" s="5">
        <f>IF('Project Database'!A386="","",N('Project Database'!AN386))</f>
        <v/>
      </c>
      <c r="BV382" s="5">
        <f>IF('Project Database'!A386="","",N('Project Database'!AO386))</f>
        <v/>
      </c>
      <c r="BW382" s="5">
        <f>IF('Project Database'!A386="","",N('Project Database'!AP386))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</row>
    <row r="383" ht="15" customHeight="1" s="74">
      <c r="A383" s="66">
        <f>'Project Database'!A387</f>
        <v/>
      </c>
      <c r="B383" s="66">
        <f>'Project Database'!B387</f>
        <v/>
      </c>
      <c r="C383" s="66">
        <f>'Project Database'!G387</f>
        <v/>
      </c>
      <c r="D383" s="66">
        <f>'Project Database'!H387</f>
        <v/>
      </c>
      <c r="E383" s="66">
        <f>'Project Database'!I387</f>
        <v/>
      </c>
      <c r="F383" s="66">
        <f>'Project Database'!J387</f>
        <v/>
      </c>
      <c r="G383" s="66">
        <f>'Project Database'!K387</f>
        <v/>
      </c>
      <c r="H383" s="66">
        <f>'Project Database'!L387</f>
        <v/>
      </c>
      <c r="I383" s="66">
        <f>'Project Database'!M387</f>
        <v/>
      </c>
      <c r="J383" s="66">
        <f>'Project Database'!N387</f>
        <v/>
      </c>
      <c r="K383" s="66">
        <f>'Project Database'!O387</f>
        <v/>
      </c>
      <c r="L383" s="66">
        <f>'Project Database'!P387</f>
        <v/>
      </c>
      <c r="M383" s="66">
        <f>'Project Database'!Q387</f>
        <v/>
      </c>
      <c r="N383" s="66">
        <f>'Project Database'!R387</f>
        <v/>
      </c>
      <c r="O383" s="66">
        <f>'Project Database'!S387</f>
        <v/>
      </c>
      <c r="P383" s="66">
        <f>'Project Database'!T387</f>
        <v/>
      </c>
      <c r="Q383" s="66">
        <f>'Project Database'!U387</f>
        <v/>
      </c>
      <c r="R383" s="66">
        <f>'Project Database'!V387</f>
        <v/>
      </c>
      <c r="S383" s="66">
        <f>'Project Database'!W387</f>
        <v/>
      </c>
      <c r="T383" s="66">
        <f>'Project Database'!X387</f>
        <v/>
      </c>
      <c r="U383" s="67">
        <f>'Project Database'!Y387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'Project Database'!Z387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IF(AND('Project Database'!A387&lt;&gt;"",OR('Smart Search'!$L$5="",'Smart Search'!$L$5="All",TRIM('Project Database'!D387)=TRIM('Smart Search'!$L$5)),OR(TRIM('Smart Search'!$L$6)="",TRIM('Smart Search'!$L$6)="All",ISNUMBER(SEARCH(SUBSTITUTE(SUBSTITUTE(SUBSTITUTE(TRIM('Smart Search'!$L$6),"~","~~"),"*","~*"),"?","~?"),'Project Database'!C387))),OR('Smart Search'!$L$7="",AND('Project Database'!E387&lt;&gt;"",'Project Database'!E387='Smart Search'!$L$7)),OR('Smart Search'!$L$8="",'Smart Search'!$L$8="All",TRIM('Project Database'!F387)=TRIM('Smart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IF('Project Database'!A387="","",N('Project Database'!AC387))</f>
        <v/>
      </c>
      <c r="BK383" s="5">
        <f>IF('Project Database'!A387="","",N('Project Database'!AD387))</f>
        <v/>
      </c>
      <c r="BL383" s="5">
        <f>IF('Project Database'!A387="","",N('Project Database'!AE387))</f>
        <v/>
      </c>
      <c r="BM383" s="5">
        <f>IF('Project Database'!A387="","",N('Project Database'!AF387))</f>
        <v/>
      </c>
      <c r="BN383" s="5">
        <f>IF('Project Database'!A387="","",N('Project Database'!AG387))</f>
        <v/>
      </c>
      <c r="BO383" s="5">
        <f>IF('Project Database'!A387="","",N('Project Database'!AH387))</f>
        <v/>
      </c>
      <c r="BP383" s="5">
        <f>IF('Project Database'!A387="","",N('Project Database'!AI387))</f>
        <v/>
      </c>
      <c r="BQ383" s="5">
        <f>IF('Project Database'!A387="","",N('Project Database'!AJ387))</f>
        <v/>
      </c>
      <c r="BR383" s="5">
        <f>IF('Project Database'!A387="","",N('Project Database'!AK387))</f>
        <v/>
      </c>
      <c r="BS383" s="5">
        <f>IF('Project Database'!A387="","",N('Project Database'!AL387))</f>
        <v/>
      </c>
      <c r="BT383" s="5">
        <f>IF('Project Database'!A387="","",N('Project Database'!AM387))</f>
        <v/>
      </c>
      <c r="BU383" s="5">
        <f>IF('Project Database'!A387="","",N('Project Database'!AN387))</f>
        <v/>
      </c>
      <c r="BV383" s="5">
        <f>IF('Project Database'!A387="","",N('Project Database'!AO387))</f>
        <v/>
      </c>
      <c r="BW383" s="5">
        <f>IF('Project Database'!A387="","",N('Project Database'!AP387))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</row>
    <row r="384" ht="15" customHeight="1" s="74">
      <c r="A384" s="66">
        <f>'Project Database'!A388</f>
        <v/>
      </c>
      <c r="B384" s="66">
        <f>'Project Database'!B388</f>
        <v/>
      </c>
      <c r="C384" s="66">
        <f>'Project Database'!G388</f>
        <v/>
      </c>
      <c r="D384" s="66">
        <f>'Project Database'!H388</f>
        <v/>
      </c>
      <c r="E384" s="66">
        <f>'Project Database'!I388</f>
        <v/>
      </c>
      <c r="F384" s="66">
        <f>'Project Database'!J388</f>
        <v/>
      </c>
      <c r="G384" s="66">
        <f>'Project Database'!K388</f>
        <v/>
      </c>
      <c r="H384" s="66">
        <f>'Project Database'!L388</f>
        <v/>
      </c>
      <c r="I384" s="66">
        <f>'Project Database'!M388</f>
        <v/>
      </c>
      <c r="J384" s="66">
        <f>'Project Database'!N388</f>
        <v/>
      </c>
      <c r="K384" s="66">
        <f>'Project Database'!O388</f>
        <v/>
      </c>
      <c r="L384" s="66">
        <f>'Project Database'!P388</f>
        <v/>
      </c>
      <c r="M384" s="66">
        <f>'Project Database'!Q388</f>
        <v/>
      </c>
      <c r="N384" s="66">
        <f>'Project Database'!R388</f>
        <v/>
      </c>
      <c r="O384" s="66">
        <f>'Project Database'!S388</f>
        <v/>
      </c>
      <c r="P384" s="66">
        <f>'Project Database'!T388</f>
        <v/>
      </c>
      <c r="Q384" s="66">
        <f>'Project Database'!U388</f>
        <v/>
      </c>
      <c r="R384" s="66">
        <f>'Project Database'!V388</f>
        <v/>
      </c>
      <c r="S384" s="66">
        <f>'Project Database'!W388</f>
        <v/>
      </c>
      <c r="T384" s="66">
        <f>'Project Database'!X388</f>
        <v/>
      </c>
      <c r="U384" s="67">
        <f>'Project Database'!Y388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'Project Database'!Z388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IF(AND('Project Database'!A388&lt;&gt;"",OR('Smart Search'!$L$5="",'Smart Search'!$L$5="All",TRIM('Project Database'!D388)=TRIM('Smart Search'!$L$5)),OR(TRIM('Smart Search'!$L$6)="",TRIM('Smart Search'!$L$6)="All",ISNUMBER(SEARCH(SUBSTITUTE(SUBSTITUTE(SUBSTITUTE(TRIM('Smart Search'!$L$6),"~","~~"),"*","~*"),"?","~?"),'Project Database'!C388))),OR('Smart Search'!$L$7="",AND('Project Database'!E388&lt;&gt;"",'Project Database'!E388='Smart Search'!$L$7)),OR('Smart Search'!$L$8="",'Smart Search'!$L$8="All",TRIM('Project Database'!F388)=TRIM('Smart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IF('Project Database'!A388="","",N('Project Database'!AC388))</f>
        <v/>
      </c>
      <c r="BK384" s="5">
        <f>IF('Project Database'!A388="","",N('Project Database'!AD388))</f>
        <v/>
      </c>
      <c r="BL384" s="5">
        <f>IF('Project Database'!A388="","",N('Project Database'!AE388))</f>
        <v/>
      </c>
      <c r="BM384" s="5">
        <f>IF('Project Database'!A388="","",N('Project Database'!AF388))</f>
        <v/>
      </c>
      <c r="BN384" s="5">
        <f>IF('Project Database'!A388="","",N('Project Database'!AG388))</f>
        <v/>
      </c>
      <c r="BO384" s="5">
        <f>IF('Project Database'!A388="","",N('Project Database'!AH388))</f>
        <v/>
      </c>
      <c r="BP384" s="5">
        <f>IF('Project Database'!A388="","",N('Project Database'!AI388))</f>
        <v/>
      </c>
      <c r="BQ384" s="5">
        <f>IF('Project Database'!A388="","",N('Project Database'!AJ388))</f>
        <v/>
      </c>
      <c r="BR384" s="5">
        <f>IF('Project Database'!A388="","",N('Project Database'!AK388))</f>
        <v/>
      </c>
      <c r="BS384" s="5">
        <f>IF('Project Database'!A388="","",N('Project Database'!AL388))</f>
        <v/>
      </c>
      <c r="BT384" s="5">
        <f>IF('Project Database'!A388="","",N('Project Database'!AM388))</f>
        <v/>
      </c>
      <c r="BU384" s="5">
        <f>IF('Project Database'!A388="","",N('Project Database'!AN388))</f>
        <v/>
      </c>
      <c r="BV384" s="5">
        <f>IF('Project Database'!A388="","",N('Project Database'!AO388))</f>
        <v/>
      </c>
      <c r="BW384" s="5">
        <f>IF('Project Database'!A388="","",N('Project Database'!AP388))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</row>
    <row r="385" ht="15" customHeight="1" s="74">
      <c r="A385" s="66">
        <f>'Project Database'!A389</f>
        <v/>
      </c>
      <c r="B385" s="66">
        <f>'Project Database'!B389</f>
        <v/>
      </c>
      <c r="C385" s="66">
        <f>'Project Database'!G389</f>
        <v/>
      </c>
      <c r="D385" s="66">
        <f>'Project Database'!H389</f>
        <v/>
      </c>
      <c r="E385" s="66">
        <f>'Project Database'!I389</f>
        <v/>
      </c>
      <c r="F385" s="66">
        <f>'Project Database'!J389</f>
        <v/>
      </c>
      <c r="G385" s="66">
        <f>'Project Database'!K389</f>
        <v/>
      </c>
      <c r="H385" s="66">
        <f>'Project Database'!L389</f>
        <v/>
      </c>
      <c r="I385" s="66">
        <f>'Project Database'!M389</f>
        <v/>
      </c>
      <c r="J385" s="66">
        <f>'Project Database'!N389</f>
        <v/>
      </c>
      <c r="K385" s="66">
        <f>'Project Database'!O389</f>
        <v/>
      </c>
      <c r="L385" s="66">
        <f>'Project Database'!P389</f>
        <v/>
      </c>
      <c r="M385" s="66">
        <f>'Project Database'!Q389</f>
        <v/>
      </c>
      <c r="N385" s="66">
        <f>'Project Database'!R389</f>
        <v/>
      </c>
      <c r="O385" s="66">
        <f>'Project Database'!S389</f>
        <v/>
      </c>
      <c r="P385" s="66">
        <f>'Project Database'!T389</f>
        <v/>
      </c>
      <c r="Q385" s="66">
        <f>'Project Database'!U389</f>
        <v/>
      </c>
      <c r="R385" s="66">
        <f>'Project Database'!V389</f>
        <v/>
      </c>
      <c r="S385" s="66">
        <f>'Project Database'!W389</f>
        <v/>
      </c>
      <c r="T385" s="66">
        <f>'Project Database'!X389</f>
        <v/>
      </c>
      <c r="U385" s="67">
        <f>'Project Database'!Y389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'Project Database'!Z389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IF(AND('Project Database'!A389&lt;&gt;"",OR('Smart Search'!$L$5="",'Smart Search'!$L$5="All",TRIM('Project Database'!D389)=TRIM('Smart Search'!$L$5)),OR(TRIM('Smart Search'!$L$6)="",TRIM('Smart Search'!$L$6)="All",ISNUMBER(SEARCH(SUBSTITUTE(SUBSTITUTE(SUBSTITUTE(TRIM('Smart Search'!$L$6),"~","~~"),"*","~*"),"?","~?"),'Project Database'!C389))),OR('Smart Search'!$L$7="",AND('Project Database'!E389&lt;&gt;"",'Project Database'!E389='Smart Search'!$L$7)),OR('Smart Search'!$L$8="",'Smart Search'!$L$8="All",TRIM('Project Database'!F389)=TRIM('Smart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IF('Project Database'!A389="","",N('Project Database'!AC389))</f>
        <v/>
      </c>
      <c r="BK385" s="5">
        <f>IF('Project Database'!A389="","",N('Project Database'!AD389))</f>
        <v/>
      </c>
      <c r="BL385" s="5">
        <f>IF('Project Database'!A389="","",N('Project Database'!AE389))</f>
        <v/>
      </c>
      <c r="BM385" s="5">
        <f>IF('Project Database'!A389="","",N('Project Database'!AF389))</f>
        <v/>
      </c>
      <c r="BN385" s="5">
        <f>IF('Project Database'!A389="","",N('Project Database'!AG389))</f>
        <v/>
      </c>
      <c r="BO385" s="5">
        <f>IF('Project Database'!A389="","",N('Project Database'!AH389))</f>
        <v/>
      </c>
      <c r="BP385" s="5">
        <f>IF('Project Database'!A389="","",N('Project Database'!AI389))</f>
        <v/>
      </c>
      <c r="BQ385" s="5">
        <f>IF('Project Database'!A389="","",N('Project Database'!AJ389))</f>
        <v/>
      </c>
      <c r="BR385" s="5">
        <f>IF('Project Database'!A389="","",N('Project Database'!AK389))</f>
        <v/>
      </c>
      <c r="BS385" s="5">
        <f>IF('Project Database'!A389="","",N('Project Database'!AL389))</f>
        <v/>
      </c>
      <c r="BT385" s="5">
        <f>IF('Project Database'!A389="","",N('Project Database'!AM389))</f>
        <v/>
      </c>
      <c r="BU385" s="5">
        <f>IF('Project Database'!A389="","",N('Project Database'!AN389))</f>
        <v/>
      </c>
      <c r="BV385" s="5">
        <f>IF('Project Database'!A389="","",N('Project Database'!AO389))</f>
        <v/>
      </c>
      <c r="BW385" s="5">
        <f>IF('Project Database'!A389="","",N('Project Database'!AP389))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</row>
    <row r="386" ht="15" customHeight="1" s="74">
      <c r="A386" s="66">
        <f>'Project Database'!A390</f>
        <v/>
      </c>
      <c r="B386" s="66">
        <f>'Project Database'!B390</f>
        <v/>
      </c>
      <c r="C386" s="66">
        <f>'Project Database'!G390</f>
        <v/>
      </c>
      <c r="D386" s="66">
        <f>'Project Database'!H390</f>
        <v/>
      </c>
      <c r="E386" s="66">
        <f>'Project Database'!I390</f>
        <v/>
      </c>
      <c r="F386" s="66">
        <f>'Project Database'!J390</f>
        <v/>
      </c>
      <c r="G386" s="66">
        <f>'Project Database'!K390</f>
        <v/>
      </c>
      <c r="H386" s="66">
        <f>'Project Database'!L390</f>
        <v/>
      </c>
      <c r="I386" s="66">
        <f>'Project Database'!M390</f>
        <v/>
      </c>
      <c r="J386" s="66">
        <f>'Project Database'!N390</f>
        <v/>
      </c>
      <c r="K386" s="66">
        <f>'Project Database'!O390</f>
        <v/>
      </c>
      <c r="L386" s="66">
        <f>'Project Database'!P390</f>
        <v/>
      </c>
      <c r="M386" s="66">
        <f>'Project Database'!Q390</f>
        <v/>
      </c>
      <c r="N386" s="66">
        <f>'Project Database'!R390</f>
        <v/>
      </c>
      <c r="O386" s="66">
        <f>'Project Database'!S390</f>
        <v/>
      </c>
      <c r="P386" s="66">
        <f>'Project Database'!T390</f>
        <v/>
      </c>
      <c r="Q386" s="66">
        <f>'Project Database'!U390</f>
        <v/>
      </c>
      <c r="R386" s="66">
        <f>'Project Database'!V390</f>
        <v/>
      </c>
      <c r="S386" s="66">
        <f>'Project Database'!W390</f>
        <v/>
      </c>
      <c r="T386" s="66">
        <f>'Project Database'!X390</f>
        <v/>
      </c>
      <c r="U386" s="67">
        <f>'Project Database'!Y390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'Project Database'!Z390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IF(AND('Project Database'!A390&lt;&gt;"",OR('Smart Search'!$L$5="",'Smart Search'!$L$5="All",TRIM('Project Database'!D390)=TRIM('Smart Search'!$L$5)),OR(TRIM('Smart Search'!$L$6)="",TRIM('Smart Search'!$L$6)="All",ISNUMBER(SEARCH(SUBSTITUTE(SUBSTITUTE(SUBSTITUTE(TRIM('Smart Search'!$L$6),"~","~~"),"*","~*"),"?","~?"),'Project Database'!C390))),OR('Smart Search'!$L$7="",AND('Project Database'!E390&lt;&gt;"",'Project Database'!E390='Smart Search'!$L$7)),OR('Smart Search'!$L$8="",'Smart Search'!$L$8="All",TRIM('Project Database'!F390)=TRIM('Smart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IF('Project Database'!A390="","",N('Project Database'!AC390))</f>
        <v/>
      </c>
      <c r="BK386" s="5">
        <f>IF('Project Database'!A390="","",N('Project Database'!AD390))</f>
        <v/>
      </c>
      <c r="BL386" s="5">
        <f>IF('Project Database'!A390="","",N('Project Database'!AE390))</f>
        <v/>
      </c>
      <c r="BM386" s="5">
        <f>IF('Project Database'!A390="","",N('Project Database'!AF390))</f>
        <v/>
      </c>
      <c r="BN386" s="5">
        <f>IF('Project Database'!A390="","",N('Project Database'!AG390))</f>
        <v/>
      </c>
      <c r="BO386" s="5">
        <f>IF('Project Database'!A390="","",N('Project Database'!AH390))</f>
        <v/>
      </c>
      <c r="BP386" s="5">
        <f>IF('Project Database'!A390="","",N('Project Database'!AI390))</f>
        <v/>
      </c>
      <c r="BQ386" s="5">
        <f>IF('Project Database'!A390="","",N('Project Database'!AJ390))</f>
        <v/>
      </c>
      <c r="BR386" s="5">
        <f>IF('Project Database'!A390="","",N('Project Database'!AK390))</f>
        <v/>
      </c>
      <c r="BS386" s="5">
        <f>IF('Project Database'!A390="","",N('Project Database'!AL390))</f>
        <v/>
      </c>
      <c r="BT386" s="5">
        <f>IF('Project Database'!A390="","",N('Project Database'!AM390))</f>
        <v/>
      </c>
      <c r="BU386" s="5">
        <f>IF('Project Database'!A390="","",N('Project Database'!AN390))</f>
        <v/>
      </c>
      <c r="BV386" s="5">
        <f>IF('Project Database'!A390="","",N('Project Database'!AO390))</f>
        <v/>
      </c>
      <c r="BW386" s="5">
        <f>IF('Project Database'!A390="","",N('Project Database'!AP390))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</row>
    <row r="387" ht="15" customHeight="1" s="74">
      <c r="A387" s="66">
        <f>'Project Database'!A391</f>
        <v/>
      </c>
      <c r="B387" s="66">
        <f>'Project Database'!B391</f>
        <v/>
      </c>
      <c r="C387" s="66">
        <f>'Project Database'!G391</f>
        <v/>
      </c>
      <c r="D387" s="66">
        <f>'Project Database'!H391</f>
        <v/>
      </c>
      <c r="E387" s="66">
        <f>'Project Database'!I391</f>
        <v/>
      </c>
      <c r="F387" s="66">
        <f>'Project Database'!J391</f>
        <v/>
      </c>
      <c r="G387" s="66">
        <f>'Project Database'!K391</f>
        <v/>
      </c>
      <c r="H387" s="66">
        <f>'Project Database'!L391</f>
        <v/>
      </c>
      <c r="I387" s="66">
        <f>'Project Database'!M391</f>
        <v/>
      </c>
      <c r="J387" s="66">
        <f>'Project Database'!N391</f>
        <v/>
      </c>
      <c r="K387" s="66">
        <f>'Project Database'!O391</f>
        <v/>
      </c>
      <c r="L387" s="66">
        <f>'Project Database'!P391</f>
        <v/>
      </c>
      <c r="M387" s="66">
        <f>'Project Database'!Q391</f>
        <v/>
      </c>
      <c r="N387" s="66">
        <f>'Project Database'!R391</f>
        <v/>
      </c>
      <c r="O387" s="66">
        <f>'Project Database'!S391</f>
        <v/>
      </c>
      <c r="P387" s="66">
        <f>'Project Database'!T391</f>
        <v/>
      </c>
      <c r="Q387" s="66">
        <f>'Project Database'!U391</f>
        <v/>
      </c>
      <c r="R387" s="66">
        <f>'Project Database'!V391</f>
        <v/>
      </c>
      <c r="S387" s="66">
        <f>'Project Database'!W391</f>
        <v/>
      </c>
      <c r="T387" s="66">
        <f>'Project Database'!X391</f>
        <v/>
      </c>
      <c r="U387" s="67">
        <f>'Project Database'!Y391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'Project Database'!Z391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IF(AND('Project Database'!A391&lt;&gt;"",OR('Smart Search'!$L$5="",'Smart Search'!$L$5="All",TRIM('Project Database'!D391)=TRIM('Smart Search'!$L$5)),OR(TRIM('Smart Search'!$L$6)="",TRIM('Smart Search'!$L$6)="All",ISNUMBER(SEARCH(SUBSTITUTE(SUBSTITUTE(SUBSTITUTE(TRIM('Smart Search'!$L$6),"~","~~"),"*","~*"),"?","~?"),'Project Database'!C391))),OR('Smart Search'!$L$7="",AND('Project Database'!E391&lt;&gt;"",'Project Database'!E391='Smart Search'!$L$7)),OR('Smart Search'!$L$8="",'Smart Search'!$L$8="All",TRIM('Project Database'!F391)=TRIM('Smart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IF('Project Database'!A391="","",N('Project Database'!AC391))</f>
        <v/>
      </c>
      <c r="BK387" s="5">
        <f>IF('Project Database'!A391="","",N('Project Database'!AD391))</f>
        <v/>
      </c>
      <c r="BL387" s="5">
        <f>IF('Project Database'!A391="","",N('Project Database'!AE391))</f>
        <v/>
      </c>
      <c r="BM387" s="5">
        <f>IF('Project Database'!A391="","",N('Project Database'!AF391))</f>
        <v/>
      </c>
      <c r="BN387" s="5">
        <f>IF('Project Database'!A391="","",N('Project Database'!AG391))</f>
        <v/>
      </c>
      <c r="BO387" s="5">
        <f>IF('Project Database'!A391="","",N('Project Database'!AH391))</f>
        <v/>
      </c>
      <c r="BP387" s="5">
        <f>IF('Project Database'!A391="","",N('Project Database'!AI391))</f>
        <v/>
      </c>
      <c r="BQ387" s="5">
        <f>IF('Project Database'!A391="","",N('Project Database'!AJ391))</f>
        <v/>
      </c>
      <c r="BR387" s="5">
        <f>IF('Project Database'!A391="","",N('Project Database'!AK391))</f>
        <v/>
      </c>
      <c r="BS387" s="5">
        <f>IF('Project Database'!A391="","",N('Project Database'!AL391))</f>
        <v/>
      </c>
      <c r="BT387" s="5">
        <f>IF('Project Database'!A391="","",N('Project Database'!AM391))</f>
        <v/>
      </c>
      <c r="BU387" s="5">
        <f>IF('Project Database'!A391="","",N('Project Database'!AN391))</f>
        <v/>
      </c>
      <c r="BV387" s="5">
        <f>IF('Project Database'!A391="","",N('Project Database'!AO391))</f>
        <v/>
      </c>
      <c r="BW387" s="5">
        <f>IF('Project Database'!A391="","",N('Project Database'!AP391))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</row>
    <row r="388" ht="15" customHeight="1" s="74">
      <c r="A388" s="66">
        <f>'Project Database'!A392</f>
        <v/>
      </c>
      <c r="B388" s="66">
        <f>'Project Database'!B392</f>
        <v/>
      </c>
      <c r="C388" s="66">
        <f>'Project Database'!G392</f>
        <v/>
      </c>
      <c r="D388" s="66">
        <f>'Project Database'!H392</f>
        <v/>
      </c>
      <c r="E388" s="66">
        <f>'Project Database'!I392</f>
        <v/>
      </c>
      <c r="F388" s="66">
        <f>'Project Database'!J392</f>
        <v/>
      </c>
      <c r="G388" s="66">
        <f>'Project Database'!K392</f>
        <v/>
      </c>
      <c r="H388" s="66">
        <f>'Project Database'!L392</f>
        <v/>
      </c>
      <c r="I388" s="66">
        <f>'Project Database'!M392</f>
        <v/>
      </c>
      <c r="J388" s="66">
        <f>'Project Database'!N392</f>
        <v/>
      </c>
      <c r="K388" s="66">
        <f>'Project Database'!O392</f>
        <v/>
      </c>
      <c r="L388" s="66">
        <f>'Project Database'!P392</f>
        <v/>
      </c>
      <c r="M388" s="66">
        <f>'Project Database'!Q392</f>
        <v/>
      </c>
      <c r="N388" s="66">
        <f>'Project Database'!R392</f>
        <v/>
      </c>
      <c r="O388" s="66">
        <f>'Project Database'!S392</f>
        <v/>
      </c>
      <c r="P388" s="66">
        <f>'Project Database'!T392</f>
        <v/>
      </c>
      <c r="Q388" s="66">
        <f>'Project Database'!U392</f>
        <v/>
      </c>
      <c r="R388" s="66">
        <f>'Project Database'!V392</f>
        <v/>
      </c>
      <c r="S388" s="66">
        <f>'Project Database'!W392</f>
        <v/>
      </c>
      <c r="T388" s="66">
        <f>'Project Database'!X392</f>
        <v/>
      </c>
      <c r="U388" s="67">
        <f>'Project Database'!Y392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'Project Database'!Z392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IF(AND('Project Database'!A392&lt;&gt;"",OR('Smart Search'!$L$5="",'Smart Search'!$L$5="All",TRIM('Project Database'!D392)=TRIM('Smart Search'!$L$5)),OR(TRIM('Smart Search'!$L$6)="",TRIM('Smart Search'!$L$6)="All",ISNUMBER(SEARCH(SUBSTITUTE(SUBSTITUTE(SUBSTITUTE(TRIM('Smart Search'!$L$6),"~","~~"),"*","~*"),"?","~?"),'Project Database'!C392))),OR('Smart Search'!$L$7="",AND('Project Database'!E392&lt;&gt;"",'Project Database'!E392='Smart Search'!$L$7)),OR('Smart Search'!$L$8="",'Smart Search'!$L$8="All",TRIM('Project Database'!F392)=TRIM('Smart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IF('Project Database'!A392="","",N('Project Database'!AC392))</f>
        <v/>
      </c>
      <c r="BK388" s="5">
        <f>IF('Project Database'!A392="","",N('Project Database'!AD392))</f>
        <v/>
      </c>
      <c r="BL388" s="5">
        <f>IF('Project Database'!A392="","",N('Project Database'!AE392))</f>
        <v/>
      </c>
      <c r="BM388" s="5">
        <f>IF('Project Database'!A392="","",N('Project Database'!AF392))</f>
        <v/>
      </c>
      <c r="BN388" s="5">
        <f>IF('Project Database'!A392="","",N('Project Database'!AG392))</f>
        <v/>
      </c>
      <c r="BO388" s="5">
        <f>IF('Project Database'!A392="","",N('Project Database'!AH392))</f>
        <v/>
      </c>
      <c r="BP388" s="5">
        <f>IF('Project Database'!A392="","",N('Project Database'!AI392))</f>
        <v/>
      </c>
      <c r="BQ388" s="5">
        <f>IF('Project Database'!A392="","",N('Project Database'!AJ392))</f>
        <v/>
      </c>
      <c r="BR388" s="5">
        <f>IF('Project Database'!A392="","",N('Project Database'!AK392))</f>
        <v/>
      </c>
      <c r="BS388" s="5">
        <f>IF('Project Database'!A392="","",N('Project Database'!AL392))</f>
        <v/>
      </c>
      <c r="BT388" s="5">
        <f>IF('Project Database'!A392="","",N('Project Database'!AM392))</f>
        <v/>
      </c>
      <c r="BU388" s="5">
        <f>IF('Project Database'!A392="","",N('Project Database'!AN392))</f>
        <v/>
      </c>
      <c r="BV388" s="5">
        <f>IF('Project Database'!A392="","",N('Project Database'!AO392))</f>
        <v/>
      </c>
      <c r="BW388" s="5">
        <f>IF('Project Database'!A392="","",N('Project Database'!AP392))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</row>
    <row r="389" ht="15" customHeight="1" s="74">
      <c r="A389" s="66">
        <f>'Project Database'!A393</f>
        <v/>
      </c>
      <c r="B389" s="66">
        <f>'Project Database'!B393</f>
        <v/>
      </c>
      <c r="C389" s="66">
        <f>'Project Database'!G393</f>
        <v/>
      </c>
      <c r="D389" s="66">
        <f>'Project Database'!H393</f>
        <v/>
      </c>
      <c r="E389" s="66">
        <f>'Project Database'!I393</f>
        <v/>
      </c>
      <c r="F389" s="66">
        <f>'Project Database'!J393</f>
        <v/>
      </c>
      <c r="G389" s="66">
        <f>'Project Database'!K393</f>
        <v/>
      </c>
      <c r="H389" s="66">
        <f>'Project Database'!L393</f>
        <v/>
      </c>
      <c r="I389" s="66">
        <f>'Project Database'!M393</f>
        <v/>
      </c>
      <c r="J389" s="66">
        <f>'Project Database'!N393</f>
        <v/>
      </c>
      <c r="K389" s="66">
        <f>'Project Database'!O393</f>
        <v/>
      </c>
      <c r="L389" s="66">
        <f>'Project Database'!P393</f>
        <v/>
      </c>
      <c r="M389" s="66">
        <f>'Project Database'!Q393</f>
        <v/>
      </c>
      <c r="N389" s="66">
        <f>'Project Database'!R393</f>
        <v/>
      </c>
      <c r="O389" s="66">
        <f>'Project Database'!S393</f>
        <v/>
      </c>
      <c r="P389" s="66">
        <f>'Project Database'!T393</f>
        <v/>
      </c>
      <c r="Q389" s="66">
        <f>'Project Database'!U393</f>
        <v/>
      </c>
      <c r="R389" s="66">
        <f>'Project Database'!V393</f>
        <v/>
      </c>
      <c r="S389" s="66">
        <f>'Project Database'!W393</f>
        <v/>
      </c>
      <c r="T389" s="66">
        <f>'Project Database'!X393</f>
        <v/>
      </c>
      <c r="U389" s="67">
        <f>'Project Database'!Y393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'Project Database'!Z393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IF(AND('Project Database'!A393&lt;&gt;"",OR('Smart Search'!$L$5="",'Smart Search'!$L$5="All",TRIM('Project Database'!D393)=TRIM('Smart Search'!$L$5)),OR(TRIM('Smart Search'!$L$6)="",TRIM('Smart Search'!$L$6)="All",ISNUMBER(SEARCH(SUBSTITUTE(SUBSTITUTE(SUBSTITUTE(TRIM('Smart Search'!$L$6),"~","~~"),"*","~*"),"?","~?"),'Project Database'!C393))),OR('Smart Search'!$L$7="",AND('Project Database'!E393&lt;&gt;"",'Project Database'!E393='Smart Search'!$L$7)),OR('Smart Search'!$L$8="",'Smart Search'!$L$8="All",TRIM('Project Database'!F393)=TRIM('Smart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IF('Project Database'!A393="","",N('Project Database'!AC393))</f>
        <v/>
      </c>
      <c r="BK389" s="5">
        <f>IF('Project Database'!A393="","",N('Project Database'!AD393))</f>
        <v/>
      </c>
      <c r="BL389" s="5">
        <f>IF('Project Database'!A393="","",N('Project Database'!AE393))</f>
        <v/>
      </c>
      <c r="BM389" s="5">
        <f>IF('Project Database'!A393="","",N('Project Database'!AF393))</f>
        <v/>
      </c>
      <c r="BN389" s="5">
        <f>IF('Project Database'!A393="","",N('Project Database'!AG393))</f>
        <v/>
      </c>
      <c r="BO389" s="5">
        <f>IF('Project Database'!A393="","",N('Project Database'!AH393))</f>
        <v/>
      </c>
      <c r="BP389" s="5">
        <f>IF('Project Database'!A393="","",N('Project Database'!AI393))</f>
        <v/>
      </c>
      <c r="BQ389" s="5">
        <f>IF('Project Database'!A393="","",N('Project Database'!AJ393))</f>
        <v/>
      </c>
      <c r="BR389" s="5">
        <f>IF('Project Database'!A393="","",N('Project Database'!AK393))</f>
        <v/>
      </c>
      <c r="BS389" s="5">
        <f>IF('Project Database'!A393="","",N('Project Database'!AL393))</f>
        <v/>
      </c>
      <c r="BT389" s="5">
        <f>IF('Project Database'!A393="","",N('Project Database'!AM393))</f>
        <v/>
      </c>
      <c r="BU389" s="5">
        <f>IF('Project Database'!A393="","",N('Project Database'!AN393))</f>
        <v/>
      </c>
      <c r="BV389" s="5">
        <f>IF('Project Database'!A393="","",N('Project Database'!AO393))</f>
        <v/>
      </c>
      <c r="BW389" s="5">
        <f>IF('Project Database'!A393="","",N('Project Database'!AP393))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</row>
    <row r="390" ht="15" customHeight="1" s="74">
      <c r="A390" s="66">
        <f>'Project Database'!A394</f>
        <v/>
      </c>
      <c r="B390" s="66">
        <f>'Project Database'!B394</f>
        <v/>
      </c>
      <c r="C390" s="66">
        <f>'Project Database'!G394</f>
        <v/>
      </c>
      <c r="D390" s="66">
        <f>'Project Database'!H394</f>
        <v/>
      </c>
      <c r="E390" s="66">
        <f>'Project Database'!I394</f>
        <v/>
      </c>
      <c r="F390" s="66">
        <f>'Project Database'!J394</f>
        <v/>
      </c>
      <c r="G390" s="66">
        <f>'Project Database'!K394</f>
        <v/>
      </c>
      <c r="H390" s="66">
        <f>'Project Database'!L394</f>
        <v/>
      </c>
      <c r="I390" s="66">
        <f>'Project Database'!M394</f>
        <v/>
      </c>
      <c r="J390" s="66">
        <f>'Project Database'!N394</f>
        <v/>
      </c>
      <c r="K390" s="66">
        <f>'Project Database'!O394</f>
        <v/>
      </c>
      <c r="L390" s="66">
        <f>'Project Database'!P394</f>
        <v/>
      </c>
      <c r="M390" s="66">
        <f>'Project Database'!Q394</f>
        <v/>
      </c>
      <c r="N390" s="66">
        <f>'Project Database'!R394</f>
        <v/>
      </c>
      <c r="O390" s="66">
        <f>'Project Database'!S394</f>
        <v/>
      </c>
      <c r="P390" s="66">
        <f>'Project Database'!T394</f>
        <v/>
      </c>
      <c r="Q390" s="66">
        <f>'Project Database'!U394</f>
        <v/>
      </c>
      <c r="R390" s="66">
        <f>'Project Database'!V394</f>
        <v/>
      </c>
      <c r="S390" s="66">
        <f>'Project Database'!W394</f>
        <v/>
      </c>
      <c r="T390" s="66">
        <f>'Project Database'!X394</f>
        <v/>
      </c>
      <c r="U390" s="67">
        <f>'Project Database'!Y394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'Project Database'!Z394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IF(AND('Project Database'!A394&lt;&gt;"",OR('Smart Search'!$L$5="",'Smart Search'!$L$5="All",TRIM('Project Database'!D394)=TRIM('Smart Search'!$L$5)),OR(TRIM('Smart Search'!$L$6)="",TRIM('Smart Search'!$L$6)="All",ISNUMBER(SEARCH(SUBSTITUTE(SUBSTITUTE(SUBSTITUTE(TRIM('Smart Search'!$L$6),"~","~~"),"*","~*"),"?","~?"),'Project Database'!C394))),OR('Smart Search'!$L$7="",AND('Project Database'!E394&lt;&gt;"",'Project Database'!E394='Smart Search'!$L$7)),OR('Smart Search'!$L$8="",'Smart Search'!$L$8="All",TRIM('Project Database'!F394)=TRIM('Smart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IF('Project Database'!A394="","",N('Project Database'!AC394))</f>
        <v/>
      </c>
      <c r="BK390" s="5">
        <f>IF('Project Database'!A394="","",N('Project Database'!AD394))</f>
        <v/>
      </c>
      <c r="BL390" s="5">
        <f>IF('Project Database'!A394="","",N('Project Database'!AE394))</f>
        <v/>
      </c>
      <c r="BM390" s="5">
        <f>IF('Project Database'!A394="","",N('Project Database'!AF394))</f>
        <v/>
      </c>
      <c r="BN390" s="5">
        <f>IF('Project Database'!A394="","",N('Project Database'!AG394))</f>
        <v/>
      </c>
      <c r="BO390" s="5">
        <f>IF('Project Database'!A394="","",N('Project Database'!AH394))</f>
        <v/>
      </c>
      <c r="BP390" s="5">
        <f>IF('Project Database'!A394="","",N('Project Database'!AI394))</f>
        <v/>
      </c>
      <c r="BQ390" s="5">
        <f>IF('Project Database'!A394="","",N('Project Database'!AJ394))</f>
        <v/>
      </c>
      <c r="BR390" s="5">
        <f>IF('Project Database'!A394="","",N('Project Database'!AK394))</f>
        <v/>
      </c>
      <c r="BS390" s="5">
        <f>IF('Project Database'!A394="","",N('Project Database'!AL394))</f>
        <v/>
      </c>
      <c r="BT390" s="5">
        <f>IF('Project Database'!A394="","",N('Project Database'!AM394))</f>
        <v/>
      </c>
      <c r="BU390" s="5">
        <f>IF('Project Database'!A394="","",N('Project Database'!AN394))</f>
        <v/>
      </c>
      <c r="BV390" s="5">
        <f>IF('Project Database'!A394="","",N('Project Database'!AO394))</f>
        <v/>
      </c>
      <c r="BW390" s="5">
        <f>IF('Project Database'!A394="","",N('Project Database'!AP394))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</row>
    <row r="391" ht="15" customHeight="1" s="74">
      <c r="A391" s="66">
        <f>'Project Database'!A395</f>
        <v/>
      </c>
      <c r="B391" s="66">
        <f>'Project Database'!B395</f>
        <v/>
      </c>
      <c r="C391" s="66">
        <f>'Project Database'!G395</f>
        <v/>
      </c>
      <c r="D391" s="66">
        <f>'Project Database'!H395</f>
        <v/>
      </c>
      <c r="E391" s="66">
        <f>'Project Database'!I395</f>
        <v/>
      </c>
      <c r="F391" s="66">
        <f>'Project Database'!J395</f>
        <v/>
      </c>
      <c r="G391" s="66">
        <f>'Project Database'!K395</f>
        <v/>
      </c>
      <c r="H391" s="66">
        <f>'Project Database'!L395</f>
        <v/>
      </c>
      <c r="I391" s="66">
        <f>'Project Database'!M395</f>
        <v/>
      </c>
      <c r="J391" s="66">
        <f>'Project Database'!N395</f>
        <v/>
      </c>
      <c r="K391" s="66">
        <f>'Project Database'!O395</f>
        <v/>
      </c>
      <c r="L391" s="66">
        <f>'Project Database'!P395</f>
        <v/>
      </c>
      <c r="M391" s="66">
        <f>'Project Database'!Q395</f>
        <v/>
      </c>
      <c r="N391" s="66">
        <f>'Project Database'!R395</f>
        <v/>
      </c>
      <c r="O391" s="66">
        <f>'Project Database'!S395</f>
        <v/>
      </c>
      <c r="P391" s="66">
        <f>'Project Database'!T395</f>
        <v/>
      </c>
      <c r="Q391" s="66">
        <f>'Project Database'!U395</f>
        <v/>
      </c>
      <c r="R391" s="66">
        <f>'Project Database'!V395</f>
        <v/>
      </c>
      <c r="S391" s="66">
        <f>'Project Database'!W395</f>
        <v/>
      </c>
      <c r="T391" s="66">
        <f>'Project Database'!X395</f>
        <v/>
      </c>
      <c r="U391" s="67">
        <f>'Project Database'!Y395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'Project Database'!Z395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IF(AND('Project Database'!A395&lt;&gt;"",OR('Smart Search'!$L$5="",'Smart Search'!$L$5="All",TRIM('Project Database'!D395)=TRIM('Smart Search'!$L$5)),OR(TRIM('Smart Search'!$L$6)="",TRIM('Smart Search'!$L$6)="All",ISNUMBER(SEARCH(SUBSTITUTE(SUBSTITUTE(SUBSTITUTE(TRIM('Smart Search'!$L$6),"~","~~"),"*","~*"),"?","~?"),'Project Database'!C395))),OR('Smart Search'!$L$7="",AND('Project Database'!E395&lt;&gt;"",'Project Database'!E395='Smart Search'!$L$7)),OR('Smart Search'!$L$8="",'Smart Search'!$L$8="All",TRIM('Project Database'!F395)=TRIM('Smart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IF('Project Database'!A395="","",N('Project Database'!AC395))</f>
        <v/>
      </c>
      <c r="BK391" s="5">
        <f>IF('Project Database'!A395="","",N('Project Database'!AD395))</f>
        <v/>
      </c>
      <c r="BL391" s="5">
        <f>IF('Project Database'!A395="","",N('Project Database'!AE395))</f>
        <v/>
      </c>
      <c r="BM391" s="5">
        <f>IF('Project Database'!A395="","",N('Project Database'!AF395))</f>
        <v/>
      </c>
      <c r="BN391" s="5">
        <f>IF('Project Database'!A395="","",N('Project Database'!AG395))</f>
        <v/>
      </c>
      <c r="BO391" s="5">
        <f>IF('Project Database'!A395="","",N('Project Database'!AH395))</f>
        <v/>
      </c>
      <c r="BP391" s="5">
        <f>IF('Project Database'!A395="","",N('Project Database'!AI395))</f>
        <v/>
      </c>
      <c r="BQ391" s="5">
        <f>IF('Project Database'!A395="","",N('Project Database'!AJ395))</f>
        <v/>
      </c>
      <c r="BR391" s="5">
        <f>IF('Project Database'!A395="","",N('Project Database'!AK395))</f>
        <v/>
      </c>
      <c r="BS391" s="5">
        <f>IF('Project Database'!A395="","",N('Project Database'!AL395))</f>
        <v/>
      </c>
      <c r="BT391" s="5">
        <f>IF('Project Database'!A395="","",N('Project Database'!AM395))</f>
        <v/>
      </c>
      <c r="BU391" s="5">
        <f>IF('Project Database'!A395="","",N('Project Database'!AN395))</f>
        <v/>
      </c>
      <c r="BV391" s="5">
        <f>IF('Project Database'!A395="","",N('Project Database'!AO395))</f>
        <v/>
      </c>
      <c r="BW391" s="5">
        <f>IF('Project Database'!A395="","",N('Project Database'!AP395))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</row>
    <row r="392" ht="15" customHeight="1" s="74">
      <c r="A392" s="66">
        <f>'Project Database'!A396</f>
        <v/>
      </c>
      <c r="B392" s="66">
        <f>'Project Database'!B396</f>
        <v/>
      </c>
      <c r="C392" s="66">
        <f>'Project Database'!G396</f>
        <v/>
      </c>
      <c r="D392" s="66">
        <f>'Project Database'!H396</f>
        <v/>
      </c>
      <c r="E392" s="66">
        <f>'Project Database'!I396</f>
        <v/>
      </c>
      <c r="F392" s="66">
        <f>'Project Database'!J396</f>
        <v/>
      </c>
      <c r="G392" s="66">
        <f>'Project Database'!K396</f>
        <v/>
      </c>
      <c r="H392" s="66">
        <f>'Project Database'!L396</f>
        <v/>
      </c>
      <c r="I392" s="66">
        <f>'Project Database'!M396</f>
        <v/>
      </c>
      <c r="J392" s="66">
        <f>'Project Database'!N396</f>
        <v/>
      </c>
      <c r="K392" s="66">
        <f>'Project Database'!O396</f>
        <v/>
      </c>
      <c r="L392" s="66">
        <f>'Project Database'!P396</f>
        <v/>
      </c>
      <c r="M392" s="66">
        <f>'Project Database'!Q396</f>
        <v/>
      </c>
      <c r="N392" s="66">
        <f>'Project Database'!R396</f>
        <v/>
      </c>
      <c r="O392" s="66">
        <f>'Project Database'!S396</f>
        <v/>
      </c>
      <c r="P392" s="66">
        <f>'Project Database'!T396</f>
        <v/>
      </c>
      <c r="Q392" s="66">
        <f>'Project Database'!U396</f>
        <v/>
      </c>
      <c r="R392" s="66">
        <f>'Project Database'!V396</f>
        <v/>
      </c>
      <c r="S392" s="66">
        <f>'Project Database'!W396</f>
        <v/>
      </c>
      <c r="T392" s="66">
        <f>'Project Database'!X396</f>
        <v/>
      </c>
      <c r="U392" s="67">
        <f>'Project Database'!Y396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'Project Database'!Z396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IF(AND('Project Database'!A396&lt;&gt;"",OR('Smart Search'!$L$5="",'Smart Search'!$L$5="All",TRIM('Project Database'!D396)=TRIM('Smart Search'!$L$5)),OR(TRIM('Smart Search'!$L$6)="",TRIM('Smart Search'!$L$6)="All",ISNUMBER(SEARCH(SUBSTITUTE(SUBSTITUTE(SUBSTITUTE(TRIM('Smart Search'!$L$6),"~","~~"),"*","~*"),"?","~?"),'Project Database'!C396))),OR('Smart Search'!$L$7="",AND('Project Database'!E396&lt;&gt;"",'Project Database'!E396='Smart Search'!$L$7)),OR('Smart Search'!$L$8="",'Smart Search'!$L$8="All",TRIM('Project Database'!F396)=TRIM('Smart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IF('Project Database'!A396="","",N('Project Database'!AC396))</f>
        <v/>
      </c>
      <c r="BK392" s="5">
        <f>IF('Project Database'!A396="","",N('Project Database'!AD396))</f>
        <v/>
      </c>
      <c r="BL392" s="5">
        <f>IF('Project Database'!A396="","",N('Project Database'!AE396))</f>
        <v/>
      </c>
      <c r="BM392" s="5">
        <f>IF('Project Database'!A396="","",N('Project Database'!AF396))</f>
        <v/>
      </c>
      <c r="BN392" s="5">
        <f>IF('Project Database'!A396="","",N('Project Database'!AG396))</f>
        <v/>
      </c>
      <c r="BO392" s="5">
        <f>IF('Project Database'!A396="","",N('Project Database'!AH396))</f>
        <v/>
      </c>
      <c r="BP392" s="5">
        <f>IF('Project Database'!A396="","",N('Project Database'!AI396))</f>
        <v/>
      </c>
      <c r="BQ392" s="5">
        <f>IF('Project Database'!A396="","",N('Project Database'!AJ396))</f>
        <v/>
      </c>
      <c r="BR392" s="5">
        <f>IF('Project Database'!A396="","",N('Project Database'!AK396))</f>
        <v/>
      </c>
      <c r="BS392" s="5">
        <f>IF('Project Database'!A396="","",N('Project Database'!AL396))</f>
        <v/>
      </c>
      <c r="BT392" s="5">
        <f>IF('Project Database'!A396="","",N('Project Database'!AM396))</f>
        <v/>
      </c>
      <c r="BU392" s="5">
        <f>IF('Project Database'!A396="","",N('Project Database'!AN396))</f>
        <v/>
      </c>
      <c r="BV392" s="5">
        <f>IF('Project Database'!A396="","",N('Project Database'!AO396))</f>
        <v/>
      </c>
      <c r="BW392" s="5">
        <f>IF('Project Database'!A396="","",N('Project Database'!AP396))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</row>
    <row r="393" ht="15" customHeight="1" s="74">
      <c r="A393" s="66">
        <f>'Project Database'!A397</f>
        <v/>
      </c>
      <c r="B393" s="66">
        <f>'Project Database'!B397</f>
        <v/>
      </c>
      <c r="C393" s="66">
        <f>'Project Database'!G397</f>
        <v/>
      </c>
      <c r="D393" s="66">
        <f>'Project Database'!H397</f>
        <v/>
      </c>
      <c r="E393" s="66">
        <f>'Project Database'!I397</f>
        <v/>
      </c>
      <c r="F393" s="66">
        <f>'Project Database'!J397</f>
        <v/>
      </c>
      <c r="G393" s="66">
        <f>'Project Database'!K397</f>
        <v/>
      </c>
      <c r="H393" s="66">
        <f>'Project Database'!L397</f>
        <v/>
      </c>
      <c r="I393" s="66">
        <f>'Project Database'!M397</f>
        <v/>
      </c>
      <c r="J393" s="66">
        <f>'Project Database'!N397</f>
        <v/>
      </c>
      <c r="K393" s="66">
        <f>'Project Database'!O397</f>
        <v/>
      </c>
      <c r="L393" s="66">
        <f>'Project Database'!P397</f>
        <v/>
      </c>
      <c r="M393" s="66">
        <f>'Project Database'!Q397</f>
        <v/>
      </c>
      <c r="N393" s="66">
        <f>'Project Database'!R397</f>
        <v/>
      </c>
      <c r="O393" s="66">
        <f>'Project Database'!S397</f>
        <v/>
      </c>
      <c r="P393" s="66">
        <f>'Project Database'!T397</f>
        <v/>
      </c>
      <c r="Q393" s="66">
        <f>'Project Database'!U397</f>
        <v/>
      </c>
      <c r="R393" s="66">
        <f>'Project Database'!V397</f>
        <v/>
      </c>
      <c r="S393" s="66">
        <f>'Project Database'!W397</f>
        <v/>
      </c>
      <c r="T393" s="66">
        <f>'Project Database'!X397</f>
        <v/>
      </c>
      <c r="U393" s="67">
        <f>'Project Database'!Y397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'Project Database'!Z397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IF(AND('Project Database'!A397&lt;&gt;"",OR('Smart Search'!$L$5="",'Smart Search'!$L$5="All",TRIM('Project Database'!D397)=TRIM('Smart Search'!$L$5)),OR(TRIM('Smart Search'!$L$6)="",TRIM('Smart Search'!$L$6)="All",ISNUMBER(SEARCH(SUBSTITUTE(SUBSTITUTE(SUBSTITUTE(TRIM('Smart Search'!$L$6),"~","~~"),"*","~*"),"?","~?"),'Project Database'!C397))),OR('Smart Search'!$L$7="",AND('Project Database'!E397&lt;&gt;"",'Project Database'!E397='Smart Search'!$L$7)),OR('Smart Search'!$L$8="",'Smart Search'!$L$8="All",TRIM('Project Database'!F397)=TRIM('Smart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IF('Project Database'!A397="","",N('Project Database'!AC397))</f>
        <v/>
      </c>
      <c r="BK393" s="5">
        <f>IF('Project Database'!A397="","",N('Project Database'!AD397))</f>
        <v/>
      </c>
      <c r="BL393" s="5">
        <f>IF('Project Database'!A397="","",N('Project Database'!AE397))</f>
        <v/>
      </c>
      <c r="BM393" s="5">
        <f>IF('Project Database'!A397="","",N('Project Database'!AF397))</f>
        <v/>
      </c>
      <c r="BN393" s="5">
        <f>IF('Project Database'!A397="","",N('Project Database'!AG397))</f>
        <v/>
      </c>
      <c r="BO393" s="5">
        <f>IF('Project Database'!A397="","",N('Project Database'!AH397))</f>
        <v/>
      </c>
      <c r="BP393" s="5">
        <f>IF('Project Database'!A397="","",N('Project Database'!AI397))</f>
        <v/>
      </c>
      <c r="BQ393" s="5">
        <f>IF('Project Database'!A397="","",N('Project Database'!AJ397))</f>
        <v/>
      </c>
      <c r="BR393" s="5">
        <f>IF('Project Database'!A397="","",N('Project Database'!AK397))</f>
        <v/>
      </c>
      <c r="BS393" s="5">
        <f>IF('Project Database'!A397="","",N('Project Database'!AL397))</f>
        <v/>
      </c>
      <c r="BT393" s="5">
        <f>IF('Project Database'!A397="","",N('Project Database'!AM397))</f>
        <v/>
      </c>
      <c r="BU393" s="5">
        <f>IF('Project Database'!A397="","",N('Project Database'!AN397))</f>
        <v/>
      </c>
      <c r="BV393" s="5">
        <f>IF('Project Database'!A397="","",N('Project Database'!AO397))</f>
        <v/>
      </c>
      <c r="BW393" s="5">
        <f>IF('Project Database'!A397="","",N('Project Database'!AP397))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</row>
    <row r="394" ht="15" customHeight="1" s="74">
      <c r="A394" s="66">
        <f>'Project Database'!A398</f>
        <v/>
      </c>
      <c r="B394" s="66">
        <f>'Project Database'!B398</f>
        <v/>
      </c>
      <c r="C394" s="66">
        <f>'Project Database'!G398</f>
        <v/>
      </c>
      <c r="D394" s="66">
        <f>'Project Database'!H398</f>
        <v/>
      </c>
      <c r="E394" s="66">
        <f>'Project Database'!I398</f>
        <v/>
      </c>
      <c r="F394" s="66">
        <f>'Project Database'!J398</f>
        <v/>
      </c>
      <c r="G394" s="66">
        <f>'Project Database'!K398</f>
        <v/>
      </c>
      <c r="H394" s="66">
        <f>'Project Database'!L398</f>
        <v/>
      </c>
      <c r="I394" s="66">
        <f>'Project Database'!M398</f>
        <v/>
      </c>
      <c r="J394" s="66">
        <f>'Project Database'!N398</f>
        <v/>
      </c>
      <c r="K394" s="66">
        <f>'Project Database'!O398</f>
        <v/>
      </c>
      <c r="L394" s="66">
        <f>'Project Database'!P398</f>
        <v/>
      </c>
      <c r="M394" s="66">
        <f>'Project Database'!Q398</f>
        <v/>
      </c>
      <c r="N394" s="66">
        <f>'Project Database'!R398</f>
        <v/>
      </c>
      <c r="O394" s="66">
        <f>'Project Database'!S398</f>
        <v/>
      </c>
      <c r="P394" s="66">
        <f>'Project Database'!T398</f>
        <v/>
      </c>
      <c r="Q394" s="66">
        <f>'Project Database'!U398</f>
        <v/>
      </c>
      <c r="R394" s="66">
        <f>'Project Database'!V398</f>
        <v/>
      </c>
      <c r="S394" s="66">
        <f>'Project Database'!W398</f>
        <v/>
      </c>
      <c r="T394" s="66">
        <f>'Project Database'!X398</f>
        <v/>
      </c>
      <c r="U394" s="67">
        <f>'Project Database'!Y398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'Project Database'!Z398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IF(AND('Project Database'!A398&lt;&gt;"",OR('Smart Search'!$L$5="",'Smart Search'!$L$5="All",TRIM('Project Database'!D398)=TRIM('Smart Search'!$L$5)),OR(TRIM('Smart Search'!$L$6)="",TRIM('Smart Search'!$L$6)="All",ISNUMBER(SEARCH(SUBSTITUTE(SUBSTITUTE(SUBSTITUTE(TRIM('Smart Search'!$L$6),"~","~~"),"*","~*"),"?","~?"),'Project Database'!C398))),OR('Smart Search'!$L$7="",AND('Project Database'!E398&lt;&gt;"",'Project Database'!E398='Smart Search'!$L$7)),OR('Smart Search'!$L$8="",'Smart Search'!$L$8="All",TRIM('Project Database'!F398)=TRIM('Smart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IF('Project Database'!A398="","",N('Project Database'!AC398))</f>
        <v/>
      </c>
      <c r="BK394" s="5">
        <f>IF('Project Database'!A398="","",N('Project Database'!AD398))</f>
        <v/>
      </c>
      <c r="BL394" s="5">
        <f>IF('Project Database'!A398="","",N('Project Database'!AE398))</f>
        <v/>
      </c>
      <c r="BM394" s="5">
        <f>IF('Project Database'!A398="","",N('Project Database'!AF398))</f>
        <v/>
      </c>
      <c r="BN394" s="5">
        <f>IF('Project Database'!A398="","",N('Project Database'!AG398))</f>
        <v/>
      </c>
      <c r="BO394" s="5">
        <f>IF('Project Database'!A398="","",N('Project Database'!AH398))</f>
        <v/>
      </c>
      <c r="BP394" s="5">
        <f>IF('Project Database'!A398="","",N('Project Database'!AI398))</f>
        <v/>
      </c>
      <c r="BQ394" s="5">
        <f>IF('Project Database'!A398="","",N('Project Database'!AJ398))</f>
        <v/>
      </c>
      <c r="BR394" s="5">
        <f>IF('Project Database'!A398="","",N('Project Database'!AK398))</f>
        <v/>
      </c>
      <c r="BS394" s="5">
        <f>IF('Project Database'!A398="","",N('Project Database'!AL398))</f>
        <v/>
      </c>
      <c r="BT394" s="5">
        <f>IF('Project Database'!A398="","",N('Project Database'!AM398))</f>
        <v/>
      </c>
      <c r="BU394" s="5">
        <f>IF('Project Database'!A398="","",N('Project Database'!AN398))</f>
        <v/>
      </c>
      <c r="BV394" s="5">
        <f>IF('Project Database'!A398="","",N('Project Database'!AO398))</f>
        <v/>
      </c>
      <c r="BW394" s="5">
        <f>IF('Project Database'!A398="","",N('Project Database'!AP398))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</row>
    <row r="395" ht="15" customHeight="1" s="74">
      <c r="A395" s="66">
        <f>'Project Database'!A399</f>
        <v/>
      </c>
      <c r="B395" s="66">
        <f>'Project Database'!B399</f>
        <v/>
      </c>
      <c r="C395" s="66">
        <f>'Project Database'!G399</f>
        <v/>
      </c>
      <c r="D395" s="66">
        <f>'Project Database'!H399</f>
        <v/>
      </c>
      <c r="E395" s="66">
        <f>'Project Database'!I399</f>
        <v/>
      </c>
      <c r="F395" s="66">
        <f>'Project Database'!J399</f>
        <v/>
      </c>
      <c r="G395" s="66">
        <f>'Project Database'!K399</f>
        <v/>
      </c>
      <c r="H395" s="66">
        <f>'Project Database'!L399</f>
        <v/>
      </c>
      <c r="I395" s="66">
        <f>'Project Database'!M399</f>
        <v/>
      </c>
      <c r="J395" s="66">
        <f>'Project Database'!N399</f>
        <v/>
      </c>
      <c r="K395" s="66">
        <f>'Project Database'!O399</f>
        <v/>
      </c>
      <c r="L395" s="66">
        <f>'Project Database'!P399</f>
        <v/>
      </c>
      <c r="M395" s="66">
        <f>'Project Database'!Q399</f>
        <v/>
      </c>
      <c r="N395" s="66">
        <f>'Project Database'!R399</f>
        <v/>
      </c>
      <c r="O395" s="66">
        <f>'Project Database'!S399</f>
        <v/>
      </c>
      <c r="P395" s="66">
        <f>'Project Database'!T399</f>
        <v/>
      </c>
      <c r="Q395" s="66">
        <f>'Project Database'!U399</f>
        <v/>
      </c>
      <c r="R395" s="66">
        <f>'Project Database'!V399</f>
        <v/>
      </c>
      <c r="S395" s="66">
        <f>'Project Database'!W399</f>
        <v/>
      </c>
      <c r="T395" s="66">
        <f>'Project Database'!X399</f>
        <v/>
      </c>
      <c r="U395" s="67">
        <f>'Project Database'!Y399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'Project Database'!Z399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IF(AND('Project Database'!A399&lt;&gt;"",OR('Smart Search'!$L$5="",'Smart Search'!$L$5="All",TRIM('Project Database'!D399)=TRIM('Smart Search'!$L$5)),OR(TRIM('Smart Search'!$L$6)="",TRIM('Smart Search'!$L$6)="All",ISNUMBER(SEARCH(SUBSTITUTE(SUBSTITUTE(SUBSTITUTE(TRIM('Smart Search'!$L$6),"~","~~"),"*","~*"),"?","~?"),'Project Database'!C399))),OR('Smart Search'!$L$7="",AND('Project Database'!E399&lt;&gt;"",'Project Database'!E399='Smart Search'!$L$7)),OR('Smart Search'!$L$8="",'Smart Search'!$L$8="All",TRIM('Project Database'!F399)=TRIM('Smart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IF('Project Database'!A399="","",N('Project Database'!AC399))</f>
        <v/>
      </c>
      <c r="BK395" s="5">
        <f>IF('Project Database'!A399="","",N('Project Database'!AD399))</f>
        <v/>
      </c>
      <c r="BL395" s="5">
        <f>IF('Project Database'!A399="","",N('Project Database'!AE399))</f>
        <v/>
      </c>
      <c r="BM395" s="5">
        <f>IF('Project Database'!A399="","",N('Project Database'!AF399))</f>
        <v/>
      </c>
      <c r="BN395" s="5">
        <f>IF('Project Database'!A399="","",N('Project Database'!AG399))</f>
        <v/>
      </c>
      <c r="BO395" s="5">
        <f>IF('Project Database'!A399="","",N('Project Database'!AH399))</f>
        <v/>
      </c>
      <c r="BP395" s="5">
        <f>IF('Project Database'!A399="","",N('Project Database'!AI399))</f>
        <v/>
      </c>
      <c r="BQ395" s="5">
        <f>IF('Project Database'!A399="","",N('Project Database'!AJ399))</f>
        <v/>
      </c>
      <c r="BR395" s="5">
        <f>IF('Project Database'!A399="","",N('Project Database'!AK399))</f>
        <v/>
      </c>
      <c r="BS395" s="5">
        <f>IF('Project Database'!A399="","",N('Project Database'!AL399))</f>
        <v/>
      </c>
      <c r="BT395" s="5">
        <f>IF('Project Database'!A399="","",N('Project Database'!AM399))</f>
        <v/>
      </c>
      <c r="BU395" s="5">
        <f>IF('Project Database'!A399="","",N('Project Database'!AN399))</f>
        <v/>
      </c>
      <c r="BV395" s="5">
        <f>IF('Project Database'!A399="","",N('Project Database'!AO399))</f>
        <v/>
      </c>
      <c r="BW395" s="5">
        <f>IF('Project Database'!A399="","",N('Project Database'!AP399))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</row>
    <row r="396" ht="15" customHeight="1" s="74">
      <c r="A396" s="66">
        <f>'Project Database'!A400</f>
        <v/>
      </c>
      <c r="B396" s="66">
        <f>'Project Database'!B400</f>
        <v/>
      </c>
      <c r="C396" s="66">
        <f>'Project Database'!G400</f>
        <v/>
      </c>
      <c r="D396" s="66">
        <f>'Project Database'!H400</f>
        <v/>
      </c>
      <c r="E396" s="66">
        <f>'Project Database'!I400</f>
        <v/>
      </c>
      <c r="F396" s="66">
        <f>'Project Database'!J400</f>
        <v/>
      </c>
      <c r="G396" s="66">
        <f>'Project Database'!K400</f>
        <v/>
      </c>
      <c r="H396" s="66">
        <f>'Project Database'!L400</f>
        <v/>
      </c>
      <c r="I396" s="66">
        <f>'Project Database'!M400</f>
        <v/>
      </c>
      <c r="J396" s="66">
        <f>'Project Database'!N400</f>
        <v/>
      </c>
      <c r="K396" s="66">
        <f>'Project Database'!O400</f>
        <v/>
      </c>
      <c r="L396" s="66">
        <f>'Project Database'!P400</f>
        <v/>
      </c>
      <c r="M396" s="66">
        <f>'Project Database'!Q400</f>
        <v/>
      </c>
      <c r="N396" s="66">
        <f>'Project Database'!R400</f>
        <v/>
      </c>
      <c r="O396" s="66">
        <f>'Project Database'!S400</f>
        <v/>
      </c>
      <c r="P396" s="66">
        <f>'Project Database'!T400</f>
        <v/>
      </c>
      <c r="Q396" s="66">
        <f>'Project Database'!U400</f>
        <v/>
      </c>
      <c r="R396" s="66">
        <f>'Project Database'!V400</f>
        <v/>
      </c>
      <c r="S396" s="66">
        <f>'Project Database'!W400</f>
        <v/>
      </c>
      <c r="T396" s="66">
        <f>'Project Database'!X400</f>
        <v/>
      </c>
      <c r="U396" s="67">
        <f>'Project Database'!Y400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'Project Database'!Z400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IF(AND('Project Database'!A400&lt;&gt;"",OR('Smart Search'!$L$5="",'Smart Search'!$L$5="All",TRIM('Project Database'!D400)=TRIM('Smart Search'!$L$5)),OR(TRIM('Smart Search'!$L$6)="",TRIM('Smart Search'!$L$6)="All",ISNUMBER(SEARCH(SUBSTITUTE(SUBSTITUTE(SUBSTITUTE(TRIM('Smart Search'!$L$6),"~","~~"),"*","~*"),"?","~?"),'Project Database'!C400))),OR('Smart Search'!$L$7="",AND('Project Database'!E400&lt;&gt;"",'Project Database'!E400='Smart Search'!$L$7)),OR('Smart Search'!$L$8="",'Smart Search'!$L$8="All",TRIM('Project Database'!F400)=TRIM('Smart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IF('Project Database'!A400="","",N('Project Database'!AC400))</f>
        <v/>
      </c>
      <c r="BK396" s="5">
        <f>IF('Project Database'!A400="","",N('Project Database'!AD400))</f>
        <v/>
      </c>
      <c r="BL396" s="5">
        <f>IF('Project Database'!A400="","",N('Project Database'!AE400))</f>
        <v/>
      </c>
      <c r="BM396" s="5">
        <f>IF('Project Database'!A400="","",N('Project Database'!AF400))</f>
        <v/>
      </c>
      <c r="BN396" s="5">
        <f>IF('Project Database'!A400="","",N('Project Database'!AG400))</f>
        <v/>
      </c>
      <c r="BO396" s="5">
        <f>IF('Project Database'!A400="","",N('Project Database'!AH400))</f>
        <v/>
      </c>
      <c r="BP396" s="5">
        <f>IF('Project Database'!A400="","",N('Project Database'!AI400))</f>
        <v/>
      </c>
      <c r="BQ396" s="5">
        <f>IF('Project Database'!A400="","",N('Project Database'!AJ400))</f>
        <v/>
      </c>
      <c r="BR396" s="5">
        <f>IF('Project Database'!A400="","",N('Project Database'!AK400))</f>
        <v/>
      </c>
      <c r="BS396" s="5">
        <f>IF('Project Database'!A400="","",N('Project Database'!AL400))</f>
        <v/>
      </c>
      <c r="BT396" s="5">
        <f>IF('Project Database'!A400="","",N('Project Database'!AM400))</f>
        <v/>
      </c>
      <c r="BU396" s="5">
        <f>IF('Project Database'!A400="","",N('Project Database'!AN400))</f>
        <v/>
      </c>
      <c r="BV396" s="5">
        <f>IF('Project Database'!A400="","",N('Project Database'!AO400))</f>
        <v/>
      </c>
      <c r="BW396" s="5">
        <f>IF('Project Database'!A400="","",N('Project Database'!AP400))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</row>
    <row r="397" ht="15" customHeight="1" s="74">
      <c r="A397" s="66">
        <f>'Project Database'!A401</f>
        <v/>
      </c>
      <c r="B397" s="66">
        <f>'Project Database'!B401</f>
        <v/>
      </c>
      <c r="C397" s="66">
        <f>'Project Database'!G401</f>
        <v/>
      </c>
      <c r="D397" s="66">
        <f>'Project Database'!H401</f>
        <v/>
      </c>
      <c r="E397" s="66">
        <f>'Project Database'!I401</f>
        <v/>
      </c>
      <c r="F397" s="66">
        <f>'Project Database'!J401</f>
        <v/>
      </c>
      <c r="G397" s="66">
        <f>'Project Database'!K401</f>
        <v/>
      </c>
      <c r="H397" s="66">
        <f>'Project Database'!L401</f>
        <v/>
      </c>
      <c r="I397" s="66">
        <f>'Project Database'!M401</f>
        <v/>
      </c>
      <c r="J397" s="66">
        <f>'Project Database'!N401</f>
        <v/>
      </c>
      <c r="K397" s="66">
        <f>'Project Database'!O401</f>
        <v/>
      </c>
      <c r="L397" s="66">
        <f>'Project Database'!P401</f>
        <v/>
      </c>
      <c r="M397" s="66">
        <f>'Project Database'!Q401</f>
        <v/>
      </c>
      <c r="N397" s="66">
        <f>'Project Database'!R401</f>
        <v/>
      </c>
      <c r="O397" s="66">
        <f>'Project Database'!S401</f>
        <v/>
      </c>
      <c r="P397" s="66">
        <f>'Project Database'!T401</f>
        <v/>
      </c>
      <c r="Q397" s="66">
        <f>'Project Database'!U401</f>
        <v/>
      </c>
      <c r="R397" s="66">
        <f>'Project Database'!V401</f>
        <v/>
      </c>
      <c r="S397" s="66">
        <f>'Project Database'!W401</f>
        <v/>
      </c>
      <c r="T397" s="66">
        <f>'Project Database'!X401</f>
        <v/>
      </c>
      <c r="U397" s="67">
        <f>'Project Database'!Y401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'Project Database'!Z401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IF(AND('Project Database'!A401&lt;&gt;"",OR('Smart Search'!$L$5="",'Smart Search'!$L$5="All",TRIM('Project Database'!D401)=TRIM('Smart Search'!$L$5)),OR(TRIM('Smart Search'!$L$6)="",TRIM('Smart Search'!$L$6)="All",ISNUMBER(SEARCH(SUBSTITUTE(SUBSTITUTE(SUBSTITUTE(TRIM('Smart Search'!$L$6),"~","~~"),"*","~*"),"?","~?"),'Project Database'!C401))),OR('Smart Search'!$L$7="",AND('Project Database'!E401&lt;&gt;"",'Project Database'!E401='Smart Search'!$L$7)),OR('Smart Search'!$L$8="",'Smart Search'!$L$8="All",TRIM('Project Database'!F401)=TRIM('Smart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IF('Project Database'!A401="","",N('Project Database'!AC401))</f>
        <v/>
      </c>
      <c r="BK397" s="5">
        <f>IF('Project Database'!A401="","",N('Project Database'!AD401))</f>
        <v/>
      </c>
      <c r="BL397" s="5">
        <f>IF('Project Database'!A401="","",N('Project Database'!AE401))</f>
        <v/>
      </c>
      <c r="BM397" s="5">
        <f>IF('Project Database'!A401="","",N('Project Database'!AF401))</f>
        <v/>
      </c>
      <c r="BN397" s="5">
        <f>IF('Project Database'!A401="","",N('Project Database'!AG401))</f>
        <v/>
      </c>
      <c r="BO397" s="5">
        <f>IF('Project Database'!A401="","",N('Project Database'!AH401))</f>
        <v/>
      </c>
      <c r="BP397" s="5">
        <f>IF('Project Database'!A401="","",N('Project Database'!AI401))</f>
        <v/>
      </c>
      <c r="BQ397" s="5">
        <f>IF('Project Database'!A401="","",N('Project Database'!AJ401))</f>
        <v/>
      </c>
      <c r="BR397" s="5">
        <f>IF('Project Database'!A401="","",N('Project Database'!AK401))</f>
        <v/>
      </c>
      <c r="BS397" s="5">
        <f>IF('Project Database'!A401="","",N('Project Database'!AL401))</f>
        <v/>
      </c>
      <c r="BT397" s="5">
        <f>IF('Project Database'!A401="","",N('Project Database'!AM401))</f>
        <v/>
      </c>
      <c r="BU397" s="5">
        <f>IF('Project Database'!A401="","",N('Project Database'!AN401))</f>
        <v/>
      </c>
      <c r="BV397" s="5">
        <f>IF('Project Database'!A401="","",N('Project Database'!AO401))</f>
        <v/>
      </c>
      <c r="BW397" s="5">
        <f>IF('Project Database'!A401="","",N('Project Database'!AP401))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</row>
    <row r="398" ht="15" customHeight="1" s="74">
      <c r="A398" s="66">
        <f>'Project Database'!A402</f>
        <v/>
      </c>
      <c r="B398" s="66">
        <f>'Project Database'!B402</f>
        <v/>
      </c>
      <c r="C398" s="66">
        <f>'Project Database'!G402</f>
        <v/>
      </c>
      <c r="D398" s="66">
        <f>'Project Database'!H402</f>
        <v/>
      </c>
      <c r="E398" s="66">
        <f>'Project Database'!I402</f>
        <v/>
      </c>
      <c r="F398" s="66">
        <f>'Project Database'!J402</f>
        <v/>
      </c>
      <c r="G398" s="66">
        <f>'Project Database'!K402</f>
        <v/>
      </c>
      <c r="H398" s="66">
        <f>'Project Database'!L402</f>
        <v/>
      </c>
      <c r="I398" s="66">
        <f>'Project Database'!M402</f>
        <v/>
      </c>
      <c r="J398" s="66">
        <f>'Project Database'!N402</f>
        <v/>
      </c>
      <c r="K398" s="66">
        <f>'Project Database'!O402</f>
        <v/>
      </c>
      <c r="L398" s="66">
        <f>'Project Database'!P402</f>
        <v/>
      </c>
      <c r="M398" s="66">
        <f>'Project Database'!Q402</f>
        <v/>
      </c>
      <c r="N398" s="66">
        <f>'Project Database'!R402</f>
        <v/>
      </c>
      <c r="O398" s="66">
        <f>'Project Database'!S402</f>
        <v/>
      </c>
      <c r="P398" s="66">
        <f>'Project Database'!T402</f>
        <v/>
      </c>
      <c r="Q398" s="66">
        <f>'Project Database'!U402</f>
        <v/>
      </c>
      <c r="R398" s="66">
        <f>'Project Database'!V402</f>
        <v/>
      </c>
      <c r="S398" s="66">
        <f>'Project Database'!W402</f>
        <v/>
      </c>
      <c r="T398" s="66">
        <f>'Project Database'!X402</f>
        <v/>
      </c>
      <c r="U398" s="67">
        <f>'Project Database'!Y402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'Project Database'!Z402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IF(AND('Project Database'!A402&lt;&gt;"",OR('Smart Search'!$L$5="",'Smart Search'!$L$5="All",TRIM('Project Database'!D402)=TRIM('Smart Search'!$L$5)),OR(TRIM('Smart Search'!$L$6)="",TRIM('Smart Search'!$L$6)="All",ISNUMBER(SEARCH(SUBSTITUTE(SUBSTITUTE(SUBSTITUTE(TRIM('Smart Search'!$L$6),"~","~~"),"*","~*"),"?","~?"),'Project Database'!C402))),OR('Smart Search'!$L$7="",AND('Project Database'!E402&lt;&gt;"",'Project Database'!E402='Smart Search'!$L$7)),OR('Smart Search'!$L$8="",'Smart Search'!$L$8="All",TRIM('Project Database'!F402)=TRIM('Smart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IF('Project Database'!A402="","",N('Project Database'!AC402))</f>
        <v/>
      </c>
      <c r="BK398" s="5">
        <f>IF('Project Database'!A402="","",N('Project Database'!AD402))</f>
        <v/>
      </c>
      <c r="BL398" s="5">
        <f>IF('Project Database'!A402="","",N('Project Database'!AE402))</f>
        <v/>
      </c>
      <c r="BM398" s="5">
        <f>IF('Project Database'!A402="","",N('Project Database'!AF402))</f>
        <v/>
      </c>
      <c r="BN398" s="5">
        <f>IF('Project Database'!A402="","",N('Project Database'!AG402))</f>
        <v/>
      </c>
      <c r="BO398" s="5">
        <f>IF('Project Database'!A402="","",N('Project Database'!AH402))</f>
        <v/>
      </c>
      <c r="BP398" s="5">
        <f>IF('Project Database'!A402="","",N('Project Database'!AI402))</f>
        <v/>
      </c>
      <c r="BQ398" s="5">
        <f>IF('Project Database'!A402="","",N('Project Database'!AJ402))</f>
        <v/>
      </c>
      <c r="BR398" s="5">
        <f>IF('Project Database'!A402="","",N('Project Database'!AK402))</f>
        <v/>
      </c>
      <c r="BS398" s="5">
        <f>IF('Project Database'!A402="","",N('Project Database'!AL402))</f>
        <v/>
      </c>
      <c r="BT398" s="5">
        <f>IF('Project Database'!A402="","",N('Project Database'!AM402))</f>
        <v/>
      </c>
      <c r="BU398" s="5">
        <f>IF('Project Database'!A402="","",N('Project Database'!AN402))</f>
        <v/>
      </c>
      <c r="BV398" s="5">
        <f>IF('Project Database'!A402="","",N('Project Database'!AO402))</f>
        <v/>
      </c>
      <c r="BW398" s="5">
        <f>IF('Project Database'!A402="","",N('Project Database'!AP402))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</row>
    <row r="399" ht="15" customHeight="1" s="74">
      <c r="A399" s="66">
        <f>'Project Database'!A403</f>
        <v/>
      </c>
      <c r="B399" s="66">
        <f>'Project Database'!B403</f>
        <v/>
      </c>
      <c r="C399" s="66">
        <f>'Project Database'!G403</f>
        <v/>
      </c>
      <c r="D399" s="66">
        <f>'Project Database'!H403</f>
        <v/>
      </c>
      <c r="E399" s="66">
        <f>'Project Database'!I403</f>
        <v/>
      </c>
      <c r="F399" s="66">
        <f>'Project Database'!J403</f>
        <v/>
      </c>
      <c r="G399" s="66">
        <f>'Project Database'!K403</f>
        <v/>
      </c>
      <c r="H399" s="66">
        <f>'Project Database'!L403</f>
        <v/>
      </c>
      <c r="I399" s="66">
        <f>'Project Database'!M403</f>
        <v/>
      </c>
      <c r="J399" s="66">
        <f>'Project Database'!N403</f>
        <v/>
      </c>
      <c r="K399" s="66">
        <f>'Project Database'!O403</f>
        <v/>
      </c>
      <c r="L399" s="66">
        <f>'Project Database'!P403</f>
        <v/>
      </c>
      <c r="M399" s="66">
        <f>'Project Database'!Q403</f>
        <v/>
      </c>
      <c r="N399" s="66">
        <f>'Project Database'!R403</f>
        <v/>
      </c>
      <c r="O399" s="66">
        <f>'Project Database'!S403</f>
        <v/>
      </c>
      <c r="P399" s="66">
        <f>'Project Database'!T403</f>
        <v/>
      </c>
      <c r="Q399" s="66">
        <f>'Project Database'!U403</f>
        <v/>
      </c>
      <c r="R399" s="66">
        <f>'Project Database'!V403</f>
        <v/>
      </c>
      <c r="S399" s="66">
        <f>'Project Database'!W403</f>
        <v/>
      </c>
      <c r="T399" s="66">
        <f>'Project Database'!X403</f>
        <v/>
      </c>
      <c r="U399" s="67">
        <f>'Project Database'!Y403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'Project Database'!Z403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IF(AND('Project Database'!A403&lt;&gt;"",OR('Smart Search'!$L$5="",'Smart Search'!$L$5="All",TRIM('Project Database'!D403)=TRIM('Smart Search'!$L$5)),OR(TRIM('Smart Search'!$L$6)="",TRIM('Smart Search'!$L$6)="All",ISNUMBER(SEARCH(SUBSTITUTE(SUBSTITUTE(SUBSTITUTE(TRIM('Smart Search'!$L$6),"~","~~"),"*","~*"),"?","~?"),'Project Database'!C403))),OR('Smart Search'!$L$7="",AND('Project Database'!E403&lt;&gt;"",'Project Database'!E403='Smart Search'!$L$7)),OR('Smart Search'!$L$8="",'Smart Search'!$L$8="All",TRIM('Project Database'!F403)=TRIM('Smart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IF('Project Database'!A403="","",N('Project Database'!AC403))</f>
        <v/>
      </c>
      <c r="BK399" s="5">
        <f>IF('Project Database'!A403="","",N('Project Database'!AD403))</f>
        <v/>
      </c>
      <c r="BL399" s="5">
        <f>IF('Project Database'!A403="","",N('Project Database'!AE403))</f>
        <v/>
      </c>
      <c r="BM399" s="5">
        <f>IF('Project Database'!A403="","",N('Project Database'!AF403))</f>
        <v/>
      </c>
      <c r="BN399" s="5">
        <f>IF('Project Database'!A403="","",N('Project Database'!AG403))</f>
        <v/>
      </c>
      <c r="BO399" s="5">
        <f>IF('Project Database'!A403="","",N('Project Database'!AH403))</f>
        <v/>
      </c>
      <c r="BP399" s="5">
        <f>IF('Project Database'!A403="","",N('Project Database'!AI403))</f>
        <v/>
      </c>
      <c r="BQ399" s="5">
        <f>IF('Project Database'!A403="","",N('Project Database'!AJ403))</f>
        <v/>
      </c>
      <c r="BR399" s="5">
        <f>IF('Project Database'!A403="","",N('Project Database'!AK403))</f>
        <v/>
      </c>
      <c r="BS399" s="5">
        <f>IF('Project Database'!A403="","",N('Project Database'!AL403))</f>
        <v/>
      </c>
      <c r="BT399" s="5">
        <f>IF('Project Database'!A403="","",N('Project Database'!AM403))</f>
        <v/>
      </c>
      <c r="BU399" s="5">
        <f>IF('Project Database'!A403="","",N('Project Database'!AN403))</f>
        <v/>
      </c>
      <c r="BV399" s="5">
        <f>IF('Project Database'!A403="","",N('Project Database'!AO403))</f>
        <v/>
      </c>
      <c r="BW399" s="5">
        <f>IF('Project Database'!A403="","",N('Project Database'!AP403))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</row>
    <row r="400" ht="15" customHeight="1" s="74">
      <c r="A400" s="66">
        <f>'Project Database'!A404</f>
        <v/>
      </c>
      <c r="B400" s="66">
        <f>'Project Database'!B404</f>
        <v/>
      </c>
      <c r="C400" s="66">
        <f>'Project Database'!G404</f>
        <v/>
      </c>
      <c r="D400" s="66">
        <f>'Project Database'!H404</f>
        <v/>
      </c>
      <c r="E400" s="66">
        <f>'Project Database'!I404</f>
        <v/>
      </c>
      <c r="F400" s="66">
        <f>'Project Database'!J404</f>
        <v/>
      </c>
      <c r="G400" s="66">
        <f>'Project Database'!K404</f>
        <v/>
      </c>
      <c r="H400" s="66">
        <f>'Project Database'!L404</f>
        <v/>
      </c>
      <c r="I400" s="66">
        <f>'Project Database'!M404</f>
        <v/>
      </c>
      <c r="J400" s="66">
        <f>'Project Database'!N404</f>
        <v/>
      </c>
      <c r="K400" s="66">
        <f>'Project Database'!O404</f>
        <v/>
      </c>
      <c r="L400" s="66">
        <f>'Project Database'!P404</f>
        <v/>
      </c>
      <c r="M400" s="66">
        <f>'Project Database'!Q404</f>
        <v/>
      </c>
      <c r="N400" s="66">
        <f>'Project Database'!R404</f>
        <v/>
      </c>
      <c r="O400" s="66">
        <f>'Project Database'!S404</f>
        <v/>
      </c>
      <c r="P400" s="66">
        <f>'Project Database'!T404</f>
        <v/>
      </c>
      <c r="Q400" s="66">
        <f>'Project Database'!U404</f>
        <v/>
      </c>
      <c r="R400" s="66">
        <f>'Project Database'!V404</f>
        <v/>
      </c>
      <c r="S400" s="66">
        <f>'Project Database'!W404</f>
        <v/>
      </c>
      <c r="T400" s="66">
        <f>'Project Database'!X404</f>
        <v/>
      </c>
      <c r="U400" s="67">
        <f>'Project Database'!Y404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'Project Database'!Z404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IF(AND('Project Database'!A404&lt;&gt;"",OR('Smart Search'!$L$5="",'Smart Search'!$L$5="All",TRIM('Project Database'!D404)=TRIM('Smart Search'!$L$5)),OR(TRIM('Smart Search'!$L$6)="",TRIM('Smart Search'!$L$6)="All",ISNUMBER(SEARCH(SUBSTITUTE(SUBSTITUTE(SUBSTITUTE(TRIM('Smart Search'!$L$6),"~","~~"),"*","~*"),"?","~?"),'Project Database'!C404))),OR('Smart Search'!$L$7="",AND('Project Database'!E404&lt;&gt;"",'Project Database'!E404='Smart Search'!$L$7)),OR('Smart Search'!$L$8="",'Smart Search'!$L$8="All",TRIM('Project Database'!F404)=TRIM('Smart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IF('Project Database'!A404="","",N('Project Database'!AC404))</f>
        <v/>
      </c>
      <c r="BK400" s="5">
        <f>IF('Project Database'!A404="","",N('Project Database'!AD404))</f>
        <v/>
      </c>
      <c r="BL400" s="5">
        <f>IF('Project Database'!A404="","",N('Project Database'!AE404))</f>
        <v/>
      </c>
      <c r="BM400" s="5">
        <f>IF('Project Database'!A404="","",N('Project Database'!AF404))</f>
        <v/>
      </c>
      <c r="BN400" s="5">
        <f>IF('Project Database'!A404="","",N('Project Database'!AG404))</f>
        <v/>
      </c>
      <c r="BO400" s="5">
        <f>IF('Project Database'!A404="","",N('Project Database'!AH404))</f>
        <v/>
      </c>
      <c r="BP400" s="5">
        <f>IF('Project Database'!A404="","",N('Project Database'!AI404))</f>
        <v/>
      </c>
      <c r="BQ400" s="5">
        <f>IF('Project Database'!A404="","",N('Project Database'!AJ404))</f>
        <v/>
      </c>
      <c r="BR400" s="5">
        <f>IF('Project Database'!A404="","",N('Project Database'!AK404))</f>
        <v/>
      </c>
      <c r="BS400" s="5">
        <f>IF('Project Database'!A404="","",N('Project Database'!AL404))</f>
        <v/>
      </c>
      <c r="BT400" s="5">
        <f>IF('Project Database'!A404="","",N('Project Database'!AM404))</f>
        <v/>
      </c>
      <c r="BU400" s="5">
        <f>IF('Project Database'!A404="","",N('Project Database'!AN404))</f>
        <v/>
      </c>
      <c r="BV400" s="5">
        <f>IF('Project Database'!A404="","",N('Project Database'!AO404))</f>
        <v/>
      </c>
      <c r="BW400" s="5">
        <f>IF('Project Database'!A404="","",N('Project Database'!AP404))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</row>
    <row r="401" ht="15" customHeight="1" s="74">
      <c r="A401" s="66">
        <f>'Project Database'!A405</f>
        <v/>
      </c>
      <c r="B401" s="66">
        <f>'Project Database'!B405</f>
        <v/>
      </c>
      <c r="C401" s="66">
        <f>'Project Database'!G405</f>
        <v/>
      </c>
      <c r="D401" s="66">
        <f>'Project Database'!H405</f>
        <v/>
      </c>
      <c r="E401" s="66">
        <f>'Project Database'!I405</f>
        <v/>
      </c>
      <c r="F401" s="66">
        <f>'Project Database'!J405</f>
        <v/>
      </c>
      <c r="G401" s="66">
        <f>'Project Database'!K405</f>
        <v/>
      </c>
      <c r="H401" s="66">
        <f>'Project Database'!L405</f>
        <v/>
      </c>
      <c r="I401" s="66">
        <f>'Project Database'!M405</f>
        <v/>
      </c>
      <c r="J401" s="66">
        <f>'Project Database'!N405</f>
        <v/>
      </c>
      <c r="K401" s="66">
        <f>'Project Database'!O405</f>
        <v/>
      </c>
      <c r="L401" s="66">
        <f>'Project Database'!P405</f>
        <v/>
      </c>
      <c r="M401" s="66">
        <f>'Project Database'!Q405</f>
        <v/>
      </c>
      <c r="N401" s="66">
        <f>'Project Database'!R405</f>
        <v/>
      </c>
      <c r="O401" s="66">
        <f>'Project Database'!S405</f>
        <v/>
      </c>
      <c r="P401" s="66">
        <f>'Project Database'!T405</f>
        <v/>
      </c>
      <c r="Q401" s="66">
        <f>'Project Database'!U405</f>
        <v/>
      </c>
      <c r="R401" s="66">
        <f>'Project Database'!V405</f>
        <v/>
      </c>
      <c r="S401" s="66">
        <f>'Project Database'!W405</f>
        <v/>
      </c>
      <c r="T401" s="66">
        <f>'Project Database'!X405</f>
        <v/>
      </c>
      <c r="U401" s="67">
        <f>'Project Database'!Y405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'Project Database'!Z405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IF(AND('Project Database'!A405&lt;&gt;"",OR('Smart Search'!$L$5="",'Smart Search'!$L$5="All",TRIM('Project Database'!D405)=TRIM('Smart Search'!$L$5)),OR(TRIM('Smart Search'!$L$6)="",TRIM('Smart Search'!$L$6)="All",ISNUMBER(SEARCH(SUBSTITUTE(SUBSTITUTE(SUBSTITUTE(TRIM('Smart Search'!$L$6),"~","~~"),"*","~*"),"?","~?"),'Project Database'!C405))),OR('Smart Search'!$L$7="",AND('Project Database'!E405&lt;&gt;"",'Project Database'!E405='Smart Search'!$L$7)),OR('Smart Search'!$L$8="",'Smart Search'!$L$8="All",TRIM('Project Database'!F405)=TRIM('Smart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IF('Project Database'!A405="","",N('Project Database'!AC405))</f>
        <v/>
      </c>
      <c r="BK401" s="5">
        <f>IF('Project Database'!A405="","",N('Project Database'!AD405))</f>
        <v/>
      </c>
      <c r="BL401" s="5">
        <f>IF('Project Database'!A405="","",N('Project Database'!AE405))</f>
        <v/>
      </c>
      <c r="BM401" s="5">
        <f>IF('Project Database'!A405="","",N('Project Database'!AF405))</f>
        <v/>
      </c>
      <c r="BN401" s="5">
        <f>IF('Project Database'!A405="","",N('Project Database'!AG405))</f>
        <v/>
      </c>
      <c r="BO401" s="5">
        <f>IF('Project Database'!A405="","",N('Project Database'!AH405))</f>
        <v/>
      </c>
      <c r="BP401" s="5">
        <f>IF('Project Database'!A405="","",N('Project Database'!AI405))</f>
        <v/>
      </c>
      <c r="BQ401" s="5">
        <f>IF('Project Database'!A405="","",N('Project Database'!AJ405))</f>
        <v/>
      </c>
      <c r="BR401" s="5">
        <f>IF('Project Database'!A405="","",N('Project Database'!AK405))</f>
        <v/>
      </c>
      <c r="BS401" s="5">
        <f>IF('Project Database'!A405="","",N('Project Database'!AL405))</f>
        <v/>
      </c>
      <c r="BT401" s="5">
        <f>IF('Project Database'!A405="","",N('Project Database'!AM405))</f>
        <v/>
      </c>
      <c r="BU401" s="5">
        <f>IF('Project Database'!A405="","",N('Project Database'!AN405))</f>
        <v/>
      </c>
      <c r="BV401" s="5">
        <f>IF('Project Database'!A405="","",N('Project Database'!AO405))</f>
        <v/>
      </c>
      <c r="BW401" s="5">
        <f>IF('Project Database'!A405="","",N('Project Database'!AP405))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</row>
    <row r="402" ht="15" customHeight="1" s="74">
      <c r="A402" s="66">
        <f>'Project Database'!A406</f>
        <v/>
      </c>
      <c r="B402" s="66">
        <f>'Project Database'!B406</f>
        <v/>
      </c>
      <c r="C402" s="66">
        <f>'Project Database'!G406</f>
        <v/>
      </c>
      <c r="D402" s="66">
        <f>'Project Database'!H406</f>
        <v/>
      </c>
      <c r="E402" s="66">
        <f>'Project Database'!I406</f>
        <v/>
      </c>
      <c r="F402" s="66">
        <f>'Project Database'!J406</f>
        <v/>
      </c>
      <c r="G402" s="66">
        <f>'Project Database'!K406</f>
        <v/>
      </c>
      <c r="H402" s="66">
        <f>'Project Database'!L406</f>
        <v/>
      </c>
      <c r="I402" s="66">
        <f>'Project Database'!M406</f>
        <v/>
      </c>
      <c r="J402" s="66">
        <f>'Project Database'!N406</f>
        <v/>
      </c>
      <c r="K402" s="66">
        <f>'Project Database'!O406</f>
        <v/>
      </c>
      <c r="L402" s="66">
        <f>'Project Database'!P406</f>
        <v/>
      </c>
      <c r="M402" s="66">
        <f>'Project Database'!Q406</f>
        <v/>
      </c>
      <c r="N402" s="66">
        <f>'Project Database'!R406</f>
        <v/>
      </c>
      <c r="O402" s="66">
        <f>'Project Database'!S406</f>
        <v/>
      </c>
      <c r="P402" s="66">
        <f>'Project Database'!T406</f>
        <v/>
      </c>
      <c r="Q402" s="66">
        <f>'Project Database'!U406</f>
        <v/>
      </c>
      <c r="R402" s="66">
        <f>'Project Database'!V406</f>
        <v/>
      </c>
      <c r="S402" s="66">
        <f>'Project Database'!W406</f>
        <v/>
      </c>
      <c r="T402" s="66">
        <f>'Project Database'!X406</f>
        <v/>
      </c>
      <c r="U402" s="67">
        <f>'Project Database'!Y406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'Project Database'!Z406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IF(AND('Project Database'!A406&lt;&gt;"",OR('Smart Search'!$L$5="",'Smart Search'!$L$5="All",TRIM('Project Database'!D406)=TRIM('Smart Search'!$L$5)),OR(TRIM('Smart Search'!$L$6)="",TRIM('Smart Search'!$L$6)="All",ISNUMBER(SEARCH(SUBSTITUTE(SUBSTITUTE(SUBSTITUTE(TRIM('Smart Search'!$L$6),"~","~~"),"*","~*"),"?","~?"),'Project Database'!C406))),OR('Smart Search'!$L$7="",AND('Project Database'!E406&lt;&gt;"",'Project Database'!E406='Smart Search'!$L$7)),OR('Smart Search'!$L$8="",'Smart Search'!$L$8="All",TRIM('Project Database'!F406)=TRIM('Smart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IF('Project Database'!A406="","",N('Project Database'!AC406))</f>
        <v/>
      </c>
      <c r="BK402" s="5">
        <f>IF('Project Database'!A406="","",N('Project Database'!AD406))</f>
        <v/>
      </c>
      <c r="BL402" s="5">
        <f>IF('Project Database'!A406="","",N('Project Database'!AE406))</f>
        <v/>
      </c>
      <c r="BM402" s="5">
        <f>IF('Project Database'!A406="","",N('Project Database'!AF406))</f>
        <v/>
      </c>
      <c r="BN402" s="5">
        <f>IF('Project Database'!A406="","",N('Project Database'!AG406))</f>
        <v/>
      </c>
      <c r="BO402" s="5">
        <f>IF('Project Database'!A406="","",N('Project Database'!AH406))</f>
        <v/>
      </c>
      <c r="BP402" s="5">
        <f>IF('Project Database'!A406="","",N('Project Database'!AI406))</f>
        <v/>
      </c>
      <c r="BQ402" s="5">
        <f>IF('Project Database'!A406="","",N('Project Database'!AJ406))</f>
        <v/>
      </c>
      <c r="BR402" s="5">
        <f>IF('Project Database'!A406="","",N('Project Database'!AK406))</f>
        <v/>
      </c>
      <c r="BS402" s="5">
        <f>IF('Project Database'!A406="","",N('Project Database'!AL406))</f>
        <v/>
      </c>
      <c r="BT402" s="5">
        <f>IF('Project Database'!A406="","",N('Project Database'!AM406))</f>
        <v/>
      </c>
      <c r="BU402" s="5">
        <f>IF('Project Database'!A406="","",N('Project Database'!AN406))</f>
        <v/>
      </c>
      <c r="BV402" s="5">
        <f>IF('Project Database'!A406="","",N('Project Database'!AO406))</f>
        <v/>
      </c>
      <c r="BW402" s="5">
        <f>IF('Project Database'!A406="","",N('Project Database'!AP406))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</row>
    <row r="403" ht="15" customHeight="1" s="74">
      <c r="A403" s="66">
        <f>'Project Database'!A407</f>
        <v/>
      </c>
      <c r="B403" s="66">
        <f>'Project Database'!B407</f>
        <v/>
      </c>
      <c r="C403" s="66">
        <f>'Project Database'!G407</f>
        <v/>
      </c>
      <c r="D403" s="66">
        <f>'Project Database'!H407</f>
        <v/>
      </c>
      <c r="E403" s="66">
        <f>'Project Database'!I407</f>
        <v/>
      </c>
      <c r="F403" s="66">
        <f>'Project Database'!J407</f>
        <v/>
      </c>
      <c r="G403" s="66">
        <f>'Project Database'!K407</f>
        <v/>
      </c>
      <c r="H403" s="66">
        <f>'Project Database'!L407</f>
        <v/>
      </c>
      <c r="I403" s="66">
        <f>'Project Database'!M407</f>
        <v/>
      </c>
      <c r="J403" s="66">
        <f>'Project Database'!N407</f>
        <v/>
      </c>
      <c r="K403" s="66">
        <f>'Project Database'!O407</f>
        <v/>
      </c>
      <c r="L403" s="66">
        <f>'Project Database'!P407</f>
        <v/>
      </c>
      <c r="M403" s="66">
        <f>'Project Database'!Q407</f>
        <v/>
      </c>
      <c r="N403" s="66">
        <f>'Project Database'!R407</f>
        <v/>
      </c>
      <c r="O403" s="66">
        <f>'Project Database'!S407</f>
        <v/>
      </c>
      <c r="P403" s="66">
        <f>'Project Database'!T407</f>
        <v/>
      </c>
      <c r="Q403" s="66">
        <f>'Project Database'!U407</f>
        <v/>
      </c>
      <c r="R403" s="66">
        <f>'Project Database'!V407</f>
        <v/>
      </c>
      <c r="S403" s="66">
        <f>'Project Database'!W407</f>
        <v/>
      </c>
      <c r="T403" s="66">
        <f>'Project Database'!X407</f>
        <v/>
      </c>
      <c r="U403" s="67">
        <f>'Project Database'!Y407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'Project Database'!Z407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IF(AND('Project Database'!A407&lt;&gt;"",OR('Smart Search'!$L$5="",'Smart Search'!$L$5="All",TRIM('Project Database'!D407)=TRIM('Smart Search'!$L$5)),OR(TRIM('Smart Search'!$L$6)="",TRIM('Smart Search'!$L$6)="All",ISNUMBER(SEARCH(SUBSTITUTE(SUBSTITUTE(SUBSTITUTE(TRIM('Smart Search'!$L$6),"~","~~"),"*","~*"),"?","~?"),'Project Database'!C407))),OR('Smart Search'!$L$7="",AND('Project Database'!E407&lt;&gt;"",'Project Database'!E407='Smart Search'!$L$7)),OR('Smart Search'!$L$8="",'Smart Search'!$L$8="All",TRIM('Project Database'!F407)=TRIM('Smart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IF('Project Database'!A407="","",N('Project Database'!AC407))</f>
        <v/>
      </c>
      <c r="BK403" s="5">
        <f>IF('Project Database'!A407="","",N('Project Database'!AD407))</f>
        <v/>
      </c>
      <c r="BL403" s="5">
        <f>IF('Project Database'!A407="","",N('Project Database'!AE407))</f>
        <v/>
      </c>
      <c r="BM403" s="5">
        <f>IF('Project Database'!A407="","",N('Project Database'!AF407))</f>
        <v/>
      </c>
      <c r="BN403" s="5">
        <f>IF('Project Database'!A407="","",N('Project Database'!AG407))</f>
        <v/>
      </c>
      <c r="BO403" s="5">
        <f>IF('Project Database'!A407="","",N('Project Database'!AH407))</f>
        <v/>
      </c>
      <c r="BP403" s="5">
        <f>IF('Project Database'!A407="","",N('Project Database'!AI407))</f>
        <v/>
      </c>
      <c r="BQ403" s="5">
        <f>IF('Project Database'!A407="","",N('Project Database'!AJ407))</f>
        <v/>
      </c>
      <c r="BR403" s="5">
        <f>IF('Project Database'!A407="","",N('Project Database'!AK407))</f>
        <v/>
      </c>
      <c r="BS403" s="5">
        <f>IF('Project Database'!A407="","",N('Project Database'!AL407))</f>
        <v/>
      </c>
      <c r="BT403" s="5">
        <f>IF('Project Database'!A407="","",N('Project Database'!AM407))</f>
        <v/>
      </c>
      <c r="BU403" s="5">
        <f>IF('Project Database'!A407="","",N('Project Database'!AN407))</f>
        <v/>
      </c>
      <c r="BV403" s="5">
        <f>IF('Project Database'!A407="","",N('Project Database'!AO407))</f>
        <v/>
      </c>
      <c r="BW403" s="5">
        <f>IF('Project Database'!A407="","",N('Project Database'!AP407))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</row>
    <row r="404" ht="15" customHeight="1" s="74">
      <c r="A404" s="66">
        <f>'Project Database'!A408</f>
        <v/>
      </c>
      <c r="B404" s="66">
        <f>'Project Database'!B408</f>
        <v/>
      </c>
      <c r="C404" s="66">
        <f>'Project Database'!G408</f>
        <v/>
      </c>
      <c r="D404" s="66">
        <f>'Project Database'!H408</f>
        <v/>
      </c>
      <c r="E404" s="66">
        <f>'Project Database'!I408</f>
        <v/>
      </c>
      <c r="F404" s="66">
        <f>'Project Database'!J408</f>
        <v/>
      </c>
      <c r="G404" s="66">
        <f>'Project Database'!K408</f>
        <v/>
      </c>
      <c r="H404" s="66">
        <f>'Project Database'!L408</f>
        <v/>
      </c>
      <c r="I404" s="66">
        <f>'Project Database'!M408</f>
        <v/>
      </c>
      <c r="J404" s="66">
        <f>'Project Database'!N408</f>
        <v/>
      </c>
      <c r="K404" s="66">
        <f>'Project Database'!O408</f>
        <v/>
      </c>
      <c r="L404" s="66">
        <f>'Project Database'!P408</f>
        <v/>
      </c>
      <c r="M404" s="66">
        <f>'Project Database'!Q408</f>
        <v/>
      </c>
      <c r="N404" s="66">
        <f>'Project Database'!R408</f>
        <v/>
      </c>
      <c r="O404" s="66">
        <f>'Project Database'!S408</f>
        <v/>
      </c>
      <c r="P404" s="66">
        <f>'Project Database'!T408</f>
        <v/>
      </c>
      <c r="Q404" s="66">
        <f>'Project Database'!U408</f>
        <v/>
      </c>
      <c r="R404" s="66">
        <f>'Project Database'!V408</f>
        <v/>
      </c>
      <c r="S404" s="66">
        <f>'Project Database'!W408</f>
        <v/>
      </c>
      <c r="T404" s="66">
        <f>'Project Database'!X408</f>
        <v/>
      </c>
      <c r="U404" s="67">
        <f>'Project Database'!Y408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'Project Database'!Z408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IF(AND('Project Database'!A408&lt;&gt;"",OR('Smart Search'!$L$5="",'Smart Search'!$L$5="All",TRIM('Project Database'!D408)=TRIM('Smart Search'!$L$5)),OR(TRIM('Smart Search'!$L$6)="",TRIM('Smart Search'!$L$6)="All",ISNUMBER(SEARCH(SUBSTITUTE(SUBSTITUTE(SUBSTITUTE(TRIM('Smart Search'!$L$6),"~","~~"),"*","~*"),"?","~?"),'Project Database'!C408))),OR('Smart Search'!$L$7="",AND('Project Database'!E408&lt;&gt;"",'Project Database'!E408='Smart Search'!$L$7)),OR('Smart Search'!$L$8="",'Smart Search'!$L$8="All",TRIM('Project Database'!F408)=TRIM('Smart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IF('Project Database'!A408="","",N('Project Database'!AC408))</f>
        <v/>
      </c>
      <c r="BK404" s="5">
        <f>IF('Project Database'!A408="","",N('Project Database'!AD408))</f>
        <v/>
      </c>
      <c r="BL404" s="5">
        <f>IF('Project Database'!A408="","",N('Project Database'!AE408))</f>
        <v/>
      </c>
      <c r="BM404" s="5">
        <f>IF('Project Database'!A408="","",N('Project Database'!AF408))</f>
        <v/>
      </c>
      <c r="BN404" s="5">
        <f>IF('Project Database'!A408="","",N('Project Database'!AG408))</f>
        <v/>
      </c>
      <c r="BO404" s="5">
        <f>IF('Project Database'!A408="","",N('Project Database'!AH408))</f>
        <v/>
      </c>
      <c r="BP404" s="5">
        <f>IF('Project Database'!A408="","",N('Project Database'!AI408))</f>
        <v/>
      </c>
      <c r="BQ404" s="5">
        <f>IF('Project Database'!A408="","",N('Project Database'!AJ408))</f>
        <v/>
      </c>
      <c r="BR404" s="5">
        <f>IF('Project Database'!A408="","",N('Project Database'!AK408))</f>
        <v/>
      </c>
      <c r="BS404" s="5">
        <f>IF('Project Database'!A408="","",N('Project Database'!AL408))</f>
        <v/>
      </c>
      <c r="BT404" s="5">
        <f>IF('Project Database'!A408="","",N('Project Database'!AM408))</f>
        <v/>
      </c>
      <c r="BU404" s="5">
        <f>IF('Project Database'!A408="","",N('Project Database'!AN408))</f>
        <v/>
      </c>
      <c r="BV404" s="5">
        <f>IF('Project Database'!A408="","",N('Project Database'!AO408))</f>
        <v/>
      </c>
      <c r="BW404" s="5">
        <f>IF('Project Database'!A408="","",N('Project Database'!AP408))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</row>
    <row r="405" ht="15" customHeight="1" s="74">
      <c r="A405" s="66">
        <f>'Project Database'!A409</f>
        <v/>
      </c>
      <c r="B405" s="66">
        <f>'Project Database'!B409</f>
        <v/>
      </c>
      <c r="C405" s="66">
        <f>'Project Database'!G409</f>
        <v/>
      </c>
      <c r="D405" s="66">
        <f>'Project Database'!H409</f>
        <v/>
      </c>
      <c r="E405" s="66">
        <f>'Project Database'!I409</f>
        <v/>
      </c>
      <c r="F405" s="66">
        <f>'Project Database'!J409</f>
        <v/>
      </c>
      <c r="G405" s="66">
        <f>'Project Database'!K409</f>
        <v/>
      </c>
      <c r="H405" s="66">
        <f>'Project Database'!L409</f>
        <v/>
      </c>
      <c r="I405" s="66">
        <f>'Project Database'!M409</f>
        <v/>
      </c>
      <c r="J405" s="66">
        <f>'Project Database'!N409</f>
        <v/>
      </c>
      <c r="K405" s="66">
        <f>'Project Database'!O409</f>
        <v/>
      </c>
      <c r="L405" s="66">
        <f>'Project Database'!P409</f>
        <v/>
      </c>
      <c r="M405" s="66">
        <f>'Project Database'!Q409</f>
        <v/>
      </c>
      <c r="N405" s="66">
        <f>'Project Database'!R409</f>
        <v/>
      </c>
      <c r="O405" s="66">
        <f>'Project Database'!S409</f>
        <v/>
      </c>
      <c r="P405" s="66">
        <f>'Project Database'!T409</f>
        <v/>
      </c>
      <c r="Q405" s="66">
        <f>'Project Database'!U409</f>
        <v/>
      </c>
      <c r="R405" s="66">
        <f>'Project Database'!V409</f>
        <v/>
      </c>
      <c r="S405" s="66">
        <f>'Project Database'!W409</f>
        <v/>
      </c>
      <c r="T405" s="66">
        <f>'Project Database'!X409</f>
        <v/>
      </c>
      <c r="U405" s="67">
        <f>'Project Database'!Y409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'Project Database'!Z409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IF(AND('Project Database'!A409&lt;&gt;"",OR('Smart Search'!$L$5="",'Smart Search'!$L$5="All",TRIM('Project Database'!D409)=TRIM('Smart Search'!$L$5)),OR(TRIM('Smart Search'!$L$6)="",TRIM('Smart Search'!$L$6)="All",ISNUMBER(SEARCH(SUBSTITUTE(SUBSTITUTE(SUBSTITUTE(TRIM('Smart Search'!$L$6),"~","~~"),"*","~*"),"?","~?"),'Project Database'!C409))),OR('Smart Search'!$L$7="",AND('Project Database'!E409&lt;&gt;"",'Project Database'!E409='Smart Search'!$L$7)),OR('Smart Search'!$L$8="",'Smart Search'!$L$8="All",TRIM('Project Database'!F409)=TRIM('Smart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IF('Project Database'!A409="","",N('Project Database'!AC409))</f>
        <v/>
      </c>
      <c r="BK405" s="5">
        <f>IF('Project Database'!A409="","",N('Project Database'!AD409))</f>
        <v/>
      </c>
      <c r="BL405" s="5">
        <f>IF('Project Database'!A409="","",N('Project Database'!AE409))</f>
        <v/>
      </c>
      <c r="BM405" s="5">
        <f>IF('Project Database'!A409="","",N('Project Database'!AF409))</f>
        <v/>
      </c>
      <c r="BN405" s="5">
        <f>IF('Project Database'!A409="","",N('Project Database'!AG409))</f>
        <v/>
      </c>
      <c r="BO405" s="5">
        <f>IF('Project Database'!A409="","",N('Project Database'!AH409))</f>
        <v/>
      </c>
      <c r="BP405" s="5">
        <f>IF('Project Database'!A409="","",N('Project Database'!AI409))</f>
        <v/>
      </c>
      <c r="BQ405" s="5">
        <f>IF('Project Database'!A409="","",N('Project Database'!AJ409))</f>
        <v/>
      </c>
      <c r="BR405" s="5">
        <f>IF('Project Database'!A409="","",N('Project Database'!AK409))</f>
        <v/>
      </c>
      <c r="BS405" s="5">
        <f>IF('Project Database'!A409="","",N('Project Database'!AL409))</f>
        <v/>
      </c>
      <c r="BT405" s="5">
        <f>IF('Project Database'!A409="","",N('Project Database'!AM409))</f>
        <v/>
      </c>
      <c r="BU405" s="5">
        <f>IF('Project Database'!A409="","",N('Project Database'!AN409))</f>
        <v/>
      </c>
      <c r="BV405" s="5">
        <f>IF('Project Database'!A409="","",N('Project Database'!AO409))</f>
        <v/>
      </c>
      <c r="BW405" s="5">
        <f>IF('Project Database'!A409="","",N('Project Database'!AP409))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</row>
    <row r="406" ht="15" customHeight="1" s="74">
      <c r="A406" s="66">
        <f>'Project Database'!A410</f>
        <v/>
      </c>
      <c r="B406" s="66">
        <f>'Project Database'!B410</f>
        <v/>
      </c>
      <c r="C406" s="66">
        <f>'Project Database'!G410</f>
        <v/>
      </c>
      <c r="D406" s="66">
        <f>'Project Database'!H410</f>
        <v/>
      </c>
      <c r="E406" s="66">
        <f>'Project Database'!I410</f>
        <v/>
      </c>
      <c r="F406" s="66">
        <f>'Project Database'!J410</f>
        <v/>
      </c>
      <c r="G406" s="66">
        <f>'Project Database'!K410</f>
        <v/>
      </c>
      <c r="H406" s="66">
        <f>'Project Database'!L410</f>
        <v/>
      </c>
      <c r="I406" s="66">
        <f>'Project Database'!M410</f>
        <v/>
      </c>
      <c r="J406" s="66">
        <f>'Project Database'!N410</f>
        <v/>
      </c>
      <c r="K406" s="66">
        <f>'Project Database'!O410</f>
        <v/>
      </c>
      <c r="L406" s="66">
        <f>'Project Database'!P410</f>
        <v/>
      </c>
      <c r="M406" s="66">
        <f>'Project Database'!Q410</f>
        <v/>
      </c>
      <c r="N406" s="66">
        <f>'Project Database'!R410</f>
        <v/>
      </c>
      <c r="O406" s="66">
        <f>'Project Database'!S410</f>
        <v/>
      </c>
      <c r="P406" s="66">
        <f>'Project Database'!T410</f>
        <v/>
      </c>
      <c r="Q406" s="66">
        <f>'Project Database'!U410</f>
        <v/>
      </c>
      <c r="R406" s="66">
        <f>'Project Database'!V410</f>
        <v/>
      </c>
      <c r="S406" s="66">
        <f>'Project Database'!W410</f>
        <v/>
      </c>
      <c r="T406" s="66">
        <f>'Project Database'!X410</f>
        <v/>
      </c>
      <c r="U406" s="67">
        <f>'Project Database'!Y410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'Project Database'!Z410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IF(AND('Project Database'!A410&lt;&gt;"",OR('Smart Search'!$L$5="",'Smart Search'!$L$5="All",TRIM('Project Database'!D410)=TRIM('Smart Search'!$L$5)),OR(TRIM('Smart Search'!$L$6)="",TRIM('Smart Search'!$L$6)="All",ISNUMBER(SEARCH(SUBSTITUTE(SUBSTITUTE(SUBSTITUTE(TRIM('Smart Search'!$L$6),"~","~~"),"*","~*"),"?","~?"),'Project Database'!C410))),OR('Smart Search'!$L$7="",AND('Project Database'!E410&lt;&gt;"",'Project Database'!E410='Smart Search'!$L$7)),OR('Smart Search'!$L$8="",'Smart Search'!$L$8="All",TRIM('Project Database'!F410)=TRIM('Smart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IF('Project Database'!A410="","",N('Project Database'!AC410))</f>
        <v/>
      </c>
      <c r="BK406" s="5">
        <f>IF('Project Database'!A410="","",N('Project Database'!AD410))</f>
        <v/>
      </c>
      <c r="BL406" s="5">
        <f>IF('Project Database'!A410="","",N('Project Database'!AE410))</f>
        <v/>
      </c>
      <c r="BM406" s="5">
        <f>IF('Project Database'!A410="","",N('Project Database'!AF410))</f>
        <v/>
      </c>
      <c r="BN406" s="5">
        <f>IF('Project Database'!A410="","",N('Project Database'!AG410))</f>
        <v/>
      </c>
      <c r="BO406" s="5">
        <f>IF('Project Database'!A410="","",N('Project Database'!AH410))</f>
        <v/>
      </c>
      <c r="BP406" s="5">
        <f>IF('Project Database'!A410="","",N('Project Database'!AI410))</f>
        <v/>
      </c>
      <c r="BQ406" s="5">
        <f>IF('Project Database'!A410="","",N('Project Database'!AJ410))</f>
        <v/>
      </c>
      <c r="BR406" s="5">
        <f>IF('Project Database'!A410="","",N('Project Database'!AK410))</f>
        <v/>
      </c>
      <c r="BS406" s="5">
        <f>IF('Project Database'!A410="","",N('Project Database'!AL410))</f>
        <v/>
      </c>
      <c r="BT406" s="5">
        <f>IF('Project Database'!A410="","",N('Project Database'!AM410))</f>
        <v/>
      </c>
      <c r="BU406" s="5">
        <f>IF('Project Database'!A410="","",N('Project Database'!AN410))</f>
        <v/>
      </c>
      <c r="BV406" s="5">
        <f>IF('Project Database'!A410="","",N('Project Database'!AO410))</f>
        <v/>
      </c>
      <c r="BW406" s="5">
        <f>IF('Project Database'!A410="","",N('Project Database'!AP410))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</row>
    <row r="407" ht="15" customHeight="1" s="74">
      <c r="A407" s="66">
        <f>'Project Database'!A411</f>
        <v/>
      </c>
      <c r="B407" s="66">
        <f>'Project Database'!B411</f>
        <v/>
      </c>
      <c r="C407" s="66">
        <f>'Project Database'!G411</f>
        <v/>
      </c>
      <c r="D407" s="66">
        <f>'Project Database'!H411</f>
        <v/>
      </c>
      <c r="E407" s="66">
        <f>'Project Database'!I411</f>
        <v/>
      </c>
      <c r="F407" s="66">
        <f>'Project Database'!J411</f>
        <v/>
      </c>
      <c r="G407" s="66">
        <f>'Project Database'!K411</f>
        <v/>
      </c>
      <c r="H407" s="66">
        <f>'Project Database'!L411</f>
        <v/>
      </c>
      <c r="I407" s="66">
        <f>'Project Database'!M411</f>
        <v/>
      </c>
      <c r="J407" s="66">
        <f>'Project Database'!N411</f>
        <v/>
      </c>
      <c r="K407" s="66">
        <f>'Project Database'!O411</f>
        <v/>
      </c>
      <c r="L407" s="66">
        <f>'Project Database'!P411</f>
        <v/>
      </c>
      <c r="M407" s="66">
        <f>'Project Database'!Q411</f>
        <v/>
      </c>
      <c r="N407" s="66">
        <f>'Project Database'!R411</f>
        <v/>
      </c>
      <c r="O407" s="66">
        <f>'Project Database'!S411</f>
        <v/>
      </c>
      <c r="P407" s="66">
        <f>'Project Database'!T411</f>
        <v/>
      </c>
      <c r="Q407" s="66">
        <f>'Project Database'!U411</f>
        <v/>
      </c>
      <c r="R407" s="66">
        <f>'Project Database'!V411</f>
        <v/>
      </c>
      <c r="S407" s="66">
        <f>'Project Database'!W411</f>
        <v/>
      </c>
      <c r="T407" s="66">
        <f>'Project Database'!X411</f>
        <v/>
      </c>
      <c r="U407" s="67">
        <f>'Project Database'!Y411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'Project Database'!Z411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IF(AND('Project Database'!A411&lt;&gt;"",OR('Smart Search'!$L$5="",'Smart Search'!$L$5="All",TRIM('Project Database'!D411)=TRIM('Smart Search'!$L$5)),OR(TRIM('Smart Search'!$L$6)="",TRIM('Smart Search'!$L$6)="All",ISNUMBER(SEARCH(SUBSTITUTE(SUBSTITUTE(SUBSTITUTE(TRIM('Smart Search'!$L$6),"~","~~"),"*","~*"),"?","~?"),'Project Database'!C411))),OR('Smart Search'!$L$7="",AND('Project Database'!E411&lt;&gt;"",'Project Database'!E411='Smart Search'!$L$7)),OR('Smart Search'!$L$8="",'Smart Search'!$L$8="All",TRIM('Project Database'!F411)=TRIM('Smart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IF('Project Database'!A411="","",N('Project Database'!AC411))</f>
        <v/>
      </c>
      <c r="BK407" s="5">
        <f>IF('Project Database'!A411="","",N('Project Database'!AD411))</f>
        <v/>
      </c>
      <c r="BL407" s="5">
        <f>IF('Project Database'!A411="","",N('Project Database'!AE411))</f>
        <v/>
      </c>
      <c r="BM407" s="5">
        <f>IF('Project Database'!A411="","",N('Project Database'!AF411))</f>
        <v/>
      </c>
      <c r="BN407" s="5">
        <f>IF('Project Database'!A411="","",N('Project Database'!AG411))</f>
        <v/>
      </c>
      <c r="BO407" s="5">
        <f>IF('Project Database'!A411="","",N('Project Database'!AH411))</f>
        <v/>
      </c>
      <c r="BP407" s="5">
        <f>IF('Project Database'!A411="","",N('Project Database'!AI411))</f>
        <v/>
      </c>
      <c r="BQ407" s="5">
        <f>IF('Project Database'!A411="","",N('Project Database'!AJ411))</f>
        <v/>
      </c>
      <c r="BR407" s="5">
        <f>IF('Project Database'!A411="","",N('Project Database'!AK411))</f>
        <v/>
      </c>
      <c r="BS407" s="5">
        <f>IF('Project Database'!A411="","",N('Project Database'!AL411))</f>
        <v/>
      </c>
      <c r="BT407" s="5">
        <f>IF('Project Database'!A411="","",N('Project Database'!AM411))</f>
        <v/>
      </c>
      <c r="BU407" s="5">
        <f>IF('Project Database'!A411="","",N('Project Database'!AN411))</f>
        <v/>
      </c>
      <c r="BV407" s="5">
        <f>IF('Project Database'!A411="","",N('Project Database'!AO411))</f>
        <v/>
      </c>
      <c r="BW407" s="5">
        <f>IF('Project Database'!A411="","",N('Project Database'!AP411))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</row>
    <row r="408" ht="15" customHeight="1" s="74">
      <c r="A408" s="66">
        <f>'Project Database'!A412</f>
        <v/>
      </c>
      <c r="B408" s="66">
        <f>'Project Database'!B412</f>
        <v/>
      </c>
      <c r="C408" s="66">
        <f>'Project Database'!G412</f>
        <v/>
      </c>
      <c r="D408" s="66">
        <f>'Project Database'!H412</f>
        <v/>
      </c>
      <c r="E408" s="66">
        <f>'Project Database'!I412</f>
        <v/>
      </c>
      <c r="F408" s="66">
        <f>'Project Database'!J412</f>
        <v/>
      </c>
      <c r="G408" s="66">
        <f>'Project Database'!K412</f>
        <v/>
      </c>
      <c r="H408" s="66">
        <f>'Project Database'!L412</f>
        <v/>
      </c>
      <c r="I408" s="66">
        <f>'Project Database'!M412</f>
        <v/>
      </c>
      <c r="J408" s="66">
        <f>'Project Database'!N412</f>
        <v/>
      </c>
      <c r="K408" s="66">
        <f>'Project Database'!O412</f>
        <v/>
      </c>
      <c r="L408" s="66">
        <f>'Project Database'!P412</f>
        <v/>
      </c>
      <c r="M408" s="66">
        <f>'Project Database'!Q412</f>
        <v/>
      </c>
      <c r="N408" s="66">
        <f>'Project Database'!R412</f>
        <v/>
      </c>
      <c r="O408" s="66">
        <f>'Project Database'!S412</f>
        <v/>
      </c>
      <c r="P408" s="66">
        <f>'Project Database'!T412</f>
        <v/>
      </c>
      <c r="Q408" s="66">
        <f>'Project Database'!U412</f>
        <v/>
      </c>
      <c r="R408" s="66">
        <f>'Project Database'!V412</f>
        <v/>
      </c>
      <c r="S408" s="66">
        <f>'Project Database'!W412</f>
        <v/>
      </c>
      <c r="T408" s="66">
        <f>'Project Database'!X412</f>
        <v/>
      </c>
      <c r="U408" s="67">
        <f>'Project Database'!Y412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'Project Database'!Z412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IF(AND('Project Database'!A412&lt;&gt;"",OR('Smart Search'!$L$5="",'Smart Search'!$L$5="All",TRIM('Project Database'!D412)=TRIM('Smart Search'!$L$5)),OR(TRIM('Smart Search'!$L$6)="",TRIM('Smart Search'!$L$6)="All",ISNUMBER(SEARCH(SUBSTITUTE(SUBSTITUTE(SUBSTITUTE(TRIM('Smart Search'!$L$6),"~","~~"),"*","~*"),"?","~?"),'Project Database'!C412))),OR('Smart Search'!$L$7="",AND('Project Database'!E412&lt;&gt;"",'Project Database'!E412='Smart Search'!$L$7)),OR('Smart Search'!$L$8="",'Smart Search'!$L$8="All",TRIM('Project Database'!F412)=TRIM('Smart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IF('Project Database'!A412="","",N('Project Database'!AC412))</f>
        <v/>
      </c>
      <c r="BK408" s="5">
        <f>IF('Project Database'!A412="","",N('Project Database'!AD412))</f>
        <v/>
      </c>
      <c r="BL408" s="5">
        <f>IF('Project Database'!A412="","",N('Project Database'!AE412))</f>
        <v/>
      </c>
      <c r="BM408" s="5">
        <f>IF('Project Database'!A412="","",N('Project Database'!AF412))</f>
        <v/>
      </c>
      <c r="BN408" s="5">
        <f>IF('Project Database'!A412="","",N('Project Database'!AG412))</f>
        <v/>
      </c>
      <c r="BO408" s="5">
        <f>IF('Project Database'!A412="","",N('Project Database'!AH412))</f>
        <v/>
      </c>
      <c r="BP408" s="5">
        <f>IF('Project Database'!A412="","",N('Project Database'!AI412))</f>
        <v/>
      </c>
      <c r="BQ408" s="5">
        <f>IF('Project Database'!A412="","",N('Project Database'!AJ412))</f>
        <v/>
      </c>
      <c r="BR408" s="5">
        <f>IF('Project Database'!A412="","",N('Project Database'!AK412))</f>
        <v/>
      </c>
      <c r="BS408" s="5">
        <f>IF('Project Database'!A412="","",N('Project Database'!AL412))</f>
        <v/>
      </c>
      <c r="BT408" s="5">
        <f>IF('Project Database'!A412="","",N('Project Database'!AM412))</f>
        <v/>
      </c>
      <c r="BU408" s="5">
        <f>IF('Project Database'!A412="","",N('Project Database'!AN412))</f>
        <v/>
      </c>
      <c r="BV408" s="5">
        <f>IF('Project Database'!A412="","",N('Project Database'!AO412))</f>
        <v/>
      </c>
      <c r="BW408" s="5">
        <f>IF('Project Database'!A412="","",N('Project Database'!AP412))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</row>
    <row r="409" ht="15" customHeight="1" s="74">
      <c r="A409" s="66">
        <f>'Project Database'!A413</f>
        <v/>
      </c>
      <c r="B409" s="66">
        <f>'Project Database'!B413</f>
        <v/>
      </c>
      <c r="C409" s="66">
        <f>'Project Database'!G413</f>
        <v/>
      </c>
      <c r="D409" s="66">
        <f>'Project Database'!H413</f>
        <v/>
      </c>
      <c r="E409" s="66">
        <f>'Project Database'!I413</f>
        <v/>
      </c>
      <c r="F409" s="66">
        <f>'Project Database'!J413</f>
        <v/>
      </c>
      <c r="G409" s="66">
        <f>'Project Database'!K413</f>
        <v/>
      </c>
      <c r="H409" s="66">
        <f>'Project Database'!L413</f>
        <v/>
      </c>
      <c r="I409" s="66">
        <f>'Project Database'!M413</f>
        <v/>
      </c>
      <c r="J409" s="66">
        <f>'Project Database'!N413</f>
        <v/>
      </c>
      <c r="K409" s="66">
        <f>'Project Database'!O413</f>
        <v/>
      </c>
      <c r="L409" s="66">
        <f>'Project Database'!P413</f>
        <v/>
      </c>
      <c r="M409" s="66">
        <f>'Project Database'!Q413</f>
        <v/>
      </c>
      <c r="N409" s="66">
        <f>'Project Database'!R413</f>
        <v/>
      </c>
      <c r="O409" s="66">
        <f>'Project Database'!S413</f>
        <v/>
      </c>
      <c r="P409" s="66">
        <f>'Project Database'!T413</f>
        <v/>
      </c>
      <c r="Q409" s="66">
        <f>'Project Database'!U413</f>
        <v/>
      </c>
      <c r="R409" s="66">
        <f>'Project Database'!V413</f>
        <v/>
      </c>
      <c r="S409" s="66">
        <f>'Project Database'!W413</f>
        <v/>
      </c>
      <c r="T409" s="66">
        <f>'Project Database'!X413</f>
        <v/>
      </c>
      <c r="U409" s="67">
        <f>'Project Database'!Y413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'Project Database'!Z413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IF(AND('Project Database'!A413&lt;&gt;"",OR('Smart Search'!$L$5="",'Smart Search'!$L$5="All",TRIM('Project Database'!D413)=TRIM('Smart Search'!$L$5)),OR(TRIM('Smart Search'!$L$6)="",TRIM('Smart Search'!$L$6)="All",ISNUMBER(SEARCH(SUBSTITUTE(SUBSTITUTE(SUBSTITUTE(TRIM('Smart Search'!$L$6),"~","~~"),"*","~*"),"?","~?"),'Project Database'!C413))),OR('Smart Search'!$L$7="",AND('Project Database'!E413&lt;&gt;"",'Project Database'!E413='Smart Search'!$L$7)),OR('Smart Search'!$L$8="",'Smart Search'!$L$8="All",TRIM('Project Database'!F413)=TRIM('Smart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IF('Project Database'!A413="","",N('Project Database'!AC413))</f>
        <v/>
      </c>
      <c r="BK409" s="5">
        <f>IF('Project Database'!A413="","",N('Project Database'!AD413))</f>
        <v/>
      </c>
      <c r="BL409" s="5">
        <f>IF('Project Database'!A413="","",N('Project Database'!AE413))</f>
        <v/>
      </c>
      <c r="BM409" s="5">
        <f>IF('Project Database'!A413="","",N('Project Database'!AF413))</f>
        <v/>
      </c>
      <c r="BN409" s="5">
        <f>IF('Project Database'!A413="","",N('Project Database'!AG413))</f>
        <v/>
      </c>
      <c r="BO409" s="5">
        <f>IF('Project Database'!A413="","",N('Project Database'!AH413))</f>
        <v/>
      </c>
      <c r="BP409" s="5">
        <f>IF('Project Database'!A413="","",N('Project Database'!AI413))</f>
        <v/>
      </c>
      <c r="BQ409" s="5">
        <f>IF('Project Database'!A413="","",N('Project Database'!AJ413))</f>
        <v/>
      </c>
      <c r="BR409" s="5">
        <f>IF('Project Database'!A413="","",N('Project Database'!AK413))</f>
        <v/>
      </c>
      <c r="BS409" s="5">
        <f>IF('Project Database'!A413="","",N('Project Database'!AL413))</f>
        <v/>
      </c>
      <c r="BT409" s="5">
        <f>IF('Project Database'!A413="","",N('Project Database'!AM413))</f>
        <v/>
      </c>
      <c r="BU409" s="5">
        <f>IF('Project Database'!A413="","",N('Project Database'!AN413))</f>
        <v/>
      </c>
      <c r="BV409" s="5">
        <f>IF('Project Database'!A413="","",N('Project Database'!AO413))</f>
        <v/>
      </c>
      <c r="BW409" s="5">
        <f>IF('Project Database'!A413="","",N('Project Database'!AP413))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</row>
    <row r="410" ht="15" customHeight="1" s="74">
      <c r="A410" s="66">
        <f>'Project Database'!A414</f>
        <v/>
      </c>
      <c r="B410" s="66">
        <f>'Project Database'!B414</f>
        <v/>
      </c>
      <c r="C410" s="66">
        <f>'Project Database'!G414</f>
        <v/>
      </c>
      <c r="D410" s="66">
        <f>'Project Database'!H414</f>
        <v/>
      </c>
      <c r="E410" s="66">
        <f>'Project Database'!I414</f>
        <v/>
      </c>
      <c r="F410" s="66">
        <f>'Project Database'!J414</f>
        <v/>
      </c>
      <c r="G410" s="66">
        <f>'Project Database'!K414</f>
        <v/>
      </c>
      <c r="H410" s="66">
        <f>'Project Database'!L414</f>
        <v/>
      </c>
      <c r="I410" s="66">
        <f>'Project Database'!M414</f>
        <v/>
      </c>
      <c r="J410" s="66">
        <f>'Project Database'!N414</f>
        <v/>
      </c>
      <c r="K410" s="66">
        <f>'Project Database'!O414</f>
        <v/>
      </c>
      <c r="L410" s="66">
        <f>'Project Database'!P414</f>
        <v/>
      </c>
      <c r="M410" s="66">
        <f>'Project Database'!Q414</f>
        <v/>
      </c>
      <c r="N410" s="66">
        <f>'Project Database'!R414</f>
        <v/>
      </c>
      <c r="O410" s="66">
        <f>'Project Database'!S414</f>
        <v/>
      </c>
      <c r="P410" s="66">
        <f>'Project Database'!T414</f>
        <v/>
      </c>
      <c r="Q410" s="66">
        <f>'Project Database'!U414</f>
        <v/>
      </c>
      <c r="R410" s="66">
        <f>'Project Database'!V414</f>
        <v/>
      </c>
      <c r="S410" s="66">
        <f>'Project Database'!W414</f>
        <v/>
      </c>
      <c r="T410" s="66">
        <f>'Project Database'!X414</f>
        <v/>
      </c>
      <c r="U410" s="67">
        <f>'Project Database'!Y414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'Project Database'!Z414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IF(AND('Project Database'!A414&lt;&gt;"",OR('Smart Search'!$L$5="",'Smart Search'!$L$5="All",TRIM('Project Database'!D414)=TRIM('Smart Search'!$L$5)),OR(TRIM('Smart Search'!$L$6)="",TRIM('Smart Search'!$L$6)="All",ISNUMBER(SEARCH(SUBSTITUTE(SUBSTITUTE(SUBSTITUTE(TRIM('Smart Search'!$L$6),"~","~~"),"*","~*"),"?","~?"),'Project Database'!C414))),OR('Smart Search'!$L$7="",AND('Project Database'!E414&lt;&gt;"",'Project Database'!E414='Smart Search'!$L$7)),OR('Smart Search'!$L$8="",'Smart Search'!$L$8="All",TRIM('Project Database'!F414)=TRIM('Smart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IF('Project Database'!A414="","",N('Project Database'!AC414))</f>
        <v/>
      </c>
      <c r="BK410" s="5">
        <f>IF('Project Database'!A414="","",N('Project Database'!AD414))</f>
        <v/>
      </c>
      <c r="BL410" s="5">
        <f>IF('Project Database'!A414="","",N('Project Database'!AE414))</f>
        <v/>
      </c>
      <c r="BM410" s="5">
        <f>IF('Project Database'!A414="","",N('Project Database'!AF414))</f>
        <v/>
      </c>
      <c r="BN410" s="5">
        <f>IF('Project Database'!A414="","",N('Project Database'!AG414))</f>
        <v/>
      </c>
      <c r="BO410" s="5">
        <f>IF('Project Database'!A414="","",N('Project Database'!AH414))</f>
        <v/>
      </c>
      <c r="BP410" s="5">
        <f>IF('Project Database'!A414="","",N('Project Database'!AI414))</f>
        <v/>
      </c>
      <c r="BQ410" s="5">
        <f>IF('Project Database'!A414="","",N('Project Database'!AJ414))</f>
        <v/>
      </c>
      <c r="BR410" s="5">
        <f>IF('Project Database'!A414="","",N('Project Database'!AK414))</f>
        <v/>
      </c>
      <c r="BS410" s="5">
        <f>IF('Project Database'!A414="","",N('Project Database'!AL414))</f>
        <v/>
      </c>
      <c r="BT410" s="5">
        <f>IF('Project Database'!A414="","",N('Project Database'!AM414))</f>
        <v/>
      </c>
      <c r="BU410" s="5">
        <f>IF('Project Database'!A414="","",N('Project Database'!AN414))</f>
        <v/>
      </c>
      <c r="BV410" s="5">
        <f>IF('Project Database'!A414="","",N('Project Database'!AO414))</f>
        <v/>
      </c>
      <c r="BW410" s="5">
        <f>IF('Project Database'!A414="","",N('Project Database'!AP414))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</row>
    <row r="411" ht="15" customHeight="1" s="74">
      <c r="A411" s="66">
        <f>'Project Database'!A415</f>
        <v/>
      </c>
      <c r="B411" s="66">
        <f>'Project Database'!B415</f>
        <v/>
      </c>
      <c r="C411" s="66">
        <f>'Project Database'!G415</f>
        <v/>
      </c>
      <c r="D411" s="66">
        <f>'Project Database'!H415</f>
        <v/>
      </c>
      <c r="E411" s="66">
        <f>'Project Database'!I415</f>
        <v/>
      </c>
      <c r="F411" s="66">
        <f>'Project Database'!J415</f>
        <v/>
      </c>
      <c r="G411" s="66">
        <f>'Project Database'!K415</f>
        <v/>
      </c>
      <c r="H411" s="66">
        <f>'Project Database'!L415</f>
        <v/>
      </c>
      <c r="I411" s="66">
        <f>'Project Database'!M415</f>
        <v/>
      </c>
      <c r="J411" s="66">
        <f>'Project Database'!N415</f>
        <v/>
      </c>
      <c r="K411" s="66">
        <f>'Project Database'!O415</f>
        <v/>
      </c>
      <c r="L411" s="66">
        <f>'Project Database'!P415</f>
        <v/>
      </c>
      <c r="M411" s="66">
        <f>'Project Database'!Q415</f>
        <v/>
      </c>
      <c r="N411" s="66">
        <f>'Project Database'!R415</f>
        <v/>
      </c>
      <c r="O411" s="66">
        <f>'Project Database'!S415</f>
        <v/>
      </c>
      <c r="P411" s="66">
        <f>'Project Database'!T415</f>
        <v/>
      </c>
      <c r="Q411" s="66">
        <f>'Project Database'!U415</f>
        <v/>
      </c>
      <c r="R411" s="66">
        <f>'Project Database'!V415</f>
        <v/>
      </c>
      <c r="S411" s="66">
        <f>'Project Database'!W415</f>
        <v/>
      </c>
      <c r="T411" s="66">
        <f>'Project Database'!X415</f>
        <v/>
      </c>
      <c r="U411" s="67">
        <f>'Project Database'!Y415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'Project Database'!Z415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IF(AND('Project Database'!A415&lt;&gt;"",OR('Smart Search'!$L$5="",'Smart Search'!$L$5="All",TRIM('Project Database'!D415)=TRIM('Smart Search'!$L$5)),OR(TRIM('Smart Search'!$L$6)="",TRIM('Smart Search'!$L$6)="All",ISNUMBER(SEARCH(SUBSTITUTE(SUBSTITUTE(SUBSTITUTE(TRIM('Smart Search'!$L$6),"~","~~"),"*","~*"),"?","~?"),'Project Database'!C415))),OR('Smart Search'!$L$7="",AND('Project Database'!E415&lt;&gt;"",'Project Database'!E415='Smart Search'!$L$7)),OR('Smart Search'!$L$8="",'Smart Search'!$L$8="All",TRIM('Project Database'!F415)=TRIM('Smart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IF('Project Database'!A415="","",N('Project Database'!AC415))</f>
        <v/>
      </c>
      <c r="BK411" s="5">
        <f>IF('Project Database'!A415="","",N('Project Database'!AD415))</f>
        <v/>
      </c>
      <c r="BL411" s="5">
        <f>IF('Project Database'!A415="","",N('Project Database'!AE415))</f>
        <v/>
      </c>
      <c r="BM411" s="5">
        <f>IF('Project Database'!A415="","",N('Project Database'!AF415))</f>
        <v/>
      </c>
      <c r="BN411" s="5">
        <f>IF('Project Database'!A415="","",N('Project Database'!AG415))</f>
        <v/>
      </c>
      <c r="BO411" s="5">
        <f>IF('Project Database'!A415="","",N('Project Database'!AH415))</f>
        <v/>
      </c>
      <c r="BP411" s="5">
        <f>IF('Project Database'!A415="","",N('Project Database'!AI415))</f>
        <v/>
      </c>
      <c r="BQ411" s="5">
        <f>IF('Project Database'!A415="","",N('Project Database'!AJ415))</f>
        <v/>
      </c>
      <c r="BR411" s="5">
        <f>IF('Project Database'!A415="","",N('Project Database'!AK415))</f>
        <v/>
      </c>
      <c r="BS411" s="5">
        <f>IF('Project Database'!A415="","",N('Project Database'!AL415))</f>
        <v/>
      </c>
      <c r="BT411" s="5">
        <f>IF('Project Database'!A415="","",N('Project Database'!AM415))</f>
        <v/>
      </c>
      <c r="BU411" s="5">
        <f>IF('Project Database'!A415="","",N('Project Database'!AN415))</f>
        <v/>
      </c>
      <c r="BV411" s="5">
        <f>IF('Project Database'!A415="","",N('Project Database'!AO415))</f>
        <v/>
      </c>
      <c r="BW411" s="5">
        <f>IF('Project Database'!A415="","",N('Project Database'!AP415))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</row>
    <row r="412" ht="15" customHeight="1" s="74">
      <c r="A412" s="66">
        <f>'Project Database'!A416</f>
        <v/>
      </c>
      <c r="B412" s="66">
        <f>'Project Database'!B416</f>
        <v/>
      </c>
      <c r="C412" s="66">
        <f>'Project Database'!G416</f>
        <v/>
      </c>
      <c r="D412" s="66">
        <f>'Project Database'!H416</f>
        <v/>
      </c>
      <c r="E412" s="66">
        <f>'Project Database'!I416</f>
        <v/>
      </c>
      <c r="F412" s="66">
        <f>'Project Database'!J416</f>
        <v/>
      </c>
      <c r="G412" s="66">
        <f>'Project Database'!K416</f>
        <v/>
      </c>
      <c r="H412" s="66">
        <f>'Project Database'!L416</f>
        <v/>
      </c>
      <c r="I412" s="66">
        <f>'Project Database'!M416</f>
        <v/>
      </c>
      <c r="J412" s="66">
        <f>'Project Database'!N416</f>
        <v/>
      </c>
      <c r="K412" s="66">
        <f>'Project Database'!O416</f>
        <v/>
      </c>
      <c r="L412" s="66">
        <f>'Project Database'!P416</f>
        <v/>
      </c>
      <c r="M412" s="66">
        <f>'Project Database'!Q416</f>
        <v/>
      </c>
      <c r="N412" s="66">
        <f>'Project Database'!R416</f>
        <v/>
      </c>
      <c r="O412" s="66">
        <f>'Project Database'!S416</f>
        <v/>
      </c>
      <c r="P412" s="66">
        <f>'Project Database'!T416</f>
        <v/>
      </c>
      <c r="Q412" s="66">
        <f>'Project Database'!U416</f>
        <v/>
      </c>
      <c r="R412" s="66">
        <f>'Project Database'!V416</f>
        <v/>
      </c>
      <c r="S412" s="66">
        <f>'Project Database'!W416</f>
        <v/>
      </c>
      <c r="T412" s="66">
        <f>'Project Database'!X416</f>
        <v/>
      </c>
      <c r="U412" s="67">
        <f>'Project Database'!Y416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'Project Database'!Z416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IF(AND('Project Database'!A416&lt;&gt;"",OR('Smart Search'!$L$5="",'Smart Search'!$L$5="All",TRIM('Project Database'!D416)=TRIM('Smart Search'!$L$5)),OR(TRIM('Smart Search'!$L$6)="",TRIM('Smart Search'!$L$6)="All",ISNUMBER(SEARCH(SUBSTITUTE(SUBSTITUTE(SUBSTITUTE(TRIM('Smart Search'!$L$6),"~","~~"),"*","~*"),"?","~?"),'Project Database'!C416))),OR('Smart Search'!$L$7="",AND('Project Database'!E416&lt;&gt;"",'Project Database'!E416='Smart Search'!$L$7)),OR('Smart Search'!$L$8="",'Smart Search'!$L$8="All",TRIM('Project Database'!F416)=TRIM('Smart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IF('Project Database'!A416="","",N('Project Database'!AC416))</f>
        <v/>
      </c>
      <c r="BK412" s="5">
        <f>IF('Project Database'!A416="","",N('Project Database'!AD416))</f>
        <v/>
      </c>
      <c r="BL412" s="5">
        <f>IF('Project Database'!A416="","",N('Project Database'!AE416))</f>
        <v/>
      </c>
      <c r="BM412" s="5">
        <f>IF('Project Database'!A416="","",N('Project Database'!AF416))</f>
        <v/>
      </c>
      <c r="BN412" s="5">
        <f>IF('Project Database'!A416="","",N('Project Database'!AG416))</f>
        <v/>
      </c>
      <c r="BO412" s="5">
        <f>IF('Project Database'!A416="","",N('Project Database'!AH416))</f>
        <v/>
      </c>
      <c r="BP412" s="5">
        <f>IF('Project Database'!A416="","",N('Project Database'!AI416))</f>
        <v/>
      </c>
      <c r="BQ412" s="5">
        <f>IF('Project Database'!A416="","",N('Project Database'!AJ416))</f>
        <v/>
      </c>
      <c r="BR412" s="5">
        <f>IF('Project Database'!A416="","",N('Project Database'!AK416))</f>
        <v/>
      </c>
      <c r="BS412" s="5">
        <f>IF('Project Database'!A416="","",N('Project Database'!AL416))</f>
        <v/>
      </c>
      <c r="BT412" s="5">
        <f>IF('Project Database'!A416="","",N('Project Database'!AM416))</f>
        <v/>
      </c>
      <c r="BU412" s="5">
        <f>IF('Project Database'!A416="","",N('Project Database'!AN416))</f>
        <v/>
      </c>
      <c r="BV412" s="5">
        <f>IF('Project Database'!A416="","",N('Project Database'!AO416))</f>
        <v/>
      </c>
      <c r="BW412" s="5">
        <f>IF('Project Database'!A416="","",N('Project Database'!AP416))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</row>
    <row r="413" ht="15" customHeight="1" s="74">
      <c r="A413" s="66">
        <f>'Project Database'!A417</f>
        <v/>
      </c>
      <c r="B413" s="66">
        <f>'Project Database'!B417</f>
        <v/>
      </c>
      <c r="C413" s="66">
        <f>'Project Database'!G417</f>
        <v/>
      </c>
      <c r="D413" s="66">
        <f>'Project Database'!H417</f>
        <v/>
      </c>
      <c r="E413" s="66">
        <f>'Project Database'!I417</f>
        <v/>
      </c>
      <c r="F413" s="66">
        <f>'Project Database'!J417</f>
        <v/>
      </c>
      <c r="G413" s="66">
        <f>'Project Database'!K417</f>
        <v/>
      </c>
      <c r="H413" s="66">
        <f>'Project Database'!L417</f>
        <v/>
      </c>
      <c r="I413" s="66">
        <f>'Project Database'!M417</f>
        <v/>
      </c>
      <c r="J413" s="66">
        <f>'Project Database'!N417</f>
        <v/>
      </c>
      <c r="K413" s="66">
        <f>'Project Database'!O417</f>
        <v/>
      </c>
      <c r="L413" s="66">
        <f>'Project Database'!P417</f>
        <v/>
      </c>
      <c r="M413" s="66">
        <f>'Project Database'!Q417</f>
        <v/>
      </c>
      <c r="N413" s="66">
        <f>'Project Database'!R417</f>
        <v/>
      </c>
      <c r="O413" s="66">
        <f>'Project Database'!S417</f>
        <v/>
      </c>
      <c r="P413" s="66">
        <f>'Project Database'!T417</f>
        <v/>
      </c>
      <c r="Q413" s="66">
        <f>'Project Database'!U417</f>
        <v/>
      </c>
      <c r="R413" s="66">
        <f>'Project Database'!V417</f>
        <v/>
      </c>
      <c r="S413" s="66">
        <f>'Project Database'!W417</f>
        <v/>
      </c>
      <c r="T413" s="66">
        <f>'Project Database'!X417</f>
        <v/>
      </c>
      <c r="U413" s="67">
        <f>'Project Database'!Y417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'Project Database'!Z417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IF(AND('Project Database'!A417&lt;&gt;"",OR('Smart Search'!$L$5="",'Smart Search'!$L$5="All",TRIM('Project Database'!D417)=TRIM('Smart Search'!$L$5)),OR(TRIM('Smart Search'!$L$6)="",TRIM('Smart Search'!$L$6)="All",ISNUMBER(SEARCH(SUBSTITUTE(SUBSTITUTE(SUBSTITUTE(TRIM('Smart Search'!$L$6),"~","~~"),"*","~*"),"?","~?"),'Project Database'!C417))),OR('Smart Search'!$L$7="",AND('Project Database'!E417&lt;&gt;"",'Project Database'!E417='Smart Search'!$L$7)),OR('Smart Search'!$L$8="",'Smart Search'!$L$8="All",TRIM('Project Database'!F417)=TRIM('Smart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IF('Project Database'!A417="","",N('Project Database'!AC417))</f>
        <v/>
      </c>
      <c r="BK413" s="5">
        <f>IF('Project Database'!A417="","",N('Project Database'!AD417))</f>
        <v/>
      </c>
      <c r="BL413" s="5">
        <f>IF('Project Database'!A417="","",N('Project Database'!AE417))</f>
        <v/>
      </c>
      <c r="BM413" s="5">
        <f>IF('Project Database'!A417="","",N('Project Database'!AF417))</f>
        <v/>
      </c>
      <c r="BN413" s="5">
        <f>IF('Project Database'!A417="","",N('Project Database'!AG417))</f>
        <v/>
      </c>
      <c r="BO413" s="5">
        <f>IF('Project Database'!A417="","",N('Project Database'!AH417))</f>
        <v/>
      </c>
      <c r="BP413" s="5">
        <f>IF('Project Database'!A417="","",N('Project Database'!AI417))</f>
        <v/>
      </c>
      <c r="BQ413" s="5">
        <f>IF('Project Database'!A417="","",N('Project Database'!AJ417))</f>
        <v/>
      </c>
      <c r="BR413" s="5">
        <f>IF('Project Database'!A417="","",N('Project Database'!AK417))</f>
        <v/>
      </c>
      <c r="BS413" s="5">
        <f>IF('Project Database'!A417="","",N('Project Database'!AL417))</f>
        <v/>
      </c>
      <c r="BT413" s="5">
        <f>IF('Project Database'!A417="","",N('Project Database'!AM417))</f>
        <v/>
      </c>
      <c r="BU413" s="5">
        <f>IF('Project Database'!A417="","",N('Project Database'!AN417))</f>
        <v/>
      </c>
      <c r="BV413" s="5">
        <f>IF('Project Database'!A417="","",N('Project Database'!AO417))</f>
        <v/>
      </c>
      <c r="BW413" s="5">
        <f>IF('Project Database'!A417="","",N('Project Database'!AP417))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</row>
    <row r="414" ht="15" customHeight="1" s="74">
      <c r="A414" s="66">
        <f>'Project Database'!A418</f>
        <v/>
      </c>
      <c r="B414" s="66">
        <f>'Project Database'!B418</f>
        <v/>
      </c>
      <c r="C414" s="66">
        <f>'Project Database'!G418</f>
        <v/>
      </c>
      <c r="D414" s="66">
        <f>'Project Database'!H418</f>
        <v/>
      </c>
      <c r="E414" s="66">
        <f>'Project Database'!I418</f>
        <v/>
      </c>
      <c r="F414" s="66">
        <f>'Project Database'!J418</f>
        <v/>
      </c>
      <c r="G414" s="66">
        <f>'Project Database'!K418</f>
        <v/>
      </c>
      <c r="H414" s="66">
        <f>'Project Database'!L418</f>
        <v/>
      </c>
      <c r="I414" s="66">
        <f>'Project Database'!M418</f>
        <v/>
      </c>
      <c r="J414" s="66">
        <f>'Project Database'!N418</f>
        <v/>
      </c>
      <c r="K414" s="66">
        <f>'Project Database'!O418</f>
        <v/>
      </c>
      <c r="L414" s="66">
        <f>'Project Database'!P418</f>
        <v/>
      </c>
      <c r="M414" s="66">
        <f>'Project Database'!Q418</f>
        <v/>
      </c>
      <c r="N414" s="66">
        <f>'Project Database'!R418</f>
        <v/>
      </c>
      <c r="O414" s="66">
        <f>'Project Database'!S418</f>
        <v/>
      </c>
      <c r="P414" s="66">
        <f>'Project Database'!T418</f>
        <v/>
      </c>
      <c r="Q414" s="66">
        <f>'Project Database'!U418</f>
        <v/>
      </c>
      <c r="R414" s="66">
        <f>'Project Database'!V418</f>
        <v/>
      </c>
      <c r="S414" s="66">
        <f>'Project Database'!W418</f>
        <v/>
      </c>
      <c r="T414" s="66">
        <f>'Project Database'!X418</f>
        <v/>
      </c>
      <c r="U414" s="67">
        <f>'Project Database'!Y418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'Project Database'!Z418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IF(AND('Project Database'!A418&lt;&gt;"",OR('Smart Search'!$L$5="",'Smart Search'!$L$5="All",TRIM('Project Database'!D418)=TRIM('Smart Search'!$L$5)),OR(TRIM('Smart Search'!$L$6)="",TRIM('Smart Search'!$L$6)="All",ISNUMBER(SEARCH(SUBSTITUTE(SUBSTITUTE(SUBSTITUTE(TRIM('Smart Search'!$L$6),"~","~~"),"*","~*"),"?","~?"),'Project Database'!C418))),OR('Smart Search'!$L$7="",AND('Project Database'!E418&lt;&gt;"",'Project Database'!E418='Smart Search'!$L$7)),OR('Smart Search'!$L$8="",'Smart Search'!$L$8="All",TRIM('Project Database'!F418)=TRIM('Smart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IF('Project Database'!A418="","",N('Project Database'!AC418))</f>
        <v/>
      </c>
      <c r="BK414" s="5">
        <f>IF('Project Database'!A418="","",N('Project Database'!AD418))</f>
        <v/>
      </c>
      <c r="BL414" s="5">
        <f>IF('Project Database'!A418="","",N('Project Database'!AE418))</f>
        <v/>
      </c>
      <c r="BM414" s="5">
        <f>IF('Project Database'!A418="","",N('Project Database'!AF418))</f>
        <v/>
      </c>
      <c r="BN414" s="5">
        <f>IF('Project Database'!A418="","",N('Project Database'!AG418))</f>
        <v/>
      </c>
      <c r="BO414" s="5">
        <f>IF('Project Database'!A418="","",N('Project Database'!AH418))</f>
        <v/>
      </c>
      <c r="BP414" s="5">
        <f>IF('Project Database'!A418="","",N('Project Database'!AI418))</f>
        <v/>
      </c>
      <c r="BQ414" s="5">
        <f>IF('Project Database'!A418="","",N('Project Database'!AJ418))</f>
        <v/>
      </c>
      <c r="BR414" s="5">
        <f>IF('Project Database'!A418="","",N('Project Database'!AK418))</f>
        <v/>
      </c>
      <c r="BS414" s="5">
        <f>IF('Project Database'!A418="","",N('Project Database'!AL418))</f>
        <v/>
      </c>
      <c r="BT414" s="5">
        <f>IF('Project Database'!A418="","",N('Project Database'!AM418))</f>
        <v/>
      </c>
      <c r="BU414" s="5">
        <f>IF('Project Database'!A418="","",N('Project Database'!AN418))</f>
        <v/>
      </c>
      <c r="BV414" s="5">
        <f>IF('Project Database'!A418="","",N('Project Database'!AO418))</f>
        <v/>
      </c>
      <c r="BW414" s="5">
        <f>IF('Project Database'!A418="","",N('Project Database'!AP418))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</row>
    <row r="415" ht="15" customHeight="1" s="74">
      <c r="A415" s="66">
        <f>'Project Database'!A419</f>
        <v/>
      </c>
      <c r="B415" s="66">
        <f>'Project Database'!B419</f>
        <v/>
      </c>
      <c r="C415" s="66">
        <f>'Project Database'!G419</f>
        <v/>
      </c>
      <c r="D415" s="66">
        <f>'Project Database'!H419</f>
        <v/>
      </c>
      <c r="E415" s="66">
        <f>'Project Database'!I419</f>
        <v/>
      </c>
      <c r="F415" s="66">
        <f>'Project Database'!J419</f>
        <v/>
      </c>
      <c r="G415" s="66">
        <f>'Project Database'!K419</f>
        <v/>
      </c>
      <c r="H415" s="66">
        <f>'Project Database'!L419</f>
        <v/>
      </c>
      <c r="I415" s="66">
        <f>'Project Database'!M419</f>
        <v/>
      </c>
      <c r="J415" s="66">
        <f>'Project Database'!N419</f>
        <v/>
      </c>
      <c r="K415" s="66">
        <f>'Project Database'!O419</f>
        <v/>
      </c>
      <c r="L415" s="66">
        <f>'Project Database'!P419</f>
        <v/>
      </c>
      <c r="M415" s="66">
        <f>'Project Database'!Q419</f>
        <v/>
      </c>
      <c r="N415" s="66">
        <f>'Project Database'!R419</f>
        <v/>
      </c>
      <c r="O415" s="66">
        <f>'Project Database'!S419</f>
        <v/>
      </c>
      <c r="P415" s="66">
        <f>'Project Database'!T419</f>
        <v/>
      </c>
      <c r="Q415" s="66">
        <f>'Project Database'!U419</f>
        <v/>
      </c>
      <c r="R415" s="66">
        <f>'Project Database'!V419</f>
        <v/>
      </c>
      <c r="S415" s="66">
        <f>'Project Database'!W419</f>
        <v/>
      </c>
      <c r="T415" s="66">
        <f>'Project Database'!X419</f>
        <v/>
      </c>
      <c r="U415" s="67">
        <f>'Project Database'!Y419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'Project Database'!Z419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IF(AND('Project Database'!A419&lt;&gt;"",OR('Smart Search'!$L$5="",'Smart Search'!$L$5="All",TRIM('Project Database'!D419)=TRIM('Smart Search'!$L$5)),OR(TRIM('Smart Search'!$L$6)="",TRIM('Smart Search'!$L$6)="All",ISNUMBER(SEARCH(SUBSTITUTE(SUBSTITUTE(SUBSTITUTE(TRIM('Smart Search'!$L$6),"~","~~"),"*","~*"),"?","~?"),'Project Database'!C419))),OR('Smart Search'!$L$7="",AND('Project Database'!E419&lt;&gt;"",'Project Database'!E419='Smart Search'!$L$7)),OR('Smart Search'!$L$8="",'Smart Search'!$L$8="All",TRIM('Project Database'!F419)=TRIM('Smart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IF('Project Database'!A419="","",N('Project Database'!AC419))</f>
        <v/>
      </c>
      <c r="BK415" s="5">
        <f>IF('Project Database'!A419="","",N('Project Database'!AD419))</f>
        <v/>
      </c>
      <c r="BL415" s="5">
        <f>IF('Project Database'!A419="","",N('Project Database'!AE419))</f>
        <v/>
      </c>
      <c r="BM415" s="5">
        <f>IF('Project Database'!A419="","",N('Project Database'!AF419))</f>
        <v/>
      </c>
      <c r="BN415" s="5">
        <f>IF('Project Database'!A419="","",N('Project Database'!AG419))</f>
        <v/>
      </c>
      <c r="BO415" s="5">
        <f>IF('Project Database'!A419="","",N('Project Database'!AH419))</f>
        <v/>
      </c>
      <c r="BP415" s="5">
        <f>IF('Project Database'!A419="","",N('Project Database'!AI419))</f>
        <v/>
      </c>
      <c r="BQ415" s="5">
        <f>IF('Project Database'!A419="","",N('Project Database'!AJ419))</f>
        <v/>
      </c>
      <c r="BR415" s="5">
        <f>IF('Project Database'!A419="","",N('Project Database'!AK419))</f>
        <v/>
      </c>
      <c r="BS415" s="5">
        <f>IF('Project Database'!A419="","",N('Project Database'!AL419))</f>
        <v/>
      </c>
      <c r="BT415" s="5">
        <f>IF('Project Database'!A419="","",N('Project Database'!AM419))</f>
        <v/>
      </c>
      <c r="BU415" s="5">
        <f>IF('Project Database'!A419="","",N('Project Database'!AN419))</f>
        <v/>
      </c>
      <c r="BV415" s="5">
        <f>IF('Project Database'!A419="","",N('Project Database'!AO419))</f>
        <v/>
      </c>
      <c r="BW415" s="5">
        <f>IF('Project Database'!A419="","",N('Project Database'!AP419))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</row>
    <row r="416" ht="15" customHeight="1" s="74">
      <c r="A416" s="66">
        <f>'Project Database'!A420</f>
        <v/>
      </c>
      <c r="B416" s="66">
        <f>'Project Database'!B420</f>
        <v/>
      </c>
      <c r="C416" s="66">
        <f>'Project Database'!G420</f>
        <v/>
      </c>
      <c r="D416" s="66">
        <f>'Project Database'!H420</f>
        <v/>
      </c>
      <c r="E416" s="66">
        <f>'Project Database'!I420</f>
        <v/>
      </c>
      <c r="F416" s="66">
        <f>'Project Database'!J420</f>
        <v/>
      </c>
      <c r="G416" s="66">
        <f>'Project Database'!K420</f>
        <v/>
      </c>
      <c r="H416" s="66">
        <f>'Project Database'!L420</f>
        <v/>
      </c>
      <c r="I416" s="66">
        <f>'Project Database'!M420</f>
        <v/>
      </c>
      <c r="J416" s="66">
        <f>'Project Database'!N420</f>
        <v/>
      </c>
      <c r="K416" s="66">
        <f>'Project Database'!O420</f>
        <v/>
      </c>
      <c r="L416" s="66">
        <f>'Project Database'!P420</f>
        <v/>
      </c>
      <c r="M416" s="66">
        <f>'Project Database'!Q420</f>
        <v/>
      </c>
      <c r="N416" s="66">
        <f>'Project Database'!R420</f>
        <v/>
      </c>
      <c r="O416" s="66">
        <f>'Project Database'!S420</f>
        <v/>
      </c>
      <c r="P416" s="66">
        <f>'Project Database'!T420</f>
        <v/>
      </c>
      <c r="Q416" s="66">
        <f>'Project Database'!U420</f>
        <v/>
      </c>
      <c r="R416" s="66">
        <f>'Project Database'!V420</f>
        <v/>
      </c>
      <c r="S416" s="66">
        <f>'Project Database'!W420</f>
        <v/>
      </c>
      <c r="T416" s="66">
        <f>'Project Database'!X420</f>
        <v/>
      </c>
      <c r="U416" s="67">
        <f>'Project Database'!Y420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'Project Database'!Z420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IF(AND('Project Database'!A420&lt;&gt;"",OR('Smart Search'!$L$5="",'Smart Search'!$L$5="All",TRIM('Project Database'!D420)=TRIM('Smart Search'!$L$5)),OR(TRIM('Smart Search'!$L$6)="",TRIM('Smart Search'!$L$6)="All",ISNUMBER(SEARCH(SUBSTITUTE(SUBSTITUTE(SUBSTITUTE(TRIM('Smart Search'!$L$6),"~","~~"),"*","~*"),"?","~?"),'Project Database'!C420))),OR('Smart Search'!$L$7="",AND('Project Database'!E420&lt;&gt;"",'Project Database'!E420='Smart Search'!$L$7)),OR('Smart Search'!$L$8="",'Smart Search'!$L$8="All",TRIM('Project Database'!F420)=TRIM('Smart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IF('Project Database'!A420="","",N('Project Database'!AC420))</f>
        <v/>
      </c>
      <c r="BK416" s="5">
        <f>IF('Project Database'!A420="","",N('Project Database'!AD420))</f>
        <v/>
      </c>
      <c r="BL416" s="5">
        <f>IF('Project Database'!A420="","",N('Project Database'!AE420))</f>
        <v/>
      </c>
      <c r="BM416" s="5">
        <f>IF('Project Database'!A420="","",N('Project Database'!AF420))</f>
        <v/>
      </c>
      <c r="BN416" s="5">
        <f>IF('Project Database'!A420="","",N('Project Database'!AG420))</f>
        <v/>
      </c>
      <c r="BO416" s="5">
        <f>IF('Project Database'!A420="","",N('Project Database'!AH420))</f>
        <v/>
      </c>
      <c r="BP416" s="5">
        <f>IF('Project Database'!A420="","",N('Project Database'!AI420))</f>
        <v/>
      </c>
      <c r="BQ416" s="5">
        <f>IF('Project Database'!A420="","",N('Project Database'!AJ420))</f>
        <v/>
      </c>
      <c r="BR416" s="5">
        <f>IF('Project Database'!A420="","",N('Project Database'!AK420))</f>
        <v/>
      </c>
      <c r="BS416" s="5">
        <f>IF('Project Database'!A420="","",N('Project Database'!AL420))</f>
        <v/>
      </c>
      <c r="BT416" s="5">
        <f>IF('Project Database'!A420="","",N('Project Database'!AM420))</f>
        <v/>
      </c>
      <c r="BU416" s="5">
        <f>IF('Project Database'!A420="","",N('Project Database'!AN420))</f>
        <v/>
      </c>
      <c r="BV416" s="5">
        <f>IF('Project Database'!A420="","",N('Project Database'!AO420))</f>
        <v/>
      </c>
      <c r="BW416" s="5">
        <f>IF('Project Database'!A420="","",N('Project Database'!AP420))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</row>
    <row r="417" ht="15" customHeight="1" s="74">
      <c r="A417" s="66">
        <f>'Project Database'!A421</f>
        <v/>
      </c>
      <c r="B417" s="66">
        <f>'Project Database'!B421</f>
        <v/>
      </c>
      <c r="C417" s="66">
        <f>'Project Database'!G421</f>
        <v/>
      </c>
      <c r="D417" s="66">
        <f>'Project Database'!H421</f>
        <v/>
      </c>
      <c r="E417" s="66">
        <f>'Project Database'!I421</f>
        <v/>
      </c>
      <c r="F417" s="66">
        <f>'Project Database'!J421</f>
        <v/>
      </c>
      <c r="G417" s="66">
        <f>'Project Database'!K421</f>
        <v/>
      </c>
      <c r="H417" s="66">
        <f>'Project Database'!L421</f>
        <v/>
      </c>
      <c r="I417" s="66">
        <f>'Project Database'!M421</f>
        <v/>
      </c>
      <c r="J417" s="66">
        <f>'Project Database'!N421</f>
        <v/>
      </c>
      <c r="K417" s="66">
        <f>'Project Database'!O421</f>
        <v/>
      </c>
      <c r="L417" s="66">
        <f>'Project Database'!P421</f>
        <v/>
      </c>
      <c r="M417" s="66">
        <f>'Project Database'!Q421</f>
        <v/>
      </c>
      <c r="N417" s="66">
        <f>'Project Database'!R421</f>
        <v/>
      </c>
      <c r="O417" s="66">
        <f>'Project Database'!S421</f>
        <v/>
      </c>
      <c r="P417" s="66">
        <f>'Project Database'!T421</f>
        <v/>
      </c>
      <c r="Q417" s="66">
        <f>'Project Database'!U421</f>
        <v/>
      </c>
      <c r="R417" s="66">
        <f>'Project Database'!V421</f>
        <v/>
      </c>
      <c r="S417" s="66">
        <f>'Project Database'!W421</f>
        <v/>
      </c>
      <c r="T417" s="66">
        <f>'Project Database'!X421</f>
        <v/>
      </c>
      <c r="U417" s="67">
        <f>'Project Database'!Y421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'Project Database'!Z421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IF(AND('Project Database'!A421&lt;&gt;"",OR('Smart Search'!$L$5="",'Smart Search'!$L$5="All",TRIM('Project Database'!D421)=TRIM('Smart Search'!$L$5)),OR(TRIM('Smart Search'!$L$6)="",TRIM('Smart Search'!$L$6)="All",ISNUMBER(SEARCH(SUBSTITUTE(SUBSTITUTE(SUBSTITUTE(TRIM('Smart Search'!$L$6),"~","~~"),"*","~*"),"?","~?"),'Project Database'!C421))),OR('Smart Search'!$L$7="",AND('Project Database'!E421&lt;&gt;"",'Project Database'!E421='Smart Search'!$L$7)),OR('Smart Search'!$L$8="",'Smart Search'!$L$8="All",TRIM('Project Database'!F421)=TRIM('Smart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IF('Project Database'!A421="","",N('Project Database'!AC421))</f>
        <v/>
      </c>
      <c r="BK417" s="5">
        <f>IF('Project Database'!A421="","",N('Project Database'!AD421))</f>
        <v/>
      </c>
      <c r="BL417" s="5">
        <f>IF('Project Database'!A421="","",N('Project Database'!AE421))</f>
        <v/>
      </c>
      <c r="BM417" s="5">
        <f>IF('Project Database'!A421="","",N('Project Database'!AF421))</f>
        <v/>
      </c>
      <c r="BN417" s="5">
        <f>IF('Project Database'!A421="","",N('Project Database'!AG421))</f>
        <v/>
      </c>
      <c r="BO417" s="5">
        <f>IF('Project Database'!A421="","",N('Project Database'!AH421))</f>
        <v/>
      </c>
      <c r="BP417" s="5">
        <f>IF('Project Database'!A421="","",N('Project Database'!AI421))</f>
        <v/>
      </c>
      <c r="BQ417" s="5">
        <f>IF('Project Database'!A421="","",N('Project Database'!AJ421))</f>
        <v/>
      </c>
      <c r="BR417" s="5">
        <f>IF('Project Database'!A421="","",N('Project Database'!AK421))</f>
        <v/>
      </c>
      <c r="BS417" s="5">
        <f>IF('Project Database'!A421="","",N('Project Database'!AL421))</f>
        <v/>
      </c>
      <c r="BT417" s="5">
        <f>IF('Project Database'!A421="","",N('Project Database'!AM421))</f>
        <v/>
      </c>
      <c r="BU417" s="5">
        <f>IF('Project Database'!A421="","",N('Project Database'!AN421))</f>
        <v/>
      </c>
      <c r="BV417" s="5">
        <f>IF('Project Database'!A421="","",N('Project Database'!AO421))</f>
        <v/>
      </c>
      <c r="BW417" s="5">
        <f>IF('Project Database'!A421="","",N('Project Database'!AP421))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</row>
    <row r="418" ht="15" customHeight="1" s="74">
      <c r="A418" s="66">
        <f>'Project Database'!A422</f>
        <v/>
      </c>
      <c r="B418" s="66">
        <f>'Project Database'!B422</f>
        <v/>
      </c>
      <c r="C418" s="66">
        <f>'Project Database'!G422</f>
        <v/>
      </c>
      <c r="D418" s="66">
        <f>'Project Database'!H422</f>
        <v/>
      </c>
      <c r="E418" s="66">
        <f>'Project Database'!I422</f>
        <v/>
      </c>
      <c r="F418" s="66">
        <f>'Project Database'!J422</f>
        <v/>
      </c>
      <c r="G418" s="66">
        <f>'Project Database'!K422</f>
        <v/>
      </c>
      <c r="H418" s="66">
        <f>'Project Database'!L422</f>
        <v/>
      </c>
      <c r="I418" s="66">
        <f>'Project Database'!M422</f>
        <v/>
      </c>
      <c r="J418" s="66">
        <f>'Project Database'!N422</f>
        <v/>
      </c>
      <c r="K418" s="66">
        <f>'Project Database'!O422</f>
        <v/>
      </c>
      <c r="L418" s="66">
        <f>'Project Database'!P422</f>
        <v/>
      </c>
      <c r="M418" s="66">
        <f>'Project Database'!Q422</f>
        <v/>
      </c>
      <c r="N418" s="66">
        <f>'Project Database'!R422</f>
        <v/>
      </c>
      <c r="O418" s="66">
        <f>'Project Database'!S422</f>
        <v/>
      </c>
      <c r="P418" s="66">
        <f>'Project Database'!T422</f>
        <v/>
      </c>
      <c r="Q418" s="66">
        <f>'Project Database'!U422</f>
        <v/>
      </c>
      <c r="R418" s="66">
        <f>'Project Database'!V422</f>
        <v/>
      </c>
      <c r="S418" s="66">
        <f>'Project Database'!W422</f>
        <v/>
      </c>
      <c r="T418" s="66">
        <f>'Project Database'!X422</f>
        <v/>
      </c>
      <c r="U418" s="67">
        <f>'Project Database'!Y422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'Project Database'!Z422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IF(AND('Project Database'!A422&lt;&gt;"",OR('Smart Search'!$L$5="",'Smart Search'!$L$5="All",TRIM('Project Database'!D422)=TRIM('Smart Search'!$L$5)),OR(TRIM('Smart Search'!$L$6)="",TRIM('Smart Search'!$L$6)="All",ISNUMBER(SEARCH(SUBSTITUTE(SUBSTITUTE(SUBSTITUTE(TRIM('Smart Search'!$L$6),"~","~~"),"*","~*"),"?","~?"),'Project Database'!C422))),OR('Smart Search'!$L$7="",AND('Project Database'!E422&lt;&gt;"",'Project Database'!E422='Smart Search'!$L$7)),OR('Smart Search'!$L$8="",'Smart Search'!$L$8="All",TRIM('Project Database'!F422)=TRIM('Smart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IF('Project Database'!A422="","",N('Project Database'!AC422))</f>
        <v/>
      </c>
      <c r="BK418" s="5">
        <f>IF('Project Database'!A422="","",N('Project Database'!AD422))</f>
        <v/>
      </c>
      <c r="BL418" s="5">
        <f>IF('Project Database'!A422="","",N('Project Database'!AE422))</f>
        <v/>
      </c>
      <c r="BM418" s="5">
        <f>IF('Project Database'!A422="","",N('Project Database'!AF422))</f>
        <v/>
      </c>
      <c r="BN418" s="5">
        <f>IF('Project Database'!A422="","",N('Project Database'!AG422))</f>
        <v/>
      </c>
      <c r="BO418" s="5">
        <f>IF('Project Database'!A422="","",N('Project Database'!AH422))</f>
        <v/>
      </c>
      <c r="BP418" s="5">
        <f>IF('Project Database'!A422="","",N('Project Database'!AI422))</f>
        <v/>
      </c>
      <c r="BQ418" s="5">
        <f>IF('Project Database'!A422="","",N('Project Database'!AJ422))</f>
        <v/>
      </c>
      <c r="BR418" s="5">
        <f>IF('Project Database'!A422="","",N('Project Database'!AK422))</f>
        <v/>
      </c>
      <c r="BS418" s="5">
        <f>IF('Project Database'!A422="","",N('Project Database'!AL422))</f>
        <v/>
      </c>
      <c r="BT418" s="5">
        <f>IF('Project Database'!A422="","",N('Project Database'!AM422))</f>
        <v/>
      </c>
      <c r="BU418" s="5">
        <f>IF('Project Database'!A422="","",N('Project Database'!AN422))</f>
        <v/>
      </c>
      <c r="BV418" s="5">
        <f>IF('Project Database'!A422="","",N('Project Database'!AO422))</f>
        <v/>
      </c>
      <c r="BW418" s="5">
        <f>IF('Project Database'!A422="","",N('Project Database'!AP422))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</row>
    <row r="419" ht="15" customHeight="1" s="74">
      <c r="A419" s="66">
        <f>'Project Database'!A423</f>
        <v/>
      </c>
      <c r="B419" s="66">
        <f>'Project Database'!B423</f>
        <v/>
      </c>
      <c r="C419" s="66">
        <f>'Project Database'!G423</f>
        <v/>
      </c>
      <c r="D419" s="66">
        <f>'Project Database'!H423</f>
        <v/>
      </c>
      <c r="E419" s="66">
        <f>'Project Database'!I423</f>
        <v/>
      </c>
      <c r="F419" s="66">
        <f>'Project Database'!J423</f>
        <v/>
      </c>
      <c r="G419" s="66">
        <f>'Project Database'!K423</f>
        <v/>
      </c>
      <c r="H419" s="66">
        <f>'Project Database'!L423</f>
        <v/>
      </c>
      <c r="I419" s="66">
        <f>'Project Database'!M423</f>
        <v/>
      </c>
      <c r="J419" s="66">
        <f>'Project Database'!N423</f>
        <v/>
      </c>
      <c r="K419" s="66">
        <f>'Project Database'!O423</f>
        <v/>
      </c>
      <c r="L419" s="66">
        <f>'Project Database'!P423</f>
        <v/>
      </c>
      <c r="M419" s="66">
        <f>'Project Database'!Q423</f>
        <v/>
      </c>
      <c r="N419" s="66">
        <f>'Project Database'!R423</f>
        <v/>
      </c>
      <c r="O419" s="66">
        <f>'Project Database'!S423</f>
        <v/>
      </c>
      <c r="P419" s="66">
        <f>'Project Database'!T423</f>
        <v/>
      </c>
      <c r="Q419" s="66">
        <f>'Project Database'!U423</f>
        <v/>
      </c>
      <c r="R419" s="66">
        <f>'Project Database'!V423</f>
        <v/>
      </c>
      <c r="S419" s="66">
        <f>'Project Database'!W423</f>
        <v/>
      </c>
      <c r="T419" s="66">
        <f>'Project Database'!X423</f>
        <v/>
      </c>
      <c r="U419" s="67">
        <f>'Project Database'!Y423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'Project Database'!Z423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IF(AND('Project Database'!A423&lt;&gt;"",OR('Smart Search'!$L$5="",'Smart Search'!$L$5="All",TRIM('Project Database'!D423)=TRIM('Smart Search'!$L$5)),OR(TRIM('Smart Search'!$L$6)="",TRIM('Smart Search'!$L$6)="All",ISNUMBER(SEARCH(SUBSTITUTE(SUBSTITUTE(SUBSTITUTE(TRIM('Smart Search'!$L$6),"~","~~"),"*","~*"),"?","~?"),'Project Database'!C423))),OR('Smart Search'!$L$7="",AND('Project Database'!E423&lt;&gt;"",'Project Database'!E423='Smart Search'!$L$7)),OR('Smart Search'!$L$8="",'Smart Search'!$L$8="All",TRIM('Project Database'!F423)=TRIM('Smart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IF('Project Database'!A423="","",N('Project Database'!AC423))</f>
        <v/>
      </c>
      <c r="BK419" s="5">
        <f>IF('Project Database'!A423="","",N('Project Database'!AD423))</f>
        <v/>
      </c>
      <c r="BL419" s="5">
        <f>IF('Project Database'!A423="","",N('Project Database'!AE423))</f>
        <v/>
      </c>
      <c r="BM419" s="5">
        <f>IF('Project Database'!A423="","",N('Project Database'!AF423))</f>
        <v/>
      </c>
      <c r="BN419" s="5">
        <f>IF('Project Database'!A423="","",N('Project Database'!AG423))</f>
        <v/>
      </c>
      <c r="BO419" s="5">
        <f>IF('Project Database'!A423="","",N('Project Database'!AH423))</f>
        <v/>
      </c>
      <c r="BP419" s="5">
        <f>IF('Project Database'!A423="","",N('Project Database'!AI423))</f>
        <v/>
      </c>
      <c r="BQ419" s="5">
        <f>IF('Project Database'!A423="","",N('Project Database'!AJ423))</f>
        <v/>
      </c>
      <c r="BR419" s="5">
        <f>IF('Project Database'!A423="","",N('Project Database'!AK423))</f>
        <v/>
      </c>
      <c r="BS419" s="5">
        <f>IF('Project Database'!A423="","",N('Project Database'!AL423))</f>
        <v/>
      </c>
      <c r="BT419" s="5">
        <f>IF('Project Database'!A423="","",N('Project Database'!AM423))</f>
        <v/>
      </c>
      <c r="BU419" s="5">
        <f>IF('Project Database'!A423="","",N('Project Database'!AN423))</f>
        <v/>
      </c>
      <c r="BV419" s="5">
        <f>IF('Project Database'!A423="","",N('Project Database'!AO423))</f>
        <v/>
      </c>
      <c r="BW419" s="5">
        <f>IF('Project Database'!A423="","",N('Project Database'!AP423))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</row>
    <row r="420" ht="15" customHeight="1" s="74">
      <c r="A420" s="66">
        <f>'Project Database'!A424</f>
        <v/>
      </c>
      <c r="B420" s="66">
        <f>'Project Database'!B424</f>
        <v/>
      </c>
      <c r="C420" s="66">
        <f>'Project Database'!G424</f>
        <v/>
      </c>
      <c r="D420" s="66">
        <f>'Project Database'!H424</f>
        <v/>
      </c>
      <c r="E420" s="66">
        <f>'Project Database'!I424</f>
        <v/>
      </c>
      <c r="F420" s="66">
        <f>'Project Database'!J424</f>
        <v/>
      </c>
      <c r="G420" s="66">
        <f>'Project Database'!K424</f>
        <v/>
      </c>
      <c r="H420" s="66">
        <f>'Project Database'!L424</f>
        <v/>
      </c>
      <c r="I420" s="66">
        <f>'Project Database'!M424</f>
        <v/>
      </c>
      <c r="J420" s="66">
        <f>'Project Database'!N424</f>
        <v/>
      </c>
      <c r="K420" s="66">
        <f>'Project Database'!O424</f>
        <v/>
      </c>
      <c r="L420" s="66">
        <f>'Project Database'!P424</f>
        <v/>
      </c>
      <c r="M420" s="66">
        <f>'Project Database'!Q424</f>
        <v/>
      </c>
      <c r="N420" s="66">
        <f>'Project Database'!R424</f>
        <v/>
      </c>
      <c r="O420" s="66">
        <f>'Project Database'!S424</f>
        <v/>
      </c>
      <c r="P420" s="66">
        <f>'Project Database'!T424</f>
        <v/>
      </c>
      <c r="Q420" s="66">
        <f>'Project Database'!U424</f>
        <v/>
      </c>
      <c r="R420" s="66">
        <f>'Project Database'!V424</f>
        <v/>
      </c>
      <c r="S420" s="66">
        <f>'Project Database'!W424</f>
        <v/>
      </c>
      <c r="T420" s="66">
        <f>'Project Database'!X424</f>
        <v/>
      </c>
      <c r="U420" s="67">
        <f>'Project Database'!Y424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'Project Database'!Z424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IF(AND('Project Database'!A424&lt;&gt;"",OR('Smart Search'!$L$5="",'Smart Search'!$L$5="All",TRIM('Project Database'!D424)=TRIM('Smart Search'!$L$5)),OR(TRIM('Smart Search'!$L$6)="",TRIM('Smart Search'!$L$6)="All",ISNUMBER(SEARCH(SUBSTITUTE(SUBSTITUTE(SUBSTITUTE(TRIM('Smart Search'!$L$6),"~","~~"),"*","~*"),"?","~?"),'Project Database'!C424))),OR('Smart Search'!$L$7="",AND('Project Database'!E424&lt;&gt;"",'Project Database'!E424='Smart Search'!$L$7)),OR('Smart Search'!$L$8="",'Smart Search'!$L$8="All",TRIM('Project Database'!F424)=TRIM('Smart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IF('Project Database'!A424="","",N('Project Database'!AC424))</f>
        <v/>
      </c>
      <c r="BK420" s="5">
        <f>IF('Project Database'!A424="","",N('Project Database'!AD424))</f>
        <v/>
      </c>
      <c r="BL420" s="5">
        <f>IF('Project Database'!A424="","",N('Project Database'!AE424))</f>
        <v/>
      </c>
      <c r="BM420" s="5">
        <f>IF('Project Database'!A424="","",N('Project Database'!AF424))</f>
        <v/>
      </c>
      <c r="BN420" s="5">
        <f>IF('Project Database'!A424="","",N('Project Database'!AG424))</f>
        <v/>
      </c>
      <c r="BO420" s="5">
        <f>IF('Project Database'!A424="","",N('Project Database'!AH424))</f>
        <v/>
      </c>
      <c r="BP420" s="5">
        <f>IF('Project Database'!A424="","",N('Project Database'!AI424))</f>
        <v/>
      </c>
      <c r="BQ420" s="5">
        <f>IF('Project Database'!A424="","",N('Project Database'!AJ424))</f>
        <v/>
      </c>
      <c r="BR420" s="5">
        <f>IF('Project Database'!A424="","",N('Project Database'!AK424))</f>
        <v/>
      </c>
      <c r="BS420" s="5">
        <f>IF('Project Database'!A424="","",N('Project Database'!AL424))</f>
        <v/>
      </c>
      <c r="BT420" s="5">
        <f>IF('Project Database'!A424="","",N('Project Database'!AM424))</f>
        <v/>
      </c>
      <c r="BU420" s="5">
        <f>IF('Project Database'!A424="","",N('Project Database'!AN424))</f>
        <v/>
      </c>
      <c r="BV420" s="5">
        <f>IF('Project Database'!A424="","",N('Project Database'!AO424))</f>
        <v/>
      </c>
      <c r="BW420" s="5">
        <f>IF('Project Database'!A424="","",N('Project Database'!AP424))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</row>
    <row r="421" ht="15" customHeight="1" s="74">
      <c r="A421" s="66">
        <f>'Project Database'!A425</f>
        <v/>
      </c>
      <c r="B421" s="66">
        <f>'Project Database'!B425</f>
        <v/>
      </c>
      <c r="C421" s="66">
        <f>'Project Database'!G425</f>
        <v/>
      </c>
      <c r="D421" s="66">
        <f>'Project Database'!H425</f>
        <v/>
      </c>
      <c r="E421" s="66">
        <f>'Project Database'!I425</f>
        <v/>
      </c>
      <c r="F421" s="66">
        <f>'Project Database'!J425</f>
        <v/>
      </c>
      <c r="G421" s="66">
        <f>'Project Database'!K425</f>
        <v/>
      </c>
      <c r="H421" s="66">
        <f>'Project Database'!L425</f>
        <v/>
      </c>
      <c r="I421" s="66">
        <f>'Project Database'!M425</f>
        <v/>
      </c>
      <c r="J421" s="66">
        <f>'Project Database'!N425</f>
        <v/>
      </c>
      <c r="K421" s="66">
        <f>'Project Database'!O425</f>
        <v/>
      </c>
      <c r="L421" s="66">
        <f>'Project Database'!P425</f>
        <v/>
      </c>
      <c r="M421" s="66">
        <f>'Project Database'!Q425</f>
        <v/>
      </c>
      <c r="N421" s="66">
        <f>'Project Database'!R425</f>
        <v/>
      </c>
      <c r="O421" s="66">
        <f>'Project Database'!S425</f>
        <v/>
      </c>
      <c r="P421" s="66">
        <f>'Project Database'!T425</f>
        <v/>
      </c>
      <c r="Q421" s="66">
        <f>'Project Database'!U425</f>
        <v/>
      </c>
      <c r="R421" s="66">
        <f>'Project Database'!V425</f>
        <v/>
      </c>
      <c r="S421" s="66">
        <f>'Project Database'!W425</f>
        <v/>
      </c>
      <c r="T421" s="66">
        <f>'Project Database'!X425</f>
        <v/>
      </c>
      <c r="U421" s="67">
        <f>'Project Database'!Y425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'Project Database'!Z425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IF(AND('Project Database'!A425&lt;&gt;"",OR('Smart Search'!$L$5="",'Smart Search'!$L$5="All",TRIM('Project Database'!D425)=TRIM('Smart Search'!$L$5)),OR(TRIM('Smart Search'!$L$6)="",TRIM('Smart Search'!$L$6)="All",ISNUMBER(SEARCH(SUBSTITUTE(SUBSTITUTE(SUBSTITUTE(TRIM('Smart Search'!$L$6),"~","~~"),"*","~*"),"?","~?"),'Project Database'!C425))),OR('Smart Search'!$L$7="",AND('Project Database'!E425&lt;&gt;"",'Project Database'!E425='Smart Search'!$L$7)),OR('Smart Search'!$L$8="",'Smart Search'!$L$8="All",TRIM('Project Database'!F425)=TRIM('Smart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IF('Project Database'!A425="","",N('Project Database'!AC425))</f>
        <v/>
      </c>
      <c r="BK421" s="5">
        <f>IF('Project Database'!A425="","",N('Project Database'!AD425))</f>
        <v/>
      </c>
      <c r="BL421" s="5">
        <f>IF('Project Database'!A425="","",N('Project Database'!AE425))</f>
        <v/>
      </c>
      <c r="BM421" s="5">
        <f>IF('Project Database'!A425="","",N('Project Database'!AF425))</f>
        <v/>
      </c>
      <c r="BN421" s="5">
        <f>IF('Project Database'!A425="","",N('Project Database'!AG425))</f>
        <v/>
      </c>
      <c r="BO421" s="5">
        <f>IF('Project Database'!A425="","",N('Project Database'!AH425))</f>
        <v/>
      </c>
      <c r="BP421" s="5">
        <f>IF('Project Database'!A425="","",N('Project Database'!AI425))</f>
        <v/>
      </c>
      <c r="BQ421" s="5">
        <f>IF('Project Database'!A425="","",N('Project Database'!AJ425))</f>
        <v/>
      </c>
      <c r="BR421" s="5">
        <f>IF('Project Database'!A425="","",N('Project Database'!AK425))</f>
        <v/>
      </c>
      <c r="BS421" s="5">
        <f>IF('Project Database'!A425="","",N('Project Database'!AL425))</f>
        <v/>
      </c>
      <c r="BT421" s="5">
        <f>IF('Project Database'!A425="","",N('Project Database'!AM425))</f>
        <v/>
      </c>
      <c r="BU421" s="5">
        <f>IF('Project Database'!A425="","",N('Project Database'!AN425))</f>
        <v/>
      </c>
      <c r="BV421" s="5">
        <f>IF('Project Database'!A425="","",N('Project Database'!AO425))</f>
        <v/>
      </c>
      <c r="BW421" s="5">
        <f>IF('Project Database'!A425="","",N('Project Database'!AP425))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</row>
    <row r="422" ht="15" customHeight="1" s="74">
      <c r="A422" s="66">
        <f>'Project Database'!A426</f>
        <v/>
      </c>
      <c r="B422" s="66">
        <f>'Project Database'!B426</f>
        <v/>
      </c>
      <c r="C422" s="66">
        <f>'Project Database'!G426</f>
        <v/>
      </c>
      <c r="D422" s="66">
        <f>'Project Database'!H426</f>
        <v/>
      </c>
      <c r="E422" s="66">
        <f>'Project Database'!I426</f>
        <v/>
      </c>
      <c r="F422" s="66">
        <f>'Project Database'!J426</f>
        <v/>
      </c>
      <c r="G422" s="66">
        <f>'Project Database'!K426</f>
        <v/>
      </c>
      <c r="H422" s="66">
        <f>'Project Database'!L426</f>
        <v/>
      </c>
      <c r="I422" s="66">
        <f>'Project Database'!M426</f>
        <v/>
      </c>
      <c r="J422" s="66">
        <f>'Project Database'!N426</f>
        <v/>
      </c>
      <c r="K422" s="66">
        <f>'Project Database'!O426</f>
        <v/>
      </c>
      <c r="L422" s="66">
        <f>'Project Database'!P426</f>
        <v/>
      </c>
      <c r="M422" s="66">
        <f>'Project Database'!Q426</f>
        <v/>
      </c>
      <c r="N422" s="66">
        <f>'Project Database'!R426</f>
        <v/>
      </c>
      <c r="O422" s="66">
        <f>'Project Database'!S426</f>
        <v/>
      </c>
      <c r="P422" s="66">
        <f>'Project Database'!T426</f>
        <v/>
      </c>
      <c r="Q422" s="66">
        <f>'Project Database'!U426</f>
        <v/>
      </c>
      <c r="R422" s="66">
        <f>'Project Database'!V426</f>
        <v/>
      </c>
      <c r="S422" s="66">
        <f>'Project Database'!W426</f>
        <v/>
      </c>
      <c r="T422" s="66">
        <f>'Project Database'!X426</f>
        <v/>
      </c>
      <c r="U422" s="67">
        <f>'Project Database'!Y426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'Project Database'!Z426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IF(AND('Project Database'!A426&lt;&gt;"",OR('Smart Search'!$L$5="",'Smart Search'!$L$5="All",TRIM('Project Database'!D426)=TRIM('Smart Search'!$L$5)),OR(TRIM('Smart Search'!$L$6)="",TRIM('Smart Search'!$L$6)="All",ISNUMBER(SEARCH(SUBSTITUTE(SUBSTITUTE(SUBSTITUTE(TRIM('Smart Search'!$L$6),"~","~~"),"*","~*"),"?","~?"),'Project Database'!C426))),OR('Smart Search'!$L$7="",AND('Project Database'!E426&lt;&gt;"",'Project Database'!E426='Smart Search'!$L$7)),OR('Smart Search'!$L$8="",'Smart Search'!$L$8="All",TRIM('Project Database'!F426)=TRIM('Smart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IF('Project Database'!A426="","",N('Project Database'!AC426))</f>
        <v/>
      </c>
      <c r="BK422" s="5">
        <f>IF('Project Database'!A426="","",N('Project Database'!AD426))</f>
        <v/>
      </c>
      <c r="BL422" s="5">
        <f>IF('Project Database'!A426="","",N('Project Database'!AE426))</f>
        <v/>
      </c>
      <c r="BM422" s="5">
        <f>IF('Project Database'!A426="","",N('Project Database'!AF426))</f>
        <v/>
      </c>
      <c r="BN422" s="5">
        <f>IF('Project Database'!A426="","",N('Project Database'!AG426))</f>
        <v/>
      </c>
      <c r="BO422" s="5">
        <f>IF('Project Database'!A426="","",N('Project Database'!AH426))</f>
        <v/>
      </c>
      <c r="BP422" s="5">
        <f>IF('Project Database'!A426="","",N('Project Database'!AI426))</f>
        <v/>
      </c>
      <c r="BQ422" s="5">
        <f>IF('Project Database'!A426="","",N('Project Database'!AJ426))</f>
        <v/>
      </c>
      <c r="BR422" s="5">
        <f>IF('Project Database'!A426="","",N('Project Database'!AK426))</f>
        <v/>
      </c>
      <c r="BS422" s="5">
        <f>IF('Project Database'!A426="","",N('Project Database'!AL426))</f>
        <v/>
      </c>
      <c r="BT422" s="5">
        <f>IF('Project Database'!A426="","",N('Project Database'!AM426))</f>
        <v/>
      </c>
      <c r="BU422" s="5">
        <f>IF('Project Database'!A426="","",N('Project Database'!AN426))</f>
        <v/>
      </c>
      <c r="BV422" s="5">
        <f>IF('Project Database'!A426="","",N('Project Database'!AO426))</f>
        <v/>
      </c>
      <c r="BW422" s="5">
        <f>IF('Project Database'!A426="","",N('Project Database'!AP426))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</row>
    <row r="423" ht="15" customHeight="1" s="74">
      <c r="A423" s="66">
        <f>'Project Database'!A427</f>
        <v/>
      </c>
      <c r="B423" s="66">
        <f>'Project Database'!B427</f>
        <v/>
      </c>
      <c r="C423" s="66">
        <f>'Project Database'!G427</f>
        <v/>
      </c>
      <c r="D423" s="66">
        <f>'Project Database'!H427</f>
        <v/>
      </c>
      <c r="E423" s="66">
        <f>'Project Database'!I427</f>
        <v/>
      </c>
      <c r="F423" s="66">
        <f>'Project Database'!J427</f>
        <v/>
      </c>
      <c r="G423" s="66">
        <f>'Project Database'!K427</f>
        <v/>
      </c>
      <c r="H423" s="66">
        <f>'Project Database'!L427</f>
        <v/>
      </c>
      <c r="I423" s="66">
        <f>'Project Database'!M427</f>
        <v/>
      </c>
      <c r="J423" s="66">
        <f>'Project Database'!N427</f>
        <v/>
      </c>
      <c r="K423" s="66">
        <f>'Project Database'!O427</f>
        <v/>
      </c>
      <c r="L423" s="66">
        <f>'Project Database'!P427</f>
        <v/>
      </c>
      <c r="M423" s="66">
        <f>'Project Database'!Q427</f>
        <v/>
      </c>
      <c r="N423" s="66">
        <f>'Project Database'!R427</f>
        <v/>
      </c>
      <c r="O423" s="66">
        <f>'Project Database'!S427</f>
        <v/>
      </c>
      <c r="P423" s="66">
        <f>'Project Database'!T427</f>
        <v/>
      </c>
      <c r="Q423" s="66">
        <f>'Project Database'!U427</f>
        <v/>
      </c>
      <c r="R423" s="66">
        <f>'Project Database'!V427</f>
        <v/>
      </c>
      <c r="S423" s="66">
        <f>'Project Database'!W427</f>
        <v/>
      </c>
      <c r="T423" s="66">
        <f>'Project Database'!X427</f>
        <v/>
      </c>
      <c r="U423" s="67">
        <f>'Project Database'!Y427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'Project Database'!Z427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IF(AND('Project Database'!A427&lt;&gt;"",OR('Smart Search'!$L$5="",'Smart Search'!$L$5="All",TRIM('Project Database'!D427)=TRIM('Smart Search'!$L$5)),OR(TRIM('Smart Search'!$L$6)="",TRIM('Smart Search'!$L$6)="All",ISNUMBER(SEARCH(SUBSTITUTE(SUBSTITUTE(SUBSTITUTE(TRIM('Smart Search'!$L$6),"~","~~"),"*","~*"),"?","~?"),'Project Database'!C427))),OR('Smart Search'!$L$7="",AND('Project Database'!E427&lt;&gt;"",'Project Database'!E427='Smart Search'!$L$7)),OR('Smart Search'!$L$8="",'Smart Search'!$L$8="All",TRIM('Project Database'!F427)=TRIM('Smart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IF('Project Database'!A427="","",N('Project Database'!AC427))</f>
        <v/>
      </c>
      <c r="BK423" s="5">
        <f>IF('Project Database'!A427="","",N('Project Database'!AD427))</f>
        <v/>
      </c>
      <c r="BL423" s="5">
        <f>IF('Project Database'!A427="","",N('Project Database'!AE427))</f>
        <v/>
      </c>
      <c r="BM423" s="5">
        <f>IF('Project Database'!A427="","",N('Project Database'!AF427))</f>
        <v/>
      </c>
      <c r="BN423" s="5">
        <f>IF('Project Database'!A427="","",N('Project Database'!AG427))</f>
        <v/>
      </c>
      <c r="BO423" s="5">
        <f>IF('Project Database'!A427="","",N('Project Database'!AH427))</f>
        <v/>
      </c>
      <c r="BP423" s="5">
        <f>IF('Project Database'!A427="","",N('Project Database'!AI427))</f>
        <v/>
      </c>
      <c r="BQ423" s="5">
        <f>IF('Project Database'!A427="","",N('Project Database'!AJ427))</f>
        <v/>
      </c>
      <c r="BR423" s="5">
        <f>IF('Project Database'!A427="","",N('Project Database'!AK427))</f>
        <v/>
      </c>
      <c r="BS423" s="5">
        <f>IF('Project Database'!A427="","",N('Project Database'!AL427))</f>
        <v/>
      </c>
      <c r="BT423" s="5">
        <f>IF('Project Database'!A427="","",N('Project Database'!AM427))</f>
        <v/>
      </c>
      <c r="BU423" s="5">
        <f>IF('Project Database'!A427="","",N('Project Database'!AN427))</f>
        <v/>
      </c>
      <c r="BV423" s="5">
        <f>IF('Project Database'!A427="","",N('Project Database'!AO427))</f>
        <v/>
      </c>
      <c r="BW423" s="5">
        <f>IF('Project Database'!A427="","",N('Project Database'!AP427))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</row>
    <row r="424" ht="15" customHeight="1" s="74">
      <c r="A424" s="66">
        <f>'Project Database'!A428</f>
        <v/>
      </c>
      <c r="B424" s="66">
        <f>'Project Database'!B428</f>
        <v/>
      </c>
      <c r="C424" s="66">
        <f>'Project Database'!G428</f>
        <v/>
      </c>
      <c r="D424" s="66">
        <f>'Project Database'!H428</f>
        <v/>
      </c>
      <c r="E424" s="66">
        <f>'Project Database'!I428</f>
        <v/>
      </c>
      <c r="F424" s="66">
        <f>'Project Database'!J428</f>
        <v/>
      </c>
      <c r="G424" s="66">
        <f>'Project Database'!K428</f>
        <v/>
      </c>
      <c r="H424" s="66">
        <f>'Project Database'!L428</f>
        <v/>
      </c>
      <c r="I424" s="66">
        <f>'Project Database'!M428</f>
        <v/>
      </c>
      <c r="J424" s="66">
        <f>'Project Database'!N428</f>
        <v/>
      </c>
      <c r="K424" s="66">
        <f>'Project Database'!O428</f>
        <v/>
      </c>
      <c r="L424" s="66">
        <f>'Project Database'!P428</f>
        <v/>
      </c>
      <c r="M424" s="66">
        <f>'Project Database'!Q428</f>
        <v/>
      </c>
      <c r="N424" s="66">
        <f>'Project Database'!R428</f>
        <v/>
      </c>
      <c r="O424" s="66">
        <f>'Project Database'!S428</f>
        <v/>
      </c>
      <c r="P424" s="66">
        <f>'Project Database'!T428</f>
        <v/>
      </c>
      <c r="Q424" s="66">
        <f>'Project Database'!U428</f>
        <v/>
      </c>
      <c r="R424" s="66">
        <f>'Project Database'!V428</f>
        <v/>
      </c>
      <c r="S424" s="66">
        <f>'Project Database'!W428</f>
        <v/>
      </c>
      <c r="T424" s="66">
        <f>'Project Database'!X428</f>
        <v/>
      </c>
      <c r="U424" s="67">
        <f>'Project Database'!Y428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'Project Database'!Z428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IF(AND('Project Database'!A428&lt;&gt;"",OR('Smart Search'!$L$5="",'Smart Search'!$L$5="All",TRIM('Project Database'!D428)=TRIM('Smart Search'!$L$5)),OR(TRIM('Smart Search'!$L$6)="",TRIM('Smart Search'!$L$6)="All",ISNUMBER(SEARCH(SUBSTITUTE(SUBSTITUTE(SUBSTITUTE(TRIM('Smart Search'!$L$6),"~","~~"),"*","~*"),"?","~?"),'Project Database'!C428))),OR('Smart Search'!$L$7="",AND('Project Database'!E428&lt;&gt;"",'Project Database'!E428='Smart Search'!$L$7)),OR('Smart Search'!$L$8="",'Smart Search'!$L$8="All",TRIM('Project Database'!F428)=TRIM('Smart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IF('Project Database'!A428="","",N('Project Database'!AC428))</f>
        <v/>
      </c>
      <c r="BK424" s="5">
        <f>IF('Project Database'!A428="","",N('Project Database'!AD428))</f>
        <v/>
      </c>
      <c r="BL424" s="5">
        <f>IF('Project Database'!A428="","",N('Project Database'!AE428))</f>
        <v/>
      </c>
      <c r="BM424" s="5">
        <f>IF('Project Database'!A428="","",N('Project Database'!AF428))</f>
        <v/>
      </c>
      <c r="BN424" s="5">
        <f>IF('Project Database'!A428="","",N('Project Database'!AG428))</f>
        <v/>
      </c>
      <c r="BO424" s="5">
        <f>IF('Project Database'!A428="","",N('Project Database'!AH428))</f>
        <v/>
      </c>
      <c r="BP424" s="5">
        <f>IF('Project Database'!A428="","",N('Project Database'!AI428))</f>
        <v/>
      </c>
      <c r="BQ424" s="5">
        <f>IF('Project Database'!A428="","",N('Project Database'!AJ428))</f>
        <v/>
      </c>
      <c r="BR424" s="5">
        <f>IF('Project Database'!A428="","",N('Project Database'!AK428))</f>
        <v/>
      </c>
      <c r="BS424" s="5">
        <f>IF('Project Database'!A428="","",N('Project Database'!AL428))</f>
        <v/>
      </c>
      <c r="BT424" s="5">
        <f>IF('Project Database'!A428="","",N('Project Database'!AM428))</f>
        <v/>
      </c>
      <c r="BU424" s="5">
        <f>IF('Project Database'!A428="","",N('Project Database'!AN428))</f>
        <v/>
      </c>
      <c r="BV424" s="5">
        <f>IF('Project Database'!A428="","",N('Project Database'!AO428))</f>
        <v/>
      </c>
      <c r="BW424" s="5">
        <f>IF('Project Database'!A428="","",N('Project Database'!AP428))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</row>
    <row r="425" ht="15" customHeight="1" s="74">
      <c r="A425" s="66">
        <f>'Project Database'!A429</f>
        <v/>
      </c>
      <c r="B425" s="66">
        <f>'Project Database'!B429</f>
        <v/>
      </c>
      <c r="C425" s="66">
        <f>'Project Database'!G429</f>
        <v/>
      </c>
      <c r="D425" s="66">
        <f>'Project Database'!H429</f>
        <v/>
      </c>
      <c r="E425" s="66">
        <f>'Project Database'!I429</f>
        <v/>
      </c>
      <c r="F425" s="66">
        <f>'Project Database'!J429</f>
        <v/>
      </c>
      <c r="G425" s="66">
        <f>'Project Database'!K429</f>
        <v/>
      </c>
      <c r="H425" s="66">
        <f>'Project Database'!L429</f>
        <v/>
      </c>
      <c r="I425" s="66">
        <f>'Project Database'!M429</f>
        <v/>
      </c>
      <c r="J425" s="66">
        <f>'Project Database'!N429</f>
        <v/>
      </c>
      <c r="K425" s="66">
        <f>'Project Database'!O429</f>
        <v/>
      </c>
      <c r="L425" s="66">
        <f>'Project Database'!P429</f>
        <v/>
      </c>
      <c r="M425" s="66">
        <f>'Project Database'!Q429</f>
        <v/>
      </c>
      <c r="N425" s="66">
        <f>'Project Database'!R429</f>
        <v/>
      </c>
      <c r="O425" s="66">
        <f>'Project Database'!S429</f>
        <v/>
      </c>
      <c r="P425" s="66">
        <f>'Project Database'!T429</f>
        <v/>
      </c>
      <c r="Q425" s="66">
        <f>'Project Database'!U429</f>
        <v/>
      </c>
      <c r="R425" s="66">
        <f>'Project Database'!V429</f>
        <v/>
      </c>
      <c r="S425" s="66">
        <f>'Project Database'!W429</f>
        <v/>
      </c>
      <c r="T425" s="66">
        <f>'Project Database'!X429</f>
        <v/>
      </c>
      <c r="U425" s="67">
        <f>'Project Database'!Y429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'Project Database'!Z429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IF(AND('Project Database'!A429&lt;&gt;"",OR('Smart Search'!$L$5="",'Smart Search'!$L$5="All",TRIM('Project Database'!D429)=TRIM('Smart Search'!$L$5)),OR(TRIM('Smart Search'!$L$6)="",TRIM('Smart Search'!$L$6)="All",ISNUMBER(SEARCH(SUBSTITUTE(SUBSTITUTE(SUBSTITUTE(TRIM('Smart Search'!$L$6),"~","~~"),"*","~*"),"?","~?"),'Project Database'!C429))),OR('Smart Search'!$L$7="",AND('Project Database'!E429&lt;&gt;"",'Project Database'!E429='Smart Search'!$L$7)),OR('Smart Search'!$L$8="",'Smart Search'!$L$8="All",TRIM('Project Database'!F429)=TRIM('Smart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IF('Project Database'!A429="","",N('Project Database'!AC429))</f>
        <v/>
      </c>
      <c r="BK425" s="5">
        <f>IF('Project Database'!A429="","",N('Project Database'!AD429))</f>
        <v/>
      </c>
      <c r="BL425" s="5">
        <f>IF('Project Database'!A429="","",N('Project Database'!AE429))</f>
        <v/>
      </c>
      <c r="BM425" s="5">
        <f>IF('Project Database'!A429="","",N('Project Database'!AF429))</f>
        <v/>
      </c>
      <c r="BN425" s="5">
        <f>IF('Project Database'!A429="","",N('Project Database'!AG429))</f>
        <v/>
      </c>
      <c r="BO425" s="5">
        <f>IF('Project Database'!A429="","",N('Project Database'!AH429))</f>
        <v/>
      </c>
      <c r="BP425" s="5">
        <f>IF('Project Database'!A429="","",N('Project Database'!AI429))</f>
        <v/>
      </c>
      <c r="BQ425" s="5">
        <f>IF('Project Database'!A429="","",N('Project Database'!AJ429))</f>
        <v/>
      </c>
      <c r="BR425" s="5">
        <f>IF('Project Database'!A429="","",N('Project Database'!AK429))</f>
        <v/>
      </c>
      <c r="BS425" s="5">
        <f>IF('Project Database'!A429="","",N('Project Database'!AL429))</f>
        <v/>
      </c>
      <c r="BT425" s="5">
        <f>IF('Project Database'!A429="","",N('Project Database'!AM429))</f>
        <v/>
      </c>
      <c r="BU425" s="5">
        <f>IF('Project Database'!A429="","",N('Project Database'!AN429))</f>
        <v/>
      </c>
      <c r="BV425" s="5">
        <f>IF('Project Database'!A429="","",N('Project Database'!AO429))</f>
        <v/>
      </c>
      <c r="BW425" s="5">
        <f>IF('Project Database'!A429="","",N('Project Database'!AP429))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</row>
    <row r="426" ht="15" customHeight="1" s="74">
      <c r="A426" s="66">
        <f>'Project Database'!A430</f>
        <v/>
      </c>
      <c r="B426" s="66">
        <f>'Project Database'!B430</f>
        <v/>
      </c>
      <c r="C426" s="66">
        <f>'Project Database'!G430</f>
        <v/>
      </c>
      <c r="D426" s="66">
        <f>'Project Database'!H430</f>
        <v/>
      </c>
      <c r="E426" s="66">
        <f>'Project Database'!I430</f>
        <v/>
      </c>
      <c r="F426" s="66">
        <f>'Project Database'!J430</f>
        <v/>
      </c>
      <c r="G426" s="66">
        <f>'Project Database'!K430</f>
        <v/>
      </c>
      <c r="H426" s="66">
        <f>'Project Database'!L430</f>
        <v/>
      </c>
      <c r="I426" s="66">
        <f>'Project Database'!M430</f>
        <v/>
      </c>
      <c r="J426" s="66">
        <f>'Project Database'!N430</f>
        <v/>
      </c>
      <c r="K426" s="66">
        <f>'Project Database'!O430</f>
        <v/>
      </c>
      <c r="L426" s="66">
        <f>'Project Database'!P430</f>
        <v/>
      </c>
      <c r="M426" s="66">
        <f>'Project Database'!Q430</f>
        <v/>
      </c>
      <c r="N426" s="66">
        <f>'Project Database'!R430</f>
        <v/>
      </c>
      <c r="O426" s="66">
        <f>'Project Database'!S430</f>
        <v/>
      </c>
      <c r="P426" s="66">
        <f>'Project Database'!T430</f>
        <v/>
      </c>
      <c r="Q426" s="66">
        <f>'Project Database'!U430</f>
        <v/>
      </c>
      <c r="R426" s="66">
        <f>'Project Database'!V430</f>
        <v/>
      </c>
      <c r="S426" s="66">
        <f>'Project Database'!W430</f>
        <v/>
      </c>
      <c r="T426" s="66">
        <f>'Project Database'!X430</f>
        <v/>
      </c>
      <c r="U426" s="67">
        <f>'Project Database'!Y430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'Project Database'!Z430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IF(AND('Project Database'!A430&lt;&gt;"",OR('Smart Search'!$L$5="",'Smart Search'!$L$5="All",TRIM('Project Database'!D430)=TRIM('Smart Search'!$L$5)),OR(TRIM('Smart Search'!$L$6)="",TRIM('Smart Search'!$L$6)="All",ISNUMBER(SEARCH(SUBSTITUTE(SUBSTITUTE(SUBSTITUTE(TRIM('Smart Search'!$L$6),"~","~~"),"*","~*"),"?","~?"),'Project Database'!C430))),OR('Smart Search'!$L$7="",AND('Project Database'!E430&lt;&gt;"",'Project Database'!E430='Smart Search'!$L$7)),OR('Smart Search'!$L$8="",'Smart Search'!$L$8="All",TRIM('Project Database'!F430)=TRIM('Smart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IF('Project Database'!A430="","",N('Project Database'!AC430))</f>
        <v/>
      </c>
      <c r="BK426" s="5">
        <f>IF('Project Database'!A430="","",N('Project Database'!AD430))</f>
        <v/>
      </c>
      <c r="BL426" s="5">
        <f>IF('Project Database'!A430="","",N('Project Database'!AE430))</f>
        <v/>
      </c>
      <c r="BM426" s="5">
        <f>IF('Project Database'!A430="","",N('Project Database'!AF430))</f>
        <v/>
      </c>
      <c r="BN426" s="5">
        <f>IF('Project Database'!A430="","",N('Project Database'!AG430))</f>
        <v/>
      </c>
      <c r="BO426" s="5">
        <f>IF('Project Database'!A430="","",N('Project Database'!AH430))</f>
        <v/>
      </c>
      <c r="BP426" s="5">
        <f>IF('Project Database'!A430="","",N('Project Database'!AI430))</f>
        <v/>
      </c>
      <c r="BQ426" s="5">
        <f>IF('Project Database'!A430="","",N('Project Database'!AJ430))</f>
        <v/>
      </c>
      <c r="BR426" s="5">
        <f>IF('Project Database'!A430="","",N('Project Database'!AK430))</f>
        <v/>
      </c>
      <c r="BS426" s="5">
        <f>IF('Project Database'!A430="","",N('Project Database'!AL430))</f>
        <v/>
      </c>
      <c r="BT426" s="5">
        <f>IF('Project Database'!A430="","",N('Project Database'!AM430))</f>
        <v/>
      </c>
      <c r="BU426" s="5">
        <f>IF('Project Database'!A430="","",N('Project Database'!AN430))</f>
        <v/>
      </c>
      <c r="BV426" s="5">
        <f>IF('Project Database'!A430="","",N('Project Database'!AO430))</f>
        <v/>
      </c>
      <c r="BW426" s="5">
        <f>IF('Project Database'!A430="","",N('Project Database'!AP430))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</row>
    <row r="427" ht="15" customHeight="1" s="74">
      <c r="A427" s="66">
        <f>'Project Database'!A431</f>
        <v/>
      </c>
      <c r="B427" s="66">
        <f>'Project Database'!B431</f>
        <v/>
      </c>
      <c r="C427" s="66">
        <f>'Project Database'!G431</f>
        <v/>
      </c>
      <c r="D427" s="66">
        <f>'Project Database'!H431</f>
        <v/>
      </c>
      <c r="E427" s="66">
        <f>'Project Database'!I431</f>
        <v/>
      </c>
      <c r="F427" s="66">
        <f>'Project Database'!J431</f>
        <v/>
      </c>
      <c r="G427" s="66">
        <f>'Project Database'!K431</f>
        <v/>
      </c>
      <c r="H427" s="66">
        <f>'Project Database'!L431</f>
        <v/>
      </c>
      <c r="I427" s="66">
        <f>'Project Database'!M431</f>
        <v/>
      </c>
      <c r="J427" s="66">
        <f>'Project Database'!N431</f>
        <v/>
      </c>
      <c r="K427" s="66">
        <f>'Project Database'!O431</f>
        <v/>
      </c>
      <c r="L427" s="66">
        <f>'Project Database'!P431</f>
        <v/>
      </c>
      <c r="M427" s="66">
        <f>'Project Database'!Q431</f>
        <v/>
      </c>
      <c r="N427" s="66">
        <f>'Project Database'!R431</f>
        <v/>
      </c>
      <c r="O427" s="66">
        <f>'Project Database'!S431</f>
        <v/>
      </c>
      <c r="P427" s="66">
        <f>'Project Database'!T431</f>
        <v/>
      </c>
      <c r="Q427" s="66">
        <f>'Project Database'!U431</f>
        <v/>
      </c>
      <c r="R427" s="66">
        <f>'Project Database'!V431</f>
        <v/>
      </c>
      <c r="S427" s="66">
        <f>'Project Database'!W431</f>
        <v/>
      </c>
      <c r="T427" s="66">
        <f>'Project Database'!X431</f>
        <v/>
      </c>
      <c r="U427" s="67">
        <f>'Project Database'!Y431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'Project Database'!Z431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IF(AND('Project Database'!A431&lt;&gt;"",OR('Smart Search'!$L$5="",'Smart Search'!$L$5="All",TRIM('Project Database'!D431)=TRIM('Smart Search'!$L$5)),OR(TRIM('Smart Search'!$L$6)="",TRIM('Smart Search'!$L$6)="All",ISNUMBER(SEARCH(SUBSTITUTE(SUBSTITUTE(SUBSTITUTE(TRIM('Smart Search'!$L$6),"~","~~"),"*","~*"),"?","~?"),'Project Database'!C431))),OR('Smart Search'!$L$7="",AND('Project Database'!E431&lt;&gt;"",'Project Database'!E431='Smart Search'!$L$7)),OR('Smart Search'!$L$8="",'Smart Search'!$L$8="All",TRIM('Project Database'!F431)=TRIM('Smart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IF('Project Database'!A431="","",N('Project Database'!AC431))</f>
        <v/>
      </c>
      <c r="BK427" s="5">
        <f>IF('Project Database'!A431="","",N('Project Database'!AD431))</f>
        <v/>
      </c>
      <c r="BL427" s="5">
        <f>IF('Project Database'!A431="","",N('Project Database'!AE431))</f>
        <v/>
      </c>
      <c r="BM427" s="5">
        <f>IF('Project Database'!A431="","",N('Project Database'!AF431))</f>
        <v/>
      </c>
      <c r="BN427" s="5">
        <f>IF('Project Database'!A431="","",N('Project Database'!AG431))</f>
        <v/>
      </c>
      <c r="BO427" s="5">
        <f>IF('Project Database'!A431="","",N('Project Database'!AH431))</f>
        <v/>
      </c>
      <c r="BP427" s="5">
        <f>IF('Project Database'!A431="","",N('Project Database'!AI431))</f>
        <v/>
      </c>
      <c r="BQ427" s="5">
        <f>IF('Project Database'!A431="","",N('Project Database'!AJ431))</f>
        <v/>
      </c>
      <c r="BR427" s="5">
        <f>IF('Project Database'!A431="","",N('Project Database'!AK431))</f>
        <v/>
      </c>
      <c r="BS427" s="5">
        <f>IF('Project Database'!A431="","",N('Project Database'!AL431))</f>
        <v/>
      </c>
      <c r="BT427" s="5">
        <f>IF('Project Database'!A431="","",N('Project Database'!AM431))</f>
        <v/>
      </c>
      <c r="BU427" s="5">
        <f>IF('Project Database'!A431="","",N('Project Database'!AN431))</f>
        <v/>
      </c>
      <c r="BV427" s="5">
        <f>IF('Project Database'!A431="","",N('Project Database'!AO431))</f>
        <v/>
      </c>
      <c r="BW427" s="5">
        <f>IF('Project Database'!A431="","",N('Project Database'!AP431))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</row>
    <row r="428" ht="15" customHeight="1" s="74">
      <c r="A428" s="66">
        <f>'Project Database'!A432</f>
        <v/>
      </c>
      <c r="B428" s="66">
        <f>'Project Database'!B432</f>
        <v/>
      </c>
      <c r="C428" s="66">
        <f>'Project Database'!G432</f>
        <v/>
      </c>
      <c r="D428" s="66">
        <f>'Project Database'!H432</f>
        <v/>
      </c>
      <c r="E428" s="66">
        <f>'Project Database'!I432</f>
        <v/>
      </c>
      <c r="F428" s="66">
        <f>'Project Database'!J432</f>
        <v/>
      </c>
      <c r="G428" s="66">
        <f>'Project Database'!K432</f>
        <v/>
      </c>
      <c r="H428" s="66">
        <f>'Project Database'!L432</f>
        <v/>
      </c>
      <c r="I428" s="66">
        <f>'Project Database'!M432</f>
        <v/>
      </c>
      <c r="J428" s="66">
        <f>'Project Database'!N432</f>
        <v/>
      </c>
      <c r="K428" s="66">
        <f>'Project Database'!O432</f>
        <v/>
      </c>
      <c r="L428" s="66">
        <f>'Project Database'!P432</f>
        <v/>
      </c>
      <c r="M428" s="66">
        <f>'Project Database'!Q432</f>
        <v/>
      </c>
      <c r="N428" s="66">
        <f>'Project Database'!R432</f>
        <v/>
      </c>
      <c r="O428" s="66">
        <f>'Project Database'!S432</f>
        <v/>
      </c>
      <c r="P428" s="66">
        <f>'Project Database'!T432</f>
        <v/>
      </c>
      <c r="Q428" s="66">
        <f>'Project Database'!U432</f>
        <v/>
      </c>
      <c r="R428" s="66">
        <f>'Project Database'!V432</f>
        <v/>
      </c>
      <c r="S428" s="66">
        <f>'Project Database'!W432</f>
        <v/>
      </c>
      <c r="T428" s="66">
        <f>'Project Database'!X432</f>
        <v/>
      </c>
      <c r="U428" s="67">
        <f>'Project Database'!Y432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'Project Database'!Z432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IF(AND('Project Database'!A432&lt;&gt;"",OR('Smart Search'!$L$5="",'Smart Search'!$L$5="All",TRIM('Project Database'!D432)=TRIM('Smart Search'!$L$5)),OR(TRIM('Smart Search'!$L$6)="",TRIM('Smart Search'!$L$6)="All",ISNUMBER(SEARCH(SUBSTITUTE(SUBSTITUTE(SUBSTITUTE(TRIM('Smart Search'!$L$6),"~","~~"),"*","~*"),"?","~?"),'Project Database'!C432))),OR('Smart Search'!$L$7="",AND('Project Database'!E432&lt;&gt;"",'Project Database'!E432='Smart Search'!$L$7)),OR('Smart Search'!$L$8="",'Smart Search'!$L$8="All",TRIM('Project Database'!F432)=TRIM('Smart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IF('Project Database'!A432="","",N('Project Database'!AC432))</f>
        <v/>
      </c>
      <c r="BK428" s="5">
        <f>IF('Project Database'!A432="","",N('Project Database'!AD432))</f>
        <v/>
      </c>
      <c r="BL428" s="5">
        <f>IF('Project Database'!A432="","",N('Project Database'!AE432))</f>
        <v/>
      </c>
      <c r="BM428" s="5">
        <f>IF('Project Database'!A432="","",N('Project Database'!AF432))</f>
        <v/>
      </c>
      <c r="BN428" s="5">
        <f>IF('Project Database'!A432="","",N('Project Database'!AG432))</f>
        <v/>
      </c>
      <c r="BO428" s="5">
        <f>IF('Project Database'!A432="","",N('Project Database'!AH432))</f>
        <v/>
      </c>
      <c r="BP428" s="5">
        <f>IF('Project Database'!A432="","",N('Project Database'!AI432))</f>
        <v/>
      </c>
      <c r="BQ428" s="5">
        <f>IF('Project Database'!A432="","",N('Project Database'!AJ432))</f>
        <v/>
      </c>
      <c r="BR428" s="5">
        <f>IF('Project Database'!A432="","",N('Project Database'!AK432))</f>
        <v/>
      </c>
      <c r="BS428" s="5">
        <f>IF('Project Database'!A432="","",N('Project Database'!AL432))</f>
        <v/>
      </c>
      <c r="BT428" s="5">
        <f>IF('Project Database'!A432="","",N('Project Database'!AM432))</f>
        <v/>
      </c>
      <c r="BU428" s="5">
        <f>IF('Project Database'!A432="","",N('Project Database'!AN432))</f>
        <v/>
      </c>
      <c r="BV428" s="5">
        <f>IF('Project Database'!A432="","",N('Project Database'!AO432))</f>
        <v/>
      </c>
      <c r="BW428" s="5">
        <f>IF('Project Database'!A432="","",N('Project Database'!AP432))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</row>
    <row r="429" ht="15" customHeight="1" s="74">
      <c r="A429" s="66">
        <f>'Project Database'!A433</f>
        <v/>
      </c>
      <c r="B429" s="66">
        <f>'Project Database'!B433</f>
        <v/>
      </c>
      <c r="C429" s="66">
        <f>'Project Database'!G433</f>
        <v/>
      </c>
      <c r="D429" s="66">
        <f>'Project Database'!H433</f>
        <v/>
      </c>
      <c r="E429" s="66">
        <f>'Project Database'!I433</f>
        <v/>
      </c>
      <c r="F429" s="66">
        <f>'Project Database'!J433</f>
        <v/>
      </c>
      <c r="G429" s="66">
        <f>'Project Database'!K433</f>
        <v/>
      </c>
      <c r="H429" s="66">
        <f>'Project Database'!L433</f>
        <v/>
      </c>
      <c r="I429" s="66">
        <f>'Project Database'!M433</f>
        <v/>
      </c>
      <c r="J429" s="66">
        <f>'Project Database'!N433</f>
        <v/>
      </c>
      <c r="K429" s="66">
        <f>'Project Database'!O433</f>
        <v/>
      </c>
      <c r="L429" s="66">
        <f>'Project Database'!P433</f>
        <v/>
      </c>
      <c r="M429" s="66">
        <f>'Project Database'!Q433</f>
        <v/>
      </c>
      <c r="N429" s="66">
        <f>'Project Database'!R433</f>
        <v/>
      </c>
      <c r="O429" s="66">
        <f>'Project Database'!S433</f>
        <v/>
      </c>
      <c r="P429" s="66">
        <f>'Project Database'!T433</f>
        <v/>
      </c>
      <c r="Q429" s="66">
        <f>'Project Database'!U433</f>
        <v/>
      </c>
      <c r="R429" s="66">
        <f>'Project Database'!V433</f>
        <v/>
      </c>
      <c r="S429" s="66">
        <f>'Project Database'!W433</f>
        <v/>
      </c>
      <c r="T429" s="66">
        <f>'Project Database'!X433</f>
        <v/>
      </c>
      <c r="U429" s="67">
        <f>'Project Database'!Y433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'Project Database'!Z433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IF(AND('Project Database'!A433&lt;&gt;"",OR('Smart Search'!$L$5="",'Smart Search'!$L$5="All",TRIM('Project Database'!D433)=TRIM('Smart Search'!$L$5)),OR(TRIM('Smart Search'!$L$6)="",TRIM('Smart Search'!$L$6)="All",ISNUMBER(SEARCH(SUBSTITUTE(SUBSTITUTE(SUBSTITUTE(TRIM('Smart Search'!$L$6),"~","~~"),"*","~*"),"?","~?"),'Project Database'!C433))),OR('Smart Search'!$L$7="",AND('Project Database'!E433&lt;&gt;"",'Project Database'!E433='Smart Search'!$L$7)),OR('Smart Search'!$L$8="",'Smart Search'!$L$8="All",TRIM('Project Database'!F433)=TRIM('Smart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IF('Project Database'!A433="","",N('Project Database'!AC433))</f>
        <v/>
      </c>
      <c r="BK429" s="5">
        <f>IF('Project Database'!A433="","",N('Project Database'!AD433))</f>
        <v/>
      </c>
      <c r="BL429" s="5">
        <f>IF('Project Database'!A433="","",N('Project Database'!AE433))</f>
        <v/>
      </c>
      <c r="BM429" s="5">
        <f>IF('Project Database'!A433="","",N('Project Database'!AF433))</f>
        <v/>
      </c>
      <c r="BN429" s="5">
        <f>IF('Project Database'!A433="","",N('Project Database'!AG433))</f>
        <v/>
      </c>
      <c r="BO429" s="5">
        <f>IF('Project Database'!A433="","",N('Project Database'!AH433))</f>
        <v/>
      </c>
      <c r="BP429" s="5">
        <f>IF('Project Database'!A433="","",N('Project Database'!AI433))</f>
        <v/>
      </c>
      <c r="BQ429" s="5">
        <f>IF('Project Database'!A433="","",N('Project Database'!AJ433))</f>
        <v/>
      </c>
      <c r="BR429" s="5">
        <f>IF('Project Database'!A433="","",N('Project Database'!AK433))</f>
        <v/>
      </c>
      <c r="BS429" s="5">
        <f>IF('Project Database'!A433="","",N('Project Database'!AL433))</f>
        <v/>
      </c>
      <c r="BT429" s="5">
        <f>IF('Project Database'!A433="","",N('Project Database'!AM433))</f>
        <v/>
      </c>
      <c r="BU429" s="5">
        <f>IF('Project Database'!A433="","",N('Project Database'!AN433))</f>
        <v/>
      </c>
      <c r="BV429" s="5">
        <f>IF('Project Database'!A433="","",N('Project Database'!AO433))</f>
        <v/>
      </c>
      <c r="BW429" s="5">
        <f>IF('Project Database'!A433="","",N('Project Database'!AP433))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</row>
    <row r="430" ht="15" customHeight="1" s="74">
      <c r="A430" s="66">
        <f>'Project Database'!A434</f>
        <v/>
      </c>
      <c r="B430" s="66">
        <f>'Project Database'!B434</f>
        <v/>
      </c>
      <c r="C430" s="66">
        <f>'Project Database'!G434</f>
        <v/>
      </c>
      <c r="D430" s="66">
        <f>'Project Database'!H434</f>
        <v/>
      </c>
      <c r="E430" s="66">
        <f>'Project Database'!I434</f>
        <v/>
      </c>
      <c r="F430" s="66">
        <f>'Project Database'!J434</f>
        <v/>
      </c>
      <c r="G430" s="66">
        <f>'Project Database'!K434</f>
        <v/>
      </c>
      <c r="H430" s="66">
        <f>'Project Database'!L434</f>
        <v/>
      </c>
      <c r="I430" s="66">
        <f>'Project Database'!M434</f>
        <v/>
      </c>
      <c r="J430" s="66">
        <f>'Project Database'!N434</f>
        <v/>
      </c>
      <c r="K430" s="66">
        <f>'Project Database'!O434</f>
        <v/>
      </c>
      <c r="L430" s="66">
        <f>'Project Database'!P434</f>
        <v/>
      </c>
      <c r="M430" s="66">
        <f>'Project Database'!Q434</f>
        <v/>
      </c>
      <c r="N430" s="66">
        <f>'Project Database'!R434</f>
        <v/>
      </c>
      <c r="O430" s="66">
        <f>'Project Database'!S434</f>
        <v/>
      </c>
      <c r="P430" s="66">
        <f>'Project Database'!T434</f>
        <v/>
      </c>
      <c r="Q430" s="66">
        <f>'Project Database'!U434</f>
        <v/>
      </c>
      <c r="R430" s="66">
        <f>'Project Database'!V434</f>
        <v/>
      </c>
      <c r="S430" s="66">
        <f>'Project Database'!W434</f>
        <v/>
      </c>
      <c r="T430" s="66">
        <f>'Project Database'!X434</f>
        <v/>
      </c>
      <c r="U430" s="67">
        <f>'Project Database'!Y434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'Project Database'!Z434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IF(AND('Project Database'!A434&lt;&gt;"",OR('Smart Search'!$L$5="",'Smart Search'!$L$5="All",TRIM('Project Database'!D434)=TRIM('Smart Search'!$L$5)),OR(TRIM('Smart Search'!$L$6)="",TRIM('Smart Search'!$L$6)="All",ISNUMBER(SEARCH(SUBSTITUTE(SUBSTITUTE(SUBSTITUTE(TRIM('Smart Search'!$L$6),"~","~~"),"*","~*"),"?","~?"),'Project Database'!C434))),OR('Smart Search'!$L$7="",AND('Project Database'!E434&lt;&gt;"",'Project Database'!E434='Smart Search'!$L$7)),OR('Smart Search'!$L$8="",'Smart Search'!$L$8="All",TRIM('Project Database'!F434)=TRIM('Smart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IF('Project Database'!A434="","",N('Project Database'!AC434))</f>
        <v/>
      </c>
      <c r="BK430" s="5">
        <f>IF('Project Database'!A434="","",N('Project Database'!AD434))</f>
        <v/>
      </c>
      <c r="BL430" s="5">
        <f>IF('Project Database'!A434="","",N('Project Database'!AE434))</f>
        <v/>
      </c>
      <c r="BM430" s="5">
        <f>IF('Project Database'!A434="","",N('Project Database'!AF434))</f>
        <v/>
      </c>
      <c r="BN430" s="5">
        <f>IF('Project Database'!A434="","",N('Project Database'!AG434))</f>
        <v/>
      </c>
      <c r="BO430" s="5">
        <f>IF('Project Database'!A434="","",N('Project Database'!AH434))</f>
        <v/>
      </c>
      <c r="BP430" s="5">
        <f>IF('Project Database'!A434="","",N('Project Database'!AI434))</f>
        <v/>
      </c>
      <c r="BQ430" s="5">
        <f>IF('Project Database'!A434="","",N('Project Database'!AJ434))</f>
        <v/>
      </c>
      <c r="BR430" s="5">
        <f>IF('Project Database'!A434="","",N('Project Database'!AK434))</f>
        <v/>
      </c>
      <c r="BS430" s="5">
        <f>IF('Project Database'!A434="","",N('Project Database'!AL434))</f>
        <v/>
      </c>
      <c r="BT430" s="5">
        <f>IF('Project Database'!A434="","",N('Project Database'!AM434))</f>
        <v/>
      </c>
      <c r="BU430" s="5">
        <f>IF('Project Database'!A434="","",N('Project Database'!AN434))</f>
        <v/>
      </c>
      <c r="BV430" s="5">
        <f>IF('Project Database'!A434="","",N('Project Database'!AO434))</f>
        <v/>
      </c>
      <c r="BW430" s="5">
        <f>IF('Project Database'!A434="","",N('Project Database'!AP434))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</row>
    <row r="431" ht="15" customHeight="1" s="74">
      <c r="A431" s="66">
        <f>'Project Database'!A435</f>
        <v/>
      </c>
      <c r="B431" s="66">
        <f>'Project Database'!B435</f>
        <v/>
      </c>
      <c r="C431" s="66">
        <f>'Project Database'!G435</f>
        <v/>
      </c>
      <c r="D431" s="66">
        <f>'Project Database'!H435</f>
        <v/>
      </c>
      <c r="E431" s="66">
        <f>'Project Database'!I435</f>
        <v/>
      </c>
      <c r="F431" s="66">
        <f>'Project Database'!J435</f>
        <v/>
      </c>
      <c r="G431" s="66">
        <f>'Project Database'!K435</f>
        <v/>
      </c>
      <c r="H431" s="66">
        <f>'Project Database'!L435</f>
        <v/>
      </c>
      <c r="I431" s="66">
        <f>'Project Database'!M435</f>
        <v/>
      </c>
      <c r="J431" s="66">
        <f>'Project Database'!N435</f>
        <v/>
      </c>
      <c r="K431" s="66">
        <f>'Project Database'!O435</f>
        <v/>
      </c>
      <c r="L431" s="66">
        <f>'Project Database'!P435</f>
        <v/>
      </c>
      <c r="M431" s="66">
        <f>'Project Database'!Q435</f>
        <v/>
      </c>
      <c r="N431" s="66">
        <f>'Project Database'!R435</f>
        <v/>
      </c>
      <c r="O431" s="66">
        <f>'Project Database'!S435</f>
        <v/>
      </c>
      <c r="P431" s="66">
        <f>'Project Database'!T435</f>
        <v/>
      </c>
      <c r="Q431" s="66">
        <f>'Project Database'!U435</f>
        <v/>
      </c>
      <c r="R431" s="66">
        <f>'Project Database'!V435</f>
        <v/>
      </c>
      <c r="S431" s="66">
        <f>'Project Database'!W435</f>
        <v/>
      </c>
      <c r="T431" s="66">
        <f>'Project Database'!X435</f>
        <v/>
      </c>
      <c r="U431" s="67">
        <f>'Project Database'!Y435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'Project Database'!Z435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IF(AND('Project Database'!A435&lt;&gt;"",OR('Smart Search'!$L$5="",'Smart Search'!$L$5="All",TRIM('Project Database'!D435)=TRIM('Smart Search'!$L$5)),OR(TRIM('Smart Search'!$L$6)="",TRIM('Smart Search'!$L$6)="All",ISNUMBER(SEARCH(SUBSTITUTE(SUBSTITUTE(SUBSTITUTE(TRIM('Smart Search'!$L$6),"~","~~"),"*","~*"),"?","~?"),'Project Database'!C435))),OR('Smart Search'!$L$7="",AND('Project Database'!E435&lt;&gt;"",'Project Database'!E435='Smart Search'!$L$7)),OR('Smart Search'!$L$8="",'Smart Search'!$L$8="All",TRIM('Project Database'!F435)=TRIM('Smart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IF('Project Database'!A435="","",N('Project Database'!AC435))</f>
        <v/>
      </c>
      <c r="BK431" s="5">
        <f>IF('Project Database'!A435="","",N('Project Database'!AD435))</f>
        <v/>
      </c>
      <c r="BL431" s="5">
        <f>IF('Project Database'!A435="","",N('Project Database'!AE435))</f>
        <v/>
      </c>
      <c r="BM431" s="5">
        <f>IF('Project Database'!A435="","",N('Project Database'!AF435))</f>
        <v/>
      </c>
      <c r="BN431" s="5">
        <f>IF('Project Database'!A435="","",N('Project Database'!AG435))</f>
        <v/>
      </c>
      <c r="BO431" s="5">
        <f>IF('Project Database'!A435="","",N('Project Database'!AH435))</f>
        <v/>
      </c>
      <c r="BP431" s="5">
        <f>IF('Project Database'!A435="","",N('Project Database'!AI435))</f>
        <v/>
      </c>
      <c r="BQ431" s="5">
        <f>IF('Project Database'!A435="","",N('Project Database'!AJ435))</f>
        <v/>
      </c>
      <c r="BR431" s="5">
        <f>IF('Project Database'!A435="","",N('Project Database'!AK435))</f>
        <v/>
      </c>
      <c r="BS431" s="5">
        <f>IF('Project Database'!A435="","",N('Project Database'!AL435))</f>
        <v/>
      </c>
      <c r="BT431" s="5">
        <f>IF('Project Database'!A435="","",N('Project Database'!AM435))</f>
        <v/>
      </c>
      <c r="BU431" s="5">
        <f>IF('Project Database'!A435="","",N('Project Database'!AN435))</f>
        <v/>
      </c>
      <c r="BV431" s="5">
        <f>IF('Project Database'!A435="","",N('Project Database'!AO435))</f>
        <v/>
      </c>
      <c r="BW431" s="5">
        <f>IF('Project Database'!A435="","",N('Project Database'!AP435))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</row>
    <row r="432" ht="15" customHeight="1" s="74">
      <c r="A432" s="66">
        <f>'Project Database'!A436</f>
        <v/>
      </c>
      <c r="B432" s="66">
        <f>'Project Database'!B436</f>
        <v/>
      </c>
      <c r="C432" s="66">
        <f>'Project Database'!G436</f>
        <v/>
      </c>
      <c r="D432" s="66">
        <f>'Project Database'!H436</f>
        <v/>
      </c>
      <c r="E432" s="66">
        <f>'Project Database'!I436</f>
        <v/>
      </c>
      <c r="F432" s="66">
        <f>'Project Database'!J436</f>
        <v/>
      </c>
      <c r="G432" s="66">
        <f>'Project Database'!K436</f>
        <v/>
      </c>
      <c r="H432" s="66">
        <f>'Project Database'!L436</f>
        <v/>
      </c>
      <c r="I432" s="66">
        <f>'Project Database'!M436</f>
        <v/>
      </c>
      <c r="J432" s="66">
        <f>'Project Database'!N436</f>
        <v/>
      </c>
      <c r="K432" s="66">
        <f>'Project Database'!O436</f>
        <v/>
      </c>
      <c r="L432" s="66">
        <f>'Project Database'!P436</f>
        <v/>
      </c>
      <c r="M432" s="66">
        <f>'Project Database'!Q436</f>
        <v/>
      </c>
      <c r="N432" s="66">
        <f>'Project Database'!R436</f>
        <v/>
      </c>
      <c r="O432" s="66">
        <f>'Project Database'!S436</f>
        <v/>
      </c>
      <c r="P432" s="66">
        <f>'Project Database'!T436</f>
        <v/>
      </c>
      <c r="Q432" s="66">
        <f>'Project Database'!U436</f>
        <v/>
      </c>
      <c r="R432" s="66">
        <f>'Project Database'!V436</f>
        <v/>
      </c>
      <c r="S432" s="66">
        <f>'Project Database'!W436</f>
        <v/>
      </c>
      <c r="T432" s="66">
        <f>'Project Database'!X436</f>
        <v/>
      </c>
      <c r="U432" s="67">
        <f>'Project Database'!Y436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'Project Database'!Z436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IF(AND('Project Database'!A436&lt;&gt;"",OR('Smart Search'!$L$5="",'Smart Search'!$L$5="All",TRIM('Project Database'!D436)=TRIM('Smart Search'!$L$5)),OR(TRIM('Smart Search'!$L$6)="",TRIM('Smart Search'!$L$6)="All",ISNUMBER(SEARCH(SUBSTITUTE(SUBSTITUTE(SUBSTITUTE(TRIM('Smart Search'!$L$6),"~","~~"),"*","~*"),"?","~?"),'Project Database'!C436))),OR('Smart Search'!$L$7="",AND('Project Database'!E436&lt;&gt;"",'Project Database'!E436='Smart Search'!$L$7)),OR('Smart Search'!$L$8="",'Smart Search'!$L$8="All",TRIM('Project Database'!F436)=TRIM('Smart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IF('Project Database'!A436="","",N('Project Database'!AC436))</f>
        <v/>
      </c>
      <c r="BK432" s="5">
        <f>IF('Project Database'!A436="","",N('Project Database'!AD436))</f>
        <v/>
      </c>
      <c r="BL432" s="5">
        <f>IF('Project Database'!A436="","",N('Project Database'!AE436))</f>
        <v/>
      </c>
      <c r="BM432" s="5">
        <f>IF('Project Database'!A436="","",N('Project Database'!AF436))</f>
        <v/>
      </c>
      <c r="BN432" s="5">
        <f>IF('Project Database'!A436="","",N('Project Database'!AG436))</f>
        <v/>
      </c>
      <c r="BO432" s="5">
        <f>IF('Project Database'!A436="","",N('Project Database'!AH436))</f>
        <v/>
      </c>
      <c r="BP432" s="5">
        <f>IF('Project Database'!A436="","",N('Project Database'!AI436))</f>
        <v/>
      </c>
      <c r="BQ432" s="5">
        <f>IF('Project Database'!A436="","",N('Project Database'!AJ436))</f>
        <v/>
      </c>
      <c r="BR432" s="5">
        <f>IF('Project Database'!A436="","",N('Project Database'!AK436))</f>
        <v/>
      </c>
      <c r="BS432" s="5">
        <f>IF('Project Database'!A436="","",N('Project Database'!AL436))</f>
        <v/>
      </c>
      <c r="BT432" s="5">
        <f>IF('Project Database'!A436="","",N('Project Database'!AM436))</f>
        <v/>
      </c>
      <c r="BU432" s="5">
        <f>IF('Project Database'!A436="","",N('Project Database'!AN436))</f>
        <v/>
      </c>
      <c r="BV432" s="5">
        <f>IF('Project Database'!A436="","",N('Project Database'!AO436))</f>
        <v/>
      </c>
      <c r="BW432" s="5">
        <f>IF('Project Database'!A436="","",N('Project Database'!AP436))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</row>
    <row r="433" ht="15" customHeight="1" s="74">
      <c r="A433" s="66">
        <f>'Project Database'!A437</f>
        <v/>
      </c>
      <c r="B433" s="66">
        <f>'Project Database'!B437</f>
        <v/>
      </c>
      <c r="C433" s="66">
        <f>'Project Database'!G437</f>
        <v/>
      </c>
      <c r="D433" s="66">
        <f>'Project Database'!H437</f>
        <v/>
      </c>
      <c r="E433" s="66">
        <f>'Project Database'!I437</f>
        <v/>
      </c>
      <c r="F433" s="66">
        <f>'Project Database'!J437</f>
        <v/>
      </c>
      <c r="G433" s="66">
        <f>'Project Database'!K437</f>
        <v/>
      </c>
      <c r="H433" s="66">
        <f>'Project Database'!L437</f>
        <v/>
      </c>
      <c r="I433" s="66">
        <f>'Project Database'!M437</f>
        <v/>
      </c>
      <c r="J433" s="66">
        <f>'Project Database'!N437</f>
        <v/>
      </c>
      <c r="K433" s="66">
        <f>'Project Database'!O437</f>
        <v/>
      </c>
      <c r="L433" s="66">
        <f>'Project Database'!P437</f>
        <v/>
      </c>
      <c r="M433" s="66">
        <f>'Project Database'!Q437</f>
        <v/>
      </c>
      <c r="N433" s="66">
        <f>'Project Database'!R437</f>
        <v/>
      </c>
      <c r="O433" s="66">
        <f>'Project Database'!S437</f>
        <v/>
      </c>
      <c r="P433" s="66">
        <f>'Project Database'!T437</f>
        <v/>
      </c>
      <c r="Q433" s="66">
        <f>'Project Database'!U437</f>
        <v/>
      </c>
      <c r="R433" s="66">
        <f>'Project Database'!V437</f>
        <v/>
      </c>
      <c r="S433" s="66">
        <f>'Project Database'!W437</f>
        <v/>
      </c>
      <c r="T433" s="66">
        <f>'Project Database'!X437</f>
        <v/>
      </c>
      <c r="U433" s="67">
        <f>'Project Database'!Y437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'Project Database'!Z437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IF(AND('Project Database'!A437&lt;&gt;"",OR('Smart Search'!$L$5="",'Smart Search'!$L$5="All",TRIM('Project Database'!D437)=TRIM('Smart Search'!$L$5)),OR(TRIM('Smart Search'!$L$6)="",TRIM('Smart Search'!$L$6)="All",ISNUMBER(SEARCH(SUBSTITUTE(SUBSTITUTE(SUBSTITUTE(TRIM('Smart Search'!$L$6),"~","~~"),"*","~*"),"?","~?"),'Project Database'!C437))),OR('Smart Search'!$L$7="",AND('Project Database'!E437&lt;&gt;"",'Project Database'!E437='Smart Search'!$L$7)),OR('Smart Search'!$L$8="",'Smart Search'!$L$8="All",TRIM('Project Database'!F437)=TRIM('Smart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IF('Project Database'!A437="","",N('Project Database'!AC437))</f>
        <v/>
      </c>
      <c r="BK433" s="5">
        <f>IF('Project Database'!A437="","",N('Project Database'!AD437))</f>
        <v/>
      </c>
      <c r="BL433" s="5">
        <f>IF('Project Database'!A437="","",N('Project Database'!AE437))</f>
        <v/>
      </c>
      <c r="BM433" s="5">
        <f>IF('Project Database'!A437="","",N('Project Database'!AF437))</f>
        <v/>
      </c>
      <c r="BN433" s="5">
        <f>IF('Project Database'!A437="","",N('Project Database'!AG437))</f>
        <v/>
      </c>
      <c r="BO433" s="5">
        <f>IF('Project Database'!A437="","",N('Project Database'!AH437))</f>
        <v/>
      </c>
      <c r="BP433" s="5">
        <f>IF('Project Database'!A437="","",N('Project Database'!AI437))</f>
        <v/>
      </c>
      <c r="BQ433" s="5">
        <f>IF('Project Database'!A437="","",N('Project Database'!AJ437))</f>
        <v/>
      </c>
      <c r="BR433" s="5">
        <f>IF('Project Database'!A437="","",N('Project Database'!AK437))</f>
        <v/>
      </c>
      <c r="BS433" s="5">
        <f>IF('Project Database'!A437="","",N('Project Database'!AL437))</f>
        <v/>
      </c>
      <c r="BT433" s="5">
        <f>IF('Project Database'!A437="","",N('Project Database'!AM437))</f>
        <v/>
      </c>
      <c r="BU433" s="5">
        <f>IF('Project Database'!A437="","",N('Project Database'!AN437))</f>
        <v/>
      </c>
      <c r="BV433" s="5">
        <f>IF('Project Database'!A437="","",N('Project Database'!AO437))</f>
        <v/>
      </c>
      <c r="BW433" s="5">
        <f>IF('Project Database'!A437="","",N('Project Database'!AP437))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</row>
    <row r="434" ht="15" customHeight="1" s="74">
      <c r="A434" s="66">
        <f>'Project Database'!A438</f>
        <v/>
      </c>
      <c r="B434" s="66">
        <f>'Project Database'!B438</f>
        <v/>
      </c>
      <c r="C434" s="66">
        <f>'Project Database'!G438</f>
        <v/>
      </c>
      <c r="D434" s="66">
        <f>'Project Database'!H438</f>
        <v/>
      </c>
      <c r="E434" s="66">
        <f>'Project Database'!I438</f>
        <v/>
      </c>
      <c r="F434" s="66">
        <f>'Project Database'!J438</f>
        <v/>
      </c>
      <c r="G434" s="66">
        <f>'Project Database'!K438</f>
        <v/>
      </c>
      <c r="H434" s="66">
        <f>'Project Database'!L438</f>
        <v/>
      </c>
      <c r="I434" s="66">
        <f>'Project Database'!M438</f>
        <v/>
      </c>
      <c r="J434" s="66">
        <f>'Project Database'!N438</f>
        <v/>
      </c>
      <c r="K434" s="66">
        <f>'Project Database'!O438</f>
        <v/>
      </c>
      <c r="L434" s="66">
        <f>'Project Database'!P438</f>
        <v/>
      </c>
      <c r="M434" s="66">
        <f>'Project Database'!Q438</f>
        <v/>
      </c>
      <c r="N434" s="66">
        <f>'Project Database'!R438</f>
        <v/>
      </c>
      <c r="O434" s="66">
        <f>'Project Database'!S438</f>
        <v/>
      </c>
      <c r="P434" s="66">
        <f>'Project Database'!T438</f>
        <v/>
      </c>
      <c r="Q434" s="66">
        <f>'Project Database'!U438</f>
        <v/>
      </c>
      <c r="R434" s="66">
        <f>'Project Database'!V438</f>
        <v/>
      </c>
      <c r="S434" s="66">
        <f>'Project Database'!W438</f>
        <v/>
      </c>
      <c r="T434" s="66">
        <f>'Project Database'!X438</f>
        <v/>
      </c>
      <c r="U434" s="67">
        <f>'Project Database'!Y438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'Project Database'!Z438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IF(AND('Project Database'!A438&lt;&gt;"",OR('Smart Search'!$L$5="",'Smart Search'!$L$5="All",TRIM('Project Database'!D438)=TRIM('Smart Search'!$L$5)),OR(TRIM('Smart Search'!$L$6)="",TRIM('Smart Search'!$L$6)="All",ISNUMBER(SEARCH(SUBSTITUTE(SUBSTITUTE(SUBSTITUTE(TRIM('Smart Search'!$L$6),"~","~~"),"*","~*"),"?","~?"),'Project Database'!C438))),OR('Smart Search'!$L$7="",AND('Project Database'!E438&lt;&gt;"",'Project Database'!E438='Smart Search'!$L$7)),OR('Smart Search'!$L$8="",'Smart Search'!$L$8="All",TRIM('Project Database'!F438)=TRIM('Smart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IF('Project Database'!A438="","",N('Project Database'!AC438))</f>
        <v/>
      </c>
      <c r="BK434" s="5">
        <f>IF('Project Database'!A438="","",N('Project Database'!AD438))</f>
        <v/>
      </c>
      <c r="BL434" s="5">
        <f>IF('Project Database'!A438="","",N('Project Database'!AE438))</f>
        <v/>
      </c>
      <c r="BM434" s="5">
        <f>IF('Project Database'!A438="","",N('Project Database'!AF438))</f>
        <v/>
      </c>
      <c r="BN434" s="5">
        <f>IF('Project Database'!A438="","",N('Project Database'!AG438))</f>
        <v/>
      </c>
      <c r="BO434" s="5">
        <f>IF('Project Database'!A438="","",N('Project Database'!AH438))</f>
        <v/>
      </c>
      <c r="BP434" s="5">
        <f>IF('Project Database'!A438="","",N('Project Database'!AI438))</f>
        <v/>
      </c>
      <c r="BQ434" s="5">
        <f>IF('Project Database'!A438="","",N('Project Database'!AJ438))</f>
        <v/>
      </c>
      <c r="BR434" s="5">
        <f>IF('Project Database'!A438="","",N('Project Database'!AK438))</f>
        <v/>
      </c>
      <c r="BS434" s="5">
        <f>IF('Project Database'!A438="","",N('Project Database'!AL438))</f>
        <v/>
      </c>
      <c r="BT434" s="5">
        <f>IF('Project Database'!A438="","",N('Project Database'!AM438))</f>
        <v/>
      </c>
      <c r="BU434" s="5">
        <f>IF('Project Database'!A438="","",N('Project Database'!AN438))</f>
        <v/>
      </c>
      <c r="BV434" s="5">
        <f>IF('Project Database'!A438="","",N('Project Database'!AO438))</f>
        <v/>
      </c>
      <c r="BW434" s="5">
        <f>IF('Project Database'!A438="","",N('Project Database'!AP438))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</row>
    <row r="435" ht="15" customHeight="1" s="74">
      <c r="A435" s="66">
        <f>'Project Database'!A439</f>
        <v/>
      </c>
      <c r="B435" s="66">
        <f>'Project Database'!B439</f>
        <v/>
      </c>
      <c r="C435" s="66">
        <f>'Project Database'!G439</f>
        <v/>
      </c>
      <c r="D435" s="66">
        <f>'Project Database'!H439</f>
        <v/>
      </c>
      <c r="E435" s="66">
        <f>'Project Database'!I439</f>
        <v/>
      </c>
      <c r="F435" s="66">
        <f>'Project Database'!J439</f>
        <v/>
      </c>
      <c r="G435" s="66">
        <f>'Project Database'!K439</f>
        <v/>
      </c>
      <c r="H435" s="66">
        <f>'Project Database'!L439</f>
        <v/>
      </c>
      <c r="I435" s="66">
        <f>'Project Database'!M439</f>
        <v/>
      </c>
      <c r="J435" s="66">
        <f>'Project Database'!N439</f>
        <v/>
      </c>
      <c r="K435" s="66">
        <f>'Project Database'!O439</f>
        <v/>
      </c>
      <c r="L435" s="66">
        <f>'Project Database'!P439</f>
        <v/>
      </c>
      <c r="M435" s="66">
        <f>'Project Database'!Q439</f>
        <v/>
      </c>
      <c r="N435" s="66">
        <f>'Project Database'!R439</f>
        <v/>
      </c>
      <c r="O435" s="66">
        <f>'Project Database'!S439</f>
        <v/>
      </c>
      <c r="P435" s="66">
        <f>'Project Database'!T439</f>
        <v/>
      </c>
      <c r="Q435" s="66">
        <f>'Project Database'!U439</f>
        <v/>
      </c>
      <c r="R435" s="66">
        <f>'Project Database'!V439</f>
        <v/>
      </c>
      <c r="S435" s="66">
        <f>'Project Database'!W439</f>
        <v/>
      </c>
      <c r="T435" s="66">
        <f>'Project Database'!X439</f>
        <v/>
      </c>
      <c r="U435" s="67">
        <f>'Project Database'!Y439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'Project Database'!Z439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IF(AND('Project Database'!A439&lt;&gt;"",OR('Smart Search'!$L$5="",'Smart Search'!$L$5="All",TRIM('Project Database'!D439)=TRIM('Smart Search'!$L$5)),OR(TRIM('Smart Search'!$L$6)="",TRIM('Smart Search'!$L$6)="All",ISNUMBER(SEARCH(SUBSTITUTE(SUBSTITUTE(SUBSTITUTE(TRIM('Smart Search'!$L$6),"~","~~"),"*","~*"),"?","~?"),'Project Database'!C439))),OR('Smart Search'!$L$7="",AND('Project Database'!E439&lt;&gt;"",'Project Database'!E439='Smart Search'!$L$7)),OR('Smart Search'!$L$8="",'Smart Search'!$L$8="All",TRIM('Project Database'!F439)=TRIM('Smart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IF('Project Database'!A439="","",N('Project Database'!AC439))</f>
        <v/>
      </c>
      <c r="BK435" s="5">
        <f>IF('Project Database'!A439="","",N('Project Database'!AD439))</f>
        <v/>
      </c>
      <c r="BL435" s="5">
        <f>IF('Project Database'!A439="","",N('Project Database'!AE439))</f>
        <v/>
      </c>
      <c r="BM435" s="5">
        <f>IF('Project Database'!A439="","",N('Project Database'!AF439))</f>
        <v/>
      </c>
      <c r="BN435" s="5">
        <f>IF('Project Database'!A439="","",N('Project Database'!AG439))</f>
        <v/>
      </c>
      <c r="BO435" s="5">
        <f>IF('Project Database'!A439="","",N('Project Database'!AH439))</f>
        <v/>
      </c>
      <c r="BP435" s="5">
        <f>IF('Project Database'!A439="","",N('Project Database'!AI439))</f>
        <v/>
      </c>
      <c r="BQ435" s="5">
        <f>IF('Project Database'!A439="","",N('Project Database'!AJ439))</f>
        <v/>
      </c>
      <c r="BR435" s="5">
        <f>IF('Project Database'!A439="","",N('Project Database'!AK439))</f>
        <v/>
      </c>
      <c r="BS435" s="5">
        <f>IF('Project Database'!A439="","",N('Project Database'!AL439))</f>
        <v/>
      </c>
      <c r="BT435" s="5">
        <f>IF('Project Database'!A439="","",N('Project Database'!AM439))</f>
        <v/>
      </c>
      <c r="BU435" s="5">
        <f>IF('Project Database'!A439="","",N('Project Database'!AN439))</f>
        <v/>
      </c>
      <c r="BV435" s="5">
        <f>IF('Project Database'!A439="","",N('Project Database'!AO439))</f>
        <v/>
      </c>
      <c r="BW435" s="5">
        <f>IF('Project Database'!A439="","",N('Project Database'!AP439))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</row>
    <row r="436" ht="15" customHeight="1" s="74">
      <c r="A436" s="66">
        <f>'Project Database'!A440</f>
        <v/>
      </c>
      <c r="B436" s="66">
        <f>'Project Database'!B440</f>
        <v/>
      </c>
      <c r="C436" s="66">
        <f>'Project Database'!G440</f>
        <v/>
      </c>
      <c r="D436" s="66">
        <f>'Project Database'!H440</f>
        <v/>
      </c>
      <c r="E436" s="66">
        <f>'Project Database'!I440</f>
        <v/>
      </c>
      <c r="F436" s="66">
        <f>'Project Database'!J440</f>
        <v/>
      </c>
      <c r="G436" s="66">
        <f>'Project Database'!K440</f>
        <v/>
      </c>
      <c r="H436" s="66">
        <f>'Project Database'!L440</f>
        <v/>
      </c>
      <c r="I436" s="66">
        <f>'Project Database'!M440</f>
        <v/>
      </c>
      <c r="J436" s="66">
        <f>'Project Database'!N440</f>
        <v/>
      </c>
      <c r="K436" s="66">
        <f>'Project Database'!O440</f>
        <v/>
      </c>
      <c r="L436" s="66">
        <f>'Project Database'!P440</f>
        <v/>
      </c>
      <c r="M436" s="66">
        <f>'Project Database'!Q440</f>
        <v/>
      </c>
      <c r="N436" s="66">
        <f>'Project Database'!R440</f>
        <v/>
      </c>
      <c r="O436" s="66">
        <f>'Project Database'!S440</f>
        <v/>
      </c>
      <c r="P436" s="66">
        <f>'Project Database'!T440</f>
        <v/>
      </c>
      <c r="Q436" s="66">
        <f>'Project Database'!U440</f>
        <v/>
      </c>
      <c r="R436" s="66">
        <f>'Project Database'!V440</f>
        <v/>
      </c>
      <c r="S436" s="66">
        <f>'Project Database'!W440</f>
        <v/>
      </c>
      <c r="T436" s="66">
        <f>'Project Database'!X440</f>
        <v/>
      </c>
      <c r="U436" s="67">
        <f>'Project Database'!Y440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'Project Database'!Z440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IF(AND('Project Database'!A440&lt;&gt;"",OR('Smart Search'!$L$5="",'Smart Search'!$L$5="All",TRIM('Project Database'!D440)=TRIM('Smart Search'!$L$5)),OR(TRIM('Smart Search'!$L$6)="",TRIM('Smart Search'!$L$6)="All",ISNUMBER(SEARCH(SUBSTITUTE(SUBSTITUTE(SUBSTITUTE(TRIM('Smart Search'!$L$6),"~","~~"),"*","~*"),"?","~?"),'Project Database'!C440))),OR('Smart Search'!$L$7="",AND('Project Database'!E440&lt;&gt;"",'Project Database'!E440='Smart Search'!$L$7)),OR('Smart Search'!$L$8="",'Smart Search'!$L$8="All",TRIM('Project Database'!F440)=TRIM('Smart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IF('Project Database'!A440="","",N('Project Database'!AC440))</f>
        <v/>
      </c>
      <c r="BK436" s="5">
        <f>IF('Project Database'!A440="","",N('Project Database'!AD440))</f>
        <v/>
      </c>
      <c r="BL436" s="5">
        <f>IF('Project Database'!A440="","",N('Project Database'!AE440))</f>
        <v/>
      </c>
      <c r="BM436" s="5">
        <f>IF('Project Database'!A440="","",N('Project Database'!AF440))</f>
        <v/>
      </c>
      <c r="BN436" s="5">
        <f>IF('Project Database'!A440="","",N('Project Database'!AG440))</f>
        <v/>
      </c>
      <c r="BO436" s="5">
        <f>IF('Project Database'!A440="","",N('Project Database'!AH440))</f>
        <v/>
      </c>
      <c r="BP436" s="5">
        <f>IF('Project Database'!A440="","",N('Project Database'!AI440))</f>
        <v/>
      </c>
      <c r="BQ436" s="5">
        <f>IF('Project Database'!A440="","",N('Project Database'!AJ440))</f>
        <v/>
      </c>
      <c r="BR436" s="5">
        <f>IF('Project Database'!A440="","",N('Project Database'!AK440))</f>
        <v/>
      </c>
      <c r="BS436" s="5">
        <f>IF('Project Database'!A440="","",N('Project Database'!AL440))</f>
        <v/>
      </c>
      <c r="BT436" s="5">
        <f>IF('Project Database'!A440="","",N('Project Database'!AM440))</f>
        <v/>
      </c>
      <c r="BU436" s="5">
        <f>IF('Project Database'!A440="","",N('Project Database'!AN440))</f>
        <v/>
      </c>
      <c r="BV436" s="5">
        <f>IF('Project Database'!A440="","",N('Project Database'!AO440))</f>
        <v/>
      </c>
      <c r="BW436" s="5">
        <f>IF('Project Database'!A440="","",N('Project Database'!AP440))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</row>
    <row r="437" ht="15" customHeight="1" s="74">
      <c r="A437" s="66">
        <f>'Project Database'!A441</f>
        <v/>
      </c>
      <c r="B437" s="66">
        <f>'Project Database'!B441</f>
        <v/>
      </c>
      <c r="C437" s="66">
        <f>'Project Database'!G441</f>
        <v/>
      </c>
      <c r="D437" s="66">
        <f>'Project Database'!H441</f>
        <v/>
      </c>
      <c r="E437" s="66">
        <f>'Project Database'!I441</f>
        <v/>
      </c>
      <c r="F437" s="66">
        <f>'Project Database'!J441</f>
        <v/>
      </c>
      <c r="G437" s="66">
        <f>'Project Database'!K441</f>
        <v/>
      </c>
      <c r="H437" s="66">
        <f>'Project Database'!L441</f>
        <v/>
      </c>
      <c r="I437" s="66">
        <f>'Project Database'!M441</f>
        <v/>
      </c>
      <c r="J437" s="66">
        <f>'Project Database'!N441</f>
        <v/>
      </c>
      <c r="K437" s="66">
        <f>'Project Database'!O441</f>
        <v/>
      </c>
      <c r="L437" s="66">
        <f>'Project Database'!P441</f>
        <v/>
      </c>
      <c r="M437" s="66">
        <f>'Project Database'!Q441</f>
        <v/>
      </c>
      <c r="N437" s="66">
        <f>'Project Database'!R441</f>
        <v/>
      </c>
      <c r="O437" s="66">
        <f>'Project Database'!S441</f>
        <v/>
      </c>
      <c r="P437" s="66">
        <f>'Project Database'!T441</f>
        <v/>
      </c>
      <c r="Q437" s="66">
        <f>'Project Database'!U441</f>
        <v/>
      </c>
      <c r="R437" s="66">
        <f>'Project Database'!V441</f>
        <v/>
      </c>
      <c r="S437" s="66">
        <f>'Project Database'!W441</f>
        <v/>
      </c>
      <c r="T437" s="66">
        <f>'Project Database'!X441</f>
        <v/>
      </c>
      <c r="U437" s="67">
        <f>'Project Database'!Y441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'Project Database'!Z441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IF(AND('Project Database'!A441&lt;&gt;"",OR('Smart Search'!$L$5="",'Smart Search'!$L$5="All",TRIM('Project Database'!D441)=TRIM('Smart Search'!$L$5)),OR(TRIM('Smart Search'!$L$6)="",TRIM('Smart Search'!$L$6)="All",ISNUMBER(SEARCH(SUBSTITUTE(SUBSTITUTE(SUBSTITUTE(TRIM('Smart Search'!$L$6),"~","~~"),"*","~*"),"?","~?"),'Project Database'!C441))),OR('Smart Search'!$L$7="",AND('Project Database'!E441&lt;&gt;"",'Project Database'!E441='Smart Search'!$L$7)),OR('Smart Search'!$L$8="",'Smart Search'!$L$8="All",TRIM('Project Database'!F441)=TRIM('Smart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IF('Project Database'!A441="","",N('Project Database'!AC441))</f>
        <v/>
      </c>
      <c r="BK437" s="5">
        <f>IF('Project Database'!A441="","",N('Project Database'!AD441))</f>
        <v/>
      </c>
      <c r="BL437" s="5">
        <f>IF('Project Database'!A441="","",N('Project Database'!AE441))</f>
        <v/>
      </c>
      <c r="BM437" s="5">
        <f>IF('Project Database'!A441="","",N('Project Database'!AF441))</f>
        <v/>
      </c>
      <c r="BN437" s="5">
        <f>IF('Project Database'!A441="","",N('Project Database'!AG441))</f>
        <v/>
      </c>
      <c r="BO437" s="5">
        <f>IF('Project Database'!A441="","",N('Project Database'!AH441))</f>
        <v/>
      </c>
      <c r="BP437" s="5">
        <f>IF('Project Database'!A441="","",N('Project Database'!AI441))</f>
        <v/>
      </c>
      <c r="BQ437" s="5">
        <f>IF('Project Database'!A441="","",N('Project Database'!AJ441))</f>
        <v/>
      </c>
      <c r="BR437" s="5">
        <f>IF('Project Database'!A441="","",N('Project Database'!AK441))</f>
        <v/>
      </c>
      <c r="BS437" s="5">
        <f>IF('Project Database'!A441="","",N('Project Database'!AL441))</f>
        <v/>
      </c>
      <c r="BT437" s="5">
        <f>IF('Project Database'!A441="","",N('Project Database'!AM441))</f>
        <v/>
      </c>
      <c r="BU437" s="5">
        <f>IF('Project Database'!A441="","",N('Project Database'!AN441))</f>
        <v/>
      </c>
      <c r="BV437" s="5">
        <f>IF('Project Database'!A441="","",N('Project Database'!AO441))</f>
        <v/>
      </c>
      <c r="BW437" s="5">
        <f>IF('Project Database'!A441="","",N('Project Database'!AP441))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</row>
    <row r="438" ht="15" customHeight="1" s="74">
      <c r="A438" s="66">
        <f>'Project Database'!A442</f>
        <v/>
      </c>
      <c r="B438" s="66">
        <f>'Project Database'!B442</f>
        <v/>
      </c>
      <c r="C438" s="66">
        <f>'Project Database'!G442</f>
        <v/>
      </c>
      <c r="D438" s="66">
        <f>'Project Database'!H442</f>
        <v/>
      </c>
      <c r="E438" s="66">
        <f>'Project Database'!I442</f>
        <v/>
      </c>
      <c r="F438" s="66">
        <f>'Project Database'!J442</f>
        <v/>
      </c>
      <c r="G438" s="66">
        <f>'Project Database'!K442</f>
        <v/>
      </c>
      <c r="H438" s="66">
        <f>'Project Database'!L442</f>
        <v/>
      </c>
      <c r="I438" s="66">
        <f>'Project Database'!M442</f>
        <v/>
      </c>
      <c r="J438" s="66">
        <f>'Project Database'!N442</f>
        <v/>
      </c>
      <c r="K438" s="66">
        <f>'Project Database'!O442</f>
        <v/>
      </c>
      <c r="L438" s="66">
        <f>'Project Database'!P442</f>
        <v/>
      </c>
      <c r="M438" s="66">
        <f>'Project Database'!Q442</f>
        <v/>
      </c>
      <c r="N438" s="66">
        <f>'Project Database'!R442</f>
        <v/>
      </c>
      <c r="O438" s="66">
        <f>'Project Database'!S442</f>
        <v/>
      </c>
      <c r="P438" s="66">
        <f>'Project Database'!T442</f>
        <v/>
      </c>
      <c r="Q438" s="66">
        <f>'Project Database'!U442</f>
        <v/>
      </c>
      <c r="R438" s="66">
        <f>'Project Database'!V442</f>
        <v/>
      </c>
      <c r="S438" s="66">
        <f>'Project Database'!W442</f>
        <v/>
      </c>
      <c r="T438" s="66">
        <f>'Project Database'!X442</f>
        <v/>
      </c>
      <c r="U438" s="67">
        <f>'Project Database'!Y442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'Project Database'!Z442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IF(AND('Project Database'!A442&lt;&gt;"",OR('Smart Search'!$L$5="",'Smart Search'!$L$5="All",TRIM('Project Database'!D442)=TRIM('Smart Search'!$L$5)),OR(TRIM('Smart Search'!$L$6)="",TRIM('Smart Search'!$L$6)="All",ISNUMBER(SEARCH(SUBSTITUTE(SUBSTITUTE(SUBSTITUTE(TRIM('Smart Search'!$L$6),"~","~~"),"*","~*"),"?","~?"),'Project Database'!C442))),OR('Smart Search'!$L$7="",AND('Project Database'!E442&lt;&gt;"",'Project Database'!E442='Smart Search'!$L$7)),OR('Smart Search'!$L$8="",'Smart Search'!$L$8="All",TRIM('Project Database'!F442)=TRIM('Smart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IF('Project Database'!A442="","",N('Project Database'!AC442))</f>
        <v/>
      </c>
      <c r="BK438" s="5">
        <f>IF('Project Database'!A442="","",N('Project Database'!AD442))</f>
        <v/>
      </c>
      <c r="BL438" s="5">
        <f>IF('Project Database'!A442="","",N('Project Database'!AE442))</f>
        <v/>
      </c>
      <c r="BM438" s="5">
        <f>IF('Project Database'!A442="","",N('Project Database'!AF442))</f>
        <v/>
      </c>
      <c r="BN438" s="5">
        <f>IF('Project Database'!A442="","",N('Project Database'!AG442))</f>
        <v/>
      </c>
      <c r="BO438" s="5">
        <f>IF('Project Database'!A442="","",N('Project Database'!AH442))</f>
        <v/>
      </c>
      <c r="BP438" s="5">
        <f>IF('Project Database'!A442="","",N('Project Database'!AI442))</f>
        <v/>
      </c>
      <c r="BQ438" s="5">
        <f>IF('Project Database'!A442="","",N('Project Database'!AJ442))</f>
        <v/>
      </c>
      <c r="BR438" s="5">
        <f>IF('Project Database'!A442="","",N('Project Database'!AK442))</f>
        <v/>
      </c>
      <c r="BS438" s="5">
        <f>IF('Project Database'!A442="","",N('Project Database'!AL442))</f>
        <v/>
      </c>
      <c r="BT438" s="5">
        <f>IF('Project Database'!A442="","",N('Project Database'!AM442))</f>
        <v/>
      </c>
      <c r="BU438" s="5">
        <f>IF('Project Database'!A442="","",N('Project Database'!AN442))</f>
        <v/>
      </c>
      <c r="BV438" s="5">
        <f>IF('Project Database'!A442="","",N('Project Database'!AO442))</f>
        <v/>
      </c>
      <c r="BW438" s="5">
        <f>IF('Project Database'!A442="","",N('Project Database'!AP442))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</row>
    <row r="439" ht="15" customHeight="1" s="74">
      <c r="A439" s="66">
        <f>'Project Database'!A443</f>
        <v/>
      </c>
      <c r="B439" s="66">
        <f>'Project Database'!B443</f>
        <v/>
      </c>
      <c r="C439" s="66">
        <f>'Project Database'!G443</f>
        <v/>
      </c>
      <c r="D439" s="66">
        <f>'Project Database'!H443</f>
        <v/>
      </c>
      <c r="E439" s="66">
        <f>'Project Database'!I443</f>
        <v/>
      </c>
      <c r="F439" s="66">
        <f>'Project Database'!J443</f>
        <v/>
      </c>
      <c r="G439" s="66">
        <f>'Project Database'!K443</f>
        <v/>
      </c>
      <c r="H439" s="66">
        <f>'Project Database'!L443</f>
        <v/>
      </c>
      <c r="I439" s="66">
        <f>'Project Database'!M443</f>
        <v/>
      </c>
      <c r="J439" s="66">
        <f>'Project Database'!N443</f>
        <v/>
      </c>
      <c r="K439" s="66">
        <f>'Project Database'!O443</f>
        <v/>
      </c>
      <c r="L439" s="66">
        <f>'Project Database'!P443</f>
        <v/>
      </c>
      <c r="M439" s="66">
        <f>'Project Database'!Q443</f>
        <v/>
      </c>
      <c r="N439" s="66">
        <f>'Project Database'!R443</f>
        <v/>
      </c>
      <c r="O439" s="66">
        <f>'Project Database'!S443</f>
        <v/>
      </c>
      <c r="P439" s="66">
        <f>'Project Database'!T443</f>
        <v/>
      </c>
      <c r="Q439" s="66">
        <f>'Project Database'!U443</f>
        <v/>
      </c>
      <c r="R439" s="66">
        <f>'Project Database'!V443</f>
        <v/>
      </c>
      <c r="S439" s="66">
        <f>'Project Database'!W443</f>
        <v/>
      </c>
      <c r="T439" s="66">
        <f>'Project Database'!X443</f>
        <v/>
      </c>
      <c r="U439" s="67">
        <f>'Project Database'!Y443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'Project Database'!Z443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IF(AND('Project Database'!A443&lt;&gt;"",OR('Smart Search'!$L$5="",'Smart Search'!$L$5="All",TRIM('Project Database'!D443)=TRIM('Smart Search'!$L$5)),OR(TRIM('Smart Search'!$L$6)="",TRIM('Smart Search'!$L$6)="All",ISNUMBER(SEARCH(SUBSTITUTE(SUBSTITUTE(SUBSTITUTE(TRIM('Smart Search'!$L$6),"~","~~"),"*","~*"),"?","~?"),'Project Database'!C443))),OR('Smart Search'!$L$7="",AND('Project Database'!E443&lt;&gt;"",'Project Database'!E443='Smart Search'!$L$7)),OR('Smart Search'!$L$8="",'Smart Search'!$L$8="All",TRIM('Project Database'!F443)=TRIM('Smart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IF('Project Database'!A443="","",N('Project Database'!AC443))</f>
        <v/>
      </c>
      <c r="BK439" s="5">
        <f>IF('Project Database'!A443="","",N('Project Database'!AD443))</f>
        <v/>
      </c>
      <c r="BL439" s="5">
        <f>IF('Project Database'!A443="","",N('Project Database'!AE443))</f>
        <v/>
      </c>
      <c r="BM439" s="5">
        <f>IF('Project Database'!A443="","",N('Project Database'!AF443))</f>
        <v/>
      </c>
      <c r="BN439" s="5">
        <f>IF('Project Database'!A443="","",N('Project Database'!AG443))</f>
        <v/>
      </c>
      <c r="BO439" s="5">
        <f>IF('Project Database'!A443="","",N('Project Database'!AH443))</f>
        <v/>
      </c>
      <c r="BP439" s="5">
        <f>IF('Project Database'!A443="","",N('Project Database'!AI443))</f>
        <v/>
      </c>
      <c r="BQ439" s="5">
        <f>IF('Project Database'!A443="","",N('Project Database'!AJ443))</f>
        <v/>
      </c>
      <c r="BR439" s="5">
        <f>IF('Project Database'!A443="","",N('Project Database'!AK443))</f>
        <v/>
      </c>
      <c r="BS439" s="5">
        <f>IF('Project Database'!A443="","",N('Project Database'!AL443))</f>
        <v/>
      </c>
      <c r="BT439" s="5">
        <f>IF('Project Database'!A443="","",N('Project Database'!AM443))</f>
        <v/>
      </c>
      <c r="BU439" s="5">
        <f>IF('Project Database'!A443="","",N('Project Database'!AN443))</f>
        <v/>
      </c>
      <c r="BV439" s="5">
        <f>IF('Project Database'!A443="","",N('Project Database'!AO443))</f>
        <v/>
      </c>
      <c r="BW439" s="5">
        <f>IF('Project Database'!A443="","",N('Project Database'!AP443))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</row>
    <row r="440" ht="15" customHeight="1" s="74">
      <c r="A440" s="66">
        <f>'Project Database'!A444</f>
        <v/>
      </c>
      <c r="B440" s="66">
        <f>'Project Database'!B444</f>
        <v/>
      </c>
      <c r="C440" s="66">
        <f>'Project Database'!G444</f>
        <v/>
      </c>
      <c r="D440" s="66">
        <f>'Project Database'!H444</f>
        <v/>
      </c>
      <c r="E440" s="66">
        <f>'Project Database'!I444</f>
        <v/>
      </c>
      <c r="F440" s="66">
        <f>'Project Database'!J444</f>
        <v/>
      </c>
      <c r="G440" s="66">
        <f>'Project Database'!K444</f>
        <v/>
      </c>
      <c r="H440" s="66">
        <f>'Project Database'!L444</f>
        <v/>
      </c>
      <c r="I440" s="66">
        <f>'Project Database'!M444</f>
        <v/>
      </c>
      <c r="J440" s="66">
        <f>'Project Database'!N444</f>
        <v/>
      </c>
      <c r="K440" s="66">
        <f>'Project Database'!O444</f>
        <v/>
      </c>
      <c r="L440" s="66">
        <f>'Project Database'!P444</f>
        <v/>
      </c>
      <c r="M440" s="66">
        <f>'Project Database'!Q444</f>
        <v/>
      </c>
      <c r="N440" s="66">
        <f>'Project Database'!R444</f>
        <v/>
      </c>
      <c r="O440" s="66">
        <f>'Project Database'!S444</f>
        <v/>
      </c>
      <c r="P440" s="66">
        <f>'Project Database'!T444</f>
        <v/>
      </c>
      <c r="Q440" s="66">
        <f>'Project Database'!U444</f>
        <v/>
      </c>
      <c r="R440" s="66">
        <f>'Project Database'!V444</f>
        <v/>
      </c>
      <c r="S440" s="66">
        <f>'Project Database'!W444</f>
        <v/>
      </c>
      <c r="T440" s="66">
        <f>'Project Database'!X444</f>
        <v/>
      </c>
      <c r="U440" s="67">
        <f>'Project Database'!Y444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'Project Database'!Z444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IF(AND('Project Database'!A444&lt;&gt;"",OR('Smart Search'!$L$5="",'Smart Search'!$L$5="All",TRIM('Project Database'!D444)=TRIM('Smart Search'!$L$5)),OR(TRIM('Smart Search'!$L$6)="",TRIM('Smart Search'!$L$6)="All",ISNUMBER(SEARCH(SUBSTITUTE(SUBSTITUTE(SUBSTITUTE(TRIM('Smart Search'!$L$6),"~","~~"),"*","~*"),"?","~?"),'Project Database'!C444))),OR('Smart Search'!$L$7="",AND('Project Database'!E444&lt;&gt;"",'Project Database'!E444='Smart Search'!$L$7)),OR('Smart Search'!$L$8="",'Smart Search'!$L$8="All",TRIM('Project Database'!F444)=TRIM('Smart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IF('Project Database'!A444="","",N('Project Database'!AC444))</f>
        <v/>
      </c>
      <c r="BK440" s="5">
        <f>IF('Project Database'!A444="","",N('Project Database'!AD444))</f>
        <v/>
      </c>
      <c r="BL440" s="5">
        <f>IF('Project Database'!A444="","",N('Project Database'!AE444))</f>
        <v/>
      </c>
      <c r="BM440" s="5">
        <f>IF('Project Database'!A444="","",N('Project Database'!AF444))</f>
        <v/>
      </c>
      <c r="BN440" s="5">
        <f>IF('Project Database'!A444="","",N('Project Database'!AG444))</f>
        <v/>
      </c>
      <c r="BO440" s="5">
        <f>IF('Project Database'!A444="","",N('Project Database'!AH444))</f>
        <v/>
      </c>
      <c r="BP440" s="5">
        <f>IF('Project Database'!A444="","",N('Project Database'!AI444))</f>
        <v/>
      </c>
      <c r="BQ440" s="5">
        <f>IF('Project Database'!A444="","",N('Project Database'!AJ444))</f>
        <v/>
      </c>
      <c r="BR440" s="5">
        <f>IF('Project Database'!A444="","",N('Project Database'!AK444))</f>
        <v/>
      </c>
      <c r="BS440" s="5">
        <f>IF('Project Database'!A444="","",N('Project Database'!AL444))</f>
        <v/>
      </c>
      <c r="BT440" s="5">
        <f>IF('Project Database'!A444="","",N('Project Database'!AM444))</f>
        <v/>
      </c>
      <c r="BU440" s="5">
        <f>IF('Project Database'!A444="","",N('Project Database'!AN444))</f>
        <v/>
      </c>
      <c r="BV440" s="5">
        <f>IF('Project Database'!A444="","",N('Project Database'!AO444))</f>
        <v/>
      </c>
      <c r="BW440" s="5">
        <f>IF('Project Database'!A444="","",N('Project Database'!AP444))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</row>
    <row r="441" ht="15" customHeight="1" s="74">
      <c r="A441" s="66">
        <f>'Project Database'!A445</f>
        <v/>
      </c>
      <c r="B441" s="66">
        <f>'Project Database'!B445</f>
        <v/>
      </c>
      <c r="C441" s="66">
        <f>'Project Database'!G445</f>
        <v/>
      </c>
      <c r="D441" s="66">
        <f>'Project Database'!H445</f>
        <v/>
      </c>
      <c r="E441" s="66">
        <f>'Project Database'!I445</f>
        <v/>
      </c>
      <c r="F441" s="66">
        <f>'Project Database'!J445</f>
        <v/>
      </c>
      <c r="G441" s="66">
        <f>'Project Database'!K445</f>
        <v/>
      </c>
      <c r="H441" s="66">
        <f>'Project Database'!L445</f>
        <v/>
      </c>
      <c r="I441" s="66">
        <f>'Project Database'!M445</f>
        <v/>
      </c>
      <c r="J441" s="66">
        <f>'Project Database'!N445</f>
        <v/>
      </c>
      <c r="K441" s="66">
        <f>'Project Database'!O445</f>
        <v/>
      </c>
      <c r="L441" s="66">
        <f>'Project Database'!P445</f>
        <v/>
      </c>
      <c r="M441" s="66">
        <f>'Project Database'!Q445</f>
        <v/>
      </c>
      <c r="N441" s="66">
        <f>'Project Database'!R445</f>
        <v/>
      </c>
      <c r="O441" s="66">
        <f>'Project Database'!S445</f>
        <v/>
      </c>
      <c r="P441" s="66">
        <f>'Project Database'!T445</f>
        <v/>
      </c>
      <c r="Q441" s="66">
        <f>'Project Database'!U445</f>
        <v/>
      </c>
      <c r="R441" s="66">
        <f>'Project Database'!V445</f>
        <v/>
      </c>
      <c r="S441" s="66">
        <f>'Project Database'!W445</f>
        <v/>
      </c>
      <c r="T441" s="66">
        <f>'Project Database'!X445</f>
        <v/>
      </c>
      <c r="U441" s="67">
        <f>'Project Database'!Y445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'Project Database'!Z445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IF(AND('Project Database'!A445&lt;&gt;"",OR('Smart Search'!$L$5="",'Smart Search'!$L$5="All",TRIM('Project Database'!D445)=TRIM('Smart Search'!$L$5)),OR(TRIM('Smart Search'!$L$6)="",TRIM('Smart Search'!$L$6)="All",ISNUMBER(SEARCH(SUBSTITUTE(SUBSTITUTE(SUBSTITUTE(TRIM('Smart Search'!$L$6),"~","~~"),"*","~*"),"?","~?"),'Project Database'!C445))),OR('Smart Search'!$L$7="",AND('Project Database'!E445&lt;&gt;"",'Project Database'!E445='Smart Search'!$L$7)),OR('Smart Search'!$L$8="",'Smart Search'!$L$8="All",TRIM('Project Database'!F445)=TRIM('Smart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IF('Project Database'!A445="","",N('Project Database'!AC445))</f>
        <v/>
      </c>
      <c r="BK441" s="5">
        <f>IF('Project Database'!A445="","",N('Project Database'!AD445))</f>
        <v/>
      </c>
      <c r="BL441" s="5">
        <f>IF('Project Database'!A445="","",N('Project Database'!AE445))</f>
        <v/>
      </c>
      <c r="BM441" s="5">
        <f>IF('Project Database'!A445="","",N('Project Database'!AF445))</f>
        <v/>
      </c>
      <c r="BN441" s="5">
        <f>IF('Project Database'!A445="","",N('Project Database'!AG445))</f>
        <v/>
      </c>
      <c r="BO441" s="5">
        <f>IF('Project Database'!A445="","",N('Project Database'!AH445))</f>
        <v/>
      </c>
      <c r="BP441" s="5">
        <f>IF('Project Database'!A445="","",N('Project Database'!AI445))</f>
        <v/>
      </c>
      <c r="BQ441" s="5">
        <f>IF('Project Database'!A445="","",N('Project Database'!AJ445))</f>
        <v/>
      </c>
      <c r="BR441" s="5">
        <f>IF('Project Database'!A445="","",N('Project Database'!AK445))</f>
        <v/>
      </c>
      <c r="BS441" s="5">
        <f>IF('Project Database'!A445="","",N('Project Database'!AL445))</f>
        <v/>
      </c>
      <c r="BT441" s="5">
        <f>IF('Project Database'!A445="","",N('Project Database'!AM445))</f>
        <v/>
      </c>
      <c r="BU441" s="5">
        <f>IF('Project Database'!A445="","",N('Project Database'!AN445))</f>
        <v/>
      </c>
      <c r="BV441" s="5">
        <f>IF('Project Database'!A445="","",N('Project Database'!AO445))</f>
        <v/>
      </c>
      <c r="BW441" s="5">
        <f>IF('Project Database'!A445="","",N('Project Database'!AP445))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</row>
    <row r="442" ht="15" customHeight="1" s="74">
      <c r="A442" s="66">
        <f>'Project Database'!A446</f>
        <v/>
      </c>
      <c r="B442" s="66">
        <f>'Project Database'!B446</f>
        <v/>
      </c>
      <c r="C442" s="66">
        <f>'Project Database'!G446</f>
        <v/>
      </c>
      <c r="D442" s="66">
        <f>'Project Database'!H446</f>
        <v/>
      </c>
      <c r="E442" s="66">
        <f>'Project Database'!I446</f>
        <v/>
      </c>
      <c r="F442" s="66">
        <f>'Project Database'!J446</f>
        <v/>
      </c>
      <c r="G442" s="66">
        <f>'Project Database'!K446</f>
        <v/>
      </c>
      <c r="H442" s="66">
        <f>'Project Database'!L446</f>
        <v/>
      </c>
      <c r="I442" s="66">
        <f>'Project Database'!M446</f>
        <v/>
      </c>
      <c r="J442" s="66">
        <f>'Project Database'!N446</f>
        <v/>
      </c>
      <c r="K442" s="66">
        <f>'Project Database'!O446</f>
        <v/>
      </c>
      <c r="L442" s="66">
        <f>'Project Database'!P446</f>
        <v/>
      </c>
      <c r="M442" s="66">
        <f>'Project Database'!Q446</f>
        <v/>
      </c>
      <c r="N442" s="66">
        <f>'Project Database'!R446</f>
        <v/>
      </c>
      <c r="O442" s="66">
        <f>'Project Database'!S446</f>
        <v/>
      </c>
      <c r="P442" s="66">
        <f>'Project Database'!T446</f>
        <v/>
      </c>
      <c r="Q442" s="66">
        <f>'Project Database'!U446</f>
        <v/>
      </c>
      <c r="R442" s="66">
        <f>'Project Database'!V446</f>
        <v/>
      </c>
      <c r="S442" s="66">
        <f>'Project Database'!W446</f>
        <v/>
      </c>
      <c r="T442" s="66">
        <f>'Project Database'!X446</f>
        <v/>
      </c>
      <c r="U442" s="67">
        <f>'Project Database'!Y446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'Project Database'!Z446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IF(AND('Project Database'!A446&lt;&gt;"",OR('Smart Search'!$L$5="",'Smart Search'!$L$5="All",TRIM('Project Database'!D446)=TRIM('Smart Search'!$L$5)),OR(TRIM('Smart Search'!$L$6)="",TRIM('Smart Search'!$L$6)="All",ISNUMBER(SEARCH(SUBSTITUTE(SUBSTITUTE(SUBSTITUTE(TRIM('Smart Search'!$L$6),"~","~~"),"*","~*"),"?","~?"),'Project Database'!C446))),OR('Smart Search'!$L$7="",AND('Project Database'!E446&lt;&gt;"",'Project Database'!E446='Smart Search'!$L$7)),OR('Smart Search'!$L$8="",'Smart Search'!$L$8="All",TRIM('Project Database'!F446)=TRIM('Smart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IF('Project Database'!A446="","",N('Project Database'!AC446))</f>
        <v/>
      </c>
      <c r="BK442" s="5">
        <f>IF('Project Database'!A446="","",N('Project Database'!AD446))</f>
        <v/>
      </c>
      <c r="BL442" s="5">
        <f>IF('Project Database'!A446="","",N('Project Database'!AE446))</f>
        <v/>
      </c>
      <c r="BM442" s="5">
        <f>IF('Project Database'!A446="","",N('Project Database'!AF446))</f>
        <v/>
      </c>
      <c r="BN442" s="5">
        <f>IF('Project Database'!A446="","",N('Project Database'!AG446))</f>
        <v/>
      </c>
      <c r="BO442" s="5">
        <f>IF('Project Database'!A446="","",N('Project Database'!AH446))</f>
        <v/>
      </c>
      <c r="BP442" s="5">
        <f>IF('Project Database'!A446="","",N('Project Database'!AI446))</f>
        <v/>
      </c>
      <c r="BQ442" s="5">
        <f>IF('Project Database'!A446="","",N('Project Database'!AJ446))</f>
        <v/>
      </c>
      <c r="BR442" s="5">
        <f>IF('Project Database'!A446="","",N('Project Database'!AK446))</f>
        <v/>
      </c>
      <c r="BS442" s="5">
        <f>IF('Project Database'!A446="","",N('Project Database'!AL446))</f>
        <v/>
      </c>
      <c r="BT442" s="5">
        <f>IF('Project Database'!A446="","",N('Project Database'!AM446))</f>
        <v/>
      </c>
      <c r="BU442" s="5">
        <f>IF('Project Database'!A446="","",N('Project Database'!AN446))</f>
        <v/>
      </c>
      <c r="BV442" s="5">
        <f>IF('Project Database'!A446="","",N('Project Database'!AO446))</f>
        <v/>
      </c>
      <c r="BW442" s="5">
        <f>IF('Project Database'!A446="","",N('Project Database'!AP446))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</row>
    <row r="443" ht="15" customHeight="1" s="74">
      <c r="A443" s="66">
        <f>'Project Database'!A447</f>
        <v/>
      </c>
      <c r="B443" s="66">
        <f>'Project Database'!B447</f>
        <v/>
      </c>
      <c r="C443" s="66">
        <f>'Project Database'!G447</f>
        <v/>
      </c>
      <c r="D443" s="66">
        <f>'Project Database'!H447</f>
        <v/>
      </c>
      <c r="E443" s="66">
        <f>'Project Database'!I447</f>
        <v/>
      </c>
      <c r="F443" s="66">
        <f>'Project Database'!J447</f>
        <v/>
      </c>
      <c r="G443" s="66">
        <f>'Project Database'!K447</f>
        <v/>
      </c>
      <c r="H443" s="66">
        <f>'Project Database'!L447</f>
        <v/>
      </c>
      <c r="I443" s="66">
        <f>'Project Database'!M447</f>
        <v/>
      </c>
      <c r="J443" s="66">
        <f>'Project Database'!N447</f>
        <v/>
      </c>
      <c r="K443" s="66">
        <f>'Project Database'!O447</f>
        <v/>
      </c>
      <c r="L443" s="66">
        <f>'Project Database'!P447</f>
        <v/>
      </c>
      <c r="M443" s="66">
        <f>'Project Database'!Q447</f>
        <v/>
      </c>
      <c r="N443" s="66">
        <f>'Project Database'!R447</f>
        <v/>
      </c>
      <c r="O443" s="66">
        <f>'Project Database'!S447</f>
        <v/>
      </c>
      <c r="P443" s="66">
        <f>'Project Database'!T447</f>
        <v/>
      </c>
      <c r="Q443" s="66">
        <f>'Project Database'!U447</f>
        <v/>
      </c>
      <c r="R443" s="66">
        <f>'Project Database'!V447</f>
        <v/>
      </c>
      <c r="S443" s="66">
        <f>'Project Database'!W447</f>
        <v/>
      </c>
      <c r="T443" s="66">
        <f>'Project Database'!X447</f>
        <v/>
      </c>
      <c r="U443" s="67">
        <f>'Project Database'!Y447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'Project Database'!Z447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IF(AND('Project Database'!A447&lt;&gt;"",OR('Smart Search'!$L$5="",'Smart Search'!$L$5="All",TRIM('Project Database'!D447)=TRIM('Smart Search'!$L$5)),OR(TRIM('Smart Search'!$L$6)="",TRIM('Smart Search'!$L$6)="All",ISNUMBER(SEARCH(SUBSTITUTE(SUBSTITUTE(SUBSTITUTE(TRIM('Smart Search'!$L$6),"~","~~"),"*","~*"),"?","~?"),'Project Database'!C447))),OR('Smart Search'!$L$7="",AND('Project Database'!E447&lt;&gt;"",'Project Database'!E447='Smart Search'!$L$7)),OR('Smart Search'!$L$8="",'Smart Search'!$L$8="All",TRIM('Project Database'!F447)=TRIM('Smart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IF('Project Database'!A447="","",N('Project Database'!AC447))</f>
        <v/>
      </c>
      <c r="BK443" s="5">
        <f>IF('Project Database'!A447="","",N('Project Database'!AD447))</f>
        <v/>
      </c>
      <c r="BL443" s="5">
        <f>IF('Project Database'!A447="","",N('Project Database'!AE447))</f>
        <v/>
      </c>
      <c r="BM443" s="5">
        <f>IF('Project Database'!A447="","",N('Project Database'!AF447))</f>
        <v/>
      </c>
      <c r="BN443" s="5">
        <f>IF('Project Database'!A447="","",N('Project Database'!AG447))</f>
        <v/>
      </c>
      <c r="BO443" s="5">
        <f>IF('Project Database'!A447="","",N('Project Database'!AH447))</f>
        <v/>
      </c>
      <c r="BP443" s="5">
        <f>IF('Project Database'!A447="","",N('Project Database'!AI447))</f>
        <v/>
      </c>
      <c r="BQ443" s="5">
        <f>IF('Project Database'!A447="","",N('Project Database'!AJ447))</f>
        <v/>
      </c>
      <c r="BR443" s="5">
        <f>IF('Project Database'!A447="","",N('Project Database'!AK447))</f>
        <v/>
      </c>
      <c r="BS443" s="5">
        <f>IF('Project Database'!A447="","",N('Project Database'!AL447))</f>
        <v/>
      </c>
      <c r="BT443" s="5">
        <f>IF('Project Database'!A447="","",N('Project Database'!AM447))</f>
        <v/>
      </c>
      <c r="BU443" s="5">
        <f>IF('Project Database'!A447="","",N('Project Database'!AN447))</f>
        <v/>
      </c>
      <c r="BV443" s="5">
        <f>IF('Project Database'!A447="","",N('Project Database'!AO447))</f>
        <v/>
      </c>
      <c r="BW443" s="5">
        <f>IF('Project Database'!A447="","",N('Project Database'!AP447))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</row>
    <row r="444" ht="15" customHeight="1" s="74">
      <c r="A444" s="66">
        <f>'Project Database'!A448</f>
        <v/>
      </c>
      <c r="B444" s="66">
        <f>'Project Database'!B448</f>
        <v/>
      </c>
      <c r="C444" s="66">
        <f>'Project Database'!G448</f>
        <v/>
      </c>
      <c r="D444" s="66">
        <f>'Project Database'!H448</f>
        <v/>
      </c>
      <c r="E444" s="66">
        <f>'Project Database'!I448</f>
        <v/>
      </c>
      <c r="F444" s="66">
        <f>'Project Database'!J448</f>
        <v/>
      </c>
      <c r="G444" s="66">
        <f>'Project Database'!K448</f>
        <v/>
      </c>
      <c r="H444" s="66">
        <f>'Project Database'!L448</f>
        <v/>
      </c>
      <c r="I444" s="66">
        <f>'Project Database'!M448</f>
        <v/>
      </c>
      <c r="J444" s="66">
        <f>'Project Database'!N448</f>
        <v/>
      </c>
      <c r="K444" s="66">
        <f>'Project Database'!O448</f>
        <v/>
      </c>
      <c r="L444" s="66">
        <f>'Project Database'!P448</f>
        <v/>
      </c>
      <c r="M444" s="66">
        <f>'Project Database'!Q448</f>
        <v/>
      </c>
      <c r="N444" s="66">
        <f>'Project Database'!R448</f>
        <v/>
      </c>
      <c r="O444" s="66">
        <f>'Project Database'!S448</f>
        <v/>
      </c>
      <c r="P444" s="66">
        <f>'Project Database'!T448</f>
        <v/>
      </c>
      <c r="Q444" s="66">
        <f>'Project Database'!U448</f>
        <v/>
      </c>
      <c r="R444" s="66">
        <f>'Project Database'!V448</f>
        <v/>
      </c>
      <c r="S444" s="66">
        <f>'Project Database'!W448</f>
        <v/>
      </c>
      <c r="T444" s="66">
        <f>'Project Database'!X448</f>
        <v/>
      </c>
      <c r="U444" s="67">
        <f>'Project Database'!Y448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'Project Database'!Z448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IF(AND('Project Database'!A448&lt;&gt;"",OR('Smart Search'!$L$5="",'Smart Search'!$L$5="All",TRIM('Project Database'!D448)=TRIM('Smart Search'!$L$5)),OR(TRIM('Smart Search'!$L$6)="",TRIM('Smart Search'!$L$6)="All",ISNUMBER(SEARCH(SUBSTITUTE(SUBSTITUTE(SUBSTITUTE(TRIM('Smart Search'!$L$6),"~","~~"),"*","~*"),"?","~?"),'Project Database'!C448))),OR('Smart Search'!$L$7="",AND('Project Database'!E448&lt;&gt;"",'Project Database'!E448='Smart Search'!$L$7)),OR('Smart Search'!$L$8="",'Smart Search'!$L$8="All",TRIM('Project Database'!F448)=TRIM('Smart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IF('Project Database'!A448="","",N('Project Database'!AC448))</f>
        <v/>
      </c>
      <c r="BK444" s="5">
        <f>IF('Project Database'!A448="","",N('Project Database'!AD448))</f>
        <v/>
      </c>
      <c r="BL444" s="5">
        <f>IF('Project Database'!A448="","",N('Project Database'!AE448))</f>
        <v/>
      </c>
      <c r="BM444" s="5">
        <f>IF('Project Database'!A448="","",N('Project Database'!AF448))</f>
        <v/>
      </c>
      <c r="BN444" s="5">
        <f>IF('Project Database'!A448="","",N('Project Database'!AG448))</f>
        <v/>
      </c>
      <c r="BO444" s="5">
        <f>IF('Project Database'!A448="","",N('Project Database'!AH448))</f>
        <v/>
      </c>
      <c r="BP444" s="5">
        <f>IF('Project Database'!A448="","",N('Project Database'!AI448))</f>
        <v/>
      </c>
      <c r="BQ444" s="5">
        <f>IF('Project Database'!A448="","",N('Project Database'!AJ448))</f>
        <v/>
      </c>
      <c r="BR444" s="5">
        <f>IF('Project Database'!A448="","",N('Project Database'!AK448))</f>
        <v/>
      </c>
      <c r="BS444" s="5">
        <f>IF('Project Database'!A448="","",N('Project Database'!AL448))</f>
        <v/>
      </c>
      <c r="BT444" s="5">
        <f>IF('Project Database'!A448="","",N('Project Database'!AM448))</f>
        <v/>
      </c>
      <c r="BU444" s="5">
        <f>IF('Project Database'!A448="","",N('Project Database'!AN448))</f>
        <v/>
      </c>
      <c r="BV444" s="5">
        <f>IF('Project Database'!A448="","",N('Project Database'!AO448))</f>
        <v/>
      </c>
      <c r="BW444" s="5">
        <f>IF('Project Database'!A448="","",N('Project Database'!AP448))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</row>
    <row r="445" ht="15" customHeight="1" s="74">
      <c r="A445" s="66">
        <f>'Project Database'!A449</f>
        <v/>
      </c>
      <c r="B445" s="66">
        <f>'Project Database'!B449</f>
        <v/>
      </c>
      <c r="C445" s="66">
        <f>'Project Database'!G449</f>
        <v/>
      </c>
      <c r="D445" s="66">
        <f>'Project Database'!H449</f>
        <v/>
      </c>
      <c r="E445" s="66">
        <f>'Project Database'!I449</f>
        <v/>
      </c>
      <c r="F445" s="66">
        <f>'Project Database'!J449</f>
        <v/>
      </c>
      <c r="G445" s="66">
        <f>'Project Database'!K449</f>
        <v/>
      </c>
      <c r="H445" s="66">
        <f>'Project Database'!L449</f>
        <v/>
      </c>
      <c r="I445" s="66">
        <f>'Project Database'!M449</f>
        <v/>
      </c>
      <c r="J445" s="66">
        <f>'Project Database'!N449</f>
        <v/>
      </c>
      <c r="K445" s="66">
        <f>'Project Database'!O449</f>
        <v/>
      </c>
      <c r="L445" s="66">
        <f>'Project Database'!P449</f>
        <v/>
      </c>
      <c r="M445" s="66">
        <f>'Project Database'!Q449</f>
        <v/>
      </c>
      <c r="N445" s="66">
        <f>'Project Database'!R449</f>
        <v/>
      </c>
      <c r="O445" s="66">
        <f>'Project Database'!S449</f>
        <v/>
      </c>
      <c r="P445" s="66">
        <f>'Project Database'!T449</f>
        <v/>
      </c>
      <c r="Q445" s="66">
        <f>'Project Database'!U449</f>
        <v/>
      </c>
      <c r="R445" s="66">
        <f>'Project Database'!V449</f>
        <v/>
      </c>
      <c r="S445" s="66">
        <f>'Project Database'!W449</f>
        <v/>
      </c>
      <c r="T445" s="66">
        <f>'Project Database'!X449</f>
        <v/>
      </c>
      <c r="U445" s="67">
        <f>'Project Database'!Y449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'Project Database'!Z449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IF(AND('Project Database'!A449&lt;&gt;"",OR('Smart Search'!$L$5="",'Smart Search'!$L$5="All",TRIM('Project Database'!D449)=TRIM('Smart Search'!$L$5)),OR(TRIM('Smart Search'!$L$6)="",TRIM('Smart Search'!$L$6)="All",ISNUMBER(SEARCH(SUBSTITUTE(SUBSTITUTE(SUBSTITUTE(TRIM('Smart Search'!$L$6),"~","~~"),"*","~*"),"?","~?"),'Project Database'!C449))),OR('Smart Search'!$L$7="",AND('Project Database'!E449&lt;&gt;"",'Project Database'!E449='Smart Search'!$L$7)),OR('Smart Search'!$L$8="",'Smart Search'!$L$8="All",TRIM('Project Database'!F449)=TRIM('Smart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IF('Project Database'!A449="","",N('Project Database'!AC449))</f>
        <v/>
      </c>
      <c r="BK445" s="5">
        <f>IF('Project Database'!A449="","",N('Project Database'!AD449))</f>
        <v/>
      </c>
      <c r="BL445" s="5">
        <f>IF('Project Database'!A449="","",N('Project Database'!AE449))</f>
        <v/>
      </c>
      <c r="BM445" s="5">
        <f>IF('Project Database'!A449="","",N('Project Database'!AF449))</f>
        <v/>
      </c>
      <c r="BN445" s="5">
        <f>IF('Project Database'!A449="","",N('Project Database'!AG449))</f>
        <v/>
      </c>
      <c r="BO445" s="5">
        <f>IF('Project Database'!A449="","",N('Project Database'!AH449))</f>
        <v/>
      </c>
      <c r="BP445" s="5">
        <f>IF('Project Database'!A449="","",N('Project Database'!AI449))</f>
        <v/>
      </c>
      <c r="BQ445" s="5">
        <f>IF('Project Database'!A449="","",N('Project Database'!AJ449))</f>
        <v/>
      </c>
      <c r="BR445" s="5">
        <f>IF('Project Database'!A449="","",N('Project Database'!AK449))</f>
        <v/>
      </c>
      <c r="BS445" s="5">
        <f>IF('Project Database'!A449="","",N('Project Database'!AL449))</f>
        <v/>
      </c>
      <c r="BT445" s="5">
        <f>IF('Project Database'!A449="","",N('Project Database'!AM449))</f>
        <v/>
      </c>
      <c r="BU445" s="5">
        <f>IF('Project Database'!A449="","",N('Project Database'!AN449))</f>
        <v/>
      </c>
      <c r="BV445" s="5">
        <f>IF('Project Database'!A449="","",N('Project Database'!AO449))</f>
        <v/>
      </c>
      <c r="BW445" s="5">
        <f>IF('Project Database'!A449="","",N('Project Database'!AP449))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</row>
    <row r="446" ht="15" customHeight="1" s="74">
      <c r="A446" s="66">
        <f>'Project Database'!A450</f>
        <v/>
      </c>
      <c r="B446" s="66">
        <f>'Project Database'!B450</f>
        <v/>
      </c>
      <c r="C446" s="66">
        <f>'Project Database'!G450</f>
        <v/>
      </c>
      <c r="D446" s="66">
        <f>'Project Database'!H450</f>
        <v/>
      </c>
      <c r="E446" s="66">
        <f>'Project Database'!I450</f>
        <v/>
      </c>
      <c r="F446" s="66">
        <f>'Project Database'!J450</f>
        <v/>
      </c>
      <c r="G446" s="66">
        <f>'Project Database'!K450</f>
        <v/>
      </c>
      <c r="H446" s="66">
        <f>'Project Database'!L450</f>
        <v/>
      </c>
      <c r="I446" s="66">
        <f>'Project Database'!M450</f>
        <v/>
      </c>
      <c r="J446" s="66">
        <f>'Project Database'!N450</f>
        <v/>
      </c>
      <c r="K446" s="66">
        <f>'Project Database'!O450</f>
        <v/>
      </c>
      <c r="L446" s="66">
        <f>'Project Database'!P450</f>
        <v/>
      </c>
      <c r="M446" s="66">
        <f>'Project Database'!Q450</f>
        <v/>
      </c>
      <c r="N446" s="66">
        <f>'Project Database'!R450</f>
        <v/>
      </c>
      <c r="O446" s="66">
        <f>'Project Database'!S450</f>
        <v/>
      </c>
      <c r="P446" s="66">
        <f>'Project Database'!T450</f>
        <v/>
      </c>
      <c r="Q446" s="66">
        <f>'Project Database'!U450</f>
        <v/>
      </c>
      <c r="R446" s="66">
        <f>'Project Database'!V450</f>
        <v/>
      </c>
      <c r="S446" s="66">
        <f>'Project Database'!W450</f>
        <v/>
      </c>
      <c r="T446" s="66">
        <f>'Project Database'!X450</f>
        <v/>
      </c>
      <c r="U446" s="67">
        <f>'Project Database'!Y450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'Project Database'!Z450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IF(AND('Project Database'!A450&lt;&gt;"",OR('Smart Search'!$L$5="",'Smart Search'!$L$5="All",TRIM('Project Database'!D450)=TRIM('Smart Search'!$L$5)),OR(TRIM('Smart Search'!$L$6)="",TRIM('Smart Search'!$L$6)="All",ISNUMBER(SEARCH(SUBSTITUTE(SUBSTITUTE(SUBSTITUTE(TRIM('Smart Search'!$L$6),"~","~~"),"*","~*"),"?","~?"),'Project Database'!C450))),OR('Smart Search'!$L$7="",AND('Project Database'!E450&lt;&gt;"",'Project Database'!E450='Smart Search'!$L$7)),OR('Smart Search'!$L$8="",'Smart Search'!$L$8="All",TRIM('Project Database'!F450)=TRIM('Smart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IF('Project Database'!A450="","",N('Project Database'!AC450))</f>
        <v/>
      </c>
      <c r="BK446" s="5">
        <f>IF('Project Database'!A450="","",N('Project Database'!AD450))</f>
        <v/>
      </c>
      <c r="BL446" s="5">
        <f>IF('Project Database'!A450="","",N('Project Database'!AE450))</f>
        <v/>
      </c>
      <c r="BM446" s="5">
        <f>IF('Project Database'!A450="","",N('Project Database'!AF450))</f>
        <v/>
      </c>
      <c r="BN446" s="5">
        <f>IF('Project Database'!A450="","",N('Project Database'!AG450))</f>
        <v/>
      </c>
      <c r="BO446" s="5">
        <f>IF('Project Database'!A450="","",N('Project Database'!AH450))</f>
        <v/>
      </c>
      <c r="BP446" s="5">
        <f>IF('Project Database'!A450="","",N('Project Database'!AI450))</f>
        <v/>
      </c>
      <c r="BQ446" s="5">
        <f>IF('Project Database'!A450="","",N('Project Database'!AJ450))</f>
        <v/>
      </c>
      <c r="BR446" s="5">
        <f>IF('Project Database'!A450="","",N('Project Database'!AK450))</f>
        <v/>
      </c>
      <c r="BS446" s="5">
        <f>IF('Project Database'!A450="","",N('Project Database'!AL450))</f>
        <v/>
      </c>
      <c r="BT446" s="5">
        <f>IF('Project Database'!A450="","",N('Project Database'!AM450))</f>
        <v/>
      </c>
      <c r="BU446" s="5">
        <f>IF('Project Database'!A450="","",N('Project Database'!AN450))</f>
        <v/>
      </c>
      <c r="BV446" s="5">
        <f>IF('Project Database'!A450="","",N('Project Database'!AO450))</f>
        <v/>
      </c>
      <c r="BW446" s="5">
        <f>IF('Project Database'!A450="","",N('Project Database'!AP450))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</row>
    <row r="447" ht="15" customHeight="1" s="74">
      <c r="A447" s="66">
        <f>'Project Database'!A451</f>
        <v/>
      </c>
      <c r="B447" s="66">
        <f>'Project Database'!B451</f>
        <v/>
      </c>
      <c r="C447" s="66">
        <f>'Project Database'!G451</f>
        <v/>
      </c>
      <c r="D447" s="66">
        <f>'Project Database'!H451</f>
        <v/>
      </c>
      <c r="E447" s="66">
        <f>'Project Database'!I451</f>
        <v/>
      </c>
      <c r="F447" s="66">
        <f>'Project Database'!J451</f>
        <v/>
      </c>
      <c r="G447" s="66">
        <f>'Project Database'!K451</f>
        <v/>
      </c>
      <c r="H447" s="66">
        <f>'Project Database'!L451</f>
        <v/>
      </c>
      <c r="I447" s="66">
        <f>'Project Database'!M451</f>
        <v/>
      </c>
      <c r="J447" s="66">
        <f>'Project Database'!N451</f>
        <v/>
      </c>
      <c r="K447" s="66">
        <f>'Project Database'!O451</f>
        <v/>
      </c>
      <c r="L447" s="66">
        <f>'Project Database'!P451</f>
        <v/>
      </c>
      <c r="M447" s="66">
        <f>'Project Database'!Q451</f>
        <v/>
      </c>
      <c r="N447" s="66">
        <f>'Project Database'!R451</f>
        <v/>
      </c>
      <c r="O447" s="66">
        <f>'Project Database'!S451</f>
        <v/>
      </c>
      <c r="P447" s="66">
        <f>'Project Database'!T451</f>
        <v/>
      </c>
      <c r="Q447" s="66">
        <f>'Project Database'!U451</f>
        <v/>
      </c>
      <c r="R447" s="66">
        <f>'Project Database'!V451</f>
        <v/>
      </c>
      <c r="S447" s="66">
        <f>'Project Database'!W451</f>
        <v/>
      </c>
      <c r="T447" s="66">
        <f>'Project Database'!X451</f>
        <v/>
      </c>
      <c r="U447" s="67">
        <f>'Project Database'!Y451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'Project Database'!Z451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IF(AND('Project Database'!A451&lt;&gt;"",OR('Smart Search'!$L$5="",'Smart Search'!$L$5="All",TRIM('Project Database'!D451)=TRIM('Smart Search'!$L$5)),OR(TRIM('Smart Search'!$L$6)="",TRIM('Smart Search'!$L$6)="All",ISNUMBER(SEARCH(SUBSTITUTE(SUBSTITUTE(SUBSTITUTE(TRIM('Smart Search'!$L$6),"~","~~"),"*","~*"),"?","~?"),'Project Database'!C451))),OR('Smart Search'!$L$7="",AND('Project Database'!E451&lt;&gt;"",'Project Database'!E451='Smart Search'!$L$7)),OR('Smart Search'!$L$8="",'Smart Search'!$L$8="All",TRIM('Project Database'!F451)=TRIM('Smart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IF('Project Database'!A451="","",N('Project Database'!AC451))</f>
        <v/>
      </c>
      <c r="BK447" s="5">
        <f>IF('Project Database'!A451="","",N('Project Database'!AD451))</f>
        <v/>
      </c>
      <c r="BL447" s="5">
        <f>IF('Project Database'!A451="","",N('Project Database'!AE451))</f>
        <v/>
      </c>
      <c r="BM447" s="5">
        <f>IF('Project Database'!A451="","",N('Project Database'!AF451))</f>
        <v/>
      </c>
      <c r="BN447" s="5">
        <f>IF('Project Database'!A451="","",N('Project Database'!AG451))</f>
        <v/>
      </c>
      <c r="BO447" s="5">
        <f>IF('Project Database'!A451="","",N('Project Database'!AH451))</f>
        <v/>
      </c>
      <c r="BP447" s="5">
        <f>IF('Project Database'!A451="","",N('Project Database'!AI451))</f>
        <v/>
      </c>
      <c r="BQ447" s="5">
        <f>IF('Project Database'!A451="","",N('Project Database'!AJ451))</f>
        <v/>
      </c>
      <c r="BR447" s="5">
        <f>IF('Project Database'!A451="","",N('Project Database'!AK451))</f>
        <v/>
      </c>
      <c r="BS447" s="5">
        <f>IF('Project Database'!A451="","",N('Project Database'!AL451))</f>
        <v/>
      </c>
      <c r="BT447" s="5">
        <f>IF('Project Database'!A451="","",N('Project Database'!AM451))</f>
        <v/>
      </c>
      <c r="BU447" s="5">
        <f>IF('Project Database'!A451="","",N('Project Database'!AN451))</f>
        <v/>
      </c>
      <c r="BV447" s="5">
        <f>IF('Project Database'!A451="","",N('Project Database'!AO451))</f>
        <v/>
      </c>
      <c r="BW447" s="5">
        <f>IF('Project Database'!A451="","",N('Project Database'!AP451))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</row>
    <row r="448" ht="15" customHeight="1" s="74">
      <c r="A448" s="66">
        <f>'Project Database'!A452</f>
        <v/>
      </c>
      <c r="B448" s="66">
        <f>'Project Database'!B452</f>
        <v/>
      </c>
      <c r="C448" s="66">
        <f>'Project Database'!G452</f>
        <v/>
      </c>
      <c r="D448" s="66">
        <f>'Project Database'!H452</f>
        <v/>
      </c>
      <c r="E448" s="66">
        <f>'Project Database'!I452</f>
        <v/>
      </c>
      <c r="F448" s="66">
        <f>'Project Database'!J452</f>
        <v/>
      </c>
      <c r="G448" s="66">
        <f>'Project Database'!K452</f>
        <v/>
      </c>
      <c r="H448" s="66">
        <f>'Project Database'!L452</f>
        <v/>
      </c>
      <c r="I448" s="66">
        <f>'Project Database'!M452</f>
        <v/>
      </c>
      <c r="J448" s="66">
        <f>'Project Database'!N452</f>
        <v/>
      </c>
      <c r="K448" s="66">
        <f>'Project Database'!O452</f>
        <v/>
      </c>
      <c r="L448" s="66">
        <f>'Project Database'!P452</f>
        <v/>
      </c>
      <c r="M448" s="66">
        <f>'Project Database'!Q452</f>
        <v/>
      </c>
      <c r="N448" s="66">
        <f>'Project Database'!R452</f>
        <v/>
      </c>
      <c r="O448" s="66">
        <f>'Project Database'!S452</f>
        <v/>
      </c>
      <c r="P448" s="66">
        <f>'Project Database'!T452</f>
        <v/>
      </c>
      <c r="Q448" s="66">
        <f>'Project Database'!U452</f>
        <v/>
      </c>
      <c r="R448" s="66">
        <f>'Project Database'!V452</f>
        <v/>
      </c>
      <c r="S448" s="66">
        <f>'Project Database'!W452</f>
        <v/>
      </c>
      <c r="T448" s="66">
        <f>'Project Database'!X452</f>
        <v/>
      </c>
      <c r="U448" s="67">
        <f>'Project Database'!Y452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'Project Database'!Z452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IF(AND('Project Database'!A452&lt;&gt;"",OR('Smart Search'!$L$5="",'Smart Search'!$L$5="All",TRIM('Project Database'!D452)=TRIM('Smart Search'!$L$5)),OR(TRIM('Smart Search'!$L$6)="",TRIM('Smart Search'!$L$6)="All",ISNUMBER(SEARCH(SUBSTITUTE(SUBSTITUTE(SUBSTITUTE(TRIM('Smart Search'!$L$6),"~","~~"),"*","~*"),"?","~?"),'Project Database'!C452))),OR('Smart Search'!$L$7="",AND('Project Database'!E452&lt;&gt;"",'Project Database'!E452='Smart Search'!$L$7)),OR('Smart Search'!$L$8="",'Smart Search'!$L$8="All",TRIM('Project Database'!F452)=TRIM('Smart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IF('Project Database'!A452="","",N('Project Database'!AC452))</f>
        <v/>
      </c>
      <c r="BK448" s="5">
        <f>IF('Project Database'!A452="","",N('Project Database'!AD452))</f>
        <v/>
      </c>
      <c r="BL448" s="5">
        <f>IF('Project Database'!A452="","",N('Project Database'!AE452))</f>
        <v/>
      </c>
      <c r="BM448" s="5">
        <f>IF('Project Database'!A452="","",N('Project Database'!AF452))</f>
        <v/>
      </c>
      <c r="BN448" s="5">
        <f>IF('Project Database'!A452="","",N('Project Database'!AG452))</f>
        <v/>
      </c>
      <c r="BO448" s="5">
        <f>IF('Project Database'!A452="","",N('Project Database'!AH452))</f>
        <v/>
      </c>
      <c r="BP448" s="5">
        <f>IF('Project Database'!A452="","",N('Project Database'!AI452))</f>
        <v/>
      </c>
      <c r="BQ448" s="5">
        <f>IF('Project Database'!A452="","",N('Project Database'!AJ452))</f>
        <v/>
      </c>
      <c r="BR448" s="5">
        <f>IF('Project Database'!A452="","",N('Project Database'!AK452))</f>
        <v/>
      </c>
      <c r="BS448" s="5">
        <f>IF('Project Database'!A452="","",N('Project Database'!AL452))</f>
        <v/>
      </c>
      <c r="BT448" s="5">
        <f>IF('Project Database'!A452="","",N('Project Database'!AM452))</f>
        <v/>
      </c>
      <c r="BU448" s="5">
        <f>IF('Project Database'!A452="","",N('Project Database'!AN452))</f>
        <v/>
      </c>
      <c r="BV448" s="5">
        <f>IF('Project Database'!A452="","",N('Project Database'!AO452))</f>
        <v/>
      </c>
      <c r="BW448" s="5">
        <f>IF('Project Database'!A452="","",N('Project Database'!AP452))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</row>
    <row r="449" ht="15" customHeight="1" s="74">
      <c r="A449" s="66">
        <f>'Project Database'!A453</f>
        <v/>
      </c>
      <c r="B449" s="66">
        <f>'Project Database'!B453</f>
        <v/>
      </c>
      <c r="C449" s="66">
        <f>'Project Database'!G453</f>
        <v/>
      </c>
      <c r="D449" s="66">
        <f>'Project Database'!H453</f>
        <v/>
      </c>
      <c r="E449" s="66">
        <f>'Project Database'!I453</f>
        <v/>
      </c>
      <c r="F449" s="66">
        <f>'Project Database'!J453</f>
        <v/>
      </c>
      <c r="G449" s="66">
        <f>'Project Database'!K453</f>
        <v/>
      </c>
      <c r="H449" s="66">
        <f>'Project Database'!L453</f>
        <v/>
      </c>
      <c r="I449" s="66">
        <f>'Project Database'!M453</f>
        <v/>
      </c>
      <c r="J449" s="66">
        <f>'Project Database'!N453</f>
        <v/>
      </c>
      <c r="K449" s="66">
        <f>'Project Database'!O453</f>
        <v/>
      </c>
      <c r="L449" s="66">
        <f>'Project Database'!P453</f>
        <v/>
      </c>
      <c r="M449" s="66">
        <f>'Project Database'!Q453</f>
        <v/>
      </c>
      <c r="N449" s="66">
        <f>'Project Database'!R453</f>
        <v/>
      </c>
      <c r="O449" s="66">
        <f>'Project Database'!S453</f>
        <v/>
      </c>
      <c r="P449" s="66">
        <f>'Project Database'!T453</f>
        <v/>
      </c>
      <c r="Q449" s="66">
        <f>'Project Database'!U453</f>
        <v/>
      </c>
      <c r="R449" s="66">
        <f>'Project Database'!V453</f>
        <v/>
      </c>
      <c r="S449" s="66">
        <f>'Project Database'!W453</f>
        <v/>
      </c>
      <c r="T449" s="66">
        <f>'Project Database'!X453</f>
        <v/>
      </c>
      <c r="U449" s="67">
        <f>'Project Database'!Y453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'Project Database'!Z453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IF(AND('Project Database'!A453&lt;&gt;"",OR('Smart Search'!$L$5="",'Smart Search'!$L$5="All",TRIM('Project Database'!D453)=TRIM('Smart Search'!$L$5)),OR(TRIM('Smart Search'!$L$6)="",TRIM('Smart Search'!$L$6)="All",ISNUMBER(SEARCH(SUBSTITUTE(SUBSTITUTE(SUBSTITUTE(TRIM('Smart Search'!$L$6),"~","~~"),"*","~*"),"?","~?"),'Project Database'!C453))),OR('Smart Search'!$L$7="",AND('Project Database'!E453&lt;&gt;"",'Project Database'!E453='Smart Search'!$L$7)),OR('Smart Search'!$L$8="",'Smart Search'!$L$8="All",TRIM('Project Database'!F453)=TRIM('Smart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IF('Project Database'!A453="","",N('Project Database'!AC453))</f>
        <v/>
      </c>
      <c r="BK449" s="5">
        <f>IF('Project Database'!A453="","",N('Project Database'!AD453))</f>
        <v/>
      </c>
      <c r="BL449" s="5">
        <f>IF('Project Database'!A453="","",N('Project Database'!AE453))</f>
        <v/>
      </c>
      <c r="BM449" s="5">
        <f>IF('Project Database'!A453="","",N('Project Database'!AF453))</f>
        <v/>
      </c>
      <c r="BN449" s="5">
        <f>IF('Project Database'!A453="","",N('Project Database'!AG453))</f>
        <v/>
      </c>
      <c r="BO449" s="5">
        <f>IF('Project Database'!A453="","",N('Project Database'!AH453))</f>
        <v/>
      </c>
      <c r="BP449" s="5">
        <f>IF('Project Database'!A453="","",N('Project Database'!AI453))</f>
        <v/>
      </c>
      <c r="BQ449" s="5">
        <f>IF('Project Database'!A453="","",N('Project Database'!AJ453))</f>
        <v/>
      </c>
      <c r="BR449" s="5">
        <f>IF('Project Database'!A453="","",N('Project Database'!AK453))</f>
        <v/>
      </c>
      <c r="BS449" s="5">
        <f>IF('Project Database'!A453="","",N('Project Database'!AL453))</f>
        <v/>
      </c>
      <c r="BT449" s="5">
        <f>IF('Project Database'!A453="","",N('Project Database'!AM453))</f>
        <v/>
      </c>
      <c r="BU449" s="5">
        <f>IF('Project Database'!A453="","",N('Project Database'!AN453))</f>
        <v/>
      </c>
      <c r="BV449" s="5">
        <f>IF('Project Database'!A453="","",N('Project Database'!AO453))</f>
        <v/>
      </c>
      <c r="BW449" s="5">
        <f>IF('Project Database'!A453="","",N('Project Database'!AP453))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</row>
    <row r="450" ht="15" customHeight="1" s="74">
      <c r="A450" s="66">
        <f>'Project Database'!A454</f>
        <v/>
      </c>
      <c r="B450" s="66">
        <f>'Project Database'!B454</f>
        <v/>
      </c>
      <c r="C450" s="66">
        <f>'Project Database'!G454</f>
        <v/>
      </c>
      <c r="D450" s="66">
        <f>'Project Database'!H454</f>
        <v/>
      </c>
      <c r="E450" s="66">
        <f>'Project Database'!I454</f>
        <v/>
      </c>
      <c r="F450" s="66">
        <f>'Project Database'!J454</f>
        <v/>
      </c>
      <c r="G450" s="66">
        <f>'Project Database'!K454</f>
        <v/>
      </c>
      <c r="H450" s="66">
        <f>'Project Database'!L454</f>
        <v/>
      </c>
      <c r="I450" s="66">
        <f>'Project Database'!M454</f>
        <v/>
      </c>
      <c r="J450" s="66">
        <f>'Project Database'!N454</f>
        <v/>
      </c>
      <c r="K450" s="66">
        <f>'Project Database'!O454</f>
        <v/>
      </c>
      <c r="L450" s="66">
        <f>'Project Database'!P454</f>
        <v/>
      </c>
      <c r="M450" s="66">
        <f>'Project Database'!Q454</f>
        <v/>
      </c>
      <c r="N450" s="66">
        <f>'Project Database'!R454</f>
        <v/>
      </c>
      <c r="O450" s="66">
        <f>'Project Database'!S454</f>
        <v/>
      </c>
      <c r="P450" s="66">
        <f>'Project Database'!T454</f>
        <v/>
      </c>
      <c r="Q450" s="66">
        <f>'Project Database'!U454</f>
        <v/>
      </c>
      <c r="R450" s="66">
        <f>'Project Database'!V454</f>
        <v/>
      </c>
      <c r="S450" s="66">
        <f>'Project Database'!W454</f>
        <v/>
      </c>
      <c r="T450" s="66">
        <f>'Project Database'!X454</f>
        <v/>
      </c>
      <c r="U450" s="67">
        <f>'Project Database'!Y454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'Project Database'!Z454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IF(AND('Project Database'!A454&lt;&gt;"",OR('Smart Search'!$L$5="",'Smart Search'!$L$5="All",TRIM('Project Database'!D454)=TRIM('Smart Search'!$L$5)),OR(TRIM('Smart Search'!$L$6)="",TRIM('Smart Search'!$L$6)="All",ISNUMBER(SEARCH(SUBSTITUTE(SUBSTITUTE(SUBSTITUTE(TRIM('Smart Search'!$L$6),"~","~~"),"*","~*"),"?","~?"),'Project Database'!C454))),OR('Smart Search'!$L$7="",AND('Project Database'!E454&lt;&gt;"",'Project Database'!E454='Smart Search'!$L$7)),OR('Smart Search'!$L$8="",'Smart Search'!$L$8="All",TRIM('Project Database'!F454)=TRIM('Smart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IF('Project Database'!A454="","",N('Project Database'!AC454))</f>
        <v/>
      </c>
      <c r="BK450" s="5">
        <f>IF('Project Database'!A454="","",N('Project Database'!AD454))</f>
        <v/>
      </c>
      <c r="BL450" s="5">
        <f>IF('Project Database'!A454="","",N('Project Database'!AE454))</f>
        <v/>
      </c>
      <c r="BM450" s="5">
        <f>IF('Project Database'!A454="","",N('Project Database'!AF454))</f>
        <v/>
      </c>
      <c r="BN450" s="5">
        <f>IF('Project Database'!A454="","",N('Project Database'!AG454))</f>
        <v/>
      </c>
      <c r="BO450" s="5">
        <f>IF('Project Database'!A454="","",N('Project Database'!AH454))</f>
        <v/>
      </c>
      <c r="BP450" s="5">
        <f>IF('Project Database'!A454="","",N('Project Database'!AI454))</f>
        <v/>
      </c>
      <c r="BQ450" s="5">
        <f>IF('Project Database'!A454="","",N('Project Database'!AJ454))</f>
        <v/>
      </c>
      <c r="BR450" s="5">
        <f>IF('Project Database'!A454="","",N('Project Database'!AK454))</f>
        <v/>
      </c>
      <c r="BS450" s="5">
        <f>IF('Project Database'!A454="","",N('Project Database'!AL454))</f>
        <v/>
      </c>
      <c r="BT450" s="5">
        <f>IF('Project Database'!A454="","",N('Project Database'!AM454))</f>
        <v/>
      </c>
      <c r="BU450" s="5">
        <f>IF('Project Database'!A454="","",N('Project Database'!AN454))</f>
        <v/>
      </c>
      <c r="BV450" s="5">
        <f>IF('Project Database'!A454="","",N('Project Database'!AO454))</f>
        <v/>
      </c>
      <c r="BW450" s="5">
        <f>IF('Project Database'!A454="","",N('Project Database'!AP454))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</row>
    <row r="451" ht="15" customHeight="1" s="74">
      <c r="A451" s="66">
        <f>'Project Database'!A455</f>
        <v/>
      </c>
      <c r="B451" s="66">
        <f>'Project Database'!B455</f>
        <v/>
      </c>
      <c r="C451" s="66">
        <f>'Project Database'!G455</f>
        <v/>
      </c>
      <c r="D451" s="66">
        <f>'Project Database'!H455</f>
        <v/>
      </c>
      <c r="E451" s="66">
        <f>'Project Database'!I455</f>
        <v/>
      </c>
      <c r="F451" s="66">
        <f>'Project Database'!J455</f>
        <v/>
      </c>
      <c r="G451" s="66">
        <f>'Project Database'!K455</f>
        <v/>
      </c>
      <c r="H451" s="66">
        <f>'Project Database'!L455</f>
        <v/>
      </c>
      <c r="I451" s="66">
        <f>'Project Database'!M455</f>
        <v/>
      </c>
      <c r="J451" s="66">
        <f>'Project Database'!N455</f>
        <v/>
      </c>
      <c r="K451" s="66">
        <f>'Project Database'!O455</f>
        <v/>
      </c>
      <c r="L451" s="66">
        <f>'Project Database'!P455</f>
        <v/>
      </c>
      <c r="M451" s="66">
        <f>'Project Database'!Q455</f>
        <v/>
      </c>
      <c r="N451" s="66">
        <f>'Project Database'!R455</f>
        <v/>
      </c>
      <c r="O451" s="66">
        <f>'Project Database'!S455</f>
        <v/>
      </c>
      <c r="P451" s="66">
        <f>'Project Database'!T455</f>
        <v/>
      </c>
      <c r="Q451" s="66">
        <f>'Project Database'!U455</f>
        <v/>
      </c>
      <c r="R451" s="66">
        <f>'Project Database'!V455</f>
        <v/>
      </c>
      <c r="S451" s="66">
        <f>'Project Database'!W455</f>
        <v/>
      </c>
      <c r="T451" s="66">
        <f>'Project Database'!X455</f>
        <v/>
      </c>
      <c r="U451" s="67">
        <f>'Project Database'!Y455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'Project Database'!Z455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IF(AND('Project Database'!A455&lt;&gt;"",OR('Smart Search'!$L$5="",'Smart Search'!$L$5="All",TRIM('Project Database'!D455)=TRIM('Smart Search'!$L$5)),OR(TRIM('Smart Search'!$L$6)="",TRIM('Smart Search'!$L$6)="All",ISNUMBER(SEARCH(SUBSTITUTE(SUBSTITUTE(SUBSTITUTE(TRIM('Smart Search'!$L$6),"~","~~"),"*","~*"),"?","~?"),'Project Database'!C455))),OR('Smart Search'!$L$7="",AND('Project Database'!E455&lt;&gt;"",'Project Database'!E455='Smart Search'!$L$7)),OR('Smart Search'!$L$8="",'Smart Search'!$L$8="All",TRIM('Project Database'!F455)=TRIM('Smart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IF('Project Database'!A455="","",N('Project Database'!AC455))</f>
        <v/>
      </c>
      <c r="BK451" s="5">
        <f>IF('Project Database'!A455="","",N('Project Database'!AD455))</f>
        <v/>
      </c>
      <c r="BL451" s="5">
        <f>IF('Project Database'!A455="","",N('Project Database'!AE455))</f>
        <v/>
      </c>
      <c r="BM451" s="5">
        <f>IF('Project Database'!A455="","",N('Project Database'!AF455))</f>
        <v/>
      </c>
      <c r="BN451" s="5">
        <f>IF('Project Database'!A455="","",N('Project Database'!AG455))</f>
        <v/>
      </c>
      <c r="BO451" s="5">
        <f>IF('Project Database'!A455="","",N('Project Database'!AH455))</f>
        <v/>
      </c>
      <c r="BP451" s="5">
        <f>IF('Project Database'!A455="","",N('Project Database'!AI455))</f>
        <v/>
      </c>
      <c r="BQ451" s="5">
        <f>IF('Project Database'!A455="","",N('Project Database'!AJ455))</f>
        <v/>
      </c>
      <c r="BR451" s="5">
        <f>IF('Project Database'!A455="","",N('Project Database'!AK455))</f>
        <v/>
      </c>
      <c r="BS451" s="5">
        <f>IF('Project Database'!A455="","",N('Project Database'!AL455))</f>
        <v/>
      </c>
      <c r="BT451" s="5">
        <f>IF('Project Database'!A455="","",N('Project Database'!AM455))</f>
        <v/>
      </c>
      <c r="BU451" s="5">
        <f>IF('Project Database'!A455="","",N('Project Database'!AN455))</f>
        <v/>
      </c>
      <c r="BV451" s="5">
        <f>IF('Project Database'!A455="","",N('Project Database'!AO455))</f>
        <v/>
      </c>
      <c r="BW451" s="5">
        <f>IF('Project Database'!A455="","",N('Project Database'!AP455))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</row>
    <row r="452" ht="15" customHeight="1" s="74">
      <c r="A452" s="66">
        <f>'Project Database'!A456</f>
        <v/>
      </c>
      <c r="B452" s="66">
        <f>'Project Database'!B456</f>
        <v/>
      </c>
      <c r="C452" s="66">
        <f>'Project Database'!G456</f>
        <v/>
      </c>
      <c r="D452" s="66">
        <f>'Project Database'!H456</f>
        <v/>
      </c>
      <c r="E452" s="66">
        <f>'Project Database'!I456</f>
        <v/>
      </c>
      <c r="F452" s="66">
        <f>'Project Database'!J456</f>
        <v/>
      </c>
      <c r="G452" s="66">
        <f>'Project Database'!K456</f>
        <v/>
      </c>
      <c r="H452" s="66">
        <f>'Project Database'!L456</f>
        <v/>
      </c>
      <c r="I452" s="66">
        <f>'Project Database'!M456</f>
        <v/>
      </c>
      <c r="J452" s="66">
        <f>'Project Database'!N456</f>
        <v/>
      </c>
      <c r="K452" s="66">
        <f>'Project Database'!O456</f>
        <v/>
      </c>
      <c r="L452" s="66">
        <f>'Project Database'!P456</f>
        <v/>
      </c>
      <c r="M452" s="66">
        <f>'Project Database'!Q456</f>
        <v/>
      </c>
      <c r="N452" s="66">
        <f>'Project Database'!R456</f>
        <v/>
      </c>
      <c r="O452" s="66">
        <f>'Project Database'!S456</f>
        <v/>
      </c>
      <c r="P452" s="66">
        <f>'Project Database'!T456</f>
        <v/>
      </c>
      <c r="Q452" s="66">
        <f>'Project Database'!U456</f>
        <v/>
      </c>
      <c r="R452" s="66">
        <f>'Project Database'!V456</f>
        <v/>
      </c>
      <c r="S452" s="66">
        <f>'Project Database'!W456</f>
        <v/>
      </c>
      <c r="T452" s="66">
        <f>'Project Database'!X456</f>
        <v/>
      </c>
      <c r="U452" s="67">
        <f>'Project Database'!Y456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'Project Database'!Z456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IF(AND('Project Database'!A456&lt;&gt;"",OR('Smart Search'!$L$5="",'Smart Search'!$L$5="All",TRIM('Project Database'!D456)=TRIM('Smart Search'!$L$5)),OR(TRIM('Smart Search'!$L$6)="",TRIM('Smart Search'!$L$6)="All",ISNUMBER(SEARCH(SUBSTITUTE(SUBSTITUTE(SUBSTITUTE(TRIM('Smart Search'!$L$6),"~","~~"),"*","~*"),"?","~?"),'Project Database'!C456))),OR('Smart Search'!$L$7="",AND('Project Database'!E456&lt;&gt;"",'Project Database'!E456='Smart Search'!$L$7)),OR('Smart Search'!$L$8="",'Smart Search'!$L$8="All",TRIM('Project Database'!F456)=TRIM('Smart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IF('Project Database'!A456="","",N('Project Database'!AC456))</f>
        <v/>
      </c>
      <c r="BK452" s="5">
        <f>IF('Project Database'!A456="","",N('Project Database'!AD456))</f>
        <v/>
      </c>
      <c r="BL452" s="5">
        <f>IF('Project Database'!A456="","",N('Project Database'!AE456))</f>
        <v/>
      </c>
      <c r="BM452" s="5">
        <f>IF('Project Database'!A456="","",N('Project Database'!AF456))</f>
        <v/>
      </c>
      <c r="BN452" s="5">
        <f>IF('Project Database'!A456="","",N('Project Database'!AG456))</f>
        <v/>
      </c>
      <c r="BO452" s="5">
        <f>IF('Project Database'!A456="","",N('Project Database'!AH456))</f>
        <v/>
      </c>
      <c r="BP452" s="5">
        <f>IF('Project Database'!A456="","",N('Project Database'!AI456))</f>
        <v/>
      </c>
      <c r="BQ452" s="5">
        <f>IF('Project Database'!A456="","",N('Project Database'!AJ456))</f>
        <v/>
      </c>
      <c r="BR452" s="5">
        <f>IF('Project Database'!A456="","",N('Project Database'!AK456))</f>
        <v/>
      </c>
      <c r="BS452" s="5">
        <f>IF('Project Database'!A456="","",N('Project Database'!AL456))</f>
        <v/>
      </c>
      <c r="BT452" s="5">
        <f>IF('Project Database'!A456="","",N('Project Database'!AM456))</f>
        <v/>
      </c>
      <c r="BU452" s="5">
        <f>IF('Project Database'!A456="","",N('Project Database'!AN456))</f>
        <v/>
      </c>
      <c r="BV452" s="5">
        <f>IF('Project Database'!A456="","",N('Project Database'!AO456))</f>
        <v/>
      </c>
      <c r="BW452" s="5">
        <f>IF('Project Database'!A456="","",N('Project Database'!AP456))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</row>
    <row r="453" ht="15" customHeight="1" s="74">
      <c r="A453" s="66">
        <f>'Project Database'!A457</f>
        <v/>
      </c>
      <c r="B453" s="66">
        <f>'Project Database'!B457</f>
        <v/>
      </c>
      <c r="C453" s="66">
        <f>'Project Database'!G457</f>
        <v/>
      </c>
      <c r="D453" s="66">
        <f>'Project Database'!H457</f>
        <v/>
      </c>
      <c r="E453" s="66">
        <f>'Project Database'!I457</f>
        <v/>
      </c>
      <c r="F453" s="66">
        <f>'Project Database'!J457</f>
        <v/>
      </c>
      <c r="G453" s="66">
        <f>'Project Database'!K457</f>
        <v/>
      </c>
      <c r="H453" s="66">
        <f>'Project Database'!L457</f>
        <v/>
      </c>
      <c r="I453" s="66">
        <f>'Project Database'!M457</f>
        <v/>
      </c>
      <c r="J453" s="66">
        <f>'Project Database'!N457</f>
        <v/>
      </c>
      <c r="K453" s="66">
        <f>'Project Database'!O457</f>
        <v/>
      </c>
      <c r="L453" s="66">
        <f>'Project Database'!P457</f>
        <v/>
      </c>
      <c r="M453" s="66">
        <f>'Project Database'!Q457</f>
        <v/>
      </c>
      <c r="N453" s="66">
        <f>'Project Database'!R457</f>
        <v/>
      </c>
      <c r="O453" s="66">
        <f>'Project Database'!S457</f>
        <v/>
      </c>
      <c r="P453" s="66">
        <f>'Project Database'!T457</f>
        <v/>
      </c>
      <c r="Q453" s="66">
        <f>'Project Database'!U457</f>
        <v/>
      </c>
      <c r="R453" s="66">
        <f>'Project Database'!V457</f>
        <v/>
      </c>
      <c r="S453" s="66">
        <f>'Project Database'!W457</f>
        <v/>
      </c>
      <c r="T453" s="66">
        <f>'Project Database'!X457</f>
        <v/>
      </c>
      <c r="U453" s="67">
        <f>'Project Database'!Y457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'Project Database'!Z457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IF(AND('Project Database'!A457&lt;&gt;"",OR('Smart Search'!$L$5="",'Smart Search'!$L$5="All",TRIM('Project Database'!D457)=TRIM('Smart Search'!$L$5)),OR(TRIM('Smart Search'!$L$6)="",TRIM('Smart Search'!$L$6)="All",ISNUMBER(SEARCH(SUBSTITUTE(SUBSTITUTE(SUBSTITUTE(TRIM('Smart Search'!$L$6),"~","~~"),"*","~*"),"?","~?"),'Project Database'!C457))),OR('Smart Search'!$L$7="",AND('Project Database'!E457&lt;&gt;"",'Project Database'!E457='Smart Search'!$L$7)),OR('Smart Search'!$L$8="",'Smart Search'!$L$8="All",TRIM('Project Database'!F457)=TRIM('Smart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IF('Project Database'!A457="","",N('Project Database'!AC457))</f>
        <v/>
      </c>
      <c r="BK453" s="5">
        <f>IF('Project Database'!A457="","",N('Project Database'!AD457))</f>
        <v/>
      </c>
      <c r="BL453" s="5">
        <f>IF('Project Database'!A457="","",N('Project Database'!AE457))</f>
        <v/>
      </c>
      <c r="BM453" s="5">
        <f>IF('Project Database'!A457="","",N('Project Database'!AF457))</f>
        <v/>
      </c>
      <c r="BN453" s="5">
        <f>IF('Project Database'!A457="","",N('Project Database'!AG457))</f>
        <v/>
      </c>
      <c r="BO453" s="5">
        <f>IF('Project Database'!A457="","",N('Project Database'!AH457))</f>
        <v/>
      </c>
      <c r="BP453" s="5">
        <f>IF('Project Database'!A457="","",N('Project Database'!AI457))</f>
        <v/>
      </c>
      <c r="BQ453" s="5">
        <f>IF('Project Database'!A457="","",N('Project Database'!AJ457))</f>
        <v/>
      </c>
      <c r="BR453" s="5">
        <f>IF('Project Database'!A457="","",N('Project Database'!AK457))</f>
        <v/>
      </c>
      <c r="BS453" s="5">
        <f>IF('Project Database'!A457="","",N('Project Database'!AL457))</f>
        <v/>
      </c>
      <c r="BT453" s="5">
        <f>IF('Project Database'!A457="","",N('Project Database'!AM457))</f>
        <v/>
      </c>
      <c r="BU453" s="5">
        <f>IF('Project Database'!A457="","",N('Project Database'!AN457))</f>
        <v/>
      </c>
      <c r="BV453" s="5">
        <f>IF('Project Database'!A457="","",N('Project Database'!AO457))</f>
        <v/>
      </c>
      <c r="BW453" s="5">
        <f>IF('Project Database'!A457="","",N('Project Database'!AP457))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</row>
    <row r="454" ht="15" customHeight="1" s="74">
      <c r="A454" s="66">
        <f>'Project Database'!A458</f>
        <v/>
      </c>
      <c r="B454" s="66">
        <f>'Project Database'!B458</f>
        <v/>
      </c>
      <c r="C454" s="66">
        <f>'Project Database'!G458</f>
        <v/>
      </c>
      <c r="D454" s="66">
        <f>'Project Database'!H458</f>
        <v/>
      </c>
      <c r="E454" s="66">
        <f>'Project Database'!I458</f>
        <v/>
      </c>
      <c r="F454" s="66">
        <f>'Project Database'!J458</f>
        <v/>
      </c>
      <c r="G454" s="66">
        <f>'Project Database'!K458</f>
        <v/>
      </c>
      <c r="H454" s="66">
        <f>'Project Database'!L458</f>
        <v/>
      </c>
      <c r="I454" s="66">
        <f>'Project Database'!M458</f>
        <v/>
      </c>
      <c r="J454" s="66">
        <f>'Project Database'!N458</f>
        <v/>
      </c>
      <c r="K454" s="66">
        <f>'Project Database'!O458</f>
        <v/>
      </c>
      <c r="L454" s="66">
        <f>'Project Database'!P458</f>
        <v/>
      </c>
      <c r="M454" s="66">
        <f>'Project Database'!Q458</f>
        <v/>
      </c>
      <c r="N454" s="66">
        <f>'Project Database'!R458</f>
        <v/>
      </c>
      <c r="O454" s="66">
        <f>'Project Database'!S458</f>
        <v/>
      </c>
      <c r="P454" s="66">
        <f>'Project Database'!T458</f>
        <v/>
      </c>
      <c r="Q454" s="66">
        <f>'Project Database'!U458</f>
        <v/>
      </c>
      <c r="R454" s="66">
        <f>'Project Database'!V458</f>
        <v/>
      </c>
      <c r="S454" s="66">
        <f>'Project Database'!W458</f>
        <v/>
      </c>
      <c r="T454" s="66">
        <f>'Project Database'!X458</f>
        <v/>
      </c>
      <c r="U454" s="67">
        <f>'Project Database'!Y458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'Project Database'!Z458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IF(AND('Project Database'!A458&lt;&gt;"",OR('Smart Search'!$L$5="",'Smart Search'!$L$5="All",TRIM('Project Database'!D458)=TRIM('Smart Search'!$L$5)),OR(TRIM('Smart Search'!$L$6)="",TRIM('Smart Search'!$L$6)="All",ISNUMBER(SEARCH(SUBSTITUTE(SUBSTITUTE(SUBSTITUTE(TRIM('Smart Search'!$L$6),"~","~~"),"*","~*"),"?","~?"),'Project Database'!C458))),OR('Smart Search'!$L$7="",AND('Project Database'!E458&lt;&gt;"",'Project Database'!E458='Smart Search'!$L$7)),OR('Smart Search'!$L$8="",'Smart Search'!$L$8="All",TRIM('Project Database'!F458)=TRIM('Smart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IF('Project Database'!A458="","",N('Project Database'!AC458))</f>
        <v/>
      </c>
      <c r="BK454" s="5">
        <f>IF('Project Database'!A458="","",N('Project Database'!AD458))</f>
        <v/>
      </c>
      <c r="BL454" s="5">
        <f>IF('Project Database'!A458="","",N('Project Database'!AE458))</f>
        <v/>
      </c>
      <c r="BM454" s="5">
        <f>IF('Project Database'!A458="","",N('Project Database'!AF458))</f>
        <v/>
      </c>
      <c r="BN454" s="5">
        <f>IF('Project Database'!A458="","",N('Project Database'!AG458))</f>
        <v/>
      </c>
      <c r="BO454" s="5">
        <f>IF('Project Database'!A458="","",N('Project Database'!AH458))</f>
        <v/>
      </c>
      <c r="BP454" s="5">
        <f>IF('Project Database'!A458="","",N('Project Database'!AI458))</f>
        <v/>
      </c>
      <c r="BQ454" s="5">
        <f>IF('Project Database'!A458="","",N('Project Database'!AJ458))</f>
        <v/>
      </c>
      <c r="BR454" s="5">
        <f>IF('Project Database'!A458="","",N('Project Database'!AK458))</f>
        <v/>
      </c>
      <c r="BS454" s="5">
        <f>IF('Project Database'!A458="","",N('Project Database'!AL458))</f>
        <v/>
      </c>
      <c r="BT454" s="5">
        <f>IF('Project Database'!A458="","",N('Project Database'!AM458))</f>
        <v/>
      </c>
      <c r="BU454" s="5">
        <f>IF('Project Database'!A458="","",N('Project Database'!AN458))</f>
        <v/>
      </c>
      <c r="BV454" s="5">
        <f>IF('Project Database'!A458="","",N('Project Database'!AO458))</f>
        <v/>
      </c>
      <c r="BW454" s="5">
        <f>IF('Project Database'!A458="","",N('Project Database'!AP458))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</row>
    <row r="455" ht="15" customHeight="1" s="74">
      <c r="A455" s="66">
        <f>'Project Database'!A459</f>
        <v/>
      </c>
      <c r="B455" s="66">
        <f>'Project Database'!B459</f>
        <v/>
      </c>
      <c r="C455" s="66">
        <f>'Project Database'!G459</f>
        <v/>
      </c>
      <c r="D455" s="66">
        <f>'Project Database'!H459</f>
        <v/>
      </c>
      <c r="E455" s="66">
        <f>'Project Database'!I459</f>
        <v/>
      </c>
      <c r="F455" s="66">
        <f>'Project Database'!J459</f>
        <v/>
      </c>
      <c r="G455" s="66">
        <f>'Project Database'!K459</f>
        <v/>
      </c>
      <c r="H455" s="66">
        <f>'Project Database'!L459</f>
        <v/>
      </c>
      <c r="I455" s="66">
        <f>'Project Database'!M459</f>
        <v/>
      </c>
      <c r="J455" s="66">
        <f>'Project Database'!N459</f>
        <v/>
      </c>
      <c r="K455" s="66">
        <f>'Project Database'!O459</f>
        <v/>
      </c>
      <c r="L455" s="66">
        <f>'Project Database'!P459</f>
        <v/>
      </c>
      <c r="M455" s="66">
        <f>'Project Database'!Q459</f>
        <v/>
      </c>
      <c r="N455" s="66">
        <f>'Project Database'!R459</f>
        <v/>
      </c>
      <c r="O455" s="66">
        <f>'Project Database'!S459</f>
        <v/>
      </c>
      <c r="P455" s="66">
        <f>'Project Database'!T459</f>
        <v/>
      </c>
      <c r="Q455" s="66">
        <f>'Project Database'!U459</f>
        <v/>
      </c>
      <c r="R455" s="66">
        <f>'Project Database'!V459</f>
        <v/>
      </c>
      <c r="S455" s="66">
        <f>'Project Database'!W459</f>
        <v/>
      </c>
      <c r="T455" s="66">
        <f>'Project Database'!X459</f>
        <v/>
      </c>
      <c r="U455" s="67">
        <f>'Project Database'!Y459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'Project Database'!Z459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IF(AND('Project Database'!A459&lt;&gt;"",OR('Smart Search'!$L$5="",'Smart Search'!$L$5="All",TRIM('Project Database'!D459)=TRIM('Smart Search'!$L$5)),OR(TRIM('Smart Search'!$L$6)="",TRIM('Smart Search'!$L$6)="All",ISNUMBER(SEARCH(SUBSTITUTE(SUBSTITUTE(SUBSTITUTE(TRIM('Smart Search'!$L$6),"~","~~"),"*","~*"),"?","~?"),'Project Database'!C459))),OR('Smart Search'!$L$7="",AND('Project Database'!E459&lt;&gt;"",'Project Database'!E459='Smart Search'!$L$7)),OR('Smart Search'!$L$8="",'Smart Search'!$L$8="All",TRIM('Project Database'!F459)=TRIM('Smart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IF('Project Database'!A459="","",N('Project Database'!AC459))</f>
        <v/>
      </c>
      <c r="BK455" s="5">
        <f>IF('Project Database'!A459="","",N('Project Database'!AD459))</f>
        <v/>
      </c>
      <c r="BL455" s="5">
        <f>IF('Project Database'!A459="","",N('Project Database'!AE459))</f>
        <v/>
      </c>
      <c r="BM455" s="5">
        <f>IF('Project Database'!A459="","",N('Project Database'!AF459))</f>
        <v/>
      </c>
      <c r="BN455" s="5">
        <f>IF('Project Database'!A459="","",N('Project Database'!AG459))</f>
        <v/>
      </c>
      <c r="BO455" s="5">
        <f>IF('Project Database'!A459="","",N('Project Database'!AH459))</f>
        <v/>
      </c>
      <c r="BP455" s="5">
        <f>IF('Project Database'!A459="","",N('Project Database'!AI459))</f>
        <v/>
      </c>
      <c r="BQ455" s="5">
        <f>IF('Project Database'!A459="","",N('Project Database'!AJ459))</f>
        <v/>
      </c>
      <c r="BR455" s="5">
        <f>IF('Project Database'!A459="","",N('Project Database'!AK459))</f>
        <v/>
      </c>
      <c r="BS455" s="5">
        <f>IF('Project Database'!A459="","",N('Project Database'!AL459))</f>
        <v/>
      </c>
      <c r="BT455" s="5">
        <f>IF('Project Database'!A459="","",N('Project Database'!AM459))</f>
        <v/>
      </c>
      <c r="BU455" s="5">
        <f>IF('Project Database'!A459="","",N('Project Database'!AN459))</f>
        <v/>
      </c>
      <c r="BV455" s="5">
        <f>IF('Project Database'!A459="","",N('Project Database'!AO459))</f>
        <v/>
      </c>
      <c r="BW455" s="5">
        <f>IF('Project Database'!A459="","",N('Project Database'!AP459))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</row>
    <row r="456" ht="15" customHeight="1" s="74">
      <c r="A456" s="66">
        <f>'Project Database'!A460</f>
        <v/>
      </c>
      <c r="B456" s="66">
        <f>'Project Database'!B460</f>
        <v/>
      </c>
      <c r="C456" s="66">
        <f>'Project Database'!G460</f>
        <v/>
      </c>
      <c r="D456" s="66">
        <f>'Project Database'!H460</f>
        <v/>
      </c>
      <c r="E456" s="66">
        <f>'Project Database'!I460</f>
        <v/>
      </c>
      <c r="F456" s="66">
        <f>'Project Database'!J460</f>
        <v/>
      </c>
      <c r="G456" s="66">
        <f>'Project Database'!K460</f>
        <v/>
      </c>
      <c r="H456" s="66">
        <f>'Project Database'!L460</f>
        <v/>
      </c>
      <c r="I456" s="66">
        <f>'Project Database'!M460</f>
        <v/>
      </c>
      <c r="J456" s="66">
        <f>'Project Database'!N460</f>
        <v/>
      </c>
      <c r="K456" s="66">
        <f>'Project Database'!O460</f>
        <v/>
      </c>
      <c r="L456" s="66">
        <f>'Project Database'!P460</f>
        <v/>
      </c>
      <c r="M456" s="66">
        <f>'Project Database'!Q460</f>
        <v/>
      </c>
      <c r="N456" s="66">
        <f>'Project Database'!R460</f>
        <v/>
      </c>
      <c r="O456" s="66">
        <f>'Project Database'!S460</f>
        <v/>
      </c>
      <c r="P456" s="66">
        <f>'Project Database'!T460</f>
        <v/>
      </c>
      <c r="Q456" s="66">
        <f>'Project Database'!U460</f>
        <v/>
      </c>
      <c r="R456" s="66">
        <f>'Project Database'!V460</f>
        <v/>
      </c>
      <c r="S456" s="66">
        <f>'Project Database'!W460</f>
        <v/>
      </c>
      <c r="T456" s="66">
        <f>'Project Database'!X460</f>
        <v/>
      </c>
      <c r="U456" s="67">
        <f>'Project Database'!Y460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'Project Database'!Z460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IF(AND('Project Database'!A460&lt;&gt;"",OR('Smart Search'!$L$5="",'Smart Search'!$L$5="All",TRIM('Project Database'!D460)=TRIM('Smart Search'!$L$5)),OR(TRIM('Smart Search'!$L$6)="",TRIM('Smart Search'!$L$6)="All",ISNUMBER(SEARCH(SUBSTITUTE(SUBSTITUTE(SUBSTITUTE(TRIM('Smart Search'!$L$6),"~","~~"),"*","~*"),"?","~?"),'Project Database'!C460))),OR('Smart Search'!$L$7="",AND('Project Database'!E460&lt;&gt;"",'Project Database'!E460='Smart Search'!$L$7)),OR('Smart Search'!$L$8="",'Smart Search'!$L$8="All",TRIM('Project Database'!F460)=TRIM('Smart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IF('Project Database'!A460="","",N('Project Database'!AC460))</f>
        <v/>
      </c>
      <c r="BK456" s="5">
        <f>IF('Project Database'!A460="","",N('Project Database'!AD460))</f>
        <v/>
      </c>
      <c r="BL456" s="5">
        <f>IF('Project Database'!A460="","",N('Project Database'!AE460))</f>
        <v/>
      </c>
      <c r="BM456" s="5">
        <f>IF('Project Database'!A460="","",N('Project Database'!AF460))</f>
        <v/>
      </c>
      <c r="BN456" s="5">
        <f>IF('Project Database'!A460="","",N('Project Database'!AG460))</f>
        <v/>
      </c>
      <c r="BO456" s="5">
        <f>IF('Project Database'!A460="","",N('Project Database'!AH460))</f>
        <v/>
      </c>
      <c r="BP456" s="5">
        <f>IF('Project Database'!A460="","",N('Project Database'!AI460))</f>
        <v/>
      </c>
      <c r="BQ456" s="5">
        <f>IF('Project Database'!A460="","",N('Project Database'!AJ460))</f>
        <v/>
      </c>
      <c r="BR456" s="5">
        <f>IF('Project Database'!A460="","",N('Project Database'!AK460))</f>
        <v/>
      </c>
      <c r="BS456" s="5">
        <f>IF('Project Database'!A460="","",N('Project Database'!AL460))</f>
        <v/>
      </c>
      <c r="BT456" s="5">
        <f>IF('Project Database'!A460="","",N('Project Database'!AM460))</f>
        <v/>
      </c>
      <c r="BU456" s="5">
        <f>IF('Project Database'!A460="","",N('Project Database'!AN460))</f>
        <v/>
      </c>
      <c r="BV456" s="5">
        <f>IF('Project Database'!A460="","",N('Project Database'!AO460))</f>
        <v/>
      </c>
      <c r="BW456" s="5">
        <f>IF('Project Database'!A460="","",N('Project Database'!AP460))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</row>
    <row r="457" ht="15" customHeight="1" s="74">
      <c r="A457" s="66">
        <f>'Project Database'!A461</f>
        <v/>
      </c>
      <c r="B457" s="66">
        <f>'Project Database'!B461</f>
        <v/>
      </c>
      <c r="C457" s="66">
        <f>'Project Database'!G461</f>
        <v/>
      </c>
      <c r="D457" s="66">
        <f>'Project Database'!H461</f>
        <v/>
      </c>
      <c r="E457" s="66">
        <f>'Project Database'!I461</f>
        <v/>
      </c>
      <c r="F457" s="66">
        <f>'Project Database'!J461</f>
        <v/>
      </c>
      <c r="G457" s="66">
        <f>'Project Database'!K461</f>
        <v/>
      </c>
      <c r="H457" s="66">
        <f>'Project Database'!L461</f>
        <v/>
      </c>
      <c r="I457" s="66">
        <f>'Project Database'!M461</f>
        <v/>
      </c>
      <c r="J457" s="66">
        <f>'Project Database'!N461</f>
        <v/>
      </c>
      <c r="K457" s="66">
        <f>'Project Database'!O461</f>
        <v/>
      </c>
      <c r="L457" s="66">
        <f>'Project Database'!P461</f>
        <v/>
      </c>
      <c r="M457" s="66">
        <f>'Project Database'!Q461</f>
        <v/>
      </c>
      <c r="N457" s="66">
        <f>'Project Database'!R461</f>
        <v/>
      </c>
      <c r="O457" s="66">
        <f>'Project Database'!S461</f>
        <v/>
      </c>
      <c r="P457" s="66">
        <f>'Project Database'!T461</f>
        <v/>
      </c>
      <c r="Q457" s="66">
        <f>'Project Database'!U461</f>
        <v/>
      </c>
      <c r="R457" s="66">
        <f>'Project Database'!V461</f>
        <v/>
      </c>
      <c r="S457" s="66">
        <f>'Project Database'!W461</f>
        <v/>
      </c>
      <c r="T457" s="66">
        <f>'Project Database'!X461</f>
        <v/>
      </c>
      <c r="U457" s="67">
        <f>'Project Database'!Y461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'Project Database'!Z461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IF(AND('Project Database'!A461&lt;&gt;"",OR('Smart Search'!$L$5="",'Smart Search'!$L$5="All",TRIM('Project Database'!D461)=TRIM('Smart Search'!$L$5)),OR(TRIM('Smart Search'!$L$6)="",TRIM('Smart Search'!$L$6)="All",ISNUMBER(SEARCH(SUBSTITUTE(SUBSTITUTE(SUBSTITUTE(TRIM('Smart Search'!$L$6),"~","~~"),"*","~*"),"?","~?"),'Project Database'!C461))),OR('Smart Search'!$L$7="",AND('Project Database'!E461&lt;&gt;"",'Project Database'!E461='Smart Search'!$L$7)),OR('Smart Search'!$L$8="",'Smart Search'!$L$8="All",TRIM('Project Database'!F461)=TRIM('Smart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IF('Project Database'!A461="","",N('Project Database'!AC461))</f>
        <v/>
      </c>
      <c r="BK457" s="5">
        <f>IF('Project Database'!A461="","",N('Project Database'!AD461))</f>
        <v/>
      </c>
      <c r="BL457" s="5">
        <f>IF('Project Database'!A461="","",N('Project Database'!AE461))</f>
        <v/>
      </c>
      <c r="BM457" s="5">
        <f>IF('Project Database'!A461="","",N('Project Database'!AF461))</f>
        <v/>
      </c>
      <c r="BN457" s="5">
        <f>IF('Project Database'!A461="","",N('Project Database'!AG461))</f>
        <v/>
      </c>
      <c r="BO457" s="5">
        <f>IF('Project Database'!A461="","",N('Project Database'!AH461))</f>
        <v/>
      </c>
      <c r="BP457" s="5">
        <f>IF('Project Database'!A461="","",N('Project Database'!AI461))</f>
        <v/>
      </c>
      <c r="BQ457" s="5">
        <f>IF('Project Database'!A461="","",N('Project Database'!AJ461))</f>
        <v/>
      </c>
      <c r="BR457" s="5">
        <f>IF('Project Database'!A461="","",N('Project Database'!AK461))</f>
        <v/>
      </c>
      <c r="BS457" s="5">
        <f>IF('Project Database'!A461="","",N('Project Database'!AL461))</f>
        <v/>
      </c>
      <c r="BT457" s="5">
        <f>IF('Project Database'!A461="","",N('Project Database'!AM461))</f>
        <v/>
      </c>
      <c r="BU457" s="5">
        <f>IF('Project Database'!A461="","",N('Project Database'!AN461))</f>
        <v/>
      </c>
      <c r="BV457" s="5">
        <f>IF('Project Database'!A461="","",N('Project Database'!AO461))</f>
        <v/>
      </c>
      <c r="BW457" s="5">
        <f>IF('Project Database'!A461="","",N('Project Database'!AP461))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</row>
    <row r="458" ht="15" customHeight="1" s="74">
      <c r="A458" s="66">
        <f>'Project Database'!A462</f>
        <v/>
      </c>
      <c r="B458" s="66">
        <f>'Project Database'!B462</f>
        <v/>
      </c>
      <c r="C458" s="66">
        <f>'Project Database'!G462</f>
        <v/>
      </c>
      <c r="D458" s="66">
        <f>'Project Database'!H462</f>
        <v/>
      </c>
      <c r="E458" s="66">
        <f>'Project Database'!I462</f>
        <v/>
      </c>
      <c r="F458" s="66">
        <f>'Project Database'!J462</f>
        <v/>
      </c>
      <c r="G458" s="66">
        <f>'Project Database'!K462</f>
        <v/>
      </c>
      <c r="H458" s="66">
        <f>'Project Database'!L462</f>
        <v/>
      </c>
      <c r="I458" s="66">
        <f>'Project Database'!M462</f>
        <v/>
      </c>
      <c r="J458" s="66">
        <f>'Project Database'!N462</f>
        <v/>
      </c>
      <c r="K458" s="66">
        <f>'Project Database'!O462</f>
        <v/>
      </c>
      <c r="L458" s="66">
        <f>'Project Database'!P462</f>
        <v/>
      </c>
      <c r="M458" s="66">
        <f>'Project Database'!Q462</f>
        <v/>
      </c>
      <c r="N458" s="66">
        <f>'Project Database'!R462</f>
        <v/>
      </c>
      <c r="O458" s="66">
        <f>'Project Database'!S462</f>
        <v/>
      </c>
      <c r="P458" s="66">
        <f>'Project Database'!T462</f>
        <v/>
      </c>
      <c r="Q458" s="66">
        <f>'Project Database'!U462</f>
        <v/>
      </c>
      <c r="R458" s="66">
        <f>'Project Database'!V462</f>
        <v/>
      </c>
      <c r="S458" s="66">
        <f>'Project Database'!W462</f>
        <v/>
      </c>
      <c r="T458" s="66">
        <f>'Project Database'!X462</f>
        <v/>
      </c>
      <c r="U458" s="67">
        <f>'Project Database'!Y462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'Project Database'!Z462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IF(AND('Project Database'!A462&lt;&gt;"",OR('Smart Search'!$L$5="",'Smart Search'!$L$5="All",TRIM('Project Database'!D462)=TRIM('Smart Search'!$L$5)),OR(TRIM('Smart Search'!$L$6)="",TRIM('Smart Search'!$L$6)="All",ISNUMBER(SEARCH(SUBSTITUTE(SUBSTITUTE(SUBSTITUTE(TRIM('Smart Search'!$L$6),"~","~~"),"*","~*"),"?","~?"),'Project Database'!C462))),OR('Smart Search'!$L$7="",AND('Project Database'!E462&lt;&gt;"",'Project Database'!E462='Smart Search'!$L$7)),OR('Smart Search'!$L$8="",'Smart Search'!$L$8="All",TRIM('Project Database'!F462)=TRIM('Smart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IF('Project Database'!A462="","",N('Project Database'!AC462))</f>
        <v/>
      </c>
      <c r="BK458" s="5">
        <f>IF('Project Database'!A462="","",N('Project Database'!AD462))</f>
        <v/>
      </c>
      <c r="BL458" s="5">
        <f>IF('Project Database'!A462="","",N('Project Database'!AE462))</f>
        <v/>
      </c>
      <c r="BM458" s="5">
        <f>IF('Project Database'!A462="","",N('Project Database'!AF462))</f>
        <v/>
      </c>
      <c r="BN458" s="5">
        <f>IF('Project Database'!A462="","",N('Project Database'!AG462))</f>
        <v/>
      </c>
      <c r="BO458" s="5">
        <f>IF('Project Database'!A462="","",N('Project Database'!AH462))</f>
        <v/>
      </c>
      <c r="BP458" s="5">
        <f>IF('Project Database'!A462="","",N('Project Database'!AI462))</f>
        <v/>
      </c>
      <c r="BQ458" s="5">
        <f>IF('Project Database'!A462="","",N('Project Database'!AJ462))</f>
        <v/>
      </c>
      <c r="BR458" s="5">
        <f>IF('Project Database'!A462="","",N('Project Database'!AK462))</f>
        <v/>
      </c>
      <c r="BS458" s="5">
        <f>IF('Project Database'!A462="","",N('Project Database'!AL462))</f>
        <v/>
      </c>
      <c r="BT458" s="5">
        <f>IF('Project Database'!A462="","",N('Project Database'!AM462))</f>
        <v/>
      </c>
      <c r="BU458" s="5">
        <f>IF('Project Database'!A462="","",N('Project Database'!AN462))</f>
        <v/>
      </c>
      <c r="BV458" s="5">
        <f>IF('Project Database'!A462="","",N('Project Database'!AO462))</f>
        <v/>
      </c>
      <c r="BW458" s="5">
        <f>IF('Project Database'!A462="","",N('Project Database'!AP462))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</row>
    <row r="459" ht="15" customHeight="1" s="74">
      <c r="A459" s="66">
        <f>'Project Database'!A463</f>
        <v/>
      </c>
      <c r="B459" s="66">
        <f>'Project Database'!B463</f>
        <v/>
      </c>
      <c r="C459" s="66">
        <f>'Project Database'!G463</f>
        <v/>
      </c>
      <c r="D459" s="66">
        <f>'Project Database'!H463</f>
        <v/>
      </c>
      <c r="E459" s="66">
        <f>'Project Database'!I463</f>
        <v/>
      </c>
      <c r="F459" s="66">
        <f>'Project Database'!J463</f>
        <v/>
      </c>
      <c r="G459" s="66">
        <f>'Project Database'!K463</f>
        <v/>
      </c>
      <c r="H459" s="66">
        <f>'Project Database'!L463</f>
        <v/>
      </c>
      <c r="I459" s="66">
        <f>'Project Database'!M463</f>
        <v/>
      </c>
      <c r="J459" s="66">
        <f>'Project Database'!N463</f>
        <v/>
      </c>
      <c r="K459" s="66">
        <f>'Project Database'!O463</f>
        <v/>
      </c>
      <c r="L459" s="66">
        <f>'Project Database'!P463</f>
        <v/>
      </c>
      <c r="M459" s="66">
        <f>'Project Database'!Q463</f>
        <v/>
      </c>
      <c r="N459" s="66">
        <f>'Project Database'!R463</f>
        <v/>
      </c>
      <c r="O459" s="66">
        <f>'Project Database'!S463</f>
        <v/>
      </c>
      <c r="P459" s="66">
        <f>'Project Database'!T463</f>
        <v/>
      </c>
      <c r="Q459" s="66">
        <f>'Project Database'!U463</f>
        <v/>
      </c>
      <c r="R459" s="66">
        <f>'Project Database'!V463</f>
        <v/>
      </c>
      <c r="S459" s="66">
        <f>'Project Database'!W463</f>
        <v/>
      </c>
      <c r="T459" s="66">
        <f>'Project Database'!X463</f>
        <v/>
      </c>
      <c r="U459" s="67">
        <f>'Project Database'!Y463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'Project Database'!Z463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IF(AND('Project Database'!A463&lt;&gt;"",OR('Smart Search'!$L$5="",'Smart Search'!$L$5="All",TRIM('Project Database'!D463)=TRIM('Smart Search'!$L$5)),OR(TRIM('Smart Search'!$L$6)="",TRIM('Smart Search'!$L$6)="All",ISNUMBER(SEARCH(SUBSTITUTE(SUBSTITUTE(SUBSTITUTE(TRIM('Smart Search'!$L$6),"~","~~"),"*","~*"),"?","~?"),'Project Database'!C463))),OR('Smart Search'!$L$7="",AND('Project Database'!E463&lt;&gt;"",'Project Database'!E463='Smart Search'!$L$7)),OR('Smart Search'!$L$8="",'Smart Search'!$L$8="All",TRIM('Project Database'!F463)=TRIM('Smart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IF('Project Database'!A463="","",N('Project Database'!AC463))</f>
        <v/>
      </c>
      <c r="BK459" s="5">
        <f>IF('Project Database'!A463="","",N('Project Database'!AD463))</f>
        <v/>
      </c>
      <c r="BL459" s="5">
        <f>IF('Project Database'!A463="","",N('Project Database'!AE463))</f>
        <v/>
      </c>
      <c r="BM459" s="5">
        <f>IF('Project Database'!A463="","",N('Project Database'!AF463))</f>
        <v/>
      </c>
      <c r="BN459" s="5">
        <f>IF('Project Database'!A463="","",N('Project Database'!AG463))</f>
        <v/>
      </c>
      <c r="BO459" s="5">
        <f>IF('Project Database'!A463="","",N('Project Database'!AH463))</f>
        <v/>
      </c>
      <c r="BP459" s="5">
        <f>IF('Project Database'!A463="","",N('Project Database'!AI463))</f>
        <v/>
      </c>
      <c r="BQ459" s="5">
        <f>IF('Project Database'!A463="","",N('Project Database'!AJ463))</f>
        <v/>
      </c>
      <c r="BR459" s="5">
        <f>IF('Project Database'!A463="","",N('Project Database'!AK463))</f>
        <v/>
      </c>
      <c r="BS459" s="5">
        <f>IF('Project Database'!A463="","",N('Project Database'!AL463))</f>
        <v/>
      </c>
      <c r="BT459" s="5">
        <f>IF('Project Database'!A463="","",N('Project Database'!AM463))</f>
        <v/>
      </c>
      <c r="BU459" s="5">
        <f>IF('Project Database'!A463="","",N('Project Database'!AN463))</f>
        <v/>
      </c>
      <c r="BV459" s="5">
        <f>IF('Project Database'!A463="","",N('Project Database'!AO463))</f>
        <v/>
      </c>
      <c r="BW459" s="5">
        <f>IF('Project Database'!A463="","",N('Project Database'!AP463))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</row>
    <row r="460" ht="15" customHeight="1" s="74">
      <c r="A460" s="66">
        <f>'Project Database'!A464</f>
        <v/>
      </c>
      <c r="B460" s="66">
        <f>'Project Database'!B464</f>
        <v/>
      </c>
      <c r="C460" s="66">
        <f>'Project Database'!G464</f>
        <v/>
      </c>
      <c r="D460" s="66">
        <f>'Project Database'!H464</f>
        <v/>
      </c>
      <c r="E460" s="66">
        <f>'Project Database'!I464</f>
        <v/>
      </c>
      <c r="F460" s="66">
        <f>'Project Database'!J464</f>
        <v/>
      </c>
      <c r="G460" s="66">
        <f>'Project Database'!K464</f>
        <v/>
      </c>
      <c r="H460" s="66">
        <f>'Project Database'!L464</f>
        <v/>
      </c>
      <c r="I460" s="66">
        <f>'Project Database'!M464</f>
        <v/>
      </c>
      <c r="J460" s="66">
        <f>'Project Database'!N464</f>
        <v/>
      </c>
      <c r="K460" s="66">
        <f>'Project Database'!O464</f>
        <v/>
      </c>
      <c r="L460" s="66">
        <f>'Project Database'!P464</f>
        <v/>
      </c>
      <c r="M460" s="66">
        <f>'Project Database'!Q464</f>
        <v/>
      </c>
      <c r="N460" s="66">
        <f>'Project Database'!R464</f>
        <v/>
      </c>
      <c r="O460" s="66">
        <f>'Project Database'!S464</f>
        <v/>
      </c>
      <c r="P460" s="66">
        <f>'Project Database'!T464</f>
        <v/>
      </c>
      <c r="Q460" s="66">
        <f>'Project Database'!U464</f>
        <v/>
      </c>
      <c r="R460" s="66">
        <f>'Project Database'!V464</f>
        <v/>
      </c>
      <c r="S460" s="66">
        <f>'Project Database'!W464</f>
        <v/>
      </c>
      <c r="T460" s="66">
        <f>'Project Database'!X464</f>
        <v/>
      </c>
      <c r="U460" s="67">
        <f>'Project Database'!Y464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'Project Database'!Z464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IF(AND('Project Database'!A464&lt;&gt;"",OR('Smart Search'!$L$5="",'Smart Search'!$L$5="All",TRIM('Project Database'!D464)=TRIM('Smart Search'!$L$5)),OR(TRIM('Smart Search'!$L$6)="",TRIM('Smart Search'!$L$6)="All",ISNUMBER(SEARCH(SUBSTITUTE(SUBSTITUTE(SUBSTITUTE(TRIM('Smart Search'!$L$6),"~","~~"),"*","~*"),"?","~?"),'Project Database'!C464))),OR('Smart Search'!$L$7="",AND('Project Database'!E464&lt;&gt;"",'Project Database'!E464='Smart Search'!$L$7)),OR('Smart Search'!$L$8="",'Smart Search'!$L$8="All",TRIM('Project Database'!F464)=TRIM('Smart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IF('Project Database'!A464="","",N('Project Database'!AC464))</f>
        <v/>
      </c>
      <c r="BK460" s="5">
        <f>IF('Project Database'!A464="","",N('Project Database'!AD464))</f>
        <v/>
      </c>
      <c r="BL460" s="5">
        <f>IF('Project Database'!A464="","",N('Project Database'!AE464))</f>
        <v/>
      </c>
      <c r="BM460" s="5">
        <f>IF('Project Database'!A464="","",N('Project Database'!AF464))</f>
        <v/>
      </c>
      <c r="BN460" s="5">
        <f>IF('Project Database'!A464="","",N('Project Database'!AG464))</f>
        <v/>
      </c>
      <c r="BO460" s="5">
        <f>IF('Project Database'!A464="","",N('Project Database'!AH464))</f>
        <v/>
      </c>
      <c r="BP460" s="5">
        <f>IF('Project Database'!A464="","",N('Project Database'!AI464))</f>
        <v/>
      </c>
      <c r="BQ460" s="5">
        <f>IF('Project Database'!A464="","",N('Project Database'!AJ464))</f>
        <v/>
      </c>
      <c r="BR460" s="5">
        <f>IF('Project Database'!A464="","",N('Project Database'!AK464))</f>
        <v/>
      </c>
      <c r="BS460" s="5">
        <f>IF('Project Database'!A464="","",N('Project Database'!AL464))</f>
        <v/>
      </c>
      <c r="BT460" s="5">
        <f>IF('Project Database'!A464="","",N('Project Database'!AM464))</f>
        <v/>
      </c>
      <c r="BU460" s="5">
        <f>IF('Project Database'!A464="","",N('Project Database'!AN464))</f>
        <v/>
      </c>
      <c r="BV460" s="5">
        <f>IF('Project Database'!A464="","",N('Project Database'!AO464))</f>
        <v/>
      </c>
      <c r="BW460" s="5">
        <f>IF('Project Database'!A464="","",N('Project Database'!AP464))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</row>
    <row r="461" ht="15" customHeight="1" s="74">
      <c r="A461" s="66">
        <f>'Project Database'!A465</f>
        <v/>
      </c>
      <c r="B461" s="66">
        <f>'Project Database'!B465</f>
        <v/>
      </c>
      <c r="C461" s="66">
        <f>'Project Database'!G465</f>
        <v/>
      </c>
      <c r="D461" s="66">
        <f>'Project Database'!H465</f>
        <v/>
      </c>
      <c r="E461" s="66">
        <f>'Project Database'!I465</f>
        <v/>
      </c>
      <c r="F461" s="66">
        <f>'Project Database'!J465</f>
        <v/>
      </c>
      <c r="G461" s="66">
        <f>'Project Database'!K465</f>
        <v/>
      </c>
      <c r="H461" s="66">
        <f>'Project Database'!L465</f>
        <v/>
      </c>
      <c r="I461" s="66">
        <f>'Project Database'!M465</f>
        <v/>
      </c>
      <c r="J461" s="66">
        <f>'Project Database'!N465</f>
        <v/>
      </c>
      <c r="K461" s="66">
        <f>'Project Database'!O465</f>
        <v/>
      </c>
      <c r="L461" s="66">
        <f>'Project Database'!P465</f>
        <v/>
      </c>
      <c r="M461" s="66">
        <f>'Project Database'!Q465</f>
        <v/>
      </c>
      <c r="N461" s="66">
        <f>'Project Database'!R465</f>
        <v/>
      </c>
      <c r="O461" s="66">
        <f>'Project Database'!S465</f>
        <v/>
      </c>
      <c r="P461" s="66">
        <f>'Project Database'!T465</f>
        <v/>
      </c>
      <c r="Q461" s="66">
        <f>'Project Database'!U465</f>
        <v/>
      </c>
      <c r="R461" s="66">
        <f>'Project Database'!V465</f>
        <v/>
      </c>
      <c r="S461" s="66">
        <f>'Project Database'!W465</f>
        <v/>
      </c>
      <c r="T461" s="66">
        <f>'Project Database'!X465</f>
        <v/>
      </c>
      <c r="U461" s="67">
        <f>'Project Database'!Y465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'Project Database'!Z465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IF(AND('Project Database'!A465&lt;&gt;"",OR('Smart Search'!$L$5="",'Smart Search'!$L$5="All",TRIM('Project Database'!D465)=TRIM('Smart Search'!$L$5)),OR(TRIM('Smart Search'!$L$6)="",TRIM('Smart Search'!$L$6)="All",ISNUMBER(SEARCH(SUBSTITUTE(SUBSTITUTE(SUBSTITUTE(TRIM('Smart Search'!$L$6),"~","~~"),"*","~*"),"?","~?"),'Project Database'!C465))),OR('Smart Search'!$L$7="",AND('Project Database'!E465&lt;&gt;"",'Project Database'!E465='Smart Search'!$L$7)),OR('Smart Search'!$L$8="",'Smart Search'!$L$8="All",TRIM('Project Database'!F465)=TRIM('Smart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IF('Project Database'!A465="","",N('Project Database'!AC465))</f>
        <v/>
      </c>
      <c r="BK461" s="5">
        <f>IF('Project Database'!A465="","",N('Project Database'!AD465))</f>
        <v/>
      </c>
      <c r="BL461" s="5">
        <f>IF('Project Database'!A465="","",N('Project Database'!AE465))</f>
        <v/>
      </c>
      <c r="BM461" s="5">
        <f>IF('Project Database'!A465="","",N('Project Database'!AF465))</f>
        <v/>
      </c>
      <c r="BN461" s="5">
        <f>IF('Project Database'!A465="","",N('Project Database'!AG465))</f>
        <v/>
      </c>
      <c r="BO461" s="5">
        <f>IF('Project Database'!A465="","",N('Project Database'!AH465))</f>
        <v/>
      </c>
      <c r="BP461" s="5">
        <f>IF('Project Database'!A465="","",N('Project Database'!AI465))</f>
        <v/>
      </c>
      <c r="BQ461" s="5">
        <f>IF('Project Database'!A465="","",N('Project Database'!AJ465))</f>
        <v/>
      </c>
      <c r="BR461" s="5">
        <f>IF('Project Database'!A465="","",N('Project Database'!AK465))</f>
        <v/>
      </c>
      <c r="BS461" s="5">
        <f>IF('Project Database'!A465="","",N('Project Database'!AL465))</f>
        <v/>
      </c>
      <c r="BT461" s="5">
        <f>IF('Project Database'!A465="","",N('Project Database'!AM465))</f>
        <v/>
      </c>
      <c r="BU461" s="5">
        <f>IF('Project Database'!A465="","",N('Project Database'!AN465))</f>
        <v/>
      </c>
      <c r="BV461" s="5">
        <f>IF('Project Database'!A465="","",N('Project Database'!AO465))</f>
        <v/>
      </c>
      <c r="BW461" s="5">
        <f>IF('Project Database'!A465="","",N('Project Database'!AP465))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</row>
    <row r="462" ht="15" customHeight="1" s="74">
      <c r="A462" s="66">
        <f>'Project Database'!A466</f>
        <v/>
      </c>
      <c r="B462" s="66">
        <f>'Project Database'!B466</f>
        <v/>
      </c>
      <c r="C462" s="66">
        <f>'Project Database'!G466</f>
        <v/>
      </c>
      <c r="D462" s="66">
        <f>'Project Database'!H466</f>
        <v/>
      </c>
      <c r="E462" s="66">
        <f>'Project Database'!I466</f>
        <v/>
      </c>
      <c r="F462" s="66">
        <f>'Project Database'!J466</f>
        <v/>
      </c>
      <c r="G462" s="66">
        <f>'Project Database'!K466</f>
        <v/>
      </c>
      <c r="H462" s="66">
        <f>'Project Database'!L466</f>
        <v/>
      </c>
      <c r="I462" s="66">
        <f>'Project Database'!M466</f>
        <v/>
      </c>
      <c r="J462" s="66">
        <f>'Project Database'!N466</f>
        <v/>
      </c>
      <c r="K462" s="66">
        <f>'Project Database'!O466</f>
        <v/>
      </c>
      <c r="L462" s="66">
        <f>'Project Database'!P466</f>
        <v/>
      </c>
      <c r="M462" s="66">
        <f>'Project Database'!Q466</f>
        <v/>
      </c>
      <c r="N462" s="66">
        <f>'Project Database'!R466</f>
        <v/>
      </c>
      <c r="O462" s="66">
        <f>'Project Database'!S466</f>
        <v/>
      </c>
      <c r="P462" s="66">
        <f>'Project Database'!T466</f>
        <v/>
      </c>
      <c r="Q462" s="66">
        <f>'Project Database'!U466</f>
        <v/>
      </c>
      <c r="R462" s="66">
        <f>'Project Database'!V466</f>
        <v/>
      </c>
      <c r="S462" s="66">
        <f>'Project Database'!W466</f>
        <v/>
      </c>
      <c r="T462" s="66">
        <f>'Project Database'!X466</f>
        <v/>
      </c>
      <c r="U462" s="67">
        <f>'Project Database'!Y466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'Project Database'!Z466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IF(AND('Project Database'!A466&lt;&gt;"",OR('Smart Search'!$L$5="",'Smart Search'!$L$5="All",TRIM('Project Database'!D466)=TRIM('Smart Search'!$L$5)),OR(TRIM('Smart Search'!$L$6)="",TRIM('Smart Search'!$L$6)="All",ISNUMBER(SEARCH(SUBSTITUTE(SUBSTITUTE(SUBSTITUTE(TRIM('Smart Search'!$L$6),"~","~~"),"*","~*"),"?","~?"),'Project Database'!C466))),OR('Smart Search'!$L$7="",AND('Project Database'!E466&lt;&gt;"",'Project Database'!E466='Smart Search'!$L$7)),OR('Smart Search'!$L$8="",'Smart Search'!$L$8="All",TRIM('Project Database'!F466)=TRIM('Smart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IF('Project Database'!A466="","",N('Project Database'!AC466))</f>
        <v/>
      </c>
      <c r="BK462" s="5">
        <f>IF('Project Database'!A466="","",N('Project Database'!AD466))</f>
        <v/>
      </c>
      <c r="BL462" s="5">
        <f>IF('Project Database'!A466="","",N('Project Database'!AE466))</f>
        <v/>
      </c>
      <c r="BM462" s="5">
        <f>IF('Project Database'!A466="","",N('Project Database'!AF466))</f>
        <v/>
      </c>
      <c r="BN462" s="5">
        <f>IF('Project Database'!A466="","",N('Project Database'!AG466))</f>
        <v/>
      </c>
      <c r="BO462" s="5">
        <f>IF('Project Database'!A466="","",N('Project Database'!AH466))</f>
        <v/>
      </c>
      <c r="BP462" s="5">
        <f>IF('Project Database'!A466="","",N('Project Database'!AI466))</f>
        <v/>
      </c>
      <c r="BQ462" s="5">
        <f>IF('Project Database'!A466="","",N('Project Database'!AJ466))</f>
        <v/>
      </c>
      <c r="BR462" s="5">
        <f>IF('Project Database'!A466="","",N('Project Database'!AK466))</f>
        <v/>
      </c>
      <c r="BS462" s="5">
        <f>IF('Project Database'!A466="","",N('Project Database'!AL466))</f>
        <v/>
      </c>
      <c r="BT462" s="5">
        <f>IF('Project Database'!A466="","",N('Project Database'!AM466))</f>
        <v/>
      </c>
      <c r="BU462" s="5">
        <f>IF('Project Database'!A466="","",N('Project Database'!AN466))</f>
        <v/>
      </c>
      <c r="BV462" s="5">
        <f>IF('Project Database'!A466="","",N('Project Database'!AO466))</f>
        <v/>
      </c>
      <c r="BW462" s="5">
        <f>IF('Project Database'!A466="","",N('Project Database'!AP466))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</row>
    <row r="463" ht="15" customHeight="1" s="74">
      <c r="A463" s="66">
        <f>'Project Database'!A467</f>
        <v/>
      </c>
      <c r="B463" s="66">
        <f>'Project Database'!B467</f>
        <v/>
      </c>
      <c r="C463" s="66">
        <f>'Project Database'!G467</f>
        <v/>
      </c>
      <c r="D463" s="66">
        <f>'Project Database'!H467</f>
        <v/>
      </c>
      <c r="E463" s="66">
        <f>'Project Database'!I467</f>
        <v/>
      </c>
      <c r="F463" s="66">
        <f>'Project Database'!J467</f>
        <v/>
      </c>
      <c r="G463" s="66">
        <f>'Project Database'!K467</f>
        <v/>
      </c>
      <c r="H463" s="66">
        <f>'Project Database'!L467</f>
        <v/>
      </c>
      <c r="I463" s="66">
        <f>'Project Database'!M467</f>
        <v/>
      </c>
      <c r="J463" s="66">
        <f>'Project Database'!N467</f>
        <v/>
      </c>
      <c r="K463" s="66">
        <f>'Project Database'!O467</f>
        <v/>
      </c>
      <c r="L463" s="66">
        <f>'Project Database'!P467</f>
        <v/>
      </c>
      <c r="M463" s="66">
        <f>'Project Database'!Q467</f>
        <v/>
      </c>
      <c r="N463" s="66">
        <f>'Project Database'!R467</f>
        <v/>
      </c>
      <c r="O463" s="66">
        <f>'Project Database'!S467</f>
        <v/>
      </c>
      <c r="P463" s="66">
        <f>'Project Database'!T467</f>
        <v/>
      </c>
      <c r="Q463" s="66">
        <f>'Project Database'!U467</f>
        <v/>
      </c>
      <c r="R463" s="66">
        <f>'Project Database'!V467</f>
        <v/>
      </c>
      <c r="S463" s="66">
        <f>'Project Database'!W467</f>
        <v/>
      </c>
      <c r="T463" s="66">
        <f>'Project Database'!X467</f>
        <v/>
      </c>
      <c r="U463" s="67">
        <f>'Project Database'!Y467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'Project Database'!Z467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IF(AND('Project Database'!A467&lt;&gt;"",OR('Smart Search'!$L$5="",'Smart Search'!$L$5="All",TRIM('Project Database'!D467)=TRIM('Smart Search'!$L$5)),OR(TRIM('Smart Search'!$L$6)="",TRIM('Smart Search'!$L$6)="All",ISNUMBER(SEARCH(SUBSTITUTE(SUBSTITUTE(SUBSTITUTE(TRIM('Smart Search'!$L$6),"~","~~"),"*","~*"),"?","~?"),'Project Database'!C467))),OR('Smart Search'!$L$7="",AND('Project Database'!E467&lt;&gt;"",'Project Database'!E467='Smart Search'!$L$7)),OR('Smart Search'!$L$8="",'Smart Search'!$L$8="All",TRIM('Project Database'!F467)=TRIM('Smart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IF('Project Database'!A467="","",N('Project Database'!AC467))</f>
        <v/>
      </c>
      <c r="BK463" s="5">
        <f>IF('Project Database'!A467="","",N('Project Database'!AD467))</f>
        <v/>
      </c>
      <c r="BL463" s="5">
        <f>IF('Project Database'!A467="","",N('Project Database'!AE467))</f>
        <v/>
      </c>
      <c r="BM463" s="5">
        <f>IF('Project Database'!A467="","",N('Project Database'!AF467))</f>
        <v/>
      </c>
      <c r="BN463" s="5">
        <f>IF('Project Database'!A467="","",N('Project Database'!AG467))</f>
        <v/>
      </c>
      <c r="BO463" s="5">
        <f>IF('Project Database'!A467="","",N('Project Database'!AH467))</f>
        <v/>
      </c>
      <c r="BP463" s="5">
        <f>IF('Project Database'!A467="","",N('Project Database'!AI467))</f>
        <v/>
      </c>
      <c r="BQ463" s="5">
        <f>IF('Project Database'!A467="","",N('Project Database'!AJ467))</f>
        <v/>
      </c>
      <c r="BR463" s="5">
        <f>IF('Project Database'!A467="","",N('Project Database'!AK467))</f>
        <v/>
      </c>
      <c r="BS463" s="5">
        <f>IF('Project Database'!A467="","",N('Project Database'!AL467))</f>
        <v/>
      </c>
      <c r="BT463" s="5">
        <f>IF('Project Database'!A467="","",N('Project Database'!AM467))</f>
        <v/>
      </c>
      <c r="BU463" s="5">
        <f>IF('Project Database'!A467="","",N('Project Database'!AN467))</f>
        <v/>
      </c>
      <c r="BV463" s="5">
        <f>IF('Project Database'!A467="","",N('Project Database'!AO467))</f>
        <v/>
      </c>
      <c r="BW463" s="5">
        <f>IF('Project Database'!A467="","",N('Project Database'!AP467))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</row>
    <row r="464" ht="15" customHeight="1" s="74">
      <c r="A464" s="66">
        <f>'Project Database'!A468</f>
        <v/>
      </c>
      <c r="B464" s="66">
        <f>'Project Database'!B468</f>
        <v/>
      </c>
      <c r="C464" s="66">
        <f>'Project Database'!G468</f>
        <v/>
      </c>
      <c r="D464" s="66">
        <f>'Project Database'!H468</f>
        <v/>
      </c>
      <c r="E464" s="66">
        <f>'Project Database'!I468</f>
        <v/>
      </c>
      <c r="F464" s="66">
        <f>'Project Database'!J468</f>
        <v/>
      </c>
      <c r="G464" s="66">
        <f>'Project Database'!K468</f>
        <v/>
      </c>
      <c r="H464" s="66">
        <f>'Project Database'!L468</f>
        <v/>
      </c>
      <c r="I464" s="66">
        <f>'Project Database'!M468</f>
        <v/>
      </c>
      <c r="J464" s="66">
        <f>'Project Database'!N468</f>
        <v/>
      </c>
      <c r="K464" s="66">
        <f>'Project Database'!O468</f>
        <v/>
      </c>
      <c r="L464" s="66">
        <f>'Project Database'!P468</f>
        <v/>
      </c>
      <c r="M464" s="66">
        <f>'Project Database'!Q468</f>
        <v/>
      </c>
      <c r="N464" s="66">
        <f>'Project Database'!R468</f>
        <v/>
      </c>
      <c r="O464" s="66">
        <f>'Project Database'!S468</f>
        <v/>
      </c>
      <c r="P464" s="66">
        <f>'Project Database'!T468</f>
        <v/>
      </c>
      <c r="Q464" s="66">
        <f>'Project Database'!U468</f>
        <v/>
      </c>
      <c r="R464" s="66">
        <f>'Project Database'!V468</f>
        <v/>
      </c>
      <c r="S464" s="66">
        <f>'Project Database'!W468</f>
        <v/>
      </c>
      <c r="T464" s="66">
        <f>'Project Database'!X468</f>
        <v/>
      </c>
      <c r="U464" s="67">
        <f>'Project Database'!Y468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'Project Database'!Z468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IF(AND('Project Database'!A468&lt;&gt;"",OR('Smart Search'!$L$5="",'Smart Search'!$L$5="All",TRIM('Project Database'!D468)=TRIM('Smart Search'!$L$5)),OR(TRIM('Smart Search'!$L$6)="",TRIM('Smart Search'!$L$6)="All",ISNUMBER(SEARCH(SUBSTITUTE(SUBSTITUTE(SUBSTITUTE(TRIM('Smart Search'!$L$6),"~","~~"),"*","~*"),"?","~?"),'Project Database'!C468))),OR('Smart Search'!$L$7="",AND('Project Database'!E468&lt;&gt;"",'Project Database'!E468='Smart Search'!$L$7)),OR('Smart Search'!$L$8="",'Smart Search'!$L$8="All",TRIM('Project Database'!F468)=TRIM('Smart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IF('Project Database'!A468="","",N('Project Database'!AC468))</f>
        <v/>
      </c>
      <c r="BK464" s="5">
        <f>IF('Project Database'!A468="","",N('Project Database'!AD468))</f>
        <v/>
      </c>
      <c r="BL464" s="5">
        <f>IF('Project Database'!A468="","",N('Project Database'!AE468))</f>
        <v/>
      </c>
      <c r="BM464" s="5">
        <f>IF('Project Database'!A468="","",N('Project Database'!AF468))</f>
        <v/>
      </c>
      <c r="BN464" s="5">
        <f>IF('Project Database'!A468="","",N('Project Database'!AG468))</f>
        <v/>
      </c>
      <c r="BO464" s="5">
        <f>IF('Project Database'!A468="","",N('Project Database'!AH468))</f>
        <v/>
      </c>
      <c r="BP464" s="5">
        <f>IF('Project Database'!A468="","",N('Project Database'!AI468))</f>
        <v/>
      </c>
      <c r="BQ464" s="5">
        <f>IF('Project Database'!A468="","",N('Project Database'!AJ468))</f>
        <v/>
      </c>
      <c r="BR464" s="5">
        <f>IF('Project Database'!A468="","",N('Project Database'!AK468))</f>
        <v/>
      </c>
      <c r="BS464" s="5">
        <f>IF('Project Database'!A468="","",N('Project Database'!AL468))</f>
        <v/>
      </c>
      <c r="BT464" s="5">
        <f>IF('Project Database'!A468="","",N('Project Database'!AM468))</f>
        <v/>
      </c>
      <c r="BU464" s="5">
        <f>IF('Project Database'!A468="","",N('Project Database'!AN468))</f>
        <v/>
      </c>
      <c r="BV464" s="5">
        <f>IF('Project Database'!A468="","",N('Project Database'!AO468))</f>
        <v/>
      </c>
      <c r="BW464" s="5">
        <f>IF('Project Database'!A468="","",N('Project Database'!AP468))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</row>
    <row r="465" ht="15" customHeight="1" s="74">
      <c r="A465" s="66">
        <f>'Project Database'!A469</f>
        <v/>
      </c>
      <c r="B465" s="66">
        <f>'Project Database'!B469</f>
        <v/>
      </c>
      <c r="C465" s="66">
        <f>'Project Database'!G469</f>
        <v/>
      </c>
      <c r="D465" s="66">
        <f>'Project Database'!H469</f>
        <v/>
      </c>
      <c r="E465" s="66">
        <f>'Project Database'!I469</f>
        <v/>
      </c>
      <c r="F465" s="66">
        <f>'Project Database'!J469</f>
        <v/>
      </c>
      <c r="G465" s="66">
        <f>'Project Database'!K469</f>
        <v/>
      </c>
      <c r="H465" s="66">
        <f>'Project Database'!L469</f>
        <v/>
      </c>
      <c r="I465" s="66">
        <f>'Project Database'!M469</f>
        <v/>
      </c>
      <c r="J465" s="66">
        <f>'Project Database'!N469</f>
        <v/>
      </c>
      <c r="K465" s="66">
        <f>'Project Database'!O469</f>
        <v/>
      </c>
      <c r="L465" s="66">
        <f>'Project Database'!P469</f>
        <v/>
      </c>
      <c r="M465" s="66">
        <f>'Project Database'!Q469</f>
        <v/>
      </c>
      <c r="N465" s="66">
        <f>'Project Database'!R469</f>
        <v/>
      </c>
      <c r="O465" s="66">
        <f>'Project Database'!S469</f>
        <v/>
      </c>
      <c r="P465" s="66">
        <f>'Project Database'!T469</f>
        <v/>
      </c>
      <c r="Q465" s="66">
        <f>'Project Database'!U469</f>
        <v/>
      </c>
      <c r="R465" s="66">
        <f>'Project Database'!V469</f>
        <v/>
      </c>
      <c r="S465" s="66">
        <f>'Project Database'!W469</f>
        <v/>
      </c>
      <c r="T465" s="66">
        <f>'Project Database'!X469</f>
        <v/>
      </c>
      <c r="U465" s="67">
        <f>'Project Database'!Y469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'Project Database'!Z469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IF(AND('Project Database'!A469&lt;&gt;"",OR('Smart Search'!$L$5="",'Smart Search'!$L$5="All",TRIM('Project Database'!D469)=TRIM('Smart Search'!$L$5)),OR(TRIM('Smart Search'!$L$6)="",TRIM('Smart Search'!$L$6)="All",ISNUMBER(SEARCH(SUBSTITUTE(SUBSTITUTE(SUBSTITUTE(TRIM('Smart Search'!$L$6),"~","~~"),"*","~*"),"?","~?"),'Project Database'!C469))),OR('Smart Search'!$L$7="",AND('Project Database'!E469&lt;&gt;"",'Project Database'!E469='Smart Search'!$L$7)),OR('Smart Search'!$L$8="",'Smart Search'!$L$8="All",TRIM('Project Database'!F469)=TRIM('Smart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IF('Project Database'!A469="","",N('Project Database'!AC469))</f>
        <v/>
      </c>
      <c r="BK465" s="5">
        <f>IF('Project Database'!A469="","",N('Project Database'!AD469))</f>
        <v/>
      </c>
      <c r="BL465" s="5">
        <f>IF('Project Database'!A469="","",N('Project Database'!AE469))</f>
        <v/>
      </c>
      <c r="BM465" s="5">
        <f>IF('Project Database'!A469="","",N('Project Database'!AF469))</f>
        <v/>
      </c>
      <c r="BN465" s="5">
        <f>IF('Project Database'!A469="","",N('Project Database'!AG469))</f>
        <v/>
      </c>
      <c r="BO465" s="5">
        <f>IF('Project Database'!A469="","",N('Project Database'!AH469))</f>
        <v/>
      </c>
      <c r="BP465" s="5">
        <f>IF('Project Database'!A469="","",N('Project Database'!AI469))</f>
        <v/>
      </c>
      <c r="BQ465" s="5">
        <f>IF('Project Database'!A469="","",N('Project Database'!AJ469))</f>
        <v/>
      </c>
      <c r="BR465" s="5">
        <f>IF('Project Database'!A469="","",N('Project Database'!AK469))</f>
        <v/>
      </c>
      <c r="BS465" s="5">
        <f>IF('Project Database'!A469="","",N('Project Database'!AL469))</f>
        <v/>
      </c>
      <c r="BT465" s="5">
        <f>IF('Project Database'!A469="","",N('Project Database'!AM469))</f>
        <v/>
      </c>
      <c r="BU465" s="5">
        <f>IF('Project Database'!A469="","",N('Project Database'!AN469))</f>
        <v/>
      </c>
      <c r="BV465" s="5">
        <f>IF('Project Database'!A469="","",N('Project Database'!AO469))</f>
        <v/>
      </c>
      <c r="BW465" s="5">
        <f>IF('Project Database'!A469="","",N('Project Database'!AP469))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</row>
    <row r="466" ht="15" customHeight="1" s="74">
      <c r="A466" s="66">
        <f>'Project Database'!A470</f>
        <v/>
      </c>
      <c r="B466" s="66">
        <f>'Project Database'!B470</f>
        <v/>
      </c>
      <c r="C466" s="66">
        <f>'Project Database'!G470</f>
        <v/>
      </c>
      <c r="D466" s="66">
        <f>'Project Database'!H470</f>
        <v/>
      </c>
      <c r="E466" s="66">
        <f>'Project Database'!I470</f>
        <v/>
      </c>
      <c r="F466" s="66">
        <f>'Project Database'!J470</f>
        <v/>
      </c>
      <c r="G466" s="66">
        <f>'Project Database'!K470</f>
        <v/>
      </c>
      <c r="H466" s="66">
        <f>'Project Database'!L470</f>
        <v/>
      </c>
      <c r="I466" s="66">
        <f>'Project Database'!M470</f>
        <v/>
      </c>
      <c r="J466" s="66">
        <f>'Project Database'!N470</f>
        <v/>
      </c>
      <c r="K466" s="66">
        <f>'Project Database'!O470</f>
        <v/>
      </c>
      <c r="L466" s="66">
        <f>'Project Database'!P470</f>
        <v/>
      </c>
      <c r="M466" s="66">
        <f>'Project Database'!Q470</f>
        <v/>
      </c>
      <c r="N466" s="66">
        <f>'Project Database'!R470</f>
        <v/>
      </c>
      <c r="O466" s="66">
        <f>'Project Database'!S470</f>
        <v/>
      </c>
      <c r="P466" s="66">
        <f>'Project Database'!T470</f>
        <v/>
      </c>
      <c r="Q466" s="66">
        <f>'Project Database'!U470</f>
        <v/>
      </c>
      <c r="R466" s="66">
        <f>'Project Database'!V470</f>
        <v/>
      </c>
      <c r="S466" s="66">
        <f>'Project Database'!W470</f>
        <v/>
      </c>
      <c r="T466" s="66">
        <f>'Project Database'!X470</f>
        <v/>
      </c>
      <c r="U466" s="67">
        <f>'Project Database'!Y470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'Project Database'!Z470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IF(AND('Project Database'!A470&lt;&gt;"",OR('Smart Search'!$L$5="",'Smart Search'!$L$5="All",TRIM('Project Database'!D470)=TRIM('Smart Search'!$L$5)),OR(TRIM('Smart Search'!$L$6)="",TRIM('Smart Search'!$L$6)="All",ISNUMBER(SEARCH(SUBSTITUTE(SUBSTITUTE(SUBSTITUTE(TRIM('Smart Search'!$L$6),"~","~~"),"*","~*"),"?","~?"),'Project Database'!C470))),OR('Smart Search'!$L$7="",AND('Project Database'!E470&lt;&gt;"",'Project Database'!E470='Smart Search'!$L$7)),OR('Smart Search'!$L$8="",'Smart Search'!$L$8="All",TRIM('Project Database'!F470)=TRIM('Smart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IF('Project Database'!A470="","",N('Project Database'!AC470))</f>
        <v/>
      </c>
      <c r="BK466" s="5">
        <f>IF('Project Database'!A470="","",N('Project Database'!AD470))</f>
        <v/>
      </c>
      <c r="BL466" s="5">
        <f>IF('Project Database'!A470="","",N('Project Database'!AE470))</f>
        <v/>
      </c>
      <c r="BM466" s="5">
        <f>IF('Project Database'!A470="","",N('Project Database'!AF470))</f>
        <v/>
      </c>
      <c r="BN466" s="5">
        <f>IF('Project Database'!A470="","",N('Project Database'!AG470))</f>
        <v/>
      </c>
      <c r="BO466" s="5">
        <f>IF('Project Database'!A470="","",N('Project Database'!AH470))</f>
        <v/>
      </c>
      <c r="BP466" s="5">
        <f>IF('Project Database'!A470="","",N('Project Database'!AI470))</f>
        <v/>
      </c>
      <c r="BQ466" s="5">
        <f>IF('Project Database'!A470="","",N('Project Database'!AJ470))</f>
        <v/>
      </c>
      <c r="BR466" s="5">
        <f>IF('Project Database'!A470="","",N('Project Database'!AK470))</f>
        <v/>
      </c>
      <c r="BS466" s="5">
        <f>IF('Project Database'!A470="","",N('Project Database'!AL470))</f>
        <v/>
      </c>
      <c r="BT466" s="5">
        <f>IF('Project Database'!A470="","",N('Project Database'!AM470))</f>
        <v/>
      </c>
      <c r="BU466" s="5">
        <f>IF('Project Database'!A470="","",N('Project Database'!AN470))</f>
        <v/>
      </c>
      <c r="BV466" s="5">
        <f>IF('Project Database'!A470="","",N('Project Database'!AO470))</f>
        <v/>
      </c>
      <c r="BW466" s="5">
        <f>IF('Project Database'!A470="","",N('Project Database'!AP470))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</row>
    <row r="467" ht="15" customHeight="1" s="74">
      <c r="A467" s="66">
        <f>'Project Database'!A471</f>
        <v/>
      </c>
      <c r="B467" s="66">
        <f>'Project Database'!B471</f>
        <v/>
      </c>
      <c r="C467" s="66">
        <f>'Project Database'!G471</f>
        <v/>
      </c>
      <c r="D467" s="66">
        <f>'Project Database'!H471</f>
        <v/>
      </c>
      <c r="E467" s="66">
        <f>'Project Database'!I471</f>
        <v/>
      </c>
      <c r="F467" s="66">
        <f>'Project Database'!J471</f>
        <v/>
      </c>
      <c r="G467" s="66">
        <f>'Project Database'!K471</f>
        <v/>
      </c>
      <c r="H467" s="66">
        <f>'Project Database'!L471</f>
        <v/>
      </c>
      <c r="I467" s="66">
        <f>'Project Database'!M471</f>
        <v/>
      </c>
      <c r="J467" s="66">
        <f>'Project Database'!N471</f>
        <v/>
      </c>
      <c r="K467" s="66">
        <f>'Project Database'!O471</f>
        <v/>
      </c>
      <c r="L467" s="66">
        <f>'Project Database'!P471</f>
        <v/>
      </c>
      <c r="M467" s="66">
        <f>'Project Database'!Q471</f>
        <v/>
      </c>
      <c r="N467" s="66">
        <f>'Project Database'!R471</f>
        <v/>
      </c>
      <c r="O467" s="66">
        <f>'Project Database'!S471</f>
        <v/>
      </c>
      <c r="P467" s="66">
        <f>'Project Database'!T471</f>
        <v/>
      </c>
      <c r="Q467" s="66">
        <f>'Project Database'!U471</f>
        <v/>
      </c>
      <c r="R467" s="66">
        <f>'Project Database'!V471</f>
        <v/>
      </c>
      <c r="S467" s="66">
        <f>'Project Database'!W471</f>
        <v/>
      </c>
      <c r="T467" s="66">
        <f>'Project Database'!X471</f>
        <v/>
      </c>
      <c r="U467" s="67">
        <f>'Project Database'!Y471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'Project Database'!Z471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IF(AND('Project Database'!A471&lt;&gt;"",OR('Smart Search'!$L$5="",'Smart Search'!$L$5="All",TRIM('Project Database'!D471)=TRIM('Smart Search'!$L$5)),OR(TRIM('Smart Search'!$L$6)="",TRIM('Smart Search'!$L$6)="All",ISNUMBER(SEARCH(SUBSTITUTE(SUBSTITUTE(SUBSTITUTE(TRIM('Smart Search'!$L$6),"~","~~"),"*","~*"),"?","~?"),'Project Database'!C471))),OR('Smart Search'!$L$7="",AND('Project Database'!E471&lt;&gt;"",'Project Database'!E471='Smart Search'!$L$7)),OR('Smart Search'!$L$8="",'Smart Search'!$L$8="All",TRIM('Project Database'!F471)=TRIM('Smart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IF('Project Database'!A471="","",N('Project Database'!AC471))</f>
        <v/>
      </c>
      <c r="BK467" s="5">
        <f>IF('Project Database'!A471="","",N('Project Database'!AD471))</f>
        <v/>
      </c>
      <c r="BL467" s="5">
        <f>IF('Project Database'!A471="","",N('Project Database'!AE471))</f>
        <v/>
      </c>
      <c r="BM467" s="5">
        <f>IF('Project Database'!A471="","",N('Project Database'!AF471))</f>
        <v/>
      </c>
      <c r="BN467" s="5">
        <f>IF('Project Database'!A471="","",N('Project Database'!AG471))</f>
        <v/>
      </c>
      <c r="BO467" s="5">
        <f>IF('Project Database'!A471="","",N('Project Database'!AH471))</f>
        <v/>
      </c>
      <c r="BP467" s="5">
        <f>IF('Project Database'!A471="","",N('Project Database'!AI471))</f>
        <v/>
      </c>
      <c r="BQ467" s="5">
        <f>IF('Project Database'!A471="","",N('Project Database'!AJ471))</f>
        <v/>
      </c>
      <c r="BR467" s="5">
        <f>IF('Project Database'!A471="","",N('Project Database'!AK471))</f>
        <v/>
      </c>
      <c r="BS467" s="5">
        <f>IF('Project Database'!A471="","",N('Project Database'!AL471))</f>
        <v/>
      </c>
      <c r="BT467" s="5">
        <f>IF('Project Database'!A471="","",N('Project Database'!AM471))</f>
        <v/>
      </c>
      <c r="BU467" s="5">
        <f>IF('Project Database'!A471="","",N('Project Database'!AN471))</f>
        <v/>
      </c>
      <c r="BV467" s="5">
        <f>IF('Project Database'!A471="","",N('Project Database'!AO471))</f>
        <v/>
      </c>
      <c r="BW467" s="5">
        <f>IF('Project Database'!A471="","",N('Project Database'!AP471))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</row>
    <row r="468" ht="15" customHeight="1" s="74">
      <c r="A468" s="66">
        <f>'Project Database'!A472</f>
        <v/>
      </c>
      <c r="B468" s="66">
        <f>'Project Database'!B472</f>
        <v/>
      </c>
      <c r="C468" s="66">
        <f>'Project Database'!G472</f>
        <v/>
      </c>
      <c r="D468" s="66">
        <f>'Project Database'!H472</f>
        <v/>
      </c>
      <c r="E468" s="66">
        <f>'Project Database'!I472</f>
        <v/>
      </c>
      <c r="F468" s="66">
        <f>'Project Database'!J472</f>
        <v/>
      </c>
      <c r="G468" s="66">
        <f>'Project Database'!K472</f>
        <v/>
      </c>
      <c r="H468" s="66">
        <f>'Project Database'!L472</f>
        <v/>
      </c>
      <c r="I468" s="66">
        <f>'Project Database'!M472</f>
        <v/>
      </c>
      <c r="J468" s="66">
        <f>'Project Database'!N472</f>
        <v/>
      </c>
      <c r="K468" s="66">
        <f>'Project Database'!O472</f>
        <v/>
      </c>
      <c r="L468" s="66">
        <f>'Project Database'!P472</f>
        <v/>
      </c>
      <c r="M468" s="66">
        <f>'Project Database'!Q472</f>
        <v/>
      </c>
      <c r="N468" s="66">
        <f>'Project Database'!R472</f>
        <v/>
      </c>
      <c r="O468" s="66">
        <f>'Project Database'!S472</f>
        <v/>
      </c>
      <c r="P468" s="66">
        <f>'Project Database'!T472</f>
        <v/>
      </c>
      <c r="Q468" s="66">
        <f>'Project Database'!U472</f>
        <v/>
      </c>
      <c r="R468" s="66">
        <f>'Project Database'!V472</f>
        <v/>
      </c>
      <c r="S468" s="66">
        <f>'Project Database'!W472</f>
        <v/>
      </c>
      <c r="T468" s="66">
        <f>'Project Database'!X472</f>
        <v/>
      </c>
      <c r="U468" s="67">
        <f>'Project Database'!Y472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'Project Database'!Z472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IF(AND('Project Database'!A472&lt;&gt;"",OR('Smart Search'!$L$5="",'Smart Search'!$L$5="All",TRIM('Project Database'!D472)=TRIM('Smart Search'!$L$5)),OR(TRIM('Smart Search'!$L$6)="",TRIM('Smart Search'!$L$6)="All",ISNUMBER(SEARCH(SUBSTITUTE(SUBSTITUTE(SUBSTITUTE(TRIM('Smart Search'!$L$6),"~","~~"),"*","~*"),"?","~?"),'Project Database'!C472))),OR('Smart Search'!$L$7="",AND('Project Database'!E472&lt;&gt;"",'Project Database'!E472='Smart Search'!$L$7)),OR('Smart Search'!$L$8="",'Smart Search'!$L$8="All",TRIM('Project Database'!F472)=TRIM('Smart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IF('Project Database'!A472="","",N('Project Database'!AC472))</f>
        <v/>
      </c>
      <c r="BK468" s="5">
        <f>IF('Project Database'!A472="","",N('Project Database'!AD472))</f>
        <v/>
      </c>
      <c r="BL468" s="5">
        <f>IF('Project Database'!A472="","",N('Project Database'!AE472))</f>
        <v/>
      </c>
      <c r="BM468" s="5">
        <f>IF('Project Database'!A472="","",N('Project Database'!AF472))</f>
        <v/>
      </c>
      <c r="BN468" s="5">
        <f>IF('Project Database'!A472="","",N('Project Database'!AG472))</f>
        <v/>
      </c>
      <c r="BO468" s="5">
        <f>IF('Project Database'!A472="","",N('Project Database'!AH472))</f>
        <v/>
      </c>
      <c r="BP468" s="5">
        <f>IF('Project Database'!A472="","",N('Project Database'!AI472))</f>
        <v/>
      </c>
      <c r="BQ468" s="5">
        <f>IF('Project Database'!A472="","",N('Project Database'!AJ472))</f>
        <v/>
      </c>
      <c r="BR468" s="5">
        <f>IF('Project Database'!A472="","",N('Project Database'!AK472))</f>
        <v/>
      </c>
      <c r="BS468" s="5">
        <f>IF('Project Database'!A472="","",N('Project Database'!AL472))</f>
        <v/>
      </c>
      <c r="BT468" s="5">
        <f>IF('Project Database'!A472="","",N('Project Database'!AM472))</f>
        <v/>
      </c>
      <c r="BU468" s="5">
        <f>IF('Project Database'!A472="","",N('Project Database'!AN472))</f>
        <v/>
      </c>
      <c r="BV468" s="5">
        <f>IF('Project Database'!A472="","",N('Project Database'!AO472))</f>
        <v/>
      </c>
      <c r="BW468" s="5">
        <f>IF('Project Database'!A472="","",N('Project Database'!AP472))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</row>
    <row r="469" ht="15" customHeight="1" s="74">
      <c r="A469" s="66">
        <f>'Project Database'!A473</f>
        <v/>
      </c>
      <c r="B469" s="66">
        <f>'Project Database'!B473</f>
        <v/>
      </c>
      <c r="C469" s="66">
        <f>'Project Database'!G473</f>
        <v/>
      </c>
      <c r="D469" s="66">
        <f>'Project Database'!H473</f>
        <v/>
      </c>
      <c r="E469" s="66">
        <f>'Project Database'!I473</f>
        <v/>
      </c>
      <c r="F469" s="66">
        <f>'Project Database'!J473</f>
        <v/>
      </c>
      <c r="G469" s="66">
        <f>'Project Database'!K473</f>
        <v/>
      </c>
      <c r="H469" s="66">
        <f>'Project Database'!L473</f>
        <v/>
      </c>
      <c r="I469" s="66">
        <f>'Project Database'!M473</f>
        <v/>
      </c>
      <c r="J469" s="66">
        <f>'Project Database'!N473</f>
        <v/>
      </c>
      <c r="K469" s="66">
        <f>'Project Database'!O473</f>
        <v/>
      </c>
      <c r="L469" s="66">
        <f>'Project Database'!P473</f>
        <v/>
      </c>
      <c r="M469" s="66">
        <f>'Project Database'!Q473</f>
        <v/>
      </c>
      <c r="N469" s="66">
        <f>'Project Database'!R473</f>
        <v/>
      </c>
      <c r="O469" s="66">
        <f>'Project Database'!S473</f>
        <v/>
      </c>
      <c r="P469" s="66">
        <f>'Project Database'!T473</f>
        <v/>
      </c>
      <c r="Q469" s="66">
        <f>'Project Database'!U473</f>
        <v/>
      </c>
      <c r="R469" s="66">
        <f>'Project Database'!V473</f>
        <v/>
      </c>
      <c r="S469" s="66">
        <f>'Project Database'!W473</f>
        <v/>
      </c>
      <c r="T469" s="66">
        <f>'Project Database'!X473</f>
        <v/>
      </c>
      <c r="U469" s="67">
        <f>'Project Database'!Y473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'Project Database'!Z473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IF(AND('Project Database'!A473&lt;&gt;"",OR('Smart Search'!$L$5="",'Smart Search'!$L$5="All",TRIM('Project Database'!D473)=TRIM('Smart Search'!$L$5)),OR(TRIM('Smart Search'!$L$6)="",TRIM('Smart Search'!$L$6)="All",ISNUMBER(SEARCH(SUBSTITUTE(SUBSTITUTE(SUBSTITUTE(TRIM('Smart Search'!$L$6),"~","~~"),"*","~*"),"?","~?"),'Project Database'!C473))),OR('Smart Search'!$L$7="",AND('Project Database'!E473&lt;&gt;"",'Project Database'!E473='Smart Search'!$L$7)),OR('Smart Search'!$L$8="",'Smart Search'!$L$8="All",TRIM('Project Database'!F473)=TRIM('Smart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IF('Project Database'!A473="","",N('Project Database'!AC473))</f>
        <v/>
      </c>
      <c r="BK469" s="5">
        <f>IF('Project Database'!A473="","",N('Project Database'!AD473))</f>
        <v/>
      </c>
      <c r="BL469" s="5">
        <f>IF('Project Database'!A473="","",N('Project Database'!AE473))</f>
        <v/>
      </c>
      <c r="BM469" s="5">
        <f>IF('Project Database'!A473="","",N('Project Database'!AF473))</f>
        <v/>
      </c>
      <c r="BN469" s="5">
        <f>IF('Project Database'!A473="","",N('Project Database'!AG473))</f>
        <v/>
      </c>
      <c r="BO469" s="5">
        <f>IF('Project Database'!A473="","",N('Project Database'!AH473))</f>
        <v/>
      </c>
      <c r="BP469" s="5">
        <f>IF('Project Database'!A473="","",N('Project Database'!AI473))</f>
        <v/>
      </c>
      <c r="BQ469" s="5">
        <f>IF('Project Database'!A473="","",N('Project Database'!AJ473))</f>
        <v/>
      </c>
      <c r="BR469" s="5">
        <f>IF('Project Database'!A473="","",N('Project Database'!AK473))</f>
        <v/>
      </c>
      <c r="BS469" s="5">
        <f>IF('Project Database'!A473="","",N('Project Database'!AL473))</f>
        <v/>
      </c>
      <c r="BT469" s="5">
        <f>IF('Project Database'!A473="","",N('Project Database'!AM473))</f>
        <v/>
      </c>
      <c r="BU469" s="5">
        <f>IF('Project Database'!A473="","",N('Project Database'!AN473))</f>
        <v/>
      </c>
      <c r="BV469" s="5">
        <f>IF('Project Database'!A473="","",N('Project Database'!AO473))</f>
        <v/>
      </c>
      <c r="BW469" s="5">
        <f>IF('Project Database'!A473="","",N('Project Database'!AP473))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</row>
    <row r="470" ht="15" customHeight="1" s="74">
      <c r="A470" s="66">
        <f>'Project Database'!A474</f>
        <v/>
      </c>
      <c r="B470" s="66">
        <f>'Project Database'!B474</f>
        <v/>
      </c>
      <c r="C470" s="66">
        <f>'Project Database'!G474</f>
        <v/>
      </c>
      <c r="D470" s="66">
        <f>'Project Database'!H474</f>
        <v/>
      </c>
      <c r="E470" s="66">
        <f>'Project Database'!I474</f>
        <v/>
      </c>
      <c r="F470" s="66">
        <f>'Project Database'!J474</f>
        <v/>
      </c>
      <c r="G470" s="66">
        <f>'Project Database'!K474</f>
        <v/>
      </c>
      <c r="H470" s="66">
        <f>'Project Database'!L474</f>
        <v/>
      </c>
      <c r="I470" s="66">
        <f>'Project Database'!M474</f>
        <v/>
      </c>
      <c r="J470" s="66">
        <f>'Project Database'!N474</f>
        <v/>
      </c>
      <c r="K470" s="66">
        <f>'Project Database'!O474</f>
        <v/>
      </c>
      <c r="L470" s="66">
        <f>'Project Database'!P474</f>
        <v/>
      </c>
      <c r="M470" s="66">
        <f>'Project Database'!Q474</f>
        <v/>
      </c>
      <c r="N470" s="66">
        <f>'Project Database'!R474</f>
        <v/>
      </c>
      <c r="O470" s="66">
        <f>'Project Database'!S474</f>
        <v/>
      </c>
      <c r="P470" s="66">
        <f>'Project Database'!T474</f>
        <v/>
      </c>
      <c r="Q470" s="66">
        <f>'Project Database'!U474</f>
        <v/>
      </c>
      <c r="R470" s="66">
        <f>'Project Database'!V474</f>
        <v/>
      </c>
      <c r="S470" s="66">
        <f>'Project Database'!W474</f>
        <v/>
      </c>
      <c r="T470" s="66">
        <f>'Project Database'!X474</f>
        <v/>
      </c>
      <c r="U470" s="67">
        <f>'Project Database'!Y474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'Project Database'!Z474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IF(AND('Project Database'!A474&lt;&gt;"",OR('Smart Search'!$L$5="",'Smart Search'!$L$5="All",TRIM('Project Database'!D474)=TRIM('Smart Search'!$L$5)),OR(TRIM('Smart Search'!$L$6)="",TRIM('Smart Search'!$L$6)="All",ISNUMBER(SEARCH(SUBSTITUTE(SUBSTITUTE(SUBSTITUTE(TRIM('Smart Search'!$L$6),"~","~~"),"*","~*"),"?","~?"),'Project Database'!C474))),OR('Smart Search'!$L$7="",AND('Project Database'!E474&lt;&gt;"",'Project Database'!E474='Smart Search'!$L$7)),OR('Smart Search'!$L$8="",'Smart Search'!$L$8="All",TRIM('Project Database'!F474)=TRIM('Smart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IF('Project Database'!A474="","",N('Project Database'!AC474))</f>
        <v/>
      </c>
      <c r="BK470" s="5">
        <f>IF('Project Database'!A474="","",N('Project Database'!AD474))</f>
        <v/>
      </c>
      <c r="BL470" s="5">
        <f>IF('Project Database'!A474="","",N('Project Database'!AE474))</f>
        <v/>
      </c>
      <c r="BM470" s="5">
        <f>IF('Project Database'!A474="","",N('Project Database'!AF474))</f>
        <v/>
      </c>
      <c r="BN470" s="5">
        <f>IF('Project Database'!A474="","",N('Project Database'!AG474))</f>
        <v/>
      </c>
      <c r="BO470" s="5">
        <f>IF('Project Database'!A474="","",N('Project Database'!AH474))</f>
        <v/>
      </c>
      <c r="BP470" s="5">
        <f>IF('Project Database'!A474="","",N('Project Database'!AI474))</f>
        <v/>
      </c>
      <c r="BQ470" s="5">
        <f>IF('Project Database'!A474="","",N('Project Database'!AJ474))</f>
        <v/>
      </c>
      <c r="BR470" s="5">
        <f>IF('Project Database'!A474="","",N('Project Database'!AK474))</f>
        <v/>
      </c>
      <c r="BS470" s="5">
        <f>IF('Project Database'!A474="","",N('Project Database'!AL474))</f>
        <v/>
      </c>
      <c r="BT470" s="5">
        <f>IF('Project Database'!A474="","",N('Project Database'!AM474))</f>
        <v/>
      </c>
      <c r="BU470" s="5">
        <f>IF('Project Database'!A474="","",N('Project Database'!AN474))</f>
        <v/>
      </c>
      <c r="BV470" s="5">
        <f>IF('Project Database'!A474="","",N('Project Database'!AO474))</f>
        <v/>
      </c>
      <c r="BW470" s="5">
        <f>IF('Project Database'!A474="","",N('Project Database'!AP474))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</row>
    <row r="471" ht="15" customHeight="1" s="74">
      <c r="A471" s="66">
        <f>'Project Database'!A475</f>
        <v/>
      </c>
      <c r="B471" s="66">
        <f>'Project Database'!B475</f>
        <v/>
      </c>
      <c r="C471" s="66">
        <f>'Project Database'!G475</f>
        <v/>
      </c>
      <c r="D471" s="66">
        <f>'Project Database'!H475</f>
        <v/>
      </c>
      <c r="E471" s="66">
        <f>'Project Database'!I475</f>
        <v/>
      </c>
      <c r="F471" s="66">
        <f>'Project Database'!J475</f>
        <v/>
      </c>
      <c r="G471" s="66">
        <f>'Project Database'!K475</f>
        <v/>
      </c>
      <c r="H471" s="66">
        <f>'Project Database'!L475</f>
        <v/>
      </c>
      <c r="I471" s="66">
        <f>'Project Database'!M475</f>
        <v/>
      </c>
      <c r="J471" s="66">
        <f>'Project Database'!N475</f>
        <v/>
      </c>
      <c r="K471" s="66">
        <f>'Project Database'!O475</f>
        <v/>
      </c>
      <c r="L471" s="66">
        <f>'Project Database'!P475</f>
        <v/>
      </c>
      <c r="M471" s="66">
        <f>'Project Database'!Q475</f>
        <v/>
      </c>
      <c r="N471" s="66">
        <f>'Project Database'!R475</f>
        <v/>
      </c>
      <c r="O471" s="66">
        <f>'Project Database'!S475</f>
        <v/>
      </c>
      <c r="P471" s="66">
        <f>'Project Database'!T475</f>
        <v/>
      </c>
      <c r="Q471" s="66">
        <f>'Project Database'!U475</f>
        <v/>
      </c>
      <c r="R471" s="66">
        <f>'Project Database'!V475</f>
        <v/>
      </c>
      <c r="S471" s="66">
        <f>'Project Database'!W475</f>
        <v/>
      </c>
      <c r="T471" s="66">
        <f>'Project Database'!X475</f>
        <v/>
      </c>
      <c r="U471" s="67">
        <f>'Project Database'!Y475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'Project Database'!Z475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IF(AND('Project Database'!A475&lt;&gt;"",OR('Smart Search'!$L$5="",'Smart Search'!$L$5="All",TRIM('Project Database'!D475)=TRIM('Smart Search'!$L$5)),OR(TRIM('Smart Search'!$L$6)="",TRIM('Smart Search'!$L$6)="All",ISNUMBER(SEARCH(SUBSTITUTE(SUBSTITUTE(SUBSTITUTE(TRIM('Smart Search'!$L$6),"~","~~"),"*","~*"),"?","~?"),'Project Database'!C475))),OR('Smart Search'!$L$7="",AND('Project Database'!E475&lt;&gt;"",'Project Database'!E475='Smart Search'!$L$7)),OR('Smart Search'!$L$8="",'Smart Search'!$L$8="All",TRIM('Project Database'!F475)=TRIM('Smart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IF('Project Database'!A475="","",N('Project Database'!AC475))</f>
        <v/>
      </c>
      <c r="BK471" s="5">
        <f>IF('Project Database'!A475="","",N('Project Database'!AD475))</f>
        <v/>
      </c>
      <c r="BL471" s="5">
        <f>IF('Project Database'!A475="","",N('Project Database'!AE475))</f>
        <v/>
      </c>
      <c r="BM471" s="5">
        <f>IF('Project Database'!A475="","",N('Project Database'!AF475))</f>
        <v/>
      </c>
      <c r="BN471" s="5">
        <f>IF('Project Database'!A475="","",N('Project Database'!AG475))</f>
        <v/>
      </c>
      <c r="BO471" s="5">
        <f>IF('Project Database'!A475="","",N('Project Database'!AH475))</f>
        <v/>
      </c>
      <c r="BP471" s="5">
        <f>IF('Project Database'!A475="","",N('Project Database'!AI475))</f>
        <v/>
      </c>
      <c r="BQ471" s="5">
        <f>IF('Project Database'!A475="","",N('Project Database'!AJ475))</f>
        <v/>
      </c>
      <c r="BR471" s="5">
        <f>IF('Project Database'!A475="","",N('Project Database'!AK475))</f>
        <v/>
      </c>
      <c r="BS471" s="5">
        <f>IF('Project Database'!A475="","",N('Project Database'!AL475))</f>
        <v/>
      </c>
      <c r="BT471" s="5">
        <f>IF('Project Database'!A475="","",N('Project Database'!AM475))</f>
        <v/>
      </c>
      <c r="BU471" s="5">
        <f>IF('Project Database'!A475="","",N('Project Database'!AN475))</f>
        <v/>
      </c>
      <c r="BV471" s="5">
        <f>IF('Project Database'!A475="","",N('Project Database'!AO475))</f>
        <v/>
      </c>
      <c r="BW471" s="5">
        <f>IF('Project Database'!A475="","",N('Project Database'!AP475))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</row>
    <row r="472" ht="15" customHeight="1" s="74">
      <c r="A472" s="66">
        <f>'Project Database'!A476</f>
        <v/>
      </c>
      <c r="B472" s="66">
        <f>'Project Database'!B476</f>
        <v/>
      </c>
      <c r="C472" s="66">
        <f>'Project Database'!G476</f>
        <v/>
      </c>
      <c r="D472" s="66">
        <f>'Project Database'!H476</f>
        <v/>
      </c>
      <c r="E472" s="66">
        <f>'Project Database'!I476</f>
        <v/>
      </c>
      <c r="F472" s="66">
        <f>'Project Database'!J476</f>
        <v/>
      </c>
      <c r="G472" s="66">
        <f>'Project Database'!K476</f>
        <v/>
      </c>
      <c r="H472" s="66">
        <f>'Project Database'!L476</f>
        <v/>
      </c>
      <c r="I472" s="66">
        <f>'Project Database'!M476</f>
        <v/>
      </c>
      <c r="J472" s="66">
        <f>'Project Database'!N476</f>
        <v/>
      </c>
      <c r="K472" s="66">
        <f>'Project Database'!O476</f>
        <v/>
      </c>
      <c r="L472" s="66">
        <f>'Project Database'!P476</f>
        <v/>
      </c>
      <c r="M472" s="66">
        <f>'Project Database'!Q476</f>
        <v/>
      </c>
      <c r="N472" s="66">
        <f>'Project Database'!R476</f>
        <v/>
      </c>
      <c r="O472" s="66">
        <f>'Project Database'!S476</f>
        <v/>
      </c>
      <c r="P472" s="66">
        <f>'Project Database'!T476</f>
        <v/>
      </c>
      <c r="Q472" s="66">
        <f>'Project Database'!U476</f>
        <v/>
      </c>
      <c r="R472" s="66">
        <f>'Project Database'!V476</f>
        <v/>
      </c>
      <c r="S472" s="66">
        <f>'Project Database'!W476</f>
        <v/>
      </c>
      <c r="T472" s="66">
        <f>'Project Database'!X476</f>
        <v/>
      </c>
      <c r="U472" s="67">
        <f>'Project Database'!Y476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'Project Database'!Z476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IF(AND('Project Database'!A476&lt;&gt;"",OR('Smart Search'!$L$5="",'Smart Search'!$L$5="All",TRIM('Project Database'!D476)=TRIM('Smart Search'!$L$5)),OR(TRIM('Smart Search'!$L$6)="",TRIM('Smart Search'!$L$6)="All",ISNUMBER(SEARCH(SUBSTITUTE(SUBSTITUTE(SUBSTITUTE(TRIM('Smart Search'!$L$6),"~","~~"),"*","~*"),"?","~?"),'Project Database'!C476))),OR('Smart Search'!$L$7="",AND('Project Database'!E476&lt;&gt;"",'Project Database'!E476='Smart Search'!$L$7)),OR('Smart Search'!$L$8="",'Smart Search'!$L$8="All",TRIM('Project Database'!F476)=TRIM('Smart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IF('Project Database'!A476="","",N('Project Database'!AC476))</f>
        <v/>
      </c>
      <c r="BK472" s="5">
        <f>IF('Project Database'!A476="","",N('Project Database'!AD476))</f>
        <v/>
      </c>
      <c r="BL472" s="5">
        <f>IF('Project Database'!A476="","",N('Project Database'!AE476))</f>
        <v/>
      </c>
      <c r="BM472" s="5">
        <f>IF('Project Database'!A476="","",N('Project Database'!AF476))</f>
        <v/>
      </c>
      <c r="BN472" s="5">
        <f>IF('Project Database'!A476="","",N('Project Database'!AG476))</f>
        <v/>
      </c>
      <c r="BO472" s="5">
        <f>IF('Project Database'!A476="","",N('Project Database'!AH476))</f>
        <v/>
      </c>
      <c r="BP472" s="5">
        <f>IF('Project Database'!A476="","",N('Project Database'!AI476))</f>
        <v/>
      </c>
      <c r="BQ472" s="5">
        <f>IF('Project Database'!A476="","",N('Project Database'!AJ476))</f>
        <v/>
      </c>
      <c r="BR472" s="5">
        <f>IF('Project Database'!A476="","",N('Project Database'!AK476))</f>
        <v/>
      </c>
      <c r="BS472" s="5">
        <f>IF('Project Database'!A476="","",N('Project Database'!AL476))</f>
        <v/>
      </c>
      <c r="BT472" s="5">
        <f>IF('Project Database'!A476="","",N('Project Database'!AM476))</f>
        <v/>
      </c>
      <c r="BU472" s="5">
        <f>IF('Project Database'!A476="","",N('Project Database'!AN476))</f>
        <v/>
      </c>
      <c r="BV472" s="5">
        <f>IF('Project Database'!A476="","",N('Project Database'!AO476))</f>
        <v/>
      </c>
      <c r="BW472" s="5">
        <f>IF('Project Database'!A476="","",N('Project Database'!AP476))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</row>
    <row r="473" ht="15" customHeight="1" s="74">
      <c r="A473" s="66">
        <f>'Project Database'!A477</f>
        <v/>
      </c>
      <c r="B473" s="66">
        <f>'Project Database'!B477</f>
        <v/>
      </c>
      <c r="C473" s="66">
        <f>'Project Database'!G477</f>
        <v/>
      </c>
      <c r="D473" s="66">
        <f>'Project Database'!H477</f>
        <v/>
      </c>
      <c r="E473" s="66">
        <f>'Project Database'!I477</f>
        <v/>
      </c>
      <c r="F473" s="66">
        <f>'Project Database'!J477</f>
        <v/>
      </c>
      <c r="G473" s="66">
        <f>'Project Database'!K477</f>
        <v/>
      </c>
      <c r="H473" s="66">
        <f>'Project Database'!L477</f>
        <v/>
      </c>
      <c r="I473" s="66">
        <f>'Project Database'!M477</f>
        <v/>
      </c>
      <c r="J473" s="66">
        <f>'Project Database'!N477</f>
        <v/>
      </c>
      <c r="K473" s="66">
        <f>'Project Database'!O477</f>
        <v/>
      </c>
      <c r="L473" s="66">
        <f>'Project Database'!P477</f>
        <v/>
      </c>
      <c r="M473" s="66">
        <f>'Project Database'!Q477</f>
        <v/>
      </c>
      <c r="N473" s="66">
        <f>'Project Database'!R477</f>
        <v/>
      </c>
      <c r="O473" s="66">
        <f>'Project Database'!S477</f>
        <v/>
      </c>
      <c r="P473" s="66">
        <f>'Project Database'!T477</f>
        <v/>
      </c>
      <c r="Q473" s="66">
        <f>'Project Database'!U477</f>
        <v/>
      </c>
      <c r="R473" s="66">
        <f>'Project Database'!V477</f>
        <v/>
      </c>
      <c r="S473" s="66">
        <f>'Project Database'!W477</f>
        <v/>
      </c>
      <c r="T473" s="66">
        <f>'Project Database'!X477</f>
        <v/>
      </c>
      <c r="U473" s="67">
        <f>'Project Database'!Y477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'Project Database'!Z477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IF(AND('Project Database'!A477&lt;&gt;"",OR('Smart Search'!$L$5="",'Smart Search'!$L$5="All",TRIM('Project Database'!D477)=TRIM('Smart Search'!$L$5)),OR(TRIM('Smart Search'!$L$6)="",TRIM('Smart Search'!$L$6)="All",ISNUMBER(SEARCH(SUBSTITUTE(SUBSTITUTE(SUBSTITUTE(TRIM('Smart Search'!$L$6),"~","~~"),"*","~*"),"?","~?"),'Project Database'!C477))),OR('Smart Search'!$L$7="",AND('Project Database'!E477&lt;&gt;"",'Project Database'!E477='Smart Search'!$L$7)),OR('Smart Search'!$L$8="",'Smart Search'!$L$8="All",TRIM('Project Database'!F477)=TRIM('Smart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IF('Project Database'!A477="","",N('Project Database'!AC477))</f>
        <v/>
      </c>
      <c r="BK473" s="5">
        <f>IF('Project Database'!A477="","",N('Project Database'!AD477))</f>
        <v/>
      </c>
      <c r="BL473" s="5">
        <f>IF('Project Database'!A477="","",N('Project Database'!AE477))</f>
        <v/>
      </c>
      <c r="BM473" s="5">
        <f>IF('Project Database'!A477="","",N('Project Database'!AF477))</f>
        <v/>
      </c>
      <c r="BN473" s="5">
        <f>IF('Project Database'!A477="","",N('Project Database'!AG477))</f>
        <v/>
      </c>
      <c r="BO473" s="5">
        <f>IF('Project Database'!A477="","",N('Project Database'!AH477))</f>
        <v/>
      </c>
      <c r="BP473" s="5">
        <f>IF('Project Database'!A477="","",N('Project Database'!AI477))</f>
        <v/>
      </c>
      <c r="BQ473" s="5">
        <f>IF('Project Database'!A477="","",N('Project Database'!AJ477))</f>
        <v/>
      </c>
      <c r="BR473" s="5">
        <f>IF('Project Database'!A477="","",N('Project Database'!AK477))</f>
        <v/>
      </c>
      <c r="BS473" s="5">
        <f>IF('Project Database'!A477="","",N('Project Database'!AL477))</f>
        <v/>
      </c>
      <c r="BT473" s="5">
        <f>IF('Project Database'!A477="","",N('Project Database'!AM477))</f>
        <v/>
      </c>
      <c r="BU473" s="5">
        <f>IF('Project Database'!A477="","",N('Project Database'!AN477))</f>
        <v/>
      </c>
      <c r="BV473" s="5">
        <f>IF('Project Database'!A477="","",N('Project Database'!AO477))</f>
        <v/>
      </c>
      <c r="BW473" s="5">
        <f>IF('Project Database'!A477="","",N('Project Database'!AP477))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</row>
    <row r="474" ht="15" customHeight="1" s="74">
      <c r="A474" s="66">
        <f>'Project Database'!A478</f>
        <v/>
      </c>
      <c r="B474" s="66">
        <f>'Project Database'!B478</f>
        <v/>
      </c>
      <c r="C474" s="66">
        <f>'Project Database'!G478</f>
        <v/>
      </c>
      <c r="D474" s="66">
        <f>'Project Database'!H478</f>
        <v/>
      </c>
      <c r="E474" s="66">
        <f>'Project Database'!I478</f>
        <v/>
      </c>
      <c r="F474" s="66">
        <f>'Project Database'!J478</f>
        <v/>
      </c>
      <c r="G474" s="66">
        <f>'Project Database'!K478</f>
        <v/>
      </c>
      <c r="H474" s="66">
        <f>'Project Database'!L478</f>
        <v/>
      </c>
      <c r="I474" s="66">
        <f>'Project Database'!M478</f>
        <v/>
      </c>
      <c r="J474" s="66">
        <f>'Project Database'!N478</f>
        <v/>
      </c>
      <c r="K474" s="66">
        <f>'Project Database'!O478</f>
        <v/>
      </c>
      <c r="L474" s="66">
        <f>'Project Database'!P478</f>
        <v/>
      </c>
      <c r="M474" s="66">
        <f>'Project Database'!Q478</f>
        <v/>
      </c>
      <c r="N474" s="66">
        <f>'Project Database'!R478</f>
        <v/>
      </c>
      <c r="O474" s="66">
        <f>'Project Database'!S478</f>
        <v/>
      </c>
      <c r="P474" s="66">
        <f>'Project Database'!T478</f>
        <v/>
      </c>
      <c r="Q474" s="66">
        <f>'Project Database'!U478</f>
        <v/>
      </c>
      <c r="R474" s="66">
        <f>'Project Database'!V478</f>
        <v/>
      </c>
      <c r="S474" s="66">
        <f>'Project Database'!W478</f>
        <v/>
      </c>
      <c r="T474" s="66">
        <f>'Project Database'!X478</f>
        <v/>
      </c>
      <c r="U474" s="67">
        <f>'Project Database'!Y478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'Project Database'!Z478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IF(AND('Project Database'!A478&lt;&gt;"",OR('Smart Search'!$L$5="",'Smart Search'!$L$5="All",TRIM('Project Database'!D478)=TRIM('Smart Search'!$L$5)),OR(TRIM('Smart Search'!$L$6)="",TRIM('Smart Search'!$L$6)="All",ISNUMBER(SEARCH(SUBSTITUTE(SUBSTITUTE(SUBSTITUTE(TRIM('Smart Search'!$L$6),"~","~~"),"*","~*"),"?","~?"),'Project Database'!C478))),OR('Smart Search'!$L$7="",AND('Project Database'!E478&lt;&gt;"",'Project Database'!E478='Smart Search'!$L$7)),OR('Smart Search'!$L$8="",'Smart Search'!$L$8="All",TRIM('Project Database'!F478)=TRIM('Smart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IF('Project Database'!A478="","",N('Project Database'!AC478))</f>
        <v/>
      </c>
      <c r="BK474" s="5">
        <f>IF('Project Database'!A478="","",N('Project Database'!AD478))</f>
        <v/>
      </c>
      <c r="BL474" s="5">
        <f>IF('Project Database'!A478="","",N('Project Database'!AE478))</f>
        <v/>
      </c>
      <c r="BM474" s="5">
        <f>IF('Project Database'!A478="","",N('Project Database'!AF478))</f>
        <v/>
      </c>
      <c r="BN474" s="5">
        <f>IF('Project Database'!A478="","",N('Project Database'!AG478))</f>
        <v/>
      </c>
      <c r="BO474" s="5">
        <f>IF('Project Database'!A478="","",N('Project Database'!AH478))</f>
        <v/>
      </c>
      <c r="BP474" s="5">
        <f>IF('Project Database'!A478="","",N('Project Database'!AI478))</f>
        <v/>
      </c>
      <c r="BQ474" s="5">
        <f>IF('Project Database'!A478="","",N('Project Database'!AJ478))</f>
        <v/>
      </c>
      <c r="BR474" s="5">
        <f>IF('Project Database'!A478="","",N('Project Database'!AK478))</f>
        <v/>
      </c>
      <c r="BS474" s="5">
        <f>IF('Project Database'!A478="","",N('Project Database'!AL478))</f>
        <v/>
      </c>
      <c r="BT474" s="5">
        <f>IF('Project Database'!A478="","",N('Project Database'!AM478))</f>
        <v/>
      </c>
      <c r="BU474" s="5">
        <f>IF('Project Database'!A478="","",N('Project Database'!AN478))</f>
        <v/>
      </c>
      <c r="BV474" s="5">
        <f>IF('Project Database'!A478="","",N('Project Database'!AO478))</f>
        <v/>
      </c>
      <c r="BW474" s="5">
        <f>IF('Project Database'!A478="","",N('Project Database'!AP478))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</row>
    <row r="475" ht="15" customHeight="1" s="74">
      <c r="A475" s="66">
        <f>'Project Database'!A479</f>
        <v/>
      </c>
      <c r="B475" s="66">
        <f>'Project Database'!B479</f>
        <v/>
      </c>
      <c r="C475" s="66">
        <f>'Project Database'!G479</f>
        <v/>
      </c>
      <c r="D475" s="66">
        <f>'Project Database'!H479</f>
        <v/>
      </c>
      <c r="E475" s="66">
        <f>'Project Database'!I479</f>
        <v/>
      </c>
      <c r="F475" s="66">
        <f>'Project Database'!J479</f>
        <v/>
      </c>
      <c r="G475" s="66">
        <f>'Project Database'!K479</f>
        <v/>
      </c>
      <c r="H475" s="66">
        <f>'Project Database'!L479</f>
        <v/>
      </c>
      <c r="I475" s="66">
        <f>'Project Database'!M479</f>
        <v/>
      </c>
      <c r="J475" s="66">
        <f>'Project Database'!N479</f>
        <v/>
      </c>
      <c r="K475" s="66">
        <f>'Project Database'!O479</f>
        <v/>
      </c>
      <c r="L475" s="66">
        <f>'Project Database'!P479</f>
        <v/>
      </c>
      <c r="M475" s="66">
        <f>'Project Database'!Q479</f>
        <v/>
      </c>
      <c r="N475" s="66">
        <f>'Project Database'!R479</f>
        <v/>
      </c>
      <c r="O475" s="66">
        <f>'Project Database'!S479</f>
        <v/>
      </c>
      <c r="P475" s="66">
        <f>'Project Database'!T479</f>
        <v/>
      </c>
      <c r="Q475" s="66">
        <f>'Project Database'!U479</f>
        <v/>
      </c>
      <c r="R475" s="66">
        <f>'Project Database'!V479</f>
        <v/>
      </c>
      <c r="S475" s="66">
        <f>'Project Database'!W479</f>
        <v/>
      </c>
      <c r="T475" s="66">
        <f>'Project Database'!X479</f>
        <v/>
      </c>
      <c r="U475" s="67">
        <f>'Project Database'!Y479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'Project Database'!Z479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IF(AND('Project Database'!A479&lt;&gt;"",OR('Smart Search'!$L$5="",'Smart Search'!$L$5="All",TRIM('Project Database'!D479)=TRIM('Smart Search'!$L$5)),OR(TRIM('Smart Search'!$L$6)="",TRIM('Smart Search'!$L$6)="All",ISNUMBER(SEARCH(SUBSTITUTE(SUBSTITUTE(SUBSTITUTE(TRIM('Smart Search'!$L$6),"~","~~"),"*","~*"),"?","~?"),'Project Database'!C479))),OR('Smart Search'!$L$7="",AND('Project Database'!E479&lt;&gt;"",'Project Database'!E479='Smart Search'!$L$7)),OR('Smart Search'!$L$8="",'Smart Search'!$L$8="All",TRIM('Project Database'!F479)=TRIM('Smart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IF('Project Database'!A479="","",N('Project Database'!AC479))</f>
        <v/>
      </c>
      <c r="BK475" s="5">
        <f>IF('Project Database'!A479="","",N('Project Database'!AD479))</f>
        <v/>
      </c>
      <c r="BL475" s="5">
        <f>IF('Project Database'!A479="","",N('Project Database'!AE479))</f>
        <v/>
      </c>
      <c r="BM475" s="5">
        <f>IF('Project Database'!A479="","",N('Project Database'!AF479))</f>
        <v/>
      </c>
      <c r="BN475" s="5">
        <f>IF('Project Database'!A479="","",N('Project Database'!AG479))</f>
        <v/>
      </c>
      <c r="BO475" s="5">
        <f>IF('Project Database'!A479="","",N('Project Database'!AH479))</f>
        <v/>
      </c>
      <c r="BP475" s="5">
        <f>IF('Project Database'!A479="","",N('Project Database'!AI479))</f>
        <v/>
      </c>
      <c r="BQ475" s="5">
        <f>IF('Project Database'!A479="","",N('Project Database'!AJ479))</f>
        <v/>
      </c>
      <c r="BR475" s="5">
        <f>IF('Project Database'!A479="","",N('Project Database'!AK479))</f>
        <v/>
      </c>
      <c r="BS475" s="5">
        <f>IF('Project Database'!A479="","",N('Project Database'!AL479))</f>
        <v/>
      </c>
      <c r="BT475" s="5">
        <f>IF('Project Database'!A479="","",N('Project Database'!AM479))</f>
        <v/>
      </c>
      <c r="BU475" s="5">
        <f>IF('Project Database'!A479="","",N('Project Database'!AN479))</f>
        <v/>
      </c>
      <c r="BV475" s="5">
        <f>IF('Project Database'!A479="","",N('Project Database'!AO479))</f>
        <v/>
      </c>
      <c r="BW475" s="5">
        <f>IF('Project Database'!A479="","",N('Project Database'!AP479))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</row>
    <row r="476" ht="15" customHeight="1" s="74">
      <c r="A476" s="66">
        <f>'Project Database'!A480</f>
        <v/>
      </c>
      <c r="B476" s="66">
        <f>'Project Database'!B480</f>
        <v/>
      </c>
      <c r="C476" s="66">
        <f>'Project Database'!G480</f>
        <v/>
      </c>
      <c r="D476" s="66">
        <f>'Project Database'!H480</f>
        <v/>
      </c>
      <c r="E476" s="66">
        <f>'Project Database'!I480</f>
        <v/>
      </c>
      <c r="F476" s="66">
        <f>'Project Database'!J480</f>
        <v/>
      </c>
      <c r="G476" s="66">
        <f>'Project Database'!K480</f>
        <v/>
      </c>
      <c r="H476" s="66">
        <f>'Project Database'!L480</f>
        <v/>
      </c>
      <c r="I476" s="66">
        <f>'Project Database'!M480</f>
        <v/>
      </c>
      <c r="J476" s="66">
        <f>'Project Database'!N480</f>
        <v/>
      </c>
      <c r="K476" s="66">
        <f>'Project Database'!O480</f>
        <v/>
      </c>
      <c r="L476" s="66">
        <f>'Project Database'!P480</f>
        <v/>
      </c>
      <c r="M476" s="66">
        <f>'Project Database'!Q480</f>
        <v/>
      </c>
      <c r="N476" s="66">
        <f>'Project Database'!R480</f>
        <v/>
      </c>
      <c r="O476" s="66">
        <f>'Project Database'!S480</f>
        <v/>
      </c>
      <c r="P476" s="66">
        <f>'Project Database'!T480</f>
        <v/>
      </c>
      <c r="Q476" s="66">
        <f>'Project Database'!U480</f>
        <v/>
      </c>
      <c r="R476" s="66">
        <f>'Project Database'!V480</f>
        <v/>
      </c>
      <c r="S476" s="66">
        <f>'Project Database'!W480</f>
        <v/>
      </c>
      <c r="T476" s="66">
        <f>'Project Database'!X480</f>
        <v/>
      </c>
      <c r="U476" s="67">
        <f>'Project Database'!Y480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'Project Database'!Z480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IF(AND('Project Database'!A480&lt;&gt;"",OR('Smart Search'!$L$5="",'Smart Search'!$L$5="All",TRIM('Project Database'!D480)=TRIM('Smart Search'!$L$5)),OR(TRIM('Smart Search'!$L$6)="",TRIM('Smart Search'!$L$6)="All",ISNUMBER(SEARCH(SUBSTITUTE(SUBSTITUTE(SUBSTITUTE(TRIM('Smart Search'!$L$6),"~","~~"),"*","~*"),"?","~?"),'Project Database'!C480))),OR('Smart Search'!$L$7="",AND('Project Database'!E480&lt;&gt;"",'Project Database'!E480='Smart Search'!$L$7)),OR('Smart Search'!$L$8="",'Smart Search'!$L$8="All",TRIM('Project Database'!F480)=TRIM('Smart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IF('Project Database'!A480="","",N('Project Database'!AC480))</f>
        <v/>
      </c>
      <c r="BK476" s="5">
        <f>IF('Project Database'!A480="","",N('Project Database'!AD480))</f>
        <v/>
      </c>
      <c r="BL476" s="5">
        <f>IF('Project Database'!A480="","",N('Project Database'!AE480))</f>
        <v/>
      </c>
      <c r="BM476" s="5">
        <f>IF('Project Database'!A480="","",N('Project Database'!AF480))</f>
        <v/>
      </c>
      <c r="BN476" s="5">
        <f>IF('Project Database'!A480="","",N('Project Database'!AG480))</f>
        <v/>
      </c>
      <c r="BO476" s="5">
        <f>IF('Project Database'!A480="","",N('Project Database'!AH480))</f>
        <v/>
      </c>
      <c r="BP476" s="5">
        <f>IF('Project Database'!A480="","",N('Project Database'!AI480))</f>
        <v/>
      </c>
      <c r="BQ476" s="5">
        <f>IF('Project Database'!A480="","",N('Project Database'!AJ480))</f>
        <v/>
      </c>
      <c r="BR476" s="5">
        <f>IF('Project Database'!A480="","",N('Project Database'!AK480))</f>
        <v/>
      </c>
      <c r="BS476" s="5">
        <f>IF('Project Database'!A480="","",N('Project Database'!AL480))</f>
        <v/>
      </c>
      <c r="BT476" s="5">
        <f>IF('Project Database'!A480="","",N('Project Database'!AM480))</f>
        <v/>
      </c>
      <c r="BU476" s="5">
        <f>IF('Project Database'!A480="","",N('Project Database'!AN480))</f>
        <v/>
      </c>
      <c r="BV476" s="5">
        <f>IF('Project Database'!A480="","",N('Project Database'!AO480))</f>
        <v/>
      </c>
      <c r="BW476" s="5">
        <f>IF('Project Database'!A480="","",N('Project Database'!AP480))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</row>
    <row r="477" ht="15" customHeight="1" s="74">
      <c r="A477" s="66">
        <f>'Project Database'!A481</f>
        <v/>
      </c>
      <c r="B477" s="66">
        <f>'Project Database'!B481</f>
        <v/>
      </c>
      <c r="C477" s="66">
        <f>'Project Database'!G481</f>
        <v/>
      </c>
      <c r="D477" s="66">
        <f>'Project Database'!H481</f>
        <v/>
      </c>
      <c r="E477" s="66">
        <f>'Project Database'!I481</f>
        <v/>
      </c>
      <c r="F477" s="66">
        <f>'Project Database'!J481</f>
        <v/>
      </c>
      <c r="G477" s="66">
        <f>'Project Database'!K481</f>
        <v/>
      </c>
      <c r="H477" s="66">
        <f>'Project Database'!L481</f>
        <v/>
      </c>
      <c r="I477" s="66">
        <f>'Project Database'!M481</f>
        <v/>
      </c>
      <c r="J477" s="66">
        <f>'Project Database'!N481</f>
        <v/>
      </c>
      <c r="K477" s="66">
        <f>'Project Database'!O481</f>
        <v/>
      </c>
      <c r="L477" s="66">
        <f>'Project Database'!P481</f>
        <v/>
      </c>
      <c r="M477" s="66">
        <f>'Project Database'!Q481</f>
        <v/>
      </c>
      <c r="N477" s="66">
        <f>'Project Database'!R481</f>
        <v/>
      </c>
      <c r="O477" s="66">
        <f>'Project Database'!S481</f>
        <v/>
      </c>
      <c r="P477" s="66">
        <f>'Project Database'!T481</f>
        <v/>
      </c>
      <c r="Q477" s="66">
        <f>'Project Database'!U481</f>
        <v/>
      </c>
      <c r="R477" s="66">
        <f>'Project Database'!V481</f>
        <v/>
      </c>
      <c r="S477" s="66">
        <f>'Project Database'!W481</f>
        <v/>
      </c>
      <c r="T477" s="66">
        <f>'Project Database'!X481</f>
        <v/>
      </c>
      <c r="U477" s="67">
        <f>'Project Database'!Y481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'Project Database'!Z481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IF(AND('Project Database'!A481&lt;&gt;"",OR('Smart Search'!$L$5="",'Smart Search'!$L$5="All",TRIM('Project Database'!D481)=TRIM('Smart Search'!$L$5)),OR(TRIM('Smart Search'!$L$6)="",TRIM('Smart Search'!$L$6)="All",ISNUMBER(SEARCH(SUBSTITUTE(SUBSTITUTE(SUBSTITUTE(TRIM('Smart Search'!$L$6),"~","~~"),"*","~*"),"?","~?"),'Project Database'!C481))),OR('Smart Search'!$L$7="",AND('Project Database'!E481&lt;&gt;"",'Project Database'!E481='Smart Search'!$L$7)),OR('Smart Search'!$L$8="",'Smart Search'!$L$8="All",TRIM('Project Database'!F481)=TRIM('Smart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IF('Project Database'!A481="","",N('Project Database'!AC481))</f>
        <v/>
      </c>
      <c r="BK477" s="5">
        <f>IF('Project Database'!A481="","",N('Project Database'!AD481))</f>
        <v/>
      </c>
      <c r="BL477" s="5">
        <f>IF('Project Database'!A481="","",N('Project Database'!AE481))</f>
        <v/>
      </c>
      <c r="BM477" s="5">
        <f>IF('Project Database'!A481="","",N('Project Database'!AF481))</f>
        <v/>
      </c>
      <c r="BN477" s="5">
        <f>IF('Project Database'!A481="","",N('Project Database'!AG481))</f>
        <v/>
      </c>
      <c r="BO477" s="5">
        <f>IF('Project Database'!A481="","",N('Project Database'!AH481))</f>
        <v/>
      </c>
      <c r="BP477" s="5">
        <f>IF('Project Database'!A481="","",N('Project Database'!AI481))</f>
        <v/>
      </c>
      <c r="BQ477" s="5">
        <f>IF('Project Database'!A481="","",N('Project Database'!AJ481))</f>
        <v/>
      </c>
      <c r="BR477" s="5">
        <f>IF('Project Database'!A481="","",N('Project Database'!AK481))</f>
        <v/>
      </c>
      <c r="BS477" s="5">
        <f>IF('Project Database'!A481="","",N('Project Database'!AL481))</f>
        <v/>
      </c>
      <c r="BT477" s="5">
        <f>IF('Project Database'!A481="","",N('Project Database'!AM481))</f>
        <v/>
      </c>
      <c r="BU477" s="5">
        <f>IF('Project Database'!A481="","",N('Project Database'!AN481))</f>
        <v/>
      </c>
      <c r="BV477" s="5">
        <f>IF('Project Database'!A481="","",N('Project Database'!AO481))</f>
        <v/>
      </c>
      <c r="BW477" s="5">
        <f>IF('Project Database'!A481="","",N('Project Database'!AP481))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</row>
    <row r="478" ht="15" customHeight="1" s="74">
      <c r="A478" s="66">
        <f>'Project Database'!A482</f>
        <v/>
      </c>
      <c r="B478" s="66">
        <f>'Project Database'!B482</f>
        <v/>
      </c>
      <c r="C478" s="66">
        <f>'Project Database'!G482</f>
        <v/>
      </c>
      <c r="D478" s="66">
        <f>'Project Database'!H482</f>
        <v/>
      </c>
      <c r="E478" s="66">
        <f>'Project Database'!I482</f>
        <v/>
      </c>
      <c r="F478" s="66">
        <f>'Project Database'!J482</f>
        <v/>
      </c>
      <c r="G478" s="66">
        <f>'Project Database'!K482</f>
        <v/>
      </c>
      <c r="H478" s="66">
        <f>'Project Database'!L482</f>
        <v/>
      </c>
      <c r="I478" s="66">
        <f>'Project Database'!M482</f>
        <v/>
      </c>
      <c r="J478" s="66">
        <f>'Project Database'!N482</f>
        <v/>
      </c>
      <c r="K478" s="66">
        <f>'Project Database'!O482</f>
        <v/>
      </c>
      <c r="L478" s="66">
        <f>'Project Database'!P482</f>
        <v/>
      </c>
      <c r="M478" s="66">
        <f>'Project Database'!Q482</f>
        <v/>
      </c>
      <c r="N478" s="66">
        <f>'Project Database'!R482</f>
        <v/>
      </c>
      <c r="O478" s="66">
        <f>'Project Database'!S482</f>
        <v/>
      </c>
      <c r="P478" s="66">
        <f>'Project Database'!T482</f>
        <v/>
      </c>
      <c r="Q478" s="66">
        <f>'Project Database'!U482</f>
        <v/>
      </c>
      <c r="R478" s="66">
        <f>'Project Database'!V482</f>
        <v/>
      </c>
      <c r="S478" s="66">
        <f>'Project Database'!W482</f>
        <v/>
      </c>
      <c r="T478" s="66">
        <f>'Project Database'!X482</f>
        <v/>
      </c>
      <c r="U478" s="67">
        <f>'Project Database'!Y482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'Project Database'!Z482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IF(AND('Project Database'!A482&lt;&gt;"",OR('Smart Search'!$L$5="",'Smart Search'!$L$5="All",TRIM('Project Database'!D482)=TRIM('Smart Search'!$L$5)),OR(TRIM('Smart Search'!$L$6)="",TRIM('Smart Search'!$L$6)="All",ISNUMBER(SEARCH(SUBSTITUTE(SUBSTITUTE(SUBSTITUTE(TRIM('Smart Search'!$L$6),"~","~~"),"*","~*"),"?","~?"),'Project Database'!C482))),OR('Smart Search'!$L$7="",AND('Project Database'!E482&lt;&gt;"",'Project Database'!E482='Smart Search'!$L$7)),OR('Smart Search'!$L$8="",'Smart Search'!$L$8="All",TRIM('Project Database'!F482)=TRIM('Smart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IF('Project Database'!A482="","",N('Project Database'!AC482))</f>
        <v/>
      </c>
      <c r="BK478" s="5">
        <f>IF('Project Database'!A482="","",N('Project Database'!AD482))</f>
        <v/>
      </c>
      <c r="BL478" s="5">
        <f>IF('Project Database'!A482="","",N('Project Database'!AE482))</f>
        <v/>
      </c>
      <c r="BM478" s="5">
        <f>IF('Project Database'!A482="","",N('Project Database'!AF482))</f>
        <v/>
      </c>
      <c r="BN478" s="5">
        <f>IF('Project Database'!A482="","",N('Project Database'!AG482))</f>
        <v/>
      </c>
      <c r="BO478" s="5">
        <f>IF('Project Database'!A482="","",N('Project Database'!AH482))</f>
        <v/>
      </c>
      <c r="BP478" s="5">
        <f>IF('Project Database'!A482="","",N('Project Database'!AI482))</f>
        <v/>
      </c>
      <c r="BQ478" s="5">
        <f>IF('Project Database'!A482="","",N('Project Database'!AJ482))</f>
        <v/>
      </c>
      <c r="BR478" s="5">
        <f>IF('Project Database'!A482="","",N('Project Database'!AK482))</f>
        <v/>
      </c>
      <c r="BS478" s="5">
        <f>IF('Project Database'!A482="","",N('Project Database'!AL482))</f>
        <v/>
      </c>
      <c r="BT478" s="5">
        <f>IF('Project Database'!A482="","",N('Project Database'!AM482))</f>
        <v/>
      </c>
      <c r="BU478" s="5">
        <f>IF('Project Database'!A482="","",N('Project Database'!AN482))</f>
        <v/>
      </c>
      <c r="BV478" s="5">
        <f>IF('Project Database'!A482="","",N('Project Database'!AO482))</f>
        <v/>
      </c>
      <c r="BW478" s="5">
        <f>IF('Project Database'!A482="","",N('Project Database'!AP482))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</row>
    <row r="479" ht="15" customHeight="1" s="74">
      <c r="A479" s="66">
        <f>'Project Database'!A483</f>
        <v/>
      </c>
      <c r="B479" s="66">
        <f>'Project Database'!B483</f>
        <v/>
      </c>
      <c r="C479" s="66">
        <f>'Project Database'!G483</f>
        <v/>
      </c>
      <c r="D479" s="66">
        <f>'Project Database'!H483</f>
        <v/>
      </c>
      <c r="E479" s="66">
        <f>'Project Database'!I483</f>
        <v/>
      </c>
      <c r="F479" s="66">
        <f>'Project Database'!J483</f>
        <v/>
      </c>
      <c r="G479" s="66">
        <f>'Project Database'!K483</f>
        <v/>
      </c>
      <c r="H479" s="66">
        <f>'Project Database'!L483</f>
        <v/>
      </c>
      <c r="I479" s="66">
        <f>'Project Database'!M483</f>
        <v/>
      </c>
      <c r="J479" s="66">
        <f>'Project Database'!N483</f>
        <v/>
      </c>
      <c r="K479" s="66">
        <f>'Project Database'!O483</f>
        <v/>
      </c>
      <c r="L479" s="66">
        <f>'Project Database'!P483</f>
        <v/>
      </c>
      <c r="M479" s="66">
        <f>'Project Database'!Q483</f>
        <v/>
      </c>
      <c r="N479" s="66">
        <f>'Project Database'!R483</f>
        <v/>
      </c>
      <c r="O479" s="66">
        <f>'Project Database'!S483</f>
        <v/>
      </c>
      <c r="P479" s="66">
        <f>'Project Database'!T483</f>
        <v/>
      </c>
      <c r="Q479" s="66">
        <f>'Project Database'!U483</f>
        <v/>
      </c>
      <c r="R479" s="66">
        <f>'Project Database'!V483</f>
        <v/>
      </c>
      <c r="S479" s="66">
        <f>'Project Database'!W483</f>
        <v/>
      </c>
      <c r="T479" s="66">
        <f>'Project Database'!X483</f>
        <v/>
      </c>
      <c r="U479" s="67">
        <f>'Project Database'!Y483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'Project Database'!Z483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IF(AND('Project Database'!A483&lt;&gt;"",OR('Smart Search'!$L$5="",'Smart Search'!$L$5="All",TRIM('Project Database'!D483)=TRIM('Smart Search'!$L$5)),OR(TRIM('Smart Search'!$L$6)="",TRIM('Smart Search'!$L$6)="All",ISNUMBER(SEARCH(SUBSTITUTE(SUBSTITUTE(SUBSTITUTE(TRIM('Smart Search'!$L$6),"~","~~"),"*","~*"),"?","~?"),'Project Database'!C483))),OR('Smart Search'!$L$7="",AND('Project Database'!E483&lt;&gt;"",'Project Database'!E483='Smart Search'!$L$7)),OR('Smart Search'!$L$8="",'Smart Search'!$L$8="All",TRIM('Project Database'!F483)=TRIM('Smart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IF('Project Database'!A483="","",N('Project Database'!AC483))</f>
        <v/>
      </c>
      <c r="BK479" s="5">
        <f>IF('Project Database'!A483="","",N('Project Database'!AD483))</f>
        <v/>
      </c>
      <c r="BL479" s="5">
        <f>IF('Project Database'!A483="","",N('Project Database'!AE483))</f>
        <v/>
      </c>
      <c r="BM479" s="5">
        <f>IF('Project Database'!A483="","",N('Project Database'!AF483))</f>
        <v/>
      </c>
      <c r="BN479" s="5">
        <f>IF('Project Database'!A483="","",N('Project Database'!AG483))</f>
        <v/>
      </c>
      <c r="BO479" s="5">
        <f>IF('Project Database'!A483="","",N('Project Database'!AH483))</f>
        <v/>
      </c>
      <c r="BP479" s="5">
        <f>IF('Project Database'!A483="","",N('Project Database'!AI483))</f>
        <v/>
      </c>
      <c r="BQ479" s="5">
        <f>IF('Project Database'!A483="","",N('Project Database'!AJ483))</f>
        <v/>
      </c>
      <c r="BR479" s="5">
        <f>IF('Project Database'!A483="","",N('Project Database'!AK483))</f>
        <v/>
      </c>
      <c r="BS479" s="5">
        <f>IF('Project Database'!A483="","",N('Project Database'!AL483))</f>
        <v/>
      </c>
      <c r="BT479" s="5">
        <f>IF('Project Database'!A483="","",N('Project Database'!AM483))</f>
        <v/>
      </c>
      <c r="BU479" s="5">
        <f>IF('Project Database'!A483="","",N('Project Database'!AN483))</f>
        <v/>
      </c>
      <c r="BV479" s="5">
        <f>IF('Project Database'!A483="","",N('Project Database'!AO483))</f>
        <v/>
      </c>
      <c r="BW479" s="5">
        <f>IF('Project Database'!A483="","",N('Project Database'!AP483))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</row>
    <row r="480" ht="15" customHeight="1" s="74">
      <c r="A480" s="66">
        <f>'Project Database'!A484</f>
        <v/>
      </c>
      <c r="B480" s="66">
        <f>'Project Database'!B484</f>
        <v/>
      </c>
      <c r="C480" s="66">
        <f>'Project Database'!G484</f>
        <v/>
      </c>
      <c r="D480" s="66">
        <f>'Project Database'!H484</f>
        <v/>
      </c>
      <c r="E480" s="66">
        <f>'Project Database'!I484</f>
        <v/>
      </c>
      <c r="F480" s="66">
        <f>'Project Database'!J484</f>
        <v/>
      </c>
      <c r="G480" s="66">
        <f>'Project Database'!K484</f>
        <v/>
      </c>
      <c r="H480" s="66">
        <f>'Project Database'!L484</f>
        <v/>
      </c>
      <c r="I480" s="66">
        <f>'Project Database'!M484</f>
        <v/>
      </c>
      <c r="J480" s="66">
        <f>'Project Database'!N484</f>
        <v/>
      </c>
      <c r="K480" s="66">
        <f>'Project Database'!O484</f>
        <v/>
      </c>
      <c r="L480" s="66">
        <f>'Project Database'!P484</f>
        <v/>
      </c>
      <c r="M480" s="66">
        <f>'Project Database'!Q484</f>
        <v/>
      </c>
      <c r="N480" s="66">
        <f>'Project Database'!R484</f>
        <v/>
      </c>
      <c r="O480" s="66">
        <f>'Project Database'!S484</f>
        <v/>
      </c>
      <c r="P480" s="66">
        <f>'Project Database'!T484</f>
        <v/>
      </c>
      <c r="Q480" s="66">
        <f>'Project Database'!U484</f>
        <v/>
      </c>
      <c r="R480" s="66">
        <f>'Project Database'!V484</f>
        <v/>
      </c>
      <c r="S480" s="66">
        <f>'Project Database'!W484</f>
        <v/>
      </c>
      <c r="T480" s="66">
        <f>'Project Database'!X484</f>
        <v/>
      </c>
      <c r="U480" s="67">
        <f>'Project Database'!Y484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'Project Database'!Z484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IF(AND('Project Database'!A484&lt;&gt;"",OR('Smart Search'!$L$5="",'Smart Search'!$L$5="All",TRIM('Project Database'!D484)=TRIM('Smart Search'!$L$5)),OR(TRIM('Smart Search'!$L$6)="",TRIM('Smart Search'!$L$6)="All",ISNUMBER(SEARCH(SUBSTITUTE(SUBSTITUTE(SUBSTITUTE(TRIM('Smart Search'!$L$6),"~","~~"),"*","~*"),"?","~?"),'Project Database'!C484))),OR('Smart Search'!$L$7="",AND('Project Database'!E484&lt;&gt;"",'Project Database'!E484='Smart Search'!$L$7)),OR('Smart Search'!$L$8="",'Smart Search'!$L$8="All",TRIM('Project Database'!F484)=TRIM('Smart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IF('Project Database'!A484="","",N('Project Database'!AC484))</f>
        <v/>
      </c>
      <c r="BK480" s="5">
        <f>IF('Project Database'!A484="","",N('Project Database'!AD484))</f>
        <v/>
      </c>
      <c r="BL480" s="5">
        <f>IF('Project Database'!A484="","",N('Project Database'!AE484))</f>
        <v/>
      </c>
      <c r="BM480" s="5">
        <f>IF('Project Database'!A484="","",N('Project Database'!AF484))</f>
        <v/>
      </c>
      <c r="BN480" s="5">
        <f>IF('Project Database'!A484="","",N('Project Database'!AG484))</f>
        <v/>
      </c>
      <c r="BO480" s="5">
        <f>IF('Project Database'!A484="","",N('Project Database'!AH484))</f>
        <v/>
      </c>
      <c r="BP480" s="5">
        <f>IF('Project Database'!A484="","",N('Project Database'!AI484))</f>
        <v/>
      </c>
      <c r="BQ480" s="5">
        <f>IF('Project Database'!A484="","",N('Project Database'!AJ484))</f>
        <v/>
      </c>
      <c r="BR480" s="5">
        <f>IF('Project Database'!A484="","",N('Project Database'!AK484))</f>
        <v/>
      </c>
      <c r="BS480" s="5">
        <f>IF('Project Database'!A484="","",N('Project Database'!AL484))</f>
        <v/>
      </c>
      <c r="BT480" s="5">
        <f>IF('Project Database'!A484="","",N('Project Database'!AM484))</f>
        <v/>
      </c>
      <c r="BU480" s="5">
        <f>IF('Project Database'!A484="","",N('Project Database'!AN484))</f>
        <v/>
      </c>
      <c r="BV480" s="5">
        <f>IF('Project Database'!A484="","",N('Project Database'!AO484))</f>
        <v/>
      </c>
      <c r="BW480" s="5">
        <f>IF('Project Database'!A484="","",N('Project Database'!AP484))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</row>
    <row r="481" ht="15" customHeight="1" s="74">
      <c r="A481" s="66">
        <f>'Project Database'!A485</f>
        <v/>
      </c>
      <c r="B481" s="66">
        <f>'Project Database'!B485</f>
        <v/>
      </c>
      <c r="C481" s="66">
        <f>'Project Database'!G485</f>
        <v/>
      </c>
      <c r="D481" s="66">
        <f>'Project Database'!H485</f>
        <v/>
      </c>
      <c r="E481" s="66">
        <f>'Project Database'!I485</f>
        <v/>
      </c>
      <c r="F481" s="66">
        <f>'Project Database'!J485</f>
        <v/>
      </c>
      <c r="G481" s="66">
        <f>'Project Database'!K485</f>
        <v/>
      </c>
      <c r="H481" s="66">
        <f>'Project Database'!L485</f>
        <v/>
      </c>
      <c r="I481" s="66">
        <f>'Project Database'!M485</f>
        <v/>
      </c>
      <c r="J481" s="66">
        <f>'Project Database'!N485</f>
        <v/>
      </c>
      <c r="K481" s="66">
        <f>'Project Database'!O485</f>
        <v/>
      </c>
      <c r="L481" s="66">
        <f>'Project Database'!P485</f>
        <v/>
      </c>
      <c r="M481" s="66">
        <f>'Project Database'!Q485</f>
        <v/>
      </c>
      <c r="N481" s="66">
        <f>'Project Database'!R485</f>
        <v/>
      </c>
      <c r="O481" s="66">
        <f>'Project Database'!S485</f>
        <v/>
      </c>
      <c r="P481" s="66">
        <f>'Project Database'!T485</f>
        <v/>
      </c>
      <c r="Q481" s="66">
        <f>'Project Database'!U485</f>
        <v/>
      </c>
      <c r="R481" s="66">
        <f>'Project Database'!V485</f>
        <v/>
      </c>
      <c r="S481" s="66">
        <f>'Project Database'!W485</f>
        <v/>
      </c>
      <c r="T481" s="66">
        <f>'Project Database'!X485</f>
        <v/>
      </c>
      <c r="U481" s="67">
        <f>'Project Database'!Y485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'Project Database'!Z485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IF(AND('Project Database'!A485&lt;&gt;"",OR('Smart Search'!$L$5="",'Smart Search'!$L$5="All",TRIM('Project Database'!D485)=TRIM('Smart Search'!$L$5)),OR(TRIM('Smart Search'!$L$6)="",TRIM('Smart Search'!$L$6)="All",ISNUMBER(SEARCH(SUBSTITUTE(SUBSTITUTE(SUBSTITUTE(TRIM('Smart Search'!$L$6),"~","~~"),"*","~*"),"?","~?"),'Project Database'!C485))),OR('Smart Search'!$L$7="",AND('Project Database'!E485&lt;&gt;"",'Project Database'!E485='Smart Search'!$L$7)),OR('Smart Search'!$L$8="",'Smart Search'!$L$8="All",TRIM('Project Database'!F485)=TRIM('Smart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IF('Project Database'!A485="","",N('Project Database'!AC485))</f>
        <v/>
      </c>
      <c r="BK481" s="5">
        <f>IF('Project Database'!A485="","",N('Project Database'!AD485))</f>
        <v/>
      </c>
      <c r="BL481" s="5">
        <f>IF('Project Database'!A485="","",N('Project Database'!AE485))</f>
        <v/>
      </c>
      <c r="BM481" s="5">
        <f>IF('Project Database'!A485="","",N('Project Database'!AF485))</f>
        <v/>
      </c>
      <c r="BN481" s="5">
        <f>IF('Project Database'!A485="","",N('Project Database'!AG485))</f>
        <v/>
      </c>
      <c r="BO481" s="5">
        <f>IF('Project Database'!A485="","",N('Project Database'!AH485))</f>
        <v/>
      </c>
      <c r="BP481" s="5">
        <f>IF('Project Database'!A485="","",N('Project Database'!AI485))</f>
        <v/>
      </c>
      <c r="BQ481" s="5">
        <f>IF('Project Database'!A485="","",N('Project Database'!AJ485))</f>
        <v/>
      </c>
      <c r="BR481" s="5">
        <f>IF('Project Database'!A485="","",N('Project Database'!AK485))</f>
        <v/>
      </c>
      <c r="BS481" s="5">
        <f>IF('Project Database'!A485="","",N('Project Database'!AL485))</f>
        <v/>
      </c>
      <c r="BT481" s="5">
        <f>IF('Project Database'!A485="","",N('Project Database'!AM485))</f>
        <v/>
      </c>
      <c r="BU481" s="5">
        <f>IF('Project Database'!A485="","",N('Project Database'!AN485))</f>
        <v/>
      </c>
      <c r="BV481" s="5">
        <f>IF('Project Database'!A485="","",N('Project Database'!AO485))</f>
        <v/>
      </c>
      <c r="BW481" s="5">
        <f>IF('Project Database'!A485="","",N('Project Database'!AP485))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</row>
    <row r="482" ht="15" customHeight="1" s="74">
      <c r="A482" s="66">
        <f>'Project Database'!A486</f>
        <v/>
      </c>
      <c r="B482" s="66">
        <f>'Project Database'!B486</f>
        <v/>
      </c>
      <c r="C482" s="66">
        <f>'Project Database'!G486</f>
        <v/>
      </c>
      <c r="D482" s="66">
        <f>'Project Database'!H486</f>
        <v/>
      </c>
      <c r="E482" s="66">
        <f>'Project Database'!I486</f>
        <v/>
      </c>
      <c r="F482" s="66">
        <f>'Project Database'!J486</f>
        <v/>
      </c>
      <c r="G482" s="66">
        <f>'Project Database'!K486</f>
        <v/>
      </c>
      <c r="H482" s="66">
        <f>'Project Database'!L486</f>
        <v/>
      </c>
      <c r="I482" s="66">
        <f>'Project Database'!M486</f>
        <v/>
      </c>
      <c r="J482" s="66">
        <f>'Project Database'!N486</f>
        <v/>
      </c>
      <c r="K482" s="66">
        <f>'Project Database'!O486</f>
        <v/>
      </c>
      <c r="L482" s="66">
        <f>'Project Database'!P486</f>
        <v/>
      </c>
      <c r="M482" s="66">
        <f>'Project Database'!Q486</f>
        <v/>
      </c>
      <c r="N482" s="66">
        <f>'Project Database'!R486</f>
        <v/>
      </c>
      <c r="O482" s="66">
        <f>'Project Database'!S486</f>
        <v/>
      </c>
      <c r="P482" s="66">
        <f>'Project Database'!T486</f>
        <v/>
      </c>
      <c r="Q482" s="66">
        <f>'Project Database'!U486</f>
        <v/>
      </c>
      <c r="R482" s="66">
        <f>'Project Database'!V486</f>
        <v/>
      </c>
      <c r="S482" s="66">
        <f>'Project Database'!W486</f>
        <v/>
      </c>
      <c r="T482" s="66">
        <f>'Project Database'!X486</f>
        <v/>
      </c>
      <c r="U482" s="67">
        <f>'Project Database'!Y486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'Project Database'!Z486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IF(AND('Project Database'!A486&lt;&gt;"",OR('Smart Search'!$L$5="",'Smart Search'!$L$5="All",TRIM('Project Database'!D486)=TRIM('Smart Search'!$L$5)),OR(TRIM('Smart Search'!$L$6)="",TRIM('Smart Search'!$L$6)="All",ISNUMBER(SEARCH(SUBSTITUTE(SUBSTITUTE(SUBSTITUTE(TRIM('Smart Search'!$L$6),"~","~~"),"*","~*"),"?","~?"),'Project Database'!C486))),OR('Smart Search'!$L$7="",AND('Project Database'!E486&lt;&gt;"",'Project Database'!E486='Smart Search'!$L$7)),OR('Smart Search'!$L$8="",'Smart Search'!$L$8="All",TRIM('Project Database'!F486)=TRIM('Smart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IF('Project Database'!A486="","",N('Project Database'!AC486))</f>
        <v/>
      </c>
      <c r="BK482" s="5">
        <f>IF('Project Database'!A486="","",N('Project Database'!AD486))</f>
        <v/>
      </c>
      <c r="BL482" s="5">
        <f>IF('Project Database'!A486="","",N('Project Database'!AE486))</f>
        <v/>
      </c>
      <c r="BM482" s="5">
        <f>IF('Project Database'!A486="","",N('Project Database'!AF486))</f>
        <v/>
      </c>
      <c r="BN482" s="5">
        <f>IF('Project Database'!A486="","",N('Project Database'!AG486))</f>
        <v/>
      </c>
      <c r="BO482" s="5">
        <f>IF('Project Database'!A486="","",N('Project Database'!AH486))</f>
        <v/>
      </c>
      <c r="BP482" s="5">
        <f>IF('Project Database'!A486="","",N('Project Database'!AI486))</f>
        <v/>
      </c>
      <c r="BQ482" s="5">
        <f>IF('Project Database'!A486="","",N('Project Database'!AJ486))</f>
        <v/>
      </c>
      <c r="BR482" s="5">
        <f>IF('Project Database'!A486="","",N('Project Database'!AK486))</f>
        <v/>
      </c>
      <c r="BS482" s="5">
        <f>IF('Project Database'!A486="","",N('Project Database'!AL486))</f>
        <v/>
      </c>
      <c r="BT482" s="5">
        <f>IF('Project Database'!A486="","",N('Project Database'!AM486))</f>
        <v/>
      </c>
      <c r="BU482" s="5">
        <f>IF('Project Database'!A486="","",N('Project Database'!AN486))</f>
        <v/>
      </c>
      <c r="BV482" s="5">
        <f>IF('Project Database'!A486="","",N('Project Database'!AO486))</f>
        <v/>
      </c>
      <c r="BW482" s="5">
        <f>IF('Project Database'!A486="","",N('Project Database'!AP486))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</row>
    <row r="483" ht="15" customHeight="1" s="74">
      <c r="A483" s="66">
        <f>'Project Database'!A487</f>
        <v/>
      </c>
      <c r="B483" s="66">
        <f>'Project Database'!B487</f>
        <v/>
      </c>
      <c r="C483" s="66">
        <f>'Project Database'!G487</f>
        <v/>
      </c>
      <c r="D483" s="66">
        <f>'Project Database'!H487</f>
        <v/>
      </c>
      <c r="E483" s="66">
        <f>'Project Database'!I487</f>
        <v/>
      </c>
      <c r="F483" s="66">
        <f>'Project Database'!J487</f>
        <v/>
      </c>
      <c r="G483" s="66">
        <f>'Project Database'!K487</f>
        <v/>
      </c>
      <c r="H483" s="66">
        <f>'Project Database'!L487</f>
        <v/>
      </c>
      <c r="I483" s="66">
        <f>'Project Database'!M487</f>
        <v/>
      </c>
      <c r="J483" s="66">
        <f>'Project Database'!N487</f>
        <v/>
      </c>
      <c r="K483" s="66">
        <f>'Project Database'!O487</f>
        <v/>
      </c>
      <c r="L483" s="66">
        <f>'Project Database'!P487</f>
        <v/>
      </c>
      <c r="M483" s="66">
        <f>'Project Database'!Q487</f>
        <v/>
      </c>
      <c r="N483" s="66">
        <f>'Project Database'!R487</f>
        <v/>
      </c>
      <c r="O483" s="66">
        <f>'Project Database'!S487</f>
        <v/>
      </c>
      <c r="P483" s="66">
        <f>'Project Database'!T487</f>
        <v/>
      </c>
      <c r="Q483" s="66">
        <f>'Project Database'!U487</f>
        <v/>
      </c>
      <c r="R483" s="66">
        <f>'Project Database'!V487</f>
        <v/>
      </c>
      <c r="S483" s="66">
        <f>'Project Database'!W487</f>
        <v/>
      </c>
      <c r="T483" s="66">
        <f>'Project Database'!X487</f>
        <v/>
      </c>
      <c r="U483" s="67">
        <f>'Project Database'!Y487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'Project Database'!Z487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IF(AND('Project Database'!A487&lt;&gt;"",OR('Smart Search'!$L$5="",'Smart Search'!$L$5="All",TRIM('Project Database'!D487)=TRIM('Smart Search'!$L$5)),OR(TRIM('Smart Search'!$L$6)="",TRIM('Smart Search'!$L$6)="All",ISNUMBER(SEARCH(SUBSTITUTE(SUBSTITUTE(SUBSTITUTE(TRIM('Smart Search'!$L$6),"~","~~"),"*","~*"),"?","~?"),'Project Database'!C487))),OR('Smart Search'!$L$7="",AND('Project Database'!E487&lt;&gt;"",'Project Database'!E487='Smart Search'!$L$7)),OR('Smart Search'!$L$8="",'Smart Search'!$L$8="All",TRIM('Project Database'!F487)=TRIM('Smart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IF('Project Database'!A487="","",N('Project Database'!AC487))</f>
        <v/>
      </c>
      <c r="BK483" s="5">
        <f>IF('Project Database'!A487="","",N('Project Database'!AD487))</f>
        <v/>
      </c>
      <c r="BL483" s="5">
        <f>IF('Project Database'!A487="","",N('Project Database'!AE487))</f>
        <v/>
      </c>
      <c r="BM483" s="5">
        <f>IF('Project Database'!A487="","",N('Project Database'!AF487))</f>
        <v/>
      </c>
      <c r="BN483" s="5">
        <f>IF('Project Database'!A487="","",N('Project Database'!AG487))</f>
        <v/>
      </c>
      <c r="BO483" s="5">
        <f>IF('Project Database'!A487="","",N('Project Database'!AH487))</f>
        <v/>
      </c>
      <c r="BP483" s="5">
        <f>IF('Project Database'!A487="","",N('Project Database'!AI487))</f>
        <v/>
      </c>
      <c r="BQ483" s="5">
        <f>IF('Project Database'!A487="","",N('Project Database'!AJ487))</f>
        <v/>
      </c>
      <c r="BR483" s="5">
        <f>IF('Project Database'!A487="","",N('Project Database'!AK487))</f>
        <v/>
      </c>
      <c r="BS483" s="5">
        <f>IF('Project Database'!A487="","",N('Project Database'!AL487))</f>
        <v/>
      </c>
      <c r="BT483" s="5">
        <f>IF('Project Database'!A487="","",N('Project Database'!AM487))</f>
        <v/>
      </c>
      <c r="BU483" s="5">
        <f>IF('Project Database'!A487="","",N('Project Database'!AN487))</f>
        <v/>
      </c>
      <c r="BV483" s="5">
        <f>IF('Project Database'!A487="","",N('Project Database'!AO487))</f>
        <v/>
      </c>
      <c r="BW483" s="5">
        <f>IF('Project Database'!A487="","",N('Project Database'!AP487))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</row>
    <row r="484" ht="15" customHeight="1" s="74">
      <c r="A484" s="66">
        <f>'Project Database'!A488</f>
        <v/>
      </c>
      <c r="B484" s="66">
        <f>'Project Database'!B488</f>
        <v/>
      </c>
      <c r="C484" s="66">
        <f>'Project Database'!G488</f>
        <v/>
      </c>
      <c r="D484" s="66">
        <f>'Project Database'!H488</f>
        <v/>
      </c>
      <c r="E484" s="66">
        <f>'Project Database'!I488</f>
        <v/>
      </c>
      <c r="F484" s="66">
        <f>'Project Database'!J488</f>
        <v/>
      </c>
      <c r="G484" s="66">
        <f>'Project Database'!K488</f>
        <v/>
      </c>
      <c r="H484" s="66">
        <f>'Project Database'!L488</f>
        <v/>
      </c>
      <c r="I484" s="66">
        <f>'Project Database'!M488</f>
        <v/>
      </c>
      <c r="J484" s="66">
        <f>'Project Database'!N488</f>
        <v/>
      </c>
      <c r="K484" s="66">
        <f>'Project Database'!O488</f>
        <v/>
      </c>
      <c r="L484" s="66">
        <f>'Project Database'!P488</f>
        <v/>
      </c>
      <c r="M484" s="66">
        <f>'Project Database'!Q488</f>
        <v/>
      </c>
      <c r="N484" s="66">
        <f>'Project Database'!R488</f>
        <v/>
      </c>
      <c r="O484" s="66">
        <f>'Project Database'!S488</f>
        <v/>
      </c>
      <c r="P484" s="66">
        <f>'Project Database'!T488</f>
        <v/>
      </c>
      <c r="Q484" s="66">
        <f>'Project Database'!U488</f>
        <v/>
      </c>
      <c r="R484" s="66">
        <f>'Project Database'!V488</f>
        <v/>
      </c>
      <c r="S484" s="66">
        <f>'Project Database'!W488</f>
        <v/>
      </c>
      <c r="T484" s="66">
        <f>'Project Database'!X488</f>
        <v/>
      </c>
      <c r="U484" s="67">
        <f>'Project Database'!Y488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'Project Database'!Z488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IF(AND('Project Database'!A488&lt;&gt;"",OR('Smart Search'!$L$5="",'Smart Search'!$L$5="All",TRIM('Project Database'!D488)=TRIM('Smart Search'!$L$5)),OR(TRIM('Smart Search'!$L$6)="",TRIM('Smart Search'!$L$6)="All",ISNUMBER(SEARCH(SUBSTITUTE(SUBSTITUTE(SUBSTITUTE(TRIM('Smart Search'!$L$6),"~","~~"),"*","~*"),"?","~?"),'Project Database'!C488))),OR('Smart Search'!$L$7="",AND('Project Database'!E488&lt;&gt;"",'Project Database'!E488='Smart Search'!$L$7)),OR('Smart Search'!$L$8="",'Smart Search'!$L$8="All",TRIM('Project Database'!F488)=TRIM('Smart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IF('Project Database'!A488="","",N('Project Database'!AC488))</f>
        <v/>
      </c>
      <c r="BK484" s="5">
        <f>IF('Project Database'!A488="","",N('Project Database'!AD488))</f>
        <v/>
      </c>
      <c r="BL484" s="5">
        <f>IF('Project Database'!A488="","",N('Project Database'!AE488))</f>
        <v/>
      </c>
      <c r="BM484" s="5">
        <f>IF('Project Database'!A488="","",N('Project Database'!AF488))</f>
        <v/>
      </c>
      <c r="BN484" s="5">
        <f>IF('Project Database'!A488="","",N('Project Database'!AG488))</f>
        <v/>
      </c>
      <c r="BO484" s="5">
        <f>IF('Project Database'!A488="","",N('Project Database'!AH488))</f>
        <v/>
      </c>
      <c r="BP484" s="5">
        <f>IF('Project Database'!A488="","",N('Project Database'!AI488))</f>
        <v/>
      </c>
      <c r="BQ484" s="5">
        <f>IF('Project Database'!A488="","",N('Project Database'!AJ488))</f>
        <v/>
      </c>
      <c r="BR484" s="5">
        <f>IF('Project Database'!A488="","",N('Project Database'!AK488))</f>
        <v/>
      </c>
      <c r="BS484" s="5">
        <f>IF('Project Database'!A488="","",N('Project Database'!AL488))</f>
        <v/>
      </c>
      <c r="BT484" s="5">
        <f>IF('Project Database'!A488="","",N('Project Database'!AM488))</f>
        <v/>
      </c>
      <c r="BU484" s="5">
        <f>IF('Project Database'!A488="","",N('Project Database'!AN488))</f>
        <v/>
      </c>
      <c r="BV484" s="5">
        <f>IF('Project Database'!A488="","",N('Project Database'!AO488))</f>
        <v/>
      </c>
      <c r="BW484" s="5">
        <f>IF('Project Database'!A488="","",N('Project Database'!AP488))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</row>
    <row r="485" ht="15" customHeight="1" s="74">
      <c r="A485" s="66">
        <f>'Project Database'!A489</f>
        <v/>
      </c>
      <c r="B485" s="66">
        <f>'Project Database'!B489</f>
        <v/>
      </c>
      <c r="C485" s="66">
        <f>'Project Database'!G489</f>
        <v/>
      </c>
      <c r="D485" s="66">
        <f>'Project Database'!H489</f>
        <v/>
      </c>
      <c r="E485" s="66">
        <f>'Project Database'!I489</f>
        <v/>
      </c>
      <c r="F485" s="66">
        <f>'Project Database'!J489</f>
        <v/>
      </c>
      <c r="G485" s="66">
        <f>'Project Database'!K489</f>
        <v/>
      </c>
      <c r="H485" s="66">
        <f>'Project Database'!L489</f>
        <v/>
      </c>
      <c r="I485" s="66">
        <f>'Project Database'!M489</f>
        <v/>
      </c>
      <c r="J485" s="66">
        <f>'Project Database'!N489</f>
        <v/>
      </c>
      <c r="K485" s="66">
        <f>'Project Database'!O489</f>
        <v/>
      </c>
      <c r="L485" s="66">
        <f>'Project Database'!P489</f>
        <v/>
      </c>
      <c r="M485" s="66">
        <f>'Project Database'!Q489</f>
        <v/>
      </c>
      <c r="N485" s="66">
        <f>'Project Database'!R489</f>
        <v/>
      </c>
      <c r="O485" s="66">
        <f>'Project Database'!S489</f>
        <v/>
      </c>
      <c r="P485" s="66">
        <f>'Project Database'!T489</f>
        <v/>
      </c>
      <c r="Q485" s="66">
        <f>'Project Database'!U489</f>
        <v/>
      </c>
      <c r="R485" s="66">
        <f>'Project Database'!V489</f>
        <v/>
      </c>
      <c r="S485" s="66">
        <f>'Project Database'!W489</f>
        <v/>
      </c>
      <c r="T485" s="66">
        <f>'Project Database'!X489</f>
        <v/>
      </c>
      <c r="U485" s="67">
        <f>'Project Database'!Y489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'Project Database'!Z489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IF(AND('Project Database'!A489&lt;&gt;"",OR('Smart Search'!$L$5="",'Smart Search'!$L$5="All",TRIM('Project Database'!D489)=TRIM('Smart Search'!$L$5)),OR(TRIM('Smart Search'!$L$6)="",TRIM('Smart Search'!$L$6)="All",ISNUMBER(SEARCH(SUBSTITUTE(SUBSTITUTE(SUBSTITUTE(TRIM('Smart Search'!$L$6),"~","~~"),"*","~*"),"?","~?"),'Project Database'!C489))),OR('Smart Search'!$L$7="",AND('Project Database'!E489&lt;&gt;"",'Project Database'!E489='Smart Search'!$L$7)),OR('Smart Search'!$L$8="",'Smart Search'!$L$8="All",TRIM('Project Database'!F489)=TRIM('Smart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IF('Project Database'!A489="","",N('Project Database'!AC489))</f>
        <v/>
      </c>
      <c r="BK485" s="5">
        <f>IF('Project Database'!A489="","",N('Project Database'!AD489))</f>
        <v/>
      </c>
      <c r="BL485" s="5">
        <f>IF('Project Database'!A489="","",N('Project Database'!AE489))</f>
        <v/>
      </c>
      <c r="BM485" s="5">
        <f>IF('Project Database'!A489="","",N('Project Database'!AF489))</f>
        <v/>
      </c>
      <c r="BN485" s="5">
        <f>IF('Project Database'!A489="","",N('Project Database'!AG489))</f>
        <v/>
      </c>
      <c r="BO485" s="5">
        <f>IF('Project Database'!A489="","",N('Project Database'!AH489))</f>
        <v/>
      </c>
      <c r="BP485" s="5">
        <f>IF('Project Database'!A489="","",N('Project Database'!AI489))</f>
        <v/>
      </c>
      <c r="BQ485" s="5">
        <f>IF('Project Database'!A489="","",N('Project Database'!AJ489))</f>
        <v/>
      </c>
      <c r="BR485" s="5">
        <f>IF('Project Database'!A489="","",N('Project Database'!AK489))</f>
        <v/>
      </c>
      <c r="BS485" s="5">
        <f>IF('Project Database'!A489="","",N('Project Database'!AL489))</f>
        <v/>
      </c>
      <c r="BT485" s="5">
        <f>IF('Project Database'!A489="","",N('Project Database'!AM489))</f>
        <v/>
      </c>
      <c r="BU485" s="5">
        <f>IF('Project Database'!A489="","",N('Project Database'!AN489))</f>
        <v/>
      </c>
      <c r="BV485" s="5">
        <f>IF('Project Database'!A489="","",N('Project Database'!AO489))</f>
        <v/>
      </c>
      <c r="BW485" s="5">
        <f>IF('Project Database'!A489="","",N('Project Database'!AP489))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</row>
    <row r="486" ht="15" customHeight="1" s="74">
      <c r="A486" s="66">
        <f>'Project Database'!A490</f>
        <v/>
      </c>
      <c r="B486" s="66">
        <f>'Project Database'!B490</f>
        <v/>
      </c>
      <c r="C486" s="66">
        <f>'Project Database'!G490</f>
        <v/>
      </c>
      <c r="D486" s="66">
        <f>'Project Database'!H490</f>
        <v/>
      </c>
      <c r="E486" s="66">
        <f>'Project Database'!I490</f>
        <v/>
      </c>
      <c r="F486" s="66">
        <f>'Project Database'!J490</f>
        <v/>
      </c>
      <c r="G486" s="66">
        <f>'Project Database'!K490</f>
        <v/>
      </c>
      <c r="H486" s="66">
        <f>'Project Database'!L490</f>
        <v/>
      </c>
      <c r="I486" s="66">
        <f>'Project Database'!M490</f>
        <v/>
      </c>
      <c r="J486" s="66">
        <f>'Project Database'!N490</f>
        <v/>
      </c>
      <c r="K486" s="66">
        <f>'Project Database'!O490</f>
        <v/>
      </c>
      <c r="L486" s="66">
        <f>'Project Database'!P490</f>
        <v/>
      </c>
      <c r="M486" s="66">
        <f>'Project Database'!Q490</f>
        <v/>
      </c>
      <c r="N486" s="66">
        <f>'Project Database'!R490</f>
        <v/>
      </c>
      <c r="O486" s="66">
        <f>'Project Database'!S490</f>
        <v/>
      </c>
      <c r="P486" s="66">
        <f>'Project Database'!T490</f>
        <v/>
      </c>
      <c r="Q486" s="66">
        <f>'Project Database'!U490</f>
        <v/>
      </c>
      <c r="R486" s="66">
        <f>'Project Database'!V490</f>
        <v/>
      </c>
      <c r="S486" s="66">
        <f>'Project Database'!W490</f>
        <v/>
      </c>
      <c r="T486" s="66">
        <f>'Project Database'!X490</f>
        <v/>
      </c>
      <c r="U486" s="67">
        <f>'Project Database'!Y490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'Project Database'!Z490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IF(AND('Project Database'!A490&lt;&gt;"",OR('Smart Search'!$L$5="",'Smart Search'!$L$5="All",TRIM('Project Database'!D490)=TRIM('Smart Search'!$L$5)),OR(TRIM('Smart Search'!$L$6)="",TRIM('Smart Search'!$L$6)="All",ISNUMBER(SEARCH(SUBSTITUTE(SUBSTITUTE(SUBSTITUTE(TRIM('Smart Search'!$L$6),"~","~~"),"*","~*"),"?","~?"),'Project Database'!C490))),OR('Smart Search'!$L$7="",AND('Project Database'!E490&lt;&gt;"",'Project Database'!E490='Smart Search'!$L$7)),OR('Smart Search'!$L$8="",'Smart Search'!$L$8="All",TRIM('Project Database'!F490)=TRIM('Smart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IF('Project Database'!A490="","",N('Project Database'!AC490))</f>
        <v/>
      </c>
      <c r="BK486" s="5">
        <f>IF('Project Database'!A490="","",N('Project Database'!AD490))</f>
        <v/>
      </c>
      <c r="BL486" s="5">
        <f>IF('Project Database'!A490="","",N('Project Database'!AE490))</f>
        <v/>
      </c>
      <c r="BM486" s="5">
        <f>IF('Project Database'!A490="","",N('Project Database'!AF490))</f>
        <v/>
      </c>
      <c r="BN486" s="5">
        <f>IF('Project Database'!A490="","",N('Project Database'!AG490))</f>
        <v/>
      </c>
      <c r="BO486" s="5">
        <f>IF('Project Database'!A490="","",N('Project Database'!AH490))</f>
        <v/>
      </c>
      <c r="BP486" s="5">
        <f>IF('Project Database'!A490="","",N('Project Database'!AI490))</f>
        <v/>
      </c>
      <c r="BQ486" s="5">
        <f>IF('Project Database'!A490="","",N('Project Database'!AJ490))</f>
        <v/>
      </c>
      <c r="BR486" s="5">
        <f>IF('Project Database'!A490="","",N('Project Database'!AK490))</f>
        <v/>
      </c>
      <c r="BS486" s="5">
        <f>IF('Project Database'!A490="","",N('Project Database'!AL490))</f>
        <v/>
      </c>
      <c r="BT486" s="5">
        <f>IF('Project Database'!A490="","",N('Project Database'!AM490))</f>
        <v/>
      </c>
      <c r="BU486" s="5">
        <f>IF('Project Database'!A490="","",N('Project Database'!AN490))</f>
        <v/>
      </c>
      <c r="BV486" s="5">
        <f>IF('Project Database'!A490="","",N('Project Database'!AO490))</f>
        <v/>
      </c>
      <c r="BW486" s="5">
        <f>IF('Project Database'!A490="","",N('Project Database'!AP490))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</row>
    <row r="487" ht="15" customHeight="1" s="74">
      <c r="A487" s="66">
        <f>'Project Database'!A491</f>
        <v/>
      </c>
      <c r="B487" s="66">
        <f>'Project Database'!B491</f>
        <v/>
      </c>
      <c r="C487" s="66">
        <f>'Project Database'!G491</f>
        <v/>
      </c>
      <c r="D487" s="66">
        <f>'Project Database'!H491</f>
        <v/>
      </c>
      <c r="E487" s="66">
        <f>'Project Database'!I491</f>
        <v/>
      </c>
      <c r="F487" s="66">
        <f>'Project Database'!J491</f>
        <v/>
      </c>
      <c r="G487" s="66">
        <f>'Project Database'!K491</f>
        <v/>
      </c>
      <c r="H487" s="66">
        <f>'Project Database'!L491</f>
        <v/>
      </c>
      <c r="I487" s="66">
        <f>'Project Database'!M491</f>
        <v/>
      </c>
      <c r="J487" s="66">
        <f>'Project Database'!N491</f>
        <v/>
      </c>
      <c r="K487" s="66">
        <f>'Project Database'!O491</f>
        <v/>
      </c>
      <c r="L487" s="66">
        <f>'Project Database'!P491</f>
        <v/>
      </c>
      <c r="M487" s="66">
        <f>'Project Database'!Q491</f>
        <v/>
      </c>
      <c r="N487" s="66">
        <f>'Project Database'!R491</f>
        <v/>
      </c>
      <c r="O487" s="66">
        <f>'Project Database'!S491</f>
        <v/>
      </c>
      <c r="P487" s="66">
        <f>'Project Database'!T491</f>
        <v/>
      </c>
      <c r="Q487" s="66">
        <f>'Project Database'!U491</f>
        <v/>
      </c>
      <c r="R487" s="66">
        <f>'Project Database'!V491</f>
        <v/>
      </c>
      <c r="S487" s="66">
        <f>'Project Database'!W491</f>
        <v/>
      </c>
      <c r="T487" s="66">
        <f>'Project Database'!X491</f>
        <v/>
      </c>
      <c r="U487" s="67">
        <f>'Project Database'!Y491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'Project Database'!Z491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IF(AND('Project Database'!A491&lt;&gt;"",OR('Smart Search'!$L$5="",'Smart Search'!$L$5="All",TRIM('Project Database'!D491)=TRIM('Smart Search'!$L$5)),OR(TRIM('Smart Search'!$L$6)="",TRIM('Smart Search'!$L$6)="All",ISNUMBER(SEARCH(SUBSTITUTE(SUBSTITUTE(SUBSTITUTE(TRIM('Smart Search'!$L$6),"~","~~"),"*","~*"),"?","~?"),'Project Database'!C491))),OR('Smart Search'!$L$7="",AND('Project Database'!E491&lt;&gt;"",'Project Database'!E491='Smart Search'!$L$7)),OR('Smart Search'!$L$8="",'Smart Search'!$L$8="All",TRIM('Project Database'!F491)=TRIM('Smart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IF('Project Database'!A491="","",N('Project Database'!AC491))</f>
        <v/>
      </c>
      <c r="BK487" s="5">
        <f>IF('Project Database'!A491="","",N('Project Database'!AD491))</f>
        <v/>
      </c>
      <c r="BL487" s="5">
        <f>IF('Project Database'!A491="","",N('Project Database'!AE491))</f>
        <v/>
      </c>
      <c r="BM487" s="5">
        <f>IF('Project Database'!A491="","",N('Project Database'!AF491))</f>
        <v/>
      </c>
      <c r="BN487" s="5">
        <f>IF('Project Database'!A491="","",N('Project Database'!AG491))</f>
        <v/>
      </c>
      <c r="BO487" s="5">
        <f>IF('Project Database'!A491="","",N('Project Database'!AH491))</f>
        <v/>
      </c>
      <c r="BP487" s="5">
        <f>IF('Project Database'!A491="","",N('Project Database'!AI491))</f>
        <v/>
      </c>
      <c r="BQ487" s="5">
        <f>IF('Project Database'!A491="","",N('Project Database'!AJ491))</f>
        <v/>
      </c>
      <c r="BR487" s="5">
        <f>IF('Project Database'!A491="","",N('Project Database'!AK491))</f>
        <v/>
      </c>
      <c r="BS487" s="5">
        <f>IF('Project Database'!A491="","",N('Project Database'!AL491))</f>
        <v/>
      </c>
      <c r="BT487" s="5">
        <f>IF('Project Database'!A491="","",N('Project Database'!AM491))</f>
        <v/>
      </c>
      <c r="BU487" s="5">
        <f>IF('Project Database'!A491="","",N('Project Database'!AN491))</f>
        <v/>
      </c>
      <c r="BV487" s="5">
        <f>IF('Project Database'!A491="","",N('Project Database'!AO491))</f>
        <v/>
      </c>
      <c r="BW487" s="5">
        <f>IF('Project Database'!A491="","",N('Project Database'!AP491))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</row>
    <row r="488" ht="15" customHeight="1" s="74">
      <c r="A488" s="66">
        <f>'Project Database'!A492</f>
        <v/>
      </c>
      <c r="B488" s="66">
        <f>'Project Database'!B492</f>
        <v/>
      </c>
      <c r="C488" s="66">
        <f>'Project Database'!G492</f>
        <v/>
      </c>
      <c r="D488" s="66">
        <f>'Project Database'!H492</f>
        <v/>
      </c>
      <c r="E488" s="66">
        <f>'Project Database'!I492</f>
        <v/>
      </c>
      <c r="F488" s="66">
        <f>'Project Database'!J492</f>
        <v/>
      </c>
      <c r="G488" s="66">
        <f>'Project Database'!K492</f>
        <v/>
      </c>
      <c r="H488" s="66">
        <f>'Project Database'!L492</f>
        <v/>
      </c>
      <c r="I488" s="66">
        <f>'Project Database'!M492</f>
        <v/>
      </c>
      <c r="J488" s="66">
        <f>'Project Database'!N492</f>
        <v/>
      </c>
      <c r="K488" s="66">
        <f>'Project Database'!O492</f>
        <v/>
      </c>
      <c r="L488" s="66">
        <f>'Project Database'!P492</f>
        <v/>
      </c>
      <c r="M488" s="66">
        <f>'Project Database'!Q492</f>
        <v/>
      </c>
      <c r="N488" s="66">
        <f>'Project Database'!R492</f>
        <v/>
      </c>
      <c r="O488" s="66">
        <f>'Project Database'!S492</f>
        <v/>
      </c>
      <c r="P488" s="66">
        <f>'Project Database'!T492</f>
        <v/>
      </c>
      <c r="Q488" s="66">
        <f>'Project Database'!U492</f>
        <v/>
      </c>
      <c r="R488" s="66">
        <f>'Project Database'!V492</f>
        <v/>
      </c>
      <c r="S488" s="66">
        <f>'Project Database'!W492</f>
        <v/>
      </c>
      <c r="T488" s="66">
        <f>'Project Database'!X492</f>
        <v/>
      </c>
      <c r="U488" s="67">
        <f>'Project Database'!Y492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'Project Database'!Z492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IF(AND('Project Database'!A492&lt;&gt;"",OR('Smart Search'!$L$5="",'Smart Search'!$L$5="All",TRIM('Project Database'!D492)=TRIM('Smart Search'!$L$5)),OR(TRIM('Smart Search'!$L$6)="",TRIM('Smart Search'!$L$6)="All",ISNUMBER(SEARCH(SUBSTITUTE(SUBSTITUTE(SUBSTITUTE(TRIM('Smart Search'!$L$6),"~","~~"),"*","~*"),"?","~?"),'Project Database'!C492))),OR('Smart Search'!$L$7="",AND('Project Database'!E492&lt;&gt;"",'Project Database'!E492='Smart Search'!$L$7)),OR('Smart Search'!$L$8="",'Smart Search'!$L$8="All",TRIM('Project Database'!F492)=TRIM('Smart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IF('Project Database'!A492="","",N('Project Database'!AC492))</f>
        <v/>
      </c>
      <c r="BK488" s="5">
        <f>IF('Project Database'!A492="","",N('Project Database'!AD492))</f>
        <v/>
      </c>
      <c r="BL488" s="5">
        <f>IF('Project Database'!A492="","",N('Project Database'!AE492))</f>
        <v/>
      </c>
      <c r="BM488" s="5">
        <f>IF('Project Database'!A492="","",N('Project Database'!AF492))</f>
        <v/>
      </c>
      <c r="BN488" s="5">
        <f>IF('Project Database'!A492="","",N('Project Database'!AG492))</f>
        <v/>
      </c>
      <c r="BO488" s="5">
        <f>IF('Project Database'!A492="","",N('Project Database'!AH492))</f>
        <v/>
      </c>
      <c r="BP488" s="5">
        <f>IF('Project Database'!A492="","",N('Project Database'!AI492))</f>
        <v/>
      </c>
      <c r="BQ488" s="5">
        <f>IF('Project Database'!A492="","",N('Project Database'!AJ492))</f>
        <v/>
      </c>
      <c r="BR488" s="5">
        <f>IF('Project Database'!A492="","",N('Project Database'!AK492))</f>
        <v/>
      </c>
      <c r="BS488" s="5">
        <f>IF('Project Database'!A492="","",N('Project Database'!AL492))</f>
        <v/>
      </c>
      <c r="BT488" s="5">
        <f>IF('Project Database'!A492="","",N('Project Database'!AM492))</f>
        <v/>
      </c>
      <c r="BU488" s="5">
        <f>IF('Project Database'!A492="","",N('Project Database'!AN492))</f>
        <v/>
      </c>
      <c r="BV488" s="5">
        <f>IF('Project Database'!A492="","",N('Project Database'!AO492))</f>
        <v/>
      </c>
      <c r="BW488" s="5">
        <f>IF('Project Database'!A492="","",N('Project Database'!AP492))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</row>
    <row r="489" ht="15" customHeight="1" s="74">
      <c r="A489" s="66">
        <f>'Project Database'!A493</f>
        <v/>
      </c>
      <c r="B489" s="66">
        <f>'Project Database'!B493</f>
        <v/>
      </c>
      <c r="C489" s="66">
        <f>'Project Database'!G493</f>
        <v/>
      </c>
      <c r="D489" s="66">
        <f>'Project Database'!H493</f>
        <v/>
      </c>
      <c r="E489" s="66">
        <f>'Project Database'!I493</f>
        <v/>
      </c>
      <c r="F489" s="66">
        <f>'Project Database'!J493</f>
        <v/>
      </c>
      <c r="G489" s="66">
        <f>'Project Database'!K493</f>
        <v/>
      </c>
      <c r="H489" s="66">
        <f>'Project Database'!L493</f>
        <v/>
      </c>
      <c r="I489" s="66">
        <f>'Project Database'!M493</f>
        <v/>
      </c>
      <c r="J489" s="66">
        <f>'Project Database'!N493</f>
        <v/>
      </c>
      <c r="K489" s="66">
        <f>'Project Database'!O493</f>
        <v/>
      </c>
      <c r="L489" s="66">
        <f>'Project Database'!P493</f>
        <v/>
      </c>
      <c r="M489" s="66">
        <f>'Project Database'!Q493</f>
        <v/>
      </c>
      <c r="N489" s="66">
        <f>'Project Database'!R493</f>
        <v/>
      </c>
      <c r="O489" s="66">
        <f>'Project Database'!S493</f>
        <v/>
      </c>
      <c r="P489" s="66">
        <f>'Project Database'!T493</f>
        <v/>
      </c>
      <c r="Q489" s="66">
        <f>'Project Database'!U493</f>
        <v/>
      </c>
      <c r="R489" s="66">
        <f>'Project Database'!V493</f>
        <v/>
      </c>
      <c r="S489" s="66">
        <f>'Project Database'!W493</f>
        <v/>
      </c>
      <c r="T489" s="66">
        <f>'Project Database'!X493</f>
        <v/>
      </c>
      <c r="U489" s="67">
        <f>'Project Database'!Y493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'Project Database'!Z493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IF(AND('Project Database'!A493&lt;&gt;"",OR('Smart Search'!$L$5="",'Smart Search'!$L$5="All",TRIM('Project Database'!D493)=TRIM('Smart Search'!$L$5)),OR(TRIM('Smart Search'!$L$6)="",TRIM('Smart Search'!$L$6)="All",ISNUMBER(SEARCH(SUBSTITUTE(SUBSTITUTE(SUBSTITUTE(TRIM('Smart Search'!$L$6),"~","~~"),"*","~*"),"?","~?"),'Project Database'!C493))),OR('Smart Search'!$L$7="",AND('Project Database'!E493&lt;&gt;"",'Project Database'!E493='Smart Search'!$L$7)),OR('Smart Search'!$L$8="",'Smart Search'!$L$8="All",TRIM('Project Database'!F493)=TRIM('Smart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IF('Project Database'!A493="","",N('Project Database'!AC493))</f>
        <v/>
      </c>
      <c r="BK489" s="5">
        <f>IF('Project Database'!A493="","",N('Project Database'!AD493))</f>
        <v/>
      </c>
      <c r="BL489" s="5">
        <f>IF('Project Database'!A493="","",N('Project Database'!AE493))</f>
        <v/>
      </c>
      <c r="BM489" s="5">
        <f>IF('Project Database'!A493="","",N('Project Database'!AF493))</f>
        <v/>
      </c>
      <c r="BN489" s="5">
        <f>IF('Project Database'!A493="","",N('Project Database'!AG493))</f>
        <v/>
      </c>
      <c r="BO489" s="5">
        <f>IF('Project Database'!A493="","",N('Project Database'!AH493))</f>
        <v/>
      </c>
      <c r="BP489" s="5">
        <f>IF('Project Database'!A493="","",N('Project Database'!AI493))</f>
        <v/>
      </c>
      <c r="BQ489" s="5">
        <f>IF('Project Database'!A493="","",N('Project Database'!AJ493))</f>
        <v/>
      </c>
      <c r="BR489" s="5">
        <f>IF('Project Database'!A493="","",N('Project Database'!AK493))</f>
        <v/>
      </c>
      <c r="BS489" s="5">
        <f>IF('Project Database'!A493="","",N('Project Database'!AL493))</f>
        <v/>
      </c>
      <c r="BT489" s="5">
        <f>IF('Project Database'!A493="","",N('Project Database'!AM493))</f>
        <v/>
      </c>
      <c r="BU489" s="5">
        <f>IF('Project Database'!A493="","",N('Project Database'!AN493))</f>
        <v/>
      </c>
      <c r="BV489" s="5">
        <f>IF('Project Database'!A493="","",N('Project Database'!AO493))</f>
        <v/>
      </c>
      <c r="BW489" s="5">
        <f>IF('Project Database'!A493="","",N('Project Database'!AP493))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</row>
    <row r="490" ht="15" customHeight="1" s="74">
      <c r="A490" s="66">
        <f>'Project Database'!A494</f>
        <v/>
      </c>
      <c r="B490" s="66">
        <f>'Project Database'!B494</f>
        <v/>
      </c>
      <c r="C490" s="66">
        <f>'Project Database'!G494</f>
        <v/>
      </c>
      <c r="D490" s="66">
        <f>'Project Database'!H494</f>
        <v/>
      </c>
      <c r="E490" s="66">
        <f>'Project Database'!I494</f>
        <v/>
      </c>
      <c r="F490" s="66">
        <f>'Project Database'!J494</f>
        <v/>
      </c>
      <c r="G490" s="66">
        <f>'Project Database'!K494</f>
        <v/>
      </c>
      <c r="H490" s="66">
        <f>'Project Database'!L494</f>
        <v/>
      </c>
      <c r="I490" s="66">
        <f>'Project Database'!M494</f>
        <v/>
      </c>
      <c r="J490" s="66">
        <f>'Project Database'!N494</f>
        <v/>
      </c>
      <c r="K490" s="66">
        <f>'Project Database'!O494</f>
        <v/>
      </c>
      <c r="L490" s="66">
        <f>'Project Database'!P494</f>
        <v/>
      </c>
      <c r="M490" s="66">
        <f>'Project Database'!Q494</f>
        <v/>
      </c>
      <c r="N490" s="66">
        <f>'Project Database'!R494</f>
        <v/>
      </c>
      <c r="O490" s="66">
        <f>'Project Database'!S494</f>
        <v/>
      </c>
      <c r="P490" s="66">
        <f>'Project Database'!T494</f>
        <v/>
      </c>
      <c r="Q490" s="66">
        <f>'Project Database'!U494</f>
        <v/>
      </c>
      <c r="R490" s="66">
        <f>'Project Database'!V494</f>
        <v/>
      </c>
      <c r="S490" s="66">
        <f>'Project Database'!W494</f>
        <v/>
      </c>
      <c r="T490" s="66">
        <f>'Project Database'!X494</f>
        <v/>
      </c>
      <c r="U490" s="67">
        <f>'Project Database'!Y494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'Project Database'!Z494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IF(AND('Project Database'!A494&lt;&gt;"",OR('Smart Search'!$L$5="",'Smart Search'!$L$5="All",TRIM('Project Database'!D494)=TRIM('Smart Search'!$L$5)),OR(TRIM('Smart Search'!$L$6)="",TRIM('Smart Search'!$L$6)="All",ISNUMBER(SEARCH(SUBSTITUTE(SUBSTITUTE(SUBSTITUTE(TRIM('Smart Search'!$L$6),"~","~~"),"*","~*"),"?","~?"),'Project Database'!C494))),OR('Smart Search'!$L$7="",AND('Project Database'!E494&lt;&gt;"",'Project Database'!E494='Smart Search'!$L$7)),OR('Smart Search'!$L$8="",'Smart Search'!$L$8="All",TRIM('Project Database'!F494)=TRIM('Smart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IF('Project Database'!A494="","",N('Project Database'!AC494))</f>
        <v/>
      </c>
      <c r="BK490" s="5">
        <f>IF('Project Database'!A494="","",N('Project Database'!AD494))</f>
        <v/>
      </c>
      <c r="BL490" s="5">
        <f>IF('Project Database'!A494="","",N('Project Database'!AE494))</f>
        <v/>
      </c>
      <c r="BM490" s="5">
        <f>IF('Project Database'!A494="","",N('Project Database'!AF494))</f>
        <v/>
      </c>
      <c r="BN490" s="5">
        <f>IF('Project Database'!A494="","",N('Project Database'!AG494))</f>
        <v/>
      </c>
      <c r="BO490" s="5">
        <f>IF('Project Database'!A494="","",N('Project Database'!AH494))</f>
        <v/>
      </c>
      <c r="BP490" s="5">
        <f>IF('Project Database'!A494="","",N('Project Database'!AI494))</f>
        <v/>
      </c>
      <c r="BQ490" s="5">
        <f>IF('Project Database'!A494="","",N('Project Database'!AJ494))</f>
        <v/>
      </c>
      <c r="BR490" s="5">
        <f>IF('Project Database'!A494="","",N('Project Database'!AK494))</f>
        <v/>
      </c>
      <c r="BS490" s="5">
        <f>IF('Project Database'!A494="","",N('Project Database'!AL494))</f>
        <v/>
      </c>
      <c r="BT490" s="5">
        <f>IF('Project Database'!A494="","",N('Project Database'!AM494))</f>
        <v/>
      </c>
      <c r="BU490" s="5">
        <f>IF('Project Database'!A494="","",N('Project Database'!AN494))</f>
        <v/>
      </c>
      <c r="BV490" s="5">
        <f>IF('Project Database'!A494="","",N('Project Database'!AO494))</f>
        <v/>
      </c>
      <c r="BW490" s="5">
        <f>IF('Project Database'!A494="","",N('Project Database'!AP494))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</row>
    <row r="491" ht="15" customHeight="1" s="74">
      <c r="A491" s="66">
        <f>'Project Database'!A495</f>
        <v/>
      </c>
      <c r="B491" s="66">
        <f>'Project Database'!B495</f>
        <v/>
      </c>
      <c r="C491" s="66">
        <f>'Project Database'!G495</f>
        <v/>
      </c>
      <c r="D491" s="66">
        <f>'Project Database'!H495</f>
        <v/>
      </c>
      <c r="E491" s="66">
        <f>'Project Database'!I495</f>
        <v/>
      </c>
      <c r="F491" s="66">
        <f>'Project Database'!J495</f>
        <v/>
      </c>
      <c r="G491" s="66">
        <f>'Project Database'!K495</f>
        <v/>
      </c>
      <c r="H491" s="66">
        <f>'Project Database'!L495</f>
        <v/>
      </c>
      <c r="I491" s="66">
        <f>'Project Database'!M495</f>
        <v/>
      </c>
      <c r="J491" s="66">
        <f>'Project Database'!N495</f>
        <v/>
      </c>
      <c r="K491" s="66">
        <f>'Project Database'!O495</f>
        <v/>
      </c>
      <c r="L491" s="66">
        <f>'Project Database'!P495</f>
        <v/>
      </c>
      <c r="M491" s="66">
        <f>'Project Database'!Q495</f>
        <v/>
      </c>
      <c r="N491" s="66">
        <f>'Project Database'!R495</f>
        <v/>
      </c>
      <c r="O491" s="66">
        <f>'Project Database'!S495</f>
        <v/>
      </c>
      <c r="P491" s="66">
        <f>'Project Database'!T495</f>
        <v/>
      </c>
      <c r="Q491" s="66">
        <f>'Project Database'!U495</f>
        <v/>
      </c>
      <c r="R491" s="66">
        <f>'Project Database'!V495</f>
        <v/>
      </c>
      <c r="S491" s="66">
        <f>'Project Database'!W495</f>
        <v/>
      </c>
      <c r="T491" s="66">
        <f>'Project Database'!X495</f>
        <v/>
      </c>
      <c r="U491" s="67">
        <f>'Project Database'!Y495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'Project Database'!Z495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IF(AND('Project Database'!A495&lt;&gt;"",OR('Smart Search'!$L$5="",'Smart Search'!$L$5="All",TRIM('Project Database'!D495)=TRIM('Smart Search'!$L$5)),OR(TRIM('Smart Search'!$L$6)="",TRIM('Smart Search'!$L$6)="All",ISNUMBER(SEARCH(SUBSTITUTE(SUBSTITUTE(SUBSTITUTE(TRIM('Smart Search'!$L$6),"~","~~"),"*","~*"),"?","~?"),'Project Database'!C495))),OR('Smart Search'!$L$7="",AND('Project Database'!E495&lt;&gt;"",'Project Database'!E495='Smart Search'!$L$7)),OR('Smart Search'!$L$8="",'Smart Search'!$L$8="All",TRIM('Project Database'!F495)=TRIM('Smart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IF('Project Database'!A495="","",N('Project Database'!AC495))</f>
        <v/>
      </c>
      <c r="BK491" s="5">
        <f>IF('Project Database'!A495="","",N('Project Database'!AD495))</f>
        <v/>
      </c>
      <c r="BL491" s="5">
        <f>IF('Project Database'!A495="","",N('Project Database'!AE495))</f>
        <v/>
      </c>
      <c r="BM491" s="5">
        <f>IF('Project Database'!A495="","",N('Project Database'!AF495))</f>
        <v/>
      </c>
      <c r="BN491" s="5">
        <f>IF('Project Database'!A495="","",N('Project Database'!AG495))</f>
        <v/>
      </c>
      <c r="BO491" s="5">
        <f>IF('Project Database'!A495="","",N('Project Database'!AH495))</f>
        <v/>
      </c>
      <c r="BP491" s="5">
        <f>IF('Project Database'!A495="","",N('Project Database'!AI495))</f>
        <v/>
      </c>
      <c r="BQ491" s="5">
        <f>IF('Project Database'!A495="","",N('Project Database'!AJ495))</f>
        <v/>
      </c>
      <c r="BR491" s="5">
        <f>IF('Project Database'!A495="","",N('Project Database'!AK495))</f>
        <v/>
      </c>
      <c r="BS491" s="5">
        <f>IF('Project Database'!A495="","",N('Project Database'!AL495))</f>
        <v/>
      </c>
      <c r="BT491" s="5">
        <f>IF('Project Database'!A495="","",N('Project Database'!AM495))</f>
        <v/>
      </c>
      <c r="BU491" s="5">
        <f>IF('Project Database'!A495="","",N('Project Database'!AN495))</f>
        <v/>
      </c>
      <c r="BV491" s="5">
        <f>IF('Project Database'!A495="","",N('Project Database'!AO495))</f>
        <v/>
      </c>
      <c r="BW491" s="5">
        <f>IF('Project Database'!A495="","",N('Project Database'!AP495))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</row>
    <row r="492" ht="15" customHeight="1" s="74">
      <c r="A492" s="66">
        <f>'Project Database'!A496</f>
        <v/>
      </c>
      <c r="B492" s="66">
        <f>'Project Database'!B496</f>
        <v/>
      </c>
      <c r="C492" s="66">
        <f>'Project Database'!G496</f>
        <v/>
      </c>
      <c r="D492" s="66">
        <f>'Project Database'!H496</f>
        <v/>
      </c>
      <c r="E492" s="66">
        <f>'Project Database'!I496</f>
        <v/>
      </c>
      <c r="F492" s="66">
        <f>'Project Database'!J496</f>
        <v/>
      </c>
      <c r="G492" s="66">
        <f>'Project Database'!K496</f>
        <v/>
      </c>
      <c r="H492" s="66">
        <f>'Project Database'!L496</f>
        <v/>
      </c>
      <c r="I492" s="66">
        <f>'Project Database'!M496</f>
        <v/>
      </c>
      <c r="J492" s="66">
        <f>'Project Database'!N496</f>
        <v/>
      </c>
      <c r="K492" s="66">
        <f>'Project Database'!O496</f>
        <v/>
      </c>
      <c r="L492" s="66">
        <f>'Project Database'!P496</f>
        <v/>
      </c>
      <c r="M492" s="66">
        <f>'Project Database'!Q496</f>
        <v/>
      </c>
      <c r="N492" s="66">
        <f>'Project Database'!R496</f>
        <v/>
      </c>
      <c r="O492" s="66">
        <f>'Project Database'!S496</f>
        <v/>
      </c>
      <c r="P492" s="66">
        <f>'Project Database'!T496</f>
        <v/>
      </c>
      <c r="Q492" s="66">
        <f>'Project Database'!U496</f>
        <v/>
      </c>
      <c r="R492" s="66">
        <f>'Project Database'!V496</f>
        <v/>
      </c>
      <c r="S492" s="66">
        <f>'Project Database'!W496</f>
        <v/>
      </c>
      <c r="T492" s="66">
        <f>'Project Database'!X496</f>
        <v/>
      </c>
      <c r="U492" s="67">
        <f>'Project Database'!Y496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'Project Database'!Z496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IF(AND('Project Database'!A496&lt;&gt;"",OR('Smart Search'!$L$5="",'Smart Search'!$L$5="All",TRIM('Project Database'!D496)=TRIM('Smart Search'!$L$5)),OR(TRIM('Smart Search'!$L$6)="",TRIM('Smart Search'!$L$6)="All",ISNUMBER(SEARCH(SUBSTITUTE(SUBSTITUTE(SUBSTITUTE(TRIM('Smart Search'!$L$6),"~","~~"),"*","~*"),"?","~?"),'Project Database'!C496))),OR('Smart Search'!$L$7="",AND('Project Database'!E496&lt;&gt;"",'Project Database'!E496='Smart Search'!$L$7)),OR('Smart Search'!$L$8="",'Smart Search'!$L$8="All",TRIM('Project Database'!F496)=TRIM('Smart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IF('Project Database'!A496="","",N('Project Database'!AC496))</f>
        <v/>
      </c>
      <c r="BK492" s="5">
        <f>IF('Project Database'!A496="","",N('Project Database'!AD496))</f>
        <v/>
      </c>
      <c r="BL492" s="5">
        <f>IF('Project Database'!A496="","",N('Project Database'!AE496))</f>
        <v/>
      </c>
      <c r="BM492" s="5">
        <f>IF('Project Database'!A496="","",N('Project Database'!AF496))</f>
        <v/>
      </c>
      <c r="BN492" s="5">
        <f>IF('Project Database'!A496="","",N('Project Database'!AG496))</f>
        <v/>
      </c>
      <c r="BO492" s="5">
        <f>IF('Project Database'!A496="","",N('Project Database'!AH496))</f>
        <v/>
      </c>
      <c r="BP492" s="5">
        <f>IF('Project Database'!A496="","",N('Project Database'!AI496))</f>
        <v/>
      </c>
      <c r="BQ492" s="5">
        <f>IF('Project Database'!A496="","",N('Project Database'!AJ496))</f>
        <v/>
      </c>
      <c r="BR492" s="5">
        <f>IF('Project Database'!A496="","",N('Project Database'!AK496))</f>
        <v/>
      </c>
      <c r="BS492" s="5">
        <f>IF('Project Database'!A496="","",N('Project Database'!AL496))</f>
        <v/>
      </c>
      <c r="BT492" s="5">
        <f>IF('Project Database'!A496="","",N('Project Database'!AM496))</f>
        <v/>
      </c>
      <c r="BU492" s="5">
        <f>IF('Project Database'!A496="","",N('Project Database'!AN496))</f>
        <v/>
      </c>
      <c r="BV492" s="5">
        <f>IF('Project Database'!A496="","",N('Project Database'!AO496))</f>
        <v/>
      </c>
      <c r="BW492" s="5">
        <f>IF('Project Database'!A496="","",N('Project Database'!AP496))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</row>
    <row r="493" ht="15" customHeight="1" s="74">
      <c r="A493" s="66">
        <f>'Project Database'!A497</f>
        <v/>
      </c>
      <c r="B493" s="66">
        <f>'Project Database'!B497</f>
        <v/>
      </c>
      <c r="C493" s="66">
        <f>'Project Database'!G497</f>
        <v/>
      </c>
      <c r="D493" s="66">
        <f>'Project Database'!H497</f>
        <v/>
      </c>
      <c r="E493" s="66">
        <f>'Project Database'!I497</f>
        <v/>
      </c>
      <c r="F493" s="66">
        <f>'Project Database'!J497</f>
        <v/>
      </c>
      <c r="G493" s="66">
        <f>'Project Database'!K497</f>
        <v/>
      </c>
      <c r="H493" s="66">
        <f>'Project Database'!L497</f>
        <v/>
      </c>
      <c r="I493" s="66">
        <f>'Project Database'!M497</f>
        <v/>
      </c>
      <c r="J493" s="66">
        <f>'Project Database'!N497</f>
        <v/>
      </c>
      <c r="K493" s="66">
        <f>'Project Database'!O497</f>
        <v/>
      </c>
      <c r="L493" s="66">
        <f>'Project Database'!P497</f>
        <v/>
      </c>
      <c r="M493" s="66">
        <f>'Project Database'!Q497</f>
        <v/>
      </c>
      <c r="N493" s="66">
        <f>'Project Database'!R497</f>
        <v/>
      </c>
      <c r="O493" s="66">
        <f>'Project Database'!S497</f>
        <v/>
      </c>
      <c r="P493" s="66">
        <f>'Project Database'!T497</f>
        <v/>
      </c>
      <c r="Q493" s="66">
        <f>'Project Database'!U497</f>
        <v/>
      </c>
      <c r="R493" s="66">
        <f>'Project Database'!V497</f>
        <v/>
      </c>
      <c r="S493" s="66">
        <f>'Project Database'!W497</f>
        <v/>
      </c>
      <c r="T493" s="66">
        <f>'Project Database'!X497</f>
        <v/>
      </c>
      <c r="U493" s="67">
        <f>'Project Database'!Y497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'Project Database'!Z497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IF(AND('Project Database'!A497&lt;&gt;"",OR('Smart Search'!$L$5="",'Smart Search'!$L$5="All",TRIM('Project Database'!D497)=TRIM('Smart Search'!$L$5)),OR(TRIM('Smart Search'!$L$6)="",TRIM('Smart Search'!$L$6)="All",ISNUMBER(SEARCH(SUBSTITUTE(SUBSTITUTE(SUBSTITUTE(TRIM('Smart Search'!$L$6),"~","~~"),"*","~*"),"?","~?"),'Project Database'!C497))),OR('Smart Search'!$L$7="",AND('Project Database'!E497&lt;&gt;"",'Project Database'!E497='Smart Search'!$L$7)),OR('Smart Search'!$L$8="",'Smart Search'!$L$8="All",TRIM('Project Database'!F497)=TRIM('Smart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IF('Project Database'!A497="","",N('Project Database'!AC497))</f>
        <v/>
      </c>
      <c r="BK493" s="5">
        <f>IF('Project Database'!A497="","",N('Project Database'!AD497))</f>
        <v/>
      </c>
      <c r="BL493" s="5">
        <f>IF('Project Database'!A497="","",N('Project Database'!AE497))</f>
        <v/>
      </c>
      <c r="BM493" s="5">
        <f>IF('Project Database'!A497="","",N('Project Database'!AF497))</f>
        <v/>
      </c>
      <c r="BN493" s="5">
        <f>IF('Project Database'!A497="","",N('Project Database'!AG497))</f>
        <v/>
      </c>
      <c r="BO493" s="5">
        <f>IF('Project Database'!A497="","",N('Project Database'!AH497))</f>
        <v/>
      </c>
      <c r="BP493" s="5">
        <f>IF('Project Database'!A497="","",N('Project Database'!AI497))</f>
        <v/>
      </c>
      <c r="BQ493" s="5">
        <f>IF('Project Database'!A497="","",N('Project Database'!AJ497))</f>
        <v/>
      </c>
      <c r="BR493" s="5">
        <f>IF('Project Database'!A497="","",N('Project Database'!AK497))</f>
        <v/>
      </c>
      <c r="BS493" s="5">
        <f>IF('Project Database'!A497="","",N('Project Database'!AL497))</f>
        <v/>
      </c>
      <c r="BT493" s="5">
        <f>IF('Project Database'!A497="","",N('Project Database'!AM497))</f>
        <v/>
      </c>
      <c r="BU493" s="5">
        <f>IF('Project Database'!A497="","",N('Project Database'!AN497))</f>
        <v/>
      </c>
      <c r="BV493" s="5">
        <f>IF('Project Database'!A497="","",N('Project Database'!AO497))</f>
        <v/>
      </c>
      <c r="BW493" s="5">
        <f>IF('Project Database'!A497="","",N('Project Database'!AP497))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</row>
    <row r="494" ht="15" customHeight="1" s="74">
      <c r="A494" s="66">
        <f>'Project Database'!A498</f>
        <v/>
      </c>
      <c r="B494" s="66">
        <f>'Project Database'!B498</f>
        <v/>
      </c>
      <c r="C494" s="66">
        <f>'Project Database'!G498</f>
        <v/>
      </c>
      <c r="D494" s="66">
        <f>'Project Database'!H498</f>
        <v/>
      </c>
      <c r="E494" s="66">
        <f>'Project Database'!I498</f>
        <v/>
      </c>
      <c r="F494" s="66">
        <f>'Project Database'!J498</f>
        <v/>
      </c>
      <c r="G494" s="66">
        <f>'Project Database'!K498</f>
        <v/>
      </c>
      <c r="H494" s="66">
        <f>'Project Database'!L498</f>
        <v/>
      </c>
      <c r="I494" s="66">
        <f>'Project Database'!M498</f>
        <v/>
      </c>
      <c r="J494" s="66">
        <f>'Project Database'!N498</f>
        <v/>
      </c>
      <c r="K494" s="66">
        <f>'Project Database'!O498</f>
        <v/>
      </c>
      <c r="L494" s="66">
        <f>'Project Database'!P498</f>
        <v/>
      </c>
      <c r="M494" s="66">
        <f>'Project Database'!Q498</f>
        <v/>
      </c>
      <c r="N494" s="66">
        <f>'Project Database'!R498</f>
        <v/>
      </c>
      <c r="O494" s="66">
        <f>'Project Database'!S498</f>
        <v/>
      </c>
      <c r="P494" s="66">
        <f>'Project Database'!T498</f>
        <v/>
      </c>
      <c r="Q494" s="66">
        <f>'Project Database'!U498</f>
        <v/>
      </c>
      <c r="R494" s="66">
        <f>'Project Database'!V498</f>
        <v/>
      </c>
      <c r="S494" s="66">
        <f>'Project Database'!W498</f>
        <v/>
      </c>
      <c r="T494" s="66">
        <f>'Project Database'!X498</f>
        <v/>
      </c>
      <c r="U494" s="67">
        <f>'Project Database'!Y498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'Project Database'!Z498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IF(AND('Project Database'!A498&lt;&gt;"",OR('Smart Search'!$L$5="",'Smart Search'!$L$5="All",TRIM('Project Database'!D498)=TRIM('Smart Search'!$L$5)),OR(TRIM('Smart Search'!$L$6)="",TRIM('Smart Search'!$L$6)="All",ISNUMBER(SEARCH(SUBSTITUTE(SUBSTITUTE(SUBSTITUTE(TRIM('Smart Search'!$L$6),"~","~~"),"*","~*"),"?","~?"),'Project Database'!C498))),OR('Smart Search'!$L$7="",AND('Project Database'!E498&lt;&gt;"",'Project Database'!E498='Smart Search'!$L$7)),OR('Smart Search'!$L$8="",'Smart Search'!$L$8="All",TRIM('Project Database'!F498)=TRIM('Smart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IF('Project Database'!A498="","",N('Project Database'!AC498))</f>
        <v/>
      </c>
      <c r="BK494" s="5">
        <f>IF('Project Database'!A498="","",N('Project Database'!AD498))</f>
        <v/>
      </c>
      <c r="BL494" s="5">
        <f>IF('Project Database'!A498="","",N('Project Database'!AE498))</f>
        <v/>
      </c>
      <c r="BM494" s="5">
        <f>IF('Project Database'!A498="","",N('Project Database'!AF498))</f>
        <v/>
      </c>
      <c r="BN494" s="5">
        <f>IF('Project Database'!A498="","",N('Project Database'!AG498))</f>
        <v/>
      </c>
      <c r="BO494" s="5">
        <f>IF('Project Database'!A498="","",N('Project Database'!AH498))</f>
        <v/>
      </c>
      <c r="BP494" s="5">
        <f>IF('Project Database'!A498="","",N('Project Database'!AI498))</f>
        <v/>
      </c>
      <c r="BQ494" s="5">
        <f>IF('Project Database'!A498="","",N('Project Database'!AJ498))</f>
        <v/>
      </c>
      <c r="BR494" s="5">
        <f>IF('Project Database'!A498="","",N('Project Database'!AK498))</f>
        <v/>
      </c>
      <c r="BS494" s="5">
        <f>IF('Project Database'!A498="","",N('Project Database'!AL498))</f>
        <v/>
      </c>
      <c r="BT494" s="5">
        <f>IF('Project Database'!A498="","",N('Project Database'!AM498))</f>
        <v/>
      </c>
      <c r="BU494" s="5">
        <f>IF('Project Database'!A498="","",N('Project Database'!AN498))</f>
        <v/>
      </c>
      <c r="BV494" s="5">
        <f>IF('Project Database'!A498="","",N('Project Database'!AO498))</f>
        <v/>
      </c>
      <c r="BW494" s="5">
        <f>IF('Project Database'!A498="","",N('Project Database'!AP498))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</row>
    <row r="495" ht="15" customHeight="1" s="74">
      <c r="A495" s="66">
        <f>'Project Database'!A499</f>
        <v/>
      </c>
      <c r="B495" s="66">
        <f>'Project Database'!B499</f>
        <v/>
      </c>
      <c r="C495" s="66">
        <f>'Project Database'!G499</f>
        <v/>
      </c>
      <c r="D495" s="66">
        <f>'Project Database'!H499</f>
        <v/>
      </c>
      <c r="E495" s="66">
        <f>'Project Database'!I499</f>
        <v/>
      </c>
      <c r="F495" s="66">
        <f>'Project Database'!J499</f>
        <v/>
      </c>
      <c r="G495" s="66">
        <f>'Project Database'!K499</f>
        <v/>
      </c>
      <c r="H495" s="66">
        <f>'Project Database'!L499</f>
        <v/>
      </c>
      <c r="I495" s="66">
        <f>'Project Database'!M499</f>
        <v/>
      </c>
      <c r="J495" s="66">
        <f>'Project Database'!N499</f>
        <v/>
      </c>
      <c r="K495" s="66">
        <f>'Project Database'!O499</f>
        <v/>
      </c>
      <c r="L495" s="66">
        <f>'Project Database'!P499</f>
        <v/>
      </c>
      <c r="M495" s="66">
        <f>'Project Database'!Q499</f>
        <v/>
      </c>
      <c r="N495" s="66">
        <f>'Project Database'!R499</f>
        <v/>
      </c>
      <c r="O495" s="66">
        <f>'Project Database'!S499</f>
        <v/>
      </c>
      <c r="P495" s="66">
        <f>'Project Database'!T499</f>
        <v/>
      </c>
      <c r="Q495" s="66">
        <f>'Project Database'!U499</f>
        <v/>
      </c>
      <c r="R495" s="66">
        <f>'Project Database'!V499</f>
        <v/>
      </c>
      <c r="S495" s="66">
        <f>'Project Database'!W499</f>
        <v/>
      </c>
      <c r="T495" s="66">
        <f>'Project Database'!X499</f>
        <v/>
      </c>
      <c r="U495" s="67">
        <f>'Project Database'!Y499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'Project Database'!Z499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IF(AND('Project Database'!A499&lt;&gt;"",OR('Smart Search'!$L$5="",'Smart Search'!$L$5="All",TRIM('Project Database'!D499)=TRIM('Smart Search'!$L$5)),OR(TRIM('Smart Search'!$L$6)="",TRIM('Smart Search'!$L$6)="All",ISNUMBER(SEARCH(SUBSTITUTE(SUBSTITUTE(SUBSTITUTE(TRIM('Smart Search'!$L$6),"~","~~"),"*","~*"),"?","~?"),'Project Database'!C499))),OR('Smart Search'!$L$7="",AND('Project Database'!E499&lt;&gt;"",'Project Database'!E499='Smart Search'!$L$7)),OR('Smart Search'!$L$8="",'Smart Search'!$L$8="All",TRIM('Project Database'!F499)=TRIM('Smart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IF('Project Database'!A499="","",N('Project Database'!AC499))</f>
        <v/>
      </c>
      <c r="BK495" s="5">
        <f>IF('Project Database'!A499="","",N('Project Database'!AD499))</f>
        <v/>
      </c>
      <c r="BL495" s="5">
        <f>IF('Project Database'!A499="","",N('Project Database'!AE499))</f>
        <v/>
      </c>
      <c r="BM495" s="5">
        <f>IF('Project Database'!A499="","",N('Project Database'!AF499))</f>
        <v/>
      </c>
      <c r="BN495" s="5">
        <f>IF('Project Database'!A499="","",N('Project Database'!AG499))</f>
        <v/>
      </c>
      <c r="BO495" s="5">
        <f>IF('Project Database'!A499="","",N('Project Database'!AH499))</f>
        <v/>
      </c>
      <c r="BP495" s="5">
        <f>IF('Project Database'!A499="","",N('Project Database'!AI499))</f>
        <v/>
      </c>
      <c r="BQ495" s="5">
        <f>IF('Project Database'!A499="","",N('Project Database'!AJ499))</f>
        <v/>
      </c>
      <c r="BR495" s="5">
        <f>IF('Project Database'!A499="","",N('Project Database'!AK499))</f>
        <v/>
      </c>
      <c r="BS495" s="5">
        <f>IF('Project Database'!A499="","",N('Project Database'!AL499))</f>
        <v/>
      </c>
      <c r="BT495" s="5">
        <f>IF('Project Database'!A499="","",N('Project Database'!AM499))</f>
        <v/>
      </c>
      <c r="BU495" s="5">
        <f>IF('Project Database'!A499="","",N('Project Database'!AN499))</f>
        <v/>
      </c>
      <c r="BV495" s="5">
        <f>IF('Project Database'!A499="","",N('Project Database'!AO499))</f>
        <v/>
      </c>
      <c r="BW495" s="5">
        <f>IF('Project Database'!A499="","",N('Project Database'!AP499))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</row>
    <row r="496" ht="15" customHeight="1" s="74">
      <c r="A496" s="66">
        <f>'Project Database'!A500</f>
        <v/>
      </c>
      <c r="B496" s="66">
        <f>'Project Database'!B500</f>
        <v/>
      </c>
      <c r="C496" s="66">
        <f>'Project Database'!G500</f>
        <v/>
      </c>
      <c r="D496" s="66">
        <f>'Project Database'!H500</f>
        <v/>
      </c>
      <c r="E496" s="66">
        <f>'Project Database'!I500</f>
        <v/>
      </c>
      <c r="F496" s="66">
        <f>'Project Database'!J500</f>
        <v/>
      </c>
      <c r="G496" s="66">
        <f>'Project Database'!K500</f>
        <v/>
      </c>
      <c r="H496" s="66">
        <f>'Project Database'!L500</f>
        <v/>
      </c>
      <c r="I496" s="66">
        <f>'Project Database'!M500</f>
        <v/>
      </c>
      <c r="J496" s="66">
        <f>'Project Database'!N500</f>
        <v/>
      </c>
      <c r="K496" s="66">
        <f>'Project Database'!O500</f>
        <v/>
      </c>
      <c r="L496" s="66">
        <f>'Project Database'!P500</f>
        <v/>
      </c>
      <c r="M496" s="66">
        <f>'Project Database'!Q500</f>
        <v/>
      </c>
      <c r="N496" s="66">
        <f>'Project Database'!R500</f>
        <v/>
      </c>
      <c r="O496" s="66">
        <f>'Project Database'!S500</f>
        <v/>
      </c>
      <c r="P496" s="66">
        <f>'Project Database'!T500</f>
        <v/>
      </c>
      <c r="Q496" s="66">
        <f>'Project Database'!U500</f>
        <v/>
      </c>
      <c r="R496" s="66">
        <f>'Project Database'!V500</f>
        <v/>
      </c>
      <c r="S496" s="66">
        <f>'Project Database'!W500</f>
        <v/>
      </c>
      <c r="T496" s="66">
        <f>'Project Database'!X500</f>
        <v/>
      </c>
      <c r="U496" s="67">
        <f>'Project Database'!Y500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'Project Database'!Z500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IF(AND('Project Database'!A500&lt;&gt;"",OR('Smart Search'!$L$5="",'Smart Search'!$L$5="All",TRIM('Project Database'!D500)=TRIM('Smart Search'!$L$5)),OR(TRIM('Smart Search'!$L$6)="",TRIM('Smart Search'!$L$6)="All",ISNUMBER(SEARCH(SUBSTITUTE(SUBSTITUTE(SUBSTITUTE(TRIM('Smart Search'!$L$6),"~","~~"),"*","~*"),"?","~?"),'Project Database'!C500))),OR('Smart Search'!$L$7="",AND('Project Database'!E500&lt;&gt;"",'Project Database'!E500='Smart Search'!$L$7)),OR('Smart Search'!$L$8="",'Smart Search'!$L$8="All",TRIM('Project Database'!F500)=TRIM('Smart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IF('Project Database'!A500="","",N('Project Database'!AC500))</f>
        <v/>
      </c>
      <c r="BK496" s="5">
        <f>IF('Project Database'!A500="","",N('Project Database'!AD500))</f>
        <v/>
      </c>
      <c r="BL496" s="5">
        <f>IF('Project Database'!A500="","",N('Project Database'!AE500))</f>
        <v/>
      </c>
      <c r="BM496" s="5">
        <f>IF('Project Database'!A500="","",N('Project Database'!AF500))</f>
        <v/>
      </c>
      <c r="BN496" s="5">
        <f>IF('Project Database'!A500="","",N('Project Database'!AG500))</f>
        <v/>
      </c>
      <c r="BO496" s="5">
        <f>IF('Project Database'!A500="","",N('Project Database'!AH500))</f>
        <v/>
      </c>
      <c r="BP496" s="5">
        <f>IF('Project Database'!A500="","",N('Project Database'!AI500))</f>
        <v/>
      </c>
      <c r="BQ496" s="5">
        <f>IF('Project Database'!A500="","",N('Project Database'!AJ500))</f>
        <v/>
      </c>
      <c r="BR496" s="5">
        <f>IF('Project Database'!A500="","",N('Project Database'!AK500))</f>
        <v/>
      </c>
      <c r="BS496" s="5">
        <f>IF('Project Database'!A500="","",N('Project Database'!AL500))</f>
        <v/>
      </c>
      <c r="BT496" s="5">
        <f>IF('Project Database'!A500="","",N('Project Database'!AM500))</f>
        <v/>
      </c>
      <c r="BU496" s="5">
        <f>IF('Project Database'!A500="","",N('Project Database'!AN500))</f>
        <v/>
      </c>
      <c r="BV496" s="5">
        <f>IF('Project Database'!A500="","",N('Project Database'!AO500))</f>
        <v/>
      </c>
      <c r="BW496" s="5">
        <f>IF('Project Database'!A500="","",N('Project Database'!AP500))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</row>
    <row r="497" ht="15" customHeight="1" s="74">
      <c r="A497" s="66">
        <f>'Project Database'!A501</f>
        <v/>
      </c>
      <c r="B497" s="66">
        <f>'Project Database'!B501</f>
        <v/>
      </c>
      <c r="C497" s="66">
        <f>'Project Database'!G501</f>
        <v/>
      </c>
      <c r="D497" s="66">
        <f>'Project Database'!H501</f>
        <v/>
      </c>
      <c r="E497" s="66">
        <f>'Project Database'!I501</f>
        <v/>
      </c>
      <c r="F497" s="66">
        <f>'Project Database'!J501</f>
        <v/>
      </c>
      <c r="G497" s="66">
        <f>'Project Database'!K501</f>
        <v/>
      </c>
      <c r="H497" s="66">
        <f>'Project Database'!L501</f>
        <v/>
      </c>
      <c r="I497" s="66">
        <f>'Project Database'!M501</f>
        <v/>
      </c>
      <c r="J497" s="66">
        <f>'Project Database'!N501</f>
        <v/>
      </c>
      <c r="K497" s="66">
        <f>'Project Database'!O501</f>
        <v/>
      </c>
      <c r="L497" s="66">
        <f>'Project Database'!P501</f>
        <v/>
      </c>
      <c r="M497" s="66">
        <f>'Project Database'!Q501</f>
        <v/>
      </c>
      <c r="N497" s="66">
        <f>'Project Database'!R501</f>
        <v/>
      </c>
      <c r="O497" s="66">
        <f>'Project Database'!S501</f>
        <v/>
      </c>
      <c r="P497" s="66">
        <f>'Project Database'!T501</f>
        <v/>
      </c>
      <c r="Q497" s="66">
        <f>'Project Database'!U501</f>
        <v/>
      </c>
      <c r="R497" s="66">
        <f>'Project Database'!V501</f>
        <v/>
      </c>
      <c r="S497" s="66">
        <f>'Project Database'!W501</f>
        <v/>
      </c>
      <c r="T497" s="66">
        <f>'Project Database'!X501</f>
        <v/>
      </c>
      <c r="U497" s="67">
        <f>'Project Database'!Y501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'Project Database'!Z501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IF(AND('Project Database'!A501&lt;&gt;"",OR('Smart Search'!$L$5="",'Smart Search'!$L$5="All",TRIM('Project Database'!D501)=TRIM('Smart Search'!$L$5)),OR(TRIM('Smart Search'!$L$6)="",TRIM('Smart Search'!$L$6)="All",ISNUMBER(SEARCH(SUBSTITUTE(SUBSTITUTE(SUBSTITUTE(TRIM('Smart Search'!$L$6),"~","~~"),"*","~*"),"?","~?"),'Project Database'!C501))),OR('Smart Search'!$L$7="",AND('Project Database'!E501&lt;&gt;"",'Project Database'!E501='Smart Search'!$L$7)),OR('Smart Search'!$L$8="",'Smart Search'!$L$8="All",TRIM('Project Database'!F501)=TRIM('Smart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IF('Project Database'!A501="","",N('Project Database'!AC501))</f>
        <v/>
      </c>
      <c r="BK497" s="5">
        <f>IF('Project Database'!A501="","",N('Project Database'!AD501))</f>
        <v/>
      </c>
      <c r="BL497" s="5">
        <f>IF('Project Database'!A501="","",N('Project Database'!AE501))</f>
        <v/>
      </c>
      <c r="BM497" s="5">
        <f>IF('Project Database'!A501="","",N('Project Database'!AF501))</f>
        <v/>
      </c>
      <c r="BN497" s="5">
        <f>IF('Project Database'!A501="","",N('Project Database'!AG501))</f>
        <v/>
      </c>
      <c r="BO497" s="5">
        <f>IF('Project Database'!A501="","",N('Project Database'!AH501))</f>
        <v/>
      </c>
      <c r="BP497" s="5">
        <f>IF('Project Database'!A501="","",N('Project Database'!AI501))</f>
        <v/>
      </c>
      <c r="BQ497" s="5">
        <f>IF('Project Database'!A501="","",N('Project Database'!AJ501))</f>
        <v/>
      </c>
      <c r="BR497" s="5">
        <f>IF('Project Database'!A501="","",N('Project Database'!AK501))</f>
        <v/>
      </c>
      <c r="BS497" s="5">
        <f>IF('Project Database'!A501="","",N('Project Database'!AL501))</f>
        <v/>
      </c>
      <c r="BT497" s="5">
        <f>IF('Project Database'!A501="","",N('Project Database'!AM501))</f>
        <v/>
      </c>
      <c r="BU497" s="5">
        <f>IF('Project Database'!A501="","",N('Project Database'!AN501))</f>
        <v/>
      </c>
      <c r="BV497" s="5">
        <f>IF('Project Database'!A501="","",N('Project Database'!AO501))</f>
        <v/>
      </c>
      <c r="BW497" s="5">
        <f>IF('Project Database'!A501="","",N('Project Database'!AP501))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</row>
    <row r="498" ht="15" customHeight="1" s="74">
      <c r="A498" s="66">
        <f>'Project Database'!A502</f>
        <v/>
      </c>
      <c r="B498" s="66">
        <f>'Project Database'!B502</f>
        <v/>
      </c>
      <c r="C498" s="66">
        <f>'Project Database'!G502</f>
        <v/>
      </c>
      <c r="D498" s="66">
        <f>'Project Database'!H502</f>
        <v/>
      </c>
      <c r="E498" s="66">
        <f>'Project Database'!I502</f>
        <v/>
      </c>
      <c r="F498" s="66">
        <f>'Project Database'!J502</f>
        <v/>
      </c>
      <c r="G498" s="66">
        <f>'Project Database'!K502</f>
        <v/>
      </c>
      <c r="H498" s="66">
        <f>'Project Database'!L502</f>
        <v/>
      </c>
      <c r="I498" s="66">
        <f>'Project Database'!M502</f>
        <v/>
      </c>
      <c r="J498" s="66">
        <f>'Project Database'!N502</f>
        <v/>
      </c>
      <c r="K498" s="66">
        <f>'Project Database'!O502</f>
        <v/>
      </c>
      <c r="L498" s="66">
        <f>'Project Database'!P502</f>
        <v/>
      </c>
      <c r="M498" s="66">
        <f>'Project Database'!Q502</f>
        <v/>
      </c>
      <c r="N498" s="66">
        <f>'Project Database'!R502</f>
        <v/>
      </c>
      <c r="O498" s="66">
        <f>'Project Database'!S502</f>
        <v/>
      </c>
      <c r="P498" s="66">
        <f>'Project Database'!T502</f>
        <v/>
      </c>
      <c r="Q498" s="66">
        <f>'Project Database'!U502</f>
        <v/>
      </c>
      <c r="R498" s="66">
        <f>'Project Database'!V502</f>
        <v/>
      </c>
      <c r="S498" s="66">
        <f>'Project Database'!W502</f>
        <v/>
      </c>
      <c r="T498" s="66">
        <f>'Project Database'!X502</f>
        <v/>
      </c>
      <c r="U498" s="67">
        <f>'Project Database'!Y502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'Project Database'!Z502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IF(AND('Project Database'!A502&lt;&gt;"",OR('Smart Search'!$L$5="",'Smart Search'!$L$5="All",TRIM('Project Database'!D502)=TRIM('Smart Search'!$L$5)),OR(TRIM('Smart Search'!$L$6)="",TRIM('Smart Search'!$L$6)="All",ISNUMBER(SEARCH(SUBSTITUTE(SUBSTITUTE(SUBSTITUTE(TRIM('Smart Search'!$L$6),"~","~~"),"*","~*"),"?","~?"),'Project Database'!C502))),OR('Smart Search'!$L$7="",AND('Project Database'!E502&lt;&gt;"",'Project Database'!E502='Smart Search'!$L$7)),OR('Smart Search'!$L$8="",'Smart Search'!$L$8="All",TRIM('Project Database'!F502)=TRIM('Smart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IF('Project Database'!A502="","",N('Project Database'!AC502))</f>
        <v/>
      </c>
      <c r="BK498" s="5">
        <f>IF('Project Database'!A502="","",N('Project Database'!AD502))</f>
        <v/>
      </c>
      <c r="BL498" s="5">
        <f>IF('Project Database'!A502="","",N('Project Database'!AE502))</f>
        <v/>
      </c>
      <c r="BM498" s="5">
        <f>IF('Project Database'!A502="","",N('Project Database'!AF502))</f>
        <v/>
      </c>
      <c r="BN498" s="5">
        <f>IF('Project Database'!A502="","",N('Project Database'!AG502))</f>
        <v/>
      </c>
      <c r="BO498" s="5">
        <f>IF('Project Database'!A502="","",N('Project Database'!AH502))</f>
        <v/>
      </c>
      <c r="BP498" s="5">
        <f>IF('Project Database'!A502="","",N('Project Database'!AI502))</f>
        <v/>
      </c>
      <c r="BQ498" s="5">
        <f>IF('Project Database'!A502="","",N('Project Database'!AJ502))</f>
        <v/>
      </c>
      <c r="BR498" s="5">
        <f>IF('Project Database'!A502="","",N('Project Database'!AK502))</f>
        <v/>
      </c>
      <c r="BS498" s="5">
        <f>IF('Project Database'!A502="","",N('Project Database'!AL502))</f>
        <v/>
      </c>
      <c r="BT498" s="5">
        <f>IF('Project Database'!A502="","",N('Project Database'!AM502))</f>
        <v/>
      </c>
      <c r="BU498" s="5">
        <f>IF('Project Database'!A502="","",N('Project Database'!AN502))</f>
        <v/>
      </c>
      <c r="BV498" s="5">
        <f>IF('Project Database'!A502="","",N('Project Database'!AO502))</f>
        <v/>
      </c>
      <c r="BW498" s="5">
        <f>IF('Project Database'!A502="","",N('Project Database'!AP502))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</row>
    <row r="499" ht="15" customHeight="1" s="74">
      <c r="A499" s="66">
        <f>'Project Database'!A503</f>
        <v/>
      </c>
      <c r="B499" s="66">
        <f>'Project Database'!B503</f>
        <v/>
      </c>
      <c r="C499" s="66">
        <f>'Project Database'!G503</f>
        <v/>
      </c>
      <c r="D499" s="66">
        <f>'Project Database'!H503</f>
        <v/>
      </c>
      <c r="E499" s="66">
        <f>'Project Database'!I503</f>
        <v/>
      </c>
      <c r="F499" s="66">
        <f>'Project Database'!J503</f>
        <v/>
      </c>
      <c r="G499" s="66">
        <f>'Project Database'!K503</f>
        <v/>
      </c>
      <c r="H499" s="66">
        <f>'Project Database'!L503</f>
        <v/>
      </c>
      <c r="I499" s="66">
        <f>'Project Database'!M503</f>
        <v/>
      </c>
      <c r="J499" s="66">
        <f>'Project Database'!N503</f>
        <v/>
      </c>
      <c r="K499" s="66">
        <f>'Project Database'!O503</f>
        <v/>
      </c>
      <c r="L499" s="66">
        <f>'Project Database'!P503</f>
        <v/>
      </c>
      <c r="M499" s="66">
        <f>'Project Database'!Q503</f>
        <v/>
      </c>
      <c r="N499" s="66">
        <f>'Project Database'!R503</f>
        <v/>
      </c>
      <c r="O499" s="66">
        <f>'Project Database'!S503</f>
        <v/>
      </c>
      <c r="P499" s="66">
        <f>'Project Database'!T503</f>
        <v/>
      </c>
      <c r="Q499" s="66">
        <f>'Project Database'!U503</f>
        <v/>
      </c>
      <c r="R499" s="66">
        <f>'Project Database'!V503</f>
        <v/>
      </c>
      <c r="S499" s="66">
        <f>'Project Database'!W503</f>
        <v/>
      </c>
      <c r="T499" s="66">
        <f>'Project Database'!X503</f>
        <v/>
      </c>
      <c r="U499" s="67">
        <f>'Project Database'!Y503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'Project Database'!Z503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IF(AND('Project Database'!A503&lt;&gt;"",OR('Smart Search'!$L$5="",'Smart Search'!$L$5="All",TRIM('Project Database'!D503)=TRIM('Smart Search'!$L$5)),OR(TRIM('Smart Search'!$L$6)="",TRIM('Smart Search'!$L$6)="All",ISNUMBER(SEARCH(SUBSTITUTE(SUBSTITUTE(SUBSTITUTE(TRIM('Smart Search'!$L$6),"~","~~"),"*","~*"),"?","~?"),'Project Database'!C503))),OR('Smart Search'!$L$7="",AND('Project Database'!E503&lt;&gt;"",'Project Database'!E503='Smart Search'!$L$7)),OR('Smart Search'!$L$8="",'Smart Search'!$L$8="All",TRIM('Project Database'!F503)=TRIM('Smart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IF('Project Database'!A503="","",N('Project Database'!AC503))</f>
        <v/>
      </c>
      <c r="BK499" s="5">
        <f>IF('Project Database'!A503="","",N('Project Database'!AD503))</f>
        <v/>
      </c>
      <c r="BL499" s="5">
        <f>IF('Project Database'!A503="","",N('Project Database'!AE503))</f>
        <v/>
      </c>
      <c r="BM499" s="5">
        <f>IF('Project Database'!A503="","",N('Project Database'!AF503))</f>
        <v/>
      </c>
      <c r="BN499" s="5">
        <f>IF('Project Database'!A503="","",N('Project Database'!AG503))</f>
        <v/>
      </c>
      <c r="BO499" s="5">
        <f>IF('Project Database'!A503="","",N('Project Database'!AH503))</f>
        <v/>
      </c>
      <c r="BP499" s="5">
        <f>IF('Project Database'!A503="","",N('Project Database'!AI503))</f>
        <v/>
      </c>
      <c r="BQ499" s="5">
        <f>IF('Project Database'!A503="","",N('Project Database'!AJ503))</f>
        <v/>
      </c>
      <c r="BR499" s="5">
        <f>IF('Project Database'!A503="","",N('Project Database'!AK503))</f>
        <v/>
      </c>
      <c r="BS499" s="5">
        <f>IF('Project Database'!A503="","",N('Project Database'!AL503))</f>
        <v/>
      </c>
      <c r="BT499" s="5">
        <f>IF('Project Database'!A503="","",N('Project Database'!AM503))</f>
        <v/>
      </c>
      <c r="BU499" s="5">
        <f>IF('Project Database'!A503="","",N('Project Database'!AN503))</f>
        <v/>
      </c>
      <c r="BV499" s="5">
        <f>IF('Project Database'!A503="","",N('Project Database'!AO503))</f>
        <v/>
      </c>
      <c r="BW499" s="5">
        <f>IF('Project Database'!A503="","",N('Project Database'!AP503))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</row>
    <row r="500" ht="15" customHeight="1" s="74">
      <c r="A500" s="66">
        <f>'Project Database'!A504</f>
        <v/>
      </c>
      <c r="B500" s="66">
        <f>'Project Database'!B504</f>
        <v/>
      </c>
      <c r="C500" s="66">
        <f>'Project Database'!G504</f>
        <v/>
      </c>
      <c r="D500" s="66">
        <f>'Project Database'!H504</f>
        <v/>
      </c>
      <c r="E500" s="66">
        <f>'Project Database'!I504</f>
        <v/>
      </c>
      <c r="F500" s="66">
        <f>'Project Database'!J504</f>
        <v/>
      </c>
      <c r="G500" s="66">
        <f>'Project Database'!K504</f>
        <v/>
      </c>
      <c r="H500" s="66">
        <f>'Project Database'!L504</f>
        <v/>
      </c>
      <c r="I500" s="66">
        <f>'Project Database'!M504</f>
        <v/>
      </c>
      <c r="J500" s="66">
        <f>'Project Database'!N504</f>
        <v/>
      </c>
      <c r="K500" s="66">
        <f>'Project Database'!O504</f>
        <v/>
      </c>
      <c r="L500" s="66">
        <f>'Project Database'!P504</f>
        <v/>
      </c>
      <c r="M500" s="66">
        <f>'Project Database'!Q504</f>
        <v/>
      </c>
      <c r="N500" s="66">
        <f>'Project Database'!R504</f>
        <v/>
      </c>
      <c r="O500" s="66">
        <f>'Project Database'!S504</f>
        <v/>
      </c>
      <c r="P500" s="66">
        <f>'Project Database'!T504</f>
        <v/>
      </c>
      <c r="Q500" s="66">
        <f>'Project Database'!U504</f>
        <v/>
      </c>
      <c r="R500" s="66">
        <f>'Project Database'!V504</f>
        <v/>
      </c>
      <c r="S500" s="66">
        <f>'Project Database'!W504</f>
        <v/>
      </c>
      <c r="T500" s="66">
        <f>'Project Database'!X504</f>
        <v/>
      </c>
      <c r="U500" s="67">
        <f>'Project Database'!Y504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'Project Database'!Z504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IF(AND('Project Database'!A504&lt;&gt;"",OR('Smart Search'!$L$5="",'Smart Search'!$L$5="All",TRIM('Project Database'!D504)=TRIM('Smart Search'!$L$5)),OR(TRIM('Smart Search'!$L$6)="",TRIM('Smart Search'!$L$6)="All",ISNUMBER(SEARCH(SUBSTITUTE(SUBSTITUTE(SUBSTITUTE(TRIM('Smart Search'!$L$6),"~","~~"),"*","~*"),"?","~?"),'Project Database'!C504))),OR('Smart Search'!$L$7="",AND('Project Database'!E504&lt;&gt;"",'Project Database'!E504='Smart Search'!$L$7)),OR('Smart Search'!$L$8="",'Smart Search'!$L$8="All",TRIM('Project Database'!F504)=TRIM('Smart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IF('Project Database'!A504="","",N('Project Database'!AC504))</f>
        <v/>
      </c>
      <c r="BK500" s="5">
        <f>IF('Project Database'!A504="","",N('Project Database'!AD504))</f>
        <v/>
      </c>
      <c r="BL500" s="5">
        <f>IF('Project Database'!A504="","",N('Project Database'!AE504))</f>
        <v/>
      </c>
      <c r="BM500" s="5">
        <f>IF('Project Database'!A504="","",N('Project Database'!AF504))</f>
        <v/>
      </c>
      <c r="BN500" s="5">
        <f>IF('Project Database'!A504="","",N('Project Database'!AG504))</f>
        <v/>
      </c>
      <c r="BO500" s="5">
        <f>IF('Project Database'!A504="","",N('Project Database'!AH504))</f>
        <v/>
      </c>
      <c r="BP500" s="5">
        <f>IF('Project Database'!A504="","",N('Project Database'!AI504))</f>
        <v/>
      </c>
      <c r="BQ500" s="5">
        <f>IF('Project Database'!A504="","",N('Project Database'!AJ504))</f>
        <v/>
      </c>
      <c r="BR500" s="5">
        <f>IF('Project Database'!A504="","",N('Project Database'!AK504))</f>
        <v/>
      </c>
      <c r="BS500" s="5">
        <f>IF('Project Database'!A504="","",N('Project Database'!AL504))</f>
        <v/>
      </c>
      <c r="BT500" s="5">
        <f>IF('Project Database'!A504="","",N('Project Database'!AM504))</f>
        <v/>
      </c>
      <c r="BU500" s="5">
        <f>IF('Project Database'!A504="","",N('Project Database'!AN504))</f>
        <v/>
      </c>
      <c r="BV500" s="5">
        <f>IF('Project Database'!A504="","",N('Project Database'!AO504))</f>
        <v/>
      </c>
      <c r="BW500" s="5">
        <f>IF('Project Database'!A504="","",N('Project Database'!AP504))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</row>
    <row r="501" ht="15" customHeight="1" s="74">
      <c r="A501" s="66">
        <f>'Project Database'!A505</f>
        <v/>
      </c>
      <c r="B501" s="66">
        <f>'Project Database'!B505</f>
        <v/>
      </c>
      <c r="C501" s="66">
        <f>'Project Database'!G505</f>
        <v/>
      </c>
      <c r="D501" s="66">
        <f>'Project Database'!H505</f>
        <v/>
      </c>
      <c r="E501" s="66">
        <f>'Project Database'!I505</f>
        <v/>
      </c>
      <c r="F501" s="66">
        <f>'Project Database'!J505</f>
        <v/>
      </c>
      <c r="G501" s="66">
        <f>'Project Database'!K505</f>
        <v/>
      </c>
      <c r="H501" s="66">
        <f>'Project Database'!L505</f>
        <v/>
      </c>
      <c r="I501" s="66">
        <f>'Project Database'!M505</f>
        <v/>
      </c>
      <c r="J501" s="66">
        <f>'Project Database'!N505</f>
        <v/>
      </c>
      <c r="K501" s="66">
        <f>'Project Database'!O505</f>
        <v/>
      </c>
      <c r="L501" s="66">
        <f>'Project Database'!P505</f>
        <v/>
      </c>
      <c r="M501" s="66">
        <f>'Project Database'!Q505</f>
        <v/>
      </c>
      <c r="N501" s="66">
        <f>'Project Database'!R505</f>
        <v/>
      </c>
      <c r="O501" s="66">
        <f>'Project Database'!S505</f>
        <v/>
      </c>
      <c r="P501" s="66">
        <f>'Project Database'!T505</f>
        <v/>
      </c>
      <c r="Q501" s="66">
        <f>'Project Database'!U505</f>
        <v/>
      </c>
      <c r="R501" s="66">
        <f>'Project Database'!V505</f>
        <v/>
      </c>
      <c r="S501" s="66">
        <f>'Project Database'!W505</f>
        <v/>
      </c>
      <c r="T501" s="66">
        <f>'Project Database'!X505</f>
        <v/>
      </c>
      <c r="U501" s="67">
        <f>'Project Database'!Y505</f>
        <v/>
      </c>
      <c r="V501" s="66">
        <f>IF('Smart Search'!B13=1,IFERROR(1/'Smart Search'!H13,0),0)</f>
        <v/>
      </c>
      <c r="W501" s="66">
        <f>IF('Smart Search'!B13=1,IFERROR(1/'Smart Search'!H13,0),0)</f>
        <v/>
      </c>
      <c r="X501" s="66">
        <f>IF('Smart Search'!C13=1,IFERROR(1/'Smart Search'!H13,0),0)</f>
        <v/>
      </c>
      <c r="Y501" s="66">
        <f>IF('Smart Search'!C13=1,IFERROR(1/'Smart Search'!H13,0),0)</f>
        <v/>
      </c>
      <c r="Z501" s="66">
        <f>IF('Smart Search'!D13=1,IFERROR(1/'Smart Search'!H13,0),0)</f>
        <v/>
      </c>
      <c r="AA501" s="66">
        <f>IF('Smart Search'!D13=1,IFERROR(1/'Smart Search'!H13,0),0)</f>
        <v/>
      </c>
      <c r="AB501" s="66">
        <f>IF('Smart Search'!E13=1,IFERROR(1/'Smart Search'!H13,0),0)</f>
        <v/>
      </c>
      <c r="AC501" s="66">
        <f>IF('Smart Search'!E13=1,IFERROR(1/'Smart Search'!H13,0),0)</f>
        <v/>
      </c>
      <c r="AD501" s="66">
        <f>IF('Smart Search'!F13=1,IFERROR(1/'Smart Search'!H13,0),0)</f>
        <v/>
      </c>
      <c r="AE501" s="66">
        <f>IF('Smart Search'!F13=1,IFERROR(1/'Smart Search'!H13,0),0)</f>
        <v/>
      </c>
      <c r="AF501" s="66">
        <f>IF('Smart Search'!B13=0,0,IF(AND(OR(C501="",C501=0),OR('Smart Search'!E5="",'Smart Search'!E5=0)),1,IF(OR(C501="",C501=0,'Smart Search'!E5="",'Smart Search'!E5=0),0,MAX(0,1-ABS(C501-'Smart Search'!E5)/MAX(ABS(C501),ABS('Smart Search'!E5))))))</f>
        <v/>
      </c>
      <c r="AG501" s="66">
        <f>IF('Smart Search'!B13=0,0,IF(AND(OR(D501="",D501=0),OR('Smart Search'!G5="",'Smart Search'!G5=0)),1,IF(OR(D501="",D501=0,'Smart Search'!G5="",'Smart Search'!G5=0),0,MAX(0,1-ABS(D501-'Smart Search'!G5)/MAX(ABS(D501),ABS('Smart Search'!G5))))))</f>
        <v/>
      </c>
      <c r="AH501" s="66">
        <f>IF('Smart Search'!C13=0,0,IF(AND(OR(E501="",E501=0),OR('Smart Search'!E6="",'Smart Search'!E6=0)),1,IF(OR(E501="",E501=0,'Smart Search'!E6="",'Smart Search'!E6=0),0,MAX(0,1-ABS(E501-'Smart Search'!E6)/MAX(ABS(E501),ABS('Smart Search'!E6))))))</f>
        <v/>
      </c>
      <c r="AI501" s="66">
        <f>IF('Smart Search'!C13=0,0,IF(AND(OR(F501="",F501=0),OR('Smart Search'!G6="",'Smart Search'!G6=0)),1,IF(OR(F501="",F501=0,'Smart Search'!G6="",'Smart Search'!G6=0),0,MAX(0,1-ABS(F501-'Smart Search'!G6)/MAX(ABS(F501),ABS('Smart Search'!G6))))))</f>
        <v/>
      </c>
      <c r="AJ501" s="66">
        <f>IF('Smart Search'!D13=0,0,IF(AND(OR(G501="",G501=0),OR('Smart Search'!E7="",'Smart Search'!E7=0)),1,IF(OR(G501="",G501=0,'Smart Search'!E7="",'Smart Search'!E7=0),0,MAX(0,1-ABS(G501-'Smart Search'!E7)/MAX(ABS(G501),ABS('Smart Search'!E7))))))</f>
        <v/>
      </c>
      <c r="AK501" s="66">
        <f>IF('Smart Search'!D13=0,0,IF(AND(OR(H501="",H501=0),OR('Smart Search'!G7="",'Smart Search'!G7=0)),1,IF(OR(H501="",H501=0,'Smart Search'!G7="",'Smart Search'!G7=0),0,MAX(0,1-ABS(H501-'Smart Search'!G7)/MAX(ABS(H501),ABS('Smart Search'!G7))))))</f>
        <v/>
      </c>
      <c r="AL501" s="66">
        <f>IF('Smart Search'!E13=0,0,IF(AND(OR(I501="",I501=0),OR('Smart Search'!E8="",'Smart Search'!E8=0)),1,IF(OR(I501="",I501=0,'Smart Search'!E8="",'Smart Search'!E8=0),0,MAX(0,1-ABS(I501-'Smart Search'!E8)/MAX(ABS(I501),ABS('Smart Search'!E8))))))</f>
        <v/>
      </c>
      <c r="AM501" s="66">
        <f>IF('Smart Search'!E13=0,0,IF(AND(OR(J501="",J501=0),OR('Smart Search'!G8="",'Smart Search'!G8=0)),1,IF(OR(J501="",J501=0,'Smart Search'!G8="",'Smart Search'!G8=0),0,MAX(0,1-ABS(J501-'Smart Search'!G8)/MAX(ABS(J501),ABS('Smart Search'!G8))))))</f>
        <v/>
      </c>
      <c r="AN501" s="66">
        <f>IF('Smart Search'!F13=0,0,IF(AND(OR(K501="",K501=0),OR('Smart Search'!E9="",'Smart Search'!E9=0)),1,IF(OR(K501="",K501=0,'Smart Search'!E9="",'Smart Search'!E9=0),0,MAX(0,1-ABS(K501-'Smart Search'!E9)/MAX(ABS(K501),ABS('Smart Search'!E9))))))</f>
        <v/>
      </c>
      <c r="AO501" s="66">
        <f>IF('Smart Search'!F13=0,0,IF(AND(OR(L501="",L501=0),OR('Smart Search'!G9="",'Smart Search'!G9=0)),1,IF(OR(L501="",L501=0,'Smart Search'!G9="",'Smart Search'!G9=0),0,MAX(0,1-ABS(L501-'Smart Search'!G9)/MAX(ABS(L501),ABS('Smart Search'!G9))))))</f>
        <v/>
      </c>
      <c r="AP501" s="66">
        <f>AF501*V501</f>
        <v/>
      </c>
      <c r="AQ501" s="66">
        <f>AG501*W501</f>
        <v/>
      </c>
      <c r="AR501" s="66">
        <f>AH501*X501</f>
        <v/>
      </c>
      <c r="AS501" s="66">
        <f>AI501*Y501</f>
        <v/>
      </c>
      <c r="AT501" s="66">
        <f>AJ501*Z501</f>
        <v/>
      </c>
      <c r="AU501" s="66">
        <f>AK501*AA501</f>
        <v/>
      </c>
      <c r="AV501" s="66">
        <f>AL501*AB501</f>
        <v/>
      </c>
      <c r="AW501" s="66">
        <f>AM501*AC501</f>
        <v/>
      </c>
      <c r="AX501" s="66">
        <f>AN501*AD501</f>
        <v/>
      </c>
      <c r="AY501" s="66">
        <f>AO501*AE501</f>
        <v/>
      </c>
      <c r="AZ501" s="66">
        <f>'Project Database'!Z505</f>
        <v/>
      </c>
      <c r="BA501" s="66">
        <f>IF(OR(A501="",'Smart Search'!H13=0),"",MAX(0,BE501*BF501*MAX(0,1-BG501)))</f>
        <v/>
      </c>
      <c r="BB501" s="66">
        <f>IF(OR('Smart Search'!G13=0,'Smart Search'!W13=0,AZ501=""),0,IFERROR(SUMPRODUCT((ISNUMBER(SEARCH(" "&amp;'Smart Search'!I13:V13&amp;" "," "&amp;AZ501&amp;" ")))*(LEN(TRIM('Smart Search'!I13:V13))&gt;0))/MAX('Smart Search'!W13,IF(TRIM(AZ501)="",0,LEN(TRIM(AZ501))-LEN(SUBSTITUTE(TRIM(AZ501)," ",""))+1)),0))</f>
        <v/>
      </c>
      <c r="BC501" s="66">
        <f>IF('Smart Search'!G13=1,IFERROR(1/'Smart Search'!H13,0),0)</f>
        <v/>
      </c>
      <c r="BD501" s="66">
        <f>BB501*BC501</f>
        <v/>
      </c>
      <c r="BE501" s="66">
        <f>AP501+AQ501+AR501+AS501+AT501+AU501+AV501+AW501+AX501+AY501+BD501</f>
        <v/>
      </c>
      <c r="BF501" s="5">
        <f>IFERROR((IF(AND('Smart Search'!B13=1,OR(C501&gt;0,D501&gt;0)),1,0)+IF(AND('Smart Search'!C13=1,OR(E501&gt;0,F501&gt;0)),1,0)+IF(AND('Smart Search'!D13=1,OR(G501&gt;0,H501&gt;0)),1,0)+IF(AND('Smart Search'!E13=1,OR(I501&gt;0,J501&gt;0)),1,0)+IF(AND('Smart Search'!F13=1,OR(K501&gt;0,L501&gt;0)),1,0))/('Smart Search'!B13+'Smart Search'!C13+'Smart Search'!D13+'Smart Search'!E13+'Smart Search'!F13),0)</f>
        <v/>
      </c>
      <c r="BG501" s="5">
        <f>IF(AND('Smart Search'!B13=0,OR(C501&gt;0,D501&gt;0)),0.25,0)+IF(AND('Smart Search'!C13=0,OR(E501&gt;0,F501&gt;0)),0.25,0)+IF(AND('Smart Search'!D13=0,OR(G501&gt;0,H501&gt;0)),0.25,0)+IF(AND('Smart Search'!E13=0,OR(I501&gt;0,J501&gt;0)),0.25,0)+IF(AND('Smart Search'!F13=0,OR(K501&gt;0,L501&gt;0)),0.25,0)</f>
        <v/>
      </c>
      <c r="BH501" s="5">
        <f>IF(AND('Project Database'!A505&lt;&gt;"",OR('Smart Search'!$L$5="",'Smart Search'!$L$5="All",TRIM('Project Database'!D505)=TRIM('Smart Search'!$L$5)),OR(TRIM('Smart Search'!$L$6)="",TRIM('Smart Search'!$L$6)="All",ISNUMBER(SEARCH(SUBSTITUTE(SUBSTITUTE(SUBSTITUTE(TRIM('Smart Search'!$L$6),"~","~~"),"*","~*"),"?","~?"),'Project Database'!C505))),OR('Smart Search'!$L$7="",AND('Project Database'!E505&lt;&gt;"",'Project Database'!E505='Smart Search'!$L$7)),OR('Smart Search'!$L$8="",'Smart Search'!$L$8="All",TRIM('Project Database'!F505)=TRIM('Smart Search'!$L$8))),IF(BA501="","",BA501+ROW()*0.0000000001),"")</f>
        <v/>
      </c>
      <c r="BI501" s="5">
        <f>IF(A501="","",IF(AND('Smart Search'!B13=0,OR(C501&gt;0,D501&gt;0)),"Multishuttle, ","")&amp;IF(AND('Smart Search'!C13=0,OR(E501&gt;0,F501&gt;0)),"AutoStore, ","")&amp;IF(AND('Smart Search'!D13=0,OR(G501&gt;0,H501&gt;0)),"Pallet Shuttle, ","")&amp;IF(AND('Smart Search'!E13=0,OR(I501&gt;0,J501&gt;0)),"SRM Crane, ",""))</f>
        <v/>
      </c>
      <c r="BJ501" s="5">
        <f>IF('Project Database'!A505="","",N('Project Database'!AC505))</f>
        <v/>
      </c>
      <c r="BK501" s="5">
        <f>IF('Project Database'!A505="","",N('Project Database'!AD505))</f>
        <v/>
      </c>
      <c r="BL501" s="5">
        <f>IF('Project Database'!A505="","",N('Project Database'!AE505))</f>
        <v/>
      </c>
      <c r="BM501" s="5">
        <f>IF('Project Database'!A505="","",N('Project Database'!AF505))</f>
        <v/>
      </c>
      <c r="BN501" s="5">
        <f>IF('Project Database'!A505="","",N('Project Database'!AG505))</f>
        <v/>
      </c>
      <c r="BO501" s="5">
        <f>IF('Project Database'!A505="","",N('Project Database'!AH505))</f>
        <v/>
      </c>
      <c r="BP501" s="5">
        <f>IF('Project Database'!A505="","",N('Project Database'!AI505))</f>
        <v/>
      </c>
      <c r="BQ501" s="5">
        <f>IF('Project Database'!A505="","",N('Project Database'!AJ505))</f>
        <v/>
      </c>
      <c r="BR501" s="5">
        <f>IF('Project Database'!A505="","",N('Project Database'!AK505))</f>
        <v/>
      </c>
      <c r="BS501" s="5">
        <f>IF('Project Database'!A505="","",N('Project Database'!AL505))</f>
        <v/>
      </c>
      <c r="BT501" s="5">
        <f>IF('Project Database'!A505="","",N('Project Database'!AM505))</f>
        <v/>
      </c>
      <c r="BU501" s="5">
        <f>IF('Project Database'!A505="","",N('Project Database'!AN505))</f>
        <v/>
      </c>
      <c r="BV501" s="5">
        <f>IF('Project Database'!A505="","",N('Project Database'!AO505))</f>
        <v/>
      </c>
      <c r="BW501" s="5">
        <f>IF('Project Database'!A505="","",N('Project Database'!AP505))</f>
        <v/>
      </c>
      <c r="BX501" s="5">
        <f>IF(A501="","",SUM(BJ501:BW501))</f>
        <v/>
      </c>
      <c r="BY501" s="5">
        <f>IF(A501="","",IFERROR(IF(ISNUMBER(U501),U501,VALUE(SUBSTITUTE(SUBSTITUTE(SUBSTITUTE(UPPER(TRIM(U501)),"M",""),",","")," ",""))),0))</f>
        <v/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3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67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68" t="n"/>
      <c r="C3" s="169" t="inlineStr">
        <is>
          <t xml:space="preserve">  RANK 1  —  Best Match</t>
        </is>
      </c>
      <c r="I3" s="153" t="n"/>
      <c r="J3" s="170" t="inlineStr">
        <is>
          <t xml:space="preserve">  RANK 2  —  2nd Match</t>
        </is>
      </c>
      <c r="P3" s="153" t="n"/>
      <c r="Q3" s="171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2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IFERROR(INDEX('Project Database'!C:C,MATCH(INDEX(_Helper!A2:A501,MATCH(LARGE(_Helper!BH2:BH501,1),_Helper!BH2:BH501,0)),'Project Database'!A:A,0)),"-")</f>
        <v/>
      </c>
      <c r="D8" s="91" t="n"/>
      <c r="E8" s="91" t="n"/>
      <c r="F8" s="91" t="n"/>
      <c r="G8" s="91" t="n"/>
      <c r="H8" s="91" t="n"/>
      <c r="I8" s="7" t="n"/>
      <c r="J8" s="136">
        <f>IFERROR(INDEX('Project Database'!C:C,MATCH(INDEX(_Helper!A2:A501,MATCH(LARGE(_Helper!BH2:BH501,2),_Helper!BH2:BH501,0)),'Project Database'!A:A,0)),"-")</f>
        <v/>
      </c>
      <c r="K8" s="91" t="n"/>
      <c r="L8" s="91" t="n"/>
      <c r="M8" s="91" t="n"/>
      <c r="N8" s="91" t="n"/>
      <c r="O8" s="91" t="n"/>
      <c r="P8" s="7" t="n"/>
      <c r="Q8" s="138">
        <f>IFERROR(INDEX('Project Database'!C:C,MATCH(INDEX(_Helper!A2:A501,MATCH(LARGE(_Helper!BH2:BH501,3),_Helper!BH2:BH501,0)),'Project Database'!A:A,0)),"-")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Year</t>
        </is>
      </c>
      <c r="B9" s="91" t="n"/>
      <c r="C9" s="135">
        <f>IFERROR(INDEX('Project Database'!E:E,MATCH(INDEX(_Helper!A2:A501,MATCH(LARGE(_Helper!BH2:BH501,1),_Helper!BH2:BH501,0)),'Project Database'!A:A,0)),"-")</f>
        <v/>
      </c>
      <c r="D9" s="91" t="n"/>
      <c r="E9" s="91" t="n"/>
      <c r="F9" s="91" t="n"/>
      <c r="G9" s="91" t="n"/>
      <c r="H9" s="91" t="n"/>
      <c r="I9" s="8" t="n"/>
      <c r="J9" s="136">
        <f>IFERROR(INDEX('Project Database'!E:E,MATCH(INDEX(_Helper!A2:A501,MATCH(LARGE(_Helper!BH2:BH501,2),_Helper!BH2:BH501,0)),'Project Database'!A:A,0)),"-")</f>
        <v/>
      </c>
      <c r="K9" s="91" t="n"/>
      <c r="L9" s="91" t="n"/>
      <c r="M9" s="91" t="n"/>
      <c r="N9" s="91" t="n"/>
      <c r="O9" s="91" t="n"/>
      <c r="P9" s="8" t="n"/>
      <c r="Q9" s="138">
        <f>IFERROR(INDEX('Project Database'!E:E,MATCH(INDEX(_Helper!A2:A501,MATCH(LARGE(_Helper!BH2:BH501,3),_Helper!BH2:BH501,0)),'Project Database'!A:A,0)),"-")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Project Value</t>
        </is>
      </c>
      <c r="B10" s="91" t="n"/>
      <c r="C10" s="135">
        <f>IFERROR(INDEX(_Helper!T2:T501,MATCH(LARGE(_Helper!BH2:BH501,1),_Helper!BH2:BH501,0))&amp;" "&amp;TEXT(INDEX(_Helper!U2:U501,MATCH(LARGE(_Helper!BH2:BH501,1),_Helper!BH2:BH501,0)),"#,##0.00")&amp;" M","-")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IFERROR(INDEX(_Helper!T2:T501,MATCH(LARGE(_Helper!BH2:BH501,2),_Helper!BH2:BH501,0))&amp;" "&amp;TEXT(INDEX(_Helper!U2:U501,MATCH(LARGE(_Helper!BH2:BH501,2),_Helper!BH2:BH501,0)),"#,##0.00")&amp;" M","-")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IFERROR(INDEX(_Helper!T2:T501,MATCH(LARGE(_Helper!BH2:BH501,3),_Helper!BH2:BH501,0))&amp;" "&amp;TEXT(INDEX(_Helper!U2:U501,MATCH(LARGE(_Helper!BH2:BH501,3),_Helper!BH2:BH501,0)),"#,##0.00")&amp;" M","-")</f>
        <v/>
      </c>
      <c r="R10" s="91" t="n"/>
      <c r="S10" s="91" t="n"/>
      <c r="T10" s="91" t="n"/>
      <c r="U10" s="91" t="n"/>
      <c r="V10" s="91" t="n"/>
    </row>
    <row r="11" ht="19.5" customHeight="1" s="74">
      <c r="A11" s="172" t="inlineStr">
        <is>
          <t xml:space="preserve">  SYSTEM SPECIFICATIONS</t>
        </is>
      </c>
    </row>
    <row r="12" ht="19.5" customHeight="1" s="74">
      <c r="A12" s="140" t="inlineStr">
        <is>
          <t>MS Shuttles</t>
        </is>
      </c>
      <c r="B12" s="91" t="n"/>
      <c r="C12" s="135">
        <f>IFERROR(INDEX(_Helper!C2:C501,MATCH(LARGE(_Helper!BH2:BH501,1),_Helper!BH2:BH501,0)),"-")</f>
        <v/>
      </c>
      <c r="D12" s="91" t="n"/>
      <c r="E12" s="91" t="n"/>
      <c r="F12" s="91" t="n"/>
      <c r="G12" s="91" t="n"/>
      <c r="H12" s="91" t="n"/>
      <c r="I12" s="7" t="n"/>
      <c r="J12" s="136">
        <f>IFERROR(INDEX(_Helper!C2:C501,MATCH(LARGE(_Helper!BH2:BH501,2),_Helper!BH2:BH501,0)),"-")</f>
        <v/>
      </c>
      <c r="K12" s="91" t="n"/>
      <c r="L12" s="91" t="n"/>
      <c r="M12" s="91" t="n"/>
      <c r="N12" s="91" t="n"/>
      <c r="O12" s="91" t="n"/>
      <c r="P12" s="7" t="n"/>
      <c r="Q12" s="138">
        <f>IFERROR(INDEX(_Helper!C2:C501,MATCH(LARGE(_Helper!BH2:BH501,3),_Helper!BH2:BH501,0)),"-")</f>
        <v/>
      </c>
      <c r="R12" s="91" t="n"/>
      <c r="S12" s="91" t="n"/>
      <c r="T12" s="91" t="n"/>
      <c r="U12" s="91" t="n"/>
      <c r="V12" s="91" t="n"/>
    </row>
    <row r="13" ht="19.5" customHeight="1" s="74">
      <c r="A13" s="137" t="inlineStr">
        <is>
          <t>MS Tote Locations</t>
        </is>
      </c>
      <c r="B13" s="91" t="n"/>
      <c r="C13" s="135">
        <f>IFERROR(INDEX(_Helper!D2:D501,MATCH(LARGE(_Helper!BH2:BH501,1),_Helper!BH2:BH501,0)),"-")</f>
        <v/>
      </c>
      <c r="D13" s="91" t="n"/>
      <c r="E13" s="91" t="n"/>
      <c r="F13" s="91" t="n"/>
      <c r="G13" s="91" t="n"/>
      <c r="H13" s="91" t="n"/>
      <c r="I13" s="8" t="n"/>
      <c r="J13" s="136">
        <f>IFERROR(INDEX(_Helper!D2:D501,MATCH(LARGE(_Helper!BH2:BH501,2),_Helper!BH2:BH501,0)),"-")</f>
        <v/>
      </c>
      <c r="K13" s="91" t="n"/>
      <c r="L13" s="91" t="n"/>
      <c r="M13" s="91" t="n"/>
      <c r="N13" s="91" t="n"/>
      <c r="O13" s="91" t="n"/>
      <c r="P13" s="8" t="n"/>
      <c r="Q13" s="138">
        <f>IFERROR(INDEX(_Helper!D2:D501,MATCH(LARGE(_Helper!BH2:BH501,3),_Helper!BH2:BH501,0)),"-")</f>
        <v/>
      </c>
      <c r="R13" s="91" t="n"/>
      <c r="S13" s="91" t="n"/>
      <c r="T13" s="91" t="n"/>
      <c r="U13" s="91" t="n"/>
      <c r="V13" s="91" t="n"/>
    </row>
    <row r="14" ht="19.5" customHeight="1" s="74">
      <c r="A14" s="140" t="inlineStr">
        <is>
          <t>AS Robots</t>
        </is>
      </c>
      <c r="B14" s="91" t="n"/>
      <c r="C14" s="135">
        <f>IFERROR(INDEX(_Helper!E2:E501,MATCH(LARGE(_Helper!BH2:BH501,1),_Helper!BH2:BH501,0)),"-")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IFERROR(INDEX(_Helper!E2:E501,MATCH(LARGE(_Helper!BH2:BH501,2),_Helper!BH2:BH501,0)),"-")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IFERROR(INDEX(_Helper!E2:E501,MATCH(LARGE(_Helper!BH2:BH501,3),_Helper!BH2:BH501,0)),"-")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AS Tote Locations</t>
        </is>
      </c>
      <c r="B15" s="91" t="n"/>
      <c r="C15" s="135">
        <f>IFERROR(INDEX(_Helper!F2:F501,MATCH(LARGE(_Helper!BH2:BH501,1),_Helper!BH2:BH501,0)),"-")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IFERROR(INDEX(_Helper!F2:F501,MATCH(LARGE(_Helper!BH2:BH501,2),_Helper!BH2:BH501,0)),"-")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IFERROR(INDEX(_Helper!F2:F501,MATCH(LARGE(_Helper!BH2:BH501,3),_Helper!BH2:BH501,0)),"-")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PS Shuttles</t>
        </is>
      </c>
      <c r="B16" s="91" t="n"/>
      <c r="C16" s="135">
        <f>IFERROR(INDEX(_Helper!G2:G501,MATCH(LARGE(_Helper!BH2:BH501,1),_Helper!BH2:BH501,0)),"-")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IFERROR(INDEX(_Helper!G2:G501,MATCH(LARGE(_Helper!BH2:BH501,2),_Helper!BH2:BH501,0)),"-")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IFERROR(INDEX(_Helper!G2:G501,MATCH(LARGE(_Helper!BH2:BH501,3),_Helper!BH2:BH501,0)),"-")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PS Pallet Locations</t>
        </is>
      </c>
      <c r="B17" s="91" t="n"/>
      <c r="C17" s="135">
        <f>IFERROR(INDEX(_Helper!H2:H501,MATCH(LARGE(_Helper!BH2:BH501,1),_Helper!BH2:BH501,0)),"-")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IFERROR(INDEX(_Helper!H2:H501,MATCH(LARGE(_Helper!BH2:BH501,2),_Helper!BH2:BH501,0)),"-")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IFERROR(INDEX(_Helper!H2:H501,MATCH(LARGE(_Helper!BH2:BH501,3),_Helper!BH2:BH501,0)),"-")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SRM Cranes</t>
        </is>
      </c>
      <c r="B18" s="91" t="n"/>
      <c r="C18" s="135">
        <f>IFERROR(INDEX(_Helper!I2:I501,MATCH(LARGE(_Helper!BH2:BH501,1),_Helper!BH2:BH501,0)),"-")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IFERROR(INDEX(_Helper!I2:I501,MATCH(LARGE(_Helper!BH2:BH501,2),_Helper!BH2:BH501,0)),"-")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IFERROR(INDEX(_Helper!I2:I501,MATCH(LARGE(_Helper!BH2:BH501,3),_Helper!BH2:BH501,0)),"-")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SRM Pallet Locations</t>
        </is>
      </c>
      <c r="B19" s="91" t="n"/>
      <c r="C19" s="135">
        <f>IFERROR(INDEX(_Helper!J2:J501,MATCH(LARGE(_Helper!BH2:BH501,1),_Helper!BH2:BH501,0)),"-")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IFERROR(INDEX(_Helper!J2:J501,MATCH(LARGE(_Helper!BH2:BH501,2),_Helper!BH2:BH501,0)),"-")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IFERROR(INDEX(_Helper!J2:J501,MATCH(LARGE(_Helper!BH2:BH501,3),_Helper!BH2:BH501,0)),"-")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Case Conveyor (m)</t>
        </is>
      </c>
      <c r="B20" s="91" t="n"/>
      <c r="C20" s="135">
        <f>IFERROR(INDEX(_Helper!K2:K501,MATCH(LARGE(_Helper!BH2:BH501,1),_Helper!BH2:BH501,0)),"-")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IFERROR(INDEX(_Helper!K2:K501,MATCH(LARGE(_Helper!BH2:BH501,2),_Helper!BH2:BH501,0)),"-")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IFERROR(INDEX(_Helper!K2:K501,MATCH(LARGE(_Helper!BH2:BH501,3),_Helper!BH2:BH501,0)),"-")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Pallet Conveyor (m)</t>
        </is>
      </c>
      <c r="B21" s="91" t="n"/>
      <c r="C21" s="135">
        <f>IFERROR(INDEX(_Helper!L2:L501,MATCH(LARGE(_Helper!BH2:BH501,1),_Helper!BH2:BH501,0)),"-")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IFERROR(INDEX(_Helper!L2:L501,MATCH(LARGE(_Helper!BH2:BH501,2),_Helper!BH2:BH501,0)),"-")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IFERROR(INDEX(_Helper!L2:L501,MATCH(LARGE(_Helper!BH2:BH501,3),_Helper!BH2:BH501,0)),"-")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72" t="inlineStr">
        <is>
          <t xml:space="preserve">  SCHEDULE  (weeks)</t>
        </is>
      </c>
    </row>
    <row r="23" ht="19.5" customHeight="1" s="74">
      <c r="A23" s="140" t="inlineStr">
        <is>
          <t>Mechanical Engineering</t>
        </is>
      </c>
      <c r="B23" s="91" t="n"/>
      <c r="C23" s="135">
        <f>IFERROR(INDEX(_Helper!M2:M501,MATCH(LARGE(_Helper!BH2:BH501,1),_Helper!BH2:BH501,0)),"-")</f>
        <v/>
      </c>
      <c r="D23" s="91" t="n"/>
      <c r="E23" s="91" t="n"/>
      <c r="F23" s="91" t="n"/>
      <c r="G23" s="91" t="n"/>
      <c r="H23" s="91" t="n"/>
      <c r="I23" s="7" t="n"/>
      <c r="J23" s="136">
        <f>IFERROR(INDEX(_Helper!M2:M501,MATCH(LARGE(_Helper!BH2:BH501,2),_Helper!BH2:BH501,0)),"-")</f>
        <v/>
      </c>
      <c r="K23" s="91" t="n"/>
      <c r="L23" s="91" t="n"/>
      <c r="M23" s="91" t="n"/>
      <c r="N23" s="91" t="n"/>
      <c r="O23" s="91" t="n"/>
      <c r="P23" s="7" t="n"/>
      <c r="Q23" s="138">
        <f>IFERROR(INDEX(_Helper!M2:M501,MATCH(LARGE(_Helper!BH2:BH501,3),_Helper!BH2:BH501,0)),"-")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37" t="inlineStr">
        <is>
          <t>Controls Engineering</t>
        </is>
      </c>
      <c r="B24" s="91" t="n"/>
      <c r="C24" s="135">
        <f>IFERROR(INDEX(_Helper!N2:N501,MATCH(LARGE(_Helper!BH2:BH501,1),_Helper!BH2:BH501,0)),"-")</f>
        <v/>
      </c>
      <c r="D24" s="91" t="n"/>
      <c r="E24" s="91" t="n"/>
      <c r="F24" s="91" t="n"/>
      <c r="G24" s="91" t="n"/>
      <c r="H24" s="91" t="n"/>
      <c r="I24" s="8" t="n"/>
      <c r="J24" s="136">
        <f>IFERROR(INDEX(_Helper!N2:N501,MATCH(LARGE(_Helper!BH2:BH501,2),_Helper!BH2:BH501,0)),"-")</f>
        <v/>
      </c>
      <c r="K24" s="91" t="n"/>
      <c r="L24" s="91" t="n"/>
      <c r="M24" s="91" t="n"/>
      <c r="N24" s="91" t="n"/>
      <c r="O24" s="91" t="n"/>
      <c r="P24" s="8" t="n"/>
      <c r="Q24" s="138">
        <f>IFERROR(INDEX(_Helper!N2:N501,MATCH(LARGE(_Helper!BH2:BH501,3),_Helper!BH2:BH501,0)),"-")</f>
        <v/>
      </c>
      <c r="R24" s="91" t="n"/>
      <c r="S24" s="91" t="n"/>
      <c r="T24" s="91" t="n"/>
      <c r="U24" s="91" t="n"/>
      <c r="V24" s="91" t="n"/>
    </row>
    <row r="25" ht="19.5" customHeight="1" s="74">
      <c r="A25" s="140" t="inlineStr">
        <is>
          <t>Systems Engineering</t>
        </is>
      </c>
      <c r="B25" s="91" t="n"/>
      <c r="C25" s="135">
        <f>IFERROR(INDEX(_Helper!O2:O501,MATCH(LARGE(_Helper!BH2:BH501,1),_Helper!BH2:BH501,0)),"-")</f>
        <v/>
      </c>
      <c r="D25" s="91" t="n"/>
      <c r="E25" s="91" t="n"/>
      <c r="F25" s="91" t="n"/>
      <c r="G25" s="91" t="n"/>
      <c r="H25" s="91" t="n"/>
      <c r="I25" s="7" t="n"/>
      <c r="J25" s="136">
        <f>IFERROR(INDEX(_Helper!O2:O501,MATCH(LARGE(_Helper!BH2:BH501,2),_Helper!BH2:BH501,0)),"-")</f>
        <v/>
      </c>
      <c r="K25" s="91" t="n"/>
      <c r="L25" s="91" t="n"/>
      <c r="M25" s="91" t="n"/>
      <c r="N25" s="91" t="n"/>
      <c r="O25" s="91" t="n"/>
      <c r="P25" s="7" t="n"/>
      <c r="Q25" s="138">
        <f>IFERROR(INDEX(_Helper!O2:O501,MATCH(LARGE(_Helper!BH2:BH501,3),_Helper!BH2:BH501,0)),"-")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37" t="inlineStr">
        <is>
          <t>Software Engineering</t>
        </is>
      </c>
      <c r="B26" s="91" t="n"/>
      <c r="C26" s="135">
        <f>IFERROR(INDEX(_Helper!P2:P501,MATCH(LARGE(_Helper!BH2:BH501,1),_Helper!BH2:BH501,0)),"-")</f>
        <v/>
      </c>
      <c r="D26" s="91" t="n"/>
      <c r="E26" s="91" t="n"/>
      <c r="F26" s="91" t="n"/>
      <c r="G26" s="91" t="n"/>
      <c r="H26" s="91" t="n"/>
      <c r="I26" s="8" t="n"/>
      <c r="J26" s="136">
        <f>IFERROR(INDEX(_Helper!P2:P501,MATCH(LARGE(_Helper!BH2:BH501,2),_Helper!BH2:BH501,0)),"-")</f>
        <v/>
      </c>
      <c r="K26" s="91" t="n"/>
      <c r="L26" s="91" t="n"/>
      <c r="M26" s="91" t="n"/>
      <c r="N26" s="91" t="n"/>
      <c r="O26" s="91" t="n"/>
      <c r="P26" s="8" t="n"/>
      <c r="Q26" s="138">
        <f>IFERROR(INDEX(_Helper!P2:P501,MATCH(LARGE(_Helper!BH2:BH501,3),_Helper!BH2:BH501,0)),"-")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40" t="inlineStr">
        <is>
          <t>M&amp;E Installation</t>
        </is>
      </c>
      <c r="B27" s="91" t="n"/>
      <c r="C27" s="135">
        <f>IFERROR(INDEX(_Helper!Q2:Q501,MATCH(LARGE(_Helper!BH2:BH501,1),_Helper!BH2:BH501,0)),"-")</f>
        <v/>
      </c>
      <c r="D27" s="91" t="n"/>
      <c r="E27" s="91" t="n"/>
      <c r="F27" s="91" t="n"/>
      <c r="G27" s="91" t="n"/>
      <c r="H27" s="91" t="n"/>
      <c r="I27" s="7" t="n"/>
      <c r="J27" s="136">
        <f>IFERROR(INDEX(_Helper!Q2:Q501,MATCH(LARGE(_Helper!BH2:BH501,2),_Helper!BH2:BH501,0)),"-")</f>
        <v/>
      </c>
      <c r="K27" s="91" t="n"/>
      <c r="L27" s="91" t="n"/>
      <c r="M27" s="91" t="n"/>
      <c r="N27" s="91" t="n"/>
      <c r="O27" s="91" t="n"/>
      <c r="P27" s="7" t="n"/>
      <c r="Q27" s="138">
        <f>IFERROR(INDEX(_Helper!Q2:Q501,MATCH(LARGE(_Helper!BH2:BH501,3),_Helper!BH2:BH501,0)),"-")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37" t="inlineStr">
        <is>
          <t>Commissioning</t>
        </is>
      </c>
      <c r="B28" s="91" t="n"/>
      <c r="C28" s="135">
        <f>IFERROR(INDEX(_Helper!R2:R501,MATCH(LARGE(_Helper!BH2:BH501,1),_Helper!BH2:BH501,0)),"-")</f>
        <v/>
      </c>
      <c r="D28" s="91" t="n"/>
      <c r="E28" s="91" t="n"/>
      <c r="F28" s="91" t="n"/>
      <c r="G28" s="91" t="n"/>
      <c r="H28" s="91" t="n"/>
      <c r="I28" s="8" t="n"/>
      <c r="J28" s="136">
        <f>IFERROR(INDEX(_Helper!R2:R501,MATCH(LARGE(_Helper!BH2:BH501,2),_Helper!BH2:BH501,0)),"-")</f>
        <v/>
      </c>
      <c r="K28" s="91" t="n"/>
      <c r="L28" s="91" t="n"/>
      <c r="M28" s="91" t="n"/>
      <c r="N28" s="91" t="n"/>
      <c r="O28" s="91" t="n"/>
      <c r="P28" s="8" t="n"/>
      <c r="Q28" s="138">
        <f>IFERROR(INDEX(_Helper!R2:R501,MATCH(LARGE(_Helper!BH2:BH501,3),_Helper!BH2:BH501,0)),"-")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34" t="inlineStr">
        <is>
          <t>TOTAL PROJECT TIMELINE</t>
        </is>
      </c>
      <c r="B29" s="91" t="n"/>
      <c r="C29" s="150">
        <f>IFERROR(INDEX(_Helper!S2:S501,MATCH(LARGE(_Helper!BH2:BH501,1),_Helper!BH2:BH501,0)),"-")</f>
        <v/>
      </c>
      <c r="D29" s="91" t="n"/>
      <c r="E29" s="91" t="n"/>
      <c r="F29" s="91" t="n"/>
      <c r="G29" s="91" t="n"/>
      <c r="H29" s="91" t="n"/>
      <c r="I29" s="9" t="n"/>
      <c r="J29" s="146">
        <f>IFERROR(INDEX(_Helper!S2:S501,MATCH(LARGE(_Helper!BH2:BH501,2),_Helper!BH2:BH501,0)),"-")</f>
        <v/>
      </c>
      <c r="K29" s="91" t="n"/>
      <c r="L29" s="91" t="n"/>
      <c r="M29" s="91" t="n"/>
      <c r="N29" s="91" t="n"/>
      <c r="O29" s="91" t="n"/>
      <c r="P29" s="9" t="n"/>
      <c r="Q29" s="151">
        <f>IFERROR(INDEX(_Helper!S2:S501,MATCH(LARGE(_Helper!BH2:BH501,3),_Helper!BH2:BH501,0)),"-")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72" t="inlineStr">
        <is>
          <t xml:space="preserve">  AUTOMATION EQUIPMENT &amp; NOTES</t>
        </is>
      </c>
    </row>
    <row r="31" ht="39.75" customHeight="1" s="74">
      <c r="A31" s="140" t="inlineStr">
        <is>
          <t>Automation Equipment</t>
        </is>
      </c>
      <c r="B31" s="91" t="n"/>
      <c r="C31" s="135">
        <f>IFERROR(INDEX('Project Database'!Z:Z,MATCH(INDEX(_Helper!A2:A501,MATCH(LARGE(_Helper!BH2:BH501,1),_Helper!BH2:BH501,0)),'Project Database'!A:A,0)),"-")</f>
        <v/>
      </c>
      <c r="D31" s="91" t="n"/>
      <c r="E31" s="91" t="n"/>
      <c r="F31" s="91" t="n"/>
      <c r="G31" s="91" t="n"/>
      <c r="H31" s="91" t="n"/>
      <c r="I31" s="7" t="n"/>
      <c r="J31" s="136">
        <f>IFERROR(INDEX('Project Database'!Z:Z,MATCH(INDEX(_Helper!A2:A501,MATCH(LARGE(_Helper!BH2:BH501,2),_Helper!BH2:BH501,0)),'Project Database'!A:A,0)),"-")</f>
        <v/>
      </c>
      <c r="K31" s="91" t="n"/>
      <c r="L31" s="91" t="n"/>
      <c r="M31" s="91" t="n"/>
      <c r="N31" s="91" t="n"/>
      <c r="O31" s="91" t="n"/>
      <c r="P31" s="7" t="n"/>
      <c r="Q31" s="138">
        <f>IFERROR(INDEX('Project Database'!Z:Z,MATCH(INDEX(_Helper!A2:A501,MATCH(LARGE(_Helper!BH2:BH501,3),_Helper!BH2:BH501,0)),'Project Database'!A:A,0)),"-")</f>
        <v/>
      </c>
      <c r="R31" s="91" t="n"/>
      <c r="S31" s="91" t="n"/>
      <c r="T31" s="91" t="n"/>
      <c r="U31" s="91" t="n"/>
      <c r="V31" s="91" t="n"/>
    </row>
    <row r="32" ht="49.5" customHeight="1" s="74">
      <c r="A32" s="137" t="inlineStr">
        <is>
          <t>Notes / Lessons Learned</t>
        </is>
      </c>
      <c r="B32" s="91" t="n"/>
      <c r="C32" s="135">
        <f>IFERROR(INDEX('Project Database'!AA:AA,MATCH(INDEX(_Helper!A2:A501,MATCH(LARGE(_Helper!BH2:BH501,1),_Helper!BH2:BH501,0)),'Project Database'!A:A,0)),"-")</f>
        <v/>
      </c>
      <c r="D32" s="91" t="n"/>
      <c r="E32" s="91" t="n"/>
      <c r="F32" s="91" t="n"/>
      <c r="G32" s="91" t="n"/>
      <c r="H32" s="91" t="n"/>
      <c r="I32" s="8" t="n"/>
      <c r="J32" s="136">
        <f>IFERROR(INDEX('Project Database'!AA:AA,MATCH(INDEX(_Helper!A2:A501,MATCH(LARGE(_Helper!BH2:BH501,2),_Helper!BH2:BH501,0)),'Project Database'!A:A,0)),"-")</f>
        <v/>
      </c>
      <c r="K32" s="91" t="n"/>
      <c r="L32" s="91" t="n"/>
      <c r="M32" s="91" t="n"/>
      <c r="N32" s="91" t="n"/>
      <c r="O32" s="91" t="n"/>
      <c r="P32" s="8" t="n"/>
      <c r="Q32" s="138">
        <f>IFERROR(INDEX('Project Database'!AA:AA,MATCH(INDEX(_Helper!A2:A501,MATCH(LARGE(_Helper!BH2:BH501,3),_Helper!BH2:BH501,0)),'Project Database'!A:A,0)),"-")</f>
        <v/>
      </c>
      <c r="R32" s="91" t="n"/>
      <c r="S32" s="91" t="n"/>
      <c r="T32" s="91" t="n"/>
      <c r="U32" s="91" t="n"/>
      <c r="V32" s="91" t="n"/>
    </row>
    <row r="33" ht="18" customHeight="1" s="74">
      <c r="A33" s="173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1">
    <mergeCell ref="C25:H25"/>
    <mergeCell ref="J15:O15"/>
    <mergeCell ref="A15:B15"/>
    <mergeCell ref="Q10:V10"/>
    <mergeCell ref="A5:V5"/>
    <mergeCell ref="Q19:V19"/>
    <mergeCell ref="C9:H9"/>
    <mergeCell ref="J7:O7"/>
    <mergeCell ref="A7:B7"/>
    <mergeCell ref="A27:B27"/>
    <mergeCell ref="C32:H32"/>
    <mergeCell ref="C13:H13"/>
    <mergeCell ref="J17:O17"/>
    <mergeCell ref="Q13:V13"/>
    <mergeCell ref="A17:B17"/>
    <mergeCell ref="Q7:V7"/>
    <mergeCell ref="Q21:V21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C10:H10"/>
    <mergeCell ref="C16:H16"/>
    <mergeCell ref="A22:V22"/>
    <mergeCell ref="J4:O4"/>
    <mergeCell ref="J32:O32"/>
    <mergeCell ref="Q9:V9"/>
    <mergeCell ref="Q27:V27"/>
    <mergeCell ref="A30:V30"/>
    <mergeCell ref="Q17:V17"/>
    <mergeCell ref="A26:B26"/>
    <mergeCell ref="C19:H19"/>
    <mergeCell ref="C28:H28"/>
    <mergeCell ref="J18:O18"/>
    <mergeCell ref="J8:O8"/>
    <mergeCell ref="A8:B8"/>
    <mergeCell ref="Q3:V3"/>
    <mergeCell ref="Q12:V12"/>
    <mergeCell ref="C6:H6"/>
    <mergeCell ref="C14:H14"/>
    <mergeCell ref="J10:O10"/>
    <mergeCell ref="A10:B10"/>
    <mergeCell ref="C4:H4"/>
    <mergeCell ref="A33:V33"/>
    <mergeCell ref="J27:O27"/>
    <mergeCell ref="Q26:V26"/>
    <mergeCell ref="J20:O20"/>
    <mergeCell ref="C27:H27"/>
    <mergeCell ref="J31:O31"/>
    <mergeCell ref="C8:H8"/>
    <mergeCell ref="C17:H17"/>
    <mergeCell ref="A3:B3"/>
    <mergeCell ref="J12:O12"/>
    <mergeCell ref="A12:B12"/>
    <mergeCell ref="J21:O21"/>
    <mergeCell ref="A21:B21"/>
    <mergeCell ref="A11:V11"/>
    <mergeCell ref="A1:V1"/>
    <mergeCell ref="A32:B32"/>
    <mergeCell ref="A14:B14"/>
    <mergeCell ref="J23:O23"/>
    <mergeCell ref="C3:H3"/>
    <mergeCell ref="A23:B2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Q23:V23"/>
    <mergeCell ref="C31:H31"/>
    <mergeCell ref="Q4:V4"/>
    <mergeCell ref="J26:O26"/>
    <mergeCell ref="C12:H12"/>
    <mergeCell ref="Q31:V31"/>
    <mergeCell ref="C21:H21"/>
    <mergeCell ref="A6:B6"/>
    <mergeCell ref="J16:O16"/>
    <mergeCell ref="Q6:V6"/>
    <mergeCell ref="A16:B16"/>
    <mergeCell ref="J25:O25"/>
    <mergeCell ref="Q15:V15"/>
    <mergeCell ref="A25:B25"/>
    <mergeCell ref="C23:H23"/>
    <mergeCell ref="A18:B18"/>
    <mergeCell ref="C7:H7"/>
    <mergeCell ref="J3:O3"/>
    <mergeCell ref="Q32:V32"/>
    <mergeCell ref="C18:H18"/>
    <mergeCell ref="Q16:V16"/>
    <mergeCell ref="Q25:V25"/>
    <mergeCell ref="A20:B20"/>
    <mergeCell ref="J29:O29"/>
    <mergeCell ref="J14:O14"/>
    <mergeCell ref="A29:B29"/>
    <mergeCell ref="Q24:V24"/>
    <mergeCell ref="Q18:V18"/>
    <mergeCell ref="J13:O13"/>
    <mergeCell ref="A13:B13"/>
    <mergeCell ref="A31:B31"/>
    <mergeCell ref="J6:O6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tabColor rgb="FF2E2E2C"/>
    <outlinePr summaryBelow="1" summaryRight="1"/>
    <pageSetUpPr/>
  </sheetPr>
  <dimension ref="A1:B44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67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5" t="inlineStr">
        <is>
          <t xml:space="preserve">  HOW THE SMART SEARCH WORKS</t>
        </is>
      </c>
    </row>
    <row r="4" ht="15.75" customHeight="1" s="74">
      <c r="A4" s="174" t="inlineStr">
        <is>
          <t xml:space="preserve">   Step 1:  Set Include? to YES for every system in your project, NO for the rest.</t>
        </is>
      </c>
    </row>
    <row r="5" ht="15.75" customHeight="1" s="74">
      <c r="A5" s="174" t="inlineStr">
        <is>
          <t xml:space="preserve">   Step 2:  Enter your quantities for the included systems.</t>
        </is>
      </c>
    </row>
    <row r="6" ht="15.75" customHeight="1" s="74">
      <c r="A6" s="174" t="inlineStr">
        <is>
          <t xml:space="preserve">   The tool automatically distributes equal weight across all active parameters and ranks the database.</t>
        </is>
      </c>
    </row>
    <row r="7" ht="15.75" customHeight="1" s="74">
      <c r="A7" s="174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5" t="inlineStr">
        <is>
          <t xml:space="preserve">  MATCH SCORE EXPLAINED</t>
        </is>
      </c>
    </row>
    <row r="10" ht="15.75" customHeight="1" s="74">
      <c r="A10" s="174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74" t="inlineStr">
        <is>
          <t xml:space="preserve">   All active parameters receive equal weight.  Final score = average of all active parameter scores.</t>
        </is>
      </c>
    </row>
    <row r="12" ht="15.75" customHeight="1" s="74">
      <c r="A12" s="174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74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74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5" t="inlineStr">
        <is>
          <t xml:space="preserve">  SYSTEMS SUPPORTED</t>
        </is>
      </c>
    </row>
    <row r="16" ht="15.75" customHeight="1" s="74">
      <c r="A16" s="174" t="inlineStr">
        <is>
          <t xml:space="preserve">   Multishuttle    — Shuttles + Tote Locations</t>
        </is>
      </c>
    </row>
    <row r="17" ht="15.75" customHeight="1" s="74">
      <c r="A17" s="174" t="inlineStr">
        <is>
          <t xml:space="preserve">   AutoStore       — Robots + Tote Locations</t>
        </is>
      </c>
    </row>
    <row r="18" ht="15.75" customHeight="1" s="74">
      <c r="A18" s="174" t="inlineStr">
        <is>
          <t xml:space="preserve">   Pallet Shuttle  — Shuttles + Pallet Locations</t>
        </is>
      </c>
    </row>
    <row r="19" ht="15.75" customHeight="1" s="74">
      <c r="A19" s="174" t="inlineStr">
        <is>
          <t xml:space="preserve">   SRM Crane       — Cranes + Pallet Locations</t>
        </is>
      </c>
    </row>
    <row r="20" ht="15.75" customHeight="1" s="74">
      <c r="A20" s="174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5" t="inlineStr">
        <is>
          <t xml:space="preserve">  ADDING A PROJECT TO THE DATABASE</t>
        </is>
      </c>
    </row>
    <row r="23" ht="15.75" customHeight="1" s="74">
      <c r="A23" s="174" t="inlineStr">
        <is>
          <t xml:space="preserve">   1.  Go to 'Project Database' and fill in the next empty row.</t>
        </is>
      </c>
    </row>
    <row r="24" ht="15.75" customHeight="1" s="74">
      <c r="A24" s="174" t="inlineStr">
        <is>
          <t xml:space="preserve">   2.  Enter data only for systems used — leave other system columns blank.</t>
        </is>
      </c>
    </row>
    <row r="25" ht="15.75" customHeight="1" s="74">
      <c r="A25" s="174" t="inlineStr">
        <is>
          <t xml:space="preserve">   3.  All schedule phases are in WEEKS.</t>
        </is>
      </c>
    </row>
    <row r="26" ht="15.75" customHeight="1" s="74">
      <c r="A26" s="174" t="inlineStr">
        <is>
          <t xml:space="preserve">   4.  Total Timeline is the actual start-to-finish duration in weeks. Enter it yourself: phases overlap, so it is not a sum of the phase durations.</t>
        </is>
      </c>
    </row>
    <row r="27" ht="15.75" customHeight="1" s="74">
      <c r="A27" s="174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74" t="inlineStr">
        <is>
          <t xml:space="preserve">   6.  Select the Solution Type from the dropdown in column D.</t>
        </is>
      </c>
    </row>
    <row r="29" ht="21.75" customHeight="1" s="74">
      <c r="A29" s="175" t="n"/>
    </row>
    <row r="30" ht="15.75" customHeight="1" s="74">
      <c r="A30" s="165" t="inlineStr">
        <is>
          <t xml:space="preserve">  MANHOUR COST (% OF PROJECT COST)</t>
        </is>
      </c>
    </row>
    <row r="31" ht="15.75" customHeight="1" s="74">
      <c r="A31" s="174" t="inlineStr">
        <is>
          <t xml:space="preserve">   Database columns AC–AP hold fourteen manhour cost categories, each as a % of project cost:</t>
        </is>
      </c>
    </row>
    <row r="32" ht="15.75" customHeight="1" s="74">
      <c r="A32" s="174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74" t="inlineStr">
        <is>
          <t xml:space="preserve">   Enter these as percentages (type 5% or 0.05 — not 5). Values must be between 0% and 100%.</t>
        </is>
      </c>
    </row>
    <row r="34" ht="15.75" customHeight="1" s="74">
      <c r="A34" s="174" t="inlineStr">
        <is>
          <t xml:space="preserve">   Smart Search shows all fourteen categories individually in the Estimated Schedule section,</t>
        </is>
      </c>
    </row>
    <row r="35" ht="15.75" customHeight="1" s="74">
      <c r="A35" s="174" t="inlineStr">
        <is>
          <t xml:space="preserve">   below Project Value, as a % of the closest match's project cost.</t>
        </is>
      </c>
    </row>
    <row r="36">
      <c r="A36" s="154" t="inlineStr">
        <is>
          <t xml:space="preserve">   A project with no manhour data entered (blank or 0) shows 0.0% for every category — check the TOTAL row.</t>
        </is>
      </c>
    </row>
    <row r="38" ht="26.1" customHeight="1" s="74">
      <c r="A38" s="175" t="inlineStr">
        <is>
          <t>OPTIONAL SEARCH FILTERS</t>
        </is>
      </c>
    </row>
    <row r="39" ht="26.1" customHeight="1" s="74">
      <c r="A39" s="175" t="inlineStr">
        <is>
          <t>Use the four optional filters beside the Smart Search inputs. Blank or All includes all projects.</t>
        </is>
      </c>
    </row>
    <row r="40" ht="26.1" customHeight="1" s="74">
      <c r="A40" s="175" t="inlineStr">
        <is>
          <t>Solution Type and Won status: select a dropdown value. Year: enter an exact year (2000-2099), or clear it.</t>
        </is>
      </c>
    </row>
    <row r="41" ht="26.1" customHeight="1" s="74">
      <c r="A41" s="175" t="inlineStr">
        <is>
          <t>Region: enter text found in Client / Region, e.g. ME matches Turkey ME and KSA ME. Matching ignores letter case.</t>
        </is>
      </c>
    </row>
    <row r="42" ht="26.1" customHeight="1" s="74">
      <c r="A42" s="175" t="inlineStr">
        <is>
          <t>All selected filters must match. Projects with missing data are excluded only when that field is filtered.</t>
        </is>
      </c>
    </row>
    <row r="43" ht="26.1" customHeight="1" s="74">
      <c r="A43" s="175" t="inlineStr">
        <is>
          <t>The top five, closest-match estimate and top-three comparison all use the filtered results.</t>
        </is>
      </c>
    </row>
    <row r="44" ht="26.1" customHeight="1" s="74">
      <c r="A44" s="175" t="inlineStr">
        <is>
          <t>If no projects match, broaden or clear filters. Populate Solution Type in the database before filtering by it.</t>
        </is>
      </c>
    </row>
  </sheetData>
  <mergeCells count="40">
    <mergeCell ref="A30:B30"/>
    <mergeCell ref="A24:B24"/>
    <mergeCell ref="A15:B15"/>
    <mergeCell ref="A11:B11"/>
    <mergeCell ref="A1:B1"/>
    <mergeCell ref="A6:B6"/>
    <mergeCell ref="A16:B16"/>
    <mergeCell ref="A7:B7"/>
    <mergeCell ref="A25:B25"/>
    <mergeCell ref="A41:B41"/>
    <mergeCell ref="A18:B18"/>
    <mergeCell ref="A27:B27"/>
    <mergeCell ref="A3:B3"/>
    <mergeCell ref="A12:B12"/>
    <mergeCell ref="A26:B26"/>
    <mergeCell ref="A2:B2"/>
    <mergeCell ref="A33:B33"/>
    <mergeCell ref="A42:B42"/>
    <mergeCell ref="A5:B5"/>
    <mergeCell ref="A32:B32"/>
    <mergeCell ref="A14:B14"/>
    <mergeCell ref="A23:B23"/>
    <mergeCell ref="A17:B17"/>
    <mergeCell ref="A22:B22"/>
    <mergeCell ref="A35:B35"/>
    <mergeCell ref="A4:B4"/>
    <mergeCell ref="A20:B20"/>
    <mergeCell ref="A38:B38"/>
    <mergeCell ref="A29:B29"/>
    <mergeCell ref="A43:B43"/>
    <mergeCell ref="A19:B19"/>
    <mergeCell ref="A10:B10"/>
    <mergeCell ref="A28:B28"/>
    <mergeCell ref="A13:B13"/>
    <mergeCell ref="A44:B44"/>
    <mergeCell ref="A40:B40"/>
    <mergeCell ref="A9:B9"/>
    <mergeCell ref="A31:B31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2026-09-25T06:07:31Z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