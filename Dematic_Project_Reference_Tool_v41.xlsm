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FX Rates" sheetId="5" state="visible" r:id="rId5"/>
    <sheet name="Instructions" sheetId="6" state="visible" r:id="rId6"/>
    <sheet name="Change Log" sheetId="7" state="visible" r:id="rId7"/>
  </sheets>
  <definedNames/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D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E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F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G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H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I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J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K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L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M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N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O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P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5">
    <numFmt numFmtId="164" formatCode="#,##0.00&quot; M&quot;"/>
    <numFmt numFmtId="165" formatCode="0.0%"/>
    <numFmt numFmtId="166" formatCode="0.000000"/>
    <numFmt numFmtId="167" formatCode="#,##0.0000"/>
    <numFmt numFmtId="168" formatCode="yyyy-mm-dd"/>
  </numFmts>
  <fonts count="41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  <font>
      <name val="Arial"/>
      <color rgb="FF0000FF"/>
      <sz val="10"/>
    </font>
    <font>
      <name val="Arial"/>
      <i val="1"/>
      <color rgb="FF595959"/>
      <sz val="9"/>
    </font>
    <font>
      <name val="Arial"/>
      <i val="1"/>
      <color rgb="FF808080"/>
      <sz val="9"/>
    </font>
    <font>
      <name val="Arial"/>
      <b val="1"/>
      <color rgb="FF1D1D1B"/>
      <sz val="10"/>
    </font>
  </fonts>
  <fills count="29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  <fill>
      <patternFill patternType="solid">
        <fgColor rgb="FFFFFF00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194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164" fontId="38" fillId="12" borderId="8" applyAlignment="1" pivotButton="0" quotePrefix="0" xfId="0">
      <alignment horizontal="center" vertical="center" wrapText="1"/>
    </xf>
    <xf numFmtId="164" fontId="38" fillId="14" borderId="8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9" fillId="0" borderId="0" applyAlignment="1" pivotButton="0" quotePrefix="0" xfId="0">
      <alignment horizontal="right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40" fillId="4" borderId="17" applyAlignment="1" pivotButton="0" quotePrefix="0" xfId="0">
      <alignment horizontal="center" vertical="center" wrapText="1"/>
    </xf>
    <xf numFmtId="0" fontId="40" fillId="13" borderId="17" applyAlignment="1" pivotButton="0" quotePrefix="0" xfId="0">
      <alignment horizontal="center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165" fontId="13" fillId="15" borderId="13" applyAlignment="1" pivotButton="0" quotePrefix="0" xfId="0">
      <alignment horizontal="center" vertical="center" wrapText="1"/>
    </xf>
    <xf numFmtId="165" fontId="13" fillId="16" borderId="13" applyAlignment="1" pivotButton="0" quotePrefix="0" xfId="0">
      <alignment horizontal="center" vertical="center" wrapText="1"/>
    </xf>
    <xf numFmtId="165" fontId="13" fillId="12" borderId="13" applyAlignment="1" pivotButton="0" quotePrefix="0" xfId="0">
      <alignment horizontal="center" vertical="center" wrapText="1"/>
    </xf>
    <xf numFmtId="165" fontId="23" fillId="4" borderId="13" applyAlignment="1" pivotButton="0" quotePrefix="0" xfId="0">
      <alignment horizontal="center" vertical="center" wrapText="1"/>
    </xf>
    <xf numFmtId="165" fontId="23" fillId="13" borderId="13" applyAlignment="1" pivotButton="0" quotePrefix="0" xfId="0">
      <alignment horizontal="center" vertical="center" wrapText="1"/>
    </xf>
    <xf numFmtId="165" fontId="29" fillId="9" borderId="13" applyAlignment="1" pivotButton="0" quotePrefix="0" xfId="0">
      <alignment horizontal="center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/>
    </xf>
    <xf numFmtId="166" fontId="37" fillId="28" borderId="8" applyAlignment="1" pivotButton="0" quotePrefix="0" xfId="0">
      <alignment horizontal="center" vertical="center"/>
    </xf>
    <xf numFmtId="167" fontId="7" fillId="12" borderId="8" applyAlignment="1" pivotButton="0" quotePrefix="0" xfId="0">
      <alignment horizontal="center" vertical="center"/>
    </xf>
    <xf numFmtId="168" fontId="7" fillId="12" borderId="8" applyAlignment="1" pivotButton="0" quotePrefix="0" xfId="0">
      <alignment horizontal="center" vertical="center"/>
    </xf>
    <xf numFmtId="0" fontId="7" fillId="0" borderId="1" applyAlignment="1" pivotButton="0" quotePrefix="0" xfId="0">
      <alignment vertical="top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  <xf numFmtId="0" fontId="7" fillId="12" borderId="8" applyAlignment="1" pivotButton="0" quotePrefix="0" xfId="0">
      <alignment horizontal="center" vertical="top" wrapText="1"/>
    </xf>
    <xf numFmtId="0" fontId="7" fillId="12" borderId="8" applyAlignment="1" pivotButton="0" quotePrefix="0" xfId="0">
      <alignment horizontal="left" vertical="top" wrapText="1"/>
    </xf>
  </cellXfs>
  <cellStyles count="1">
    <cellStyle name="Normal" xfId="0" builtinId="0"/>
  </cellStyles>
  <dxfs count="5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  <dxf>
      <fill>
        <patternFill patternType="solid">
          <fgColor rgb="FFFCE4B6"/>
          <bgColor rgb="FFFCE4B6"/>
        </patternFill>
      </fill>
    </dxf>
    <dxf>
      <font>
        <i val="1"/>
        <color rgb="FF808080"/>
      </font>
      <fill>
        <patternFill patternType="solid">
          <fgColor rgb="FFEDEDED"/>
          <bgColor rgb="FFEDEDE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ables/table1.xml><?xml version="1.0" encoding="utf-8"?>
<table xmlns="http://schemas.openxmlformats.org/spreadsheetml/2006/main" id="1" name="Projects" displayName="Projects" ref="A5:AR504" headerRowCount="1">
  <autoFilter ref="A5:AR504"/>
  <tableColumns count="44">
    <tableColumn id="1" name="Project ID *"/>
    <tableColumn id="2" name="Project Name *"/>
    <tableColumn id="3" name="Client / Region"/>
    <tableColumn id="4" name="Solution Type"/>
    <tableColumn id="5" name="Year"/>
    <tableColumn id="6" name="Won?"/>
    <tableColumn id="7" name="MS Shuttles"/>
    <tableColumn id="8" name="MS Tote Locations"/>
    <tableColumn id="9" name="AS Robots"/>
    <tableColumn id="10" name="AS Tote Locations"/>
    <tableColumn id="11" name="PS Shuttles"/>
    <tableColumn id="12" name="PS Pallet Locations"/>
    <tableColumn id="13" name="SRM Cranes"/>
    <tableColumn id="14" name="SRM Pallet Locations"/>
    <tableColumn id="15" name="Case Conv (m)"/>
    <tableColumn id="16" name="Pallet Conv (m)"/>
    <tableColumn id="17" name="Mech Eng (wks)"/>
    <tableColumn id="18" name="Controls Eng (wks)"/>
    <tableColumn id="19" name="Systems Eng (wks)"/>
    <tableColumn id="20" name="Software Eng (wks)"/>
    <tableColumn id="21" name="M&amp;E Installation (wks)"/>
    <tableColumn id="22" name="Commissioning (wks)"/>
    <tableColumn id="23" name="Total Timeline (wks)"/>
    <tableColumn id="24" name="Currency"/>
    <tableColumn id="25" name="Value (M)"/>
    <tableColumn id="26" name="Value (USD M)"/>
    <tableColumn id="27" name="Automation Equipment"/>
    <tableColumn id="28" name="Notes / Lessons Learned"/>
    <tableColumn id="29" name="ID Check"/>
    <tableColumn id="30" name="Mech Inst"/>
    <tableColumn id="31" name="Elec Inst"/>
    <tableColumn id="32" name="Project Management"/>
    <tableColumn id="33" name="Systems Eng"/>
    <tableColumn id="34" name="Mechanical Eng"/>
    <tableColumn id="35" name="Structural Engineering"/>
    <tableColumn id="36" name="Site Sup"/>
    <tableColumn id="37" name="Controls Commissioning"/>
    <tableColumn id="38" name="Systems Commissioning"/>
    <tableColumn id="39" name="Service Commissioning"/>
    <tableColumn id="40" name="Controls Eng"/>
    <tableColumn id="41" name="Controls Purchase"/>
    <tableColumn id="42" name="Software Eng"/>
    <tableColumn id="43" name="Misc"/>
    <tableColumn id="44" name="MH Data Status"/>
  </tableColumns>
</table>
</file>

<file path=xl/tables/table2.xml><?xml version="1.0" encoding="utf-8"?>
<table xmlns="http://schemas.openxmlformats.org/spreadsheetml/2006/main" id="2" name="FXRates" displayName="FXRates" ref="A4:D14" headerRowCount="1">
  <autoFilter ref="A4:D14"/>
  <tableColumns count="4">
    <tableColumn id="1" name="Currency"/>
    <tableColumn id="2" name="USD per unit"/>
    <tableColumn id="3" name="Units per USD"/>
    <tableColumn id="4" name="Rate dat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D5" dT="2026-08-27T01:56:43.02" personId="{BE8A153B-FB32-44A0-B175-14E1F655B442}" id="{D697F934-33A5-4362-8F8A-FBBF7074724E}">
    <text xml:space="preserve">Task No - 5000
</text>
  </threadedComment>
  <threadedComment ref="AE5" dT="2026-08-27T01:56:54.04" personId="{BE8A153B-FB32-44A0-B175-14E1F655B442}" id="{E0DBF5F8-7F49-4118-8720-97AB7CA0C788}">
    <text xml:space="preserve">Task Number 7300
</text>
  </threadedComment>
  <threadedComment ref="AF5" dT="2026-08-27T01:57:38.16" personId="{BE8A153B-FB32-44A0-B175-14E1F655B442}" id="{5F2C9931-CFCE-4CBB-AF48-4424C6C74487}">
    <text>Task No - 6100</text>
  </threadedComment>
  <threadedComment ref="AG5" dT="2026-08-27T01:57:54.35" personId="{BE8A153B-FB32-44A0-B175-14E1F655B442}" id="{B5BDC888-C10A-4BA0-9A4D-36C557B0FE11}">
    <text>Task No - 6200</text>
  </threadedComment>
  <threadedComment ref="AH5" dT="2026-08-27T01:58:26.72" personId="{BE8A153B-FB32-44A0-B175-14E1F655B442}" id="{29719A38-F856-43BC-9D87-6CAA8B958DCF}">
    <text>Task No - 6300</text>
  </threadedComment>
  <threadedComment ref="AI5" dT="2026-08-27T01:58:46.30" personId="{BE8A153B-FB32-44A0-B175-14E1F655B442}" id="{925DBB45-B3A5-4118-B786-1CD08A46CD9F}">
    <text>Task No - 6400</text>
  </threadedComment>
  <threadedComment ref="AJ5" dT="2026-08-27T01:59:07.13" personId="{BE8A153B-FB32-44A0-B175-14E1F655B442}" id="{8D61AD9F-B5B4-46C7-9366-1CD91C795959}">
    <text>Task No - 6500 6510 6520 6530</text>
  </threadedComment>
  <threadedComment ref="AK5" dT="2026-08-27T01:59:31.95" personId="{BE8A153B-FB32-44A0-B175-14E1F655B442}" id="{2012CEBF-9DA0-46AB-990E-ACDEECDFBAF5}">
    <text xml:space="preserve">Task No - 6600 </text>
  </threadedComment>
  <threadedComment ref="AL5" dT="2026-08-27T02:01:02.91" personId="{BE8A153B-FB32-44A0-B175-14E1F655B442}" id="{C73F9FBE-F06A-459E-9927-9E8A69C8F17D}">
    <text>Task No 6620</text>
  </threadedComment>
  <threadedComment ref="AM5" dT="2026-08-27T02:01:21.72" personId="{BE8A153B-FB32-44A0-B175-14E1F655B442}" id="{24D4C3A5-822B-421F-8CCA-89DA8714184B}">
    <text>Task No - 6630</text>
  </threadedComment>
  <threadedComment ref="AN5" dT="2026-08-27T02:01:39.51" personId="{BE8A153B-FB32-44A0-B175-14E1F655B442}" id="{12533FAD-5700-4564-B547-BEDCDD91B6D0}">
    <text>Task No - 7000</text>
  </threadedComment>
  <threadedComment ref="AO5" dT="2026-08-27T02:01:55.86" personId="{BE8A153B-FB32-44A0-B175-14E1F655B442}" id="{44924316-329F-41A6-ACF0-CA4CD4C3E125}">
    <text>Task No - 7100 7150</text>
  </threadedComment>
  <threadedComment ref="AP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R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2" customWidth="1" style="74" min="21" max="21"/>
    <col width="13" customWidth="1" style="74" min="23" max="23"/>
    <col width="10" customWidth="1" style="74" min="24" max="24"/>
    <col width="14" customWidth="1" style="74" min="25" max="25"/>
    <col width="12" customWidth="1" style="74" min="26" max="26"/>
    <col width="44.5546875" customWidth="1" style="74" min="27" max="27"/>
    <col width="50" customWidth="1" style="74" min="28" max="28"/>
    <col width="14" customWidth="1" style="74" min="29" max="29"/>
    <col width="11.33203125" customWidth="1" style="74" min="30" max="30"/>
    <col width="10.33203125" customWidth="1" style="74" min="31" max="31"/>
    <col width="8.44140625" customWidth="1" style="74" min="32" max="32"/>
    <col width="11" customWidth="1" style="74" min="33" max="33"/>
    <col width="13" customWidth="1" style="74" min="34" max="34"/>
    <col width="9.5546875" customWidth="1" style="74" min="36" max="36"/>
    <col width="17.33203125" customWidth="1" style="74" min="37" max="37"/>
    <col width="11.44140625" customWidth="1" style="74" min="40" max="40"/>
    <col width="10" customWidth="1" style="74" min="42" max="42"/>
    <col width="15" customWidth="1" style="74" min="44" max="44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55" t="inlineStr">
        <is>
          <t>Manhour Cost (% of Project Cost)</t>
        </is>
      </c>
    </row>
    <row r="2" ht="15.75" customHeight="1" s="74">
      <c r="A2" s="79" t="inlineStr">
        <is>
          <t>All timelines in WEEKS  |  Project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80" t="n"/>
      <c r="AB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77" t="n"/>
      <c r="R3" s="72" t="n"/>
      <c r="S3" s="72" t="n"/>
      <c r="T3" s="72" t="n"/>
      <c r="U3" s="72" t="n"/>
      <c r="V3" s="72" t="n"/>
      <c r="W3" s="12" t="inlineStr">
        <is>
          <t>TOTAL</t>
        </is>
      </c>
      <c r="X3" s="77" t="inlineStr">
        <is>
          <t>PROJECT VALUE</t>
        </is>
      </c>
      <c r="Y3" s="72" t="n"/>
      <c r="Z3" s="72" t="n"/>
      <c r="AA3" s="82" t="inlineStr">
        <is>
          <t>ATTRIBUTES</t>
        </is>
      </c>
      <c r="AB3" s="72" t="n"/>
      <c r="AC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69" t="n"/>
      <c r="R4" s="70" t="n"/>
      <c r="S4" s="70" t="n"/>
      <c r="T4" s="70" t="n"/>
      <c r="U4" s="75" t="inlineStr">
        <is>
          <t>Execution  (sequential)</t>
        </is>
      </c>
      <c r="V4" s="70" t="n"/>
      <c r="W4" s="20" t="n"/>
      <c r="X4" s="15" t="n"/>
      <c r="Y4" s="15" t="n"/>
      <c r="Z4" s="15" t="n"/>
      <c r="AA4" s="21" t="n"/>
      <c r="AB4" s="21" t="n"/>
      <c r="AC4" s="21" t="n"/>
      <c r="AD4" s="22" t="n"/>
      <c r="AE4" s="22" t="n"/>
      <c r="AF4" s="22" t="n"/>
      <c r="AG4" s="22" t="n"/>
      <c r="AH4" s="22" t="n"/>
      <c r="AI4" s="22" t="n"/>
      <c r="AJ4" s="22" t="n"/>
      <c r="AK4" s="22" t="n"/>
      <c r="AL4" s="22" t="n"/>
      <c r="AM4" s="22" t="n"/>
      <c r="AN4" s="22" t="n"/>
      <c r="AO4" s="22" t="n"/>
      <c r="AP4" s="22" t="n"/>
      <c r="AQ4" s="22" t="n"/>
      <c r="AR4" s="14" t="n"/>
    </row>
    <row r="5" ht="44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MS Shuttles</t>
        </is>
      </c>
      <c r="H5" s="24" t="inlineStr">
        <is>
          <t>MS Tote Locations</t>
        </is>
      </c>
      <c r="I5" s="25" t="inlineStr">
        <is>
          <t>AS Robots</t>
        </is>
      </c>
      <c r="J5" s="25" t="inlineStr">
        <is>
          <t>AS Tote Locations</t>
        </is>
      </c>
      <c r="K5" s="26" t="inlineStr">
        <is>
          <t>PS Shuttles</t>
        </is>
      </c>
      <c r="L5" s="26" t="inlineStr">
        <is>
          <t>PS Pallet Locations</t>
        </is>
      </c>
      <c r="M5" s="27" t="inlineStr">
        <is>
          <t>SRM Cranes</t>
        </is>
      </c>
      <c r="N5" s="27" t="inlineStr">
        <is>
          <t>SRM 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Mech Eng (wks)</t>
        </is>
      </c>
      <c r="R5" s="24" t="inlineStr">
        <is>
          <t>Controls Eng (wks)</t>
        </is>
      </c>
      <c r="S5" s="24" t="inlineStr">
        <is>
          <t>Systems Eng (wks)</t>
        </is>
      </c>
      <c r="T5" s="24" t="inlineStr">
        <is>
          <t>Software Eng (wks)</t>
        </is>
      </c>
      <c r="U5" s="29" t="inlineStr">
        <is>
          <t>M&amp;E Installation (wks)</t>
        </is>
      </c>
      <c r="V5" s="29" t="inlineStr">
        <is>
          <t>Commissioning (wks)</t>
        </is>
      </c>
      <c r="W5" s="12" t="inlineStr">
        <is>
          <t>Total Timeline (wks)</t>
        </is>
      </c>
      <c r="X5" s="24" t="inlineStr">
        <is>
          <t>Currency</t>
        </is>
      </c>
      <c r="Y5" s="24" t="inlineStr">
        <is>
          <t>Value (M)</t>
        </is>
      </c>
      <c r="Z5" s="24" t="inlineStr">
        <is>
          <t>Value (USD M)</t>
        </is>
      </c>
      <c r="AA5" s="82" t="inlineStr">
        <is>
          <t>Automation Equipment</t>
        </is>
      </c>
      <c r="AB5" s="82" t="inlineStr">
        <is>
          <t>Notes / Lessons Learned</t>
        </is>
      </c>
      <c r="AC5" s="30" t="inlineStr">
        <is>
          <t>ID Check</t>
        </is>
      </c>
      <c r="AD5" s="31" t="inlineStr">
        <is>
          <t>Mech Inst</t>
        </is>
      </c>
      <c r="AE5" s="31" t="inlineStr">
        <is>
          <t>Elec Inst</t>
        </is>
      </c>
      <c r="AF5" s="31" t="inlineStr">
        <is>
          <t>Project Management</t>
        </is>
      </c>
      <c r="AG5" s="31" t="inlineStr">
        <is>
          <t>Systems Eng</t>
        </is>
      </c>
      <c r="AH5" s="31" t="inlineStr">
        <is>
          <t>Mechanical Eng</t>
        </is>
      </c>
      <c r="AI5" s="31" t="inlineStr">
        <is>
          <t>Structural Engineering</t>
        </is>
      </c>
      <c r="AJ5" s="31" t="inlineStr">
        <is>
          <t>Site Sup</t>
        </is>
      </c>
      <c r="AK5" s="31" t="inlineStr">
        <is>
          <t>Controls Commissioning</t>
        </is>
      </c>
      <c r="AL5" s="31" t="inlineStr">
        <is>
          <t>Systems Commissioning</t>
        </is>
      </c>
      <c r="AM5" s="31" t="inlineStr">
        <is>
          <t>Service Commissioning</t>
        </is>
      </c>
      <c r="AN5" s="31" t="inlineStr">
        <is>
          <t>Controls Eng</t>
        </is>
      </c>
      <c r="AO5" s="31" t="inlineStr">
        <is>
          <t>Controls Purchase</t>
        </is>
      </c>
      <c r="AP5" s="31" t="inlineStr">
        <is>
          <t>Software Eng</t>
        </is>
      </c>
      <c r="AQ5" s="31" t="inlineStr">
        <is>
          <t>Misc</t>
        </is>
      </c>
      <c r="AR5" s="23" t="inlineStr">
        <is>
          <t>MH Data Status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inlineStr">
        <is>
          <t>USD</t>
        </is>
      </c>
      <c r="Y6" s="35" t="n">
        <v>17.9</v>
      </c>
      <c r="Z6" s="157">
        <f>IF(OR(Y6="",X6=""),"",IFERROR(Y6*INDEX(FXRates[USD per unit],MATCH(X6,FXRates[Currency],0)),"No rate"))</f>
        <v/>
      </c>
      <c r="AA6" s="32" t="inlineStr">
        <is>
          <t>Hybotics APP Autobagger Carton Reducting Lidding Sealer Tote Stacker DeStacker MCS</t>
        </is>
      </c>
      <c r="AB6" s="32" t="n"/>
      <c r="AC6" s="36">
        <f>IF(A6="","",IF(COUNTIF($A$6:$A$504,A6)&gt;1,"⚠ Duplicate",""))</f>
        <v/>
      </c>
      <c r="AD6" s="37" t="n">
        <v>0</v>
      </c>
      <c r="AE6" s="37" t="n">
        <v>0</v>
      </c>
      <c r="AF6" s="37" t="n">
        <v>0</v>
      </c>
      <c r="AG6" s="37" t="n">
        <v>0</v>
      </c>
      <c r="AH6" s="37" t="n">
        <v>0</v>
      </c>
      <c r="AI6" s="37" t="n">
        <v>0</v>
      </c>
      <c r="AJ6" s="37" t="n">
        <v>0</v>
      </c>
      <c r="AK6" s="37" t="n">
        <v>0</v>
      </c>
      <c r="AL6" s="37" t="n">
        <v>0</v>
      </c>
      <c r="AM6" s="37" t="n">
        <v>0</v>
      </c>
      <c r="AN6" s="37" t="n">
        <v>0</v>
      </c>
      <c r="AO6" s="37" t="n">
        <v>0</v>
      </c>
      <c r="AP6" s="37" t="n">
        <v>0</v>
      </c>
      <c r="AQ6" s="37" t="n">
        <v>0</v>
      </c>
      <c r="AR6" s="32" t="inlineStr">
        <is>
          <t>No data</t>
        </is>
      </c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inlineStr">
        <is>
          <t>USD</t>
        </is>
      </c>
      <c r="Y7" s="40" t="n">
        <v>30</v>
      </c>
      <c r="Z7" s="158">
        <f>IF(OR(Y7="",X7=""),"",IFERROR(Y7*INDEX(FXRates[USD per unit],MATCH(X7,FXRates[Currency],0)),"No rate"))</f>
        <v/>
      </c>
      <c r="AA7" s="38" t="inlineStr">
        <is>
          <t xml:space="preserve">SRM BK25 </t>
        </is>
      </c>
      <c r="AB7" s="38" t="inlineStr">
        <is>
          <t>2 SRM Cranes in 1 Aisle Configuration</t>
        </is>
      </c>
      <c r="AC7" s="41">
        <f>IF(A7="","",IF(COUNTIF($A$6:$A$504,A7)&gt;1,"⚠ Duplicate",""))</f>
        <v/>
      </c>
      <c r="AD7" s="42" t="n">
        <v>0.011</v>
      </c>
      <c r="AE7" s="42" t="n">
        <v>0.011</v>
      </c>
      <c r="AF7" s="42" t="n">
        <v>0.011</v>
      </c>
      <c r="AG7" s="42" t="n">
        <v>0.004</v>
      </c>
      <c r="AH7" s="42" t="n">
        <v>0.01</v>
      </c>
      <c r="AI7" s="42" t="n">
        <v>0.008</v>
      </c>
      <c r="AJ7" s="42" t="n">
        <v>0.008</v>
      </c>
      <c r="AK7" s="42" t="n">
        <v>0.021</v>
      </c>
      <c r="AL7" s="42" t="n">
        <v>0.021</v>
      </c>
      <c r="AM7" s="42" t="n">
        <v>0.021</v>
      </c>
      <c r="AN7" s="42" t="n">
        <v>0.03</v>
      </c>
      <c r="AO7" s="42" t="n">
        <v>0.03</v>
      </c>
      <c r="AP7" s="42" t="n">
        <v>0.003</v>
      </c>
      <c r="AQ7" s="37" t="n">
        <v>0.001</v>
      </c>
      <c r="AR7" s="38" t="inlineStr">
        <is>
          <t>Unverified</t>
        </is>
      </c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inlineStr">
        <is>
          <t>USD</t>
        </is>
      </c>
      <c r="Y8" s="35" t="n">
        <v>3.9</v>
      </c>
      <c r="Z8" s="157">
        <f>IF(OR(Y8="",X8=""),"",IFERROR(Y8*INDEX(FXRates[USD per unit],MATCH(X8,FXRates[Currency],0)),"No rate"))</f>
        <v/>
      </c>
      <c r="AA8" s="32" t="inlineStr">
        <is>
          <t>AutoStore</t>
        </is>
      </c>
      <c r="AB8" s="32" t="n"/>
      <c r="AC8" s="36">
        <f>IF(A8="","",IF(COUNTIF($A$6:$A$504,A8)&gt;1,"⚠ Duplicate",""))</f>
        <v/>
      </c>
      <c r="AD8" s="43" t="n">
        <v>0.05</v>
      </c>
      <c r="AE8" s="43" t="n">
        <v>0.05</v>
      </c>
      <c r="AF8" s="43" t="n">
        <v>0.05</v>
      </c>
      <c r="AG8" s="43" t="n">
        <v>0.07000000000000001</v>
      </c>
      <c r="AH8" s="43" t="n">
        <v>0.09</v>
      </c>
      <c r="AI8" s="43" t="n">
        <v>0.06</v>
      </c>
      <c r="AJ8" s="43" t="n">
        <v>0.06</v>
      </c>
      <c r="AK8" s="43" t="n">
        <v>0.01</v>
      </c>
      <c r="AL8" s="43" t="n">
        <v>0.01</v>
      </c>
      <c r="AM8" s="43" t="n">
        <v>0.01</v>
      </c>
      <c r="AN8" s="43" t="n">
        <v>0.01</v>
      </c>
      <c r="AO8" s="43" t="n">
        <v>0.01</v>
      </c>
      <c r="AP8" s="43" t="n">
        <v>0.04</v>
      </c>
      <c r="AQ8" s="37" t="n">
        <v>0.001</v>
      </c>
      <c r="AR8" s="32" t="inlineStr">
        <is>
          <t>Unverified</t>
        </is>
      </c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inlineStr">
        <is>
          <t>USD</t>
        </is>
      </c>
      <c r="Y9" s="40" t="n">
        <v>6.2</v>
      </c>
      <c r="Z9" s="158">
        <f>IF(OR(Y9="",X9=""),"",IFERROR(Y9*INDEX(FXRates[USD per unit],MATCH(X9,FXRates[Currency],0)),"No rate"))</f>
        <v/>
      </c>
      <c r="AA9" s="38" t="inlineStr">
        <is>
          <t>AutoStore</t>
        </is>
      </c>
      <c r="AB9" s="38" t="n"/>
      <c r="AC9" s="41">
        <f>IF(A9="","",IF(COUNTIF($A$6:$A$504,A9)&gt;1,"⚠ Duplicate",""))</f>
        <v/>
      </c>
      <c r="AD9" s="42" t="n">
        <v>0.05</v>
      </c>
      <c r="AE9" s="42" t="n">
        <v>0.05</v>
      </c>
      <c r="AF9" s="42" t="n">
        <v>0.05</v>
      </c>
      <c r="AG9" s="42" t="n">
        <v>0.07000000000000001</v>
      </c>
      <c r="AH9" s="42" t="n">
        <v>0.09</v>
      </c>
      <c r="AI9" s="42" t="n">
        <v>0.06</v>
      </c>
      <c r="AJ9" s="42" t="n">
        <v>0.06</v>
      </c>
      <c r="AK9" s="42" t="n">
        <v>0.01</v>
      </c>
      <c r="AL9" s="42" t="n">
        <v>0.01</v>
      </c>
      <c r="AM9" s="42" t="n">
        <v>0.01</v>
      </c>
      <c r="AN9" s="42" t="n">
        <v>0.01</v>
      </c>
      <c r="AO9" s="42" t="n">
        <v>0.01</v>
      </c>
      <c r="AP9" s="42" t="n">
        <v>0.04</v>
      </c>
      <c r="AQ9" s="37" t="n">
        <v>0.001</v>
      </c>
      <c r="AR9" s="38" t="inlineStr">
        <is>
          <t>Unverified</t>
        </is>
      </c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inlineStr">
        <is>
          <t>USD</t>
        </is>
      </c>
      <c r="Y10" s="35" t="n">
        <v>5</v>
      </c>
      <c r="Z10" s="157">
        <f>IF(OR(Y10="",X10=""),"",IFERROR(Y10*INDEX(FXRates[USD per unit],MATCH(X10,FXRates[Currency],0)),"No rate"))</f>
        <v/>
      </c>
      <c r="AA10" s="32" t="inlineStr">
        <is>
          <t>AutoStore</t>
        </is>
      </c>
      <c r="AB10" s="32" t="n"/>
      <c r="AC10" s="36">
        <f>IF(A10="","",IF(COUNTIF($A$6:$A$504,A10)&gt;1,"⚠ Duplicate",""))</f>
        <v/>
      </c>
      <c r="AD10" s="43" t="n">
        <v>0.05</v>
      </c>
      <c r="AE10" s="43" t="n">
        <v>0.05</v>
      </c>
      <c r="AF10" s="43" t="n">
        <v>0.05</v>
      </c>
      <c r="AG10" s="43" t="n">
        <v>0.07000000000000001</v>
      </c>
      <c r="AH10" s="43" t="n">
        <v>0.09</v>
      </c>
      <c r="AI10" s="43" t="n">
        <v>0.06</v>
      </c>
      <c r="AJ10" s="43" t="n">
        <v>0.06</v>
      </c>
      <c r="AK10" s="43" t="n">
        <v>0.01</v>
      </c>
      <c r="AL10" s="43" t="n">
        <v>0.01</v>
      </c>
      <c r="AM10" s="43" t="n">
        <v>0.01</v>
      </c>
      <c r="AN10" s="43" t="n">
        <v>0.01</v>
      </c>
      <c r="AO10" s="43" t="n">
        <v>0.01</v>
      </c>
      <c r="AP10" s="43" t="n">
        <v>0.04</v>
      </c>
      <c r="AQ10" s="37" t="n">
        <v>0.001</v>
      </c>
      <c r="AR10" s="32" t="inlineStr">
        <is>
          <t>Unverified</t>
        </is>
      </c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inlineStr">
        <is>
          <t>USD</t>
        </is>
      </c>
      <c r="Y11" s="40" t="n">
        <v>12.3</v>
      </c>
      <c r="Z11" s="158">
        <f>IF(OR(Y11="",X11=""),"",IFERROR(Y11*INDEX(FXRates[USD per unit],MATCH(X11,FXRates[Currency],0)),"No rate"))</f>
        <v/>
      </c>
      <c r="AA11" s="38" t="inlineStr">
        <is>
          <t>DMS MCS Elten Tote Palletising Case Lidding</t>
        </is>
      </c>
      <c r="AB11" s="38" t="n"/>
      <c r="AC11" s="41">
        <f>IF(A11="","",IF(COUNTIF($A$6:$A$504,A11)&gt;1,"⚠ Duplicate",""))</f>
        <v/>
      </c>
      <c r="AD11" s="37" t="n">
        <v>0</v>
      </c>
      <c r="AE11" s="37" t="n">
        <v>0</v>
      </c>
      <c r="AF11" s="37" t="n">
        <v>0</v>
      </c>
      <c r="AG11" s="37" t="n">
        <v>0</v>
      </c>
      <c r="AH11" s="37" t="n">
        <v>0</v>
      </c>
      <c r="AI11" s="37" t="n">
        <v>0</v>
      </c>
      <c r="AJ11" s="37" t="n">
        <v>0</v>
      </c>
      <c r="AK11" s="37" t="n">
        <v>0</v>
      </c>
      <c r="AL11" s="37" t="n">
        <v>0</v>
      </c>
      <c r="AM11" s="37" t="n">
        <v>0</v>
      </c>
      <c r="AN11" s="37" t="n">
        <v>0</v>
      </c>
      <c r="AO11" s="37" t="n">
        <v>0</v>
      </c>
      <c r="AP11" s="37" t="n">
        <v>0</v>
      </c>
      <c r="AQ11" s="37" t="n">
        <v>0</v>
      </c>
      <c r="AR11" s="38" t="inlineStr">
        <is>
          <t>No data</t>
        </is>
      </c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inlineStr">
        <is>
          <t>USD</t>
        </is>
      </c>
      <c r="Y12" s="35" t="n">
        <v>14.3</v>
      </c>
      <c r="Z12" s="157">
        <f>IF(OR(Y12="",X12=""),"",IFERROR(Y12*INDEX(FXRates[USD per unit],MATCH(X12,FXRates[Currency],0)),"No rate"))</f>
        <v/>
      </c>
      <c r="AA12" s="32" t="inlineStr">
        <is>
          <t>2 Way Shuttle BK25</t>
        </is>
      </c>
      <c r="AB12" s="32" t="n"/>
      <c r="AC12" s="36">
        <f>IF(A12="","",IF(COUNTIF($A$6:$A$504,A12)&gt;1,"⚠ Duplicate",""))</f>
        <v/>
      </c>
      <c r="AD12" s="37" t="n">
        <v>0</v>
      </c>
      <c r="AE12" s="37" t="n">
        <v>0</v>
      </c>
      <c r="AF12" s="37" t="n">
        <v>0</v>
      </c>
      <c r="AG12" s="37" t="n">
        <v>0</v>
      </c>
      <c r="AH12" s="37" t="n">
        <v>0</v>
      </c>
      <c r="AI12" s="37" t="n">
        <v>0</v>
      </c>
      <c r="AJ12" s="37" t="n">
        <v>0</v>
      </c>
      <c r="AK12" s="37" t="n">
        <v>0</v>
      </c>
      <c r="AL12" s="37" t="n">
        <v>0</v>
      </c>
      <c r="AM12" s="37" t="n">
        <v>0</v>
      </c>
      <c r="AN12" s="37" t="n">
        <v>0</v>
      </c>
      <c r="AO12" s="37" t="n">
        <v>0</v>
      </c>
      <c r="AP12" s="37" t="n">
        <v>0</v>
      </c>
      <c r="AQ12" s="37" t="n">
        <v>0</v>
      </c>
      <c r="AR12" s="32" t="inlineStr">
        <is>
          <t>No data</t>
        </is>
      </c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inlineStr">
        <is>
          <t>USD</t>
        </is>
      </c>
      <c r="Y13" s="40" t="n">
        <v>4.3</v>
      </c>
      <c r="Z13" s="158">
        <f>IF(OR(Y13="",X13=""),"",IFERROR(Y13*INDEX(FXRates[USD per unit],MATCH(X13,FXRates[Currency],0)),"No rate"))</f>
        <v/>
      </c>
      <c r="AA13" s="38" t="inlineStr">
        <is>
          <t>DMS</t>
        </is>
      </c>
      <c r="AB13" s="38" t="n"/>
      <c r="AC13" s="41">
        <f>IF(A13="","",IF(COUNTIF($A$6:$A$504,A13)&gt;1,"⚠ Duplicate",""))</f>
        <v/>
      </c>
      <c r="AD13" s="42" t="n">
        <v>0.05</v>
      </c>
      <c r="AE13" s="42" t="n">
        <v>0.05</v>
      </c>
      <c r="AF13" s="42" t="n">
        <v>0.05</v>
      </c>
      <c r="AG13" s="42" t="n">
        <v>0.07000000000000001</v>
      </c>
      <c r="AH13" s="42" t="n">
        <v>0.09</v>
      </c>
      <c r="AI13" s="42" t="n">
        <v>0.06</v>
      </c>
      <c r="AJ13" s="42" t="n">
        <v>0.06</v>
      </c>
      <c r="AK13" s="42" t="n">
        <v>0.01</v>
      </c>
      <c r="AL13" s="42" t="n">
        <v>0.01</v>
      </c>
      <c r="AM13" s="42" t="n">
        <v>0.01</v>
      </c>
      <c r="AN13" s="42" t="n">
        <v>0.01</v>
      </c>
      <c r="AO13" s="42" t="n">
        <v>0.01</v>
      </c>
      <c r="AP13" s="42" t="n">
        <v>0.04</v>
      </c>
      <c r="AQ13" s="37" t="n">
        <v>0.001</v>
      </c>
      <c r="AR13" s="38" t="inlineStr">
        <is>
          <t>Unverified</t>
        </is>
      </c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inlineStr">
        <is>
          <t>USD</t>
        </is>
      </c>
      <c r="Y14" s="35" t="n">
        <v>15.5</v>
      </c>
      <c r="Z14" s="157">
        <f>IF(OR(Y14="",X14=""),"",IFERROR(Y14*INDEX(FXRates[USD per unit],MATCH(X14,FXRates[Currency],0)),"No rate"))</f>
        <v/>
      </c>
      <c r="AA14" s="32" t="inlineStr">
        <is>
          <t>MCS</t>
        </is>
      </c>
      <c r="AB14" s="32" t="n"/>
      <c r="AC14" s="36">
        <f>IF(A14="","",IF(COUNTIF($A$6:$A$504,A14)&gt;1,"⚠ Duplicate",""))</f>
        <v/>
      </c>
      <c r="AD14" s="43" t="n">
        <v>0.05</v>
      </c>
      <c r="AE14" s="43" t="n">
        <v>0.05</v>
      </c>
      <c r="AF14" s="43" t="n">
        <v>0.05</v>
      </c>
      <c r="AG14" s="43" t="n">
        <v>0.07000000000000001</v>
      </c>
      <c r="AH14" s="43" t="n">
        <v>0.09</v>
      </c>
      <c r="AI14" s="43" t="n">
        <v>0.06</v>
      </c>
      <c r="AJ14" s="43" t="n">
        <v>0.06</v>
      </c>
      <c r="AK14" s="43" t="n">
        <v>0.01</v>
      </c>
      <c r="AL14" s="43" t="n">
        <v>0.01</v>
      </c>
      <c r="AM14" s="43" t="n">
        <v>0.01</v>
      </c>
      <c r="AN14" s="43" t="n">
        <v>0.01</v>
      </c>
      <c r="AO14" s="43" t="n">
        <v>0.01</v>
      </c>
      <c r="AP14" s="43" t="n">
        <v>0.04</v>
      </c>
      <c r="AQ14" s="37" t="n">
        <v>0.001</v>
      </c>
      <c r="AR14" s="32" t="inlineStr">
        <is>
          <t>Unverified</t>
        </is>
      </c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inlineStr">
        <is>
          <t>USD</t>
        </is>
      </c>
      <c r="Y15" s="40" t="n">
        <v>2.7</v>
      </c>
      <c r="Z15" s="158">
        <f>IF(OR(Y15="",X15=""),"",IFERROR(Y15*INDEX(FXRates[USD per unit],MATCH(X15,FXRates[Currency],0)),"No rate"))</f>
        <v/>
      </c>
      <c r="AA15" s="38" t="inlineStr">
        <is>
          <t>4WS Pallet</t>
        </is>
      </c>
      <c r="AB15" s="38" t="n"/>
      <c r="AC15" s="41">
        <f>IF(A15="","",IF(COUNTIF($A$6:$A$504,A15)&gt;1,"⚠ Duplicate",""))</f>
        <v/>
      </c>
      <c r="AD15" s="42" t="n">
        <v>0.05</v>
      </c>
      <c r="AE15" s="42" t="n">
        <v>0.05</v>
      </c>
      <c r="AF15" s="42" t="n">
        <v>0.05</v>
      </c>
      <c r="AG15" s="42" t="n">
        <v>0.07000000000000001</v>
      </c>
      <c r="AH15" s="42" t="n">
        <v>0.09</v>
      </c>
      <c r="AI15" s="42" t="n">
        <v>0.06</v>
      </c>
      <c r="AJ15" s="42" t="n">
        <v>0.06</v>
      </c>
      <c r="AK15" s="42" t="n">
        <v>0.01</v>
      </c>
      <c r="AL15" s="42" t="n">
        <v>0.01</v>
      </c>
      <c r="AM15" s="42" t="n">
        <v>0.01</v>
      </c>
      <c r="AN15" s="42" t="n">
        <v>0.01</v>
      </c>
      <c r="AO15" s="42" t="n">
        <v>0.01</v>
      </c>
      <c r="AP15" s="42" t="n">
        <v>0.04</v>
      </c>
      <c r="AQ15" s="37" t="n">
        <v>0.001</v>
      </c>
      <c r="AR15" s="38" t="inlineStr">
        <is>
          <t>Unverified</t>
        </is>
      </c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inlineStr">
        <is>
          <t>USD</t>
        </is>
      </c>
      <c r="Y16" s="35" t="n">
        <v>2.2</v>
      </c>
      <c r="Z16" s="157">
        <f>IF(OR(Y16="",X16=""),"",IFERROR(Y16*INDEX(FXRates[USD per unit],MATCH(X16,FXRates[Currency],0)),"No rate"))</f>
        <v/>
      </c>
      <c r="AA16" s="32" t="inlineStr">
        <is>
          <t>Autostore</t>
        </is>
      </c>
      <c r="AB16" s="32" t="n"/>
      <c r="AC16" s="36">
        <f>IF(A16="","",IF(COUNTIF($A$6:$A$504,A16)&gt;1,"⚠ Duplicate",""))</f>
        <v/>
      </c>
      <c r="AD16" s="37" t="n">
        <v>0</v>
      </c>
      <c r="AE16" s="37" t="n">
        <v>0</v>
      </c>
      <c r="AF16" s="37" t="n">
        <v>0</v>
      </c>
      <c r="AG16" s="37" t="n">
        <v>0</v>
      </c>
      <c r="AH16" s="37" t="n">
        <v>0</v>
      </c>
      <c r="AI16" s="37" t="n">
        <v>0</v>
      </c>
      <c r="AJ16" s="37" t="n">
        <v>0</v>
      </c>
      <c r="AK16" s="37" t="n">
        <v>0</v>
      </c>
      <c r="AL16" s="37" t="n">
        <v>0</v>
      </c>
      <c r="AM16" s="37" t="n">
        <v>0</v>
      </c>
      <c r="AN16" s="37" t="n">
        <v>0</v>
      </c>
      <c r="AO16" s="37" t="n">
        <v>0</v>
      </c>
      <c r="AP16" s="37" t="n">
        <v>0</v>
      </c>
      <c r="AQ16" s="37" t="n">
        <v>0</v>
      </c>
      <c r="AR16" s="32" t="inlineStr">
        <is>
          <t>No data</t>
        </is>
      </c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inlineStr">
        <is>
          <t>USD</t>
        </is>
      </c>
      <c r="Y17" s="40" t="n">
        <v>1.7</v>
      </c>
      <c r="Z17" s="158">
        <f>IF(OR(Y17="",X17=""),"",IFERROR(Y17*INDEX(FXRates[USD per unit],MATCH(X17,FXRates[Currency],0)),"No rate"))</f>
        <v/>
      </c>
      <c r="AA17" s="38" t="inlineStr">
        <is>
          <t>Autostore</t>
        </is>
      </c>
      <c r="AB17" s="38" t="n"/>
      <c r="AC17" s="41">
        <f>IF(A17="","",IF(COUNTIF($A$6:$A$504,A17)&gt;1,"⚠ Duplicate",""))</f>
        <v/>
      </c>
      <c r="AD17" s="37" t="n">
        <v>0</v>
      </c>
      <c r="AE17" s="37" t="n">
        <v>0</v>
      </c>
      <c r="AF17" s="37" t="n">
        <v>0</v>
      </c>
      <c r="AG17" s="37" t="n">
        <v>0</v>
      </c>
      <c r="AH17" s="37" t="n">
        <v>0</v>
      </c>
      <c r="AI17" s="37" t="n">
        <v>0</v>
      </c>
      <c r="AJ17" s="37" t="n">
        <v>0</v>
      </c>
      <c r="AK17" s="37" t="n">
        <v>0</v>
      </c>
      <c r="AL17" s="37" t="n">
        <v>0</v>
      </c>
      <c r="AM17" s="37" t="n">
        <v>0</v>
      </c>
      <c r="AN17" s="37" t="n">
        <v>0</v>
      </c>
      <c r="AO17" s="37" t="n">
        <v>0</v>
      </c>
      <c r="AP17" s="37" t="n">
        <v>0</v>
      </c>
      <c r="AQ17" s="37" t="n">
        <v>0</v>
      </c>
      <c r="AR17" s="38" t="inlineStr">
        <is>
          <t>No data</t>
        </is>
      </c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inlineStr">
        <is>
          <t>USD</t>
        </is>
      </c>
      <c r="Y18" s="35" t="n">
        <v>25.4</v>
      </c>
      <c r="Z18" s="157">
        <f>IF(OR(Y18="",X18=""),"",IFERROR(Y18*INDEX(FXRates[USD per unit],MATCH(X18,FXRates[Currency],0)),"No rate"))</f>
        <v/>
      </c>
      <c r="AA18" s="32" t="n"/>
      <c r="AB18" s="32" t="n"/>
      <c r="AC18" s="36">
        <f>IF(A18="","",IF(COUNTIF($A$6:$A$504,A18)&gt;1,"⚠ Duplicate",""))</f>
        <v/>
      </c>
      <c r="AD18" s="43" t="n">
        <v>0.05</v>
      </c>
      <c r="AE18" s="43" t="n">
        <v>0.05</v>
      </c>
      <c r="AF18" s="43" t="n">
        <v>0.05</v>
      </c>
      <c r="AG18" s="43" t="n">
        <v>0.07000000000000001</v>
      </c>
      <c r="AH18" s="43" t="n">
        <v>0.09</v>
      </c>
      <c r="AI18" s="43" t="n">
        <v>0.06</v>
      </c>
      <c r="AJ18" s="43" t="n">
        <v>0.06</v>
      </c>
      <c r="AK18" s="43" t="n">
        <v>0.01</v>
      </c>
      <c r="AL18" s="43" t="n">
        <v>0.01</v>
      </c>
      <c r="AM18" s="43" t="n">
        <v>0.01</v>
      </c>
      <c r="AN18" s="43" t="n">
        <v>0.01</v>
      </c>
      <c r="AO18" s="43" t="n">
        <v>0.01</v>
      </c>
      <c r="AP18" s="43" t="n">
        <v>0.04</v>
      </c>
      <c r="AQ18" s="37" t="n">
        <v>0.001</v>
      </c>
      <c r="AR18" s="32" t="inlineStr">
        <is>
          <t>Unverified</t>
        </is>
      </c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inlineStr">
        <is>
          <t>USD</t>
        </is>
      </c>
      <c r="Y19" s="40" t="n">
        <v>18.7</v>
      </c>
      <c r="Z19" s="158">
        <f>IF(OR(Y19="",X19=""),"",IFERROR(Y19*INDEX(FXRates[USD per unit],MATCH(X19,FXRates[Currency],0)),"No rate"))</f>
        <v/>
      </c>
      <c r="AA19" s="38" t="inlineStr">
        <is>
          <t xml:space="preserve">SRM BK25 Shuttlecar RGV </t>
        </is>
      </c>
      <c r="AB19" s="38" t="n"/>
      <c r="AC19" s="41">
        <f>IF(A19="","",IF(COUNTIF($A$6:$A$504,A19)&gt;1,"⚠ Duplicate",""))</f>
        <v/>
      </c>
      <c r="AD19" s="37" t="n">
        <v>0</v>
      </c>
      <c r="AE19" s="37" t="n">
        <v>0</v>
      </c>
      <c r="AF19" s="37" t="n">
        <v>0</v>
      </c>
      <c r="AG19" s="37" t="n">
        <v>0</v>
      </c>
      <c r="AH19" s="37" t="n">
        <v>0</v>
      </c>
      <c r="AI19" s="37" t="n">
        <v>0</v>
      </c>
      <c r="AJ19" s="37" t="n">
        <v>0</v>
      </c>
      <c r="AK19" s="37" t="n">
        <v>0</v>
      </c>
      <c r="AL19" s="37" t="n">
        <v>0</v>
      </c>
      <c r="AM19" s="37" t="n">
        <v>0</v>
      </c>
      <c r="AN19" s="37" t="n">
        <v>0</v>
      </c>
      <c r="AO19" s="37" t="n">
        <v>0</v>
      </c>
      <c r="AP19" s="37" t="n">
        <v>0</v>
      </c>
      <c r="AQ19" s="37" t="n">
        <v>0</v>
      </c>
      <c r="AR19" s="38" t="inlineStr">
        <is>
          <t>No data</t>
        </is>
      </c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inlineStr">
        <is>
          <t>USD</t>
        </is>
      </c>
      <c r="Y20" s="35" t="n">
        <v>13</v>
      </c>
      <c r="Z20" s="157">
        <f>IF(OR(Y20="",X20=""),"",IFERROR(Y20*INDEX(FXRates[USD per unit],MATCH(X20,FXRates[Currency],0)),"No rate"))</f>
        <v/>
      </c>
      <c r="AA20" s="32" t="inlineStr">
        <is>
          <t>SRM BK25 MCS DMS AMCAP MCP FMCF RGV LIFTER PALLET ELTEN SCHWINGHANDL NORIN SUZHOU MARKEM IMAJE METTLER TOLEDO</t>
        </is>
      </c>
      <c r="AB20" s="32" t="n"/>
      <c r="AC20" s="36">
        <f>IF(A20="","",IF(COUNTIF($A$6:$A$504,A20)&gt;1,"⚠ Duplicate",""))</f>
        <v/>
      </c>
      <c r="AD20" s="37" t="n">
        <v>0</v>
      </c>
      <c r="AE20" s="37" t="n">
        <v>0</v>
      </c>
      <c r="AF20" s="37" t="n">
        <v>0</v>
      </c>
      <c r="AG20" s="37" t="n">
        <v>0</v>
      </c>
      <c r="AH20" s="37" t="n">
        <v>0</v>
      </c>
      <c r="AI20" s="37" t="n">
        <v>0</v>
      </c>
      <c r="AJ20" s="37" t="n">
        <v>0</v>
      </c>
      <c r="AK20" s="37" t="n">
        <v>0</v>
      </c>
      <c r="AL20" s="37" t="n">
        <v>0</v>
      </c>
      <c r="AM20" s="37" t="n">
        <v>0</v>
      </c>
      <c r="AN20" s="37" t="n">
        <v>0</v>
      </c>
      <c r="AO20" s="37" t="n">
        <v>0</v>
      </c>
      <c r="AP20" s="37" t="n">
        <v>0</v>
      </c>
      <c r="AQ20" s="37" t="n">
        <v>0</v>
      </c>
      <c r="AR20" s="32" t="inlineStr">
        <is>
          <t>No data</t>
        </is>
      </c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inlineStr">
        <is>
          <t>USD</t>
        </is>
      </c>
      <c r="Y21" s="40" t="n">
        <v>2.5</v>
      </c>
      <c r="Z21" s="158">
        <f>IF(OR(Y21="",X21=""),"",IFERROR(Y21*INDEX(FXRates[USD per unit],MATCH(X21,FXRates[Currency],0)),"No rate"))</f>
        <v/>
      </c>
      <c r="AA21" s="38" t="inlineStr">
        <is>
          <t>Autostore</t>
        </is>
      </c>
      <c r="AB21" s="38" t="n"/>
      <c r="AC21" s="41">
        <f>IF(A21="","",IF(COUNTIF($A$6:$A$504,A21)&gt;1,"⚠ Duplicate",""))</f>
        <v/>
      </c>
      <c r="AD21" s="42" t="n">
        <v>0.05</v>
      </c>
      <c r="AE21" s="42" t="n">
        <v>0.05</v>
      </c>
      <c r="AF21" s="42" t="n">
        <v>0.05</v>
      </c>
      <c r="AG21" s="42" t="n">
        <v>0.07000000000000001</v>
      </c>
      <c r="AH21" s="42" t="n">
        <v>0.09</v>
      </c>
      <c r="AI21" s="42" t="n">
        <v>0.06</v>
      </c>
      <c r="AJ21" s="42" t="n">
        <v>0.06</v>
      </c>
      <c r="AK21" s="42" t="n">
        <v>0.01</v>
      </c>
      <c r="AL21" s="42" t="n">
        <v>0.01</v>
      </c>
      <c r="AM21" s="42" t="n">
        <v>0.01</v>
      </c>
      <c r="AN21" s="42" t="n">
        <v>0.01</v>
      </c>
      <c r="AO21" s="42" t="n">
        <v>0.01</v>
      </c>
      <c r="AP21" s="42" t="n">
        <v>0.04</v>
      </c>
      <c r="AQ21" s="37" t="n">
        <v>0.001</v>
      </c>
      <c r="AR21" s="38" t="inlineStr">
        <is>
          <t>Unverified</t>
        </is>
      </c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inlineStr">
        <is>
          <t>USD</t>
        </is>
      </c>
      <c r="Y22" s="35" t="n">
        <v>18</v>
      </c>
      <c r="Z22" s="157">
        <f>IF(OR(Y22="",X22=""),"",IFERROR(Y22*INDEX(FXRates[USD per unit],MATCH(X22,FXRates[Currency],0)),"No rate"))</f>
        <v/>
      </c>
      <c r="AA22" s="32" t="inlineStr">
        <is>
          <t>XB Sorter CBS crossbelt MCS</t>
        </is>
      </c>
      <c r="AB22" s="32" t="n"/>
      <c r="AC22" s="36">
        <f>IF(A22="","",IF(COUNTIF($A$6:$A$504,A22)&gt;1,"⚠ Duplicate",""))</f>
        <v/>
      </c>
      <c r="AD22" s="37" t="n">
        <v>0</v>
      </c>
      <c r="AE22" s="37" t="n">
        <v>0</v>
      </c>
      <c r="AF22" s="37" t="n">
        <v>0</v>
      </c>
      <c r="AG22" s="37" t="n">
        <v>0</v>
      </c>
      <c r="AH22" s="37" t="n">
        <v>0</v>
      </c>
      <c r="AI22" s="37" t="n">
        <v>0</v>
      </c>
      <c r="AJ22" s="37" t="n">
        <v>0</v>
      </c>
      <c r="AK22" s="37" t="n">
        <v>0</v>
      </c>
      <c r="AL22" s="37" t="n">
        <v>0</v>
      </c>
      <c r="AM22" s="37" t="n">
        <v>0</v>
      </c>
      <c r="AN22" s="37" t="n">
        <v>0</v>
      </c>
      <c r="AO22" s="37" t="n">
        <v>0</v>
      </c>
      <c r="AP22" s="37" t="n">
        <v>0</v>
      </c>
      <c r="AQ22" s="37" t="n">
        <v>0</v>
      </c>
      <c r="AR22" s="32" t="inlineStr">
        <is>
          <t>No data</t>
        </is>
      </c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inlineStr">
        <is>
          <t>USD</t>
        </is>
      </c>
      <c r="Y23" s="40" t="n">
        <v>7.2</v>
      </c>
      <c r="Z23" s="158">
        <f>IF(OR(Y23="",X23=""),"",IFERROR(Y23*INDEX(FXRates[USD per unit],MATCH(X23,FXRates[Currency],0)),"No rate"))</f>
        <v/>
      </c>
      <c r="AA23" s="38" t="inlineStr">
        <is>
          <t xml:space="preserve">SRM BK25 </t>
        </is>
      </c>
      <c r="AB23" s="38" t="n"/>
      <c r="AC23" s="41">
        <f>IF(A23="","",IF(COUNTIF($A$6:$A$504,A23)&gt;1,"⚠ Duplicate",""))</f>
        <v/>
      </c>
      <c r="AD23" s="42" t="n">
        <v>0.05</v>
      </c>
      <c r="AE23" s="42" t="n">
        <v>0.05</v>
      </c>
      <c r="AF23" s="42" t="n">
        <v>0.05</v>
      </c>
      <c r="AG23" s="42" t="n">
        <v>0.07000000000000001</v>
      </c>
      <c r="AH23" s="42" t="n">
        <v>0.09</v>
      </c>
      <c r="AI23" s="42" t="n">
        <v>0.06</v>
      </c>
      <c r="AJ23" s="42" t="n">
        <v>0.06</v>
      </c>
      <c r="AK23" s="42" t="n">
        <v>0.01</v>
      </c>
      <c r="AL23" s="42" t="n">
        <v>0.01</v>
      </c>
      <c r="AM23" s="42" t="n">
        <v>0.01</v>
      </c>
      <c r="AN23" s="42" t="n">
        <v>0.01</v>
      </c>
      <c r="AO23" s="42" t="n">
        <v>0.01</v>
      </c>
      <c r="AP23" s="42" t="n">
        <v>0.04</v>
      </c>
      <c r="AQ23" s="37" t="n">
        <v>0.001</v>
      </c>
      <c r="AR23" s="38" t="inlineStr">
        <is>
          <t>Unverified</t>
        </is>
      </c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inlineStr">
        <is>
          <t>USD</t>
        </is>
      </c>
      <c r="Y24" s="35" t="n">
        <v>30.45</v>
      </c>
      <c r="Z24" s="157">
        <f>IF(OR(Y24="",X24=""),"",IFERROR(Y24*INDEX(FXRates[USD per unit],MATCH(X24,FXRates[Currency],0)),"No rate"))</f>
        <v/>
      </c>
      <c r="AA24" s="32" t="inlineStr">
        <is>
          <t>ASRS MCS DMS</t>
        </is>
      </c>
      <c r="AB24" s="32" t="n"/>
      <c r="AC24" s="36">
        <f>IF(A24="","",IF(COUNTIF($A$6:$A$504,A24)&gt;1,"⚠ Duplicate",""))</f>
        <v/>
      </c>
      <c r="AD24" s="43" t="n">
        <v>0.05</v>
      </c>
      <c r="AE24" s="43" t="n">
        <v>0.05</v>
      </c>
      <c r="AF24" s="43" t="n">
        <v>0.05</v>
      </c>
      <c r="AG24" s="43" t="n">
        <v>0.07000000000000001</v>
      </c>
      <c r="AH24" s="43" t="n">
        <v>0.09</v>
      </c>
      <c r="AI24" s="43" t="n">
        <v>0.06</v>
      </c>
      <c r="AJ24" s="43" t="n">
        <v>0.06</v>
      </c>
      <c r="AK24" s="43" t="n">
        <v>0.01</v>
      </c>
      <c r="AL24" s="43" t="n">
        <v>0.01</v>
      </c>
      <c r="AM24" s="43" t="n">
        <v>0.01</v>
      </c>
      <c r="AN24" s="43" t="n">
        <v>0.01</v>
      </c>
      <c r="AO24" s="43" t="n">
        <v>0.01</v>
      </c>
      <c r="AP24" s="43" t="n">
        <v>0.04</v>
      </c>
      <c r="AQ24" s="37" t="n">
        <v>0.001</v>
      </c>
      <c r="AR24" s="32" t="inlineStr">
        <is>
          <t>Unverified</t>
        </is>
      </c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inlineStr">
        <is>
          <t>MYR</t>
        </is>
      </c>
      <c r="Y25" s="40" t="n">
        <v>15.5</v>
      </c>
      <c r="Z25" s="158">
        <f>IF(OR(Y25="",X25=""),"",IFERROR(Y25*INDEX(FXRates[USD per unit],MATCH(X25,FXRates[Currency],0)),"No rate"))</f>
        <v/>
      </c>
      <c r="AA25" s="38" t="inlineStr">
        <is>
          <t>SRM BK25</t>
        </is>
      </c>
      <c r="AB25" s="38" t="n"/>
      <c r="AC25" s="41">
        <f>IF(A25="","",IF(COUNTIF($A$6:$A$504,A25)&gt;1,"⚠ Duplicate",""))</f>
        <v/>
      </c>
      <c r="AD25" s="42" t="n">
        <v>0.05</v>
      </c>
      <c r="AE25" s="42" t="n">
        <v>0.05</v>
      </c>
      <c r="AF25" s="42" t="n">
        <v>0.05</v>
      </c>
      <c r="AG25" s="42" t="n">
        <v>0.07000000000000001</v>
      </c>
      <c r="AH25" s="42" t="n">
        <v>0.09</v>
      </c>
      <c r="AI25" s="42" t="n">
        <v>0.06</v>
      </c>
      <c r="AJ25" s="42" t="n">
        <v>0.06</v>
      </c>
      <c r="AK25" s="42" t="n">
        <v>0.01</v>
      </c>
      <c r="AL25" s="42" t="n">
        <v>0.01</v>
      </c>
      <c r="AM25" s="42" t="n">
        <v>0.01</v>
      </c>
      <c r="AN25" s="42" t="n">
        <v>0.01</v>
      </c>
      <c r="AO25" s="42" t="n">
        <v>0.01</v>
      </c>
      <c r="AP25" s="42" t="n">
        <v>0.04</v>
      </c>
      <c r="AQ25" s="37" t="n">
        <v>0.001</v>
      </c>
      <c r="AR25" s="38" t="inlineStr">
        <is>
          <t>Unverified</t>
        </is>
      </c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inlineStr">
        <is>
          <t>SGD</t>
        </is>
      </c>
      <c r="Y26" s="40" t="n">
        <v>71</v>
      </c>
      <c r="Z26" s="158">
        <f>IF(OR(Y26="",X26=""),"",IFERROR(Y26*INDEX(FXRates[USD per unit],MATCH(X26,FXRates[Currency],0)),"No rate"))</f>
        <v/>
      </c>
      <c r="AA26" s="32" t="inlineStr">
        <is>
          <t>SRM BK25 MCS DMS AMCAP MCP FMCF RGV LIFTER PALLET ELTEN SCHWINGHANDL NORIN SUZHOU MARKEM IMAJE METTLER TOLEDO</t>
        </is>
      </c>
      <c r="AB26" s="32" t="inlineStr">
        <is>
          <t>Actual timeline is much, much worse compared to handover</t>
        </is>
      </c>
      <c r="AC26" s="36">
        <f>IF(A26="","",IF(COUNTIF($A$6:$A$504,A26)&gt;1,"⚠ Duplicate",""))</f>
        <v/>
      </c>
      <c r="AD26" s="37" t="n">
        <v>0</v>
      </c>
      <c r="AE26" s="37" t="n">
        <v>0</v>
      </c>
      <c r="AF26" s="37" t="n">
        <v>0</v>
      </c>
      <c r="AG26" s="37" t="n">
        <v>0</v>
      </c>
      <c r="AH26" s="37" t="n">
        <v>0</v>
      </c>
      <c r="AI26" s="37" t="n">
        <v>0</v>
      </c>
      <c r="AJ26" s="37" t="n">
        <v>0</v>
      </c>
      <c r="AK26" s="37" t="n">
        <v>0</v>
      </c>
      <c r="AL26" s="37" t="n">
        <v>0</v>
      </c>
      <c r="AM26" s="37" t="n">
        <v>0</v>
      </c>
      <c r="AN26" s="37" t="n">
        <v>0</v>
      </c>
      <c r="AO26" s="37" t="n">
        <v>0</v>
      </c>
      <c r="AP26" s="37" t="n">
        <v>0</v>
      </c>
      <c r="AQ26" s="37" t="n">
        <v>0</v>
      </c>
      <c r="AR26" s="32" t="inlineStr">
        <is>
          <t>No data</t>
        </is>
      </c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inlineStr">
        <is>
          <t>EUR</t>
        </is>
      </c>
      <c r="Y27" s="40" t="n">
        <v>11.7</v>
      </c>
      <c r="Z27" s="158">
        <f>IF(OR(Y27="",X27=""),"",IFERROR(Y27*INDEX(FXRates[USD per unit],MATCH(X27,FXRates[Currency],0)),"No rate"))</f>
        <v/>
      </c>
      <c r="AA27" s="38" t="inlineStr">
        <is>
          <t>SRM BK25 Shuttlecar</t>
        </is>
      </c>
      <c r="AB27" s="38" t="n"/>
      <c r="AC27" s="41">
        <f>IF(A27="","",IF(COUNTIF($A$6:$A$504,A27)&gt;1,"⚠ Duplicate",""))</f>
        <v/>
      </c>
      <c r="AD27" s="37" t="n">
        <v>0</v>
      </c>
      <c r="AE27" s="37" t="n">
        <v>0</v>
      </c>
      <c r="AF27" s="37" t="n">
        <v>0</v>
      </c>
      <c r="AG27" s="37" t="n">
        <v>0</v>
      </c>
      <c r="AH27" s="37" t="n">
        <v>0</v>
      </c>
      <c r="AI27" s="37" t="n">
        <v>0</v>
      </c>
      <c r="AJ27" s="37" t="n">
        <v>0</v>
      </c>
      <c r="AK27" s="37" t="n">
        <v>0</v>
      </c>
      <c r="AL27" s="37" t="n">
        <v>0</v>
      </c>
      <c r="AM27" s="37" t="n">
        <v>0</v>
      </c>
      <c r="AN27" s="37" t="n">
        <v>0</v>
      </c>
      <c r="AO27" s="37" t="n">
        <v>0</v>
      </c>
      <c r="AP27" s="37" t="n">
        <v>0</v>
      </c>
      <c r="AQ27" s="37" t="n">
        <v>0</v>
      </c>
      <c r="AR27" s="38" t="inlineStr">
        <is>
          <t>No data</t>
        </is>
      </c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inlineStr">
        <is>
          <t>USD</t>
        </is>
      </c>
      <c r="Y28" s="40" t="n">
        <v>1</v>
      </c>
      <c r="Z28" s="158">
        <f>IF(OR(Y28="",X28=""),"",IFERROR(Y28*INDEX(FXRates[USD per unit],MATCH(X28,FXRates[Currency],0)),"No rate"))</f>
        <v/>
      </c>
      <c r="AA28" s="32" t="inlineStr">
        <is>
          <t>Autostore</t>
        </is>
      </c>
      <c r="AB28" s="32" t="n"/>
      <c r="AC28" s="36">
        <f>IF(A28="","",IF(COUNTIF($A$6:$A$504,A28)&gt;1,"⚠ Duplicate",""))</f>
        <v/>
      </c>
      <c r="AD28" s="37" t="n">
        <v>0</v>
      </c>
      <c r="AE28" s="37" t="n">
        <v>0</v>
      </c>
      <c r="AF28" s="37" t="n">
        <v>0</v>
      </c>
      <c r="AG28" s="37" t="n">
        <v>0</v>
      </c>
      <c r="AH28" s="37" t="n">
        <v>0</v>
      </c>
      <c r="AI28" s="37" t="n">
        <v>0</v>
      </c>
      <c r="AJ28" s="37" t="n">
        <v>0</v>
      </c>
      <c r="AK28" s="37" t="n">
        <v>0</v>
      </c>
      <c r="AL28" s="37" t="n">
        <v>0</v>
      </c>
      <c r="AM28" s="37" t="n">
        <v>0</v>
      </c>
      <c r="AN28" s="37" t="n">
        <v>0</v>
      </c>
      <c r="AO28" s="37" t="n">
        <v>0</v>
      </c>
      <c r="AP28" s="37" t="n">
        <v>0</v>
      </c>
      <c r="AQ28" s="37" t="n">
        <v>0</v>
      </c>
      <c r="AR28" s="32" t="inlineStr">
        <is>
          <t>No data</t>
        </is>
      </c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inlineStr">
        <is>
          <t>USD</t>
        </is>
      </c>
      <c r="Y29" s="40" t="n">
        <v>10.3</v>
      </c>
      <c r="Z29" s="158">
        <f>IF(OR(Y29="",X29=""),"",IFERROR(Y29*INDEX(FXRates[USD per unit],MATCH(X29,FXRates[Currency],0)),"No rate"))</f>
        <v/>
      </c>
      <c r="AA29" s="38" t="inlineStr">
        <is>
          <t>Autostore MCS</t>
        </is>
      </c>
      <c r="AB29" s="38" t="n"/>
      <c r="AC29" s="41">
        <f>IF(A29="","",IF(COUNTIF($A$6:$A$504,A29)&gt;1,"⚠ Duplicate",""))</f>
        <v/>
      </c>
      <c r="AD29" s="37" t="n">
        <v>0</v>
      </c>
      <c r="AE29" s="37" t="n">
        <v>0</v>
      </c>
      <c r="AF29" s="37" t="n">
        <v>0</v>
      </c>
      <c r="AG29" s="37" t="n">
        <v>0</v>
      </c>
      <c r="AH29" s="37" t="n">
        <v>0</v>
      </c>
      <c r="AI29" s="37" t="n">
        <v>0</v>
      </c>
      <c r="AJ29" s="37" t="n">
        <v>0</v>
      </c>
      <c r="AK29" s="37" t="n">
        <v>0</v>
      </c>
      <c r="AL29" s="37" t="n">
        <v>0</v>
      </c>
      <c r="AM29" s="37" t="n">
        <v>0</v>
      </c>
      <c r="AN29" s="37" t="n">
        <v>0</v>
      </c>
      <c r="AO29" s="37" t="n">
        <v>0</v>
      </c>
      <c r="AP29" s="37" t="n">
        <v>0</v>
      </c>
      <c r="AQ29" s="37" t="n">
        <v>0</v>
      </c>
      <c r="AR29" s="38" t="inlineStr">
        <is>
          <t>No data</t>
        </is>
      </c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inlineStr">
        <is>
          <t>USD</t>
        </is>
      </c>
      <c r="Y30" s="40" t="n">
        <v>9.220000000000001</v>
      </c>
      <c r="Z30" s="158">
        <f>IF(OR(Y30="",X30=""),"",IFERROR(Y30*INDEX(FXRates[USD per unit],MATCH(X30,FXRates[Currency],0)),"No rate"))</f>
        <v/>
      </c>
      <c r="AA30" s="32" t="inlineStr">
        <is>
          <t>Autostore PTL</t>
        </is>
      </c>
      <c r="AB30" s="32" t="n"/>
      <c r="AC30" s="36">
        <f>IF(A30="","",IF(COUNTIF($A$6:$A$504,A30)&gt;1,"⚠ Duplicate",""))</f>
        <v/>
      </c>
      <c r="AD30" s="43" t="n">
        <v>0.05985533802247048</v>
      </c>
      <c r="AE30" s="43" t="n">
        <v>0</v>
      </c>
      <c r="AF30" s="43" t="n">
        <v>0.04870852701722641</v>
      </c>
      <c r="AG30" s="43" t="n">
        <v>0.005023804116824426</v>
      </c>
      <c r="AH30" s="43" t="n">
        <v>0.08714148677968518</v>
      </c>
      <c r="AI30" s="43" t="n">
        <v>0</v>
      </c>
      <c r="AJ30" s="43" t="n">
        <v>0.03602870021356722</v>
      </c>
      <c r="AK30" s="43" t="n">
        <v>0.0007519604156778079</v>
      </c>
      <c r="AL30" s="43" t="n">
        <v>0</v>
      </c>
      <c r="AM30" s="43" t="n">
        <v>0.02176747645695123</v>
      </c>
      <c r="AN30" s="43" t="n">
        <v>0.002879828389139048</v>
      </c>
      <c r="AO30" s="43" t="n">
        <v>0</v>
      </c>
      <c r="AP30" s="43" t="n">
        <v>0.07060868402455088</v>
      </c>
      <c r="AQ30" s="37" t="n">
        <v>0.02288249766353828</v>
      </c>
      <c r="AR30" s="32" t="inlineStr">
        <is>
          <t>Real</t>
        </is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inlineStr">
        <is>
          <t>USD</t>
        </is>
      </c>
      <c r="Y31" s="40" t="n">
        <v>10.7</v>
      </c>
      <c r="Z31" s="158">
        <f>IF(OR(Y31="",X31=""),"",IFERROR(Y31*INDEX(FXRates[USD per unit],MATCH(X31,FXRates[Currency],0)),"No rate"))</f>
        <v/>
      </c>
      <c r="AA31" s="38" t="inlineStr">
        <is>
          <t>XB Sorter CBS crossbelt MCS PTL Mezzanine Rack</t>
        </is>
      </c>
      <c r="AB31" s="38" t="n"/>
      <c r="AC31" s="41">
        <f>IF(A31="","",IF(COUNTIF($A$6:$A$504,A31)&gt;1,"⚠ Duplicate",""))</f>
        <v/>
      </c>
      <c r="AD31" s="37" t="n">
        <v>0</v>
      </c>
      <c r="AE31" s="37" t="n">
        <v>0</v>
      </c>
      <c r="AF31" s="37" t="n">
        <v>0</v>
      </c>
      <c r="AG31" s="37" t="n">
        <v>0</v>
      </c>
      <c r="AH31" s="37" t="n">
        <v>0</v>
      </c>
      <c r="AI31" s="37" t="n">
        <v>0</v>
      </c>
      <c r="AJ31" s="37" t="n">
        <v>0</v>
      </c>
      <c r="AK31" s="37" t="n">
        <v>0</v>
      </c>
      <c r="AL31" s="37" t="n">
        <v>0</v>
      </c>
      <c r="AM31" s="37" t="n">
        <v>0</v>
      </c>
      <c r="AN31" s="37" t="n">
        <v>0</v>
      </c>
      <c r="AO31" s="37" t="n">
        <v>0</v>
      </c>
      <c r="AP31" s="37" t="n">
        <v>0</v>
      </c>
      <c r="AQ31" s="37" t="n">
        <v>0</v>
      </c>
      <c r="AR31" s="38" t="inlineStr">
        <is>
          <t>No data</t>
        </is>
      </c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inlineStr">
        <is>
          <t>EUR</t>
        </is>
      </c>
      <c r="Y32" s="40" t="n">
        <v>37.75</v>
      </c>
      <c r="Z32" s="158">
        <f>IF(OR(Y32="",X32=""),"",IFERROR(Y32*INDEX(FXRates[USD per unit],MATCH(X32,FXRates[Currency],0)),"No rate"))</f>
        <v/>
      </c>
      <c r="AA32" s="32" t="inlineStr">
        <is>
          <t xml:space="preserve">XB Sorter CBS crossbelt MCS </t>
        </is>
      </c>
      <c r="AB32" s="32" t="inlineStr">
        <is>
          <t>Purely sortation system only</t>
        </is>
      </c>
      <c r="AC32" s="36">
        <f>IF(A32="","",IF(COUNTIF($A$6:$A$504,A32)&gt;1,"⚠ Duplicate",""))</f>
        <v/>
      </c>
      <c r="AD32" s="43" t="n">
        <v>0.05</v>
      </c>
      <c r="AE32" s="43" t="n">
        <v>0.05</v>
      </c>
      <c r="AF32" s="43" t="n">
        <v>0.05</v>
      </c>
      <c r="AG32" s="43" t="n">
        <v>0.07000000000000001</v>
      </c>
      <c r="AH32" s="43" t="n">
        <v>0.09</v>
      </c>
      <c r="AI32" s="43" t="n">
        <v>0.06</v>
      </c>
      <c r="AJ32" s="43" t="n">
        <v>0.06</v>
      </c>
      <c r="AK32" s="43" t="n">
        <v>0.01</v>
      </c>
      <c r="AL32" s="43" t="n">
        <v>0.01</v>
      </c>
      <c r="AM32" s="43" t="n">
        <v>0.01</v>
      </c>
      <c r="AN32" s="43" t="n">
        <v>0.01</v>
      </c>
      <c r="AO32" s="43" t="n">
        <v>0.01</v>
      </c>
      <c r="AP32" s="43" t="n">
        <v>0.04</v>
      </c>
      <c r="AQ32" s="37" t="n">
        <v>0.001</v>
      </c>
      <c r="AR32" s="32" t="inlineStr">
        <is>
          <t>Unverified</t>
        </is>
      </c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inlineStr">
        <is>
          <t>USD</t>
        </is>
      </c>
      <c r="Y33" s="40" t="n">
        <v>22.2</v>
      </c>
      <c r="Z33" s="158">
        <f>IF(OR(Y33="",X33=""),"",IFERROR(Y33*INDEX(FXRates[USD per unit],MATCH(X33,FXRates[Currency],0)),"No rate"))</f>
        <v/>
      </c>
      <c r="AA33" s="38" t="inlineStr">
        <is>
          <t>SRM BK25 MCS DMS 2WS AMCAP MCP FMCF RGV LIFTER PALLET ELTEN SCHWINGHANDL NORIN SUZHOU MARKEM IMAJE METTLER TOLEDO KAIXIN</t>
        </is>
      </c>
      <c r="AB33" s="38" t="n"/>
      <c r="AC33" s="41">
        <f>IF(A33="","",IF(COUNTIF($A$6:$A$504,A33)&gt;1,"⚠ Duplicate",""))</f>
        <v/>
      </c>
      <c r="AD33" s="37" t="n">
        <v>0</v>
      </c>
      <c r="AE33" s="37" t="n">
        <v>0</v>
      </c>
      <c r="AF33" s="37" t="n">
        <v>0</v>
      </c>
      <c r="AG33" s="37" t="n">
        <v>0</v>
      </c>
      <c r="AH33" s="37" t="n">
        <v>0</v>
      </c>
      <c r="AI33" s="37" t="n">
        <v>0</v>
      </c>
      <c r="AJ33" s="37" t="n">
        <v>0</v>
      </c>
      <c r="AK33" s="37" t="n">
        <v>0</v>
      </c>
      <c r="AL33" s="37" t="n">
        <v>0</v>
      </c>
      <c r="AM33" s="37" t="n">
        <v>0</v>
      </c>
      <c r="AN33" s="37" t="n">
        <v>0</v>
      </c>
      <c r="AO33" s="37" t="n">
        <v>0</v>
      </c>
      <c r="AP33" s="37" t="n">
        <v>0</v>
      </c>
      <c r="AQ33" s="37" t="n">
        <v>0</v>
      </c>
      <c r="AR33" s="38" t="inlineStr">
        <is>
          <t>No data</t>
        </is>
      </c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inlineStr">
        <is>
          <t>USD</t>
        </is>
      </c>
      <c r="Y34" s="40" t="n">
        <v>22.9</v>
      </c>
      <c r="Z34" s="158">
        <f>IF(OR(Y34="",X34=""),"",IFERROR(Y34*INDEX(FXRates[USD per unit],MATCH(X34,FXRates[Currency],0)),"No rate"))</f>
        <v/>
      </c>
      <c r="AA34" s="32" t="inlineStr">
        <is>
          <t>SRM  BK25 DMS MCS ELTEN QIMAROX Mezz PTL Robot Layer Picker</t>
        </is>
      </c>
      <c r="AB34" s="32" t="n"/>
      <c r="AC34" s="36">
        <f>IF(A34="","",IF(COUNTIF($A$6:$A$504,A34)&gt;1,"⚠ Duplicate",""))</f>
        <v/>
      </c>
      <c r="AD34" s="37" t="n">
        <v>0</v>
      </c>
      <c r="AE34" s="37" t="n">
        <v>0</v>
      </c>
      <c r="AF34" s="37" t="n">
        <v>0</v>
      </c>
      <c r="AG34" s="37" t="n">
        <v>0</v>
      </c>
      <c r="AH34" s="37" t="n">
        <v>0</v>
      </c>
      <c r="AI34" s="37" t="n">
        <v>0</v>
      </c>
      <c r="AJ34" s="37" t="n">
        <v>0</v>
      </c>
      <c r="AK34" s="37" t="n">
        <v>0</v>
      </c>
      <c r="AL34" s="37" t="n">
        <v>0</v>
      </c>
      <c r="AM34" s="37" t="n">
        <v>0</v>
      </c>
      <c r="AN34" s="37" t="n">
        <v>0</v>
      </c>
      <c r="AO34" s="37" t="n">
        <v>0</v>
      </c>
      <c r="AP34" s="37" t="n">
        <v>0</v>
      </c>
      <c r="AQ34" s="37" t="n">
        <v>0</v>
      </c>
      <c r="AR34" s="32" t="inlineStr">
        <is>
          <t>No data</t>
        </is>
      </c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inlineStr">
        <is>
          <t>USD</t>
        </is>
      </c>
      <c r="Y35" s="40" t="n">
        <v>1.02</v>
      </c>
      <c r="Z35" s="158">
        <f>IF(OR(Y35="",X35=""),"",IFERROR(Y35*INDEX(FXRates[USD per unit],MATCH(X35,FXRates[Currency],0)),"No rate"))</f>
        <v/>
      </c>
      <c r="AA35" s="38" t="inlineStr">
        <is>
          <t>Autostore</t>
        </is>
      </c>
      <c r="AB35" s="38" t="n"/>
      <c r="AC35" s="41">
        <f>IF(A35="","",IF(COUNTIF($A$6:$A$504,A35)&gt;1,"⚠ Duplicate",""))</f>
        <v/>
      </c>
      <c r="AD35" s="37" t="n">
        <v>0</v>
      </c>
      <c r="AE35" s="37" t="n">
        <v>0</v>
      </c>
      <c r="AF35" s="37" t="n">
        <v>0.04872205363088507</v>
      </c>
      <c r="AG35" s="37" t="n">
        <v>0</v>
      </c>
      <c r="AH35" s="37" t="n">
        <v>0.00628505670706197</v>
      </c>
      <c r="AI35" s="37" t="n">
        <v>0</v>
      </c>
      <c r="AJ35" s="37" t="n">
        <v>0.02412028341525975</v>
      </c>
      <c r="AK35" s="37" t="n">
        <v>0.08882880145980918</v>
      </c>
      <c r="AL35" s="37" t="n">
        <v>0</v>
      </c>
      <c r="AM35" s="37" t="n">
        <v>0</v>
      </c>
      <c r="AN35" s="37" t="n">
        <v>0</v>
      </c>
      <c r="AO35" s="37" t="n">
        <v>0</v>
      </c>
      <c r="AP35" s="37" t="n">
        <v>0.02466168959396852</v>
      </c>
      <c r="AQ35" s="37" t="n">
        <v>0</v>
      </c>
      <c r="AR35" s="38" t="inlineStr">
        <is>
          <t>Real</t>
        </is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inlineStr">
        <is>
          <t>MYR</t>
        </is>
      </c>
      <c r="Y36" s="40" t="n">
        <v>24.29</v>
      </c>
      <c r="Z36" s="158">
        <f>IF(OR(Y36="",X36=""),"",IFERROR(Y36*INDEX(FXRates[USD per unit],MATCH(X36,FXRates[Currency],0)),"No rate"))</f>
        <v/>
      </c>
      <c r="AA36" s="32" t="inlineStr">
        <is>
          <t>SRM BK25</t>
        </is>
      </c>
      <c r="AB36" s="32" t="inlineStr">
        <is>
          <t>Racking not in scope</t>
        </is>
      </c>
      <c r="AC36" s="36">
        <f>IF(A36="","",IF(COUNTIF($A$6:$A$504,A36)&gt;1,"⚠ Duplicate",""))</f>
        <v/>
      </c>
      <c r="AD36" s="43" t="n">
        <v>0.03963368956135951</v>
      </c>
      <c r="AE36" s="43" t="n">
        <v>0.03064751543143669</v>
      </c>
      <c r="AF36" s="43" t="n">
        <v>0.05305254388165813</v>
      </c>
      <c r="AG36" s="43" t="n">
        <v>0.003816509500807946</v>
      </c>
      <c r="AH36" s="43" t="n">
        <v>0.01538381475811512</v>
      </c>
      <c r="AI36" s="43" t="n">
        <v>0</v>
      </c>
      <c r="AJ36" s="43" t="n">
        <v>0.02036504009462588</v>
      </c>
      <c r="AK36" s="43" t="n">
        <v>0.02504583169153374</v>
      </c>
      <c r="AL36" s="43" t="n">
        <v>0.004009411108903849</v>
      </c>
      <c r="AM36" s="43" t="n">
        <v>0.01035387219753341</v>
      </c>
      <c r="AN36" s="43" t="n">
        <v>0.03458066536155243</v>
      </c>
      <c r="AO36" s="43" t="n">
        <v>0.04804784179532302</v>
      </c>
      <c r="AP36" s="43" t="n">
        <v>0.0230248248254304</v>
      </c>
      <c r="AQ36" s="37" t="n">
        <v>0.002444267322475879</v>
      </c>
      <c r="AR36" s="32" t="inlineStr">
        <is>
          <t>Real</t>
        </is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inlineStr">
        <is>
          <t>USD</t>
        </is>
      </c>
      <c r="Y37" s="40" t="n">
        <v>1.63</v>
      </c>
      <c r="Z37" s="158">
        <f>IF(OR(Y37="",X37=""),"",IFERROR(Y37*INDEX(FXRates[USD per unit],MATCH(X37,FXRates[Currency],0)),"No rate"))</f>
        <v/>
      </c>
      <c r="AA37" s="38" t="inlineStr">
        <is>
          <t>Autostore</t>
        </is>
      </c>
      <c r="AB37" s="38" t="n"/>
      <c r="AC37" s="41">
        <f>IF(A37="","",IF(COUNTIF($A$6:$A$504,A37)&gt;1,"⚠ Duplicate",""))</f>
        <v/>
      </c>
      <c r="AD37" s="37" t="n">
        <v>0.03444602869956017</v>
      </c>
      <c r="AE37" s="37" t="n">
        <v>0</v>
      </c>
      <c r="AF37" s="37" t="n">
        <v>0.03257704845718964</v>
      </c>
      <c r="AG37" s="37" t="n">
        <v>0</v>
      </c>
      <c r="AH37" s="37" t="n">
        <v>0.03643363590853829</v>
      </c>
      <c r="AI37" s="37" t="n">
        <v>0</v>
      </c>
      <c r="AJ37" s="37" t="n">
        <v>0.01501799918725192</v>
      </c>
      <c r="AK37" s="37" t="n">
        <v>0</v>
      </c>
      <c r="AL37" s="37" t="n">
        <v>0</v>
      </c>
      <c r="AM37" s="37" t="n">
        <v>0.0002521243361430617</v>
      </c>
      <c r="AN37" s="37" t="n">
        <v>0.004086945559514623</v>
      </c>
      <c r="AO37" s="37" t="n">
        <v>0</v>
      </c>
      <c r="AP37" s="37" t="n">
        <v>0.09428801895920387</v>
      </c>
      <c r="AQ37" s="37" t="n">
        <v>4.438077898621939e-05</v>
      </c>
      <c r="AR37" s="38" t="inlineStr">
        <is>
          <t>Real</t>
        </is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inlineStr">
        <is>
          <t>USD</t>
        </is>
      </c>
      <c r="Y38" s="40" t="n">
        <v>1.79</v>
      </c>
      <c r="Z38" s="158">
        <f>IF(OR(Y38="",X38=""),"",IFERROR(Y38*INDEX(FXRates[USD per unit],MATCH(X38,FXRates[Currency],0)),"No rate"))</f>
        <v/>
      </c>
      <c r="AA38" s="32" t="inlineStr">
        <is>
          <t>Autostore</t>
        </is>
      </c>
      <c r="AB38" s="32" t="inlineStr">
        <is>
          <t>First Plexus project, longer everything.</t>
        </is>
      </c>
      <c r="AC38" s="36">
        <f>IF(A38="","",IF(COUNTIF($A$6:$A$504,A38)&gt;1,"⚠ Duplicate",""))</f>
        <v/>
      </c>
      <c r="AD38" s="37" t="n">
        <v>0.03058565202536138</v>
      </c>
      <c r="AE38" s="37" t="n">
        <v>0.00663291136018963</v>
      </c>
      <c r="AF38" s="37" t="n">
        <v>0.05198480292583055</v>
      </c>
      <c r="AG38" s="37" t="n">
        <v>0</v>
      </c>
      <c r="AH38" s="37" t="n">
        <v>0.005716881067445528</v>
      </c>
      <c r="AI38" s="37" t="n">
        <v>0</v>
      </c>
      <c r="AJ38" s="37" t="n">
        <v>0.01031931406655589</v>
      </c>
      <c r="AK38" s="37" t="n">
        <v>0</v>
      </c>
      <c r="AL38" s="37" t="n">
        <v>0</v>
      </c>
      <c r="AM38" s="37" t="n">
        <v>0</v>
      </c>
      <c r="AN38" s="37" t="n">
        <v>0</v>
      </c>
      <c r="AO38" s="37" t="n">
        <v>0</v>
      </c>
      <c r="AP38" s="37" t="n">
        <v>0.1442547011430668</v>
      </c>
      <c r="AQ38" s="37" t="n">
        <v>0</v>
      </c>
      <c r="AR38" s="32" t="inlineStr">
        <is>
          <t>Real</t>
        </is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inlineStr">
        <is>
          <t>SGD</t>
        </is>
      </c>
      <c r="Y39" s="40" t="n">
        <v>16.9</v>
      </c>
      <c r="Z39" s="158">
        <f>IF(OR(Y39="",X39=""),"",IFERROR(Y39*INDEX(FXRates[USD per unit],MATCH(X39,FXRates[Currency],0)),"No rate"))</f>
        <v/>
      </c>
      <c r="AA39" s="38" t="inlineStr">
        <is>
          <t>Autostore MCS</t>
        </is>
      </c>
      <c r="AB39" s="38" t="inlineStr">
        <is>
          <t xml:space="preserve">Delayed progressive shipment schedule, 35 weeks additional on top of total timeline </t>
        </is>
      </c>
      <c r="AC39" s="41">
        <f>IF(A39="","",IF(COUNTIF($A$6:$A$504,A39)&gt;1,"⚠ Duplicate",""))</f>
        <v/>
      </c>
      <c r="AD39" s="37" t="n">
        <v>0</v>
      </c>
      <c r="AE39" s="37" t="n">
        <v>0</v>
      </c>
      <c r="AF39" s="37" t="n">
        <v>0</v>
      </c>
      <c r="AG39" s="37" t="n">
        <v>0</v>
      </c>
      <c r="AH39" s="37" t="n">
        <v>0</v>
      </c>
      <c r="AI39" s="37" t="n">
        <v>0</v>
      </c>
      <c r="AJ39" s="37" t="n">
        <v>0</v>
      </c>
      <c r="AK39" s="37" t="n">
        <v>0</v>
      </c>
      <c r="AL39" s="37" t="n">
        <v>0</v>
      </c>
      <c r="AM39" s="37" t="n">
        <v>0</v>
      </c>
      <c r="AN39" s="37" t="n">
        <v>0</v>
      </c>
      <c r="AO39" s="37" t="n">
        <v>0</v>
      </c>
      <c r="AP39" s="37" t="n">
        <v>0</v>
      </c>
      <c r="AQ39" s="37" t="n">
        <v>0</v>
      </c>
      <c r="AR39" s="38" t="inlineStr">
        <is>
          <t>No data</t>
        </is>
      </c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inlineStr">
        <is>
          <t>USD</t>
        </is>
      </c>
      <c r="Y40" s="40" t="n">
        <v>22.03</v>
      </c>
      <c r="Z40" s="158">
        <f>IF(OR(Y40="",X40=""),"",IFERROR(Y40*INDEX(FXRates[USD per unit],MATCH(X40,FXRates[Currency],0)),"No rate"))</f>
        <v/>
      </c>
      <c r="AA40" s="32" t="inlineStr">
        <is>
          <t>XB Sorter CBS crossbelt MCS DMS BK25 PTL Mezzanine Selective Rack</t>
        </is>
      </c>
      <c r="AB40" s="32" t="n"/>
      <c r="AC40" s="36">
        <f>IF(A40="","",IF(COUNTIF($A$6:$A$504,A40)&gt;1,"⚠ Duplicate",""))</f>
        <v/>
      </c>
      <c r="AD40" s="37" t="n">
        <v>0</v>
      </c>
      <c r="AE40" s="37" t="n">
        <v>0</v>
      </c>
      <c r="AF40" s="37" t="n">
        <v>0</v>
      </c>
      <c r="AG40" s="37" t="n">
        <v>0</v>
      </c>
      <c r="AH40" s="37" t="n">
        <v>0</v>
      </c>
      <c r="AI40" s="37" t="n">
        <v>0</v>
      </c>
      <c r="AJ40" s="37" t="n">
        <v>0</v>
      </c>
      <c r="AK40" s="37" t="n">
        <v>0</v>
      </c>
      <c r="AL40" s="37" t="n">
        <v>0</v>
      </c>
      <c r="AM40" s="37" t="n">
        <v>0</v>
      </c>
      <c r="AN40" s="37" t="n">
        <v>0</v>
      </c>
      <c r="AO40" s="37" t="n">
        <v>0</v>
      </c>
      <c r="AP40" s="37" t="n">
        <v>0</v>
      </c>
      <c r="AQ40" s="37" t="n">
        <v>0</v>
      </c>
      <c r="AR40" s="32" t="inlineStr">
        <is>
          <t>No data</t>
        </is>
      </c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inlineStr">
        <is>
          <t>USD</t>
        </is>
      </c>
      <c r="Y41" s="40" t="n">
        <v>9.52</v>
      </c>
      <c r="Z41" s="158">
        <f>IF(OR(Y41="",X41=""),"",IFERROR(Y41*INDEX(FXRates[USD per unit],MATCH(X41,FXRates[Currency],0)),"No rate"))</f>
        <v/>
      </c>
      <c r="AA41" s="38" t="inlineStr">
        <is>
          <t>XB Sorter CBS Crossbelt MCS Libiao Mezzanine</t>
        </is>
      </c>
      <c r="AB41" s="38" t="n"/>
      <c r="AC41" s="41">
        <f>IF(A41="","",IF(COUNTIF($A$6:$A$504,A41)&gt;1,"⚠ Duplicate",""))</f>
        <v/>
      </c>
      <c r="AD41" s="37" t="n">
        <v>0</v>
      </c>
      <c r="AE41" s="37" t="n">
        <v>0</v>
      </c>
      <c r="AF41" s="37" t="n">
        <v>0</v>
      </c>
      <c r="AG41" s="37" t="n">
        <v>0</v>
      </c>
      <c r="AH41" s="37" t="n">
        <v>0</v>
      </c>
      <c r="AI41" s="37" t="n">
        <v>0</v>
      </c>
      <c r="AJ41" s="37" t="n">
        <v>0</v>
      </c>
      <c r="AK41" s="37" t="n">
        <v>0</v>
      </c>
      <c r="AL41" s="37" t="n">
        <v>0</v>
      </c>
      <c r="AM41" s="37" t="n">
        <v>0</v>
      </c>
      <c r="AN41" s="37" t="n">
        <v>0</v>
      </c>
      <c r="AO41" s="37" t="n">
        <v>0</v>
      </c>
      <c r="AP41" s="37" t="n">
        <v>0</v>
      </c>
      <c r="AQ41" s="37" t="n">
        <v>0</v>
      </c>
      <c r="AR41" s="38" t="inlineStr">
        <is>
          <t>No data</t>
        </is>
      </c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inlineStr">
        <is>
          <t>USD</t>
        </is>
      </c>
      <c r="Y42" s="40" t="n">
        <v>19.01</v>
      </c>
      <c r="Z42" s="158">
        <f>IF(OR(Y42="",X42=""),"",IFERROR(Y42*INDEX(FXRates[USD per unit],MATCH(X42,FXRates[Currency],0)),"No rate"))</f>
        <v/>
      </c>
      <c r="AA42" s="32" t="inlineStr">
        <is>
          <t>4WS Pallet + AMR</t>
        </is>
      </c>
      <c r="AB42" s="32" t="n"/>
      <c r="AC42" s="36">
        <f>IF(A42="","",IF(COUNTIF($A$6:$A$504,A42)&gt;1,"⚠ Duplicate",""))</f>
        <v/>
      </c>
      <c r="AD42" s="43" t="n">
        <v>0.05</v>
      </c>
      <c r="AE42" s="43" t="n">
        <v>0.05</v>
      </c>
      <c r="AF42" s="43" t="n">
        <v>0.05</v>
      </c>
      <c r="AG42" s="43" t="n">
        <v>0.07000000000000001</v>
      </c>
      <c r="AH42" s="43" t="n">
        <v>0.09</v>
      </c>
      <c r="AI42" s="43" t="n">
        <v>0.06</v>
      </c>
      <c r="AJ42" s="43" t="n">
        <v>0.06</v>
      </c>
      <c r="AK42" s="43" t="n">
        <v>0.01</v>
      </c>
      <c r="AL42" s="43" t="n">
        <v>0.01</v>
      </c>
      <c r="AM42" s="43" t="n">
        <v>0.01</v>
      </c>
      <c r="AN42" s="43" t="n">
        <v>0.01</v>
      </c>
      <c r="AO42" s="43" t="n">
        <v>0.01</v>
      </c>
      <c r="AP42" s="43" t="n">
        <v>0.04</v>
      </c>
      <c r="AQ42" s="37" t="n">
        <v>0.001</v>
      </c>
      <c r="AR42" s="32" t="inlineStr">
        <is>
          <t>Unverified</t>
        </is>
      </c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inlineStr">
        <is>
          <t>USD</t>
        </is>
      </c>
      <c r="Y43" s="40" t="n">
        <v>11.9</v>
      </c>
      <c r="Z43" s="158">
        <f>IF(OR(Y43="",X43=""),"",IFERROR(Y43*INDEX(FXRates[USD per unit],MATCH(X43,FXRates[Currency],0)),"No rate"))</f>
        <v/>
      </c>
      <c r="AA43" s="38" t="inlineStr">
        <is>
          <t>ASRS, DMS, Layer Picker</t>
        </is>
      </c>
      <c r="AB43" s="38" t="inlineStr">
        <is>
          <t>ASRS Rack Clad not Dematic scope, DMS Racking under Dematic scope</t>
        </is>
      </c>
      <c r="AC43" s="41">
        <f>IF(A43="","",IF(COUNTIF($A$6:$A$504,A43)&gt;1,"⚠ Duplicate",""))</f>
        <v/>
      </c>
      <c r="AD43" s="42" t="n">
        <v>0.052</v>
      </c>
      <c r="AE43" s="42" t="n">
        <v>0.052</v>
      </c>
      <c r="AF43" s="42" t="n">
        <v>0.052</v>
      </c>
      <c r="AG43" s="42" t="n">
        <v>0.008</v>
      </c>
      <c r="AH43" s="42" t="n">
        <v>0.022</v>
      </c>
      <c r="AI43" s="42" t="n">
        <v>0.01</v>
      </c>
      <c r="AJ43" s="42" t="n">
        <v>0.01</v>
      </c>
      <c r="AK43" s="42" t="n">
        <v>0.031</v>
      </c>
      <c r="AL43" s="42" t="n">
        <v>0.031</v>
      </c>
      <c r="AM43" s="42" t="n">
        <v>0.031</v>
      </c>
      <c r="AN43" s="42" t="n">
        <v>0.038</v>
      </c>
      <c r="AO43" s="42" t="n">
        <v>0.038</v>
      </c>
      <c r="AP43" s="42" t="n">
        <v>0</v>
      </c>
      <c r="AQ43" s="37" t="n">
        <v>0.001</v>
      </c>
      <c r="AR43" s="38" t="inlineStr">
        <is>
          <t>Unverified</t>
        </is>
      </c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inlineStr">
        <is>
          <t>USD</t>
        </is>
      </c>
      <c r="Y44" s="40" t="n">
        <v>1.5</v>
      </c>
      <c r="Z44" s="158">
        <f>IF(OR(Y44="",X44=""),"",IFERROR(Y44*INDEX(FXRates[USD per unit],MATCH(X44,FXRates[Currency],0)),"No rate"))</f>
        <v/>
      </c>
      <c r="AA44" s="32" t="inlineStr">
        <is>
          <t>MCS</t>
        </is>
      </c>
      <c r="AB44" s="32" t="inlineStr">
        <is>
          <t>Zone Route Picking</t>
        </is>
      </c>
      <c r="AC44" s="36">
        <f>IF(A44="","",IF(COUNTIF($A$6:$A$504,A44)&gt;1,"⚠ Duplicate",""))</f>
        <v/>
      </c>
      <c r="AD44" s="37" t="n">
        <v>0</v>
      </c>
      <c r="AE44" s="37" t="n">
        <v>0</v>
      </c>
      <c r="AF44" s="37" t="n">
        <v>0</v>
      </c>
      <c r="AG44" s="37" t="n">
        <v>0</v>
      </c>
      <c r="AH44" s="37" t="n">
        <v>0</v>
      </c>
      <c r="AI44" s="37" t="n">
        <v>0</v>
      </c>
      <c r="AJ44" s="37" t="n">
        <v>0</v>
      </c>
      <c r="AK44" s="37" t="n">
        <v>0</v>
      </c>
      <c r="AL44" s="37" t="n">
        <v>0</v>
      </c>
      <c r="AM44" s="37" t="n">
        <v>0</v>
      </c>
      <c r="AN44" s="37" t="n">
        <v>0</v>
      </c>
      <c r="AO44" s="37" t="n">
        <v>0</v>
      </c>
      <c r="AP44" s="37" t="n">
        <v>0</v>
      </c>
      <c r="AQ44" s="37" t="n">
        <v>0</v>
      </c>
      <c r="AR44" s="32" t="inlineStr">
        <is>
          <t>No data</t>
        </is>
      </c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inlineStr">
        <is>
          <t>USD</t>
        </is>
      </c>
      <c r="Y45" s="40" t="n">
        <v>11.9</v>
      </c>
      <c r="Z45" s="158">
        <f>IF(OR(Y45="",X45=""),"",IFERROR(Y45*INDEX(FXRates[USD per unit],MATCH(X45,FXRates[Currency],0)),"No rate"))</f>
        <v/>
      </c>
      <c r="AA45" s="38" t="inlineStr">
        <is>
          <t>ML SRM MCS BK25 DMS</t>
        </is>
      </c>
      <c r="AB45" s="38" t="inlineStr">
        <is>
          <t>2 Aisle Miniload</t>
        </is>
      </c>
      <c r="AC45" s="41">
        <f>IF(A45="","",IF(COUNTIF($A$6:$A$504,A45)&gt;1,"⚠ Duplicate",""))</f>
        <v/>
      </c>
      <c r="AD45" s="37" t="n">
        <v>0</v>
      </c>
      <c r="AE45" s="37" t="n">
        <v>0</v>
      </c>
      <c r="AF45" s="37" t="n">
        <v>0</v>
      </c>
      <c r="AG45" s="37" t="n">
        <v>0</v>
      </c>
      <c r="AH45" s="37" t="n">
        <v>0</v>
      </c>
      <c r="AI45" s="37" t="n">
        <v>0</v>
      </c>
      <c r="AJ45" s="37" t="n">
        <v>0</v>
      </c>
      <c r="AK45" s="37" t="n">
        <v>0</v>
      </c>
      <c r="AL45" s="37" t="n">
        <v>0</v>
      </c>
      <c r="AM45" s="37" t="n">
        <v>0</v>
      </c>
      <c r="AN45" s="37" t="n">
        <v>0</v>
      </c>
      <c r="AO45" s="37" t="n">
        <v>0</v>
      </c>
      <c r="AP45" s="37" t="n">
        <v>0</v>
      </c>
      <c r="AQ45" s="37" t="n">
        <v>0</v>
      </c>
      <c r="AR45" s="38" t="inlineStr">
        <is>
          <t>No data</t>
        </is>
      </c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40" t="n"/>
      <c r="Z46" s="158">
        <f>IF(OR(Y46="",X46=""),"",IFERROR(Y46*INDEX(FXRates[USD per unit],MATCH(X46,FXRates[Currency],0)),"No rate"))</f>
        <v/>
      </c>
      <c r="AA46" s="38" t="n"/>
      <c r="AB46" s="38" t="n"/>
      <c r="AC46" s="41">
        <f>IF(A46="","",IF(COUNTIF($A$6:$A$504,A46)&gt;1,"⚠ Duplicate",""))</f>
        <v/>
      </c>
      <c r="AD46" s="42" t="n"/>
      <c r="AE46" s="42" t="n"/>
      <c r="AF46" s="42" t="n"/>
      <c r="AG46" s="42" t="n"/>
      <c r="AH46" s="42" t="n"/>
      <c r="AI46" s="42" t="n"/>
      <c r="AJ46" s="42" t="n"/>
      <c r="AK46" s="42" t="n"/>
      <c r="AL46" s="42" t="n"/>
      <c r="AM46" s="42" t="n"/>
      <c r="AN46" s="42" t="n"/>
      <c r="AO46" s="42" t="n"/>
      <c r="AP46" s="42" t="n"/>
      <c r="AQ46" s="42" t="n"/>
      <c r="AR46" s="38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5" t="n"/>
      <c r="Z47" s="157">
        <f>IF(OR(Y47="",X47=""),"",IFERROR(Y47*INDEX(FXRates[USD per unit],MATCH(X47,FXRates[Currency],0)),"No rate"))</f>
        <v/>
      </c>
      <c r="AA47" s="32" t="n"/>
      <c r="AB47" s="32" t="n"/>
      <c r="AC47" s="36">
        <f>IF(A47="","",IF(COUNTIF($A$6:$A$504,A47)&gt;1,"⚠ Duplicate",""))</f>
        <v/>
      </c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  <c r="AM47" s="43" t="n"/>
      <c r="AN47" s="43" t="n"/>
      <c r="AO47" s="43" t="n"/>
      <c r="AP47" s="43" t="n"/>
      <c r="AQ47" s="43" t="n"/>
      <c r="AR47" s="32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40" t="n"/>
      <c r="Z48" s="158">
        <f>IF(OR(Y48="",X48=""),"",IFERROR(Y48*INDEX(FXRates[USD per unit],MATCH(X48,FXRates[Currency],0)),"No rate"))</f>
        <v/>
      </c>
      <c r="AA48" s="38" t="n"/>
      <c r="AB48" s="38" t="n"/>
      <c r="AC48" s="41">
        <f>IF(A48="","",IF(COUNTIF($A$6:$A$504,A48)&gt;1,"⚠ Duplicate",""))</f>
        <v/>
      </c>
      <c r="AD48" s="42" t="n"/>
      <c r="AE48" s="42" t="n"/>
      <c r="AF48" s="42" t="n"/>
      <c r="AG48" s="42" t="n"/>
      <c r="AH48" s="42" t="n"/>
      <c r="AI48" s="42" t="n"/>
      <c r="AJ48" s="42" t="n"/>
      <c r="AK48" s="42" t="n"/>
      <c r="AL48" s="42" t="n"/>
      <c r="AM48" s="42" t="n"/>
      <c r="AN48" s="42" t="n"/>
      <c r="AO48" s="42" t="n"/>
      <c r="AP48" s="42" t="n"/>
      <c r="AQ48" s="42" t="n"/>
      <c r="AR48" s="38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5" t="n"/>
      <c r="Z49" s="157">
        <f>IF(OR(Y49="",X49=""),"",IFERROR(Y49*INDEX(FXRates[USD per unit],MATCH(X49,FXRates[Currency],0)),"No rate"))</f>
        <v/>
      </c>
      <c r="AA49" s="32" t="n"/>
      <c r="AB49" s="32" t="n"/>
      <c r="AC49" s="36">
        <f>IF(A49="","",IF(COUNTIF($A$6:$A$504,A49)&gt;1,"⚠ Duplicate",""))</f>
        <v/>
      </c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  <c r="AM49" s="43" t="n"/>
      <c r="AN49" s="43" t="n"/>
      <c r="AO49" s="43" t="n"/>
      <c r="AP49" s="43" t="n"/>
      <c r="AQ49" s="43" t="n"/>
      <c r="AR49" s="32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40" t="n"/>
      <c r="Z50" s="158">
        <f>IF(OR(Y50="",X50=""),"",IFERROR(Y50*INDEX(FXRates[USD per unit],MATCH(X50,FXRates[Currency],0)),"No rate"))</f>
        <v/>
      </c>
      <c r="AA50" s="38" t="n"/>
      <c r="AB50" s="38" t="n"/>
      <c r="AC50" s="41">
        <f>IF(A50="","",IF(COUNTIF($A$6:$A$504,A50)&gt;1,"⚠ Duplicate",""))</f>
        <v/>
      </c>
      <c r="AD50" s="42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  <c r="AQ50" s="42" t="n"/>
      <c r="AR50" s="38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5" t="n"/>
      <c r="Z51" s="157">
        <f>IF(OR(Y51="",X51=""),"",IFERROR(Y51*INDEX(FXRates[USD per unit],MATCH(X51,FXRates[Currency],0)),"No rate"))</f>
        <v/>
      </c>
      <c r="AA51" s="32" t="n"/>
      <c r="AB51" s="32" t="n"/>
      <c r="AC51" s="36">
        <f>IF(A51="","",IF(COUNTIF($A$6:$A$504,A51)&gt;1,"⚠ Duplicate",""))</f>
        <v/>
      </c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  <c r="AM51" s="43" t="n"/>
      <c r="AN51" s="43" t="n"/>
      <c r="AO51" s="43" t="n"/>
      <c r="AP51" s="43" t="n"/>
      <c r="AQ51" s="43" t="n"/>
      <c r="AR51" s="32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40" t="n"/>
      <c r="Z52" s="158">
        <f>IF(OR(Y52="",X52=""),"",IFERROR(Y52*INDEX(FXRates[USD per unit],MATCH(X52,FXRates[Currency],0)),"No rate"))</f>
        <v/>
      </c>
      <c r="AA52" s="38" t="n"/>
      <c r="AB52" s="38" t="n"/>
      <c r="AC52" s="41">
        <f>IF(A52="","",IF(COUNTIF($A$6:$A$504,A52)&gt;1,"⚠ Duplicate",""))</f>
        <v/>
      </c>
      <c r="AD52" s="42" t="n"/>
      <c r="AE52" s="42" t="n"/>
      <c r="AF52" s="42" t="n"/>
      <c r="AG52" s="42" t="n"/>
      <c r="AH52" s="42" t="n"/>
      <c r="AI52" s="42" t="n"/>
      <c r="AJ52" s="42" t="n"/>
      <c r="AK52" s="42" t="n"/>
      <c r="AL52" s="42" t="n"/>
      <c r="AM52" s="42" t="n"/>
      <c r="AN52" s="42" t="n"/>
      <c r="AO52" s="42" t="n"/>
      <c r="AP52" s="42" t="n"/>
      <c r="AQ52" s="42" t="n"/>
      <c r="AR52" s="38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5" t="n"/>
      <c r="Z53" s="157">
        <f>IF(OR(Y53="",X53=""),"",IFERROR(Y53*INDEX(FXRates[USD per unit],MATCH(X53,FXRates[Currency],0)),"No rate"))</f>
        <v/>
      </c>
      <c r="AA53" s="32" t="n"/>
      <c r="AB53" s="32" t="n"/>
      <c r="AC53" s="36">
        <f>IF(A53="","",IF(COUNTIF($A$6:$A$504,A53)&gt;1,"⚠ Duplicate",""))</f>
        <v/>
      </c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  <c r="AM53" s="43" t="n"/>
      <c r="AN53" s="43" t="n"/>
      <c r="AO53" s="43" t="n"/>
      <c r="AP53" s="43" t="n"/>
      <c r="AQ53" s="43" t="n"/>
      <c r="AR53" s="32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40" t="n"/>
      <c r="Z54" s="158">
        <f>IF(OR(Y54="",X54=""),"",IFERROR(Y54*INDEX(FXRates[USD per unit],MATCH(X54,FXRates[Currency],0)),"No rate"))</f>
        <v/>
      </c>
      <c r="AA54" s="38" t="n"/>
      <c r="AB54" s="38" t="n"/>
      <c r="AC54" s="41">
        <f>IF(A54="","",IF(COUNTIF($A$6:$A$504,A54)&gt;1,"⚠ Duplicate",""))</f>
        <v/>
      </c>
      <c r="AD54" s="42" t="n"/>
      <c r="AE54" s="42" t="n"/>
      <c r="AF54" s="42" t="n"/>
      <c r="AG54" s="42" t="n"/>
      <c r="AH54" s="42" t="n"/>
      <c r="AI54" s="42" t="n"/>
      <c r="AJ54" s="42" t="n"/>
      <c r="AK54" s="42" t="n"/>
      <c r="AL54" s="42" t="n"/>
      <c r="AM54" s="42" t="n"/>
      <c r="AN54" s="42" t="n"/>
      <c r="AO54" s="42" t="n"/>
      <c r="AP54" s="42" t="n"/>
      <c r="AQ54" s="42" t="n"/>
      <c r="AR54" s="38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5" t="n"/>
      <c r="Z55" s="157">
        <f>IF(OR(Y55="",X55=""),"",IFERROR(Y55*INDEX(FXRates[USD per unit],MATCH(X55,FXRates[Currency],0)),"No rate"))</f>
        <v/>
      </c>
      <c r="AA55" s="32" t="n"/>
      <c r="AB55" s="32" t="n"/>
      <c r="AC55" s="36">
        <f>IF(A55="","",IF(COUNTIF($A$6:$A$504,A55)&gt;1,"⚠ Duplicate",""))</f>
        <v/>
      </c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  <c r="AM55" s="43" t="n"/>
      <c r="AN55" s="43" t="n"/>
      <c r="AO55" s="43" t="n"/>
      <c r="AP55" s="43" t="n"/>
      <c r="AQ55" s="43" t="n"/>
      <c r="AR55" s="32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40" t="n"/>
      <c r="Z56" s="158">
        <f>IF(OR(Y56="",X56=""),"",IFERROR(Y56*INDEX(FXRates[USD per unit],MATCH(X56,FXRates[Currency],0)),"No rate"))</f>
        <v/>
      </c>
      <c r="AA56" s="38" t="n"/>
      <c r="AB56" s="38" t="n"/>
      <c r="AC56" s="41">
        <f>IF(A56="","",IF(COUNTIF($A$6:$A$504,A56)&gt;1,"⚠ Duplicate",""))</f>
        <v/>
      </c>
      <c r="AD56" s="42" t="n"/>
      <c r="AE56" s="42" t="n"/>
      <c r="AF56" s="42" t="n"/>
      <c r="AG56" s="42" t="n"/>
      <c r="AH56" s="42" t="n"/>
      <c r="AI56" s="42" t="n"/>
      <c r="AJ56" s="42" t="n"/>
      <c r="AK56" s="42" t="n"/>
      <c r="AL56" s="42" t="n"/>
      <c r="AM56" s="42" t="n"/>
      <c r="AN56" s="42" t="n"/>
      <c r="AO56" s="42" t="n"/>
      <c r="AP56" s="42" t="n"/>
      <c r="AQ56" s="42" t="n"/>
      <c r="AR56" s="38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5" t="n"/>
      <c r="Z57" s="157">
        <f>IF(OR(Y57="",X57=""),"",IFERROR(Y57*INDEX(FXRates[USD per unit],MATCH(X57,FXRates[Currency],0)),"No rate"))</f>
        <v/>
      </c>
      <c r="AA57" s="32" t="n"/>
      <c r="AB57" s="32" t="n"/>
      <c r="AC57" s="36">
        <f>IF(A57="","",IF(COUNTIF($A$6:$A$504,A57)&gt;1,"⚠ Duplicate",""))</f>
        <v/>
      </c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  <c r="AM57" s="43" t="n"/>
      <c r="AN57" s="43" t="n"/>
      <c r="AO57" s="43" t="n"/>
      <c r="AP57" s="43" t="n"/>
      <c r="AQ57" s="43" t="n"/>
      <c r="AR57" s="32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40" t="n"/>
      <c r="Z58" s="158">
        <f>IF(OR(Y58="",X58=""),"",IFERROR(Y58*INDEX(FXRates[USD per unit],MATCH(X58,FXRates[Currency],0)),"No rate"))</f>
        <v/>
      </c>
      <c r="AA58" s="38" t="n"/>
      <c r="AB58" s="38" t="n"/>
      <c r="AC58" s="41">
        <f>IF(A58="","",IF(COUNTIF($A$6:$A$504,A58)&gt;1,"⚠ Duplicate",""))</f>
        <v/>
      </c>
      <c r="AD58" s="42" t="n"/>
      <c r="AE58" s="42" t="n"/>
      <c r="AF58" s="42" t="n"/>
      <c r="AG58" s="42" t="n"/>
      <c r="AH58" s="42" t="n"/>
      <c r="AI58" s="42" t="n"/>
      <c r="AJ58" s="42" t="n"/>
      <c r="AK58" s="42" t="n"/>
      <c r="AL58" s="42" t="n"/>
      <c r="AM58" s="42" t="n"/>
      <c r="AN58" s="42" t="n"/>
      <c r="AO58" s="42" t="n"/>
      <c r="AP58" s="42" t="n"/>
      <c r="AQ58" s="42" t="n"/>
      <c r="AR58" s="38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5" t="n"/>
      <c r="Z59" s="157">
        <f>IF(OR(Y59="",X59=""),"",IFERROR(Y59*INDEX(FXRates[USD per unit],MATCH(X59,FXRates[Currency],0)),"No rate"))</f>
        <v/>
      </c>
      <c r="AA59" s="32" t="n"/>
      <c r="AB59" s="32" t="n"/>
      <c r="AC59" s="36">
        <f>IF(A59="","",IF(COUNTIF($A$6:$A$504,A59)&gt;1,"⚠ Duplicate",""))</f>
        <v/>
      </c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  <c r="AM59" s="43" t="n"/>
      <c r="AN59" s="43" t="n"/>
      <c r="AO59" s="43" t="n"/>
      <c r="AP59" s="43" t="n"/>
      <c r="AQ59" s="43" t="n"/>
      <c r="AR59" s="32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40" t="n"/>
      <c r="Z60" s="158">
        <f>IF(OR(Y60="",X60=""),"",IFERROR(Y60*INDEX(FXRates[USD per unit],MATCH(X60,FXRates[Currency],0)),"No rate"))</f>
        <v/>
      </c>
      <c r="AA60" s="38" t="n"/>
      <c r="AB60" s="38" t="n"/>
      <c r="AC60" s="41">
        <f>IF(A60="","",IF(COUNTIF($A$6:$A$504,A60)&gt;1,"⚠ Duplicate",""))</f>
        <v/>
      </c>
      <c r="AD60" s="42" t="n"/>
      <c r="AE60" s="42" t="n"/>
      <c r="AF60" s="42" t="n"/>
      <c r="AG60" s="42" t="n"/>
      <c r="AH60" s="42" t="n"/>
      <c r="AI60" s="42" t="n"/>
      <c r="AJ60" s="42" t="n"/>
      <c r="AK60" s="42" t="n"/>
      <c r="AL60" s="42" t="n"/>
      <c r="AM60" s="42" t="n"/>
      <c r="AN60" s="42" t="n"/>
      <c r="AO60" s="42" t="n"/>
      <c r="AP60" s="42" t="n"/>
      <c r="AQ60" s="42" t="n"/>
      <c r="AR60" s="38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5" t="n"/>
      <c r="Z61" s="157">
        <f>IF(OR(Y61="",X61=""),"",IFERROR(Y61*INDEX(FXRates[USD per unit],MATCH(X61,FXRates[Currency],0)),"No rate"))</f>
        <v/>
      </c>
      <c r="AA61" s="32" t="n"/>
      <c r="AB61" s="32" t="n"/>
      <c r="AC61" s="36">
        <f>IF(A61="","",IF(COUNTIF($A$6:$A$504,A61)&gt;1,"⚠ Duplicate",""))</f>
        <v/>
      </c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  <c r="AM61" s="43" t="n"/>
      <c r="AN61" s="43" t="n"/>
      <c r="AO61" s="43" t="n"/>
      <c r="AP61" s="43" t="n"/>
      <c r="AQ61" s="43" t="n"/>
      <c r="AR61" s="32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40" t="n"/>
      <c r="Z62" s="158">
        <f>IF(OR(Y62="",X62=""),"",IFERROR(Y62*INDEX(FXRates[USD per unit],MATCH(X62,FXRates[Currency],0)),"No rate"))</f>
        <v/>
      </c>
      <c r="AA62" s="38" t="n"/>
      <c r="AB62" s="38" t="n"/>
      <c r="AC62" s="41">
        <f>IF(A62="","",IF(COUNTIF($A$6:$A$504,A62)&gt;1,"⚠ Duplicate",""))</f>
        <v/>
      </c>
      <c r="AD62" s="42" t="n"/>
      <c r="AE62" s="42" t="n"/>
      <c r="AF62" s="42" t="n"/>
      <c r="AG62" s="42" t="n"/>
      <c r="AH62" s="42" t="n"/>
      <c r="AI62" s="42" t="n"/>
      <c r="AJ62" s="42" t="n"/>
      <c r="AK62" s="42" t="n"/>
      <c r="AL62" s="42" t="n"/>
      <c r="AM62" s="42" t="n"/>
      <c r="AN62" s="42" t="n"/>
      <c r="AO62" s="42" t="n"/>
      <c r="AP62" s="42" t="n"/>
      <c r="AQ62" s="42" t="n"/>
      <c r="AR62" s="38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5" t="n"/>
      <c r="Z63" s="157">
        <f>IF(OR(Y63="",X63=""),"",IFERROR(Y63*INDEX(FXRates[USD per unit],MATCH(X63,FXRates[Currency],0)),"No rate"))</f>
        <v/>
      </c>
      <c r="AA63" s="32" t="n"/>
      <c r="AB63" s="32" t="n"/>
      <c r="AC63" s="36">
        <f>IF(A63="","",IF(COUNTIF($A$6:$A$504,A63)&gt;1,"⚠ Duplicate",""))</f>
        <v/>
      </c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  <c r="AM63" s="43" t="n"/>
      <c r="AN63" s="43" t="n"/>
      <c r="AO63" s="43" t="n"/>
      <c r="AP63" s="43" t="n"/>
      <c r="AQ63" s="43" t="n"/>
      <c r="AR63" s="32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40" t="n"/>
      <c r="Z64" s="158">
        <f>IF(OR(Y64="",X64=""),"",IFERROR(Y64*INDEX(FXRates[USD per unit],MATCH(X64,FXRates[Currency],0)),"No rate"))</f>
        <v/>
      </c>
      <c r="AA64" s="38" t="n"/>
      <c r="AB64" s="38" t="n"/>
      <c r="AC64" s="41">
        <f>IF(A64="","",IF(COUNTIF($A$6:$A$504,A64)&gt;1,"⚠ Duplicate",""))</f>
        <v/>
      </c>
      <c r="AD64" s="42" t="n"/>
      <c r="AE64" s="42" t="n"/>
      <c r="AF64" s="42" t="n"/>
      <c r="AG64" s="42" t="n"/>
      <c r="AH64" s="42" t="n"/>
      <c r="AI64" s="42" t="n"/>
      <c r="AJ64" s="42" t="n"/>
      <c r="AK64" s="42" t="n"/>
      <c r="AL64" s="42" t="n"/>
      <c r="AM64" s="42" t="n"/>
      <c r="AN64" s="42" t="n"/>
      <c r="AO64" s="42" t="n"/>
      <c r="AP64" s="42" t="n"/>
      <c r="AQ64" s="42" t="n"/>
      <c r="AR64" s="38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5" t="n"/>
      <c r="Z65" s="157">
        <f>IF(OR(Y65="",X65=""),"",IFERROR(Y65*INDEX(FXRates[USD per unit],MATCH(X65,FXRates[Currency],0)),"No rate"))</f>
        <v/>
      </c>
      <c r="AA65" s="32" t="n"/>
      <c r="AB65" s="32" t="n"/>
      <c r="AC65" s="36">
        <f>IF(A65="","",IF(COUNTIF($A$6:$A$504,A65)&gt;1,"⚠ Duplicate",""))</f>
        <v/>
      </c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  <c r="AM65" s="43" t="n"/>
      <c r="AN65" s="43" t="n"/>
      <c r="AO65" s="43" t="n"/>
      <c r="AP65" s="43" t="n"/>
      <c r="AQ65" s="43" t="n"/>
      <c r="AR65" s="32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40" t="n"/>
      <c r="Z66" s="158">
        <f>IF(OR(Y66="",X66=""),"",IFERROR(Y66*INDEX(FXRates[USD per unit],MATCH(X66,FXRates[Currency],0)),"No rate"))</f>
        <v/>
      </c>
      <c r="AA66" s="38" t="n"/>
      <c r="AB66" s="38" t="n"/>
      <c r="AC66" s="41">
        <f>IF(A66="","",IF(COUNTIF($A$6:$A$504,A66)&gt;1,"⚠ Duplicate",""))</f>
        <v/>
      </c>
      <c r="AD66" s="42" t="n"/>
      <c r="AE66" s="42" t="n"/>
      <c r="AF66" s="42" t="n"/>
      <c r="AG66" s="42" t="n"/>
      <c r="AH66" s="42" t="n"/>
      <c r="AI66" s="42" t="n"/>
      <c r="AJ66" s="42" t="n"/>
      <c r="AK66" s="42" t="n"/>
      <c r="AL66" s="42" t="n"/>
      <c r="AM66" s="42" t="n"/>
      <c r="AN66" s="42" t="n"/>
      <c r="AO66" s="42" t="n"/>
      <c r="AP66" s="42" t="n"/>
      <c r="AQ66" s="42" t="n"/>
      <c r="AR66" s="38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5" t="n"/>
      <c r="Z67" s="157">
        <f>IF(OR(Y67="",X67=""),"",IFERROR(Y67*INDEX(FXRates[USD per unit],MATCH(X67,FXRates[Currency],0)),"No rate"))</f>
        <v/>
      </c>
      <c r="AA67" s="32" t="n"/>
      <c r="AB67" s="32" t="n"/>
      <c r="AC67" s="36">
        <f>IF(A67="","",IF(COUNTIF($A$6:$A$504,A67)&gt;1,"⚠ Duplicate",""))</f>
        <v/>
      </c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  <c r="AM67" s="43" t="n"/>
      <c r="AN67" s="43" t="n"/>
      <c r="AO67" s="43" t="n"/>
      <c r="AP67" s="43" t="n"/>
      <c r="AQ67" s="43" t="n"/>
      <c r="AR67" s="32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40" t="n"/>
      <c r="Z68" s="158">
        <f>IF(OR(Y68="",X68=""),"",IFERROR(Y68*INDEX(FXRates[USD per unit],MATCH(X68,FXRates[Currency],0)),"No rate"))</f>
        <v/>
      </c>
      <c r="AA68" s="38" t="n"/>
      <c r="AB68" s="38" t="n"/>
      <c r="AC68" s="41">
        <f>IF(A68="","",IF(COUNTIF($A$6:$A$504,A68)&gt;1,"⚠ Duplicate",""))</f>
        <v/>
      </c>
      <c r="AD68" s="42" t="n"/>
      <c r="AE68" s="42" t="n"/>
      <c r="AF68" s="42" t="n"/>
      <c r="AG68" s="42" t="n"/>
      <c r="AH68" s="42" t="n"/>
      <c r="AI68" s="42" t="n"/>
      <c r="AJ68" s="42" t="n"/>
      <c r="AK68" s="42" t="n"/>
      <c r="AL68" s="42" t="n"/>
      <c r="AM68" s="42" t="n"/>
      <c r="AN68" s="42" t="n"/>
      <c r="AO68" s="42" t="n"/>
      <c r="AP68" s="42" t="n"/>
      <c r="AQ68" s="42" t="n"/>
      <c r="AR68" s="38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5" t="n"/>
      <c r="Z69" s="157">
        <f>IF(OR(Y69="",X69=""),"",IFERROR(Y69*INDEX(FXRates[USD per unit],MATCH(X69,FXRates[Currency],0)),"No rate"))</f>
        <v/>
      </c>
      <c r="AA69" s="32" t="n"/>
      <c r="AB69" s="32" t="n"/>
      <c r="AC69" s="36">
        <f>IF(A69="","",IF(COUNTIF($A$6:$A$504,A69)&gt;1,"⚠ Duplicate",""))</f>
        <v/>
      </c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  <c r="AM69" s="43" t="n"/>
      <c r="AN69" s="43" t="n"/>
      <c r="AO69" s="43" t="n"/>
      <c r="AP69" s="43" t="n"/>
      <c r="AQ69" s="43" t="n"/>
      <c r="AR69" s="32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40" t="n"/>
      <c r="Z70" s="158">
        <f>IF(OR(Y70="",X70=""),"",IFERROR(Y70*INDEX(FXRates[USD per unit],MATCH(X70,FXRates[Currency],0)),"No rate"))</f>
        <v/>
      </c>
      <c r="AA70" s="38" t="n"/>
      <c r="AB70" s="38" t="n"/>
      <c r="AC70" s="41">
        <f>IF(A70="","",IF(COUNTIF($A$6:$A$504,A70)&gt;1,"⚠ Duplicate",""))</f>
        <v/>
      </c>
      <c r="AD70" s="42" t="n"/>
      <c r="AE70" s="42" t="n"/>
      <c r="AF70" s="42" t="n"/>
      <c r="AG70" s="42" t="n"/>
      <c r="AH70" s="42" t="n"/>
      <c r="AI70" s="42" t="n"/>
      <c r="AJ70" s="42" t="n"/>
      <c r="AK70" s="42" t="n"/>
      <c r="AL70" s="42" t="n"/>
      <c r="AM70" s="42" t="n"/>
      <c r="AN70" s="42" t="n"/>
      <c r="AO70" s="42" t="n"/>
      <c r="AP70" s="42" t="n"/>
      <c r="AQ70" s="42" t="n"/>
      <c r="AR70" s="38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5" t="n"/>
      <c r="Z71" s="157">
        <f>IF(OR(Y71="",X71=""),"",IFERROR(Y71*INDEX(FXRates[USD per unit],MATCH(X71,FXRates[Currency],0)),"No rate"))</f>
        <v/>
      </c>
      <c r="AA71" s="32" t="n"/>
      <c r="AB71" s="32" t="n"/>
      <c r="AC71" s="36">
        <f>IF(A71="","",IF(COUNTIF($A$6:$A$504,A71)&gt;1,"⚠ Duplicate",""))</f>
        <v/>
      </c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  <c r="AM71" s="43" t="n"/>
      <c r="AN71" s="43" t="n"/>
      <c r="AO71" s="43" t="n"/>
      <c r="AP71" s="43" t="n"/>
      <c r="AQ71" s="43" t="n"/>
      <c r="AR71" s="32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40" t="n"/>
      <c r="Z72" s="158">
        <f>IF(OR(Y72="",X72=""),"",IFERROR(Y72*INDEX(FXRates[USD per unit],MATCH(X72,FXRates[Currency],0)),"No rate"))</f>
        <v/>
      </c>
      <c r="AA72" s="38" t="n"/>
      <c r="AB72" s="38" t="n"/>
      <c r="AC72" s="41">
        <f>IF(A72="","",IF(COUNTIF($A$6:$A$504,A72)&gt;1,"⚠ Duplicate",""))</f>
        <v/>
      </c>
      <c r="AD72" s="42" t="n"/>
      <c r="AE72" s="42" t="n"/>
      <c r="AF72" s="42" t="n"/>
      <c r="AG72" s="42" t="n"/>
      <c r="AH72" s="42" t="n"/>
      <c r="AI72" s="42" t="n"/>
      <c r="AJ72" s="42" t="n"/>
      <c r="AK72" s="42" t="n"/>
      <c r="AL72" s="42" t="n"/>
      <c r="AM72" s="42" t="n"/>
      <c r="AN72" s="42" t="n"/>
      <c r="AO72" s="42" t="n"/>
      <c r="AP72" s="42" t="n"/>
      <c r="AQ72" s="42" t="n"/>
      <c r="AR72" s="38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5" t="n"/>
      <c r="Z73" s="157">
        <f>IF(OR(Y73="",X73=""),"",IFERROR(Y73*INDEX(FXRates[USD per unit],MATCH(X73,FXRates[Currency],0)),"No rate"))</f>
        <v/>
      </c>
      <c r="AA73" s="32" t="n"/>
      <c r="AB73" s="32" t="n"/>
      <c r="AC73" s="36">
        <f>IF(A73="","",IF(COUNTIF($A$6:$A$504,A73)&gt;1,"⚠ Duplicate",""))</f>
        <v/>
      </c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  <c r="AM73" s="43" t="n"/>
      <c r="AN73" s="43" t="n"/>
      <c r="AO73" s="43" t="n"/>
      <c r="AP73" s="43" t="n"/>
      <c r="AQ73" s="43" t="n"/>
      <c r="AR73" s="32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40" t="n"/>
      <c r="Z74" s="158">
        <f>IF(OR(Y74="",X74=""),"",IFERROR(Y74*INDEX(FXRates[USD per unit],MATCH(X74,FXRates[Currency],0)),"No rate"))</f>
        <v/>
      </c>
      <c r="AA74" s="38" t="n"/>
      <c r="AB74" s="38" t="n"/>
      <c r="AC74" s="41">
        <f>IF(A74="","",IF(COUNTIF($A$6:$A$504,A74)&gt;1,"⚠ Duplicate",""))</f>
        <v/>
      </c>
      <c r="AD74" s="42" t="n"/>
      <c r="AE74" s="42" t="n"/>
      <c r="AF74" s="42" t="n"/>
      <c r="AG74" s="42" t="n"/>
      <c r="AH74" s="42" t="n"/>
      <c r="AI74" s="42" t="n"/>
      <c r="AJ74" s="42" t="n"/>
      <c r="AK74" s="42" t="n"/>
      <c r="AL74" s="42" t="n"/>
      <c r="AM74" s="42" t="n"/>
      <c r="AN74" s="42" t="n"/>
      <c r="AO74" s="42" t="n"/>
      <c r="AP74" s="42" t="n"/>
      <c r="AQ74" s="42" t="n"/>
      <c r="AR74" s="38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5" t="n"/>
      <c r="Z75" s="157">
        <f>IF(OR(Y75="",X75=""),"",IFERROR(Y75*INDEX(FXRates[USD per unit],MATCH(X75,FXRates[Currency],0)),"No rate"))</f>
        <v/>
      </c>
      <c r="AA75" s="32" t="n"/>
      <c r="AB75" s="32" t="n"/>
      <c r="AC75" s="36">
        <f>IF(A75="","",IF(COUNTIF($A$6:$A$504,A75)&gt;1,"⚠ Duplicate",""))</f>
        <v/>
      </c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  <c r="AM75" s="43" t="n"/>
      <c r="AN75" s="43" t="n"/>
      <c r="AO75" s="43" t="n"/>
      <c r="AP75" s="43" t="n"/>
      <c r="AQ75" s="43" t="n"/>
      <c r="AR75" s="32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40" t="n"/>
      <c r="Z76" s="158">
        <f>IF(OR(Y76="",X76=""),"",IFERROR(Y76*INDEX(FXRates[USD per unit],MATCH(X76,FXRates[Currency],0)),"No rate"))</f>
        <v/>
      </c>
      <c r="AA76" s="38" t="n"/>
      <c r="AB76" s="38" t="n"/>
      <c r="AC76" s="41">
        <f>IF(A76="","",IF(COUNTIF($A$6:$A$504,A76)&gt;1,"⚠ Duplicate",""))</f>
        <v/>
      </c>
      <c r="AD76" s="42" t="n"/>
      <c r="AE76" s="42" t="n"/>
      <c r="AF76" s="42" t="n"/>
      <c r="AG76" s="42" t="n"/>
      <c r="AH76" s="42" t="n"/>
      <c r="AI76" s="42" t="n"/>
      <c r="AJ76" s="42" t="n"/>
      <c r="AK76" s="42" t="n"/>
      <c r="AL76" s="42" t="n"/>
      <c r="AM76" s="42" t="n"/>
      <c r="AN76" s="42" t="n"/>
      <c r="AO76" s="42" t="n"/>
      <c r="AP76" s="42" t="n"/>
      <c r="AQ76" s="42" t="n"/>
      <c r="AR76" s="38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5" t="n"/>
      <c r="Z77" s="157">
        <f>IF(OR(Y77="",X77=""),"",IFERROR(Y77*INDEX(FXRates[USD per unit],MATCH(X77,FXRates[Currency],0)),"No rate"))</f>
        <v/>
      </c>
      <c r="AA77" s="32" t="n"/>
      <c r="AB77" s="32" t="n"/>
      <c r="AC77" s="36">
        <f>IF(A77="","",IF(COUNTIF($A$6:$A$504,A77)&gt;1,"⚠ Duplicate",""))</f>
        <v/>
      </c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  <c r="AM77" s="43" t="n"/>
      <c r="AN77" s="43" t="n"/>
      <c r="AO77" s="43" t="n"/>
      <c r="AP77" s="43" t="n"/>
      <c r="AQ77" s="43" t="n"/>
      <c r="AR77" s="32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40" t="n"/>
      <c r="Z78" s="158">
        <f>IF(OR(Y78="",X78=""),"",IFERROR(Y78*INDEX(FXRates[USD per unit],MATCH(X78,FXRates[Currency],0)),"No rate"))</f>
        <v/>
      </c>
      <c r="AA78" s="38" t="n"/>
      <c r="AB78" s="38" t="n"/>
      <c r="AC78" s="41">
        <f>IF(A78="","",IF(COUNTIF($A$6:$A$504,A78)&gt;1,"⚠ Duplicate",""))</f>
        <v/>
      </c>
      <c r="AD78" s="42" t="n"/>
      <c r="AE78" s="42" t="n"/>
      <c r="AF78" s="42" t="n"/>
      <c r="AG78" s="42" t="n"/>
      <c r="AH78" s="42" t="n"/>
      <c r="AI78" s="42" t="n"/>
      <c r="AJ78" s="42" t="n"/>
      <c r="AK78" s="42" t="n"/>
      <c r="AL78" s="42" t="n"/>
      <c r="AM78" s="42" t="n"/>
      <c r="AN78" s="42" t="n"/>
      <c r="AO78" s="42" t="n"/>
      <c r="AP78" s="42" t="n"/>
      <c r="AQ78" s="42" t="n"/>
      <c r="AR78" s="38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5" t="n"/>
      <c r="Z79" s="157">
        <f>IF(OR(Y79="",X79=""),"",IFERROR(Y79*INDEX(FXRates[USD per unit],MATCH(X79,FXRates[Currency],0)),"No rate"))</f>
        <v/>
      </c>
      <c r="AA79" s="32" t="n"/>
      <c r="AB79" s="32" t="n"/>
      <c r="AC79" s="36">
        <f>IF(A79="","",IF(COUNTIF($A$6:$A$504,A79)&gt;1,"⚠ Duplicate",""))</f>
        <v/>
      </c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  <c r="AM79" s="43" t="n"/>
      <c r="AN79" s="43" t="n"/>
      <c r="AO79" s="43" t="n"/>
      <c r="AP79" s="43" t="n"/>
      <c r="AQ79" s="43" t="n"/>
      <c r="AR79" s="32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40" t="n"/>
      <c r="Z80" s="158">
        <f>IF(OR(Y80="",X80=""),"",IFERROR(Y80*INDEX(FXRates[USD per unit],MATCH(X80,FXRates[Currency],0)),"No rate"))</f>
        <v/>
      </c>
      <c r="AA80" s="38" t="n"/>
      <c r="AB80" s="38" t="n"/>
      <c r="AC80" s="41">
        <f>IF(A80="","",IF(COUNTIF($A$6:$A$504,A80)&gt;1,"⚠ Duplicate",""))</f>
        <v/>
      </c>
      <c r="AD80" s="42" t="n"/>
      <c r="AE80" s="42" t="n"/>
      <c r="AF80" s="42" t="n"/>
      <c r="AG80" s="42" t="n"/>
      <c r="AH80" s="42" t="n"/>
      <c r="AI80" s="42" t="n"/>
      <c r="AJ80" s="42" t="n"/>
      <c r="AK80" s="42" t="n"/>
      <c r="AL80" s="42" t="n"/>
      <c r="AM80" s="42" t="n"/>
      <c r="AN80" s="42" t="n"/>
      <c r="AO80" s="42" t="n"/>
      <c r="AP80" s="42" t="n"/>
      <c r="AQ80" s="42" t="n"/>
      <c r="AR80" s="38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5" t="n"/>
      <c r="Z81" s="157">
        <f>IF(OR(Y81="",X81=""),"",IFERROR(Y81*INDEX(FXRates[USD per unit],MATCH(X81,FXRates[Currency],0)),"No rate"))</f>
        <v/>
      </c>
      <c r="AA81" s="32" t="n"/>
      <c r="AB81" s="32" t="n"/>
      <c r="AC81" s="36">
        <f>IF(A81="","",IF(COUNTIF($A$6:$A$504,A81)&gt;1,"⚠ Duplicate",""))</f>
        <v/>
      </c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  <c r="AM81" s="43" t="n"/>
      <c r="AN81" s="43" t="n"/>
      <c r="AO81" s="43" t="n"/>
      <c r="AP81" s="43" t="n"/>
      <c r="AQ81" s="43" t="n"/>
      <c r="AR81" s="32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40" t="n"/>
      <c r="Z82" s="158">
        <f>IF(OR(Y82="",X82=""),"",IFERROR(Y82*INDEX(FXRates[USD per unit],MATCH(X82,FXRates[Currency],0)),"No rate"))</f>
        <v/>
      </c>
      <c r="AA82" s="38" t="n"/>
      <c r="AB82" s="38" t="n"/>
      <c r="AC82" s="41">
        <f>IF(A82="","",IF(COUNTIF($A$6:$A$504,A82)&gt;1,"⚠ Duplicate",""))</f>
        <v/>
      </c>
      <c r="AD82" s="42" t="n"/>
      <c r="AE82" s="42" t="n"/>
      <c r="AF82" s="42" t="n"/>
      <c r="AG82" s="42" t="n"/>
      <c r="AH82" s="42" t="n"/>
      <c r="AI82" s="42" t="n"/>
      <c r="AJ82" s="42" t="n"/>
      <c r="AK82" s="42" t="n"/>
      <c r="AL82" s="42" t="n"/>
      <c r="AM82" s="42" t="n"/>
      <c r="AN82" s="42" t="n"/>
      <c r="AO82" s="42" t="n"/>
      <c r="AP82" s="42" t="n"/>
      <c r="AQ82" s="42" t="n"/>
      <c r="AR82" s="38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5" t="n"/>
      <c r="Z83" s="157">
        <f>IF(OR(Y83="",X83=""),"",IFERROR(Y83*INDEX(FXRates[USD per unit],MATCH(X83,FXRates[Currency],0)),"No rate"))</f>
        <v/>
      </c>
      <c r="AA83" s="32" t="n"/>
      <c r="AB83" s="32" t="n"/>
      <c r="AC83" s="36">
        <f>IF(A83="","",IF(COUNTIF($A$6:$A$504,A83)&gt;1,"⚠ Duplicate",""))</f>
        <v/>
      </c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  <c r="AM83" s="43" t="n"/>
      <c r="AN83" s="43" t="n"/>
      <c r="AO83" s="43" t="n"/>
      <c r="AP83" s="43" t="n"/>
      <c r="AQ83" s="43" t="n"/>
      <c r="AR83" s="32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40" t="n"/>
      <c r="Z84" s="158">
        <f>IF(OR(Y84="",X84=""),"",IFERROR(Y84*INDEX(FXRates[USD per unit],MATCH(X84,FXRates[Currency],0)),"No rate"))</f>
        <v/>
      </c>
      <c r="AA84" s="38" t="n"/>
      <c r="AB84" s="38" t="n"/>
      <c r="AC84" s="41">
        <f>IF(A84="","",IF(COUNTIF($A$6:$A$504,A84)&gt;1,"⚠ Duplicate",""))</f>
        <v/>
      </c>
      <c r="AD84" s="42" t="n"/>
      <c r="AE84" s="42" t="n"/>
      <c r="AF84" s="42" t="n"/>
      <c r="AG84" s="42" t="n"/>
      <c r="AH84" s="42" t="n"/>
      <c r="AI84" s="42" t="n"/>
      <c r="AJ84" s="42" t="n"/>
      <c r="AK84" s="42" t="n"/>
      <c r="AL84" s="42" t="n"/>
      <c r="AM84" s="42" t="n"/>
      <c r="AN84" s="42" t="n"/>
      <c r="AO84" s="42" t="n"/>
      <c r="AP84" s="42" t="n"/>
      <c r="AQ84" s="42" t="n"/>
      <c r="AR84" s="38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5" t="n"/>
      <c r="Z85" s="157">
        <f>IF(OR(Y85="",X85=""),"",IFERROR(Y85*INDEX(FXRates[USD per unit],MATCH(X85,FXRates[Currency],0)),"No rate"))</f>
        <v/>
      </c>
      <c r="AA85" s="32" t="n"/>
      <c r="AB85" s="32" t="n"/>
      <c r="AC85" s="36">
        <f>IF(A85="","",IF(COUNTIF($A$6:$A$504,A85)&gt;1,"⚠ Duplicate",""))</f>
        <v/>
      </c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  <c r="AM85" s="43" t="n"/>
      <c r="AN85" s="43" t="n"/>
      <c r="AO85" s="43" t="n"/>
      <c r="AP85" s="43" t="n"/>
      <c r="AQ85" s="43" t="n"/>
      <c r="AR85" s="32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40" t="n"/>
      <c r="Z86" s="158">
        <f>IF(OR(Y86="",X86=""),"",IFERROR(Y86*INDEX(FXRates[USD per unit],MATCH(X86,FXRates[Currency],0)),"No rate"))</f>
        <v/>
      </c>
      <c r="AA86" s="38" t="n"/>
      <c r="AB86" s="38" t="n"/>
      <c r="AC86" s="41">
        <f>IF(A86="","",IF(COUNTIF($A$6:$A$504,A86)&gt;1,"⚠ Duplicate",""))</f>
        <v/>
      </c>
      <c r="AD86" s="42" t="n"/>
      <c r="AE86" s="42" t="n"/>
      <c r="AF86" s="42" t="n"/>
      <c r="AG86" s="42" t="n"/>
      <c r="AH86" s="42" t="n"/>
      <c r="AI86" s="42" t="n"/>
      <c r="AJ86" s="42" t="n"/>
      <c r="AK86" s="42" t="n"/>
      <c r="AL86" s="42" t="n"/>
      <c r="AM86" s="42" t="n"/>
      <c r="AN86" s="42" t="n"/>
      <c r="AO86" s="42" t="n"/>
      <c r="AP86" s="42" t="n"/>
      <c r="AQ86" s="42" t="n"/>
      <c r="AR86" s="38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5" t="n"/>
      <c r="Z87" s="157">
        <f>IF(OR(Y87="",X87=""),"",IFERROR(Y87*INDEX(FXRates[USD per unit],MATCH(X87,FXRates[Currency],0)),"No rate"))</f>
        <v/>
      </c>
      <c r="AA87" s="32" t="n"/>
      <c r="AB87" s="32" t="n"/>
      <c r="AC87" s="36">
        <f>IF(A87="","",IF(COUNTIF($A$6:$A$504,A87)&gt;1,"⚠ Duplicate",""))</f>
        <v/>
      </c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  <c r="AM87" s="43" t="n"/>
      <c r="AN87" s="43" t="n"/>
      <c r="AO87" s="43" t="n"/>
      <c r="AP87" s="43" t="n"/>
      <c r="AQ87" s="43" t="n"/>
      <c r="AR87" s="32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40" t="n"/>
      <c r="Z88" s="158">
        <f>IF(OR(Y88="",X88=""),"",IFERROR(Y88*INDEX(FXRates[USD per unit],MATCH(X88,FXRates[Currency],0)),"No rate"))</f>
        <v/>
      </c>
      <c r="AA88" s="38" t="n"/>
      <c r="AB88" s="38" t="n"/>
      <c r="AC88" s="41">
        <f>IF(A88="","",IF(COUNTIF($A$6:$A$504,A88)&gt;1,"⚠ Duplicate",""))</f>
        <v/>
      </c>
      <c r="AD88" s="42" t="n"/>
      <c r="AE88" s="42" t="n"/>
      <c r="AF88" s="42" t="n"/>
      <c r="AG88" s="42" t="n"/>
      <c r="AH88" s="42" t="n"/>
      <c r="AI88" s="42" t="n"/>
      <c r="AJ88" s="42" t="n"/>
      <c r="AK88" s="42" t="n"/>
      <c r="AL88" s="42" t="n"/>
      <c r="AM88" s="42" t="n"/>
      <c r="AN88" s="42" t="n"/>
      <c r="AO88" s="42" t="n"/>
      <c r="AP88" s="42" t="n"/>
      <c r="AQ88" s="42" t="n"/>
      <c r="AR88" s="38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5" t="n"/>
      <c r="Z89" s="157">
        <f>IF(OR(Y89="",X89=""),"",IFERROR(Y89*INDEX(FXRates[USD per unit],MATCH(X89,FXRates[Currency],0)),"No rate"))</f>
        <v/>
      </c>
      <c r="AA89" s="32" t="n"/>
      <c r="AB89" s="32" t="n"/>
      <c r="AC89" s="36">
        <f>IF(A89="","",IF(COUNTIF($A$6:$A$504,A89)&gt;1,"⚠ Duplicate",""))</f>
        <v/>
      </c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  <c r="AM89" s="43" t="n"/>
      <c r="AN89" s="43" t="n"/>
      <c r="AO89" s="43" t="n"/>
      <c r="AP89" s="43" t="n"/>
      <c r="AQ89" s="43" t="n"/>
      <c r="AR89" s="32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40" t="n"/>
      <c r="Z90" s="158">
        <f>IF(OR(Y90="",X90=""),"",IFERROR(Y90*INDEX(FXRates[USD per unit],MATCH(X90,FXRates[Currency],0)),"No rate"))</f>
        <v/>
      </c>
      <c r="AA90" s="38" t="n"/>
      <c r="AB90" s="38" t="n"/>
      <c r="AC90" s="41">
        <f>IF(A90="","",IF(COUNTIF($A$6:$A$504,A90)&gt;1,"⚠ Duplicate",""))</f>
        <v/>
      </c>
      <c r="AD90" s="42" t="n"/>
      <c r="AE90" s="42" t="n"/>
      <c r="AF90" s="42" t="n"/>
      <c r="AG90" s="42" t="n"/>
      <c r="AH90" s="42" t="n"/>
      <c r="AI90" s="42" t="n"/>
      <c r="AJ90" s="42" t="n"/>
      <c r="AK90" s="42" t="n"/>
      <c r="AL90" s="42" t="n"/>
      <c r="AM90" s="42" t="n"/>
      <c r="AN90" s="42" t="n"/>
      <c r="AO90" s="42" t="n"/>
      <c r="AP90" s="42" t="n"/>
      <c r="AQ90" s="42" t="n"/>
      <c r="AR90" s="38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5" t="n"/>
      <c r="Z91" s="157">
        <f>IF(OR(Y91="",X91=""),"",IFERROR(Y91*INDEX(FXRates[USD per unit],MATCH(X91,FXRates[Currency],0)),"No rate"))</f>
        <v/>
      </c>
      <c r="AA91" s="32" t="n"/>
      <c r="AB91" s="32" t="n"/>
      <c r="AC91" s="36">
        <f>IF(A91="","",IF(COUNTIF($A$6:$A$504,A91)&gt;1,"⚠ Duplicate",""))</f>
        <v/>
      </c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  <c r="AM91" s="43" t="n"/>
      <c r="AN91" s="43" t="n"/>
      <c r="AO91" s="43" t="n"/>
      <c r="AP91" s="43" t="n"/>
      <c r="AQ91" s="43" t="n"/>
      <c r="AR91" s="32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40" t="n"/>
      <c r="Z92" s="158">
        <f>IF(OR(Y92="",X92=""),"",IFERROR(Y92*INDEX(FXRates[USD per unit],MATCH(X92,FXRates[Currency],0)),"No rate"))</f>
        <v/>
      </c>
      <c r="AA92" s="38" t="n"/>
      <c r="AB92" s="38" t="n"/>
      <c r="AC92" s="41">
        <f>IF(A92="","",IF(COUNTIF($A$6:$A$504,A92)&gt;1,"⚠ Duplicate",""))</f>
        <v/>
      </c>
      <c r="AD92" s="42" t="n"/>
      <c r="AE92" s="42" t="n"/>
      <c r="AF92" s="42" t="n"/>
      <c r="AG92" s="42" t="n"/>
      <c r="AH92" s="42" t="n"/>
      <c r="AI92" s="42" t="n"/>
      <c r="AJ92" s="42" t="n"/>
      <c r="AK92" s="42" t="n"/>
      <c r="AL92" s="42" t="n"/>
      <c r="AM92" s="42" t="n"/>
      <c r="AN92" s="42" t="n"/>
      <c r="AO92" s="42" t="n"/>
      <c r="AP92" s="42" t="n"/>
      <c r="AQ92" s="42" t="n"/>
      <c r="AR92" s="38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5" t="n"/>
      <c r="Z93" s="157">
        <f>IF(OR(Y93="",X93=""),"",IFERROR(Y93*INDEX(FXRates[USD per unit],MATCH(X93,FXRates[Currency],0)),"No rate"))</f>
        <v/>
      </c>
      <c r="AA93" s="32" t="n"/>
      <c r="AB93" s="32" t="n"/>
      <c r="AC93" s="36">
        <f>IF(A93="","",IF(COUNTIF($A$6:$A$504,A93)&gt;1,"⚠ Duplicate",""))</f>
        <v/>
      </c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  <c r="AM93" s="43" t="n"/>
      <c r="AN93" s="43" t="n"/>
      <c r="AO93" s="43" t="n"/>
      <c r="AP93" s="43" t="n"/>
      <c r="AQ93" s="43" t="n"/>
      <c r="AR93" s="32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40" t="n"/>
      <c r="Z94" s="158">
        <f>IF(OR(Y94="",X94=""),"",IFERROR(Y94*INDEX(FXRates[USD per unit],MATCH(X94,FXRates[Currency],0)),"No rate"))</f>
        <v/>
      </c>
      <c r="AA94" s="38" t="n"/>
      <c r="AB94" s="38" t="n"/>
      <c r="AC94" s="41">
        <f>IF(A94="","",IF(COUNTIF($A$6:$A$504,A94)&gt;1,"⚠ Duplicate",""))</f>
        <v/>
      </c>
      <c r="AD94" s="42" t="n"/>
      <c r="AE94" s="42" t="n"/>
      <c r="AF94" s="42" t="n"/>
      <c r="AG94" s="42" t="n"/>
      <c r="AH94" s="42" t="n"/>
      <c r="AI94" s="42" t="n"/>
      <c r="AJ94" s="42" t="n"/>
      <c r="AK94" s="42" t="n"/>
      <c r="AL94" s="42" t="n"/>
      <c r="AM94" s="42" t="n"/>
      <c r="AN94" s="42" t="n"/>
      <c r="AO94" s="42" t="n"/>
      <c r="AP94" s="42" t="n"/>
      <c r="AQ94" s="42" t="n"/>
      <c r="AR94" s="38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5" t="n"/>
      <c r="Z95" s="157">
        <f>IF(OR(Y95="",X95=""),"",IFERROR(Y95*INDEX(FXRates[USD per unit],MATCH(X95,FXRates[Currency],0)),"No rate"))</f>
        <v/>
      </c>
      <c r="AA95" s="32" t="n"/>
      <c r="AB95" s="32" t="n"/>
      <c r="AC95" s="36">
        <f>IF(A95="","",IF(COUNTIF($A$6:$A$504,A95)&gt;1,"⚠ Duplicate",""))</f>
        <v/>
      </c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  <c r="AM95" s="43" t="n"/>
      <c r="AN95" s="43" t="n"/>
      <c r="AO95" s="43" t="n"/>
      <c r="AP95" s="43" t="n"/>
      <c r="AQ95" s="43" t="n"/>
      <c r="AR95" s="32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40" t="n"/>
      <c r="Z96" s="158">
        <f>IF(OR(Y96="",X96=""),"",IFERROR(Y96*INDEX(FXRates[USD per unit],MATCH(X96,FXRates[Currency],0)),"No rate"))</f>
        <v/>
      </c>
      <c r="AA96" s="38" t="n"/>
      <c r="AB96" s="38" t="n"/>
      <c r="AC96" s="41">
        <f>IF(A96="","",IF(COUNTIF($A$6:$A$504,A96)&gt;1,"⚠ Duplicate",""))</f>
        <v/>
      </c>
      <c r="AD96" s="42" t="n"/>
      <c r="AE96" s="42" t="n"/>
      <c r="AF96" s="42" t="n"/>
      <c r="AG96" s="42" t="n"/>
      <c r="AH96" s="42" t="n"/>
      <c r="AI96" s="42" t="n"/>
      <c r="AJ96" s="42" t="n"/>
      <c r="AK96" s="42" t="n"/>
      <c r="AL96" s="42" t="n"/>
      <c r="AM96" s="42" t="n"/>
      <c r="AN96" s="42" t="n"/>
      <c r="AO96" s="42" t="n"/>
      <c r="AP96" s="42" t="n"/>
      <c r="AQ96" s="42" t="n"/>
      <c r="AR96" s="38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5" t="n"/>
      <c r="Z97" s="157">
        <f>IF(OR(Y97="",X97=""),"",IFERROR(Y97*INDEX(FXRates[USD per unit],MATCH(X97,FXRates[Currency],0)),"No rate"))</f>
        <v/>
      </c>
      <c r="AA97" s="32" t="n"/>
      <c r="AB97" s="32" t="n"/>
      <c r="AC97" s="36">
        <f>IF(A97="","",IF(COUNTIF($A$6:$A$504,A97)&gt;1,"⚠ Duplicate",""))</f>
        <v/>
      </c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  <c r="AM97" s="43" t="n"/>
      <c r="AN97" s="43" t="n"/>
      <c r="AO97" s="43" t="n"/>
      <c r="AP97" s="43" t="n"/>
      <c r="AQ97" s="43" t="n"/>
      <c r="AR97" s="32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40" t="n"/>
      <c r="Z98" s="158">
        <f>IF(OR(Y98="",X98=""),"",IFERROR(Y98*INDEX(FXRates[USD per unit],MATCH(X98,FXRates[Currency],0)),"No rate"))</f>
        <v/>
      </c>
      <c r="AA98" s="38" t="n"/>
      <c r="AB98" s="38" t="n"/>
      <c r="AC98" s="41">
        <f>IF(A98="","",IF(COUNTIF($A$6:$A$504,A98)&gt;1,"⚠ Duplicate",""))</f>
        <v/>
      </c>
      <c r="AD98" s="42" t="n"/>
      <c r="AE98" s="42" t="n"/>
      <c r="AF98" s="42" t="n"/>
      <c r="AG98" s="42" t="n"/>
      <c r="AH98" s="42" t="n"/>
      <c r="AI98" s="42" t="n"/>
      <c r="AJ98" s="42" t="n"/>
      <c r="AK98" s="42" t="n"/>
      <c r="AL98" s="42" t="n"/>
      <c r="AM98" s="42" t="n"/>
      <c r="AN98" s="42" t="n"/>
      <c r="AO98" s="42" t="n"/>
      <c r="AP98" s="42" t="n"/>
      <c r="AQ98" s="42" t="n"/>
      <c r="AR98" s="38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5" t="n"/>
      <c r="Z99" s="157">
        <f>IF(OR(Y99="",X99=""),"",IFERROR(Y99*INDEX(FXRates[USD per unit],MATCH(X99,FXRates[Currency],0)),"No rate"))</f>
        <v/>
      </c>
      <c r="AA99" s="32" t="n"/>
      <c r="AB99" s="32" t="n"/>
      <c r="AC99" s="36">
        <f>IF(A99="","",IF(COUNTIF($A$6:$A$504,A99)&gt;1,"⚠ Duplicate",""))</f>
        <v/>
      </c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  <c r="AM99" s="43" t="n"/>
      <c r="AN99" s="43" t="n"/>
      <c r="AO99" s="43" t="n"/>
      <c r="AP99" s="43" t="n"/>
      <c r="AQ99" s="43" t="n"/>
      <c r="AR99" s="32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40" t="n"/>
      <c r="Z100" s="158">
        <f>IF(OR(Y100="",X100=""),"",IFERROR(Y100*INDEX(FXRates[USD per unit],MATCH(X100,FXRates[Currency],0)),"No rate"))</f>
        <v/>
      </c>
      <c r="AA100" s="38" t="n"/>
      <c r="AB100" s="38" t="n"/>
      <c r="AC100" s="41">
        <f>IF(A100="","",IF(COUNTIF($A$6:$A$504,A100)&gt;1,"⚠ Duplicate",""))</f>
        <v/>
      </c>
      <c r="AD100" s="42" t="n"/>
      <c r="AE100" s="42" t="n"/>
      <c r="AF100" s="42" t="n"/>
      <c r="AG100" s="42" t="n"/>
      <c r="AH100" s="42" t="n"/>
      <c r="AI100" s="42" t="n"/>
      <c r="AJ100" s="42" t="n"/>
      <c r="AK100" s="42" t="n"/>
      <c r="AL100" s="42" t="n"/>
      <c r="AM100" s="42" t="n"/>
      <c r="AN100" s="42" t="n"/>
      <c r="AO100" s="42" t="n"/>
      <c r="AP100" s="42" t="n"/>
      <c r="AQ100" s="42" t="n"/>
      <c r="AR100" s="38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5" t="n"/>
      <c r="Z101" s="157">
        <f>IF(OR(Y101="",X101=""),"",IFERROR(Y101*INDEX(FXRates[USD per unit],MATCH(X101,FXRates[Currency],0)),"No rate"))</f>
        <v/>
      </c>
      <c r="AA101" s="32" t="n"/>
      <c r="AB101" s="32" t="n"/>
      <c r="AC101" s="36">
        <f>IF(A101="","",IF(COUNTIF($A$6:$A$504,A101)&gt;1,"⚠ Duplicate",""))</f>
        <v/>
      </c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  <c r="AM101" s="43" t="n"/>
      <c r="AN101" s="43" t="n"/>
      <c r="AO101" s="43" t="n"/>
      <c r="AP101" s="43" t="n"/>
      <c r="AQ101" s="43" t="n"/>
      <c r="AR101" s="32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40" t="n"/>
      <c r="Z102" s="158">
        <f>IF(OR(Y102="",X102=""),"",IFERROR(Y102*INDEX(FXRates[USD per unit],MATCH(X102,FXRates[Currency],0)),"No rate"))</f>
        <v/>
      </c>
      <c r="AA102" s="38" t="n"/>
      <c r="AB102" s="38" t="n"/>
      <c r="AC102" s="41">
        <f>IF(A102="","",IF(COUNTIF($A$6:$A$504,A102)&gt;1,"⚠ Duplicate",""))</f>
        <v/>
      </c>
      <c r="AD102" s="42" t="n"/>
      <c r="AE102" s="42" t="n"/>
      <c r="AF102" s="42" t="n"/>
      <c r="AG102" s="42" t="n"/>
      <c r="AH102" s="42" t="n"/>
      <c r="AI102" s="42" t="n"/>
      <c r="AJ102" s="42" t="n"/>
      <c r="AK102" s="42" t="n"/>
      <c r="AL102" s="42" t="n"/>
      <c r="AM102" s="42" t="n"/>
      <c r="AN102" s="42" t="n"/>
      <c r="AO102" s="42" t="n"/>
      <c r="AP102" s="42" t="n"/>
      <c r="AQ102" s="42" t="n"/>
      <c r="AR102" s="38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5" t="n"/>
      <c r="Z103" s="157">
        <f>IF(OR(Y103="",X103=""),"",IFERROR(Y103*INDEX(FXRates[USD per unit],MATCH(X103,FXRates[Currency],0)),"No rate"))</f>
        <v/>
      </c>
      <c r="AA103" s="32" t="n"/>
      <c r="AB103" s="32" t="n"/>
      <c r="AC103" s="36">
        <f>IF(A103="","",IF(COUNTIF($A$6:$A$504,A103)&gt;1,"⚠ Duplicate",""))</f>
        <v/>
      </c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  <c r="AM103" s="43" t="n"/>
      <c r="AN103" s="43" t="n"/>
      <c r="AO103" s="43" t="n"/>
      <c r="AP103" s="43" t="n"/>
      <c r="AQ103" s="43" t="n"/>
      <c r="AR103" s="32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40" t="n"/>
      <c r="Z104" s="158">
        <f>IF(OR(Y104="",X104=""),"",IFERROR(Y104*INDEX(FXRates[USD per unit],MATCH(X104,FXRates[Currency],0)),"No rate"))</f>
        <v/>
      </c>
      <c r="AA104" s="38" t="n"/>
      <c r="AB104" s="38" t="n"/>
      <c r="AC104" s="41">
        <f>IF(A104="","",IF(COUNTIF($A$6:$A$504,A104)&gt;1,"⚠ Duplicate",""))</f>
        <v/>
      </c>
      <c r="AD104" s="42" t="n"/>
      <c r="AE104" s="42" t="n"/>
      <c r="AF104" s="42" t="n"/>
      <c r="AG104" s="42" t="n"/>
      <c r="AH104" s="42" t="n"/>
      <c r="AI104" s="42" t="n"/>
      <c r="AJ104" s="42" t="n"/>
      <c r="AK104" s="42" t="n"/>
      <c r="AL104" s="42" t="n"/>
      <c r="AM104" s="42" t="n"/>
      <c r="AN104" s="42" t="n"/>
      <c r="AO104" s="42" t="n"/>
      <c r="AP104" s="42" t="n"/>
      <c r="AQ104" s="42" t="n"/>
      <c r="AR104" s="38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5" t="n"/>
      <c r="Z105" s="157">
        <f>IF(OR(Y105="",X105=""),"",IFERROR(Y105*INDEX(FXRates[USD per unit],MATCH(X105,FXRates[Currency],0)),"No rate"))</f>
        <v/>
      </c>
      <c r="AA105" s="32" t="n"/>
      <c r="AB105" s="32" t="n"/>
      <c r="AC105" s="36">
        <f>IF(A105="","",IF(COUNTIF($A$6:$A$504,A105)&gt;1,"⚠ Duplicate",""))</f>
        <v/>
      </c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  <c r="AM105" s="43" t="n"/>
      <c r="AN105" s="43" t="n"/>
      <c r="AO105" s="43" t="n"/>
      <c r="AP105" s="43" t="n"/>
      <c r="AQ105" s="43" t="n"/>
      <c r="AR105" s="32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40" t="n"/>
      <c r="Z106" s="158">
        <f>IF(OR(Y106="",X106=""),"",IFERROR(Y106*INDEX(FXRates[USD per unit],MATCH(X106,FXRates[Currency],0)),"No rate"))</f>
        <v/>
      </c>
      <c r="AA106" s="38" t="n"/>
      <c r="AB106" s="38" t="n"/>
      <c r="AC106" s="41">
        <f>IF(A106="","",IF(COUNTIF($A$6:$A$504,A106)&gt;1,"⚠ Duplicate",""))</f>
        <v/>
      </c>
      <c r="AD106" s="42" t="n"/>
      <c r="AE106" s="42" t="n"/>
      <c r="AF106" s="42" t="n"/>
      <c r="AG106" s="42" t="n"/>
      <c r="AH106" s="42" t="n"/>
      <c r="AI106" s="42" t="n"/>
      <c r="AJ106" s="42" t="n"/>
      <c r="AK106" s="42" t="n"/>
      <c r="AL106" s="42" t="n"/>
      <c r="AM106" s="42" t="n"/>
      <c r="AN106" s="42" t="n"/>
      <c r="AO106" s="42" t="n"/>
      <c r="AP106" s="42" t="n"/>
      <c r="AQ106" s="42" t="n"/>
      <c r="AR106" s="38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5" t="n"/>
      <c r="Z107" s="157">
        <f>IF(OR(Y107="",X107=""),"",IFERROR(Y107*INDEX(FXRates[USD per unit],MATCH(X107,FXRates[Currency],0)),"No rate"))</f>
        <v/>
      </c>
      <c r="AA107" s="32" t="n"/>
      <c r="AB107" s="32" t="n"/>
      <c r="AC107" s="36">
        <f>IF(A107="","",IF(COUNTIF($A$6:$A$504,A107)&gt;1,"⚠ Duplicate",""))</f>
        <v/>
      </c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  <c r="AM107" s="43" t="n"/>
      <c r="AN107" s="43" t="n"/>
      <c r="AO107" s="43" t="n"/>
      <c r="AP107" s="43" t="n"/>
      <c r="AQ107" s="43" t="n"/>
      <c r="AR107" s="32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40" t="n"/>
      <c r="Z108" s="158">
        <f>IF(OR(Y108="",X108=""),"",IFERROR(Y108*INDEX(FXRates[USD per unit],MATCH(X108,FXRates[Currency],0)),"No rate"))</f>
        <v/>
      </c>
      <c r="AA108" s="38" t="n"/>
      <c r="AB108" s="38" t="n"/>
      <c r="AC108" s="41">
        <f>IF(A108="","",IF(COUNTIF($A$6:$A$504,A108)&gt;1,"⚠ Duplicate",""))</f>
        <v/>
      </c>
      <c r="AD108" s="42" t="n"/>
      <c r="AE108" s="42" t="n"/>
      <c r="AF108" s="42" t="n"/>
      <c r="AG108" s="42" t="n"/>
      <c r="AH108" s="42" t="n"/>
      <c r="AI108" s="42" t="n"/>
      <c r="AJ108" s="42" t="n"/>
      <c r="AK108" s="42" t="n"/>
      <c r="AL108" s="42" t="n"/>
      <c r="AM108" s="42" t="n"/>
      <c r="AN108" s="42" t="n"/>
      <c r="AO108" s="42" t="n"/>
      <c r="AP108" s="42" t="n"/>
      <c r="AQ108" s="42" t="n"/>
      <c r="AR108" s="38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5" t="n"/>
      <c r="Z109" s="157">
        <f>IF(OR(Y109="",X109=""),"",IFERROR(Y109*INDEX(FXRates[USD per unit],MATCH(X109,FXRates[Currency],0)),"No rate"))</f>
        <v/>
      </c>
      <c r="AA109" s="32" t="n"/>
      <c r="AB109" s="32" t="n"/>
      <c r="AC109" s="36">
        <f>IF(A109="","",IF(COUNTIF($A$6:$A$504,A109)&gt;1,"⚠ Duplicate",""))</f>
        <v/>
      </c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  <c r="AM109" s="43" t="n"/>
      <c r="AN109" s="43" t="n"/>
      <c r="AO109" s="43" t="n"/>
      <c r="AP109" s="43" t="n"/>
      <c r="AQ109" s="43" t="n"/>
      <c r="AR109" s="32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40" t="n"/>
      <c r="Z110" s="158">
        <f>IF(OR(Y110="",X110=""),"",IFERROR(Y110*INDEX(FXRates[USD per unit],MATCH(X110,FXRates[Currency],0)),"No rate"))</f>
        <v/>
      </c>
      <c r="AA110" s="38" t="n"/>
      <c r="AB110" s="38" t="n"/>
      <c r="AC110" s="41">
        <f>IF(A110="","",IF(COUNTIF($A$6:$A$504,A110)&gt;1,"⚠ Duplicate",""))</f>
        <v/>
      </c>
      <c r="AD110" s="42" t="n"/>
      <c r="AE110" s="42" t="n"/>
      <c r="AF110" s="42" t="n"/>
      <c r="AG110" s="42" t="n"/>
      <c r="AH110" s="42" t="n"/>
      <c r="AI110" s="42" t="n"/>
      <c r="AJ110" s="42" t="n"/>
      <c r="AK110" s="42" t="n"/>
      <c r="AL110" s="42" t="n"/>
      <c r="AM110" s="42" t="n"/>
      <c r="AN110" s="42" t="n"/>
      <c r="AO110" s="42" t="n"/>
      <c r="AP110" s="42" t="n"/>
      <c r="AQ110" s="42" t="n"/>
      <c r="AR110" s="38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5" t="n"/>
      <c r="Z111" s="157">
        <f>IF(OR(Y111="",X111=""),"",IFERROR(Y111*INDEX(FXRates[USD per unit],MATCH(X111,FXRates[Currency],0)),"No rate"))</f>
        <v/>
      </c>
      <c r="AA111" s="32" t="n"/>
      <c r="AB111" s="32" t="n"/>
      <c r="AC111" s="36">
        <f>IF(A111="","",IF(COUNTIF($A$6:$A$504,A111)&gt;1,"⚠ Duplicate",""))</f>
        <v/>
      </c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  <c r="AM111" s="43" t="n"/>
      <c r="AN111" s="43" t="n"/>
      <c r="AO111" s="43" t="n"/>
      <c r="AP111" s="43" t="n"/>
      <c r="AQ111" s="43" t="n"/>
      <c r="AR111" s="32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40" t="n"/>
      <c r="Z112" s="158">
        <f>IF(OR(Y112="",X112=""),"",IFERROR(Y112*INDEX(FXRates[USD per unit],MATCH(X112,FXRates[Currency],0)),"No rate"))</f>
        <v/>
      </c>
      <c r="AA112" s="38" t="n"/>
      <c r="AB112" s="38" t="n"/>
      <c r="AC112" s="41">
        <f>IF(A112="","",IF(COUNTIF($A$6:$A$504,A112)&gt;1,"⚠ Duplicate",""))</f>
        <v/>
      </c>
      <c r="AD112" s="42" t="n"/>
      <c r="AE112" s="42" t="n"/>
      <c r="AF112" s="42" t="n"/>
      <c r="AG112" s="42" t="n"/>
      <c r="AH112" s="42" t="n"/>
      <c r="AI112" s="42" t="n"/>
      <c r="AJ112" s="42" t="n"/>
      <c r="AK112" s="42" t="n"/>
      <c r="AL112" s="42" t="n"/>
      <c r="AM112" s="42" t="n"/>
      <c r="AN112" s="42" t="n"/>
      <c r="AO112" s="42" t="n"/>
      <c r="AP112" s="42" t="n"/>
      <c r="AQ112" s="42" t="n"/>
      <c r="AR112" s="38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5" t="n"/>
      <c r="Z113" s="157">
        <f>IF(OR(Y113="",X113=""),"",IFERROR(Y113*INDEX(FXRates[USD per unit],MATCH(X113,FXRates[Currency],0)),"No rate"))</f>
        <v/>
      </c>
      <c r="AA113" s="32" t="n"/>
      <c r="AB113" s="32" t="n"/>
      <c r="AC113" s="36">
        <f>IF(A113="","",IF(COUNTIF($A$6:$A$504,A113)&gt;1,"⚠ Duplicate",""))</f>
        <v/>
      </c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  <c r="AM113" s="43" t="n"/>
      <c r="AN113" s="43" t="n"/>
      <c r="AO113" s="43" t="n"/>
      <c r="AP113" s="43" t="n"/>
      <c r="AQ113" s="43" t="n"/>
      <c r="AR113" s="32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40" t="n"/>
      <c r="Z114" s="158">
        <f>IF(OR(Y114="",X114=""),"",IFERROR(Y114*INDEX(FXRates[USD per unit],MATCH(X114,FXRates[Currency],0)),"No rate"))</f>
        <v/>
      </c>
      <c r="AA114" s="38" t="n"/>
      <c r="AB114" s="38" t="n"/>
      <c r="AC114" s="41">
        <f>IF(A114="","",IF(COUNTIF($A$6:$A$504,A114)&gt;1,"⚠ Duplicate",""))</f>
        <v/>
      </c>
      <c r="AD114" s="42" t="n"/>
      <c r="AE114" s="42" t="n"/>
      <c r="AF114" s="42" t="n"/>
      <c r="AG114" s="42" t="n"/>
      <c r="AH114" s="42" t="n"/>
      <c r="AI114" s="42" t="n"/>
      <c r="AJ114" s="42" t="n"/>
      <c r="AK114" s="42" t="n"/>
      <c r="AL114" s="42" t="n"/>
      <c r="AM114" s="42" t="n"/>
      <c r="AN114" s="42" t="n"/>
      <c r="AO114" s="42" t="n"/>
      <c r="AP114" s="42" t="n"/>
      <c r="AQ114" s="42" t="n"/>
      <c r="AR114" s="38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5" t="n"/>
      <c r="Z115" s="157">
        <f>IF(OR(Y115="",X115=""),"",IFERROR(Y115*INDEX(FXRates[USD per unit],MATCH(X115,FXRates[Currency],0)),"No rate"))</f>
        <v/>
      </c>
      <c r="AA115" s="32" t="n"/>
      <c r="AB115" s="32" t="n"/>
      <c r="AC115" s="36">
        <f>IF(A115="","",IF(COUNTIF($A$6:$A$504,A115)&gt;1,"⚠ Duplicate",""))</f>
        <v/>
      </c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  <c r="AM115" s="43" t="n"/>
      <c r="AN115" s="43" t="n"/>
      <c r="AO115" s="43" t="n"/>
      <c r="AP115" s="43" t="n"/>
      <c r="AQ115" s="43" t="n"/>
      <c r="AR115" s="32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40" t="n"/>
      <c r="Z116" s="158">
        <f>IF(OR(Y116="",X116=""),"",IFERROR(Y116*INDEX(FXRates[USD per unit],MATCH(X116,FXRates[Currency],0)),"No rate"))</f>
        <v/>
      </c>
      <c r="AA116" s="38" t="n"/>
      <c r="AB116" s="38" t="n"/>
      <c r="AC116" s="41">
        <f>IF(A116="","",IF(COUNTIF($A$6:$A$504,A116)&gt;1,"⚠ Duplicate",""))</f>
        <v/>
      </c>
      <c r="AD116" s="42" t="n"/>
      <c r="AE116" s="42" t="n"/>
      <c r="AF116" s="42" t="n"/>
      <c r="AG116" s="42" t="n"/>
      <c r="AH116" s="42" t="n"/>
      <c r="AI116" s="42" t="n"/>
      <c r="AJ116" s="42" t="n"/>
      <c r="AK116" s="42" t="n"/>
      <c r="AL116" s="42" t="n"/>
      <c r="AM116" s="42" t="n"/>
      <c r="AN116" s="42" t="n"/>
      <c r="AO116" s="42" t="n"/>
      <c r="AP116" s="42" t="n"/>
      <c r="AQ116" s="42" t="n"/>
      <c r="AR116" s="38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5" t="n"/>
      <c r="Z117" s="157">
        <f>IF(OR(Y117="",X117=""),"",IFERROR(Y117*INDEX(FXRates[USD per unit],MATCH(X117,FXRates[Currency],0)),"No rate"))</f>
        <v/>
      </c>
      <c r="AA117" s="32" t="n"/>
      <c r="AB117" s="32" t="n"/>
      <c r="AC117" s="36">
        <f>IF(A117="","",IF(COUNTIF($A$6:$A$504,A117)&gt;1,"⚠ Duplicate",""))</f>
        <v/>
      </c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  <c r="AM117" s="43" t="n"/>
      <c r="AN117" s="43" t="n"/>
      <c r="AO117" s="43" t="n"/>
      <c r="AP117" s="43" t="n"/>
      <c r="AQ117" s="43" t="n"/>
      <c r="AR117" s="32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40" t="n"/>
      <c r="Z118" s="158">
        <f>IF(OR(Y118="",X118=""),"",IFERROR(Y118*INDEX(FXRates[USD per unit],MATCH(X118,FXRates[Currency],0)),"No rate"))</f>
        <v/>
      </c>
      <c r="AA118" s="38" t="n"/>
      <c r="AB118" s="38" t="n"/>
      <c r="AC118" s="41">
        <f>IF(A118="","",IF(COUNTIF($A$6:$A$504,A118)&gt;1,"⚠ Duplicate",""))</f>
        <v/>
      </c>
      <c r="AD118" s="42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n"/>
      <c r="AN118" s="42" t="n"/>
      <c r="AO118" s="42" t="n"/>
      <c r="AP118" s="42" t="n"/>
      <c r="AQ118" s="42" t="n"/>
      <c r="AR118" s="38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5" t="n"/>
      <c r="Z119" s="157">
        <f>IF(OR(Y119="",X119=""),"",IFERROR(Y119*INDEX(FXRates[USD per unit],MATCH(X119,FXRates[Currency],0)),"No rate"))</f>
        <v/>
      </c>
      <c r="AA119" s="32" t="n"/>
      <c r="AB119" s="32" t="n"/>
      <c r="AC119" s="36">
        <f>IF(A119="","",IF(COUNTIF($A$6:$A$504,A119)&gt;1,"⚠ Duplicate",""))</f>
        <v/>
      </c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  <c r="AM119" s="43" t="n"/>
      <c r="AN119" s="43" t="n"/>
      <c r="AO119" s="43" t="n"/>
      <c r="AP119" s="43" t="n"/>
      <c r="AQ119" s="43" t="n"/>
      <c r="AR119" s="32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40" t="n"/>
      <c r="Z120" s="158">
        <f>IF(OR(Y120="",X120=""),"",IFERROR(Y120*INDEX(FXRates[USD per unit],MATCH(X120,FXRates[Currency],0)),"No rate"))</f>
        <v/>
      </c>
      <c r="AA120" s="38" t="n"/>
      <c r="AB120" s="38" t="n"/>
      <c r="AC120" s="41">
        <f>IF(A120="","",IF(COUNTIF($A$6:$A$504,A120)&gt;1,"⚠ Duplicate",""))</f>
        <v/>
      </c>
      <c r="AD120" s="42" t="n"/>
      <c r="AE120" s="42" t="n"/>
      <c r="AF120" s="42" t="n"/>
      <c r="AG120" s="42" t="n"/>
      <c r="AH120" s="42" t="n"/>
      <c r="AI120" s="42" t="n"/>
      <c r="AJ120" s="42" t="n"/>
      <c r="AK120" s="42" t="n"/>
      <c r="AL120" s="42" t="n"/>
      <c r="AM120" s="42" t="n"/>
      <c r="AN120" s="42" t="n"/>
      <c r="AO120" s="42" t="n"/>
      <c r="AP120" s="42" t="n"/>
      <c r="AQ120" s="42" t="n"/>
      <c r="AR120" s="38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5" t="n"/>
      <c r="Z121" s="157">
        <f>IF(OR(Y121="",X121=""),"",IFERROR(Y121*INDEX(FXRates[USD per unit],MATCH(X121,FXRates[Currency],0)),"No rate"))</f>
        <v/>
      </c>
      <c r="AA121" s="32" t="n"/>
      <c r="AB121" s="32" t="n"/>
      <c r="AC121" s="36">
        <f>IF(A121="","",IF(COUNTIF($A$6:$A$504,A121)&gt;1,"⚠ Duplicate",""))</f>
        <v/>
      </c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  <c r="AM121" s="43" t="n"/>
      <c r="AN121" s="43" t="n"/>
      <c r="AO121" s="43" t="n"/>
      <c r="AP121" s="43" t="n"/>
      <c r="AQ121" s="43" t="n"/>
      <c r="AR121" s="32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40" t="n"/>
      <c r="Z122" s="158">
        <f>IF(OR(Y122="",X122=""),"",IFERROR(Y122*INDEX(FXRates[USD per unit],MATCH(X122,FXRates[Currency],0)),"No rate"))</f>
        <v/>
      </c>
      <c r="AA122" s="38" t="n"/>
      <c r="AB122" s="38" t="n"/>
      <c r="AC122" s="41">
        <f>IF(A122="","",IF(COUNTIF($A$6:$A$504,A122)&gt;1,"⚠ Duplicate",""))</f>
        <v/>
      </c>
      <c r="AD122" s="42" t="n"/>
      <c r="AE122" s="42" t="n"/>
      <c r="AF122" s="42" t="n"/>
      <c r="AG122" s="42" t="n"/>
      <c r="AH122" s="42" t="n"/>
      <c r="AI122" s="42" t="n"/>
      <c r="AJ122" s="42" t="n"/>
      <c r="AK122" s="42" t="n"/>
      <c r="AL122" s="42" t="n"/>
      <c r="AM122" s="42" t="n"/>
      <c r="AN122" s="42" t="n"/>
      <c r="AO122" s="42" t="n"/>
      <c r="AP122" s="42" t="n"/>
      <c r="AQ122" s="42" t="n"/>
      <c r="AR122" s="38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5" t="n"/>
      <c r="Z123" s="157">
        <f>IF(OR(Y123="",X123=""),"",IFERROR(Y123*INDEX(FXRates[USD per unit],MATCH(X123,FXRates[Currency],0)),"No rate"))</f>
        <v/>
      </c>
      <c r="AA123" s="32" t="n"/>
      <c r="AB123" s="32" t="n"/>
      <c r="AC123" s="36">
        <f>IF(A123="","",IF(COUNTIF($A$6:$A$504,A123)&gt;1,"⚠ Duplicate",""))</f>
        <v/>
      </c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  <c r="AM123" s="43" t="n"/>
      <c r="AN123" s="43" t="n"/>
      <c r="AO123" s="43" t="n"/>
      <c r="AP123" s="43" t="n"/>
      <c r="AQ123" s="43" t="n"/>
      <c r="AR123" s="32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40" t="n"/>
      <c r="Z124" s="158">
        <f>IF(OR(Y124="",X124=""),"",IFERROR(Y124*INDEX(FXRates[USD per unit],MATCH(X124,FXRates[Currency],0)),"No rate"))</f>
        <v/>
      </c>
      <c r="AA124" s="38" t="n"/>
      <c r="AB124" s="38" t="n"/>
      <c r="AC124" s="41">
        <f>IF(A124="","",IF(COUNTIF($A$6:$A$504,A124)&gt;1,"⚠ Duplicate",""))</f>
        <v/>
      </c>
      <c r="AD124" s="42" t="n"/>
      <c r="AE124" s="42" t="n"/>
      <c r="AF124" s="42" t="n"/>
      <c r="AG124" s="42" t="n"/>
      <c r="AH124" s="42" t="n"/>
      <c r="AI124" s="42" t="n"/>
      <c r="AJ124" s="42" t="n"/>
      <c r="AK124" s="42" t="n"/>
      <c r="AL124" s="42" t="n"/>
      <c r="AM124" s="42" t="n"/>
      <c r="AN124" s="42" t="n"/>
      <c r="AO124" s="42" t="n"/>
      <c r="AP124" s="42" t="n"/>
      <c r="AQ124" s="42" t="n"/>
      <c r="AR124" s="38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5" t="n"/>
      <c r="Z125" s="157">
        <f>IF(OR(Y125="",X125=""),"",IFERROR(Y125*INDEX(FXRates[USD per unit],MATCH(X125,FXRates[Currency],0)),"No rate"))</f>
        <v/>
      </c>
      <c r="AA125" s="32" t="n"/>
      <c r="AB125" s="32" t="n"/>
      <c r="AC125" s="36">
        <f>IF(A125="","",IF(COUNTIF($A$6:$A$504,A125)&gt;1,"⚠ Duplicate",""))</f>
        <v/>
      </c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  <c r="AM125" s="43" t="n"/>
      <c r="AN125" s="43" t="n"/>
      <c r="AO125" s="43" t="n"/>
      <c r="AP125" s="43" t="n"/>
      <c r="AQ125" s="43" t="n"/>
      <c r="AR125" s="32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40" t="n"/>
      <c r="Z126" s="158">
        <f>IF(OR(Y126="",X126=""),"",IFERROR(Y126*INDEX(FXRates[USD per unit],MATCH(X126,FXRates[Currency],0)),"No rate"))</f>
        <v/>
      </c>
      <c r="AA126" s="38" t="n"/>
      <c r="AB126" s="38" t="n"/>
      <c r="AC126" s="41">
        <f>IF(A126="","",IF(COUNTIF($A$6:$A$504,A126)&gt;1,"⚠ Duplicate",""))</f>
        <v/>
      </c>
      <c r="AD126" s="42" t="n"/>
      <c r="AE126" s="42" t="n"/>
      <c r="AF126" s="42" t="n"/>
      <c r="AG126" s="42" t="n"/>
      <c r="AH126" s="42" t="n"/>
      <c r="AI126" s="42" t="n"/>
      <c r="AJ126" s="42" t="n"/>
      <c r="AK126" s="42" t="n"/>
      <c r="AL126" s="42" t="n"/>
      <c r="AM126" s="42" t="n"/>
      <c r="AN126" s="42" t="n"/>
      <c r="AO126" s="42" t="n"/>
      <c r="AP126" s="42" t="n"/>
      <c r="AQ126" s="42" t="n"/>
      <c r="AR126" s="38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5" t="n"/>
      <c r="Z127" s="157">
        <f>IF(OR(Y127="",X127=""),"",IFERROR(Y127*INDEX(FXRates[USD per unit],MATCH(X127,FXRates[Currency],0)),"No rate"))</f>
        <v/>
      </c>
      <c r="AA127" s="32" t="n"/>
      <c r="AB127" s="32" t="n"/>
      <c r="AC127" s="36">
        <f>IF(A127="","",IF(COUNTIF($A$6:$A$504,A127)&gt;1,"⚠ Duplicate",""))</f>
        <v/>
      </c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  <c r="AM127" s="43" t="n"/>
      <c r="AN127" s="43" t="n"/>
      <c r="AO127" s="43" t="n"/>
      <c r="AP127" s="43" t="n"/>
      <c r="AQ127" s="43" t="n"/>
      <c r="AR127" s="32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40" t="n"/>
      <c r="Z128" s="158">
        <f>IF(OR(Y128="",X128=""),"",IFERROR(Y128*INDEX(FXRates[USD per unit],MATCH(X128,FXRates[Currency],0)),"No rate"))</f>
        <v/>
      </c>
      <c r="AA128" s="38" t="n"/>
      <c r="AB128" s="38" t="n"/>
      <c r="AC128" s="41">
        <f>IF(A128="","",IF(COUNTIF($A$6:$A$504,A128)&gt;1,"⚠ Duplicate",""))</f>
        <v/>
      </c>
      <c r="AD128" s="42" t="n"/>
      <c r="AE128" s="42" t="n"/>
      <c r="AF128" s="42" t="n"/>
      <c r="AG128" s="42" t="n"/>
      <c r="AH128" s="42" t="n"/>
      <c r="AI128" s="42" t="n"/>
      <c r="AJ128" s="42" t="n"/>
      <c r="AK128" s="42" t="n"/>
      <c r="AL128" s="42" t="n"/>
      <c r="AM128" s="42" t="n"/>
      <c r="AN128" s="42" t="n"/>
      <c r="AO128" s="42" t="n"/>
      <c r="AP128" s="42" t="n"/>
      <c r="AQ128" s="42" t="n"/>
      <c r="AR128" s="38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5" t="n"/>
      <c r="Z129" s="157">
        <f>IF(OR(Y129="",X129=""),"",IFERROR(Y129*INDEX(FXRates[USD per unit],MATCH(X129,FXRates[Currency],0)),"No rate"))</f>
        <v/>
      </c>
      <c r="AA129" s="32" t="n"/>
      <c r="AB129" s="32" t="n"/>
      <c r="AC129" s="36">
        <f>IF(A129="","",IF(COUNTIF($A$6:$A$504,A129)&gt;1,"⚠ Duplicate",""))</f>
        <v/>
      </c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  <c r="AM129" s="43" t="n"/>
      <c r="AN129" s="43" t="n"/>
      <c r="AO129" s="43" t="n"/>
      <c r="AP129" s="43" t="n"/>
      <c r="AQ129" s="43" t="n"/>
      <c r="AR129" s="32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40" t="n"/>
      <c r="Z130" s="158">
        <f>IF(OR(Y130="",X130=""),"",IFERROR(Y130*INDEX(FXRates[USD per unit],MATCH(X130,FXRates[Currency],0)),"No rate"))</f>
        <v/>
      </c>
      <c r="AA130" s="38" t="n"/>
      <c r="AB130" s="38" t="n"/>
      <c r="AC130" s="41">
        <f>IF(A130="","",IF(COUNTIF($A$6:$A$504,A130)&gt;1,"⚠ Duplicate",""))</f>
        <v/>
      </c>
      <c r="AD130" s="42" t="n"/>
      <c r="AE130" s="42" t="n"/>
      <c r="AF130" s="42" t="n"/>
      <c r="AG130" s="42" t="n"/>
      <c r="AH130" s="42" t="n"/>
      <c r="AI130" s="42" t="n"/>
      <c r="AJ130" s="42" t="n"/>
      <c r="AK130" s="42" t="n"/>
      <c r="AL130" s="42" t="n"/>
      <c r="AM130" s="42" t="n"/>
      <c r="AN130" s="42" t="n"/>
      <c r="AO130" s="42" t="n"/>
      <c r="AP130" s="42" t="n"/>
      <c r="AQ130" s="42" t="n"/>
      <c r="AR130" s="38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5" t="n"/>
      <c r="Z131" s="157">
        <f>IF(OR(Y131="",X131=""),"",IFERROR(Y131*INDEX(FXRates[USD per unit],MATCH(X131,FXRates[Currency],0)),"No rate"))</f>
        <v/>
      </c>
      <c r="AA131" s="32" t="n"/>
      <c r="AB131" s="32" t="n"/>
      <c r="AC131" s="36">
        <f>IF(A131="","",IF(COUNTIF($A$6:$A$504,A131)&gt;1,"⚠ Duplicate",""))</f>
        <v/>
      </c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  <c r="AM131" s="43" t="n"/>
      <c r="AN131" s="43" t="n"/>
      <c r="AO131" s="43" t="n"/>
      <c r="AP131" s="43" t="n"/>
      <c r="AQ131" s="43" t="n"/>
      <c r="AR131" s="32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40" t="n"/>
      <c r="Z132" s="158">
        <f>IF(OR(Y132="",X132=""),"",IFERROR(Y132*INDEX(FXRates[USD per unit],MATCH(X132,FXRates[Currency],0)),"No rate"))</f>
        <v/>
      </c>
      <c r="AA132" s="38" t="n"/>
      <c r="AB132" s="38" t="n"/>
      <c r="AC132" s="41">
        <f>IF(A132="","",IF(COUNTIF($A$6:$A$504,A132)&gt;1,"⚠ Duplicate",""))</f>
        <v/>
      </c>
      <c r="AD132" s="42" t="n"/>
      <c r="AE132" s="42" t="n"/>
      <c r="AF132" s="42" t="n"/>
      <c r="AG132" s="42" t="n"/>
      <c r="AH132" s="42" t="n"/>
      <c r="AI132" s="42" t="n"/>
      <c r="AJ132" s="42" t="n"/>
      <c r="AK132" s="42" t="n"/>
      <c r="AL132" s="42" t="n"/>
      <c r="AM132" s="42" t="n"/>
      <c r="AN132" s="42" t="n"/>
      <c r="AO132" s="42" t="n"/>
      <c r="AP132" s="42" t="n"/>
      <c r="AQ132" s="42" t="n"/>
      <c r="AR132" s="38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5" t="n"/>
      <c r="Z133" s="157">
        <f>IF(OR(Y133="",X133=""),"",IFERROR(Y133*INDEX(FXRates[USD per unit],MATCH(X133,FXRates[Currency],0)),"No rate"))</f>
        <v/>
      </c>
      <c r="AA133" s="32" t="n"/>
      <c r="AB133" s="32" t="n"/>
      <c r="AC133" s="36">
        <f>IF(A133="","",IF(COUNTIF($A$6:$A$504,A133)&gt;1,"⚠ Duplicate",""))</f>
        <v/>
      </c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  <c r="AM133" s="43" t="n"/>
      <c r="AN133" s="43" t="n"/>
      <c r="AO133" s="43" t="n"/>
      <c r="AP133" s="43" t="n"/>
      <c r="AQ133" s="43" t="n"/>
      <c r="AR133" s="32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40" t="n"/>
      <c r="Z134" s="158">
        <f>IF(OR(Y134="",X134=""),"",IFERROR(Y134*INDEX(FXRates[USD per unit],MATCH(X134,FXRates[Currency],0)),"No rate"))</f>
        <v/>
      </c>
      <c r="AA134" s="38" t="n"/>
      <c r="AB134" s="38" t="n"/>
      <c r="AC134" s="41">
        <f>IF(A134="","",IF(COUNTIF($A$6:$A$504,A134)&gt;1,"⚠ Duplicate",""))</f>
        <v/>
      </c>
      <c r="AD134" s="42" t="n"/>
      <c r="AE134" s="42" t="n"/>
      <c r="AF134" s="42" t="n"/>
      <c r="AG134" s="42" t="n"/>
      <c r="AH134" s="42" t="n"/>
      <c r="AI134" s="42" t="n"/>
      <c r="AJ134" s="42" t="n"/>
      <c r="AK134" s="42" t="n"/>
      <c r="AL134" s="42" t="n"/>
      <c r="AM134" s="42" t="n"/>
      <c r="AN134" s="42" t="n"/>
      <c r="AO134" s="42" t="n"/>
      <c r="AP134" s="42" t="n"/>
      <c r="AQ134" s="42" t="n"/>
      <c r="AR134" s="38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5" t="n"/>
      <c r="Z135" s="157">
        <f>IF(OR(Y135="",X135=""),"",IFERROR(Y135*INDEX(FXRates[USD per unit],MATCH(X135,FXRates[Currency],0)),"No rate"))</f>
        <v/>
      </c>
      <c r="AA135" s="32" t="n"/>
      <c r="AB135" s="32" t="n"/>
      <c r="AC135" s="36">
        <f>IF(A135="","",IF(COUNTIF($A$6:$A$504,A135)&gt;1,"⚠ Duplicate",""))</f>
        <v/>
      </c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  <c r="AM135" s="43" t="n"/>
      <c r="AN135" s="43" t="n"/>
      <c r="AO135" s="43" t="n"/>
      <c r="AP135" s="43" t="n"/>
      <c r="AQ135" s="43" t="n"/>
      <c r="AR135" s="32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40" t="n"/>
      <c r="Z136" s="158">
        <f>IF(OR(Y136="",X136=""),"",IFERROR(Y136*INDEX(FXRates[USD per unit],MATCH(X136,FXRates[Currency],0)),"No rate"))</f>
        <v/>
      </c>
      <c r="AA136" s="38" t="n"/>
      <c r="AB136" s="38" t="n"/>
      <c r="AC136" s="41">
        <f>IF(A136="","",IF(COUNTIF($A$6:$A$504,A136)&gt;1,"⚠ Duplicate",""))</f>
        <v/>
      </c>
      <c r="AD136" s="42" t="n"/>
      <c r="AE136" s="42" t="n"/>
      <c r="AF136" s="42" t="n"/>
      <c r="AG136" s="42" t="n"/>
      <c r="AH136" s="42" t="n"/>
      <c r="AI136" s="42" t="n"/>
      <c r="AJ136" s="42" t="n"/>
      <c r="AK136" s="42" t="n"/>
      <c r="AL136" s="42" t="n"/>
      <c r="AM136" s="42" t="n"/>
      <c r="AN136" s="42" t="n"/>
      <c r="AO136" s="42" t="n"/>
      <c r="AP136" s="42" t="n"/>
      <c r="AQ136" s="42" t="n"/>
      <c r="AR136" s="38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5" t="n"/>
      <c r="Z137" s="157">
        <f>IF(OR(Y137="",X137=""),"",IFERROR(Y137*INDEX(FXRates[USD per unit],MATCH(X137,FXRates[Currency],0)),"No rate"))</f>
        <v/>
      </c>
      <c r="AA137" s="32" t="n"/>
      <c r="AB137" s="32" t="n"/>
      <c r="AC137" s="36">
        <f>IF(A137="","",IF(COUNTIF($A$6:$A$504,A137)&gt;1,"⚠ Duplicate",""))</f>
        <v/>
      </c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  <c r="AM137" s="43" t="n"/>
      <c r="AN137" s="43" t="n"/>
      <c r="AO137" s="43" t="n"/>
      <c r="AP137" s="43" t="n"/>
      <c r="AQ137" s="43" t="n"/>
      <c r="AR137" s="32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40" t="n"/>
      <c r="Z138" s="158">
        <f>IF(OR(Y138="",X138=""),"",IFERROR(Y138*INDEX(FXRates[USD per unit],MATCH(X138,FXRates[Currency],0)),"No rate"))</f>
        <v/>
      </c>
      <c r="AA138" s="38" t="n"/>
      <c r="AB138" s="38" t="n"/>
      <c r="AC138" s="41">
        <f>IF(A138="","",IF(COUNTIF($A$6:$A$504,A138)&gt;1,"⚠ Duplicate",""))</f>
        <v/>
      </c>
      <c r="AD138" s="42" t="n"/>
      <c r="AE138" s="42" t="n"/>
      <c r="AF138" s="42" t="n"/>
      <c r="AG138" s="42" t="n"/>
      <c r="AH138" s="42" t="n"/>
      <c r="AI138" s="42" t="n"/>
      <c r="AJ138" s="42" t="n"/>
      <c r="AK138" s="42" t="n"/>
      <c r="AL138" s="42" t="n"/>
      <c r="AM138" s="42" t="n"/>
      <c r="AN138" s="42" t="n"/>
      <c r="AO138" s="42" t="n"/>
      <c r="AP138" s="42" t="n"/>
      <c r="AQ138" s="42" t="n"/>
      <c r="AR138" s="38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5" t="n"/>
      <c r="Z139" s="157">
        <f>IF(OR(Y139="",X139=""),"",IFERROR(Y139*INDEX(FXRates[USD per unit],MATCH(X139,FXRates[Currency],0)),"No rate"))</f>
        <v/>
      </c>
      <c r="AA139" s="32" t="n"/>
      <c r="AB139" s="32" t="n"/>
      <c r="AC139" s="36">
        <f>IF(A139="","",IF(COUNTIF($A$6:$A$504,A139)&gt;1,"⚠ Duplicate",""))</f>
        <v/>
      </c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  <c r="AM139" s="43" t="n"/>
      <c r="AN139" s="43" t="n"/>
      <c r="AO139" s="43" t="n"/>
      <c r="AP139" s="43" t="n"/>
      <c r="AQ139" s="43" t="n"/>
      <c r="AR139" s="32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40" t="n"/>
      <c r="Z140" s="158">
        <f>IF(OR(Y140="",X140=""),"",IFERROR(Y140*INDEX(FXRates[USD per unit],MATCH(X140,FXRates[Currency],0)),"No rate"))</f>
        <v/>
      </c>
      <c r="AA140" s="38" t="n"/>
      <c r="AB140" s="38" t="n"/>
      <c r="AC140" s="41">
        <f>IF(A140="","",IF(COUNTIF($A$6:$A$504,A140)&gt;1,"⚠ Duplicate",""))</f>
        <v/>
      </c>
      <c r="AD140" s="42" t="n"/>
      <c r="AE140" s="42" t="n"/>
      <c r="AF140" s="42" t="n"/>
      <c r="AG140" s="42" t="n"/>
      <c r="AH140" s="42" t="n"/>
      <c r="AI140" s="42" t="n"/>
      <c r="AJ140" s="42" t="n"/>
      <c r="AK140" s="42" t="n"/>
      <c r="AL140" s="42" t="n"/>
      <c r="AM140" s="42" t="n"/>
      <c r="AN140" s="42" t="n"/>
      <c r="AO140" s="42" t="n"/>
      <c r="AP140" s="42" t="n"/>
      <c r="AQ140" s="42" t="n"/>
      <c r="AR140" s="38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5" t="n"/>
      <c r="Z141" s="157">
        <f>IF(OR(Y141="",X141=""),"",IFERROR(Y141*INDEX(FXRates[USD per unit],MATCH(X141,FXRates[Currency],0)),"No rate"))</f>
        <v/>
      </c>
      <c r="AA141" s="32" t="n"/>
      <c r="AB141" s="32" t="n"/>
      <c r="AC141" s="36">
        <f>IF(A141="","",IF(COUNTIF($A$6:$A$504,A141)&gt;1,"⚠ Duplicate",""))</f>
        <v/>
      </c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  <c r="AM141" s="43" t="n"/>
      <c r="AN141" s="43" t="n"/>
      <c r="AO141" s="43" t="n"/>
      <c r="AP141" s="43" t="n"/>
      <c r="AQ141" s="43" t="n"/>
      <c r="AR141" s="32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40" t="n"/>
      <c r="Z142" s="158">
        <f>IF(OR(Y142="",X142=""),"",IFERROR(Y142*INDEX(FXRates[USD per unit],MATCH(X142,FXRates[Currency],0)),"No rate"))</f>
        <v/>
      </c>
      <c r="AA142" s="38" t="n"/>
      <c r="AB142" s="38" t="n"/>
      <c r="AC142" s="41">
        <f>IF(A142="","",IF(COUNTIF($A$6:$A$504,A142)&gt;1,"⚠ Duplicate",""))</f>
        <v/>
      </c>
      <c r="AD142" s="42" t="n"/>
      <c r="AE142" s="42" t="n"/>
      <c r="AF142" s="42" t="n"/>
      <c r="AG142" s="42" t="n"/>
      <c r="AH142" s="42" t="n"/>
      <c r="AI142" s="42" t="n"/>
      <c r="AJ142" s="42" t="n"/>
      <c r="AK142" s="42" t="n"/>
      <c r="AL142" s="42" t="n"/>
      <c r="AM142" s="42" t="n"/>
      <c r="AN142" s="42" t="n"/>
      <c r="AO142" s="42" t="n"/>
      <c r="AP142" s="42" t="n"/>
      <c r="AQ142" s="42" t="n"/>
      <c r="AR142" s="38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5" t="n"/>
      <c r="Z143" s="157">
        <f>IF(OR(Y143="",X143=""),"",IFERROR(Y143*INDEX(FXRates[USD per unit],MATCH(X143,FXRates[Currency],0)),"No rate"))</f>
        <v/>
      </c>
      <c r="AA143" s="32" t="n"/>
      <c r="AB143" s="32" t="n"/>
      <c r="AC143" s="36">
        <f>IF(A143="","",IF(COUNTIF($A$6:$A$504,A143)&gt;1,"⚠ Duplicate",""))</f>
        <v/>
      </c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  <c r="AM143" s="43" t="n"/>
      <c r="AN143" s="43" t="n"/>
      <c r="AO143" s="43" t="n"/>
      <c r="AP143" s="43" t="n"/>
      <c r="AQ143" s="43" t="n"/>
      <c r="AR143" s="32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40" t="n"/>
      <c r="Z144" s="158">
        <f>IF(OR(Y144="",X144=""),"",IFERROR(Y144*INDEX(FXRates[USD per unit],MATCH(X144,FXRates[Currency],0)),"No rate"))</f>
        <v/>
      </c>
      <c r="AA144" s="38" t="n"/>
      <c r="AB144" s="38" t="n"/>
      <c r="AC144" s="41">
        <f>IF(A144="","",IF(COUNTIF($A$6:$A$504,A144)&gt;1,"⚠ Duplicate",""))</f>
        <v/>
      </c>
      <c r="AD144" s="42" t="n"/>
      <c r="AE144" s="42" t="n"/>
      <c r="AF144" s="42" t="n"/>
      <c r="AG144" s="42" t="n"/>
      <c r="AH144" s="42" t="n"/>
      <c r="AI144" s="42" t="n"/>
      <c r="AJ144" s="42" t="n"/>
      <c r="AK144" s="42" t="n"/>
      <c r="AL144" s="42" t="n"/>
      <c r="AM144" s="42" t="n"/>
      <c r="AN144" s="42" t="n"/>
      <c r="AO144" s="42" t="n"/>
      <c r="AP144" s="42" t="n"/>
      <c r="AQ144" s="42" t="n"/>
      <c r="AR144" s="38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5" t="n"/>
      <c r="Z145" s="157">
        <f>IF(OR(Y145="",X145=""),"",IFERROR(Y145*INDEX(FXRates[USD per unit],MATCH(X145,FXRates[Currency],0)),"No rate"))</f>
        <v/>
      </c>
      <c r="AA145" s="32" t="n"/>
      <c r="AB145" s="32" t="n"/>
      <c r="AC145" s="36">
        <f>IF(A145="","",IF(COUNTIF($A$6:$A$504,A145)&gt;1,"⚠ Duplicate",""))</f>
        <v/>
      </c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  <c r="AM145" s="43" t="n"/>
      <c r="AN145" s="43" t="n"/>
      <c r="AO145" s="43" t="n"/>
      <c r="AP145" s="43" t="n"/>
      <c r="AQ145" s="43" t="n"/>
      <c r="AR145" s="32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40" t="n"/>
      <c r="Z146" s="158">
        <f>IF(OR(Y146="",X146=""),"",IFERROR(Y146*INDEX(FXRates[USD per unit],MATCH(X146,FXRates[Currency],0)),"No rate"))</f>
        <v/>
      </c>
      <c r="AA146" s="38" t="n"/>
      <c r="AB146" s="38" t="n"/>
      <c r="AC146" s="41">
        <f>IF(A146="","",IF(COUNTIF($A$6:$A$504,A146)&gt;1,"⚠ Duplicate",""))</f>
        <v/>
      </c>
      <c r="AD146" s="42" t="n"/>
      <c r="AE146" s="42" t="n"/>
      <c r="AF146" s="42" t="n"/>
      <c r="AG146" s="42" t="n"/>
      <c r="AH146" s="42" t="n"/>
      <c r="AI146" s="42" t="n"/>
      <c r="AJ146" s="42" t="n"/>
      <c r="AK146" s="42" t="n"/>
      <c r="AL146" s="42" t="n"/>
      <c r="AM146" s="42" t="n"/>
      <c r="AN146" s="42" t="n"/>
      <c r="AO146" s="42" t="n"/>
      <c r="AP146" s="42" t="n"/>
      <c r="AQ146" s="42" t="n"/>
      <c r="AR146" s="38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5" t="n"/>
      <c r="Z147" s="157">
        <f>IF(OR(Y147="",X147=""),"",IFERROR(Y147*INDEX(FXRates[USD per unit],MATCH(X147,FXRates[Currency],0)),"No rate"))</f>
        <v/>
      </c>
      <c r="AA147" s="32" t="n"/>
      <c r="AB147" s="32" t="n"/>
      <c r="AC147" s="36">
        <f>IF(A147="","",IF(COUNTIF($A$6:$A$504,A147)&gt;1,"⚠ Duplicate",""))</f>
        <v/>
      </c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  <c r="AM147" s="43" t="n"/>
      <c r="AN147" s="43" t="n"/>
      <c r="AO147" s="43" t="n"/>
      <c r="AP147" s="43" t="n"/>
      <c r="AQ147" s="43" t="n"/>
      <c r="AR147" s="32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40" t="n"/>
      <c r="Z148" s="158">
        <f>IF(OR(Y148="",X148=""),"",IFERROR(Y148*INDEX(FXRates[USD per unit],MATCH(X148,FXRates[Currency],0)),"No rate"))</f>
        <v/>
      </c>
      <c r="AA148" s="38" t="n"/>
      <c r="AB148" s="38" t="n"/>
      <c r="AC148" s="41">
        <f>IF(A148="","",IF(COUNTIF($A$6:$A$504,A148)&gt;1,"⚠ Duplicate",""))</f>
        <v/>
      </c>
      <c r="AD148" s="42" t="n"/>
      <c r="AE148" s="42" t="n"/>
      <c r="AF148" s="42" t="n"/>
      <c r="AG148" s="42" t="n"/>
      <c r="AH148" s="42" t="n"/>
      <c r="AI148" s="42" t="n"/>
      <c r="AJ148" s="42" t="n"/>
      <c r="AK148" s="42" t="n"/>
      <c r="AL148" s="42" t="n"/>
      <c r="AM148" s="42" t="n"/>
      <c r="AN148" s="42" t="n"/>
      <c r="AO148" s="42" t="n"/>
      <c r="AP148" s="42" t="n"/>
      <c r="AQ148" s="42" t="n"/>
      <c r="AR148" s="38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5" t="n"/>
      <c r="Z149" s="157">
        <f>IF(OR(Y149="",X149=""),"",IFERROR(Y149*INDEX(FXRates[USD per unit],MATCH(X149,FXRates[Currency],0)),"No rate"))</f>
        <v/>
      </c>
      <c r="AA149" s="32" t="n"/>
      <c r="AB149" s="32" t="n"/>
      <c r="AC149" s="36">
        <f>IF(A149="","",IF(COUNTIF($A$6:$A$504,A149)&gt;1,"⚠ Duplicate",""))</f>
        <v/>
      </c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  <c r="AM149" s="43" t="n"/>
      <c r="AN149" s="43" t="n"/>
      <c r="AO149" s="43" t="n"/>
      <c r="AP149" s="43" t="n"/>
      <c r="AQ149" s="43" t="n"/>
      <c r="AR149" s="32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40" t="n"/>
      <c r="Z150" s="158">
        <f>IF(OR(Y150="",X150=""),"",IFERROR(Y150*INDEX(FXRates[USD per unit],MATCH(X150,FXRates[Currency],0)),"No rate"))</f>
        <v/>
      </c>
      <c r="AA150" s="38" t="n"/>
      <c r="AB150" s="38" t="n"/>
      <c r="AC150" s="41">
        <f>IF(A150="","",IF(COUNTIF($A$6:$A$504,A150)&gt;1,"⚠ Duplicate",""))</f>
        <v/>
      </c>
      <c r="AD150" s="42" t="n"/>
      <c r="AE150" s="42" t="n"/>
      <c r="AF150" s="42" t="n"/>
      <c r="AG150" s="42" t="n"/>
      <c r="AH150" s="42" t="n"/>
      <c r="AI150" s="42" t="n"/>
      <c r="AJ150" s="42" t="n"/>
      <c r="AK150" s="42" t="n"/>
      <c r="AL150" s="42" t="n"/>
      <c r="AM150" s="42" t="n"/>
      <c r="AN150" s="42" t="n"/>
      <c r="AO150" s="42" t="n"/>
      <c r="AP150" s="42" t="n"/>
      <c r="AQ150" s="42" t="n"/>
      <c r="AR150" s="38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5" t="n"/>
      <c r="Z151" s="157">
        <f>IF(OR(Y151="",X151=""),"",IFERROR(Y151*INDEX(FXRates[USD per unit],MATCH(X151,FXRates[Currency],0)),"No rate"))</f>
        <v/>
      </c>
      <c r="AA151" s="32" t="n"/>
      <c r="AB151" s="32" t="n"/>
      <c r="AC151" s="36">
        <f>IF(A151="","",IF(COUNTIF($A$6:$A$504,A151)&gt;1,"⚠ Duplicate",""))</f>
        <v/>
      </c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  <c r="AM151" s="43" t="n"/>
      <c r="AN151" s="43" t="n"/>
      <c r="AO151" s="43" t="n"/>
      <c r="AP151" s="43" t="n"/>
      <c r="AQ151" s="43" t="n"/>
      <c r="AR151" s="32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40" t="n"/>
      <c r="Z152" s="158">
        <f>IF(OR(Y152="",X152=""),"",IFERROR(Y152*INDEX(FXRates[USD per unit],MATCH(X152,FXRates[Currency],0)),"No rate"))</f>
        <v/>
      </c>
      <c r="AA152" s="38" t="n"/>
      <c r="AB152" s="38" t="n"/>
      <c r="AC152" s="41">
        <f>IF(A152="","",IF(COUNTIF($A$6:$A$504,A152)&gt;1,"⚠ Duplicate",""))</f>
        <v/>
      </c>
      <c r="AD152" s="42" t="n"/>
      <c r="AE152" s="42" t="n"/>
      <c r="AF152" s="42" t="n"/>
      <c r="AG152" s="42" t="n"/>
      <c r="AH152" s="42" t="n"/>
      <c r="AI152" s="42" t="n"/>
      <c r="AJ152" s="42" t="n"/>
      <c r="AK152" s="42" t="n"/>
      <c r="AL152" s="42" t="n"/>
      <c r="AM152" s="42" t="n"/>
      <c r="AN152" s="42" t="n"/>
      <c r="AO152" s="42" t="n"/>
      <c r="AP152" s="42" t="n"/>
      <c r="AQ152" s="42" t="n"/>
      <c r="AR152" s="38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5" t="n"/>
      <c r="Z153" s="157">
        <f>IF(OR(Y153="",X153=""),"",IFERROR(Y153*INDEX(FXRates[USD per unit],MATCH(X153,FXRates[Currency],0)),"No rate"))</f>
        <v/>
      </c>
      <c r="AA153" s="32" t="n"/>
      <c r="AB153" s="32" t="n"/>
      <c r="AC153" s="36">
        <f>IF(A153="","",IF(COUNTIF($A$6:$A$504,A153)&gt;1,"⚠ Duplicate",""))</f>
        <v/>
      </c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  <c r="AM153" s="43" t="n"/>
      <c r="AN153" s="43" t="n"/>
      <c r="AO153" s="43" t="n"/>
      <c r="AP153" s="43" t="n"/>
      <c r="AQ153" s="43" t="n"/>
      <c r="AR153" s="32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40" t="n"/>
      <c r="Z154" s="158">
        <f>IF(OR(Y154="",X154=""),"",IFERROR(Y154*INDEX(FXRates[USD per unit],MATCH(X154,FXRates[Currency],0)),"No rate"))</f>
        <v/>
      </c>
      <c r="AA154" s="38" t="n"/>
      <c r="AB154" s="38" t="n"/>
      <c r="AC154" s="41">
        <f>IF(A154="","",IF(COUNTIF($A$6:$A$504,A154)&gt;1,"⚠ Duplicate",""))</f>
        <v/>
      </c>
      <c r="AD154" s="42" t="n"/>
      <c r="AE154" s="42" t="n"/>
      <c r="AF154" s="42" t="n"/>
      <c r="AG154" s="42" t="n"/>
      <c r="AH154" s="42" t="n"/>
      <c r="AI154" s="42" t="n"/>
      <c r="AJ154" s="42" t="n"/>
      <c r="AK154" s="42" t="n"/>
      <c r="AL154" s="42" t="n"/>
      <c r="AM154" s="42" t="n"/>
      <c r="AN154" s="42" t="n"/>
      <c r="AO154" s="42" t="n"/>
      <c r="AP154" s="42" t="n"/>
      <c r="AQ154" s="42" t="n"/>
      <c r="AR154" s="38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5" t="n"/>
      <c r="Z155" s="157">
        <f>IF(OR(Y155="",X155=""),"",IFERROR(Y155*INDEX(FXRates[USD per unit],MATCH(X155,FXRates[Currency],0)),"No rate"))</f>
        <v/>
      </c>
      <c r="AA155" s="32" t="n"/>
      <c r="AB155" s="32" t="n"/>
      <c r="AC155" s="36">
        <f>IF(A155="","",IF(COUNTIF($A$6:$A$504,A155)&gt;1,"⚠ Duplicate",""))</f>
        <v/>
      </c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  <c r="AM155" s="43" t="n"/>
      <c r="AN155" s="43" t="n"/>
      <c r="AO155" s="43" t="n"/>
      <c r="AP155" s="43" t="n"/>
      <c r="AQ155" s="43" t="n"/>
      <c r="AR155" s="32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40" t="n"/>
      <c r="Z156" s="158">
        <f>IF(OR(Y156="",X156=""),"",IFERROR(Y156*INDEX(FXRates[USD per unit],MATCH(X156,FXRates[Currency],0)),"No rate"))</f>
        <v/>
      </c>
      <c r="AA156" s="38" t="n"/>
      <c r="AB156" s="38" t="n"/>
      <c r="AC156" s="41">
        <f>IF(A156="","",IF(COUNTIF($A$6:$A$504,A156)&gt;1,"⚠ Duplicate",""))</f>
        <v/>
      </c>
      <c r="AD156" s="42" t="n"/>
      <c r="AE156" s="42" t="n"/>
      <c r="AF156" s="42" t="n"/>
      <c r="AG156" s="42" t="n"/>
      <c r="AH156" s="42" t="n"/>
      <c r="AI156" s="42" t="n"/>
      <c r="AJ156" s="42" t="n"/>
      <c r="AK156" s="42" t="n"/>
      <c r="AL156" s="42" t="n"/>
      <c r="AM156" s="42" t="n"/>
      <c r="AN156" s="42" t="n"/>
      <c r="AO156" s="42" t="n"/>
      <c r="AP156" s="42" t="n"/>
      <c r="AQ156" s="42" t="n"/>
      <c r="AR156" s="38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5" t="n"/>
      <c r="Z157" s="157">
        <f>IF(OR(Y157="",X157=""),"",IFERROR(Y157*INDEX(FXRates[USD per unit],MATCH(X157,FXRates[Currency],0)),"No rate"))</f>
        <v/>
      </c>
      <c r="AA157" s="32" t="n"/>
      <c r="AB157" s="32" t="n"/>
      <c r="AC157" s="36">
        <f>IF(A157="","",IF(COUNTIF($A$6:$A$504,A157)&gt;1,"⚠ Duplicate",""))</f>
        <v/>
      </c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  <c r="AM157" s="43" t="n"/>
      <c r="AN157" s="43" t="n"/>
      <c r="AO157" s="43" t="n"/>
      <c r="AP157" s="43" t="n"/>
      <c r="AQ157" s="43" t="n"/>
      <c r="AR157" s="32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40" t="n"/>
      <c r="Z158" s="158">
        <f>IF(OR(Y158="",X158=""),"",IFERROR(Y158*INDEX(FXRates[USD per unit],MATCH(X158,FXRates[Currency],0)),"No rate"))</f>
        <v/>
      </c>
      <c r="AA158" s="38" t="n"/>
      <c r="AB158" s="38" t="n"/>
      <c r="AC158" s="41">
        <f>IF(A158="","",IF(COUNTIF($A$6:$A$504,A158)&gt;1,"⚠ Duplicate",""))</f>
        <v/>
      </c>
      <c r="AD158" s="42" t="n"/>
      <c r="AE158" s="42" t="n"/>
      <c r="AF158" s="42" t="n"/>
      <c r="AG158" s="42" t="n"/>
      <c r="AH158" s="42" t="n"/>
      <c r="AI158" s="42" t="n"/>
      <c r="AJ158" s="42" t="n"/>
      <c r="AK158" s="42" t="n"/>
      <c r="AL158" s="42" t="n"/>
      <c r="AM158" s="42" t="n"/>
      <c r="AN158" s="42" t="n"/>
      <c r="AO158" s="42" t="n"/>
      <c r="AP158" s="42" t="n"/>
      <c r="AQ158" s="42" t="n"/>
      <c r="AR158" s="38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5" t="n"/>
      <c r="Z159" s="157">
        <f>IF(OR(Y159="",X159=""),"",IFERROR(Y159*INDEX(FXRates[USD per unit],MATCH(X159,FXRates[Currency],0)),"No rate"))</f>
        <v/>
      </c>
      <c r="AA159" s="32" t="n"/>
      <c r="AB159" s="32" t="n"/>
      <c r="AC159" s="36">
        <f>IF(A159="","",IF(COUNTIF($A$6:$A$504,A159)&gt;1,"⚠ Duplicate",""))</f>
        <v/>
      </c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  <c r="AM159" s="43" t="n"/>
      <c r="AN159" s="43" t="n"/>
      <c r="AO159" s="43" t="n"/>
      <c r="AP159" s="43" t="n"/>
      <c r="AQ159" s="43" t="n"/>
      <c r="AR159" s="32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40" t="n"/>
      <c r="Z160" s="158">
        <f>IF(OR(Y160="",X160=""),"",IFERROR(Y160*INDEX(FXRates[USD per unit],MATCH(X160,FXRates[Currency],0)),"No rate"))</f>
        <v/>
      </c>
      <c r="AA160" s="38" t="n"/>
      <c r="AB160" s="38" t="n"/>
      <c r="AC160" s="41">
        <f>IF(A160="","",IF(COUNTIF($A$6:$A$504,A160)&gt;1,"⚠ Duplicate",""))</f>
        <v/>
      </c>
      <c r="AD160" s="42" t="n"/>
      <c r="AE160" s="42" t="n"/>
      <c r="AF160" s="42" t="n"/>
      <c r="AG160" s="42" t="n"/>
      <c r="AH160" s="42" t="n"/>
      <c r="AI160" s="42" t="n"/>
      <c r="AJ160" s="42" t="n"/>
      <c r="AK160" s="42" t="n"/>
      <c r="AL160" s="42" t="n"/>
      <c r="AM160" s="42" t="n"/>
      <c r="AN160" s="42" t="n"/>
      <c r="AO160" s="42" t="n"/>
      <c r="AP160" s="42" t="n"/>
      <c r="AQ160" s="42" t="n"/>
      <c r="AR160" s="38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5" t="n"/>
      <c r="Z161" s="157">
        <f>IF(OR(Y161="",X161=""),"",IFERROR(Y161*INDEX(FXRates[USD per unit],MATCH(X161,FXRates[Currency],0)),"No rate"))</f>
        <v/>
      </c>
      <c r="AA161" s="32" t="n"/>
      <c r="AB161" s="32" t="n"/>
      <c r="AC161" s="36">
        <f>IF(A161="","",IF(COUNTIF($A$6:$A$504,A161)&gt;1,"⚠ Duplicate",""))</f>
        <v/>
      </c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  <c r="AM161" s="43" t="n"/>
      <c r="AN161" s="43" t="n"/>
      <c r="AO161" s="43" t="n"/>
      <c r="AP161" s="43" t="n"/>
      <c r="AQ161" s="43" t="n"/>
      <c r="AR161" s="32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40" t="n"/>
      <c r="Z162" s="158">
        <f>IF(OR(Y162="",X162=""),"",IFERROR(Y162*INDEX(FXRates[USD per unit],MATCH(X162,FXRates[Currency],0)),"No rate"))</f>
        <v/>
      </c>
      <c r="AA162" s="38" t="n"/>
      <c r="AB162" s="38" t="n"/>
      <c r="AC162" s="41">
        <f>IF(A162="","",IF(COUNTIF($A$6:$A$504,A162)&gt;1,"⚠ Duplicate",""))</f>
        <v/>
      </c>
      <c r="AD162" s="42" t="n"/>
      <c r="AE162" s="42" t="n"/>
      <c r="AF162" s="42" t="n"/>
      <c r="AG162" s="42" t="n"/>
      <c r="AH162" s="42" t="n"/>
      <c r="AI162" s="42" t="n"/>
      <c r="AJ162" s="42" t="n"/>
      <c r="AK162" s="42" t="n"/>
      <c r="AL162" s="42" t="n"/>
      <c r="AM162" s="42" t="n"/>
      <c r="AN162" s="42" t="n"/>
      <c r="AO162" s="42" t="n"/>
      <c r="AP162" s="42" t="n"/>
      <c r="AQ162" s="42" t="n"/>
      <c r="AR162" s="38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5" t="n"/>
      <c r="Z163" s="157">
        <f>IF(OR(Y163="",X163=""),"",IFERROR(Y163*INDEX(FXRates[USD per unit],MATCH(X163,FXRates[Currency],0)),"No rate"))</f>
        <v/>
      </c>
      <c r="AA163" s="32" t="n"/>
      <c r="AB163" s="32" t="n"/>
      <c r="AC163" s="36">
        <f>IF(A163="","",IF(COUNTIF($A$6:$A$504,A163)&gt;1,"⚠ Duplicate",""))</f>
        <v/>
      </c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  <c r="AM163" s="43" t="n"/>
      <c r="AN163" s="43" t="n"/>
      <c r="AO163" s="43" t="n"/>
      <c r="AP163" s="43" t="n"/>
      <c r="AQ163" s="43" t="n"/>
      <c r="AR163" s="32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40" t="n"/>
      <c r="Z164" s="158">
        <f>IF(OR(Y164="",X164=""),"",IFERROR(Y164*INDEX(FXRates[USD per unit],MATCH(X164,FXRates[Currency],0)),"No rate"))</f>
        <v/>
      </c>
      <c r="AA164" s="38" t="n"/>
      <c r="AB164" s="38" t="n"/>
      <c r="AC164" s="41">
        <f>IF(A164="","",IF(COUNTIF($A$6:$A$504,A164)&gt;1,"⚠ Duplicate",""))</f>
        <v/>
      </c>
      <c r="AD164" s="42" t="n"/>
      <c r="AE164" s="42" t="n"/>
      <c r="AF164" s="42" t="n"/>
      <c r="AG164" s="42" t="n"/>
      <c r="AH164" s="42" t="n"/>
      <c r="AI164" s="42" t="n"/>
      <c r="AJ164" s="42" t="n"/>
      <c r="AK164" s="42" t="n"/>
      <c r="AL164" s="42" t="n"/>
      <c r="AM164" s="42" t="n"/>
      <c r="AN164" s="42" t="n"/>
      <c r="AO164" s="42" t="n"/>
      <c r="AP164" s="42" t="n"/>
      <c r="AQ164" s="42" t="n"/>
      <c r="AR164" s="38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5" t="n"/>
      <c r="Z165" s="157">
        <f>IF(OR(Y165="",X165=""),"",IFERROR(Y165*INDEX(FXRates[USD per unit],MATCH(X165,FXRates[Currency],0)),"No rate"))</f>
        <v/>
      </c>
      <c r="AA165" s="32" t="n"/>
      <c r="AB165" s="32" t="n"/>
      <c r="AC165" s="36">
        <f>IF(A165="","",IF(COUNTIF($A$6:$A$504,A165)&gt;1,"⚠ Duplicate",""))</f>
        <v/>
      </c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  <c r="AM165" s="43" t="n"/>
      <c r="AN165" s="43" t="n"/>
      <c r="AO165" s="43" t="n"/>
      <c r="AP165" s="43" t="n"/>
      <c r="AQ165" s="43" t="n"/>
      <c r="AR165" s="32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40" t="n"/>
      <c r="Z166" s="158">
        <f>IF(OR(Y166="",X166=""),"",IFERROR(Y166*INDEX(FXRates[USD per unit],MATCH(X166,FXRates[Currency],0)),"No rate"))</f>
        <v/>
      </c>
      <c r="AA166" s="38" t="n"/>
      <c r="AB166" s="38" t="n"/>
      <c r="AC166" s="41">
        <f>IF(A166="","",IF(COUNTIF($A$6:$A$504,A166)&gt;1,"⚠ Duplicate",""))</f>
        <v/>
      </c>
      <c r="AD166" s="42" t="n"/>
      <c r="AE166" s="42" t="n"/>
      <c r="AF166" s="42" t="n"/>
      <c r="AG166" s="42" t="n"/>
      <c r="AH166" s="42" t="n"/>
      <c r="AI166" s="42" t="n"/>
      <c r="AJ166" s="42" t="n"/>
      <c r="AK166" s="42" t="n"/>
      <c r="AL166" s="42" t="n"/>
      <c r="AM166" s="42" t="n"/>
      <c r="AN166" s="42" t="n"/>
      <c r="AO166" s="42" t="n"/>
      <c r="AP166" s="42" t="n"/>
      <c r="AQ166" s="42" t="n"/>
      <c r="AR166" s="38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5" t="n"/>
      <c r="Z167" s="157">
        <f>IF(OR(Y167="",X167=""),"",IFERROR(Y167*INDEX(FXRates[USD per unit],MATCH(X167,FXRates[Currency],0)),"No rate"))</f>
        <v/>
      </c>
      <c r="AA167" s="32" t="n"/>
      <c r="AB167" s="32" t="n"/>
      <c r="AC167" s="36">
        <f>IF(A167="","",IF(COUNTIF($A$6:$A$504,A167)&gt;1,"⚠ Duplicate",""))</f>
        <v/>
      </c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  <c r="AM167" s="43" t="n"/>
      <c r="AN167" s="43" t="n"/>
      <c r="AO167" s="43" t="n"/>
      <c r="AP167" s="43" t="n"/>
      <c r="AQ167" s="43" t="n"/>
      <c r="AR167" s="32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40" t="n"/>
      <c r="Z168" s="158">
        <f>IF(OR(Y168="",X168=""),"",IFERROR(Y168*INDEX(FXRates[USD per unit],MATCH(X168,FXRates[Currency],0)),"No rate"))</f>
        <v/>
      </c>
      <c r="AA168" s="38" t="n"/>
      <c r="AB168" s="38" t="n"/>
      <c r="AC168" s="41">
        <f>IF(A168="","",IF(COUNTIF($A$6:$A$504,A168)&gt;1,"⚠ Duplicate",""))</f>
        <v/>
      </c>
      <c r="AD168" s="42" t="n"/>
      <c r="AE168" s="42" t="n"/>
      <c r="AF168" s="42" t="n"/>
      <c r="AG168" s="42" t="n"/>
      <c r="AH168" s="42" t="n"/>
      <c r="AI168" s="42" t="n"/>
      <c r="AJ168" s="42" t="n"/>
      <c r="AK168" s="42" t="n"/>
      <c r="AL168" s="42" t="n"/>
      <c r="AM168" s="42" t="n"/>
      <c r="AN168" s="42" t="n"/>
      <c r="AO168" s="42" t="n"/>
      <c r="AP168" s="42" t="n"/>
      <c r="AQ168" s="42" t="n"/>
      <c r="AR168" s="38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5" t="n"/>
      <c r="Z169" s="157">
        <f>IF(OR(Y169="",X169=""),"",IFERROR(Y169*INDEX(FXRates[USD per unit],MATCH(X169,FXRates[Currency],0)),"No rate"))</f>
        <v/>
      </c>
      <c r="AA169" s="32" t="n"/>
      <c r="AB169" s="32" t="n"/>
      <c r="AC169" s="36">
        <f>IF(A169="","",IF(COUNTIF($A$6:$A$504,A169)&gt;1,"⚠ Duplicate",""))</f>
        <v/>
      </c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  <c r="AM169" s="43" t="n"/>
      <c r="AN169" s="43" t="n"/>
      <c r="AO169" s="43" t="n"/>
      <c r="AP169" s="43" t="n"/>
      <c r="AQ169" s="43" t="n"/>
      <c r="AR169" s="32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40" t="n"/>
      <c r="Z170" s="158">
        <f>IF(OR(Y170="",X170=""),"",IFERROR(Y170*INDEX(FXRates[USD per unit],MATCH(X170,FXRates[Currency],0)),"No rate"))</f>
        <v/>
      </c>
      <c r="AA170" s="38" t="n"/>
      <c r="AB170" s="38" t="n"/>
      <c r="AC170" s="41">
        <f>IF(A170="","",IF(COUNTIF($A$6:$A$504,A170)&gt;1,"⚠ Duplicate",""))</f>
        <v/>
      </c>
      <c r="AD170" s="42" t="n"/>
      <c r="AE170" s="42" t="n"/>
      <c r="AF170" s="42" t="n"/>
      <c r="AG170" s="42" t="n"/>
      <c r="AH170" s="42" t="n"/>
      <c r="AI170" s="42" t="n"/>
      <c r="AJ170" s="42" t="n"/>
      <c r="AK170" s="42" t="n"/>
      <c r="AL170" s="42" t="n"/>
      <c r="AM170" s="42" t="n"/>
      <c r="AN170" s="42" t="n"/>
      <c r="AO170" s="42" t="n"/>
      <c r="AP170" s="42" t="n"/>
      <c r="AQ170" s="42" t="n"/>
      <c r="AR170" s="38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5" t="n"/>
      <c r="Z171" s="157">
        <f>IF(OR(Y171="",X171=""),"",IFERROR(Y171*INDEX(FXRates[USD per unit],MATCH(X171,FXRates[Currency],0)),"No rate"))</f>
        <v/>
      </c>
      <c r="AA171" s="32" t="n"/>
      <c r="AB171" s="32" t="n"/>
      <c r="AC171" s="36">
        <f>IF(A171="","",IF(COUNTIF($A$6:$A$504,A171)&gt;1,"⚠ Duplicate",""))</f>
        <v/>
      </c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  <c r="AM171" s="43" t="n"/>
      <c r="AN171" s="43" t="n"/>
      <c r="AO171" s="43" t="n"/>
      <c r="AP171" s="43" t="n"/>
      <c r="AQ171" s="43" t="n"/>
      <c r="AR171" s="32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40" t="n"/>
      <c r="Z172" s="158">
        <f>IF(OR(Y172="",X172=""),"",IFERROR(Y172*INDEX(FXRates[USD per unit],MATCH(X172,FXRates[Currency],0)),"No rate"))</f>
        <v/>
      </c>
      <c r="AA172" s="38" t="n"/>
      <c r="AB172" s="38" t="n"/>
      <c r="AC172" s="41">
        <f>IF(A172="","",IF(COUNTIF($A$6:$A$504,A172)&gt;1,"⚠ Duplicate",""))</f>
        <v/>
      </c>
      <c r="AD172" s="42" t="n"/>
      <c r="AE172" s="42" t="n"/>
      <c r="AF172" s="42" t="n"/>
      <c r="AG172" s="42" t="n"/>
      <c r="AH172" s="42" t="n"/>
      <c r="AI172" s="42" t="n"/>
      <c r="AJ172" s="42" t="n"/>
      <c r="AK172" s="42" t="n"/>
      <c r="AL172" s="42" t="n"/>
      <c r="AM172" s="42" t="n"/>
      <c r="AN172" s="42" t="n"/>
      <c r="AO172" s="42" t="n"/>
      <c r="AP172" s="42" t="n"/>
      <c r="AQ172" s="42" t="n"/>
      <c r="AR172" s="38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5" t="n"/>
      <c r="Z173" s="157">
        <f>IF(OR(Y173="",X173=""),"",IFERROR(Y173*INDEX(FXRates[USD per unit],MATCH(X173,FXRates[Currency],0)),"No rate"))</f>
        <v/>
      </c>
      <c r="AA173" s="32" t="n"/>
      <c r="AB173" s="32" t="n"/>
      <c r="AC173" s="36">
        <f>IF(A173="","",IF(COUNTIF($A$6:$A$504,A173)&gt;1,"⚠ Duplicate",""))</f>
        <v/>
      </c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  <c r="AM173" s="43" t="n"/>
      <c r="AN173" s="43" t="n"/>
      <c r="AO173" s="43" t="n"/>
      <c r="AP173" s="43" t="n"/>
      <c r="AQ173" s="43" t="n"/>
      <c r="AR173" s="32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40" t="n"/>
      <c r="Z174" s="158">
        <f>IF(OR(Y174="",X174=""),"",IFERROR(Y174*INDEX(FXRates[USD per unit],MATCH(X174,FXRates[Currency],0)),"No rate"))</f>
        <v/>
      </c>
      <c r="AA174" s="38" t="n"/>
      <c r="AB174" s="38" t="n"/>
      <c r="AC174" s="41">
        <f>IF(A174="","",IF(COUNTIF($A$6:$A$504,A174)&gt;1,"⚠ Duplicate",""))</f>
        <v/>
      </c>
      <c r="AD174" s="42" t="n"/>
      <c r="AE174" s="42" t="n"/>
      <c r="AF174" s="42" t="n"/>
      <c r="AG174" s="42" t="n"/>
      <c r="AH174" s="42" t="n"/>
      <c r="AI174" s="42" t="n"/>
      <c r="AJ174" s="42" t="n"/>
      <c r="AK174" s="42" t="n"/>
      <c r="AL174" s="42" t="n"/>
      <c r="AM174" s="42" t="n"/>
      <c r="AN174" s="42" t="n"/>
      <c r="AO174" s="42" t="n"/>
      <c r="AP174" s="42" t="n"/>
      <c r="AQ174" s="42" t="n"/>
      <c r="AR174" s="38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5" t="n"/>
      <c r="Z175" s="157">
        <f>IF(OR(Y175="",X175=""),"",IFERROR(Y175*INDEX(FXRates[USD per unit],MATCH(X175,FXRates[Currency],0)),"No rate"))</f>
        <v/>
      </c>
      <c r="AA175" s="32" t="n"/>
      <c r="AB175" s="32" t="n"/>
      <c r="AC175" s="36">
        <f>IF(A175="","",IF(COUNTIF($A$6:$A$504,A175)&gt;1,"⚠ Duplicate",""))</f>
        <v/>
      </c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  <c r="AM175" s="43" t="n"/>
      <c r="AN175" s="43" t="n"/>
      <c r="AO175" s="43" t="n"/>
      <c r="AP175" s="43" t="n"/>
      <c r="AQ175" s="43" t="n"/>
      <c r="AR175" s="32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40" t="n"/>
      <c r="Z176" s="158">
        <f>IF(OR(Y176="",X176=""),"",IFERROR(Y176*INDEX(FXRates[USD per unit],MATCH(X176,FXRates[Currency],0)),"No rate"))</f>
        <v/>
      </c>
      <c r="AA176" s="38" t="n"/>
      <c r="AB176" s="38" t="n"/>
      <c r="AC176" s="41">
        <f>IF(A176="","",IF(COUNTIF($A$6:$A$504,A176)&gt;1,"⚠ Duplicate",""))</f>
        <v/>
      </c>
      <c r="AD176" s="42" t="n"/>
      <c r="AE176" s="42" t="n"/>
      <c r="AF176" s="42" t="n"/>
      <c r="AG176" s="42" t="n"/>
      <c r="AH176" s="42" t="n"/>
      <c r="AI176" s="42" t="n"/>
      <c r="AJ176" s="42" t="n"/>
      <c r="AK176" s="42" t="n"/>
      <c r="AL176" s="42" t="n"/>
      <c r="AM176" s="42" t="n"/>
      <c r="AN176" s="42" t="n"/>
      <c r="AO176" s="42" t="n"/>
      <c r="AP176" s="42" t="n"/>
      <c r="AQ176" s="42" t="n"/>
      <c r="AR176" s="38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5" t="n"/>
      <c r="Z177" s="157">
        <f>IF(OR(Y177="",X177=""),"",IFERROR(Y177*INDEX(FXRates[USD per unit],MATCH(X177,FXRates[Currency],0)),"No rate"))</f>
        <v/>
      </c>
      <c r="AA177" s="32" t="n"/>
      <c r="AB177" s="32" t="n"/>
      <c r="AC177" s="36">
        <f>IF(A177="","",IF(COUNTIF($A$6:$A$504,A177)&gt;1,"⚠ Duplicate",""))</f>
        <v/>
      </c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  <c r="AM177" s="43" t="n"/>
      <c r="AN177" s="43" t="n"/>
      <c r="AO177" s="43" t="n"/>
      <c r="AP177" s="43" t="n"/>
      <c r="AQ177" s="43" t="n"/>
      <c r="AR177" s="32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40" t="n"/>
      <c r="Z178" s="158">
        <f>IF(OR(Y178="",X178=""),"",IFERROR(Y178*INDEX(FXRates[USD per unit],MATCH(X178,FXRates[Currency],0)),"No rate"))</f>
        <v/>
      </c>
      <c r="AA178" s="38" t="n"/>
      <c r="AB178" s="38" t="n"/>
      <c r="AC178" s="41">
        <f>IF(A178="","",IF(COUNTIF($A$6:$A$504,A178)&gt;1,"⚠ Duplicate",""))</f>
        <v/>
      </c>
      <c r="AD178" s="42" t="n"/>
      <c r="AE178" s="42" t="n"/>
      <c r="AF178" s="42" t="n"/>
      <c r="AG178" s="42" t="n"/>
      <c r="AH178" s="42" t="n"/>
      <c r="AI178" s="42" t="n"/>
      <c r="AJ178" s="42" t="n"/>
      <c r="AK178" s="42" t="n"/>
      <c r="AL178" s="42" t="n"/>
      <c r="AM178" s="42" t="n"/>
      <c r="AN178" s="42" t="n"/>
      <c r="AO178" s="42" t="n"/>
      <c r="AP178" s="42" t="n"/>
      <c r="AQ178" s="42" t="n"/>
      <c r="AR178" s="38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5" t="n"/>
      <c r="Z179" s="157">
        <f>IF(OR(Y179="",X179=""),"",IFERROR(Y179*INDEX(FXRates[USD per unit],MATCH(X179,FXRates[Currency],0)),"No rate"))</f>
        <v/>
      </c>
      <c r="AA179" s="32" t="n"/>
      <c r="AB179" s="32" t="n"/>
      <c r="AC179" s="36">
        <f>IF(A179="","",IF(COUNTIF($A$6:$A$504,A179)&gt;1,"⚠ Duplicate",""))</f>
        <v/>
      </c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  <c r="AM179" s="43" t="n"/>
      <c r="AN179" s="43" t="n"/>
      <c r="AO179" s="43" t="n"/>
      <c r="AP179" s="43" t="n"/>
      <c r="AQ179" s="43" t="n"/>
      <c r="AR179" s="32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40" t="n"/>
      <c r="Z180" s="158">
        <f>IF(OR(Y180="",X180=""),"",IFERROR(Y180*INDEX(FXRates[USD per unit],MATCH(X180,FXRates[Currency],0)),"No rate"))</f>
        <v/>
      </c>
      <c r="AA180" s="38" t="n"/>
      <c r="AB180" s="38" t="n"/>
      <c r="AC180" s="41">
        <f>IF(A180="","",IF(COUNTIF($A$6:$A$504,A180)&gt;1,"⚠ Duplicate",""))</f>
        <v/>
      </c>
      <c r="AD180" s="42" t="n"/>
      <c r="AE180" s="42" t="n"/>
      <c r="AF180" s="42" t="n"/>
      <c r="AG180" s="42" t="n"/>
      <c r="AH180" s="42" t="n"/>
      <c r="AI180" s="42" t="n"/>
      <c r="AJ180" s="42" t="n"/>
      <c r="AK180" s="42" t="n"/>
      <c r="AL180" s="42" t="n"/>
      <c r="AM180" s="42" t="n"/>
      <c r="AN180" s="42" t="n"/>
      <c r="AO180" s="42" t="n"/>
      <c r="AP180" s="42" t="n"/>
      <c r="AQ180" s="42" t="n"/>
      <c r="AR180" s="38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5" t="n"/>
      <c r="Z181" s="157">
        <f>IF(OR(Y181="",X181=""),"",IFERROR(Y181*INDEX(FXRates[USD per unit],MATCH(X181,FXRates[Currency],0)),"No rate"))</f>
        <v/>
      </c>
      <c r="AA181" s="32" t="n"/>
      <c r="AB181" s="32" t="n"/>
      <c r="AC181" s="36">
        <f>IF(A181="","",IF(COUNTIF($A$6:$A$504,A181)&gt;1,"⚠ Duplicate",""))</f>
        <v/>
      </c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  <c r="AM181" s="43" t="n"/>
      <c r="AN181" s="43" t="n"/>
      <c r="AO181" s="43" t="n"/>
      <c r="AP181" s="43" t="n"/>
      <c r="AQ181" s="43" t="n"/>
      <c r="AR181" s="32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40" t="n"/>
      <c r="Z182" s="158">
        <f>IF(OR(Y182="",X182=""),"",IFERROR(Y182*INDEX(FXRates[USD per unit],MATCH(X182,FXRates[Currency],0)),"No rate"))</f>
        <v/>
      </c>
      <c r="AA182" s="38" t="n"/>
      <c r="AB182" s="38" t="n"/>
      <c r="AC182" s="41">
        <f>IF(A182="","",IF(COUNTIF($A$6:$A$504,A182)&gt;1,"⚠ Duplicate",""))</f>
        <v/>
      </c>
      <c r="AD182" s="42" t="n"/>
      <c r="AE182" s="42" t="n"/>
      <c r="AF182" s="42" t="n"/>
      <c r="AG182" s="42" t="n"/>
      <c r="AH182" s="42" t="n"/>
      <c r="AI182" s="42" t="n"/>
      <c r="AJ182" s="42" t="n"/>
      <c r="AK182" s="42" t="n"/>
      <c r="AL182" s="42" t="n"/>
      <c r="AM182" s="42" t="n"/>
      <c r="AN182" s="42" t="n"/>
      <c r="AO182" s="42" t="n"/>
      <c r="AP182" s="42" t="n"/>
      <c r="AQ182" s="42" t="n"/>
      <c r="AR182" s="38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5" t="n"/>
      <c r="Z183" s="157">
        <f>IF(OR(Y183="",X183=""),"",IFERROR(Y183*INDEX(FXRates[USD per unit],MATCH(X183,FXRates[Currency],0)),"No rate"))</f>
        <v/>
      </c>
      <c r="AA183" s="32" t="n"/>
      <c r="AB183" s="32" t="n"/>
      <c r="AC183" s="36">
        <f>IF(A183="","",IF(COUNTIF($A$6:$A$504,A183)&gt;1,"⚠ Duplicate",""))</f>
        <v/>
      </c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  <c r="AM183" s="43" t="n"/>
      <c r="AN183" s="43" t="n"/>
      <c r="AO183" s="43" t="n"/>
      <c r="AP183" s="43" t="n"/>
      <c r="AQ183" s="43" t="n"/>
      <c r="AR183" s="32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40" t="n"/>
      <c r="Z184" s="158">
        <f>IF(OR(Y184="",X184=""),"",IFERROR(Y184*INDEX(FXRates[USD per unit],MATCH(X184,FXRates[Currency],0)),"No rate"))</f>
        <v/>
      </c>
      <c r="AA184" s="38" t="n"/>
      <c r="AB184" s="38" t="n"/>
      <c r="AC184" s="41">
        <f>IF(A184="","",IF(COUNTIF($A$6:$A$504,A184)&gt;1,"⚠ Duplicate",""))</f>
        <v/>
      </c>
      <c r="AD184" s="42" t="n"/>
      <c r="AE184" s="42" t="n"/>
      <c r="AF184" s="42" t="n"/>
      <c r="AG184" s="42" t="n"/>
      <c r="AH184" s="42" t="n"/>
      <c r="AI184" s="42" t="n"/>
      <c r="AJ184" s="42" t="n"/>
      <c r="AK184" s="42" t="n"/>
      <c r="AL184" s="42" t="n"/>
      <c r="AM184" s="42" t="n"/>
      <c r="AN184" s="42" t="n"/>
      <c r="AO184" s="42" t="n"/>
      <c r="AP184" s="42" t="n"/>
      <c r="AQ184" s="42" t="n"/>
      <c r="AR184" s="38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5" t="n"/>
      <c r="Z185" s="157">
        <f>IF(OR(Y185="",X185=""),"",IFERROR(Y185*INDEX(FXRates[USD per unit],MATCH(X185,FXRates[Currency],0)),"No rate"))</f>
        <v/>
      </c>
      <c r="AA185" s="32" t="n"/>
      <c r="AB185" s="32" t="n"/>
      <c r="AC185" s="36">
        <f>IF(A185="","",IF(COUNTIF($A$6:$A$504,A185)&gt;1,"⚠ Duplicate",""))</f>
        <v/>
      </c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  <c r="AM185" s="43" t="n"/>
      <c r="AN185" s="43" t="n"/>
      <c r="AO185" s="43" t="n"/>
      <c r="AP185" s="43" t="n"/>
      <c r="AQ185" s="43" t="n"/>
      <c r="AR185" s="32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40" t="n"/>
      <c r="Z186" s="158">
        <f>IF(OR(Y186="",X186=""),"",IFERROR(Y186*INDEX(FXRates[USD per unit],MATCH(X186,FXRates[Currency],0)),"No rate"))</f>
        <v/>
      </c>
      <c r="AA186" s="38" t="n"/>
      <c r="AB186" s="38" t="n"/>
      <c r="AC186" s="41">
        <f>IF(A186="","",IF(COUNTIF($A$6:$A$504,A186)&gt;1,"⚠ Duplicate",""))</f>
        <v/>
      </c>
      <c r="AD186" s="42" t="n"/>
      <c r="AE186" s="42" t="n"/>
      <c r="AF186" s="42" t="n"/>
      <c r="AG186" s="42" t="n"/>
      <c r="AH186" s="42" t="n"/>
      <c r="AI186" s="42" t="n"/>
      <c r="AJ186" s="42" t="n"/>
      <c r="AK186" s="42" t="n"/>
      <c r="AL186" s="42" t="n"/>
      <c r="AM186" s="42" t="n"/>
      <c r="AN186" s="42" t="n"/>
      <c r="AO186" s="42" t="n"/>
      <c r="AP186" s="42" t="n"/>
      <c r="AQ186" s="42" t="n"/>
      <c r="AR186" s="38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5" t="n"/>
      <c r="Z187" s="157">
        <f>IF(OR(Y187="",X187=""),"",IFERROR(Y187*INDEX(FXRates[USD per unit],MATCH(X187,FXRates[Currency],0)),"No rate"))</f>
        <v/>
      </c>
      <c r="AA187" s="32" t="n"/>
      <c r="AB187" s="32" t="n"/>
      <c r="AC187" s="36">
        <f>IF(A187="","",IF(COUNTIF($A$6:$A$504,A187)&gt;1,"⚠ Duplicate",""))</f>
        <v/>
      </c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  <c r="AM187" s="43" t="n"/>
      <c r="AN187" s="43" t="n"/>
      <c r="AO187" s="43" t="n"/>
      <c r="AP187" s="43" t="n"/>
      <c r="AQ187" s="43" t="n"/>
      <c r="AR187" s="32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40" t="n"/>
      <c r="Z188" s="158">
        <f>IF(OR(Y188="",X188=""),"",IFERROR(Y188*INDEX(FXRates[USD per unit],MATCH(X188,FXRates[Currency],0)),"No rate"))</f>
        <v/>
      </c>
      <c r="AA188" s="38" t="n"/>
      <c r="AB188" s="38" t="n"/>
      <c r="AC188" s="41">
        <f>IF(A188="","",IF(COUNTIF($A$6:$A$504,A188)&gt;1,"⚠ Duplicate",""))</f>
        <v/>
      </c>
      <c r="AD188" s="42" t="n"/>
      <c r="AE188" s="42" t="n"/>
      <c r="AF188" s="42" t="n"/>
      <c r="AG188" s="42" t="n"/>
      <c r="AH188" s="42" t="n"/>
      <c r="AI188" s="42" t="n"/>
      <c r="AJ188" s="42" t="n"/>
      <c r="AK188" s="42" t="n"/>
      <c r="AL188" s="42" t="n"/>
      <c r="AM188" s="42" t="n"/>
      <c r="AN188" s="42" t="n"/>
      <c r="AO188" s="42" t="n"/>
      <c r="AP188" s="42" t="n"/>
      <c r="AQ188" s="42" t="n"/>
      <c r="AR188" s="38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5" t="n"/>
      <c r="Z189" s="157">
        <f>IF(OR(Y189="",X189=""),"",IFERROR(Y189*INDEX(FXRates[USD per unit],MATCH(X189,FXRates[Currency],0)),"No rate"))</f>
        <v/>
      </c>
      <c r="AA189" s="32" t="n"/>
      <c r="AB189" s="32" t="n"/>
      <c r="AC189" s="36">
        <f>IF(A189="","",IF(COUNTIF($A$6:$A$504,A189)&gt;1,"⚠ Duplicate",""))</f>
        <v/>
      </c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  <c r="AM189" s="43" t="n"/>
      <c r="AN189" s="43" t="n"/>
      <c r="AO189" s="43" t="n"/>
      <c r="AP189" s="43" t="n"/>
      <c r="AQ189" s="43" t="n"/>
      <c r="AR189" s="32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40" t="n"/>
      <c r="Z190" s="158">
        <f>IF(OR(Y190="",X190=""),"",IFERROR(Y190*INDEX(FXRates[USD per unit],MATCH(X190,FXRates[Currency],0)),"No rate"))</f>
        <v/>
      </c>
      <c r="AA190" s="38" t="n"/>
      <c r="AB190" s="38" t="n"/>
      <c r="AC190" s="41">
        <f>IF(A190="","",IF(COUNTIF($A$6:$A$504,A190)&gt;1,"⚠ Duplicate",""))</f>
        <v/>
      </c>
      <c r="AD190" s="42" t="n"/>
      <c r="AE190" s="42" t="n"/>
      <c r="AF190" s="42" t="n"/>
      <c r="AG190" s="42" t="n"/>
      <c r="AH190" s="42" t="n"/>
      <c r="AI190" s="42" t="n"/>
      <c r="AJ190" s="42" t="n"/>
      <c r="AK190" s="42" t="n"/>
      <c r="AL190" s="42" t="n"/>
      <c r="AM190" s="42" t="n"/>
      <c r="AN190" s="42" t="n"/>
      <c r="AO190" s="42" t="n"/>
      <c r="AP190" s="42" t="n"/>
      <c r="AQ190" s="42" t="n"/>
      <c r="AR190" s="38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5" t="n"/>
      <c r="Z191" s="157">
        <f>IF(OR(Y191="",X191=""),"",IFERROR(Y191*INDEX(FXRates[USD per unit],MATCH(X191,FXRates[Currency],0)),"No rate"))</f>
        <v/>
      </c>
      <c r="AA191" s="32" t="n"/>
      <c r="AB191" s="32" t="n"/>
      <c r="AC191" s="36">
        <f>IF(A191="","",IF(COUNTIF($A$6:$A$504,A191)&gt;1,"⚠ Duplicate",""))</f>
        <v/>
      </c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  <c r="AM191" s="43" t="n"/>
      <c r="AN191" s="43" t="n"/>
      <c r="AO191" s="43" t="n"/>
      <c r="AP191" s="43" t="n"/>
      <c r="AQ191" s="43" t="n"/>
      <c r="AR191" s="32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40" t="n"/>
      <c r="Z192" s="158">
        <f>IF(OR(Y192="",X192=""),"",IFERROR(Y192*INDEX(FXRates[USD per unit],MATCH(X192,FXRates[Currency],0)),"No rate"))</f>
        <v/>
      </c>
      <c r="AA192" s="38" t="n"/>
      <c r="AB192" s="38" t="n"/>
      <c r="AC192" s="41">
        <f>IF(A192="","",IF(COUNTIF($A$6:$A$504,A192)&gt;1,"⚠ Duplicate",""))</f>
        <v/>
      </c>
      <c r="AD192" s="42" t="n"/>
      <c r="AE192" s="42" t="n"/>
      <c r="AF192" s="42" t="n"/>
      <c r="AG192" s="42" t="n"/>
      <c r="AH192" s="42" t="n"/>
      <c r="AI192" s="42" t="n"/>
      <c r="AJ192" s="42" t="n"/>
      <c r="AK192" s="42" t="n"/>
      <c r="AL192" s="42" t="n"/>
      <c r="AM192" s="42" t="n"/>
      <c r="AN192" s="42" t="n"/>
      <c r="AO192" s="42" t="n"/>
      <c r="AP192" s="42" t="n"/>
      <c r="AQ192" s="42" t="n"/>
      <c r="AR192" s="38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5" t="n"/>
      <c r="Z193" s="157">
        <f>IF(OR(Y193="",X193=""),"",IFERROR(Y193*INDEX(FXRates[USD per unit],MATCH(X193,FXRates[Currency],0)),"No rate"))</f>
        <v/>
      </c>
      <c r="AA193" s="32" t="n"/>
      <c r="AB193" s="32" t="n"/>
      <c r="AC193" s="36">
        <f>IF(A193="","",IF(COUNTIF($A$6:$A$504,A193)&gt;1,"⚠ Duplicate",""))</f>
        <v/>
      </c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  <c r="AM193" s="43" t="n"/>
      <c r="AN193" s="43" t="n"/>
      <c r="AO193" s="43" t="n"/>
      <c r="AP193" s="43" t="n"/>
      <c r="AQ193" s="43" t="n"/>
      <c r="AR193" s="32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40" t="n"/>
      <c r="Z194" s="158">
        <f>IF(OR(Y194="",X194=""),"",IFERROR(Y194*INDEX(FXRates[USD per unit],MATCH(X194,FXRates[Currency],0)),"No rate"))</f>
        <v/>
      </c>
      <c r="AA194" s="38" t="n"/>
      <c r="AB194" s="38" t="n"/>
      <c r="AC194" s="41">
        <f>IF(A194="","",IF(COUNTIF($A$6:$A$504,A194)&gt;1,"⚠ Duplicate",""))</f>
        <v/>
      </c>
      <c r="AD194" s="42" t="n"/>
      <c r="AE194" s="42" t="n"/>
      <c r="AF194" s="42" t="n"/>
      <c r="AG194" s="42" t="n"/>
      <c r="AH194" s="42" t="n"/>
      <c r="AI194" s="42" t="n"/>
      <c r="AJ194" s="42" t="n"/>
      <c r="AK194" s="42" t="n"/>
      <c r="AL194" s="42" t="n"/>
      <c r="AM194" s="42" t="n"/>
      <c r="AN194" s="42" t="n"/>
      <c r="AO194" s="42" t="n"/>
      <c r="AP194" s="42" t="n"/>
      <c r="AQ194" s="42" t="n"/>
      <c r="AR194" s="38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5" t="n"/>
      <c r="Z195" s="157">
        <f>IF(OR(Y195="",X195=""),"",IFERROR(Y195*INDEX(FXRates[USD per unit],MATCH(X195,FXRates[Currency],0)),"No rate"))</f>
        <v/>
      </c>
      <c r="AA195" s="32" t="n"/>
      <c r="AB195" s="32" t="n"/>
      <c r="AC195" s="36">
        <f>IF(A195="","",IF(COUNTIF($A$6:$A$504,A195)&gt;1,"⚠ Duplicate",""))</f>
        <v/>
      </c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  <c r="AM195" s="43" t="n"/>
      <c r="AN195" s="43" t="n"/>
      <c r="AO195" s="43" t="n"/>
      <c r="AP195" s="43" t="n"/>
      <c r="AQ195" s="43" t="n"/>
      <c r="AR195" s="32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40" t="n"/>
      <c r="Z196" s="158">
        <f>IF(OR(Y196="",X196=""),"",IFERROR(Y196*INDEX(FXRates[USD per unit],MATCH(X196,FXRates[Currency],0)),"No rate"))</f>
        <v/>
      </c>
      <c r="AA196" s="38" t="n"/>
      <c r="AB196" s="38" t="n"/>
      <c r="AC196" s="41">
        <f>IF(A196="","",IF(COUNTIF($A$6:$A$504,A196)&gt;1,"⚠ Duplicate",""))</f>
        <v/>
      </c>
      <c r="AD196" s="42" t="n"/>
      <c r="AE196" s="42" t="n"/>
      <c r="AF196" s="42" t="n"/>
      <c r="AG196" s="42" t="n"/>
      <c r="AH196" s="42" t="n"/>
      <c r="AI196" s="42" t="n"/>
      <c r="AJ196" s="42" t="n"/>
      <c r="AK196" s="42" t="n"/>
      <c r="AL196" s="42" t="n"/>
      <c r="AM196" s="42" t="n"/>
      <c r="AN196" s="42" t="n"/>
      <c r="AO196" s="42" t="n"/>
      <c r="AP196" s="42" t="n"/>
      <c r="AQ196" s="42" t="n"/>
      <c r="AR196" s="38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5" t="n"/>
      <c r="Z197" s="157">
        <f>IF(OR(Y197="",X197=""),"",IFERROR(Y197*INDEX(FXRates[USD per unit],MATCH(X197,FXRates[Currency],0)),"No rate"))</f>
        <v/>
      </c>
      <c r="AA197" s="32" t="n"/>
      <c r="AB197" s="32" t="n"/>
      <c r="AC197" s="36">
        <f>IF(A197="","",IF(COUNTIF($A$6:$A$504,A197)&gt;1,"⚠ Duplicate",""))</f>
        <v/>
      </c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  <c r="AM197" s="43" t="n"/>
      <c r="AN197" s="43" t="n"/>
      <c r="AO197" s="43" t="n"/>
      <c r="AP197" s="43" t="n"/>
      <c r="AQ197" s="43" t="n"/>
      <c r="AR197" s="32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40" t="n"/>
      <c r="Z198" s="158">
        <f>IF(OR(Y198="",X198=""),"",IFERROR(Y198*INDEX(FXRates[USD per unit],MATCH(X198,FXRates[Currency],0)),"No rate"))</f>
        <v/>
      </c>
      <c r="AA198" s="38" t="n"/>
      <c r="AB198" s="38" t="n"/>
      <c r="AC198" s="41">
        <f>IF(A198="","",IF(COUNTIF($A$6:$A$504,A198)&gt;1,"⚠ Duplicate",""))</f>
        <v/>
      </c>
      <c r="AD198" s="42" t="n"/>
      <c r="AE198" s="42" t="n"/>
      <c r="AF198" s="42" t="n"/>
      <c r="AG198" s="42" t="n"/>
      <c r="AH198" s="42" t="n"/>
      <c r="AI198" s="42" t="n"/>
      <c r="AJ198" s="42" t="n"/>
      <c r="AK198" s="42" t="n"/>
      <c r="AL198" s="42" t="n"/>
      <c r="AM198" s="42" t="n"/>
      <c r="AN198" s="42" t="n"/>
      <c r="AO198" s="42" t="n"/>
      <c r="AP198" s="42" t="n"/>
      <c r="AQ198" s="42" t="n"/>
      <c r="AR198" s="38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5" t="n"/>
      <c r="Z199" s="157">
        <f>IF(OR(Y199="",X199=""),"",IFERROR(Y199*INDEX(FXRates[USD per unit],MATCH(X199,FXRates[Currency],0)),"No rate"))</f>
        <v/>
      </c>
      <c r="AA199" s="32" t="n"/>
      <c r="AB199" s="32" t="n"/>
      <c r="AC199" s="36">
        <f>IF(A199="","",IF(COUNTIF($A$6:$A$504,A199)&gt;1,"⚠ Duplicate",""))</f>
        <v/>
      </c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  <c r="AM199" s="43" t="n"/>
      <c r="AN199" s="43" t="n"/>
      <c r="AO199" s="43" t="n"/>
      <c r="AP199" s="43" t="n"/>
      <c r="AQ199" s="43" t="n"/>
      <c r="AR199" s="32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40" t="n"/>
      <c r="Z200" s="158">
        <f>IF(OR(Y200="",X200=""),"",IFERROR(Y200*INDEX(FXRates[USD per unit],MATCH(X200,FXRates[Currency],0)),"No rate"))</f>
        <v/>
      </c>
      <c r="AA200" s="38" t="n"/>
      <c r="AB200" s="38" t="n"/>
      <c r="AC200" s="41">
        <f>IF(A200="","",IF(COUNTIF($A$6:$A$504,A200)&gt;1,"⚠ Duplicate",""))</f>
        <v/>
      </c>
      <c r="AD200" s="42" t="n"/>
      <c r="AE200" s="42" t="n"/>
      <c r="AF200" s="42" t="n"/>
      <c r="AG200" s="42" t="n"/>
      <c r="AH200" s="42" t="n"/>
      <c r="AI200" s="42" t="n"/>
      <c r="AJ200" s="42" t="n"/>
      <c r="AK200" s="42" t="n"/>
      <c r="AL200" s="42" t="n"/>
      <c r="AM200" s="42" t="n"/>
      <c r="AN200" s="42" t="n"/>
      <c r="AO200" s="42" t="n"/>
      <c r="AP200" s="42" t="n"/>
      <c r="AQ200" s="42" t="n"/>
      <c r="AR200" s="38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5" t="n"/>
      <c r="Z201" s="157">
        <f>IF(OR(Y201="",X201=""),"",IFERROR(Y201*INDEX(FXRates[USD per unit],MATCH(X201,FXRates[Currency],0)),"No rate"))</f>
        <v/>
      </c>
      <c r="AA201" s="32" t="n"/>
      <c r="AB201" s="32" t="n"/>
      <c r="AC201" s="36">
        <f>IF(A201="","",IF(COUNTIF($A$6:$A$504,A201)&gt;1,"⚠ Duplicate",""))</f>
        <v/>
      </c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  <c r="AM201" s="43" t="n"/>
      <c r="AN201" s="43" t="n"/>
      <c r="AO201" s="43" t="n"/>
      <c r="AP201" s="43" t="n"/>
      <c r="AQ201" s="43" t="n"/>
      <c r="AR201" s="32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40" t="n"/>
      <c r="Z202" s="158">
        <f>IF(OR(Y202="",X202=""),"",IFERROR(Y202*INDEX(FXRates[USD per unit],MATCH(X202,FXRates[Currency],0)),"No rate"))</f>
        <v/>
      </c>
      <c r="AA202" s="38" t="n"/>
      <c r="AB202" s="38" t="n"/>
      <c r="AC202" s="41">
        <f>IF(A202="","",IF(COUNTIF($A$6:$A$504,A202)&gt;1,"⚠ Duplicate",""))</f>
        <v/>
      </c>
      <c r="AD202" s="42" t="n"/>
      <c r="AE202" s="42" t="n"/>
      <c r="AF202" s="42" t="n"/>
      <c r="AG202" s="42" t="n"/>
      <c r="AH202" s="42" t="n"/>
      <c r="AI202" s="42" t="n"/>
      <c r="AJ202" s="42" t="n"/>
      <c r="AK202" s="42" t="n"/>
      <c r="AL202" s="42" t="n"/>
      <c r="AM202" s="42" t="n"/>
      <c r="AN202" s="42" t="n"/>
      <c r="AO202" s="42" t="n"/>
      <c r="AP202" s="42" t="n"/>
      <c r="AQ202" s="42" t="n"/>
      <c r="AR202" s="38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5" t="n"/>
      <c r="Z203" s="157">
        <f>IF(OR(Y203="",X203=""),"",IFERROR(Y203*INDEX(FXRates[USD per unit],MATCH(X203,FXRates[Currency],0)),"No rate"))</f>
        <v/>
      </c>
      <c r="AA203" s="32" t="n"/>
      <c r="AB203" s="32" t="n"/>
      <c r="AC203" s="36">
        <f>IF(A203="","",IF(COUNTIF($A$6:$A$504,A203)&gt;1,"⚠ Duplicate",""))</f>
        <v/>
      </c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  <c r="AM203" s="43" t="n"/>
      <c r="AN203" s="43" t="n"/>
      <c r="AO203" s="43" t="n"/>
      <c r="AP203" s="43" t="n"/>
      <c r="AQ203" s="43" t="n"/>
      <c r="AR203" s="32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40" t="n"/>
      <c r="Z204" s="158">
        <f>IF(OR(Y204="",X204=""),"",IFERROR(Y204*INDEX(FXRates[USD per unit],MATCH(X204,FXRates[Currency],0)),"No rate"))</f>
        <v/>
      </c>
      <c r="AA204" s="38" t="n"/>
      <c r="AB204" s="38" t="n"/>
      <c r="AC204" s="41">
        <f>IF(A204="","",IF(COUNTIF($A$6:$A$504,A204)&gt;1,"⚠ Duplicate",""))</f>
        <v/>
      </c>
      <c r="AD204" s="42" t="n"/>
      <c r="AE204" s="42" t="n"/>
      <c r="AF204" s="42" t="n"/>
      <c r="AG204" s="42" t="n"/>
      <c r="AH204" s="42" t="n"/>
      <c r="AI204" s="42" t="n"/>
      <c r="AJ204" s="42" t="n"/>
      <c r="AK204" s="42" t="n"/>
      <c r="AL204" s="42" t="n"/>
      <c r="AM204" s="42" t="n"/>
      <c r="AN204" s="42" t="n"/>
      <c r="AO204" s="42" t="n"/>
      <c r="AP204" s="42" t="n"/>
      <c r="AQ204" s="42" t="n"/>
      <c r="AR204" s="38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5" t="n"/>
      <c r="Z205" s="157">
        <f>IF(OR(Y205="",X205=""),"",IFERROR(Y205*INDEX(FXRates[USD per unit],MATCH(X205,FXRates[Currency],0)),"No rate"))</f>
        <v/>
      </c>
      <c r="AA205" s="32" t="n"/>
      <c r="AB205" s="32" t="n"/>
      <c r="AC205" s="36">
        <f>IF(A205="","",IF(COUNTIF($A$6:$A$504,A205)&gt;1,"⚠ Duplicate",""))</f>
        <v/>
      </c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  <c r="AM205" s="43" t="n"/>
      <c r="AN205" s="43" t="n"/>
      <c r="AO205" s="43" t="n"/>
      <c r="AP205" s="43" t="n"/>
      <c r="AQ205" s="43" t="n"/>
      <c r="AR205" s="32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40" t="n"/>
      <c r="Z206" s="158">
        <f>IF(OR(Y206="",X206=""),"",IFERROR(Y206*INDEX(FXRates[USD per unit],MATCH(X206,FXRates[Currency],0)),"No rate"))</f>
        <v/>
      </c>
      <c r="AA206" s="38" t="n"/>
      <c r="AB206" s="38" t="n"/>
      <c r="AC206" s="41">
        <f>IF(A206="","",IF(COUNTIF($A$6:$A$504,A206)&gt;1,"⚠ Duplicate",""))</f>
        <v/>
      </c>
      <c r="AD206" s="42" t="n"/>
      <c r="AE206" s="42" t="n"/>
      <c r="AF206" s="42" t="n"/>
      <c r="AG206" s="42" t="n"/>
      <c r="AH206" s="42" t="n"/>
      <c r="AI206" s="42" t="n"/>
      <c r="AJ206" s="42" t="n"/>
      <c r="AK206" s="42" t="n"/>
      <c r="AL206" s="42" t="n"/>
      <c r="AM206" s="42" t="n"/>
      <c r="AN206" s="42" t="n"/>
      <c r="AO206" s="42" t="n"/>
      <c r="AP206" s="42" t="n"/>
      <c r="AQ206" s="42" t="n"/>
      <c r="AR206" s="38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5" t="n"/>
      <c r="Z207" s="157">
        <f>IF(OR(Y207="",X207=""),"",IFERROR(Y207*INDEX(FXRates[USD per unit],MATCH(X207,FXRates[Currency],0)),"No rate"))</f>
        <v/>
      </c>
      <c r="AA207" s="32" t="n"/>
      <c r="AB207" s="32" t="n"/>
      <c r="AC207" s="36">
        <f>IF(A207="","",IF(COUNTIF($A$6:$A$504,A207)&gt;1,"⚠ Duplicate",""))</f>
        <v/>
      </c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  <c r="AM207" s="43" t="n"/>
      <c r="AN207" s="43" t="n"/>
      <c r="AO207" s="43" t="n"/>
      <c r="AP207" s="43" t="n"/>
      <c r="AQ207" s="43" t="n"/>
      <c r="AR207" s="32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40" t="n"/>
      <c r="Z208" s="158">
        <f>IF(OR(Y208="",X208=""),"",IFERROR(Y208*INDEX(FXRates[USD per unit],MATCH(X208,FXRates[Currency],0)),"No rate"))</f>
        <v/>
      </c>
      <c r="AA208" s="38" t="n"/>
      <c r="AB208" s="38" t="n"/>
      <c r="AC208" s="41">
        <f>IF(A208="","",IF(COUNTIF($A$6:$A$504,A208)&gt;1,"⚠ Duplicate",""))</f>
        <v/>
      </c>
      <c r="AD208" s="42" t="n"/>
      <c r="AE208" s="42" t="n"/>
      <c r="AF208" s="42" t="n"/>
      <c r="AG208" s="42" t="n"/>
      <c r="AH208" s="42" t="n"/>
      <c r="AI208" s="42" t="n"/>
      <c r="AJ208" s="42" t="n"/>
      <c r="AK208" s="42" t="n"/>
      <c r="AL208" s="42" t="n"/>
      <c r="AM208" s="42" t="n"/>
      <c r="AN208" s="42" t="n"/>
      <c r="AO208" s="42" t="n"/>
      <c r="AP208" s="42" t="n"/>
      <c r="AQ208" s="42" t="n"/>
      <c r="AR208" s="38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5" t="n"/>
      <c r="Z209" s="157">
        <f>IF(OR(Y209="",X209=""),"",IFERROR(Y209*INDEX(FXRates[USD per unit],MATCH(X209,FXRates[Currency],0)),"No rate"))</f>
        <v/>
      </c>
      <c r="AA209" s="32" t="n"/>
      <c r="AB209" s="32" t="n"/>
      <c r="AC209" s="36">
        <f>IF(A209="","",IF(COUNTIF($A$6:$A$504,A209)&gt;1,"⚠ Duplicate",""))</f>
        <v/>
      </c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  <c r="AM209" s="43" t="n"/>
      <c r="AN209" s="43" t="n"/>
      <c r="AO209" s="43" t="n"/>
      <c r="AP209" s="43" t="n"/>
      <c r="AQ209" s="43" t="n"/>
      <c r="AR209" s="32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40" t="n"/>
      <c r="Z210" s="158">
        <f>IF(OR(Y210="",X210=""),"",IFERROR(Y210*INDEX(FXRates[USD per unit],MATCH(X210,FXRates[Currency],0)),"No rate"))</f>
        <v/>
      </c>
      <c r="AA210" s="38" t="n"/>
      <c r="AB210" s="38" t="n"/>
      <c r="AC210" s="41">
        <f>IF(A210="","",IF(COUNTIF($A$6:$A$504,A210)&gt;1,"⚠ Duplicate",""))</f>
        <v/>
      </c>
      <c r="AD210" s="42" t="n"/>
      <c r="AE210" s="42" t="n"/>
      <c r="AF210" s="42" t="n"/>
      <c r="AG210" s="42" t="n"/>
      <c r="AH210" s="42" t="n"/>
      <c r="AI210" s="42" t="n"/>
      <c r="AJ210" s="42" t="n"/>
      <c r="AK210" s="42" t="n"/>
      <c r="AL210" s="42" t="n"/>
      <c r="AM210" s="42" t="n"/>
      <c r="AN210" s="42" t="n"/>
      <c r="AO210" s="42" t="n"/>
      <c r="AP210" s="42" t="n"/>
      <c r="AQ210" s="42" t="n"/>
      <c r="AR210" s="38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5" t="n"/>
      <c r="Z211" s="157">
        <f>IF(OR(Y211="",X211=""),"",IFERROR(Y211*INDEX(FXRates[USD per unit],MATCH(X211,FXRates[Currency],0)),"No rate"))</f>
        <v/>
      </c>
      <c r="AA211" s="32" t="n"/>
      <c r="AB211" s="32" t="n"/>
      <c r="AC211" s="36">
        <f>IF(A211="","",IF(COUNTIF($A$6:$A$504,A211)&gt;1,"⚠ Duplicate",""))</f>
        <v/>
      </c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  <c r="AM211" s="43" t="n"/>
      <c r="AN211" s="43" t="n"/>
      <c r="AO211" s="43" t="n"/>
      <c r="AP211" s="43" t="n"/>
      <c r="AQ211" s="43" t="n"/>
      <c r="AR211" s="32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40" t="n"/>
      <c r="Z212" s="158">
        <f>IF(OR(Y212="",X212=""),"",IFERROR(Y212*INDEX(FXRates[USD per unit],MATCH(X212,FXRates[Currency],0)),"No rate"))</f>
        <v/>
      </c>
      <c r="AA212" s="38" t="n"/>
      <c r="AB212" s="38" t="n"/>
      <c r="AC212" s="41">
        <f>IF(A212="","",IF(COUNTIF($A$6:$A$504,A212)&gt;1,"⚠ Duplicate",""))</f>
        <v/>
      </c>
      <c r="AD212" s="42" t="n"/>
      <c r="AE212" s="42" t="n"/>
      <c r="AF212" s="42" t="n"/>
      <c r="AG212" s="42" t="n"/>
      <c r="AH212" s="42" t="n"/>
      <c r="AI212" s="42" t="n"/>
      <c r="AJ212" s="42" t="n"/>
      <c r="AK212" s="42" t="n"/>
      <c r="AL212" s="42" t="n"/>
      <c r="AM212" s="42" t="n"/>
      <c r="AN212" s="42" t="n"/>
      <c r="AO212" s="42" t="n"/>
      <c r="AP212" s="42" t="n"/>
      <c r="AQ212" s="42" t="n"/>
      <c r="AR212" s="38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5" t="n"/>
      <c r="Z213" s="157">
        <f>IF(OR(Y213="",X213=""),"",IFERROR(Y213*INDEX(FXRates[USD per unit],MATCH(X213,FXRates[Currency],0)),"No rate"))</f>
        <v/>
      </c>
      <c r="AA213" s="32" t="n"/>
      <c r="AB213" s="32" t="n"/>
      <c r="AC213" s="36">
        <f>IF(A213="","",IF(COUNTIF($A$6:$A$504,A213)&gt;1,"⚠ Duplicate",""))</f>
        <v/>
      </c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  <c r="AM213" s="43" t="n"/>
      <c r="AN213" s="43" t="n"/>
      <c r="AO213" s="43" t="n"/>
      <c r="AP213" s="43" t="n"/>
      <c r="AQ213" s="43" t="n"/>
      <c r="AR213" s="32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40" t="n"/>
      <c r="Z214" s="158">
        <f>IF(OR(Y214="",X214=""),"",IFERROR(Y214*INDEX(FXRates[USD per unit],MATCH(X214,FXRates[Currency],0)),"No rate"))</f>
        <v/>
      </c>
      <c r="AA214" s="38" t="n"/>
      <c r="AB214" s="38" t="n"/>
      <c r="AC214" s="41">
        <f>IF(A214="","",IF(COUNTIF($A$6:$A$504,A214)&gt;1,"⚠ Duplicate",""))</f>
        <v/>
      </c>
      <c r="AD214" s="42" t="n"/>
      <c r="AE214" s="42" t="n"/>
      <c r="AF214" s="42" t="n"/>
      <c r="AG214" s="42" t="n"/>
      <c r="AH214" s="42" t="n"/>
      <c r="AI214" s="42" t="n"/>
      <c r="AJ214" s="42" t="n"/>
      <c r="AK214" s="42" t="n"/>
      <c r="AL214" s="42" t="n"/>
      <c r="AM214" s="42" t="n"/>
      <c r="AN214" s="42" t="n"/>
      <c r="AO214" s="42" t="n"/>
      <c r="AP214" s="42" t="n"/>
      <c r="AQ214" s="42" t="n"/>
      <c r="AR214" s="38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5" t="n"/>
      <c r="Z215" s="157">
        <f>IF(OR(Y215="",X215=""),"",IFERROR(Y215*INDEX(FXRates[USD per unit],MATCH(X215,FXRates[Currency],0)),"No rate"))</f>
        <v/>
      </c>
      <c r="AA215" s="32" t="n"/>
      <c r="AB215" s="32" t="n"/>
      <c r="AC215" s="36">
        <f>IF(A215="","",IF(COUNTIF($A$6:$A$504,A215)&gt;1,"⚠ Duplicate",""))</f>
        <v/>
      </c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  <c r="AM215" s="43" t="n"/>
      <c r="AN215" s="43" t="n"/>
      <c r="AO215" s="43" t="n"/>
      <c r="AP215" s="43" t="n"/>
      <c r="AQ215" s="43" t="n"/>
      <c r="AR215" s="32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40" t="n"/>
      <c r="Z216" s="158">
        <f>IF(OR(Y216="",X216=""),"",IFERROR(Y216*INDEX(FXRates[USD per unit],MATCH(X216,FXRates[Currency],0)),"No rate"))</f>
        <v/>
      </c>
      <c r="AA216" s="38" t="n"/>
      <c r="AB216" s="38" t="n"/>
      <c r="AC216" s="41">
        <f>IF(A216="","",IF(COUNTIF($A$6:$A$504,A216)&gt;1,"⚠ Duplicate",""))</f>
        <v/>
      </c>
      <c r="AD216" s="42" t="n"/>
      <c r="AE216" s="42" t="n"/>
      <c r="AF216" s="42" t="n"/>
      <c r="AG216" s="42" t="n"/>
      <c r="AH216" s="42" t="n"/>
      <c r="AI216" s="42" t="n"/>
      <c r="AJ216" s="42" t="n"/>
      <c r="AK216" s="42" t="n"/>
      <c r="AL216" s="42" t="n"/>
      <c r="AM216" s="42" t="n"/>
      <c r="AN216" s="42" t="n"/>
      <c r="AO216" s="42" t="n"/>
      <c r="AP216" s="42" t="n"/>
      <c r="AQ216" s="42" t="n"/>
      <c r="AR216" s="38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5" t="n"/>
      <c r="Z217" s="157">
        <f>IF(OR(Y217="",X217=""),"",IFERROR(Y217*INDEX(FXRates[USD per unit],MATCH(X217,FXRates[Currency],0)),"No rate"))</f>
        <v/>
      </c>
      <c r="AA217" s="32" t="n"/>
      <c r="AB217" s="32" t="n"/>
      <c r="AC217" s="36">
        <f>IF(A217="","",IF(COUNTIF($A$6:$A$504,A217)&gt;1,"⚠ Duplicate",""))</f>
        <v/>
      </c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  <c r="AM217" s="43" t="n"/>
      <c r="AN217" s="43" t="n"/>
      <c r="AO217" s="43" t="n"/>
      <c r="AP217" s="43" t="n"/>
      <c r="AQ217" s="43" t="n"/>
      <c r="AR217" s="32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40" t="n"/>
      <c r="Z218" s="158">
        <f>IF(OR(Y218="",X218=""),"",IFERROR(Y218*INDEX(FXRates[USD per unit],MATCH(X218,FXRates[Currency],0)),"No rate"))</f>
        <v/>
      </c>
      <c r="AA218" s="38" t="n"/>
      <c r="AB218" s="38" t="n"/>
      <c r="AC218" s="41">
        <f>IF(A218="","",IF(COUNTIF($A$6:$A$504,A218)&gt;1,"⚠ Duplicate",""))</f>
        <v/>
      </c>
      <c r="AD218" s="42" t="n"/>
      <c r="AE218" s="42" t="n"/>
      <c r="AF218" s="42" t="n"/>
      <c r="AG218" s="42" t="n"/>
      <c r="AH218" s="42" t="n"/>
      <c r="AI218" s="42" t="n"/>
      <c r="AJ218" s="42" t="n"/>
      <c r="AK218" s="42" t="n"/>
      <c r="AL218" s="42" t="n"/>
      <c r="AM218" s="42" t="n"/>
      <c r="AN218" s="42" t="n"/>
      <c r="AO218" s="42" t="n"/>
      <c r="AP218" s="42" t="n"/>
      <c r="AQ218" s="42" t="n"/>
      <c r="AR218" s="38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5" t="n"/>
      <c r="Z219" s="157">
        <f>IF(OR(Y219="",X219=""),"",IFERROR(Y219*INDEX(FXRates[USD per unit],MATCH(X219,FXRates[Currency],0)),"No rate"))</f>
        <v/>
      </c>
      <c r="AA219" s="32" t="n"/>
      <c r="AB219" s="32" t="n"/>
      <c r="AC219" s="36">
        <f>IF(A219="","",IF(COUNTIF($A$6:$A$504,A219)&gt;1,"⚠ Duplicate",""))</f>
        <v/>
      </c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  <c r="AM219" s="43" t="n"/>
      <c r="AN219" s="43" t="n"/>
      <c r="AO219" s="43" t="n"/>
      <c r="AP219" s="43" t="n"/>
      <c r="AQ219" s="43" t="n"/>
      <c r="AR219" s="32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40" t="n"/>
      <c r="Z220" s="158">
        <f>IF(OR(Y220="",X220=""),"",IFERROR(Y220*INDEX(FXRates[USD per unit],MATCH(X220,FXRates[Currency],0)),"No rate"))</f>
        <v/>
      </c>
      <c r="AA220" s="38" t="n"/>
      <c r="AB220" s="38" t="n"/>
      <c r="AC220" s="41">
        <f>IF(A220="","",IF(COUNTIF($A$6:$A$504,A220)&gt;1,"⚠ Duplicate",""))</f>
        <v/>
      </c>
      <c r="AD220" s="42" t="n"/>
      <c r="AE220" s="42" t="n"/>
      <c r="AF220" s="42" t="n"/>
      <c r="AG220" s="42" t="n"/>
      <c r="AH220" s="42" t="n"/>
      <c r="AI220" s="42" t="n"/>
      <c r="AJ220" s="42" t="n"/>
      <c r="AK220" s="42" t="n"/>
      <c r="AL220" s="42" t="n"/>
      <c r="AM220" s="42" t="n"/>
      <c r="AN220" s="42" t="n"/>
      <c r="AO220" s="42" t="n"/>
      <c r="AP220" s="42" t="n"/>
      <c r="AQ220" s="42" t="n"/>
      <c r="AR220" s="38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5" t="n"/>
      <c r="Z221" s="157">
        <f>IF(OR(Y221="",X221=""),"",IFERROR(Y221*INDEX(FXRates[USD per unit],MATCH(X221,FXRates[Currency],0)),"No rate"))</f>
        <v/>
      </c>
      <c r="AA221" s="32" t="n"/>
      <c r="AB221" s="32" t="n"/>
      <c r="AC221" s="36">
        <f>IF(A221="","",IF(COUNTIF($A$6:$A$504,A221)&gt;1,"⚠ Duplicate",""))</f>
        <v/>
      </c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  <c r="AM221" s="43" t="n"/>
      <c r="AN221" s="43" t="n"/>
      <c r="AO221" s="43" t="n"/>
      <c r="AP221" s="43" t="n"/>
      <c r="AQ221" s="43" t="n"/>
      <c r="AR221" s="32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40" t="n"/>
      <c r="Z222" s="158">
        <f>IF(OR(Y222="",X222=""),"",IFERROR(Y222*INDEX(FXRates[USD per unit],MATCH(X222,FXRates[Currency],0)),"No rate"))</f>
        <v/>
      </c>
      <c r="AA222" s="38" t="n"/>
      <c r="AB222" s="38" t="n"/>
      <c r="AC222" s="41">
        <f>IF(A222="","",IF(COUNTIF($A$6:$A$504,A222)&gt;1,"⚠ Duplicate",""))</f>
        <v/>
      </c>
      <c r="AD222" s="42" t="n"/>
      <c r="AE222" s="42" t="n"/>
      <c r="AF222" s="42" t="n"/>
      <c r="AG222" s="42" t="n"/>
      <c r="AH222" s="42" t="n"/>
      <c r="AI222" s="42" t="n"/>
      <c r="AJ222" s="42" t="n"/>
      <c r="AK222" s="42" t="n"/>
      <c r="AL222" s="42" t="n"/>
      <c r="AM222" s="42" t="n"/>
      <c r="AN222" s="42" t="n"/>
      <c r="AO222" s="42" t="n"/>
      <c r="AP222" s="42" t="n"/>
      <c r="AQ222" s="42" t="n"/>
      <c r="AR222" s="38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5" t="n"/>
      <c r="Z223" s="157">
        <f>IF(OR(Y223="",X223=""),"",IFERROR(Y223*INDEX(FXRates[USD per unit],MATCH(X223,FXRates[Currency],0)),"No rate"))</f>
        <v/>
      </c>
      <c r="AA223" s="32" t="n"/>
      <c r="AB223" s="32" t="n"/>
      <c r="AC223" s="36">
        <f>IF(A223="","",IF(COUNTIF($A$6:$A$504,A223)&gt;1,"⚠ Duplicate",""))</f>
        <v/>
      </c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  <c r="AM223" s="43" t="n"/>
      <c r="AN223" s="43" t="n"/>
      <c r="AO223" s="43" t="n"/>
      <c r="AP223" s="43" t="n"/>
      <c r="AQ223" s="43" t="n"/>
      <c r="AR223" s="32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40" t="n"/>
      <c r="Z224" s="158">
        <f>IF(OR(Y224="",X224=""),"",IFERROR(Y224*INDEX(FXRates[USD per unit],MATCH(X224,FXRates[Currency],0)),"No rate"))</f>
        <v/>
      </c>
      <c r="AA224" s="38" t="n"/>
      <c r="AB224" s="38" t="n"/>
      <c r="AC224" s="41">
        <f>IF(A224="","",IF(COUNTIF($A$6:$A$504,A224)&gt;1,"⚠ Duplicate",""))</f>
        <v/>
      </c>
      <c r="AD224" s="42" t="n"/>
      <c r="AE224" s="42" t="n"/>
      <c r="AF224" s="42" t="n"/>
      <c r="AG224" s="42" t="n"/>
      <c r="AH224" s="42" t="n"/>
      <c r="AI224" s="42" t="n"/>
      <c r="AJ224" s="42" t="n"/>
      <c r="AK224" s="42" t="n"/>
      <c r="AL224" s="42" t="n"/>
      <c r="AM224" s="42" t="n"/>
      <c r="AN224" s="42" t="n"/>
      <c r="AO224" s="42" t="n"/>
      <c r="AP224" s="42" t="n"/>
      <c r="AQ224" s="42" t="n"/>
      <c r="AR224" s="38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5" t="n"/>
      <c r="Z225" s="157">
        <f>IF(OR(Y225="",X225=""),"",IFERROR(Y225*INDEX(FXRates[USD per unit],MATCH(X225,FXRates[Currency],0)),"No rate"))</f>
        <v/>
      </c>
      <c r="AA225" s="32" t="n"/>
      <c r="AB225" s="32" t="n"/>
      <c r="AC225" s="36">
        <f>IF(A225="","",IF(COUNTIF($A$6:$A$504,A225)&gt;1,"⚠ Duplicate",""))</f>
        <v/>
      </c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  <c r="AM225" s="43" t="n"/>
      <c r="AN225" s="43" t="n"/>
      <c r="AO225" s="43" t="n"/>
      <c r="AP225" s="43" t="n"/>
      <c r="AQ225" s="43" t="n"/>
      <c r="AR225" s="32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40" t="n"/>
      <c r="Z226" s="158">
        <f>IF(OR(Y226="",X226=""),"",IFERROR(Y226*INDEX(FXRates[USD per unit],MATCH(X226,FXRates[Currency],0)),"No rate"))</f>
        <v/>
      </c>
      <c r="AA226" s="38" t="n"/>
      <c r="AB226" s="38" t="n"/>
      <c r="AC226" s="41">
        <f>IF(A226="","",IF(COUNTIF($A$6:$A$504,A226)&gt;1,"⚠ Duplicate",""))</f>
        <v/>
      </c>
      <c r="AD226" s="42" t="n"/>
      <c r="AE226" s="42" t="n"/>
      <c r="AF226" s="42" t="n"/>
      <c r="AG226" s="42" t="n"/>
      <c r="AH226" s="42" t="n"/>
      <c r="AI226" s="42" t="n"/>
      <c r="AJ226" s="42" t="n"/>
      <c r="AK226" s="42" t="n"/>
      <c r="AL226" s="42" t="n"/>
      <c r="AM226" s="42" t="n"/>
      <c r="AN226" s="42" t="n"/>
      <c r="AO226" s="42" t="n"/>
      <c r="AP226" s="42" t="n"/>
      <c r="AQ226" s="42" t="n"/>
      <c r="AR226" s="38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5" t="n"/>
      <c r="Z227" s="157">
        <f>IF(OR(Y227="",X227=""),"",IFERROR(Y227*INDEX(FXRates[USD per unit],MATCH(X227,FXRates[Currency],0)),"No rate"))</f>
        <v/>
      </c>
      <c r="AA227" s="32" t="n"/>
      <c r="AB227" s="32" t="n"/>
      <c r="AC227" s="36">
        <f>IF(A227="","",IF(COUNTIF($A$6:$A$504,A227)&gt;1,"⚠ Duplicate",""))</f>
        <v/>
      </c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  <c r="AM227" s="43" t="n"/>
      <c r="AN227" s="43" t="n"/>
      <c r="AO227" s="43" t="n"/>
      <c r="AP227" s="43" t="n"/>
      <c r="AQ227" s="43" t="n"/>
      <c r="AR227" s="32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40" t="n"/>
      <c r="Z228" s="158">
        <f>IF(OR(Y228="",X228=""),"",IFERROR(Y228*INDEX(FXRates[USD per unit],MATCH(X228,FXRates[Currency],0)),"No rate"))</f>
        <v/>
      </c>
      <c r="AA228" s="38" t="n"/>
      <c r="AB228" s="38" t="n"/>
      <c r="AC228" s="41">
        <f>IF(A228="","",IF(COUNTIF($A$6:$A$504,A228)&gt;1,"⚠ Duplicate",""))</f>
        <v/>
      </c>
      <c r="AD228" s="42" t="n"/>
      <c r="AE228" s="42" t="n"/>
      <c r="AF228" s="42" t="n"/>
      <c r="AG228" s="42" t="n"/>
      <c r="AH228" s="42" t="n"/>
      <c r="AI228" s="42" t="n"/>
      <c r="AJ228" s="42" t="n"/>
      <c r="AK228" s="42" t="n"/>
      <c r="AL228" s="42" t="n"/>
      <c r="AM228" s="42" t="n"/>
      <c r="AN228" s="42" t="n"/>
      <c r="AO228" s="42" t="n"/>
      <c r="AP228" s="42" t="n"/>
      <c r="AQ228" s="42" t="n"/>
      <c r="AR228" s="38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5" t="n"/>
      <c r="Z229" s="157">
        <f>IF(OR(Y229="",X229=""),"",IFERROR(Y229*INDEX(FXRates[USD per unit],MATCH(X229,FXRates[Currency],0)),"No rate"))</f>
        <v/>
      </c>
      <c r="AA229" s="32" t="n"/>
      <c r="AB229" s="32" t="n"/>
      <c r="AC229" s="36">
        <f>IF(A229="","",IF(COUNTIF($A$6:$A$504,A229)&gt;1,"⚠ Duplicate",""))</f>
        <v/>
      </c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  <c r="AM229" s="43" t="n"/>
      <c r="AN229" s="43" t="n"/>
      <c r="AO229" s="43" t="n"/>
      <c r="AP229" s="43" t="n"/>
      <c r="AQ229" s="43" t="n"/>
      <c r="AR229" s="32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40" t="n"/>
      <c r="Z230" s="158">
        <f>IF(OR(Y230="",X230=""),"",IFERROR(Y230*INDEX(FXRates[USD per unit],MATCH(X230,FXRates[Currency],0)),"No rate"))</f>
        <v/>
      </c>
      <c r="AA230" s="38" t="n"/>
      <c r="AB230" s="38" t="n"/>
      <c r="AC230" s="41">
        <f>IF(A230="","",IF(COUNTIF($A$6:$A$504,A230)&gt;1,"⚠ Duplicate",""))</f>
        <v/>
      </c>
      <c r="AD230" s="42" t="n"/>
      <c r="AE230" s="42" t="n"/>
      <c r="AF230" s="42" t="n"/>
      <c r="AG230" s="42" t="n"/>
      <c r="AH230" s="42" t="n"/>
      <c r="AI230" s="42" t="n"/>
      <c r="AJ230" s="42" t="n"/>
      <c r="AK230" s="42" t="n"/>
      <c r="AL230" s="42" t="n"/>
      <c r="AM230" s="42" t="n"/>
      <c r="AN230" s="42" t="n"/>
      <c r="AO230" s="42" t="n"/>
      <c r="AP230" s="42" t="n"/>
      <c r="AQ230" s="42" t="n"/>
      <c r="AR230" s="38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5" t="n"/>
      <c r="Z231" s="157">
        <f>IF(OR(Y231="",X231=""),"",IFERROR(Y231*INDEX(FXRates[USD per unit],MATCH(X231,FXRates[Currency],0)),"No rate"))</f>
        <v/>
      </c>
      <c r="AA231" s="32" t="n"/>
      <c r="AB231" s="32" t="n"/>
      <c r="AC231" s="36">
        <f>IF(A231="","",IF(COUNTIF($A$6:$A$504,A231)&gt;1,"⚠ Duplicate",""))</f>
        <v/>
      </c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  <c r="AM231" s="43" t="n"/>
      <c r="AN231" s="43" t="n"/>
      <c r="AO231" s="43" t="n"/>
      <c r="AP231" s="43" t="n"/>
      <c r="AQ231" s="43" t="n"/>
      <c r="AR231" s="32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40" t="n"/>
      <c r="Z232" s="158">
        <f>IF(OR(Y232="",X232=""),"",IFERROR(Y232*INDEX(FXRates[USD per unit],MATCH(X232,FXRates[Currency],0)),"No rate"))</f>
        <v/>
      </c>
      <c r="AA232" s="38" t="n"/>
      <c r="AB232" s="38" t="n"/>
      <c r="AC232" s="41">
        <f>IF(A232="","",IF(COUNTIF($A$6:$A$504,A232)&gt;1,"⚠ Duplicate",""))</f>
        <v/>
      </c>
      <c r="AD232" s="42" t="n"/>
      <c r="AE232" s="42" t="n"/>
      <c r="AF232" s="42" t="n"/>
      <c r="AG232" s="42" t="n"/>
      <c r="AH232" s="42" t="n"/>
      <c r="AI232" s="42" t="n"/>
      <c r="AJ232" s="42" t="n"/>
      <c r="AK232" s="42" t="n"/>
      <c r="AL232" s="42" t="n"/>
      <c r="AM232" s="42" t="n"/>
      <c r="AN232" s="42" t="n"/>
      <c r="AO232" s="42" t="n"/>
      <c r="AP232" s="42" t="n"/>
      <c r="AQ232" s="42" t="n"/>
      <c r="AR232" s="38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5" t="n"/>
      <c r="Z233" s="157">
        <f>IF(OR(Y233="",X233=""),"",IFERROR(Y233*INDEX(FXRates[USD per unit],MATCH(X233,FXRates[Currency],0)),"No rate"))</f>
        <v/>
      </c>
      <c r="AA233" s="32" t="n"/>
      <c r="AB233" s="32" t="n"/>
      <c r="AC233" s="36">
        <f>IF(A233="","",IF(COUNTIF($A$6:$A$504,A233)&gt;1,"⚠ Duplicate",""))</f>
        <v/>
      </c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  <c r="AM233" s="43" t="n"/>
      <c r="AN233" s="43" t="n"/>
      <c r="AO233" s="43" t="n"/>
      <c r="AP233" s="43" t="n"/>
      <c r="AQ233" s="43" t="n"/>
      <c r="AR233" s="32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40" t="n"/>
      <c r="Z234" s="158">
        <f>IF(OR(Y234="",X234=""),"",IFERROR(Y234*INDEX(FXRates[USD per unit],MATCH(X234,FXRates[Currency],0)),"No rate"))</f>
        <v/>
      </c>
      <c r="AA234" s="38" t="n"/>
      <c r="AB234" s="38" t="n"/>
      <c r="AC234" s="41">
        <f>IF(A234="","",IF(COUNTIF($A$6:$A$504,A234)&gt;1,"⚠ Duplicate",""))</f>
        <v/>
      </c>
      <c r="AD234" s="42" t="n"/>
      <c r="AE234" s="42" t="n"/>
      <c r="AF234" s="42" t="n"/>
      <c r="AG234" s="42" t="n"/>
      <c r="AH234" s="42" t="n"/>
      <c r="AI234" s="42" t="n"/>
      <c r="AJ234" s="42" t="n"/>
      <c r="AK234" s="42" t="n"/>
      <c r="AL234" s="42" t="n"/>
      <c r="AM234" s="42" t="n"/>
      <c r="AN234" s="42" t="n"/>
      <c r="AO234" s="42" t="n"/>
      <c r="AP234" s="42" t="n"/>
      <c r="AQ234" s="42" t="n"/>
      <c r="AR234" s="38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5" t="n"/>
      <c r="Z235" s="157">
        <f>IF(OR(Y235="",X235=""),"",IFERROR(Y235*INDEX(FXRates[USD per unit],MATCH(X235,FXRates[Currency],0)),"No rate"))</f>
        <v/>
      </c>
      <c r="AA235" s="32" t="n"/>
      <c r="AB235" s="32" t="n"/>
      <c r="AC235" s="36">
        <f>IF(A235="","",IF(COUNTIF($A$6:$A$504,A235)&gt;1,"⚠ Duplicate",""))</f>
        <v/>
      </c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  <c r="AM235" s="43" t="n"/>
      <c r="AN235" s="43" t="n"/>
      <c r="AO235" s="43" t="n"/>
      <c r="AP235" s="43" t="n"/>
      <c r="AQ235" s="43" t="n"/>
      <c r="AR235" s="32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40" t="n"/>
      <c r="Z236" s="158">
        <f>IF(OR(Y236="",X236=""),"",IFERROR(Y236*INDEX(FXRates[USD per unit],MATCH(X236,FXRates[Currency],0)),"No rate"))</f>
        <v/>
      </c>
      <c r="AA236" s="38" t="n"/>
      <c r="AB236" s="38" t="n"/>
      <c r="AC236" s="41">
        <f>IF(A236="","",IF(COUNTIF($A$6:$A$504,A236)&gt;1,"⚠ Duplicate",""))</f>
        <v/>
      </c>
      <c r="AD236" s="42" t="n"/>
      <c r="AE236" s="42" t="n"/>
      <c r="AF236" s="42" t="n"/>
      <c r="AG236" s="42" t="n"/>
      <c r="AH236" s="42" t="n"/>
      <c r="AI236" s="42" t="n"/>
      <c r="AJ236" s="42" t="n"/>
      <c r="AK236" s="42" t="n"/>
      <c r="AL236" s="42" t="n"/>
      <c r="AM236" s="42" t="n"/>
      <c r="AN236" s="42" t="n"/>
      <c r="AO236" s="42" t="n"/>
      <c r="AP236" s="42" t="n"/>
      <c r="AQ236" s="42" t="n"/>
      <c r="AR236" s="38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5" t="n"/>
      <c r="Z237" s="157">
        <f>IF(OR(Y237="",X237=""),"",IFERROR(Y237*INDEX(FXRates[USD per unit],MATCH(X237,FXRates[Currency],0)),"No rate"))</f>
        <v/>
      </c>
      <c r="AA237" s="32" t="n"/>
      <c r="AB237" s="32" t="n"/>
      <c r="AC237" s="36">
        <f>IF(A237="","",IF(COUNTIF($A$6:$A$504,A237)&gt;1,"⚠ Duplicate",""))</f>
        <v/>
      </c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  <c r="AM237" s="43" t="n"/>
      <c r="AN237" s="43" t="n"/>
      <c r="AO237" s="43" t="n"/>
      <c r="AP237" s="43" t="n"/>
      <c r="AQ237" s="43" t="n"/>
      <c r="AR237" s="32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40" t="n"/>
      <c r="Z238" s="158">
        <f>IF(OR(Y238="",X238=""),"",IFERROR(Y238*INDEX(FXRates[USD per unit],MATCH(X238,FXRates[Currency],0)),"No rate"))</f>
        <v/>
      </c>
      <c r="AA238" s="38" t="n"/>
      <c r="AB238" s="38" t="n"/>
      <c r="AC238" s="41">
        <f>IF(A238="","",IF(COUNTIF($A$6:$A$504,A238)&gt;1,"⚠ Duplicate",""))</f>
        <v/>
      </c>
      <c r="AD238" s="42" t="n"/>
      <c r="AE238" s="42" t="n"/>
      <c r="AF238" s="42" t="n"/>
      <c r="AG238" s="42" t="n"/>
      <c r="AH238" s="42" t="n"/>
      <c r="AI238" s="42" t="n"/>
      <c r="AJ238" s="42" t="n"/>
      <c r="AK238" s="42" t="n"/>
      <c r="AL238" s="42" t="n"/>
      <c r="AM238" s="42" t="n"/>
      <c r="AN238" s="42" t="n"/>
      <c r="AO238" s="42" t="n"/>
      <c r="AP238" s="42" t="n"/>
      <c r="AQ238" s="42" t="n"/>
      <c r="AR238" s="38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5" t="n"/>
      <c r="Z239" s="157">
        <f>IF(OR(Y239="",X239=""),"",IFERROR(Y239*INDEX(FXRates[USD per unit],MATCH(X239,FXRates[Currency],0)),"No rate"))</f>
        <v/>
      </c>
      <c r="AA239" s="32" t="n"/>
      <c r="AB239" s="32" t="n"/>
      <c r="AC239" s="36">
        <f>IF(A239="","",IF(COUNTIF($A$6:$A$504,A239)&gt;1,"⚠ Duplicate",""))</f>
        <v/>
      </c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  <c r="AM239" s="43" t="n"/>
      <c r="AN239" s="43" t="n"/>
      <c r="AO239" s="43" t="n"/>
      <c r="AP239" s="43" t="n"/>
      <c r="AQ239" s="43" t="n"/>
      <c r="AR239" s="32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40" t="n"/>
      <c r="Z240" s="158">
        <f>IF(OR(Y240="",X240=""),"",IFERROR(Y240*INDEX(FXRates[USD per unit],MATCH(X240,FXRates[Currency],0)),"No rate"))</f>
        <v/>
      </c>
      <c r="AA240" s="38" t="n"/>
      <c r="AB240" s="38" t="n"/>
      <c r="AC240" s="41">
        <f>IF(A240="","",IF(COUNTIF($A$6:$A$504,A240)&gt;1,"⚠ Duplicate",""))</f>
        <v/>
      </c>
      <c r="AD240" s="42" t="n"/>
      <c r="AE240" s="42" t="n"/>
      <c r="AF240" s="42" t="n"/>
      <c r="AG240" s="42" t="n"/>
      <c r="AH240" s="42" t="n"/>
      <c r="AI240" s="42" t="n"/>
      <c r="AJ240" s="42" t="n"/>
      <c r="AK240" s="42" t="n"/>
      <c r="AL240" s="42" t="n"/>
      <c r="AM240" s="42" t="n"/>
      <c r="AN240" s="42" t="n"/>
      <c r="AO240" s="42" t="n"/>
      <c r="AP240" s="42" t="n"/>
      <c r="AQ240" s="42" t="n"/>
      <c r="AR240" s="38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5" t="n"/>
      <c r="Z241" s="157">
        <f>IF(OR(Y241="",X241=""),"",IFERROR(Y241*INDEX(FXRates[USD per unit],MATCH(X241,FXRates[Currency],0)),"No rate"))</f>
        <v/>
      </c>
      <c r="AA241" s="32" t="n"/>
      <c r="AB241" s="32" t="n"/>
      <c r="AC241" s="36">
        <f>IF(A241="","",IF(COUNTIF($A$6:$A$504,A241)&gt;1,"⚠ Duplicate",""))</f>
        <v/>
      </c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  <c r="AM241" s="43" t="n"/>
      <c r="AN241" s="43" t="n"/>
      <c r="AO241" s="43" t="n"/>
      <c r="AP241" s="43" t="n"/>
      <c r="AQ241" s="43" t="n"/>
      <c r="AR241" s="32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40" t="n"/>
      <c r="Z242" s="158">
        <f>IF(OR(Y242="",X242=""),"",IFERROR(Y242*INDEX(FXRates[USD per unit],MATCH(X242,FXRates[Currency],0)),"No rate"))</f>
        <v/>
      </c>
      <c r="AA242" s="38" t="n"/>
      <c r="AB242" s="38" t="n"/>
      <c r="AC242" s="41">
        <f>IF(A242="","",IF(COUNTIF($A$6:$A$504,A242)&gt;1,"⚠ Duplicate",""))</f>
        <v/>
      </c>
      <c r="AD242" s="42" t="n"/>
      <c r="AE242" s="42" t="n"/>
      <c r="AF242" s="42" t="n"/>
      <c r="AG242" s="42" t="n"/>
      <c r="AH242" s="42" t="n"/>
      <c r="AI242" s="42" t="n"/>
      <c r="AJ242" s="42" t="n"/>
      <c r="AK242" s="42" t="n"/>
      <c r="AL242" s="42" t="n"/>
      <c r="AM242" s="42" t="n"/>
      <c r="AN242" s="42" t="n"/>
      <c r="AO242" s="42" t="n"/>
      <c r="AP242" s="42" t="n"/>
      <c r="AQ242" s="42" t="n"/>
      <c r="AR242" s="38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5" t="n"/>
      <c r="Z243" s="157">
        <f>IF(OR(Y243="",X243=""),"",IFERROR(Y243*INDEX(FXRates[USD per unit],MATCH(X243,FXRates[Currency],0)),"No rate"))</f>
        <v/>
      </c>
      <c r="AA243" s="32" t="n"/>
      <c r="AB243" s="32" t="n"/>
      <c r="AC243" s="36">
        <f>IF(A243="","",IF(COUNTIF($A$6:$A$504,A243)&gt;1,"⚠ Duplicate",""))</f>
        <v/>
      </c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  <c r="AM243" s="43" t="n"/>
      <c r="AN243" s="43" t="n"/>
      <c r="AO243" s="43" t="n"/>
      <c r="AP243" s="43" t="n"/>
      <c r="AQ243" s="43" t="n"/>
      <c r="AR243" s="32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40" t="n"/>
      <c r="Z244" s="158">
        <f>IF(OR(Y244="",X244=""),"",IFERROR(Y244*INDEX(FXRates[USD per unit],MATCH(X244,FXRates[Currency],0)),"No rate"))</f>
        <v/>
      </c>
      <c r="AA244" s="38" t="n"/>
      <c r="AB244" s="38" t="n"/>
      <c r="AC244" s="41">
        <f>IF(A244="","",IF(COUNTIF($A$6:$A$504,A244)&gt;1,"⚠ Duplicate",""))</f>
        <v/>
      </c>
      <c r="AD244" s="42" t="n"/>
      <c r="AE244" s="42" t="n"/>
      <c r="AF244" s="42" t="n"/>
      <c r="AG244" s="42" t="n"/>
      <c r="AH244" s="42" t="n"/>
      <c r="AI244" s="42" t="n"/>
      <c r="AJ244" s="42" t="n"/>
      <c r="AK244" s="42" t="n"/>
      <c r="AL244" s="42" t="n"/>
      <c r="AM244" s="42" t="n"/>
      <c r="AN244" s="42" t="n"/>
      <c r="AO244" s="42" t="n"/>
      <c r="AP244" s="42" t="n"/>
      <c r="AQ244" s="42" t="n"/>
      <c r="AR244" s="38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5" t="n"/>
      <c r="Z245" s="157">
        <f>IF(OR(Y245="",X245=""),"",IFERROR(Y245*INDEX(FXRates[USD per unit],MATCH(X245,FXRates[Currency],0)),"No rate"))</f>
        <v/>
      </c>
      <c r="AA245" s="32" t="n"/>
      <c r="AB245" s="32" t="n"/>
      <c r="AC245" s="36">
        <f>IF(A245="","",IF(COUNTIF($A$6:$A$504,A245)&gt;1,"⚠ Duplicate",""))</f>
        <v/>
      </c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  <c r="AM245" s="43" t="n"/>
      <c r="AN245" s="43" t="n"/>
      <c r="AO245" s="43" t="n"/>
      <c r="AP245" s="43" t="n"/>
      <c r="AQ245" s="43" t="n"/>
      <c r="AR245" s="32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40" t="n"/>
      <c r="Z246" s="158">
        <f>IF(OR(Y246="",X246=""),"",IFERROR(Y246*INDEX(FXRates[USD per unit],MATCH(X246,FXRates[Currency],0)),"No rate"))</f>
        <v/>
      </c>
      <c r="AA246" s="38" t="n"/>
      <c r="AB246" s="38" t="n"/>
      <c r="AC246" s="41">
        <f>IF(A246="","",IF(COUNTIF($A$6:$A$504,A246)&gt;1,"⚠ Duplicate",""))</f>
        <v/>
      </c>
      <c r="AD246" s="42" t="n"/>
      <c r="AE246" s="42" t="n"/>
      <c r="AF246" s="42" t="n"/>
      <c r="AG246" s="42" t="n"/>
      <c r="AH246" s="42" t="n"/>
      <c r="AI246" s="42" t="n"/>
      <c r="AJ246" s="42" t="n"/>
      <c r="AK246" s="42" t="n"/>
      <c r="AL246" s="42" t="n"/>
      <c r="AM246" s="42" t="n"/>
      <c r="AN246" s="42" t="n"/>
      <c r="AO246" s="42" t="n"/>
      <c r="AP246" s="42" t="n"/>
      <c r="AQ246" s="42" t="n"/>
      <c r="AR246" s="38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5" t="n"/>
      <c r="Z247" s="157">
        <f>IF(OR(Y247="",X247=""),"",IFERROR(Y247*INDEX(FXRates[USD per unit],MATCH(X247,FXRates[Currency],0)),"No rate"))</f>
        <v/>
      </c>
      <c r="AA247" s="32" t="n"/>
      <c r="AB247" s="32" t="n"/>
      <c r="AC247" s="36">
        <f>IF(A247="","",IF(COUNTIF($A$6:$A$504,A247)&gt;1,"⚠ Duplicate",""))</f>
        <v/>
      </c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  <c r="AM247" s="43" t="n"/>
      <c r="AN247" s="43" t="n"/>
      <c r="AO247" s="43" t="n"/>
      <c r="AP247" s="43" t="n"/>
      <c r="AQ247" s="43" t="n"/>
      <c r="AR247" s="32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40" t="n"/>
      <c r="Z248" s="158">
        <f>IF(OR(Y248="",X248=""),"",IFERROR(Y248*INDEX(FXRates[USD per unit],MATCH(X248,FXRates[Currency],0)),"No rate"))</f>
        <v/>
      </c>
      <c r="AA248" s="38" t="n"/>
      <c r="AB248" s="38" t="n"/>
      <c r="AC248" s="41">
        <f>IF(A248="","",IF(COUNTIF($A$6:$A$504,A248)&gt;1,"⚠ Duplicate",""))</f>
        <v/>
      </c>
      <c r="AD248" s="42" t="n"/>
      <c r="AE248" s="42" t="n"/>
      <c r="AF248" s="42" t="n"/>
      <c r="AG248" s="42" t="n"/>
      <c r="AH248" s="42" t="n"/>
      <c r="AI248" s="42" t="n"/>
      <c r="AJ248" s="42" t="n"/>
      <c r="AK248" s="42" t="n"/>
      <c r="AL248" s="42" t="n"/>
      <c r="AM248" s="42" t="n"/>
      <c r="AN248" s="42" t="n"/>
      <c r="AO248" s="42" t="n"/>
      <c r="AP248" s="42" t="n"/>
      <c r="AQ248" s="42" t="n"/>
      <c r="AR248" s="38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5" t="n"/>
      <c r="Z249" s="157">
        <f>IF(OR(Y249="",X249=""),"",IFERROR(Y249*INDEX(FXRates[USD per unit],MATCH(X249,FXRates[Currency],0)),"No rate"))</f>
        <v/>
      </c>
      <c r="AA249" s="32" t="n"/>
      <c r="AB249" s="32" t="n"/>
      <c r="AC249" s="36">
        <f>IF(A249="","",IF(COUNTIF($A$6:$A$504,A249)&gt;1,"⚠ Duplicate",""))</f>
        <v/>
      </c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  <c r="AM249" s="43" t="n"/>
      <c r="AN249" s="43" t="n"/>
      <c r="AO249" s="43" t="n"/>
      <c r="AP249" s="43" t="n"/>
      <c r="AQ249" s="43" t="n"/>
      <c r="AR249" s="32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40" t="n"/>
      <c r="Z250" s="158">
        <f>IF(OR(Y250="",X250=""),"",IFERROR(Y250*INDEX(FXRates[USD per unit],MATCH(X250,FXRates[Currency],0)),"No rate"))</f>
        <v/>
      </c>
      <c r="AA250" s="38" t="n"/>
      <c r="AB250" s="38" t="n"/>
      <c r="AC250" s="41">
        <f>IF(A250="","",IF(COUNTIF($A$6:$A$504,A250)&gt;1,"⚠ Duplicate",""))</f>
        <v/>
      </c>
      <c r="AD250" s="42" t="n"/>
      <c r="AE250" s="42" t="n"/>
      <c r="AF250" s="42" t="n"/>
      <c r="AG250" s="42" t="n"/>
      <c r="AH250" s="42" t="n"/>
      <c r="AI250" s="42" t="n"/>
      <c r="AJ250" s="42" t="n"/>
      <c r="AK250" s="42" t="n"/>
      <c r="AL250" s="42" t="n"/>
      <c r="AM250" s="42" t="n"/>
      <c r="AN250" s="42" t="n"/>
      <c r="AO250" s="42" t="n"/>
      <c r="AP250" s="42" t="n"/>
      <c r="AQ250" s="42" t="n"/>
      <c r="AR250" s="38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5" t="n"/>
      <c r="Z251" s="157">
        <f>IF(OR(Y251="",X251=""),"",IFERROR(Y251*INDEX(FXRates[USD per unit],MATCH(X251,FXRates[Currency],0)),"No rate"))</f>
        <v/>
      </c>
      <c r="AA251" s="32" t="n"/>
      <c r="AB251" s="32" t="n"/>
      <c r="AC251" s="36">
        <f>IF(A251="","",IF(COUNTIF($A$6:$A$504,A251)&gt;1,"⚠ Duplicate",""))</f>
        <v/>
      </c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  <c r="AM251" s="43" t="n"/>
      <c r="AN251" s="43" t="n"/>
      <c r="AO251" s="43" t="n"/>
      <c r="AP251" s="43" t="n"/>
      <c r="AQ251" s="43" t="n"/>
      <c r="AR251" s="32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40" t="n"/>
      <c r="Z252" s="158">
        <f>IF(OR(Y252="",X252=""),"",IFERROR(Y252*INDEX(FXRates[USD per unit],MATCH(X252,FXRates[Currency],0)),"No rate"))</f>
        <v/>
      </c>
      <c r="AA252" s="38" t="n"/>
      <c r="AB252" s="38" t="n"/>
      <c r="AC252" s="41">
        <f>IF(A252="","",IF(COUNTIF($A$6:$A$504,A252)&gt;1,"⚠ Duplicate",""))</f>
        <v/>
      </c>
      <c r="AD252" s="42" t="n"/>
      <c r="AE252" s="42" t="n"/>
      <c r="AF252" s="42" t="n"/>
      <c r="AG252" s="42" t="n"/>
      <c r="AH252" s="42" t="n"/>
      <c r="AI252" s="42" t="n"/>
      <c r="AJ252" s="42" t="n"/>
      <c r="AK252" s="42" t="n"/>
      <c r="AL252" s="42" t="n"/>
      <c r="AM252" s="42" t="n"/>
      <c r="AN252" s="42" t="n"/>
      <c r="AO252" s="42" t="n"/>
      <c r="AP252" s="42" t="n"/>
      <c r="AQ252" s="42" t="n"/>
      <c r="AR252" s="38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5" t="n"/>
      <c r="Z253" s="157">
        <f>IF(OR(Y253="",X253=""),"",IFERROR(Y253*INDEX(FXRates[USD per unit],MATCH(X253,FXRates[Currency],0)),"No rate"))</f>
        <v/>
      </c>
      <c r="AA253" s="32" t="n"/>
      <c r="AB253" s="32" t="n"/>
      <c r="AC253" s="36">
        <f>IF(A253="","",IF(COUNTIF($A$6:$A$504,A253)&gt;1,"⚠ Duplicate",""))</f>
        <v/>
      </c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  <c r="AM253" s="43" t="n"/>
      <c r="AN253" s="43" t="n"/>
      <c r="AO253" s="43" t="n"/>
      <c r="AP253" s="43" t="n"/>
      <c r="AQ253" s="43" t="n"/>
      <c r="AR253" s="32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40" t="n"/>
      <c r="Z254" s="158">
        <f>IF(OR(Y254="",X254=""),"",IFERROR(Y254*INDEX(FXRates[USD per unit],MATCH(X254,FXRates[Currency],0)),"No rate"))</f>
        <v/>
      </c>
      <c r="AA254" s="38" t="n"/>
      <c r="AB254" s="38" t="n"/>
      <c r="AC254" s="41">
        <f>IF(A254="","",IF(COUNTIF($A$6:$A$504,A254)&gt;1,"⚠ Duplicate",""))</f>
        <v/>
      </c>
      <c r="AD254" s="42" t="n"/>
      <c r="AE254" s="42" t="n"/>
      <c r="AF254" s="42" t="n"/>
      <c r="AG254" s="42" t="n"/>
      <c r="AH254" s="42" t="n"/>
      <c r="AI254" s="42" t="n"/>
      <c r="AJ254" s="42" t="n"/>
      <c r="AK254" s="42" t="n"/>
      <c r="AL254" s="42" t="n"/>
      <c r="AM254" s="42" t="n"/>
      <c r="AN254" s="42" t="n"/>
      <c r="AO254" s="42" t="n"/>
      <c r="AP254" s="42" t="n"/>
      <c r="AQ254" s="42" t="n"/>
      <c r="AR254" s="38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5" t="n"/>
      <c r="Z255" s="157">
        <f>IF(OR(Y255="",X255=""),"",IFERROR(Y255*INDEX(FXRates[USD per unit],MATCH(X255,FXRates[Currency],0)),"No rate"))</f>
        <v/>
      </c>
      <c r="AA255" s="32" t="n"/>
      <c r="AB255" s="32" t="n"/>
      <c r="AC255" s="36">
        <f>IF(A255="","",IF(COUNTIF($A$6:$A$504,A255)&gt;1,"⚠ Duplicate",""))</f>
        <v/>
      </c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  <c r="AM255" s="43" t="n"/>
      <c r="AN255" s="43" t="n"/>
      <c r="AO255" s="43" t="n"/>
      <c r="AP255" s="43" t="n"/>
      <c r="AQ255" s="43" t="n"/>
      <c r="AR255" s="32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40" t="n"/>
      <c r="Z256" s="158">
        <f>IF(OR(Y256="",X256=""),"",IFERROR(Y256*INDEX(FXRates[USD per unit],MATCH(X256,FXRates[Currency],0)),"No rate"))</f>
        <v/>
      </c>
      <c r="AA256" s="38" t="n"/>
      <c r="AB256" s="38" t="n"/>
      <c r="AC256" s="41">
        <f>IF(A256="","",IF(COUNTIF($A$6:$A$504,A256)&gt;1,"⚠ Duplicate",""))</f>
        <v/>
      </c>
      <c r="AD256" s="42" t="n"/>
      <c r="AE256" s="42" t="n"/>
      <c r="AF256" s="42" t="n"/>
      <c r="AG256" s="42" t="n"/>
      <c r="AH256" s="42" t="n"/>
      <c r="AI256" s="42" t="n"/>
      <c r="AJ256" s="42" t="n"/>
      <c r="AK256" s="42" t="n"/>
      <c r="AL256" s="42" t="n"/>
      <c r="AM256" s="42" t="n"/>
      <c r="AN256" s="42" t="n"/>
      <c r="AO256" s="42" t="n"/>
      <c r="AP256" s="42" t="n"/>
      <c r="AQ256" s="42" t="n"/>
      <c r="AR256" s="38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5" t="n"/>
      <c r="Z257" s="157">
        <f>IF(OR(Y257="",X257=""),"",IFERROR(Y257*INDEX(FXRates[USD per unit],MATCH(X257,FXRates[Currency],0)),"No rate"))</f>
        <v/>
      </c>
      <c r="AA257" s="32" t="n"/>
      <c r="AB257" s="32" t="n"/>
      <c r="AC257" s="36">
        <f>IF(A257="","",IF(COUNTIF($A$6:$A$504,A257)&gt;1,"⚠ Duplicate",""))</f>
        <v/>
      </c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  <c r="AM257" s="43" t="n"/>
      <c r="AN257" s="43" t="n"/>
      <c r="AO257" s="43" t="n"/>
      <c r="AP257" s="43" t="n"/>
      <c r="AQ257" s="43" t="n"/>
      <c r="AR257" s="32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40" t="n"/>
      <c r="Z258" s="158">
        <f>IF(OR(Y258="",X258=""),"",IFERROR(Y258*INDEX(FXRates[USD per unit],MATCH(X258,FXRates[Currency],0)),"No rate"))</f>
        <v/>
      </c>
      <c r="AA258" s="38" t="n"/>
      <c r="AB258" s="38" t="n"/>
      <c r="AC258" s="41">
        <f>IF(A258="","",IF(COUNTIF($A$6:$A$504,A258)&gt;1,"⚠ Duplicate",""))</f>
        <v/>
      </c>
      <c r="AD258" s="42" t="n"/>
      <c r="AE258" s="42" t="n"/>
      <c r="AF258" s="42" t="n"/>
      <c r="AG258" s="42" t="n"/>
      <c r="AH258" s="42" t="n"/>
      <c r="AI258" s="42" t="n"/>
      <c r="AJ258" s="42" t="n"/>
      <c r="AK258" s="42" t="n"/>
      <c r="AL258" s="42" t="n"/>
      <c r="AM258" s="42" t="n"/>
      <c r="AN258" s="42" t="n"/>
      <c r="AO258" s="42" t="n"/>
      <c r="AP258" s="42" t="n"/>
      <c r="AQ258" s="42" t="n"/>
      <c r="AR258" s="38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5" t="n"/>
      <c r="Z259" s="157">
        <f>IF(OR(Y259="",X259=""),"",IFERROR(Y259*INDEX(FXRates[USD per unit],MATCH(X259,FXRates[Currency],0)),"No rate"))</f>
        <v/>
      </c>
      <c r="AA259" s="32" t="n"/>
      <c r="AB259" s="32" t="n"/>
      <c r="AC259" s="36">
        <f>IF(A259="","",IF(COUNTIF($A$6:$A$504,A259)&gt;1,"⚠ Duplicate",""))</f>
        <v/>
      </c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  <c r="AM259" s="43" t="n"/>
      <c r="AN259" s="43" t="n"/>
      <c r="AO259" s="43" t="n"/>
      <c r="AP259" s="43" t="n"/>
      <c r="AQ259" s="43" t="n"/>
      <c r="AR259" s="32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40" t="n"/>
      <c r="Z260" s="158">
        <f>IF(OR(Y260="",X260=""),"",IFERROR(Y260*INDEX(FXRates[USD per unit],MATCH(X260,FXRates[Currency],0)),"No rate"))</f>
        <v/>
      </c>
      <c r="AA260" s="38" t="n"/>
      <c r="AB260" s="38" t="n"/>
      <c r="AC260" s="41">
        <f>IF(A260="","",IF(COUNTIF($A$6:$A$504,A260)&gt;1,"⚠ Duplicate",""))</f>
        <v/>
      </c>
      <c r="AD260" s="42" t="n"/>
      <c r="AE260" s="42" t="n"/>
      <c r="AF260" s="42" t="n"/>
      <c r="AG260" s="42" t="n"/>
      <c r="AH260" s="42" t="n"/>
      <c r="AI260" s="42" t="n"/>
      <c r="AJ260" s="42" t="n"/>
      <c r="AK260" s="42" t="n"/>
      <c r="AL260" s="42" t="n"/>
      <c r="AM260" s="42" t="n"/>
      <c r="AN260" s="42" t="n"/>
      <c r="AO260" s="42" t="n"/>
      <c r="AP260" s="42" t="n"/>
      <c r="AQ260" s="42" t="n"/>
      <c r="AR260" s="38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5" t="n"/>
      <c r="Z261" s="157">
        <f>IF(OR(Y261="",X261=""),"",IFERROR(Y261*INDEX(FXRates[USD per unit],MATCH(X261,FXRates[Currency],0)),"No rate"))</f>
        <v/>
      </c>
      <c r="AA261" s="32" t="n"/>
      <c r="AB261" s="32" t="n"/>
      <c r="AC261" s="36">
        <f>IF(A261="","",IF(COUNTIF($A$6:$A$504,A261)&gt;1,"⚠ Duplicate",""))</f>
        <v/>
      </c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  <c r="AM261" s="43" t="n"/>
      <c r="AN261" s="43" t="n"/>
      <c r="AO261" s="43" t="n"/>
      <c r="AP261" s="43" t="n"/>
      <c r="AQ261" s="43" t="n"/>
      <c r="AR261" s="32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40" t="n"/>
      <c r="Z262" s="158">
        <f>IF(OR(Y262="",X262=""),"",IFERROR(Y262*INDEX(FXRates[USD per unit],MATCH(X262,FXRates[Currency],0)),"No rate"))</f>
        <v/>
      </c>
      <c r="AA262" s="38" t="n"/>
      <c r="AB262" s="38" t="n"/>
      <c r="AC262" s="41">
        <f>IF(A262="","",IF(COUNTIF($A$6:$A$504,A262)&gt;1,"⚠ Duplicate",""))</f>
        <v/>
      </c>
      <c r="AD262" s="42" t="n"/>
      <c r="AE262" s="42" t="n"/>
      <c r="AF262" s="42" t="n"/>
      <c r="AG262" s="42" t="n"/>
      <c r="AH262" s="42" t="n"/>
      <c r="AI262" s="42" t="n"/>
      <c r="AJ262" s="42" t="n"/>
      <c r="AK262" s="42" t="n"/>
      <c r="AL262" s="42" t="n"/>
      <c r="AM262" s="42" t="n"/>
      <c r="AN262" s="42" t="n"/>
      <c r="AO262" s="42" t="n"/>
      <c r="AP262" s="42" t="n"/>
      <c r="AQ262" s="42" t="n"/>
      <c r="AR262" s="38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5" t="n"/>
      <c r="Z263" s="157">
        <f>IF(OR(Y263="",X263=""),"",IFERROR(Y263*INDEX(FXRates[USD per unit],MATCH(X263,FXRates[Currency],0)),"No rate"))</f>
        <v/>
      </c>
      <c r="AA263" s="32" t="n"/>
      <c r="AB263" s="32" t="n"/>
      <c r="AC263" s="36">
        <f>IF(A263="","",IF(COUNTIF($A$6:$A$504,A263)&gt;1,"⚠ Duplicate",""))</f>
        <v/>
      </c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  <c r="AM263" s="43" t="n"/>
      <c r="AN263" s="43" t="n"/>
      <c r="AO263" s="43" t="n"/>
      <c r="AP263" s="43" t="n"/>
      <c r="AQ263" s="43" t="n"/>
      <c r="AR263" s="32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40" t="n"/>
      <c r="Z264" s="158">
        <f>IF(OR(Y264="",X264=""),"",IFERROR(Y264*INDEX(FXRates[USD per unit],MATCH(X264,FXRates[Currency],0)),"No rate"))</f>
        <v/>
      </c>
      <c r="AA264" s="38" t="n"/>
      <c r="AB264" s="38" t="n"/>
      <c r="AC264" s="41">
        <f>IF(A264="","",IF(COUNTIF($A$6:$A$504,A264)&gt;1,"⚠ Duplicate",""))</f>
        <v/>
      </c>
      <c r="AD264" s="42" t="n"/>
      <c r="AE264" s="42" t="n"/>
      <c r="AF264" s="42" t="n"/>
      <c r="AG264" s="42" t="n"/>
      <c r="AH264" s="42" t="n"/>
      <c r="AI264" s="42" t="n"/>
      <c r="AJ264" s="42" t="n"/>
      <c r="AK264" s="42" t="n"/>
      <c r="AL264" s="42" t="n"/>
      <c r="AM264" s="42" t="n"/>
      <c r="AN264" s="42" t="n"/>
      <c r="AO264" s="42" t="n"/>
      <c r="AP264" s="42" t="n"/>
      <c r="AQ264" s="42" t="n"/>
      <c r="AR264" s="38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5" t="n"/>
      <c r="Z265" s="157">
        <f>IF(OR(Y265="",X265=""),"",IFERROR(Y265*INDEX(FXRates[USD per unit],MATCH(X265,FXRates[Currency],0)),"No rate"))</f>
        <v/>
      </c>
      <c r="AA265" s="32" t="n"/>
      <c r="AB265" s="32" t="n"/>
      <c r="AC265" s="36">
        <f>IF(A265="","",IF(COUNTIF($A$6:$A$504,A265)&gt;1,"⚠ Duplicate",""))</f>
        <v/>
      </c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  <c r="AM265" s="43" t="n"/>
      <c r="AN265" s="43" t="n"/>
      <c r="AO265" s="43" t="n"/>
      <c r="AP265" s="43" t="n"/>
      <c r="AQ265" s="43" t="n"/>
      <c r="AR265" s="32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40" t="n"/>
      <c r="Z266" s="158">
        <f>IF(OR(Y266="",X266=""),"",IFERROR(Y266*INDEX(FXRates[USD per unit],MATCH(X266,FXRates[Currency],0)),"No rate"))</f>
        <v/>
      </c>
      <c r="AA266" s="38" t="n"/>
      <c r="AB266" s="38" t="n"/>
      <c r="AC266" s="41">
        <f>IF(A266="","",IF(COUNTIF($A$6:$A$504,A266)&gt;1,"⚠ Duplicate",""))</f>
        <v/>
      </c>
      <c r="AD266" s="42" t="n"/>
      <c r="AE266" s="42" t="n"/>
      <c r="AF266" s="42" t="n"/>
      <c r="AG266" s="42" t="n"/>
      <c r="AH266" s="42" t="n"/>
      <c r="AI266" s="42" t="n"/>
      <c r="AJ266" s="42" t="n"/>
      <c r="AK266" s="42" t="n"/>
      <c r="AL266" s="42" t="n"/>
      <c r="AM266" s="42" t="n"/>
      <c r="AN266" s="42" t="n"/>
      <c r="AO266" s="42" t="n"/>
      <c r="AP266" s="42" t="n"/>
      <c r="AQ266" s="42" t="n"/>
      <c r="AR266" s="38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5" t="n"/>
      <c r="Z267" s="157">
        <f>IF(OR(Y267="",X267=""),"",IFERROR(Y267*INDEX(FXRates[USD per unit],MATCH(X267,FXRates[Currency],0)),"No rate"))</f>
        <v/>
      </c>
      <c r="AA267" s="32" t="n"/>
      <c r="AB267" s="32" t="n"/>
      <c r="AC267" s="36">
        <f>IF(A267="","",IF(COUNTIF($A$6:$A$504,A267)&gt;1,"⚠ Duplicate",""))</f>
        <v/>
      </c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  <c r="AM267" s="43" t="n"/>
      <c r="AN267" s="43" t="n"/>
      <c r="AO267" s="43" t="n"/>
      <c r="AP267" s="43" t="n"/>
      <c r="AQ267" s="43" t="n"/>
      <c r="AR267" s="32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40" t="n"/>
      <c r="Z268" s="158">
        <f>IF(OR(Y268="",X268=""),"",IFERROR(Y268*INDEX(FXRates[USD per unit],MATCH(X268,FXRates[Currency],0)),"No rate"))</f>
        <v/>
      </c>
      <c r="AA268" s="38" t="n"/>
      <c r="AB268" s="38" t="n"/>
      <c r="AC268" s="41">
        <f>IF(A268="","",IF(COUNTIF($A$6:$A$504,A268)&gt;1,"⚠ Duplicate",""))</f>
        <v/>
      </c>
      <c r="AD268" s="42" t="n"/>
      <c r="AE268" s="42" t="n"/>
      <c r="AF268" s="42" t="n"/>
      <c r="AG268" s="42" t="n"/>
      <c r="AH268" s="42" t="n"/>
      <c r="AI268" s="42" t="n"/>
      <c r="AJ268" s="42" t="n"/>
      <c r="AK268" s="42" t="n"/>
      <c r="AL268" s="42" t="n"/>
      <c r="AM268" s="42" t="n"/>
      <c r="AN268" s="42" t="n"/>
      <c r="AO268" s="42" t="n"/>
      <c r="AP268" s="42" t="n"/>
      <c r="AQ268" s="42" t="n"/>
      <c r="AR268" s="38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5" t="n"/>
      <c r="Z269" s="157">
        <f>IF(OR(Y269="",X269=""),"",IFERROR(Y269*INDEX(FXRates[USD per unit],MATCH(X269,FXRates[Currency],0)),"No rate"))</f>
        <v/>
      </c>
      <c r="AA269" s="32" t="n"/>
      <c r="AB269" s="32" t="n"/>
      <c r="AC269" s="36">
        <f>IF(A269="","",IF(COUNTIF($A$6:$A$504,A269)&gt;1,"⚠ Duplicate",""))</f>
        <v/>
      </c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  <c r="AM269" s="43" t="n"/>
      <c r="AN269" s="43" t="n"/>
      <c r="AO269" s="43" t="n"/>
      <c r="AP269" s="43" t="n"/>
      <c r="AQ269" s="43" t="n"/>
      <c r="AR269" s="32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40" t="n"/>
      <c r="Z270" s="158">
        <f>IF(OR(Y270="",X270=""),"",IFERROR(Y270*INDEX(FXRates[USD per unit],MATCH(X270,FXRates[Currency],0)),"No rate"))</f>
        <v/>
      </c>
      <c r="AA270" s="38" t="n"/>
      <c r="AB270" s="38" t="n"/>
      <c r="AC270" s="41">
        <f>IF(A270="","",IF(COUNTIF($A$6:$A$504,A270)&gt;1,"⚠ Duplicate",""))</f>
        <v/>
      </c>
      <c r="AD270" s="42" t="n"/>
      <c r="AE270" s="42" t="n"/>
      <c r="AF270" s="42" t="n"/>
      <c r="AG270" s="42" t="n"/>
      <c r="AH270" s="42" t="n"/>
      <c r="AI270" s="42" t="n"/>
      <c r="AJ270" s="42" t="n"/>
      <c r="AK270" s="42" t="n"/>
      <c r="AL270" s="42" t="n"/>
      <c r="AM270" s="42" t="n"/>
      <c r="AN270" s="42" t="n"/>
      <c r="AO270" s="42" t="n"/>
      <c r="AP270" s="42" t="n"/>
      <c r="AQ270" s="42" t="n"/>
      <c r="AR270" s="38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5" t="n"/>
      <c r="Z271" s="157">
        <f>IF(OR(Y271="",X271=""),"",IFERROR(Y271*INDEX(FXRates[USD per unit],MATCH(X271,FXRates[Currency],0)),"No rate"))</f>
        <v/>
      </c>
      <c r="AA271" s="32" t="n"/>
      <c r="AB271" s="32" t="n"/>
      <c r="AC271" s="36">
        <f>IF(A271="","",IF(COUNTIF($A$6:$A$504,A271)&gt;1,"⚠ Duplicate",""))</f>
        <v/>
      </c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  <c r="AM271" s="43" t="n"/>
      <c r="AN271" s="43" t="n"/>
      <c r="AO271" s="43" t="n"/>
      <c r="AP271" s="43" t="n"/>
      <c r="AQ271" s="43" t="n"/>
      <c r="AR271" s="32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40" t="n"/>
      <c r="Z272" s="158">
        <f>IF(OR(Y272="",X272=""),"",IFERROR(Y272*INDEX(FXRates[USD per unit],MATCH(X272,FXRates[Currency],0)),"No rate"))</f>
        <v/>
      </c>
      <c r="AA272" s="38" t="n"/>
      <c r="AB272" s="38" t="n"/>
      <c r="AC272" s="41">
        <f>IF(A272="","",IF(COUNTIF($A$6:$A$504,A272)&gt;1,"⚠ Duplicate",""))</f>
        <v/>
      </c>
      <c r="AD272" s="42" t="n"/>
      <c r="AE272" s="42" t="n"/>
      <c r="AF272" s="42" t="n"/>
      <c r="AG272" s="42" t="n"/>
      <c r="AH272" s="42" t="n"/>
      <c r="AI272" s="42" t="n"/>
      <c r="AJ272" s="42" t="n"/>
      <c r="AK272" s="42" t="n"/>
      <c r="AL272" s="42" t="n"/>
      <c r="AM272" s="42" t="n"/>
      <c r="AN272" s="42" t="n"/>
      <c r="AO272" s="42" t="n"/>
      <c r="AP272" s="42" t="n"/>
      <c r="AQ272" s="42" t="n"/>
      <c r="AR272" s="38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5" t="n"/>
      <c r="Z273" s="157">
        <f>IF(OR(Y273="",X273=""),"",IFERROR(Y273*INDEX(FXRates[USD per unit],MATCH(X273,FXRates[Currency],0)),"No rate"))</f>
        <v/>
      </c>
      <c r="AA273" s="32" t="n"/>
      <c r="AB273" s="32" t="n"/>
      <c r="AC273" s="36">
        <f>IF(A273="","",IF(COUNTIF($A$6:$A$504,A273)&gt;1,"⚠ Duplicate",""))</f>
        <v/>
      </c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  <c r="AM273" s="43" t="n"/>
      <c r="AN273" s="43" t="n"/>
      <c r="AO273" s="43" t="n"/>
      <c r="AP273" s="43" t="n"/>
      <c r="AQ273" s="43" t="n"/>
      <c r="AR273" s="32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40" t="n"/>
      <c r="Z274" s="158">
        <f>IF(OR(Y274="",X274=""),"",IFERROR(Y274*INDEX(FXRates[USD per unit],MATCH(X274,FXRates[Currency],0)),"No rate"))</f>
        <v/>
      </c>
      <c r="AA274" s="38" t="n"/>
      <c r="AB274" s="38" t="n"/>
      <c r="AC274" s="41">
        <f>IF(A274="","",IF(COUNTIF($A$6:$A$504,A274)&gt;1,"⚠ Duplicate",""))</f>
        <v/>
      </c>
      <c r="AD274" s="42" t="n"/>
      <c r="AE274" s="42" t="n"/>
      <c r="AF274" s="42" t="n"/>
      <c r="AG274" s="42" t="n"/>
      <c r="AH274" s="42" t="n"/>
      <c r="AI274" s="42" t="n"/>
      <c r="AJ274" s="42" t="n"/>
      <c r="AK274" s="42" t="n"/>
      <c r="AL274" s="42" t="n"/>
      <c r="AM274" s="42" t="n"/>
      <c r="AN274" s="42" t="n"/>
      <c r="AO274" s="42" t="n"/>
      <c r="AP274" s="42" t="n"/>
      <c r="AQ274" s="42" t="n"/>
      <c r="AR274" s="38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5" t="n"/>
      <c r="Z275" s="157">
        <f>IF(OR(Y275="",X275=""),"",IFERROR(Y275*INDEX(FXRates[USD per unit],MATCH(X275,FXRates[Currency],0)),"No rate"))</f>
        <v/>
      </c>
      <c r="AA275" s="32" t="n"/>
      <c r="AB275" s="32" t="n"/>
      <c r="AC275" s="36">
        <f>IF(A275="","",IF(COUNTIF($A$6:$A$504,A275)&gt;1,"⚠ Duplicate",""))</f>
        <v/>
      </c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  <c r="AM275" s="43" t="n"/>
      <c r="AN275" s="43" t="n"/>
      <c r="AO275" s="43" t="n"/>
      <c r="AP275" s="43" t="n"/>
      <c r="AQ275" s="43" t="n"/>
      <c r="AR275" s="32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40" t="n"/>
      <c r="Z276" s="158">
        <f>IF(OR(Y276="",X276=""),"",IFERROR(Y276*INDEX(FXRates[USD per unit],MATCH(X276,FXRates[Currency],0)),"No rate"))</f>
        <v/>
      </c>
      <c r="AA276" s="38" t="n"/>
      <c r="AB276" s="38" t="n"/>
      <c r="AC276" s="41">
        <f>IF(A276="","",IF(COUNTIF($A$6:$A$504,A276)&gt;1,"⚠ Duplicate",""))</f>
        <v/>
      </c>
      <c r="AD276" s="42" t="n"/>
      <c r="AE276" s="42" t="n"/>
      <c r="AF276" s="42" t="n"/>
      <c r="AG276" s="42" t="n"/>
      <c r="AH276" s="42" t="n"/>
      <c r="AI276" s="42" t="n"/>
      <c r="AJ276" s="42" t="n"/>
      <c r="AK276" s="42" t="n"/>
      <c r="AL276" s="42" t="n"/>
      <c r="AM276" s="42" t="n"/>
      <c r="AN276" s="42" t="n"/>
      <c r="AO276" s="42" t="n"/>
      <c r="AP276" s="42" t="n"/>
      <c r="AQ276" s="42" t="n"/>
      <c r="AR276" s="38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5" t="n"/>
      <c r="Z277" s="157">
        <f>IF(OR(Y277="",X277=""),"",IFERROR(Y277*INDEX(FXRates[USD per unit],MATCH(X277,FXRates[Currency],0)),"No rate"))</f>
        <v/>
      </c>
      <c r="AA277" s="32" t="n"/>
      <c r="AB277" s="32" t="n"/>
      <c r="AC277" s="36">
        <f>IF(A277="","",IF(COUNTIF($A$6:$A$504,A277)&gt;1,"⚠ Duplicate",""))</f>
        <v/>
      </c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  <c r="AM277" s="43" t="n"/>
      <c r="AN277" s="43" t="n"/>
      <c r="AO277" s="43" t="n"/>
      <c r="AP277" s="43" t="n"/>
      <c r="AQ277" s="43" t="n"/>
      <c r="AR277" s="32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40" t="n"/>
      <c r="Z278" s="158">
        <f>IF(OR(Y278="",X278=""),"",IFERROR(Y278*INDEX(FXRates[USD per unit],MATCH(X278,FXRates[Currency],0)),"No rate"))</f>
        <v/>
      </c>
      <c r="AA278" s="38" t="n"/>
      <c r="AB278" s="38" t="n"/>
      <c r="AC278" s="41">
        <f>IF(A278="","",IF(COUNTIF($A$6:$A$504,A278)&gt;1,"⚠ Duplicate",""))</f>
        <v/>
      </c>
      <c r="AD278" s="42" t="n"/>
      <c r="AE278" s="42" t="n"/>
      <c r="AF278" s="42" t="n"/>
      <c r="AG278" s="42" t="n"/>
      <c r="AH278" s="42" t="n"/>
      <c r="AI278" s="42" t="n"/>
      <c r="AJ278" s="42" t="n"/>
      <c r="AK278" s="42" t="n"/>
      <c r="AL278" s="42" t="n"/>
      <c r="AM278" s="42" t="n"/>
      <c r="AN278" s="42" t="n"/>
      <c r="AO278" s="42" t="n"/>
      <c r="AP278" s="42" t="n"/>
      <c r="AQ278" s="42" t="n"/>
      <c r="AR278" s="38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5" t="n"/>
      <c r="Z279" s="157">
        <f>IF(OR(Y279="",X279=""),"",IFERROR(Y279*INDEX(FXRates[USD per unit],MATCH(X279,FXRates[Currency],0)),"No rate"))</f>
        <v/>
      </c>
      <c r="AA279" s="32" t="n"/>
      <c r="AB279" s="32" t="n"/>
      <c r="AC279" s="36">
        <f>IF(A279="","",IF(COUNTIF($A$6:$A$504,A279)&gt;1,"⚠ Duplicate",""))</f>
        <v/>
      </c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  <c r="AM279" s="43" t="n"/>
      <c r="AN279" s="43" t="n"/>
      <c r="AO279" s="43" t="n"/>
      <c r="AP279" s="43" t="n"/>
      <c r="AQ279" s="43" t="n"/>
      <c r="AR279" s="32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40" t="n"/>
      <c r="Z280" s="158">
        <f>IF(OR(Y280="",X280=""),"",IFERROR(Y280*INDEX(FXRates[USD per unit],MATCH(X280,FXRates[Currency],0)),"No rate"))</f>
        <v/>
      </c>
      <c r="AA280" s="38" t="n"/>
      <c r="AB280" s="38" t="n"/>
      <c r="AC280" s="41">
        <f>IF(A280="","",IF(COUNTIF($A$6:$A$504,A280)&gt;1,"⚠ Duplicate",""))</f>
        <v/>
      </c>
      <c r="AD280" s="42" t="n"/>
      <c r="AE280" s="42" t="n"/>
      <c r="AF280" s="42" t="n"/>
      <c r="AG280" s="42" t="n"/>
      <c r="AH280" s="42" t="n"/>
      <c r="AI280" s="42" t="n"/>
      <c r="AJ280" s="42" t="n"/>
      <c r="AK280" s="42" t="n"/>
      <c r="AL280" s="42" t="n"/>
      <c r="AM280" s="42" t="n"/>
      <c r="AN280" s="42" t="n"/>
      <c r="AO280" s="42" t="n"/>
      <c r="AP280" s="42" t="n"/>
      <c r="AQ280" s="42" t="n"/>
      <c r="AR280" s="38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5" t="n"/>
      <c r="Z281" s="157">
        <f>IF(OR(Y281="",X281=""),"",IFERROR(Y281*INDEX(FXRates[USD per unit],MATCH(X281,FXRates[Currency],0)),"No rate"))</f>
        <v/>
      </c>
      <c r="AA281" s="32" t="n"/>
      <c r="AB281" s="32" t="n"/>
      <c r="AC281" s="36">
        <f>IF(A281="","",IF(COUNTIF($A$6:$A$504,A281)&gt;1,"⚠ Duplicate",""))</f>
        <v/>
      </c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  <c r="AM281" s="43" t="n"/>
      <c r="AN281" s="43" t="n"/>
      <c r="AO281" s="43" t="n"/>
      <c r="AP281" s="43" t="n"/>
      <c r="AQ281" s="43" t="n"/>
      <c r="AR281" s="32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40" t="n"/>
      <c r="Z282" s="158">
        <f>IF(OR(Y282="",X282=""),"",IFERROR(Y282*INDEX(FXRates[USD per unit],MATCH(X282,FXRates[Currency],0)),"No rate"))</f>
        <v/>
      </c>
      <c r="AA282" s="38" t="n"/>
      <c r="AB282" s="38" t="n"/>
      <c r="AC282" s="41">
        <f>IF(A282="","",IF(COUNTIF($A$6:$A$504,A282)&gt;1,"⚠ Duplicate",""))</f>
        <v/>
      </c>
      <c r="AD282" s="42" t="n"/>
      <c r="AE282" s="42" t="n"/>
      <c r="AF282" s="42" t="n"/>
      <c r="AG282" s="42" t="n"/>
      <c r="AH282" s="42" t="n"/>
      <c r="AI282" s="42" t="n"/>
      <c r="AJ282" s="42" t="n"/>
      <c r="AK282" s="42" t="n"/>
      <c r="AL282" s="42" t="n"/>
      <c r="AM282" s="42" t="n"/>
      <c r="AN282" s="42" t="n"/>
      <c r="AO282" s="42" t="n"/>
      <c r="AP282" s="42" t="n"/>
      <c r="AQ282" s="42" t="n"/>
      <c r="AR282" s="38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5" t="n"/>
      <c r="Z283" s="157">
        <f>IF(OR(Y283="",X283=""),"",IFERROR(Y283*INDEX(FXRates[USD per unit],MATCH(X283,FXRates[Currency],0)),"No rate"))</f>
        <v/>
      </c>
      <c r="AA283" s="32" t="n"/>
      <c r="AB283" s="32" t="n"/>
      <c r="AC283" s="36">
        <f>IF(A283="","",IF(COUNTIF($A$6:$A$504,A283)&gt;1,"⚠ Duplicate",""))</f>
        <v/>
      </c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  <c r="AM283" s="43" t="n"/>
      <c r="AN283" s="43" t="n"/>
      <c r="AO283" s="43" t="n"/>
      <c r="AP283" s="43" t="n"/>
      <c r="AQ283" s="43" t="n"/>
      <c r="AR283" s="32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40" t="n"/>
      <c r="Z284" s="158">
        <f>IF(OR(Y284="",X284=""),"",IFERROR(Y284*INDEX(FXRates[USD per unit],MATCH(X284,FXRates[Currency],0)),"No rate"))</f>
        <v/>
      </c>
      <c r="AA284" s="38" t="n"/>
      <c r="AB284" s="38" t="n"/>
      <c r="AC284" s="41">
        <f>IF(A284="","",IF(COUNTIF($A$6:$A$504,A284)&gt;1,"⚠ Duplicate",""))</f>
        <v/>
      </c>
      <c r="AD284" s="42" t="n"/>
      <c r="AE284" s="42" t="n"/>
      <c r="AF284" s="42" t="n"/>
      <c r="AG284" s="42" t="n"/>
      <c r="AH284" s="42" t="n"/>
      <c r="AI284" s="42" t="n"/>
      <c r="AJ284" s="42" t="n"/>
      <c r="AK284" s="42" t="n"/>
      <c r="AL284" s="42" t="n"/>
      <c r="AM284" s="42" t="n"/>
      <c r="AN284" s="42" t="n"/>
      <c r="AO284" s="42" t="n"/>
      <c r="AP284" s="42" t="n"/>
      <c r="AQ284" s="42" t="n"/>
      <c r="AR284" s="38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5" t="n"/>
      <c r="Z285" s="157">
        <f>IF(OR(Y285="",X285=""),"",IFERROR(Y285*INDEX(FXRates[USD per unit],MATCH(X285,FXRates[Currency],0)),"No rate"))</f>
        <v/>
      </c>
      <c r="AA285" s="32" t="n"/>
      <c r="AB285" s="32" t="n"/>
      <c r="AC285" s="36">
        <f>IF(A285="","",IF(COUNTIF($A$6:$A$504,A285)&gt;1,"⚠ Duplicate",""))</f>
        <v/>
      </c>
      <c r="AD285" s="43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  <c r="AM285" s="43" t="n"/>
      <c r="AN285" s="43" t="n"/>
      <c r="AO285" s="43" t="n"/>
      <c r="AP285" s="43" t="n"/>
      <c r="AQ285" s="43" t="n"/>
      <c r="AR285" s="32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40" t="n"/>
      <c r="Z286" s="158">
        <f>IF(OR(Y286="",X286=""),"",IFERROR(Y286*INDEX(FXRates[USD per unit],MATCH(X286,FXRates[Currency],0)),"No rate"))</f>
        <v/>
      </c>
      <c r="AA286" s="38" t="n"/>
      <c r="AB286" s="38" t="n"/>
      <c r="AC286" s="41">
        <f>IF(A286="","",IF(COUNTIF($A$6:$A$504,A286)&gt;1,"⚠ Duplicate",""))</f>
        <v/>
      </c>
      <c r="AD286" s="42" t="n"/>
      <c r="AE286" s="42" t="n"/>
      <c r="AF286" s="42" t="n"/>
      <c r="AG286" s="42" t="n"/>
      <c r="AH286" s="42" t="n"/>
      <c r="AI286" s="42" t="n"/>
      <c r="AJ286" s="42" t="n"/>
      <c r="AK286" s="42" t="n"/>
      <c r="AL286" s="42" t="n"/>
      <c r="AM286" s="42" t="n"/>
      <c r="AN286" s="42" t="n"/>
      <c r="AO286" s="42" t="n"/>
      <c r="AP286" s="42" t="n"/>
      <c r="AQ286" s="42" t="n"/>
      <c r="AR286" s="38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5" t="n"/>
      <c r="Z287" s="157">
        <f>IF(OR(Y287="",X287=""),"",IFERROR(Y287*INDEX(FXRates[USD per unit],MATCH(X287,FXRates[Currency],0)),"No rate"))</f>
        <v/>
      </c>
      <c r="AA287" s="32" t="n"/>
      <c r="AB287" s="32" t="n"/>
      <c r="AC287" s="36">
        <f>IF(A287="","",IF(COUNTIF($A$6:$A$504,A287)&gt;1,"⚠ Duplicate",""))</f>
        <v/>
      </c>
      <c r="AD287" s="43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  <c r="AM287" s="43" t="n"/>
      <c r="AN287" s="43" t="n"/>
      <c r="AO287" s="43" t="n"/>
      <c r="AP287" s="43" t="n"/>
      <c r="AQ287" s="43" t="n"/>
      <c r="AR287" s="32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40" t="n"/>
      <c r="Z288" s="158">
        <f>IF(OR(Y288="",X288=""),"",IFERROR(Y288*INDEX(FXRates[USD per unit],MATCH(X288,FXRates[Currency],0)),"No rate"))</f>
        <v/>
      </c>
      <c r="AA288" s="38" t="n"/>
      <c r="AB288" s="38" t="n"/>
      <c r="AC288" s="41">
        <f>IF(A288="","",IF(COUNTIF($A$6:$A$504,A288)&gt;1,"⚠ Duplicate",""))</f>
        <v/>
      </c>
      <c r="AD288" s="42" t="n"/>
      <c r="AE288" s="42" t="n"/>
      <c r="AF288" s="42" t="n"/>
      <c r="AG288" s="42" t="n"/>
      <c r="AH288" s="42" t="n"/>
      <c r="AI288" s="42" t="n"/>
      <c r="AJ288" s="42" t="n"/>
      <c r="AK288" s="42" t="n"/>
      <c r="AL288" s="42" t="n"/>
      <c r="AM288" s="42" t="n"/>
      <c r="AN288" s="42" t="n"/>
      <c r="AO288" s="42" t="n"/>
      <c r="AP288" s="42" t="n"/>
      <c r="AQ288" s="42" t="n"/>
      <c r="AR288" s="38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5" t="n"/>
      <c r="Z289" s="157">
        <f>IF(OR(Y289="",X289=""),"",IFERROR(Y289*INDEX(FXRates[USD per unit],MATCH(X289,FXRates[Currency],0)),"No rate"))</f>
        <v/>
      </c>
      <c r="AA289" s="32" t="n"/>
      <c r="AB289" s="32" t="n"/>
      <c r="AC289" s="36">
        <f>IF(A289="","",IF(COUNTIF($A$6:$A$504,A289)&gt;1,"⚠ Duplicate",""))</f>
        <v/>
      </c>
      <c r="AD289" s="43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  <c r="AM289" s="43" t="n"/>
      <c r="AN289" s="43" t="n"/>
      <c r="AO289" s="43" t="n"/>
      <c r="AP289" s="43" t="n"/>
      <c r="AQ289" s="43" t="n"/>
      <c r="AR289" s="32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40" t="n"/>
      <c r="Z290" s="158">
        <f>IF(OR(Y290="",X290=""),"",IFERROR(Y290*INDEX(FXRates[USD per unit],MATCH(X290,FXRates[Currency],0)),"No rate"))</f>
        <v/>
      </c>
      <c r="AA290" s="38" t="n"/>
      <c r="AB290" s="38" t="n"/>
      <c r="AC290" s="41">
        <f>IF(A290="","",IF(COUNTIF($A$6:$A$504,A290)&gt;1,"⚠ Duplicate",""))</f>
        <v/>
      </c>
      <c r="AD290" s="42" t="n"/>
      <c r="AE290" s="42" t="n"/>
      <c r="AF290" s="42" t="n"/>
      <c r="AG290" s="42" t="n"/>
      <c r="AH290" s="42" t="n"/>
      <c r="AI290" s="42" t="n"/>
      <c r="AJ290" s="42" t="n"/>
      <c r="AK290" s="42" t="n"/>
      <c r="AL290" s="42" t="n"/>
      <c r="AM290" s="42" t="n"/>
      <c r="AN290" s="42" t="n"/>
      <c r="AO290" s="42" t="n"/>
      <c r="AP290" s="42" t="n"/>
      <c r="AQ290" s="42" t="n"/>
      <c r="AR290" s="38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5" t="n"/>
      <c r="Z291" s="157">
        <f>IF(OR(Y291="",X291=""),"",IFERROR(Y291*INDEX(FXRates[USD per unit],MATCH(X291,FXRates[Currency],0)),"No rate"))</f>
        <v/>
      </c>
      <c r="AA291" s="32" t="n"/>
      <c r="AB291" s="32" t="n"/>
      <c r="AC291" s="36">
        <f>IF(A291="","",IF(COUNTIF($A$6:$A$504,A291)&gt;1,"⚠ Duplicate",""))</f>
        <v/>
      </c>
      <c r="AD291" s="43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  <c r="AM291" s="43" t="n"/>
      <c r="AN291" s="43" t="n"/>
      <c r="AO291" s="43" t="n"/>
      <c r="AP291" s="43" t="n"/>
      <c r="AQ291" s="43" t="n"/>
      <c r="AR291" s="32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40" t="n"/>
      <c r="Z292" s="158">
        <f>IF(OR(Y292="",X292=""),"",IFERROR(Y292*INDEX(FXRates[USD per unit],MATCH(X292,FXRates[Currency],0)),"No rate"))</f>
        <v/>
      </c>
      <c r="AA292" s="38" t="n"/>
      <c r="AB292" s="38" t="n"/>
      <c r="AC292" s="41">
        <f>IF(A292="","",IF(COUNTIF($A$6:$A$504,A292)&gt;1,"⚠ Duplicate",""))</f>
        <v/>
      </c>
      <c r="AD292" s="42" t="n"/>
      <c r="AE292" s="42" t="n"/>
      <c r="AF292" s="42" t="n"/>
      <c r="AG292" s="42" t="n"/>
      <c r="AH292" s="42" t="n"/>
      <c r="AI292" s="42" t="n"/>
      <c r="AJ292" s="42" t="n"/>
      <c r="AK292" s="42" t="n"/>
      <c r="AL292" s="42" t="n"/>
      <c r="AM292" s="42" t="n"/>
      <c r="AN292" s="42" t="n"/>
      <c r="AO292" s="42" t="n"/>
      <c r="AP292" s="42" t="n"/>
      <c r="AQ292" s="42" t="n"/>
      <c r="AR292" s="38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5" t="n"/>
      <c r="Z293" s="157">
        <f>IF(OR(Y293="",X293=""),"",IFERROR(Y293*INDEX(FXRates[USD per unit],MATCH(X293,FXRates[Currency],0)),"No rate"))</f>
        <v/>
      </c>
      <c r="AA293" s="32" t="n"/>
      <c r="AB293" s="32" t="n"/>
      <c r="AC293" s="36">
        <f>IF(A293="","",IF(COUNTIF($A$6:$A$504,A293)&gt;1,"⚠ Duplicate",""))</f>
        <v/>
      </c>
      <c r="AD293" s="43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  <c r="AM293" s="43" t="n"/>
      <c r="AN293" s="43" t="n"/>
      <c r="AO293" s="43" t="n"/>
      <c r="AP293" s="43" t="n"/>
      <c r="AQ293" s="43" t="n"/>
      <c r="AR293" s="32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40" t="n"/>
      <c r="Z294" s="158">
        <f>IF(OR(Y294="",X294=""),"",IFERROR(Y294*INDEX(FXRates[USD per unit],MATCH(X294,FXRates[Currency],0)),"No rate"))</f>
        <v/>
      </c>
      <c r="AA294" s="38" t="n"/>
      <c r="AB294" s="38" t="n"/>
      <c r="AC294" s="41">
        <f>IF(A294="","",IF(COUNTIF($A$6:$A$504,A294)&gt;1,"⚠ Duplicate",""))</f>
        <v/>
      </c>
      <c r="AD294" s="42" t="n"/>
      <c r="AE294" s="42" t="n"/>
      <c r="AF294" s="42" t="n"/>
      <c r="AG294" s="42" t="n"/>
      <c r="AH294" s="42" t="n"/>
      <c r="AI294" s="42" t="n"/>
      <c r="AJ294" s="42" t="n"/>
      <c r="AK294" s="42" t="n"/>
      <c r="AL294" s="42" t="n"/>
      <c r="AM294" s="42" t="n"/>
      <c r="AN294" s="42" t="n"/>
      <c r="AO294" s="42" t="n"/>
      <c r="AP294" s="42" t="n"/>
      <c r="AQ294" s="42" t="n"/>
      <c r="AR294" s="38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5" t="n"/>
      <c r="Z295" s="157">
        <f>IF(OR(Y295="",X295=""),"",IFERROR(Y295*INDEX(FXRates[USD per unit],MATCH(X295,FXRates[Currency],0)),"No rate"))</f>
        <v/>
      </c>
      <c r="AA295" s="32" t="n"/>
      <c r="AB295" s="32" t="n"/>
      <c r="AC295" s="36">
        <f>IF(A295="","",IF(COUNTIF($A$6:$A$504,A295)&gt;1,"⚠ Duplicate",""))</f>
        <v/>
      </c>
      <c r="AD295" s="43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  <c r="AM295" s="43" t="n"/>
      <c r="AN295" s="43" t="n"/>
      <c r="AO295" s="43" t="n"/>
      <c r="AP295" s="43" t="n"/>
      <c r="AQ295" s="43" t="n"/>
      <c r="AR295" s="32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40" t="n"/>
      <c r="Z296" s="158">
        <f>IF(OR(Y296="",X296=""),"",IFERROR(Y296*INDEX(FXRates[USD per unit],MATCH(X296,FXRates[Currency],0)),"No rate"))</f>
        <v/>
      </c>
      <c r="AA296" s="38" t="n"/>
      <c r="AB296" s="38" t="n"/>
      <c r="AC296" s="41">
        <f>IF(A296="","",IF(COUNTIF($A$6:$A$504,A296)&gt;1,"⚠ Duplicate",""))</f>
        <v/>
      </c>
      <c r="AD296" s="42" t="n"/>
      <c r="AE296" s="42" t="n"/>
      <c r="AF296" s="42" t="n"/>
      <c r="AG296" s="42" t="n"/>
      <c r="AH296" s="42" t="n"/>
      <c r="AI296" s="42" t="n"/>
      <c r="AJ296" s="42" t="n"/>
      <c r="AK296" s="42" t="n"/>
      <c r="AL296" s="42" t="n"/>
      <c r="AM296" s="42" t="n"/>
      <c r="AN296" s="42" t="n"/>
      <c r="AO296" s="42" t="n"/>
      <c r="AP296" s="42" t="n"/>
      <c r="AQ296" s="42" t="n"/>
      <c r="AR296" s="38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5" t="n"/>
      <c r="Z297" s="157">
        <f>IF(OR(Y297="",X297=""),"",IFERROR(Y297*INDEX(FXRates[USD per unit],MATCH(X297,FXRates[Currency],0)),"No rate"))</f>
        <v/>
      </c>
      <c r="AA297" s="32" t="n"/>
      <c r="AB297" s="32" t="n"/>
      <c r="AC297" s="36">
        <f>IF(A297="","",IF(COUNTIF($A$6:$A$504,A297)&gt;1,"⚠ Duplicate",""))</f>
        <v/>
      </c>
      <c r="AD297" s="43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  <c r="AM297" s="43" t="n"/>
      <c r="AN297" s="43" t="n"/>
      <c r="AO297" s="43" t="n"/>
      <c r="AP297" s="43" t="n"/>
      <c r="AQ297" s="43" t="n"/>
      <c r="AR297" s="32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40" t="n"/>
      <c r="Z298" s="158">
        <f>IF(OR(Y298="",X298=""),"",IFERROR(Y298*INDEX(FXRates[USD per unit],MATCH(X298,FXRates[Currency],0)),"No rate"))</f>
        <v/>
      </c>
      <c r="AA298" s="38" t="n"/>
      <c r="AB298" s="38" t="n"/>
      <c r="AC298" s="41">
        <f>IF(A298="","",IF(COUNTIF($A$6:$A$504,A298)&gt;1,"⚠ Duplicate",""))</f>
        <v/>
      </c>
      <c r="AD298" s="42" t="n"/>
      <c r="AE298" s="42" t="n"/>
      <c r="AF298" s="42" t="n"/>
      <c r="AG298" s="42" t="n"/>
      <c r="AH298" s="42" t="n"/>
      <c r="AI298" s="42" t="n"/>
      <c r="AJ298" s="42" t="n"/>
      <c r="AK298" s="42" t="n"/>
      <c r="AL298" s="42" t="n"/>
      <c r="AM298" s="42" t="n"/>
      <c r="AN298" s="42" t="n"/>
      <c r="AO298" s="42" t="n"/>
      <c r="AP298" s="42" t="n"/>
      <c r="AQ298" s="42" t="n"/>
      <c r="AR298" s="38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5" t="n"/>
      <c r="Z299" s="157">
        <f>IF(OR(Y299="",X299=""),"",IFERROR(Y299*INDEX(FXRates[USD per unit],MATCH(X299,FXRates[Currency],0)),"No rate"))</f>
        <v/>
      </c>
      <c r="AA299" s="32" t="n"/>
      <c r="AB299" s="32" t="n"/>
      <c r="AC299" s="36">
        <f>IF(A299="","",IF(COUNTIF($A$6:$A$504,A299)&gt;1,"⚠ Duplicate",""))</f>
        <v/>
      </c>
      <c r="AD299" s="43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  <c r="AM299" s="43" t="n"/>
      <c r="AN299" s="43" t="n"/>
      <c r="AO299" s="43" t="n"/>
      <c r="AP299" s="43" t="n"/>
      <c r="AQ299" s="43" t="n"/>
      <c r="AR299" s="32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40" t="n"/>
      <c r="Z300" s="158">
        <f>IF(OR(Y300="",X300=""),"",IFERROR(Y300*INDEX(FXRates[USD per unit],MATCH(X300,FXRates[Currency],0)),"No rate"))</f>
        <v/>
      </c>
      <c r="AA300" s="38" t="n"/>
      <c r="AB300" s="38" t="n"/>
      <c r="AC300" s="41">
        <f>IF(A300="","",IF(COUNTIF($A$6:$A$504,A300)&gt;1,"⚠ Duplicate",""))</f>
        <v/>
      </c>
      <c r="AD300" s="42" t="n"/>
      <c r="AE300" s="42" t="n"/>
      <c r="AF300" s="42" t="n"/>
      <c r="AG300" s="42" t="n"/>
      <c r="AH300" s="42" t="n"/>
      <c r="AI300" s="42" t="n"/>
      <c r="AJ300" s="42" t="n"/>
      <c r="AK300" s="42" t="n"/>
      <c r="AL300" s="42" t="n"/>
      <c r="AM300" s="42" t="n"/>
      <c r="AN300" s="42" t="n"/>
      <c r="AO300" s="42" t="n"/>
      <c r="AP300" s="42" t="n"/>
      <c r="AQ300" s="42" t="n"/>
      <c r="AR300" s="38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5" t="n"/>
      <c r="Z301" s="157">
        <f>IF(OR(Y301="",X301=""),"",IFERROR(Y301*INDEX(FXRates[USD per unit],MATCH(X301,FXRates[Currency],0)),"No rate"))</f>
        <v/>
      </c>
      <c r="AA301" s="32" t="n"/>
      <c r="AB301" s="32" t="n"/>
      <c r="AC301" s="36">
        <f>IF(A301="","",IF(COUNTIF($A$6:$A$504,A301)&gt;1,"⚠ Duplicate",""))</f>
        <v/>
      </c>
      <c r="AD301" s="43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  <c r="AM301" s="43" t="n"/>
      <c r="AN301" s="43" t="n"/>
      <c r="AO301" s="43" t="n"/>
      <c r="AP301" s="43" t="n"/>
      <c r="AQ301" s="43" t="n"/>
      <c r="AR301" s="32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40" t="n"/>
      <c r="Z302" s="158">
        <f>IF(OR(Y302="",X302=""),"",IFERROR(Y302*INDEX(FXRates[USD per unit],MATCH(X302,FXRates[Currency],0)),"No rate"))</f>
        <v/>
      </c>
      <c r="AA302" s="38" t="n"/>
      <c r="AB302" s="38" t="n"/>
      <c r="AC302" s="41">
        <f>IF(A302="","",IF(COUNTIF($A$6:$A$504,A302)&gt;1,"⚠ Duplicate",""))</f>
        <v/>
      </c>
      <c r="AD302" s="42" t="n"/>
      <c r="AE302" s="42" t="n"/>
      <c r="AF302" s="42" t="n"/>
      <c r="AG302" s="42" t="n"/>
      <c r="AH302" s="42" t="n"/>
      <c r="AI302" s="42" t="n"/>
      <c r="AJ302" s="42" t="n"/>
      <c r="AK302" s="42" t="n"/>
      <c r="AL302" s="42" t="n"/>
      <c r="AM302" s="42" t="n"/>
      <c r="AN302" s="42" t="n"/>
      <c r="AO302" s="42" t="n"/>
      <c r="AP302" s="42" t="n"/>
      <c r="AQ302" s="42" t="n"/>
      <c r="AR302" s="38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5" t="n"/>
      <c r="Z303" s="157">
        <f>IF(OR(Y303="",X303=""),"",IFERROR(Y303*INDEX(FXRates[USD per unit],MATCH(X303,FXRates[Currency],0)),"No rate"))</f>
        <v/>
      </c>
      <c r="AA303" s="32" t="n"/>
      <c r="AB303" s="32" t="n"/>
      <c r="AC303" s="36">
        <f>IF(A303="","",IF(COUNTIF($A$6:$A$504,A303)&gt;1,"⚠ Duplicate",""))</f>
        <v/>
      </c>
      <c r="AD303" s="43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  <c r="AM303" s="43" t="n"/>
      <c r="AN303" s="43" t="n"/>
      <c r="AO303" s="43" t="n"/>
      <c r="AP303" s="43" t="n"/>
      <c r="AQ303" s="43" t="n"/>
      <c r="AR303" s="32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40" t="n"/>
      <c r="Z304" s="158">
        <f>IF(OR(Y304="",X304=""),"",IFERROR(Y304*INDEX(FXRates[USD per unit],MATCH(X304,FXRates[Currency],0)),"No rate"))</f>
        <v/>
      </c>
      <c r="AA304" s="38" t="n"/>
      <c r="AB304" s="38" t="n"/>
      <c r="AC304" s="41">
        <f>IF(A304="","",IF(COUNTIF($A$6:$A$504,A304)&gt;1,"⚠ Duplicate",""))</f>
        <v/>
      </c>
      <c r="AD304" s="42" t="n"/>
      <c r="AE304" s="42" t="n"/>
      <c r="AF304" s="42" t="n"/>
      <c r="AG304" s="42" t="n"/>
      <c r="AH304" s="42" t="n"/>
      <c r="AI304" s="42" t="n"/>
      <c r="AJ304" s="42" t="n"/>
      <c r="AK304" s="42" t="n"/>
      <c r="AL304" s="42" t="n"/>
      <c r="AM304" s="42" t="n"/>
      <c r="AN304" s="42" t="n"/>
      <c r="AO304" s="42" t="n"/>
      <c r="AP304" s="42" t="n"/>
      <c r="AQ304" s="42" t="n"/>
      <c r="AR304" s="38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5" t="n"/>
      <c r="Z305" s="157">
        <f>IF(OR(Y305="",X305=""),"",IFERROR(Y305*INDEX(FXRates[USD per unit],MATCH(X305,FXRates[Currency],0)),"No rate"))</f>
        <v/>
      </c>
      <c r="AA305" s="32" t="n"/>
      <c r="AB305" s="32" t="n"/>
      <c r="AC305" s="36">
        <f>IF(A305="","",IF(COUNTIF($A$6:$A$504,A305)&gt;1,"⚠ Duplicate",""))</f>
        <v/>
      </c>
      <c r="AD305" s="43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  <c r="AM305" s="43" t="n"/>
      <c r="AN305" s="43" t="n"/>
      <c r="AO305" s="43" t="n"/>
      <c r="AP305" s="43" t="n"/>
      <c r="AQ305" s="43" t="n"/>
      <c r="AR305" s="32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40" t="n"/>
      <c r="Z306" s="158">
        <f>IF(OR(Y306="",X306=""),"",IFERROR(Y306*INDEX(FXRates[USD per unit],MATCH(X306,FXRates[Currency],0)),"No rate"))</f>
        <v/>
      </c>
      <c r="AA306" s="38" t="n"/>
      <c r="AB306" s="38" t="n"/>
      <c r="AC306" s="41">
        <f>IF(A306="","",IF(COUNTIF($A$6:$A$504,A306)&gt;1,"⚠ Duplicate",""))</f>
        <v/>
      </c>
      <c r="AD306" s="42" t="n"/>
      <c r="AE306" s="42" t="n"/>
      <c r="AF306" s="42" t="n"/>
      <c r="AG306" s="42" t="n"/>
      <c r="AH306" s="42" t="n"/>
      <c r="AI306" s="42" t="n"/>
      <c r="AJ306" s="42" t="n"/>
      <c r="AK306" s="42" t="n"/>
      <c r="AL306" s="42" t="n"/>
      <c r="AM306" s="42" t="n"/>
      <c r="AN306" s="42" t="n"/>
      <c r="AO306" s="42" t="n"/>
      <c r="AP306" s="42" t="n"/>
      <c r="AQ306" s="42" t="n"/>
      <c r="AR306" s="38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5" t="n"/>
      <c r="Z307" s="157">
        <f>IF(OR(Y307="",X307=""),"",IFERROR(Y307*INDEX(FXRates[USD per unit],MATCH(X307,FXRates[Currency],0)),"No rate"))</f>
        <v/>
      </c>
      <c r="AA307" s="32" t="n"/>
      <c r="AB307" s="32" t="n"/>
      <c r="AC307" s="36">
        <f>IF(A307="","",IF(COUNTIF($A$6:$A$504,A307)&gt;1,"⚠ Duplicate",""))</f>
        <v/>
      </c>
      <c r="AD307" s="43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  <c r="AM307" s="43" t="n"/>
      <c r="AN307" s="43" t="n"/>
      <c r="AO307" s="43" t="n"/>
      <c r="AP307" s="43" t="n"/>
      <c r="AQ307" s="43" t="n"/>
      <c r="AR307" s="32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40" t="n"/>
      <c r="Z308" s="158">
        <f>IF(OR(Y308="",X308=""),"",IFERROR(Y308*INDEX(FXRates[USD per unit],MATCH(X308,FXRates[Currency],0)),"No rate"))</f>
        <v/>
      </c>
      <c r="AA308" s="38" t="n"/>
      <c r="AB308" s="38" t="n"/>
      <c r="AC308" s="41">
        <f>IF(A308="","",IF(COUNTIF($A$6:$A$504,A308)&gt;1,"⚠ Duplicate",""))</f>
        <v/>
      </c>
      <c r="AD308" s="42" t="n"/>
      <c r="AE308" s="42" t="n"/>
      <c r="AF308" s="42" t="n"/>
      <c r="AG308" s="42" t="n"/>
      <c r="AH308" s="42" t="n"/>
      <c r="AI308" s="42" t="n"/>
      <c r="AJ308" s="42" t="n"/>
      <c r="AK308" s="42" t="n"/>
      <c r="AL308" s="42" t="n"/>
      <c r="AM308" s="42" t="n"/>
      <c r="AN308" s="42" t="n"/>
      <c r="AO308" s="42" t="n"/>
      <c r="AP308" s="42" t="n"/>
      <c r="AQ308" s="42" t="n"/>
      <c r="AR308" s="38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5" t="n"/>
      <c r="Z309" s="157">
        <f>IF(OR(Y309="",X309=""),"",IFERROR(Y309*INDEX(FXRates[USD per unit],MATCH(X309,FXRates[Currency],0)),"No rate"))</f>
        <v/>
      </c>
      <c r="AA309" s="32" t="n"/>
      <c r="AB309" s="32" t="n"/>
      <c r="AC309" s="36">
        <f>IF(A309="","",IF(COUNTIF($A$6:$A$504,A309)&gt;1,"⚠ Duplicate",""))</f>
        <v/>
      </c>
      <c r="AD309" s="43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  <c r="AM309" s="43" t="n"/>
      <c r="AN309" s="43" t="n"/>
      <c r="AO309" s="43" t="n"/>
      <c r="AP309" s="43" t="n"/>
      <c r="AQ309" s="43" t="n"/>
      <c r="AR309" s="32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40" t="n"/>
      <c r="Z310" s="158">
        <f>IF(OR(Y310="",X310=""),"",IFERROR(Y310*INDEX(FXRates[USD per unit],MATCH(X310,FXRates[Currency],0)),"No rate"))</f>
        <v/>
      </c>
      <c r="AA310" s="38" t="n"/>
      <c r="AB310" s="38" t="n"/>
      <c r="AC310" s="41">
        <f>IF(A310="","",IF(COUNTIF($A$6:$A$504,A310)&gt;1,"⚠ Duplicate",""))</f>
        <v/>
      </c>
      <c r="AD310" s="42" t="n"/>
      <c r="AE310" s="42" t="n"/>
      <c r="AF310" s="42" t="n"/>
      <c r="AG310" s="42" t="n"/>
      <c r="AH310" s="42" t="n"/>
      <c r="AI310" s="42" t="n"/>
      <c r="AJ310" s="42" t="n"/>
      <c r="AK310" s="42" t="n"/>
      <c r="AL310" s="42" t="n"/>
      <c r="AM310" s="42" t="n"/>
      <c r="AN310" s="42" t="n"/>
      <c r="AO310" s="42" t="n"/>
      <c r="AP310" s="42" t="n"/>
      <c r="AQ310" s="42" t="n"/>
      <c r="AR310" s="38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5" t="n"/>
      <c r="Z311" s="157">
        <f>IF(OR(Y311="",X311=""),"",IFERROR(Y311*INDEX(FXRates[USD per unit],MATCH(X311,FXRates[Currency],0)),"No rate"))</f>
        <v/>
      </c>
      <c r="AA311" s="32" t="n"/>
      <c r="AB311" s="32" t="n"/>
      <c r="AC311" s="36">
        <f>IF(A311="","",IF(COUNTIF($A$6:$A$504,A311)&gt;1,"⚠ Duplicate",""))</f>
        <v/>
      </c>
      <c r="AD311" s="43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  <c r="AM311" s="43" t="n"/>
      <c r="AN311" s="43" t="n"/>
      <c r="AO311" s="43" t="n"/>
      <c r="AP311" s="43" t="n"/>
      <c r="AQ311" s="43" t="n"/>
      <c r="AR311" s="32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40" t="n"/>
      <c r="Z312" s="158">
        <f>IF(OR(Y312="",X312=""),"",IFERROR(Y312*INDEX(FXRates[USD per unit],MATCH(X312,FXRates[Currency],0)),"No rate"))</f>
        <v/>
      </c>
      <c r="AA312" s="38" t="n"/>
      <c r="AB312" s="38" t="n"/>
      <c r="AC312" s="41">
        <f>IF(A312="","",IF(COUNTIF($A$6:$A$504,A312)&gt;1,"⚠ Duplicate",""))</f>
        <v/>
      </c>
      <c r="AD312" s="42" t="n"/>
      <c r="AE312" s="42" t="n"/>
      <c r="AF312" s="42" t="n"/>
      <c r="AG312" s="42" t="n"/>
      <c r="AH312" s="42" t="n"/>
      <c r="AI312" s="42" t="n"/>
      <c r="AJ312" s="42" t="n"/>
      <c r="AK312" s="42" t="n"/>
      <c r="AL312" s="42" t="n"/>
      <c r="AM312" s="42" t="n"/>
      <c r="AN312" s="42" t="n"/>
      <c r="AO312" s="42" t="n"/>
      <c r="AP312" s="42" t="n"/>
      <c r="AQ312" s="42" t="n"/>
      <c r="AR312" s="38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5" t="n"/>
      <c r="Z313" s="157">
        <f>IF(OR(Y313="",X313=""),"",IFERROR(Y313*INDEX(FXRates[USD per unit],MATCH(X313,FXRates[Currency],0)),"No rate"))</f>
        <v/>
      </c>
      <c r="AA313" s="32" t="n"/>
      <c r="AB313" s="32" t="n"/>
      <c r="AC313" s="36">
        <f>IF(A313="","",IF(COUNTIF($A$6:$A$504,A313)&gt;1,"⚠ Duplicate",""))</f>
        <v/>
      </c>
      <c r="AD313" s="43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  <c r="AM313" s="43" t="n"/>
      <c r="AN313" s="43" t="n"/>
      <c r="AO313" s="43" t="n"/>
      <c r="AP313" s="43" t="n"/>
      <c r="AQ313" s="43" t="n"/>
      <c r="AR313" s="32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40" t="n"/>
      <c r="Z314" s="158">
        <f>IF(OR(Y314="",X314=""),"",IFERROR(Y314*INDEX(FXRates[USD per unit],MATCH(X314,FXRates[Currency],0)),"No rate"))</f>
        <v/>
      </c>
      <c r="AA314" s="38" t="n"/>
      <c r="AB314" s="38" t="n"/>
      <c r="AC314" s="41">
        <f>IF(A314="","",IF(COUNTIF($A$6:$A$504,A314)&gt;1,"⚠ Duplicate",""))</f>
        <v/>
      </c>
      <c r="AD314" s="42" t="n"/>
      <c r="AE314" s="42" t="n"/>
      <c r="AF314" s="42" t="n"/>
      <c r="AG314" s="42" t="n"/>
      <c r="AH314" s="42" t="n"/>
      <c r="AI314" s="42" t="n"/>
      <c r="AJ314" s="42" t="n"/>
      <c r="AK314" s="42" t="n"/>
      <c r="AL314" s="42" t="n"/>
      <c r="AM314" s="42" t="n"/>
      <c r="AN314" s="42" t="n"/>
      <c r="AO314" s="42" t="n"/>
      <c r="AP314" s="42" t="n"/>
      <c r="AQ314" s="42" t="n"/>
      <c r="AR314" s="38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5" t="n"/>
      <c r="Z315" s="157">
        <f>IF(OR(Y315="",X315=""),"",IFERROR(Y315*INDEX(FXRates[USD per unit],MATCH(X315,FXRates[Currency],0)),"No rate"))</f>
        <v/>
      </c>
      <c r="AA315" s="32" t="n"/>
      <c r="AB315" s="32" t="n"/>
      <c r="AC315" s="36">
        <f>IF(A315="","",IF(COUNTIF($A$6:$A$504,A315)&gt;1,"⚠ Duplicate",""))</f>
        <v/>
      </c>
      <c r="AD315" s="43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  <c r="AM315" s="43" t="n"/>
      <c r="AN315" s="43" t="n"/>
      <c r="AO315" s="43" t="n"/>
      <c r="AP315" s="43" t="n"/>
      <c r="AQ315" s="43" t="n"/>
      <c r="AR315" s="32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40" t="n"/>
      <c r="Z316" s="158">
        <f>IF(OR(Y316="",X316=""),"",IFERROR(Y316*INDEX(FXRates[USD per unit],MATCH(X316,FXRates[Currency],0)),"No rate"))</f>
        <v/>
      </c>
      <c r="AA316" s="38" t="n"/>
      <c r="AB316" s="38" t="n"/>
      <c r="AC316" s="41">
        <f>IF(A316="","",IF(COUNTIF($A$6:$A$504,A316)&gt;1,"⚠ Duplicate",""))</f>
        <v/>
      </c>
      <c r="AD316" s="42" t="n"/>
      <c r="AE316" s="42" t="n"/>
      <c r="AF316" s="42" t="n"/>
      <c r="AG316" s="42" t="n"/>
      <c r="AH316" s="42" t="n"/>
      <c r="AI316" s="42" t="n"/>
      <c r="AJ316" s="42" t="n"/>
      <c r="AK316" s="42" t="n"/>
      <c r="AL316" s="42" t="n"/>
      <c r="AM316" s="42" t="n"/>
      <c r="AN316" s="42" t="n"/>
      <c r="AO316" s="42" t="n"/>
      <c r="AP316" s="42" t="n"/>
      <c r="AQ316" s="42" t="n"/>
      <c r="AR316" s="38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5" t="n"/>
      <c r="Z317" s="157">
        <f>IF(OR(Y317="",X317=""),"",IFERROR(Y317*INDEX(FXRates[USD per unit],MATCH(X317,FXRates[Currency],0)),"No rate"))</f>
        <v/>
      </c>
      <c r="AA317" s="32" t="n"/>
      <c r="AB317" s="32" t="n"/>
      <c r="AC317" s="36">
        <f>IF(A317="","",IF(COUNTIF($A$6:$A$504,A317)&gt;1,"⚠ Duplicate",""))</f>
        <v/>
      </c>
      <c r="AD317" s="43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  <c r="AM317" s="43" t="n"/>
      <c r="AN317" s="43" t="n"/>
      <c r="AO317" s="43" t="n"/>
      <c r="AP317" s="43" t="n"/>
      <c r="AQ317" s="43" t="n"/>
      <c r="AR317" s="32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40" t="n"/>
      <c r="Z318" s="158">
        <f>IF(OR(Y318="",X318=""),"",IFERROR(Y318*INDEX(FXRates[USD per unit],MATCH(X318,FXRates[Currency],0)),"No rate"))</f>
        <v/>
      </c>
      <c r="AA318" s="38" t="n"/>
      <c r="AB318" s="38" t="n"/>
      <c r="AC318" s="41">
        <f>IF(A318="","",IF(COUNTIF($A$6:$A$504,A318)&gt;1,"⚠ Duplicate",""))</f>
        <v/>
      </c>
      <c r="AD318" s="42" t="n"/>
      <c r="AE318" s="42" t="n"/>
      <c r="AF318" s="42" t="n"/>
      <c r="AG318" s="42" t="n"/>
      <c r="AH318" s="42" t="n"/>
      <c r="AI318" s="42" t="n"/>
      <c r="AJ318" s="42" t="n"/>
      <c r="AK318" s="42" t="n"/>
      <c r="AL318" s="42" t="n"/>
      <c r="AM318" s="42" t="n"/>
      <c r="AN318" s="42" t="n"/>
      <c r="AO318" s="42" t="n"/>
      <c r="AP318" s="42" t="n"/>
      <c r="AQ318" s="42" t="n"/>
      <c r="AR318" s="38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5" t="n"/>
      <c r="Z319" s="157">
        <f>IF(OR(Y319="",X319=""),"",IFERROR(Y319*INDEX(FXRates[USD per unit],MATCH(X319,FXRates[Currency],0)),"No rate"))</f>
        <v/>
      </c>
      <c r="AA319" s="32" t="n"/>
      <c r="AB319" s="32" t="n"/>
      <c r="AC319" s="36">
        <f>IF(A319="","",IF(COUNTIF($A$6:$A$504,A319)&gt;1,"⚠ Duplicate",""))</f>
        <v/>
      </c>
      <c r="AD319" s="43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  <c r="AM319" s="43" t="n"/>
      <c r="AN319" s="43" t="n"/>
      <c r="AO319" s="43" t="n"/>
      <c r="AP319" s="43" t="n"/>
      <c r="AQ319" s="43" t="n"/>
      <c r="AR319" s="32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40" t="n"/>
      <c r="Z320" s="158">
        <f>IF(OR(Y320="",X320=""),"",IFERROR(Y320*INDEX(FXRates[USD per unit],MATCH(X320,FXRates[Currency],0)),"No rate"))</f>
        <v/>
      </c>
      <c r="AA320" s="38" t="n"/>
      <c r="AB320" s="38" t="n"/>
      <c r="AC320" s="41">
        <f>IF(A320="","",IF(COUNTIF($A$6:$A$504,A320)&gt;1,"⚠ Duplicate",""))</f>
        <v/>
      </c>
      <c r="AD320" s="42" t="n"/>
      <c r="AE320" s="42" t="n"/>
      <c r="AF320" s="42" t="n"/>
      <c r="AG320" s="42" t="n"/>
      <c r="AH320" s="42" t="n"/>
      <c r="AI320" s="42" t="n"/>
      <c r="AJ320" s="42" t="n"/>
      <c r="AK320" s="42" t="n"/>
      <c r="AL320" s="42" t="n"/>
      <c r="AM320" s="42" t="n"/>
      <c r="AN320" s="42" t="n"/>
      <c r="AO320" s="42" t="n"/>
      <c r="AP320" s="42" t="n"/>
      <c r="AQ320" s="42" t="n"/>
      <c r="AR320" s="38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5" t="n"/>
      <c r="Z321" s="157">
        <f>IF(OR(Y321="",X321=""),"",IFERROR(Y321*INDEX(FXRates[USD per unit],MATCH(X321,FXRates[Currency],0)),"No rate"))</f>
        <v/>
      </c>
      <c r="AA321" s="32" t="n"/>
      <c r="AB321" s="32" t="n"/>
      <c r="AC321" s="36">
        <f>IF(A321="","",IF(COUNTIF($A$6:$A$504,A321)&gt;1,"⚠ Duplicate",""))</f>
        <v/>
      </c>
      <c r="AD321" s="43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  <c r="AM321" s="43" t="n"/>
      <c r="AN321" s="43" t="n"/>
      <c r="AO321" s="43" t="n"/>
      <c r="AP321" s="43" t="n"/>
      <c r="AQ321" s="43" t="n"/>
      <c r="AR321" s="32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40" t="n"/>
      <c r="Z322" s="158">
        <f>IF(OR(Y322="",X322=""),"",IFERROR(Y322*INDEX(FXRates[USD per unit],MATCH(X322,FXRates[Currency],0)),"No rate"))</f>
        <v/>
      </c>
      <c r="AA322" s="38" t="n"/>
      <c r="AB322" s="38" t="n"/>
      <c r="AC322" s="41">
        <f>IF(A322="","",IF(COUNTIF($A$6:$A$504,A322)&gt;1,"⚠ Duplicate",""))</f>
        <v/>
      </c>
      <c r="AD322" s="42" t="n"/>
      <c r="AE322" s="42" t="n"/>
      <c r="AF322" s="42" t="n"/>
      <c r="AG322" s="42" t="n"/>
      <c r="AH322" s="42" t="n"/>
      <c r="AI322" s="42" t="n"/>
      <c r="AJ322" s="42" t="n"/>
      <c r="AK322" s="42" t="n"/>
      <c r="AL322" s="42" t="n"/>
      <c r="AM322" s="42" t="n"/>
      <c r="AN322" s="42" t="n"/>
      <c r="AO322" s="42" t="n"/>
      <c r="AP322" s="42" t="n"/>
      <c r="AQ322" s="42" t="n"/>
      <c r="AR322" s="38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5" t="n"/>
      <c r="Z323" s="157">
        <f>IF(OR(Y323="",X323=""),"",IFERROR(Y323*INDEX(FXRates[USD per unit],MATCH(X323,FXRates[Currency],0)),"No rate"))</f>
        <v/>
      </c>
      <c r="AA323" s="32" t="n"/>
      <c r="AB323" s="32" t="n"/>
      <c r="AC323" s="36">
        <f>IF(A323="","",IF(COUNTIF($A$6:$A$504,A323)&gt;1,"⚠ Duplicate",""))</f>
        <v/>
      </c>
      <c r="AD323" s="43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  <c r="AM323" s="43" t="n"/>
      <c r="AN323" s="43" t="n"/>
      <c r="AO323" s="43" t="n"/>
      <c r="AP323" s="43" t="n"/>
      <c r="AQ323" s="43" t="n"/>
      <c r="AR323" s="32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40" t="n"/>
      <c r="Z324" s="158">
        <f>IF(OR(Y324="",X324=""),"",IFERROR(Y324*INDEX(FXRates[USD per unit],MATCH(X324,FXRates[Currency],0)),"No rate"))</f>
        <v/>
      </c>
      <c r="AA324" s="38" t="n"/>
      <c r="AB324" s="38" t="n"/>
      <c r="AC324" s="41">
        <f>IF(A324="","",IF(COUNTIF($A$6:$A$504,A324)&gt;1,"⚠ Duplicate",""))</f>
        <v/>
      </c>
      <c r="AD324" s="42" t="n"/>
      <c r="AE324" s="42" t="n"/>
      <c r="AF324" s="42" t="n"/>
      <c r="AG324" s="42" t="n"/>
      <c r="AH324" s="42" t="n"/>
      <c r="AI324" s="42" t="n"/>
      <c r="AJ324" s="42" t="n"/>
      <c r="AK324" s="42" t="n"/>
      <c r="AL324" s="42" t="n"/>
      <c r="AM324" s="42" t="n"/>
      <c r="AN324" s="42" t="n"/>
      <c r="AO324" s="42" t="n"/>
      <c r="AP324" s="42" t="n"/>
      <c r="AQ324" s="42" t="n"/>
      <c r="AR324" s="38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5" t="n"/>
      <c r="Z325" s="157">
        <f>IF(OR(Y325="",X325=""),"",IFERROR(Y325*INDEX(FXRates[USD per unit],MATCH(X325,FXRates[Currency],0)),"No rate"))</f>
        <v/>
      </c>
      <c r="AA325" s="32" t="n"/>
      <c r="AB325" s="32" t="n"/>
      <c r="AC325" s="36">
        <f>IF(A325="","",IF(COUNTIF($A$6:$A$504,A325)&gt;1,"⚠ Duplicate",""))</f>
        <v/>
      </c>
      <c r="AD325" s="43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  <c r="AM325" s="43" t="n"/>
      <c r="AN325" s="43" t="n"/>
      <c r="AO325" s="43" t="n"/>
      <c r="AP325" s="43" t="n"/>
      <c r="AQ325" s="43" t="n"/>
      <c r="AR325" s="32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40" t="n"/>
      <c r="Z326" s="158">
        <f>IF(OR(Y326="",X326=""),"",IFERROR(Y326*INDEX(FXRates[USD per unit],MATCH(X326,FXRates[Currency],0)),"No rate"))</f>
        <v/>
      </c>
      <c r="AA326" s="38" t="n"/>
      <c r="AB326" s="38" t="n"/>
      <c r="AC326" s="41">
        <f>IF(A326="","",IF(COUNTIF($A$6:$A$504,A326)&gt;1,"⚠ Duplicate",""))</f>
        <v/>
      </c>
      <c r="AD326" s="42" t="n"/>
      <c r="AE326" s="42" t="n"/>
      <c r="AF326" s="42" t="n"/>
      <c r="AG326" s="42" t="n"/>
      <c r="AH326" s="42" t="n"/>
      <c r="AI326" s="42" t="n"/>
      <c r="AJ326" s="42" t="n"/>
      <c r="AK326" s="42" t="n"/>
      <c r="AL326" s="42" t="n"/>
      <c r="AM326" s="42" t="n"/>
      <c r="AN326" s="42" t="n"/>
      <c r="AO326" s="42" t="n"/>
      <c r="AP326" s="42" t="n"/>
      <c r="AQ326" s="42" t="n"/>
      <c r="AR326" s="38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5" t="n"/>
      <c r="Z327" s="157">
        <f>IF(OR(Y327="",X327=""),"",IFERROR(Y327*INDEX(FXRates[USD per unit],MATCH(X327,FXRates[Currency],0)),"No rate"))</f>
        <v/>
      </c>
      <c r="AA327" s="32" t="n"/>
      <c r="AB327" s="32" t="n"/>
      <c r="AC327" s="36">
        <f>IF(A327="","",IF(COUNTIF($A$6:$A$504,A327)&gt;1,"⚠ Duplicate",""))</f>
        <v/>
      </c>
      <c r="AD327" s="43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  <c r="AM327" s="43" t="n"/>
      <c r="AN327" s="43" t="n"/>
      <c r="AO327" s="43" t="n"/>
      <c r="AP327" s="43" t="n"/>
      <c r="AQ327" s="43" t="n"/>
      <c r="AR327" s="32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40" t="n"/>
      <c r="Z328" s="158">
        <f>IF(OR(Y328="",X328=""),"",IFERROR(Y328*INDEX(FXRates[USD per unit],MATCH(X328,FXRates[Currency],0)),"No rate"))</f>
        <v/>
      </c>
      <c r="AA328" s="38" t="n"/>
      <c r="AB328" s="38" t="n"/>
      <c r="AC328" s="41">
        <f>IF(A328="","",IF(COUNTIF($A$6:$A$504,A328)&gt;1,"⚠ Duplicate",""))</f>
        <v/>
      </c>
      <c r="AD328" s="42" t="n"/>
      <c r="AE328" s="42" t="n"/>
      <c r="AF328" s="42" t="n"/>
      <c r="AG328" s="42" t="n"/>
      <c r="AH328" s="42" t="n"/>
      <c r="AI328" s="42" t="n"/>
      <c r="AJ328" s="42" t="n"/>
      <c r="AK328" s="42" t="n"/>
      <c r="AL328" s="42" t="n"/>
      <c r="AM328" s="42" t="n"/>
      <c r="AN328" s="42" t="n"/>
      <c r="AO328" s="42" t="n"/>
      <c r="AP328" s="42" t="n"/>
      <c r="AQ328" s="42" t="n"/>
      <c r="AR328" s="38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5" t="n"/>
      <c r="Z329" s="157">
        <f>IF(OR(Y329="",X329=""),"",IFERROR(Y329*INDEX(FXRates[USD per unit],MATCH(X329,FXRates[Currency],0)),"No rate"))</f>
        <v/>
      </c>
      <c r="AA329" s="32" t="n"/>
      <c r="AB329" s="32" t="n"/>
      <c r="AC329" s="36">
        <f>IF(A329="","",IF(COUNTIF($A$6:$A$504,A329)&gt;1,"⚠ Duplicate",""))</f>
        <v/>
      </c>
      <c r="AD329" s="43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  <c r="AM329" s="43" t="n"/>
      <c r="AN329" s="43" t="n"/>
      <c r="AO329" s="43" t="n"/>
      <c r="AP329" s="43" t="n"/>
      <c r="AQ329" s="43" t="n"/>
      <c r="AR329" s="32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40" t="n"/>
      <c r="Z330" s="158">
        <f>IF(OR(Y330="",X330=""),"",IFERROR(Y330*INDEX(FXRates[USD per unit],MATCH(X330,FXRates[Currency],0)),"No rate"))</f>
        <v/>
      </c>
      <c r="AA330" s="38" t="n"/>
      <c r="AB330" s="38" t="n"/>
      <c r="AC330" s="41">
        <f>IF(A330="","",IF(COUNTIF($A$6:$A$504,A330)&gt;1,"⚠ Duplicate",""))</f>
        <v/>
      </c>
      <c r="AD330" s="42" t="n"/>
      <c r="AE330" s="42" t="n"/>
      <c r="AF330" s="42" t="n"/>
      <c r="AG330" s="42" t="n"/>
      <c r="AH330" s="42" t="n"/>
      <c r="AI330" s="42" t="n"/>
      <c r="AJ330" s="42" t="n"/>
      <c r="AK330" s="42" t="n"/>
      <c r="AL330" s="42" t="n"/>
      <c r="AM330" s="42" t="n"/>
      <c r="AN330" s="42" t="n"/>
      <c r="AO330" s="42" t="n"/>
      <c r="AP330" s="42" t="n"/>
      <c r="AQ330" s="42" t="n"/>
      <c r="AR330" s="38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5" t="n"/>
      <c r="Z331" s="157">
        <f>IF(OR(Y331="",X331=""),"",IFERROR(Y331*INDEX(FXRates[USD per unit],MATCH(X331,FXRates[Currency],0)),"No rate"))</f>
        <v/>
      </c>
      <c r="AA331" s="32" t="n"/>
      <c r="AB331" s="32" t="n"/>
      <c r="AC331" s="36">
        <f>IF(A331="","",IF(COUNTIF($A$6:$A$504,A331)&gt;1,"⚠ Duplicate",""))</f>
        <v/>
      </c>
      <c r="AD331" s="43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  <c r="AM331" s="43" t="n"/>
      <c r="AN331" s="43" t="n"/>
      <c r="AO331" s="43" t="n"/>
      <c r="AP331" s="43" t="n"/>
      <c r="AQ331" s="43" t="n"/>
      <c r="AR331" s="32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40" t="n"/>
      <c r="Z332" s="158">
        <f>IF(OR(Y332="",X332=""),"",IFERROR(Y332*INDEX(FXRates[USD per unit],MATCH(X332,FXRates[Currency],0)),"No rate"))</f>
        <v/>
      </c>
      <c r="AA332" s="38" t="n"/>
      <c r="AB332" s="38" t="n"/>
      <c r="AC332" s="41">
        <f>IF(A332="","",IF(COUNTIF($A$6:$A$504,A332)&gt;1,"⚠ Duplicate",""))</f>
        <v/>
      </c>
      <c r="AD332" s="42" t="n"/>
      <c r="AE332" s="42" t="n"/>
      <c r="AF332" s="42" t="n"/>
      <c r="AG332" s="42" t="n"/>
      <c r="AH332" s="42" t="n"/>
      <c r="AI332" s="42" t="n"/>
      <c r="AJ332" s="42" t="n"/>
      <c r="AK332" s="42" t="n"/>
      <c r="AL332" s="42" t="n"/>
      <c r="AM332" s="42" t="n"/>
      <c r="AN332" s="42" t="n"/>
      <c r="AO332" s="42" t="n"/>
      <c r="AP332" s="42" t="n"/>
      <c r="AQ332" s="42" t="n"/>
      <c r="AR332" s="38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5" t="n"/>
      <c r="Z333" s="157">
        <f>IF(OR(Y333="",X333=""),"",IFERROR(Y333*INDEX(FXRates[USD per unit],MATCH(X333,FXRates[Currency],0)),"No rate"))</f>
        <v/>
      </c>
      <c r="AA333" s="32" t="n"/>
      <c r="AB333" s="32" t="n"/>
      <c r="AC333" s="36">
        <f>IF(A333="","",IF(COUNTIF($A$6:$A$504,A333)&gt;1,"⚠ Duplicate",""))</f>
        <v/>
      </c>
      <c r="AD333" s="43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  <c r="AM333" s="43" t="n"/>
      <c r="AN333" s="43" t="n"/>
      <c r="AO333" s="43" t="n"/>
      <c r="AP333" s="43" t="n"/>
      <c r="AQ333" s="43" t="n"/>
      <c r="AR333" s="32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40" t="n"/>
      <c r="Z334" s="158">
        <f>IF(OR(Y334="",X334=""),"",IFERROR(Y334*INDEX(FXRates[USD per unit],MATCH(X334,FXRates[Currency],0)),"No rate"))</f>
        <v/>
      </c>
      <c r="AA334" s="38" t="n"/>
      <c r="AB334" s="38" t="n"/>
      <c r="AC334" s="41">
        <f>IF(A334="","",IF(COUNTIF($A$6:$A$504,A334)&gt;1,"⚠ Duplicate",""))</f>
        <v/>
      </c>
      <c r="AD334" s="42" t="n"/>
      <c r="AE334" s="42" t="n"/>
      <c r="AF334" s="42" t="n"/>
      <c r="AG334" s="42" t="n"/>
      <c r="AH334" s="42" t="n"/>
      <c r="AI334" s="42" t="n"/>
      <c r="AJ334" s="42" t="n"/>
      <c r="AK334" s="42" t="n"/>
      <c r="AL334" s="42" t="n"/>
      <c r="AM334" s="42" t="n"/>
      <c r="AN334" s="42" t="n"/>
      <c r="AO334" s="42" t="n"/>
      <c r="AP334" s="42" t="n"/>
      <c r="AQ334" s="42" t="n"/>
      <c r="AR334" s="38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5" t="n"/>
      <c r="Z335" s="157">
        <f>IF(OR(Y335="",X335=""),"",IFERROR(Y335*INDEX(FXRates[USD per unit],MATCH(X335,FXRates[Currency],0)),"No rate"))</f>
        <v/>
      </c>
      <c r="AA335" s="32" t="n"/>
      <c r="AB335" s="32" t="n"/>
      <c r="AC335" s="36">
        <f>IF(A335="","",IF(COUNTIF($A$6:$A$504,A335)&gt;1,"⚠ Duplicate",""))</f>
        <v/>
      </c>
      <c r="AD335" s="43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  <c r="AM335" s="43" t="n"/>
      <c r="AN335" s="43" t="n"/>
      <c r="AO335" s="43" t="n"/>
      <c r="AP335" s="43" t="n"/>
      <c r="AQ335" s="43" t="n"/>
      <c r="AR335" s="32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40" t="n"/>
      <c r="Z336" s="158">
        <f>IF(OR(Y336="",X336=""),"",IFERROR(Y336*INDEX(FXRates[USD per unit],MATCH(X336,FXRates[Currency],0)),"No rate"))</f>
        <v/>
      </c>
      <c r="AA336" s="38" t="n"/>
      <c r="AB336" s="38" t="n"/>
      <c r="AC336" s="41">
        <f>IF(A336="","",IF(COUNTIF($A$6:$A$504,A336)&gt;1,"⚠ Duplicate",""))</f>
        <v/>
      </c>
      <c r="AD336" s="42" t="n"/>
      <c r="AE336" s="42" t="n"/>
      <c r="AF336" s="42" t="n"/>
      <c r="AG336" s="42" t="n"/>
      <c r="AH336" s="42" t="n"/>
      <c r="AI336" s="42" t="n"/>
      <c r="AJ336" s="42" t="n"/>
      <c r="AK336" s="42" t="n"/>
      <c r="AL336" s="42" t="n"/>
      <c r="AM336" s="42" t="n"/>
      <c r="AN336" s="42" t="n"/>
      <c r="AO336" s="42" t="n"/>
      <c r="AP336" s="42" t="n"/>
      <c r="AQ336" s="42" t="n"/>
      <c r="AR336" s="38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5" t="n"/>
      <c r="Z337" s="157">
        <f>IF(OR(Y337="",X337=""),"",IFERROR(Y337*INDEX(FXRates[USD per unit],MATCH(X337,FXRates[Currency],0)),"No rate"))</f>
        <v/>
      </c>
      <c r="AA337" s="32" t="n"/>
      <c r="AB337" s="32" t="n"/>
      <c r="AC337" s="36">
        <f>IF(A337="","",IF(COUNTIF($A$6:$A$504,A337)&gt;1,"⚠ Duplicate",""))</f>
        <v/>
      </c>
      <c r="AD337" s="43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  <c r="AM337" s="43" t="n"/>
      <c r="AN337" s="43" t="n"/>
      <c r="AO337" s="43" t="n"/>
      <c r="AP337" s="43" t="n"/>
      <c r="AQ337" s="43" t="n"/>
      <c r="AR337" s="32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40" t="n"/>
      <c r="Z338" s="158">
        <f>IF(OR(Y338="",X338=""),"",IFERROR(Y338*INDEX(FXRates[USD per unit],MATCH(X338,FXRates[Currency],0)),"No rate"))</f>
        <v/>
      </c>
      <c r="AA338" s="38" t="n"/>
      <c r="AB338" s="38" t="n"/>
      <c r="AC338" s="41">
        <f>IF(A338="","",IF(COUNTIF($A$6:$A$504,A338)&gt;1,"⚠ Duplicate",""))</f>
        <v/>
      </c>
      <c r="AD338" s="42" t="n"/>
      <c r="AE338" s="42" t="n"/>
      <c r="AF338" s="42" t="n"/>
      <c r="AG338" s="42" t="n"/>
      <c r="AH338" s="42" t="n"/>
      <c r="AI338" s="42" t="n"/>
      <c r="AJ338" s="42" t="n"/>
      <c r="AK338" s="42" t="n"/>
      <c r="AL338" s="42" t="n"/>
      <c r="AM338" s="42" t="n"/>
      <c r="AN338" s="42" t="n"/>
      <c r="AO338" s="42" t="n"/>
      <c r="AP338" s="42" t="n"/>
      <c r="AQ338" s="42" t="n"/>
      <c r="AR338" s="38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5" t="n"/>
      <c r="Z339" s="157">
        <f>IF(OR(Y339="",X339=""),"",IFERROR(Y339*INDEX(FXRates[USD per unit],MATCH(X339,FXRates[Currency],0)),"No rate"))</f>
        <v/>
      </c>
      <c r="AA339" s="32" t="n"/>
      <c r="AB339" s="32" t="n"/>
      <c r="AC339" s="36">
        <f>IF(A339="","",IF(COUNTIF($A$6:$A$504,A339)&gt;1,"⚠ Duplicate",""))</f>
        <v/>
      </c>
      <c r="AD339" s="43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  <c r="AM339" s="43" t="n"/>
      <c r="AN339" s="43" t="n"/>
      <c r="AO339" s="43" t="n"/>
      <c r="AP339" s="43" t="n"/>
      <c r="AQ339" s="43" t="n"/>
      <c r="AR339" s="32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40" t="n"/>
      <c r="Z340" s="158">
        <f>IF(OR(Y340="",X340=""),"",IFERROR(Y340*INDEX(FXRates[USD per unit],MATCH(X340,FXRates[Currency],0)),"No rate"))</f>
        <v/>
      </c>
      <c r="AA340" s="38" t="n"/>
      <c r="AB340" s="38" t="n"/>
      <c r="AC340" s="41">
        <f>IF(A340="","",IF(COUNTIF($A$6:$A$504,A340)&gt;1,"⚠ Duplicate",""))</f>
        <v/>
      </c>
      <c r="AD340" s="42" t="n"/>
      <c r="AE340" s="42" t="n"/>
      <c r="AF340" s="42" t="n"/>
      <c r="AG340" s="42" t="n"/>
      <c r="AH340" s="42" t="n"/>
      <c r="AI340" s="42" t="n"/>
      <c r="AJ340" s="42" t="n"/>
      <c r="AK340" s="42" t="n"/>
      <c r="AL340" s="42" t="n"/>
      <c r="AM340" s="42" t="n"/>
      <c r="AN340" s="42" t="n"/>
      <c r="AO340" s="42" t="n"/>
      <c r="AP340" s="42" t="n"/>
      <c r="AQ340" s="42" t="n"/>
      <c r="AR340" s="38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5" t="n"/>
      <c r="Z341" s="157">
        <f>IF(OR(Y341="",X341=""),"",IFERROR(Y341*INDEX(FXRates[USD per unit],MATCH(X341,FXRates[Currency],0)),"No rate"))</f>
        <v/>
      </c>
      <c r="AA341" s="32" t="n"/>
      <c r="AB341" s="32" t="n"/>
      <c r="AC341" s="36">
        <f>IF(A341="","",IF(COUNTIF($A$6:$A$504,A341)&gt;1,"⚠ Duplicate",""))</f>
        <v/>
      </c>
      <c r="AD341" s="43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  <c r="AM341" s="43" t="n"/>
      <c r="AN341" s="43" t="n"/>
      <c r="AO341" s="43" t="n"/>
      <c r="AP341" s="43" t="n"/>
      <c r="AQ341" s="43" t="n"/>
      <c r="AR341" s="32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40" t="n"/>
      <c r="Z342" s="158">
        <f>IF(OR(Y342="",X342=""),"",IFERROR(Y342*INDEX(FXRates[USD per unit],MATCH(X342,FXRates[Currency],0)),"No rate"))</f>
        <v/>
      </c>
      <c r="AA342" s="38" t="n"/>
      <c r="AB342" s="38" t="n"/>
      <c r="AC342" s="41">
        <f>IF(A342="","",IF(COUNTIF($A$6:$A$504,A342)&gt;1,"⚠ Duplicate",""))</f>
        <v/>
      </c>
      <c r="AD342" s="42" t="n"/>
      <c r="AE342" s="42" t="n"/>
      <c r="AF342" s="42" t="n"/>
      <c r="AG342" s="42" t="n"/>
      <c r="AH342" s="42" t="n"/>
      <c r="AI342" s="42" t="n"/>
      <c r="AJ342" s="42" t="n"/>
      <c r="AK342" s="42" t="n"/>
      <c r="AL342" s="42" t="n"/>
      <c r="AM342" s="42" t="n"/>
      <c r="AN342" s="42" t="n"/>
      <c r="AO342" s="42" t="n"/>
      <c r="AP342" s="42" t="n"/>
      <c r="AQ342" s="42" t="n"/>
      <c r="AR342" s="38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5" t="n"/>
      <c r="Z343" s="157">
        <f>IF(OR(Y343="",X343=""),"",IFERROR(Y343*INDEX(FXRates[USD per unit],MATCH(X343,FXRates[Currency],0)),"No rate"))</f>
        <v/>
      </c>
      <c r="AA343" s="32" t="n"/>
      <c r="AB343" s="32" t="n"/>
      <c r="AC343" s="36">
        <f>IF(A343="","",IF(COUNTIF($A$6:$A$504,A343)&gt;1,"⚠ Duplicate",""))</f>
        <v/>
      </c>
      <c r="AD343" s="43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  <c r="AM343" s="43" t="n"/>
      <c r="AN343" s="43" t="n"/>
      <c r="AO343" s="43" t="n"/>
      <c r="AP343" s="43" t="n"/>
      <c r="AQ343" s="43" t="n"/>
      <c r="AR343" s="32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40" t="n"/>
      <c r="Z344" s="158">
        <f>IF(OR(Y344="",X344=""),"",IFERROR(Y344*INDEX(FXRates[USD per unit],MATCH(X344,FXRates[Currency],0)),"No rate"))</f>
        <v/>
      </c>
      <c r="AA344" s="38" t="n"/>
      <c r="AB344" s="38" t="n"/>
      <c r="AC344" s="41">
        <f>IF(A344="","",IF(COUNTIF($A$6:$A$504,A344)&gt;1,"⚠ Duplicate",""))</f>
        <v/>
      </c>
      <c r="AD344" s="42" t="n"/>
      <c r="AE344" s="42" t="n"/>
      <c r="AF344" s="42" t="n"/>
      <c r="AG344" s="42" t="n"/>
      <c r="AH344" s="42" t="n"/>
      <c r="AI344" s="42" t="n"/>
      <c r="AJ344" s="42" t="n"/>
      <c r="AK344" s="42" t="n"/>
      <c r="AL344" s="42" t="n"/>
      <c r="AM344" s="42" t="n"/>
      <c r="AN344" s="42" t="n"/>
      <c r="AO344" s="42" t="n"/>
      <c r="AP344" s="42" t="n"/>
      <c r="AQ344" s="42" t="n"/>
      <c r="AR344" s="38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5" t="n"/>
      <c r="Z345" s="157">
        <f>IF(OR(Y345="",X345=""),"",IFERROR(Y345*INDEX(FXRates[USD per unit],MATCH(X345,FXRates[Currency],0)),"No rate"))</f>
        <v/>
      </c>
      <c r="AA345" s="32" t="n"/>
      <c r="AB345" s="32" t="n"/>
      <c r="AC345" s="36">
        <f>IF(A345="","",IF(COUNTIF($A$6:$A$504,A345)&gt;1,"⚠ Duplicate",""))</f>
        <v/>
      </c>
      <c r="AD345" s="43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  <c r="AM345" s="43" t="n"/>
      <c r="AN345" s="43" t="n"/>
      <c r="AO345" s="43" t="n"/>
      <c r="AP345" s="43" t="n"/>
      <c r="AQ345" s="43" t="n"/>
      <c r="AR345" s="32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40" t="n"/>
      <c r="Z346" s="158">
        <f>IF(OR(Y346="",X346=""),"",IFERROR(Y346*INDEX(FXRates[USD per unit],MATCH(X346,FXRates[Currency],0)),"No rate"))</f>
        <v/>
      </c>
      <c r="AA346" s="38" t="n"/>
      <c r="AB346" s="38" t="n"/>
      <c r="AC346" s="41">
        <f>IF(A346="","",IF(COUNTIF($A$6:$A$504,A346)&gt;1,"⚠ Duplicate",""))</f>
        <v/>
      </c>
      <c r="AD346" s="42" t="n"/>
      <c r="AE346" s="42" t="n"/>
      <c r="AF346" s="42" t="n"/>
      <c r="AG346" s="42" t="n"/>
      <c r="AH346" s="42" t="n"/>
      <c r="AI346" s="42" t="n"/>
      <c r="AJ346" s="42" t="n"/>
      <c r="AK346" s="42" t="n"/>
      <c r="AL346" s="42" t="n"/>
      <c r="AM346" s="42" t="n"/>
      <c r="AN346" s="42" t="n"/>
      <c r="AO346" s="42" t="n"/>
      <c r="AP346" s="42" t="n"/>
      <c r="AQ346" s="42" t="n"/>
      <c r="AR346" s="38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5" t="n"/>
      <c r="Z347" s="157">
        <f>IF(OR(Y347="",X347=""),"",IFERROR(Y347*INDEX(FXRates[USD per unit],MATCH(X347,FXRates[Currency],0)),"No rate"))</f>
        <v/>
      </c>
      <c r="AA347" s="32" t="n"/>
      <c r="AB347" s="32" t="n"/>
      <c r="AC347" s="36">
        <f>IF(A347="","",IF(COUNTIF($A$6:$A$504,A347)&gt;1,"⚠ Duplicate",""))</f>
        <v/>
      </c>
      <c r="AD347" s="43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  <c r="AM347" s="43" t="n"/>
      <c r="AN347" s="43" t="n"/>
      <c r="AO347" s="43" t="n"/>
      <c r="AP347" s="43" t="n"/>
      <c r="AQ347" s="43" t="n"/>
      <c r="AR347" s="32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40" t="n"/>
      <c r="Z348" s="158">
        <f>IF(OR(Y348="",X348=""),"",IFERROR(Y348*INDEX(FXRates[USD per unit],MATCH(X348,FXRates[Currency],0)),"No rate"))</f>
        <v/>
      </c>
      <c r="AA348" s="38" t="n"/>
      <c r="AB348" s="38" t="n"/>
      <c r="AC348" s="41">
        <f>IF(A348="","",IF(COUNTIF($A$6:$A$504,A348)&gt;1,"⚠ Duplicate",""))</f>
        <v/>
      </c>
      <c r="AD348" s="42" t="n"/>
      <c r="AE348" s="42" t="n"/>
      <c r="AF348" s="42" t="n"/>
      <c r="AG348" s="42" t="n"/>
      <c r="AH348" s="42" t="n"/>
      <c r="AI348" s="42" t="n"/>
      <c r="AJ348" s="42" t="n"/>
      <c r="AK348" s="42" t="n"/>
      <c r="AL348" s="42" t="n"/>
      <c r="AM348" s="42" t="n"/>
      <c r="AN348" s="42" t="n"/>
      <c r="AO348" s="42" t="n"/>
      <c r="AP348" s="42" t="n"/>
      <c r="AQ348" s="42" t="n"/>
      <c r="AR348" s="38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5" t="n"/>
      <c r="Z349" s="157">
        <f>IF(OR(Y349="",X349=""),"",IFERROR(Y349*INDEX(FXRates[USD per unit],MATCH(X349,FXRates[Currency],0)),"No rate"))</f>
        <v/>
      </c>
      <c r="AA349" s="32" t="n"/>
      <c r="AB349" s="32" t="n"/>
      <c r="AC349" s="36">
        <f>IF(A349="","",IF(COUNTIF($A$6:$A$504,A349)&gt;1,"⚠ Duplicate",""))</f>
        <v/>
      </c>
      <c r="AD349" s="43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  <c r="AM349" s="43" t="n"/>
      <c r="AN349" s="43" t="n"/>
      <c r="AO349" s="43" t="n"/>
      <c r="AP349" s="43" t="n"/>
      <c r="AQ349" s="43" t="n"/>
      <c r="AR349" s="32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40" t="n"/>
      <c r="Z350" s="158">
        <f>IF(OR(Y350="",X350=""),"",IFERROR(Y350*INDEX(FXRates[USD per unit],MATCH(X350,FXRates[Currency],0)),"No rate"))</f>
        <v/>
      </c>
      <c r="AA350" s="38" t="n"/>
      <c r="AB350" s="38" t="n"/>
      <c r="AC350" s="41">
        <f>IF(A350="","",IF(COUNTIF($A$6:$A$504,A350)&gt;1,"⚠ Duplicate",""))</f>
        <v/>
      </c>
      <c r="AD350" s="42" t="n"/>
      <c r="AE350" s="42" t="n"/>
      <c r="AF350" s="42" t="n"/>
      <c r="AG350" s="42" t="n"/>
      <c r="AH350" s="42" t="n"/>
      <c r="AI350" s="42" t="n"/>
      <c r="AJ350" s="42" t="n"/>
      <c r="AK350" s="42" t="n"/>
      <c r="AL350" s="42" t="n"/>
      <c r="AM350" s="42" t="n"/>
      <c r="AN350" s="42" t="n"/>
      <c r="AO350" s="42" t="n"/>
      <c r="AP350" s="42" t="n"/>
      <c r="AQ350" s="42" t="n"/>
      <c r="AR350" s="38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5" t="n"/>
      <c r="Z351" s="157">
        <f>IF(OR(Y351="",X351=""),"",IFERROR(Y351*INDEX(FXRates[USD per unit],MATCH(X351,FXRates[Currency],0)),"No rate"))</f>
        <v/>
      </c>
      <c r="AA351" s="32" t="n"/>
      <c r="AB351" s="32" t="n"/>
      <c r="AC351" s="36">
        <f>IF(A351="","",IF(COUNTIF($A$6:$A$504,A351)&gt;1,"⚠ Duplicate",""))</f>
        <v/>
      </c>
      <c r="AD351" s="43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  <c r="AM351" s="43" t="n"/>
      <c r="AN351" s="43" t="n"/>
      <c r="AO351" s="43" t="n"/>
      <c r="AP351" s="43" t="n"/>
      <c r="AQ351" s="43" t="n"/>
      <c r="AR351" s="32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40" t="n"/>
      <c r="Z352" s="158">
        <f>IF(OR(Y352="",X352=""),"",IFERROR(Y352*INDEX(FXRates[USD per unit],MATCH(X352,FXRates[Currency],0)),"No rate"))</f>
        <v/>
      </c>
      <c r="AA352" s="38" t="n"/>
      <c r="AB352" s="38" t="n"/>
      <c r="AC352" s="41">
        <f>IF(A352="","",IF(COUNTIF($A$6:$A$504,A352)&gt;1,"⚠ Duplicate",""))</f>
        <v/>
      </c>
      <c r="AD352" s="42" t="n"/>
      <c r="AE352" s="42" t="n"/>
      <c r="AF352" s="42" t="n"/>
      <c r="AG352" s="42" t="n"/>
      <c r="AH352" s="42" t="n"/>
      <c r="AI352" s="42" t="n"/>
      <c r="AJ352" s="42" t="n"/>
      <c r="AK352" s="42" t="n"/>
      <c r="AL352" s="42" t="n"/>
      <c r="AM352" s="42" t="n"/>
      <c r="AN352" s="42" t="n"/>
      <c r="AO352" s="42" t="n"/>
      <c r="AP352" s="42" t="n"/>
      <c r="AQ352" s="42" t="n"/>
      <c r="AR352" s="38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5" t="n"/>
      <c r="Z353" s="157">
        <f>IF(OR(Y353="",X353=""),"",IFERROR(Y353*INDEX(FXRates[USD per unit],MATCH(X353,FXRates[Currency],0)),"No rate"))</f>
        <v/>
      </c>
      <c r="AA353" s="32" t="n"/>
      <c r="AB353" s="32" t="n"/>
      <c r="AC353" s="36">
        <f>IF(A353="","",IF(COUNTIF($A$6:$A$504,A353)&gt;1,"⚠ Duplicate",""))</f>
        <v/>
      </c>
      <c r="AD353" s="43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  <c r="AM353" s="43" t="n"/>
      <c r="AN353" s="43" t="n"/>
      <c r="AO353" s="43" t="n"/>
      <c r="AP353" s="43" t="n"/>
      <c r="AQ353" s="43" t="n"/>
      <c r="AR353" s="32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40" t="n"/>
      <c r="Z354" s="158">
        <f>IF(OR(Y354="",X354=""),"",IFERROR(Y354*INDEX(FXRates[USD per unit],MATCH(X354,FXRates[Currency],0)),"No rate"))</f>
        <v/>
      </c>
      <c r="AA354" s="38" t="n"/>
      <c r="AB354" s="38" t="n"/>
      <c r="AC354" s="41">
        <f>IF(A354="","",IF(COUNTIF($A$6:$A$504,A354)&gt;1,"⚠ Duplicate",""))</f>
        <v/>
      </c>
      <c r="AD354" s="42" t="n"/>
      <c r="AE354" s="42" t="n"/>
      <c r="AF354" s="42" t="n"/>
      <c r="AG354" s="42" t="n"/>
      <c r="AH354" s="42" t="n"/>
      <c r="AI354" s="42" t="n"/>
      <c r="AJ354" s="42" t="n"/>
      <c r="AK354" s="42" t="n"/>
      <c r="AL354" s="42" t="n"/>
      <c r="AM354" s="42" t="n"/>
      <c r="AN354" s="42" t="n"/>
      <c r="AO354" s="42" t="n"/>
      <c r="AP354" s="42" t="n"/>
      <c r="AQ354" s="42" t="n"/>
      <c r="AR354" s="38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5" t="n"/>
      <c r="Z355" s="157">
        <f>IF(OR(Y355="",X355=""),"",IFERROR(Y355*INDEX(FXRates[USD per unit],MATCH(X355,FXRates[Currency],0)),"No rate"))</f>
        <v/>
      </c>
      <c r="AA355" s="32" t="n"/>
      <c r="AB355" s="32" t="n"/>
      <c r="AC355" s="36">
        <f>IF(A355="","",IF(COUNTIF($A$6:$A$504,A355)&gt;1,"⚠ Duplicate",""))</f>
        <v/>
      </c>
      <c r="AD355" s="43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  <c r="AM355" s="43" t="n"/>
      <c r="AN355" s="43" t="n"/>
      <c r="AO355" s="43" t="n"/>
      <c r="AP355" s="43" t="n"/>
      <c r="AQ355" s="43" t="n"/>
      <c r="AR355" s="32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40" t="n"/>
      <c r="Z356" s="158">
        <f>IF(OR(Y356="",X356=""),"",IFERROR(Y356*INDEX(FXRates[USD per unit],MATCH(X356,FXRates[Currency],0)),"No rate"))</f>
        <v/>
      </c>
      <c r="AA356" s="38" t="n"/>
      <c r="AB356" s="38" t="n"/>
      <c r="AC356" s="41">
        <f>IF(A356="","",IF(COUNTIF($A$6:$A$504,A356)&gt;1,"⚠ Duplicate",""))</f>
        <v/>
      </c>
      <c r="AD356" s="42" t="n"/>
      <c r="AE356" s="42" t="n"/>
      <c r="AF356" s="42" t="n"/>
      <c r="AG356" s="42" t="n"/>
      <c r="AH356" s="42" t="n"/>
      <c r="AI356" s="42" t="n"/>
      <c r="AJ356" s="42" t="n"/>
      <c r="AK356" s="42" t="n"/>
      <c r="AL356" s="42" t="n"/>
      <c r="AM356" s="42" t="n"/>
      <c r="AN356" s="42" t="n"/>
      <c r="AO356" s="42" t="n"/>
      <c r="AP356" s="42" t="n"/>
      <c r="AQ356" s="42" t="n"/>
      <c r="AR356" s="38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5" t="n"/>
      <c r="Z357" s="157">
        <f>IF(OR(Y357="",X357=""),"",IFERROR(Y357*INDEX(FXRates[USD per unit],MATCH(X357,FXRates[Currency],0)),"No rate"))</f>
        <v/>
      </c>
      <c r="AA357" s="32" t="n"/>
      <c r="AB357" s="32" t="n"/>
      <c r="AC357" s="36">
        <f>IF(A357="","",IF(COUNTIF($A$6:$A$504,A357)&gt;1,"⚠ Duplicate",""))</f>
        <v/>
      </c>
      <c r="AD357" s="43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  <c r="AM357" s="43" t="n"/>
      <c r="AN357" s="43" t="n"/>
      <c r="AO357" s="43" t="n"/>
      <c r="AP357" s="43" t="n"/>
      <c r="AQ357" s="43" t="n"/>
      <c r="AR357" s="32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40" t="n"/>
      <c r="Z358" s="158">
        <f>IF(OR(Y358="",X358=""),"",IFERROR(Y358*INDEX(FXRates[USD per unit],MATCH(X358,FXRates[Currency],0)),"No rate"))</f>
        <v/>
      </c>
      <c r="AA358" s="38" t="n"/>
      <c r="AB358" s="38" t="n"/>
      <c r="AC358" s="41">
        <f>IF(A358="","",IF(COUNTIF($A$6:$A$504,A358)&gt;1,"⚠ Duplicate",""))</f>
        <v/>
      </c>
      <c r="AD358" s="42" t="n"/>
      <c r="AE358" s="42" t="n"/>
      <c r="AF358" s="42" t="n"/>
      <c r="AG358" s="42" t="n"/>
      <c r="AH358" s="42" t="n"/>
      <c r="AI358" s="42" t="n"/>
      <c r="AJ358" s="42" t="n"/>
      <c r="AK358" s="42" t="n"/>
      <c r="AL358" s="42" t="n"/>
      <c r="AM358" s="42" t="n"/>
      <c r="AN358" s="42" t="n"/>
      <c r="AO358" s="42" t="n"/>
      <c r="AP358" s="42" t="n"/>
      <c r="AQ358" s="42" t="n"/>
      <c r="AR358" s="38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5" t="n"/>
      <c r="Z359" s="157">
        <f>IF(OR(Y359="",X359=""),"",IFERROR(Y359*INDEX(FXRates[USD per unit],MATCH(X359,FXRates[Currency],0)),"No rate"))</f>
        <v/>
      </c>
      <c r="AA359" s="32" t="n"/>
      <c r="AB359" s="32" t="n"/>
      <c r="AC359" s="36">
        <f>IF(A359="","",IF(COUNTIF($A$6:$A$504,A359)&gt;1,"⚠ Duplicate",""))</f>
        <v/>
      </c>
      <c r="AD359" s="43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  <c r="AM359" s="43" t="n"/>
      <c r="AN359" s="43" t="n"/>
      <c r="AO359" s="43" t="n"/>
      <c r="AP359" s="43" t="n"/>
      <c r="AQ359" s="43" t="n"/>
      <c r="AR359" s="32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40" t="n"/>
      <c r="Z360" s="158">
        <f>IF(OR(Y360="",X360=""),"",IFERROR(Y360*INDEX(FXRates[USD per unit],MATCH(X360,FXRates[Currency],0)),"No rate"))</f>
        <v/>
      </c>
      <c r="AA360" s="38" t="n"/>
      <c r="AB360" s="38" t="n"/>
      <c r="AC360" s="41">
        <f>IF(A360="","",IF(COUNTIF($A$6:$A$504,A360)&gt;1,"⚠ Duplicate",""))</f>
        <v/>
      </c>
      <c r="AD360" s="42" t="n"/>
      <c r="AE360" s="42" t="n"/>
      <c r="AF360" s="42" t="n"/>
      <c r="AG360" s="42" t="n"/>
      <c r="AH360" s="42" t="n"/>
      <c r="AI360" s="42" t="n"/>
      <c r="AJ360" s="42" t="n"/>
      <c r="AK360" s="42" t="n"/>
      <c r="AL360" s="42" t="n"/>
      <c r="AM360" s="42" t="n"/>
      <c r="AN360" s="42" t="n"/>
      <c r="AO360" s="42" t="n"/>
      <c r="AP360" s="42" t="n"/>
      <c r="AQ360" s="42" t="n"/>
      <c r="AR360" s="38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5" t="n"/>
      <c r="Z361" s="157">
        <f>IF(OR(Y361="",X361=""),"",IFERROR(Y361*INDEX(FXRates[USD per unit],MATCH(X361,FXRates[Currency],0)),"No rate"))</f>
        <v/>
      </c>
      <c r="AA361" s="32" t="n"/>
      <c r="AB361" s="32" t="n"/>
      <c r="AC361" s="36">
        <f>IF(A361="","",IF(COUNTIF($A$6:$A$504,A361)&gt;1,"⚠ Duplicate",""))</f>
        <v/>
      </c>
      <c r="AD361" s="43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  <c r="AM361" s="43" t="n"/>
      <c r="AN361" s="43" t="n"/>
      <c r="AO361" s="43" t="n"/>
      <c r="AP361" s="43" t="n"/>
      <c r="AQ361" s="43" t="n"/>
      <c r="AR361" s="32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40" t="n"/>
      <c r="Z362" s="158">
        <f>IF(OR(Y362="",X362=""),"",IFERROR(Y362*INDEX(FXRates[USD per unit],MATCH(X362,FXRates[Currency],0)),"No rate"))</f>
        <v/>
      </c>
      <c r="AA362" s="38" t="n"/>
      <c r="AB362" s="38" t="n"/>
      <c r="AC362" s="41">
        <f>IF(A362="","",IF(COUNTIF($A$6:$A$504,A362)&gt;1,"⚠ Duplicate",""))</f>
        <v/>
      </c>
      <c r="AD362" s="42" t="n"/>
      <c r="AE362" s="42" t="n"/>
      <c r="AF362" s="42" t="n"/>
      <c r="AG362" s="42" t="n"/>
      <c r="AH362" s="42" t="n"/>
      <c r="AI362" s="42" t="n"/>
      <c r="AJ362" s="42" t="n"/>
      <c r="AK362" s="42" t="n"/>
      <c r="AL362" s="42" t="n"/>
      <c r="AM362" s="42" t="n"/>
      <c r="AN362" s="42" t="n"/>
      <c r="AO362" s="42" t="n"/>
      <c r="AP362" s="42" t="n"/>
      <c r="AQ362" s="42" t="n"/>
      <c r="AR362" s="38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5" t="n"/>
      <c r="Z363" s="157">
        <f>IF(OR(Y363="",X363=""),"",IFERROR(Y363*INDEX(FXRates[USD per unit],MATCH(X363,FXRates[Currency],0)),"No rate"))</f>
        <v/>
      </c>
      <c r="AA363" s="32" t="n"/>
      <c r="AB363" s="32" t="n"/>
      <c r="AC363" s="36">
        <f>IF(A363="","",IF(COUNTIF($A$6:$A$504,A363)&gt;1,"⚠ Duplicate",""))</f>
        <v/>
      </c>
      <c r="AD363" s="43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  <c r="AM363" s="43" t="n"/>
      <c r="AN363" s="43" t="n"/>
      <c r="AO363" s="43" t="n"/>
      <c r="AP363" s="43" t="n"/>
      <c r="AQ363" s="43" t="n"/>
      <c r="AR363" s="32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40" t="n"/>
      <c r="Z364" s="158">
        <f>IF(OR(Y364="",X364=""),"",IFERROR(Y364*INDEX(FXRates[USD per unit],MATCH(X364,FXRates[Currency],0)),"No rate"))</f>
        <v/>
      </c>
      <c r="AA364" s="38" t="n"/>
      <c r="AB364" s="38" t="n"/>
      <c r="AC364" s="41">
        <f>IF(A364="","",IF(COUNTIF($A$6:$A$504,A364)&gt;1,"⚠ Duplicate",""))</f>
        <v/>
      </c>
      <c r="AD364" s="42" t="n"/>
      <c r="AE364" s="42" t="n"/>
      <c r="AF364" s="42" t="n"/>
      <c r="AG364" s="42" t="n"/>
      <c r="AH364" s="42" t="n"/>
      <c r="AI364" s="42" t="n"/>
      <c r="AJ364" s="42" t="n"/>
      <c r="AK364" s="42" t="n"/>
      <c r="AL364" s="42" t="n"/>
      <c r="AM364" s="42" t="n"/>
      <c r="AN364" s="42" t="n"/>
      <c r="AO364" s="42" t="n"/>
      <c r="AP364" s="42" t="n"/>
      <c r="AQ364" s="42" t="n"/>
      <c r="AR364" s="38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5" t="n"/>
      <c r="Z365" s="157">
        <f>IF(OR(Y365="",X365=""),"",IFERROR(Y365*INDEX(FXRates[USD per unit],MATCH(X365,FXRates[Currency],0)),"No rate"))</f>
        <v/>
      </c>
      <c r="AA365" s="32" t="n"/>
      <c r="AB365" s="32" t="n"/>
      <c r="AC365" s="36">
        <f>IF(A365="","",IF(COUNTIF($A$6:$A$504,A365)&gt;1,"⚠ Duplicate",""))</f>
        <v/>
      </c>
      <c r="AD365" s="43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  <c r="AM365" s="43" t="n"/>
      <c r="AN365" s="43" t="n"/>
      <c r="AO365" s="43" t="n"/>
      <c r="AP365" s="43" t="n"/>
      <c r="AQ365" s="43" t="n"/>
      <c r="AR365" s="32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40" t="n"/>
      <c r="Z366" s="158">
        <f>IF(OR(Y366="",X366=""),"",IFERROR(Y366*INDEX(FXRates[USD per unit],MATCH(X366,FXRates[Currency],0)),"No rate"))</f>
        <v/>
      </c>
      <c r="AA366" s="38" t="n"/>
      <c r="AB366" s="38" t="n"/>
      <c r="AC366" s="41">
        <f>IF(A366="","",IF(COUNTIF($A$6:$A$504,A366)&gt;1,"⚠ Duplicate",""))</f>
        <v/>
      </c>
      <c r="AD366" s="42" t="n"/>
      <c r="AE366" s="42" t="n"/>
      <c r="AF366" s="42" t="n"/>
      <c r="AG366" s="42" t="n"/>
      <c r="AH366" s="42" t="n"/>
      <c r="AI366" s="42" t="n"/>
      <c r="AJ366" s="42" t="n"/>
      <c r="AK366" s="42" t="n"/>
      <c r="AL366" s="42" t="n"/>
      <c r="AM366" s="42" t="n"/>
      <c r="AN366" s="42" t="n"/>
      <c r="AO366" s="42" t="n"/>
      <c r="AP366" s="42" t="n"/>
      <c r="AQ366" s="42" t="n"/>
      <c r="AR366" s="38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5" t="n"/>
      <c r="Z367" s="157">
        <f>IF(OR(Y367="",X367=""),"",IFERROR(Y367*INDEX(FXRates[USD per unit],MATCH(X367,FXRates[Currency],0)),"No rate"))</f>
        <v/>
      </c>
      <c r="AA367" s="32" t="n"/>
      <c r="AB367" s="32" t="n"/>
      <c r="AC367" s="36">
        <f>IF(A367="","",IF(COUNTIF($A$6:$A$504,A367)&gt;1,"⚠ Duplicate",""))</f>
        <v/>
      </c>
      <c r="AD367" s="43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  <c r="AM367" s="43" t="n"/>
      <c r="AN367" s="43" t="n"/>
      <c r="AO367" s="43" t="n"/>
      <c r="AP367" s="43" t="n"/>
      <c r="AQ367" s="43" t="n"/>
      <c r="AR367" s="32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40" t="n"/>
      <c r="Z368" s="158">
        <f>IF(OR(Y368="",X368=""),"",IFERROR(Y368*INDEX(FXRates[USD per unit],MATCH(X368,FXRates[Currency],0)),"No rate"))</f>
        <v/>
      </c>
      <c r="AA368" s="38" t="n"/>
      <c r="AB368" s="38" t="n"/>
      <c r="AC368" s="41">
        <f>IF(A368="","",IF(COUNTIF($A$6:$A$504,A368)&gt;1,"⚠ Duplicate",""))</f>
        <v/>
      </c>
      <c r="AD368" s="42" t="n"/>
      <c r="AE368" s="42" t="n"/>
      <c r="AF368" s="42" t="n"/>
      <c r="AG368" s="42" t="n"/>
      <c r="AH368" s="42" t="n"/>
      <c r="AI368" s="42" t="n"/>
      <c r="AJ368" s="42" t="n"/>
      <c r="AK368" s="42" t="n"/>
      <c r="AL368" s="42" t="n"/>
      <c r="AM368" s="42" t="n"/>
      <c r="AN368" s="42" t="n"/>
      <c r="AO368" s="42" t="n"/>
      <c r="AP368" s="42" t="n"/>
      <c r="AQ368" s="42" t="n"/>
      <c r="AR368" s="38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5" t="n"/>
      <c r="Z369" s="157">
        <f>IF(OR(Y369="",X369=""),"",IFERROR(Y369*INDEX(FXRates[USD per unit],MATCH(X369,FXRates[Currency],0)),"No rate"))</f>
        <v/>
      </c>
      <c r="AA369" s="32" t="n"/>
      <c r="AB369" s="32" t="n"/>
      <c r="AC369" s="36">
        <f>IF(A369="","",IF(COUNTIF($A$6:$A$504,A369)&gt;1,"⚠ Duplicate",""))</f>
        <v/>
      </c>
      <c r="AD369" s="43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  <c r="AM369" s="43" t="n"/>
      <c r="AN369" s="43" t="n"/>
      <c r="AO369" s="43" t="n"/>
      <c r="AP369" s="43" t="n"/>
      <c r="AQ369" s="43" t="n"/>
      <c r="AR369" s="32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40" t="n"/>
      <c r="Z370" s="158">
        <f>IF(OR(Y370="",X370=""),"",IFERROR(Y370*INDEX(FXRates[USD per unit],MATCH(X370,FXRates[Currency],0)),"No rate"))</f>
        <v/>
      </c>
      <c r="AA370" s="38" t="n"/>
      <c r="AB370" s="38" t="n"/>
      <c r="AC370" s="41">
        <f>IF(A370="","",IF(COUNTIF($A$6:$A$504,A370)&gt;1,"⚠ Duplicate",""))</f>
        <v/>
      </c>
      <c r="AD370" s="42" t="n"/>
      <c r="AE370" s="42" t="n"/>
      <c r="AF370" s="42" t="n"/>
      <c r="AG370" s="42" t="n"/>
      <c r="AH370" s="42" t="n"/>
      <c r="AI370" s="42" t="n"/>
      <c r="AJ370" s="42" t="n"/>
      <c r="AK370" s="42" t="n"/>
      <c r="AL370" s="42" t="n"/>
      <c r="AM370" s="42" t="n"/>
      <c r="AN370" s="42" t="n"/>
      <c r="AO370" s="42" t="n"/>
      <c r="AP370" s="42" t="n"/>
      <c r="AQ370" s="42" t="n"/>
      <c r="AR370" s="38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5" t="n"/>
      <c r="Z371" s="157">
        <f>IF(OR(Y371="",X371=""),"",IFERROR(Y371*INDEX(FXRates[USD per unit],MATCH(X371,FXRates[Currency],0)),"No rate"))</f>
        <v/>
      </c>
      <c r="AA371" s="32" t="n"/>
      <c r="AB371" s="32" t="n"/>
      <c r="AC371" s="36">
        <f>IF(A371="","",IF(COUNTIF($A$6:$A$504,A371)&gt;1,"⚠ Duplicate",""))</f>
        <v/>
      </c>
      <c r="AD371" s="43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  <c r="AM371" s="43" t="n"/>
      <c r="AN371" s="43" t="n"/>
      <c r="AO371" s="43" t="n"/>
      <c r="AP371" s="43" t="n"/>
      <c r="AQ371" s="43" t="n"/>
      <c r="AR371" s="32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40" t="n"/>
      <c r="Z372" s="158">
        <f>IF(OR(Y372="",X372=""),"",IFERROR(Y372*INDEX(FXRates[USD per unit],MATCH(X372,FXRates[Currency],0)),"No rate"))</f>
        <v/>
      </c>
      <c r="AA372" s="38" t="n"/>
      <c r="AB372" s="38" t="n"/>
      <c r="AC372" s="41">
        <f>IF(A372="","",IF(COUNTIF($A$6:$A$504,A372)&gt;1,"⚠ Duplicate",""))</f>
        <v/>
      </c>
      <c r="AD372" s="42" t="n"/>
      <c r="AE372" s="42" t="n"/>
      <c r="AF372" s="42" t="n"/>
      <c r="AG372" s="42" t="n"/>
      <c r="AH372" s="42" t="n"/>
      <c r="AI372" s="42" t="n"/>
      <c r="AJ372" s="42" t="n"/>
      <c r="AK372" s="42" t="n"/>
      <c r="AL372" s="42" t="n"/>
      <c r="AM372" s="42" t="n"/>
      <c r="AN372" s="42" t="n"/>
      <c r="AO372" s="42" t="n"/>
      <c r="AP372" s="42" t="n"/>
      <c r="AQ372" s="42" t="n"/>
      <c r="AR372" s="38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5" t="n"/>
      <c r="Z373" s="157">
        <f>IF(OR(Y373="",X373=""),"",IFERROR(Y373*INDEX(FXRates[USD per unit],MATCH(X373,FXRates[Currency],0)),"No rate"))</f>
        <v/>
      </c>
      <c r="AA373" s="32" t="n"/>
      <c r="AB373" s="32" t="n"/>
      <c r="AC373" s="36">
        <f>IF(A373="","",IF(COUNTIF($A$6:$A$504,A373)&gt;1,"⚠ Duplicate",""))</f>
        <v/>
      </c>
      <c r="AD373" s="43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  <c r="AM373" s="43" t="n"/>
      <c r="AN373" s="43" t="n"/>
      <c r="AO373" s="43" t="n"/>
      <c r="AP373" s="43" t="n"/>
      <c r="AQ373" s="43" t="n"/>
      <c r="AR373" s="32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40" t="n"/>
      <c r="Z374" s="158">
        <f>IF(OR(Y374="",X374=""),"",IFERROR(Y374*INDEX(FXRates[USD per unit],MATCH(X374,FXRates[Currency],0)),"No rate"))</f>
        <v/>
      </c>
      <c r="AA374" s="38" t="n"/>
      <c r="AB374" s="38" t="n"/>
      <c r="AC374" s="41">
        <f>IF(A374="","",IF(COUNTIF($A$6:$A$504,A374)&gt;1,"⚠ Duplicate",""))</f>
        <v/>
      </c>
      <c r="AD374" s="42" t="n"/>
      <c r="AE374" s="42" t="n"/>
      <c r="AF374" s="42" t="n"/>
      <c r="AG374" s="42" t="n"/>
      <c r="AH374" s="42" t="n"/>
      <c r="AI374" s="42" t="n"/>
      <c r="AJ374" s="42" t="n"/>
      <c r="AK374" s="42" t="n"/>
      <c r="AL374" s="42" t="n"/>
      <c r="AM374" s="42" t="n"/>
      <c r="AN374" s="42" t="n"/>
      <c r="AO374" s="42" t="n"/>
      <c r="AP374" s="42" t="n"/>
      <c r="AQ374" s="42" t="n"/>
      <c r="AR374" s="38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5" t="n"/>
      <c r="Z375" s="157">
        <f>IF(OR(Y375="",X375=""),"",IFERROR(Y375*INDEX(FXRates[USD per unit],MATCH(X375,FXRates[Currency],0)),"No rate"))</f>
        <v/>
      </c>
      <c r="AA375" s="32" t="n"/>
      <c r="AB375" s="32" t="n"/>
      <c r="AC375" s="36">
        <f>IF(A375="","",IF(COUNTIF($A$6:$A$504,A375)&gt;1,"⚠ Duplicate",""))</f>
        <v/>
      </c>
      <c r="AD375" s="43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  <c r="AM375" s="43" t="n"/>
      <c r="AN375" s="43" t="n"/>
      <c r="AO375" s="43" t="n"/>
      <c r="AP375" s="43" t="n"/>
      <c r="AQ375" s="43" t="n"/>
      <c r="AR375" s="32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40" t="n"/>
      <c r="Z376" s="158">
        <f>IF(OR(Y376="",X376=""),"",IFERROR(Y376*INDEX(FXRates[USD per unit],MATCH(X376,FXRates[Currency],0)),"No rate"))</f>
        <v/>
      </c>
      <c r="AA376" s="38" t="n"/>
      <c r="AB376" s="38" t="n"/>
      <c r="AC376" s="41">
        <f>IF(A376="","",IF(COUNTIF($A$6:$A$504,A376)&gt;1,"⚠ Duplicate",""))</f>
        <v/>
      </c>
      <c r="AD376" s="42" t="n"/>
      <c r="AE376" s="42" t="n"/>
      <c r="AF376" s="42" t="n"/>
      <c r="AG376" s="42" t="n"/>
      <c r="AH376" s="42" t="n"/>
      <c r="AI376" s="42" t="n"/>
      <c r="AJ376" s="42" t="n"/>
      <c r="AK376" s="42" t="n"/>
      <c r="AL376" s="42" t="n"/>
      <c r="AM376" s="42" t="n"/>
      <c r="AN376" s="42" t="n"/>
      <c r="AO376" s="42" t="n"/>
      <c r="AP376" s="42" t="n"/>
      <c r="AQ376" s="42" t="n"/>
      <c r="AR376" s="38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5" t="n"/>
      <c r="Z377" s="157">
        <f>IF(OR(Y377="",X377=""),"",IFERROR(Y377*INDEX(FXRates[USD per unit],MATCH(X377,FXRates[Currency],0)),"No rate"))</f>
        <v/>
      </c>
      <c r="AA377" s="32" t="n"/>
      <c r="AB377" s="32" t="n"/>
      <c r="AC377" s="36">
        <f>IF(A377="","",IF(COUNTIF($A$6:$A$504,A377)&gt;1,"⚠ Duplicate",""))</f>
        <v/>
      </c>
      <c r="AD377" s="43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  <c r="AM377" s="43" t="n"/>
      <c r="AN377" s="43" t="n"/>
      <c r="AO377" s="43" t="n"/>
      <c r="AP377" s="43" t="n"/>
      <c r="AQ377" s="43" t="n"/>
      <c r="AR377" s="32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40" t="n"/>
      <c r="Z378" s="158">
        <f>IF(OR(Y378="",X378=""),"",IFERROR(Y378*INDEX(FXRates[USD per unit],MATCH(X378,FXRates[Currency],0)),"No rate"))</f>
        <v/>
      </c>
      <c r="AA378" s="38" t="n"/>
      <c r="AB378" s="38" t="n"/>
      <c r="AC378" s="41">
        <f>IF(A378="","",IF(COUNTIF($A$6:$A$504,A378)&gt;1,"⚠ Duplicate",""))</f>
        <v/>
      </c>
      <c r="AD378" s="42" t="n"/>
      <c r="AE378" s="42" t="n"/>
      <c r="AF378" s="42" t="n"/>
      <c r="AG378" s="42" t="n"/>
      <c r="AH378" s="42" t="n"/>
      <c r="AI378" s="42" t="n"/>
      <c r="AJ378" s="42" t="n"/>
      <c r="AK378" s="42" t="n"/>
      <c r="AL378" s="42" t="n"/>
      <c r="AM378" s="42" t="n"/>
      <c r="AN378" s="42" t="n"/>
      <c r="AO378" s="42" t="n"/>
      <c r="AP378" s="42" t="n"/>
      <c r="AQ378" s="42" t="n"/>
      <c r="AR378" s="38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5" t="n"/>
      <c r="Z379" s="157">
        <f>IF(OR(Y379="",X379=""),"",IFERROR(Y379*INDEX(FXRates[USD per unit],MATCH(X379,FXRates[Currency],0)),"No rate"))</f>
        <v/>
      </c>
      <c r="AA379" s="32" t="n"/>
      <c r="AB379" s="32" t="n"/>
      <c r="AC379" s="36">
        <f>IF(A379="","",IF(COUNTIF($A$6:$A$504,A379)&gt;1,"⚠ Duplicate",""))</f>
        <v/>
      </c>
      <c r="AD379" s="43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  <c r="AM379" s="43" t="n"/>
      <c r="AN379" s="43" t="n"/>
      <c r="AO379" s="43" t="n"/>
      <c r="AP379" s="43" t="n"/>
      <c r="AQ379" s="43" t="n"/>
      <c r="AR379" s="32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40" t="n"/>
      <c r="Z380" s="158">
        <f>IF(OR(Y380="",X380=""),"",IFERROR(Y380*INDEX(FXRates[USD per unit],MATCH(X380,FXRates[Currency],0)),"No rate"))</f>
        <v/>
      </c>
      <c r="AA380" s="38" t="n"/>
      <c r="AB380" s="38" t="n"/>
      <c r="AC380" s="41">
        <f>IF(A380="","",IF(COUNTIF($A$6:$A$504,A380)&gt;1,"⚠ Duplicate",""))</f>
        <v/>
      </c>
      <c r="AD380" s="42" t="n"/>
      <c r="AE380" s="42" t="n"/>
      <c r="AF380" s="42" t="n"/>
      <c r="AG380" s="42" t="n"/>
      <c r="AH380" s="42" t="n"/>
      <c r="AI380" s="42" t="n"/>
      <c r="AJ380" s="42" t="n"/>
      <c r="AK380" s="42" t="n"/>
      <c r="AL380" s="42" t="n"/>
      <c r="AM380" s="42" t="n"/>
      <c r="AN380" s="42" t="n"/>
      <c r="AO380" s="42" t="n"/>
      <c r="AP380" s="42" t="n"/>
      <c r="AQ380" s="42" t="n"/>
      <c r="AR380" s="38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5" t="n"/>
      <c r="Z381" s="157">
        <f>IF(OR(Y381="",X381=""),"",IFERROR(Y381*INDEX(FXRates[USD per unit],MATCH(X381,FXRates[Currency],0)),"No rate"))</f>
        <v/>
      </c>
      <c r="AA381" s="32" t="n"/>
      <c r="AB381" s="32" t="n"/>
      <c r="AC381" s="36">
        <f>IF(A381="","",IF(COUNTIF($A$6:$A$504,A381)&gt;1,"⚠ Duplicate",""))</f>
        <v/>
      </c>
      <c r="AD381" s="43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  <c r="AM381" s="43" t="n"/>
      <c r="AN381" s="43" t="n"/>
      <c r="AO381" s="43" t="n"/>
      <c r="AP381" s="43" t="n"/>
      <c r="AQ381" s="43" t="n"/>
      <c r="AR381" s="32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40" t="n"/>
      <c r="Z382" s="158">
        <f>IF(OR(Y382="",X382=""),"",IFERROR(Y382*INDEX(FXRates[USD per unit],MATCH(X382,FXRates[Currency],0)),"No rate"))</f>
        <v/>
      </c>
      <c r="AA382" s="38" t="n"/>
      <c r="AB382" s="38" t="n"/>
      <c r="AC382" s="41">
        <f>IF(A382="","",IF(COUNTIF($A$6:$A$504,A382)&gt;1,"⚠ Duplicate",""))</f>
        <v/>
      </c>
      <c r="AD382" s="42" t="n"/>
      <c r="AE382" s="42" t="n"/>
      <c r="AF382" s="42" t="n"/>
      <c r="AG382" s="42" t="n"/>
      <c r="AH382" s="42" t="n"/>
      <c r="AI382" s="42" t="n"/>
      <c r="AJ382" s="42" t="n"/>
      <c r="AK382" s="42" t="n"/>
      <c r="AL382" s="42" t="n"/>
      <c r="AM382" s="42" t="n"/>
      <c r="AN382" s="42" t="n"/>
      <c r="AO382" s="42" t="n"/>
      <c r="AP382" s="42" t="n"/>
      <c r="AQ382" s="42" t="n"/>
      <c r="AR382" s="38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5" t="n"/>
      <c r="Z383" s="157">
        <f>IF(OR(Y383="",X383=""),"",IFERROR(Y383*INDEX(FXRates[USD per unit],MATCH(X383,FXRates[Currency],0)),"No rate"))</f>
        <v/>
      </c>
      <c r="AA383" s="32" t="n"/>
      <c r="AB383" s="32" t="n"/>
      <c r="AC383" s="36">
        <f>IF(A383="","",IF(COUNTIF($A$6:$A$504,A383)&gt;1,"⚠ Duplicate",""))</f>
        <v/>
      </c>
      <c r="AD383" s="43" t="n"/>
      <c r="AE383" s="43" t="n"/>
      <c r="AF383" s="43" t="n"/>
      <c r="AG383" s="43" t="n"/>
      <c r="AH383" s="43" t="n"/>
      <c r="AI383" s="43" t="n"/>
      <c r="AJ383" s="43" t="n"/>
      <c r="AK383" s="43" t="n"/>
      <c r="AL383" s="43" t="n"/>
      <c r="AM383" s="43" t="n"/>
      <c r="AN383" s="43" t="n"/>
      <c r="AO383" s="43" t="n"/>
      <c r="AP383" s="43" t="n"/>
      <c r="AQ383" s="43" t="n"/>
      <c r="AR383" s="32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40" t="n"/>
      <c r="Z384" s="158">
        <f>IF(OR(Y384="",X384=""),"",IFERROR(Y384*INDEX(FXRates[USD per unit],MATCH(X384,FXRates[Currency],0)),"No rate"))</f>
        <v/>
      </c>
      <c r="AA384" s="38" t="n"/>
      <c r="AB384" s="38" t="n"/>
      <c r="AC384" s="41">
        <f>IF(A384="","",IF(COUNTIF($A$6:$A$504,A384)&gt;1,"⚠ Duplicate",""))</f>
        <v/>
      </c>
      <c r="AD384" s="42" t="n"/>
      <c r="AE384" s="42" t="n"/>
      <c r="AF384" s="42" t="n"/>
      <c r="AG384" s="42" t="n"/>
      <c r="AH384" s="42" t="n"/>
      <c r="AI384" s="42" t="n"/>
      <c r="AJ384" s="42" t="n"/>
      <c r="AK384" s="42" t="n"/>
      <c r="AL384" s="42" t="n"/>
      <c r="AM384" s="42" t="n"/>
      <c r="AN384" s="42" t="n"/>
      <c r="AO384" s="42" t="n"/>
      <c r="AP384" s="42" t="n"/>
      <c r="AQ384" s="42" t="n"/>
      <c r="AR384" s="38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5" t="n"/>
      <c r="Z385" s="157">
        <f>IF(OR(Y385="",X385=""),"",IFERROR(Y385*INDEX(FXRates[USD per unit],MATCH(X385,FXRates[Currency],0)),"No rate"))</f>
        <v/>
      </c>
      <c r="AA385" s="32" t="n"/>
      <c r="AB385" s="32" t="n"/>
      <c r="AC385" s="36">
        <f>IF(A385="","",IF(COUNTIF($A$6:$A$504,A385)&gt;1,"⚠ Duplicate",""))</f>
        <v/>
      </c>
      <c r="AD385" s="43" t="n"/>
      <c r="AE385" s="43" t="n"/>
      <c r="AF385" s="43" t="n"/>
      <c r="AG385" s="43" t="n"/>
      <c r="AH385" s="43" t="n"/>
      <c r="AI385" s="43" t="n"/>
      <c r="AJ385" s="43" t="n"/>
      <c r="AK385" s="43" t="n"/>
      <c r="AL385" s="43" t="n"/>
      <c r="AM385" s="43" t="n"/>
      <c r="AN385" s="43" t="n"/>
      <c r="AO385" s="43" t="n"/>
      <c r="AP385" s="43" t="n"/>
      <c r="AQ385" s="43" t="n"/>
      <c r="AR385" s="32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40" t="n"/>
      <c r="Z386" s="158">
        <f>IF(OR(Y386="",X386=""),"",IFERROR(Y386*INDEX(FXRates[USD per unit],MATCH(X386,FXRates[Currency],0)),"No rate"))</f>
        <v/>
      </c>
      <c r="AA386" s="38" t="n"/>
      <c r="AB386" s="38" t="n"/>
      <c r="AC386" s="41">
        <f>IF(A386="","",IF(COUNTIF($A$6:$A$504,A386)&gt;1,"⚠ Duplicate",""))</f>
        <v/>
      </c>
      <c r="AD386" s="42" t="n"/>
      <c r="AE386" s="42" t="n"/>
      <c r="AF386" s="42" t="n"/>
      <c r="AG386" s="42" t="n"/>
      <c r="AH386" s="42" t="n"/>
      <c r="AI386" s="42" t="n"/>
      <c r="AJ386" s="42" t="n"/>
      <c r="AK386" s="42" t="n"/>
      <c r="AL386" s="42" t="n"/>
      <c r="AM386" s="42" t="n"/>
      <c r="AN386" s="42" t="n"/>
      <c r="AO386" s="42" t="n"/>
      <c r="AP386" s="42" t="n"/>
      <c r="AQ386" s="42" t="n"/>
      <c r="AR386" s="38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5" t="n"/>
      <c r="Z387" s="157">
        <f>IF(OR(Y387="",X387=""),"",IFERROR(Y387*INDEX(FXRates[USD per unit],MATCH(X387,FXRates[Currency],0)),"No rate"))</f>
        <v/>
      </c>
      <c r="AA387" s="32" t="n"/>
      <c r="AB387" s="32" t="n"/>
      <c r="AC387" s="36">
        <f>IF(A387="","",IF(COUNTIF($A$6:$A$504,A387)&gt;1,"⚠ Duplicate",""))</f>
        <v/>
      </c>
      <c r="AD387" s="43" t="n"/>
      <c r="AE387" s="43" t="n"/>
      <c r="AF387" s="43" t="n"/>
      <c r="AG387" s="43" t="n"/>
      <c r="AH387" s="43" t="n"/>
      <c r="AI387" s="43" t="n"/>
      <c r="AJ387" s="43" t="n"/>
      <c r="AK387" s="43" t="n"/>
      <c r="AL387" s="43" t="n"/>
      <c r="AM387" s="43" t="n"/>
      <c r="AN387" s="43" t="n"/>
      <c r="AO387" s="43" t="n"/>
      <c r="AP387" s="43" t="n"/>
      <c r="AQ387" s="43" t="n"/>
      <c r="AR387" s="32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40" t="n"/>
      <c r="Z388" s="158">
        <f>IF(OR(Y388="",X388=""),"",IFERROR(Y388*INDEX(FXRates[USD per unit],MATCH(X388,FXRates[Currency],0)),"No rate"))</f>
        <v/>
      </c>
      <c r="AA388" s="38" t="n"/>
      <c r="AB388" s="38" t="n"/>
      <c r="AC388" s="41">
        <f>IF(A388="","",IF(COUNTIF($A$6:$A$504,A388)&gt;1,"⚠ Duplicate",""))</f>
        <v/>
      </c>
      <c r="AD388" s="42" t="n"/>
      <c r="AE388" s="42" t="n"/>
      <c r="AF388" s="42" t="n"/>
      <c r="AG388" s="42" t="n"/>
      <c r="AH388" s="42" t="n"/>
      <c r="AI388" s="42" t="n"/>
      <c r="AJ388" s="42" t="n"/>
      <c r="AK388" s="42" t="n"/>
      <c r="AL388" s="42" t="n"/>
      <c r="AM388" s="42" t="n"/>
      <c r="AN388" s="42" t="n"/>
      <c r="AO388" s="42" t="n"/>
      <c r="AP388" s="42" t="n"/>
      <c r="AQ388" s="42" t="n"/>
      <c r="AR388" s="38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5" t="n"/>
      <c r="Z389" s="157">
        <f>IF(OR(Y389="",X389=""),"",IFERROR(Y389*INDEX(FXRates[USD per unit],MATCH(X389,FXRates[Currency],0)),"No rate"))</f>
        <v/>
      </c>
      <c r="AA389" s="32" t="n"/>
      <c r="AB389" s="32" t="n"/>
      <c r="AC389" s="36">
        <f>IF(A389="","",IF(COUNTIF($A$6:$A$504,A389)&gt;1,"⚠ Duplicate",""))</f>
        <v/>
      </c>
      <c r="AD389" s="43" t="n"/>
      <c r="AE389" s="43" t="n"/>
      <c r="AF389" s="43" t="n"/>
      <c r="AG389" s="43" t="n"/>
      <c r="AH389" s="43" t="n"/>
      <c r="AI389" s="43" t="n"/>
      <c r="AJ389" s="43" t="n"/>
      <c r="AK389" s="43" t="n"/>
      <c r="AL389" s="43" t="n"/>
      <c r="AM389" s="43" t="n"/>
      <c r="AN389" s="43" t="n"/>
      <c r="AO389" s="43" t="n"/>
      <c r="AP389" s="43" t="n"/>
      <c r="AQ389" s="43" t="n"/>
      <c r="AR389" s="32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40" t="n"/>
      <c r="Z390" s="158">
        <f>IF(OR(Y390="",X390=""),"",IFERROR(Y390*INDEX(FXRates[USD per unit],MATCH(X390,FXRates[Currency],0)),"No rate"))</f>
        <v/>
      </c>
      <c r="AA390" s="38" t="n"/>
      <c r="AB390" s="38" t="n"/>
      <c r="AC390" s="41">
        <f>IF(A390="","",IF(COUNTIF($A$6:$A$504,A390)&gt;1,"⚠ Duplicate",""))</f>
        <v/>
      </c>
      <c r="AD390" s="42" t="n"/>
      <c r="AE390" s="42" t="n"/>
      <c r="AF390" s="42" t="n"/>
      <c r="AG390" s="42" t="n"/>
      <c r="AH390" s="42" t="n"/>
      <c r="AI390" s="42" t="n"/>
      <c r="AJ390" s="42" t="n"/>
      <c r="AK390" s="42" t="n"/>
      <c r="AL390" s="42" t="n"/>
      <c r="AM390" s="42" t="n"/>
      <c r="AN390" s="42" t="n"/>
      <c r="AO390" s="42" t="n"/>
      <c r="AP390" s="42" t="n"/>
      <c r="AQ390" s="42" t="n"/>
      <c r="AR390" s="38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5" t="n"/>
      <c r="Z391" s="157">
        <f>IF(OR(Y391="",X391=""),"",IFERROR(Y391*INDEX(FXRates[USD per unit],MATCH(X391,FXRates[Currency],0)),"No rate"))</f>
        <v/>
      </c>
      <c r="AA391" s="32" t="n"/>
      <c r="AB391" s="32" t="n"/>
      <c r="AC391" s="36">
        <f>IF(A391="","",IF(COUNTIF($A$6:$A$504,A391)&gt;1,"⚠ Duplicate",""))</f>
        <v/>
      </c>
      <c r="AD391" s="43" t="n"/>
      <c r="AE391" s="43" t="n"/>
      <c r="AF391" s="43" t="n"/>
      <c r="AG391" s="43" t="n"/>
      <c r="AH391" s="43" t="n"/>
      <c r="AI391" s="43" t="n"/>
      <c r="AJ391" s="43" t="n"/>
      <c r="AK391" s="43" t="n"/>
      <c r="AL391" s="43" t="n"/>
      <c r="AM391" s="43" t="n"/>
      <c r="AN391" s="43" t="n"/>
      <c r="AO391" s="43" t="n"/>
      <c r="AP391" s="43" t="n"/>
      <c r="AQ391" s="43" t="n"/>
      <c r="AR391" s="32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40" t="n"/>
      <c r="Z392" s="158">
        <f>IF(OR(Y392="",X392=""),"",IFERROR(Y392*INDEX(FXRates[USD per unit],MATCH(X392,FXRates[Currency],0)),"No rate"))</f>
        <v/>
      </c>
      <c r="AA392" s="38" t="n"/>
      <c r="AB392" s="38" t="n"/>
      <c r="AC392" s="41">
        <f>IF(A392="","",IF(COUNTIF($A$6:$A$504,A392)&gt;1,"⚠ Duplicate",""))</f>
        <v/>
      </c>
      <c r="AD392" s="42" t="n"/>
      <c r="AE392" s="42" t="n"/>
      <c r="AF392" s="42" t="n"/>
      <c r="AG392" s="42" t="n"/>
      <c r="AH392" s="42" t="n"/>
      <c r="AI392" s="42" t="n"/>
      <c r="AJ392" s="42" t="n"/>
      <c r="AK392" s="42" t="n"/>
      <c r="AL392" s="42" t="n"/>
      <c r="AM392" s="42" t="n"/>
      <c r="AN392" s="42" t="n"/>
      <c r="AO392" s="42" t="n"/>
      <c r="AP392" s="42" t="n"/>
      <c r="AQ392" s="42" t="n"/>
      <c r="AR392" s="38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5" t="n"/>
      <c r="Z393" s="157">
        <f>IF(OR(Y393="",X393=""),"",IFERROR(Y393*INDEX(FXRates[USD per unit],MATCH(X393,FXRates[Currency],0)),"No rate"))</f>
        <v/>
      </c>
      <c r="AA393" s="32" t="n"/>
      <c r="AB393" s="32" t="n"/>
      <c r="AC393" s="36">
        <f>IF(A393="","",IF(COUNTIF($A$6:$A$504,A393)&gt;1,"⚠ Duplicate",""))</f>
        <v/>
      </c>
      <c r="AD393" s="43" t="n"/>
      <c r="AE393" s="43" t="n"/>
      <c r="AF393" s="43" t="n"/>
      <c r="AG393" s="43" t="n"/>
      <c r="AH393" s="43" t="n"/>
      <c r="AI393" s="43" t="n"/>
      <c r="AJ393" s="43" t="n"/>
      <c r="AK393" s="43" t="n"/>
      <c r="AL393" s="43" t="n"/>
      <c r="AM393" s="43" t="n"/>
      <c r="AN393" s="43" t="n"/>
      <c r="AO393" s="43" t="n"/>
      <c r="AP393" s="43" t="n"/>
      <c r="AQ393" s="43" t="n"/>
      <c r="AR393" s="32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40" t="n"/>
      <c r="Z394" s="158">
        <f>IF(OR(Y394="",X394=""),"",IFERROR(Y394*INDEX(FXRates[USD per unit],MATCH(X394,FXRates[Currency],0)),"No rate"))</f>
        <v/>
      </c>
      <c r="AA394" s="38" t="n"/>
      <c r="AB394" s="38" t="n"/>
      <c r="AC394" s="41">
        <f>IF(A394="","",IF(COUNTIF($A$6:$A$504,A394)&gt;1,"⚠ Duplicate",""))</f>
        <v/>
      </c>
      <c r="AD394" s="42" t="n"/>
      <c r="AE394" s="42" t="n"/>
      <c r="AF394" s="42" t="n"/>
      <c r="AG394" s="42" t="n"/>
      <c r="AH394" s="42" t="n"/>
      <c r="AI394" s="42" t="n"/>
      <c r="AJ394" s="42" t="n"/>
      <c r="AK394" s="42" t="n"/>
      <c r="AL394" s="42" t="n"/>
      <c r="AM394" s="42" t="n"/>
      <c r="AN394" s="42" t="n"/>
      <c r="AO394" s="42" t="n"/>
      <c r="AP394" s="42" t="n"/>
      <c r="AQ394" s="42" t="n"/>
      <c r="AR394" s="38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5" t="n"/>
      <c r="Z395" s="157">
        <f>IF(OR(Y395="",X395=""),"",IFERROR(Y395*INDEX(FXRates[USD per unit],MATCH(X395,FXRates[Currency],0)),"No rate"))</f>
        <v/>
      </c>
      <c r="AA395" s="32" t="n"/>
      <c r="AB395" s="32" t="n"/>
      <c r="AC395" s="36">
        <f>IF(A395="","",IF(COUNTIF($A$6:$A$504,A395)&gt;1,"⚠ Duplicate",""))</f>
        <v/>
      </c>
      <c r="AD395" s="43" t="n"/>
      <c r="AE395" s="43" t="n"/>
      <c r="AF395" s="43" t="n"/>
      <c r="AG395" s="43" t="n"/>
      <c r="AH395" s="43" t="n"/>
      <c r="AI395" s="43" t="n"/>
      <c r="AJ395" s="43" t="n"/>
      <c r="AK395" s="43" t="n"/>
      <c r="AL395" s="43" t="n"/>
      <c r="AM395" s="43" t="n"/>
      <c r="AN395" s="43" t="n"/>
      <c r="AO395" s="43" t="n"/>
      <c r="AP395" s="43" t="n"/>
      <c r="AQ395" s="43" t="n"/>
      <c r="AR395" s="32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40" t="n"/>
      <c r="Z396" s="158">
        <f>IF(OR(Y396="",X396=""),"",IFERROR(Y396*INDEX(FXRates[USD per unit],MATCH(X396,FXRates[Currency],0)),"No rate"))</f>
        <v/>
      </c>
      <c r="AA396" s="38" t="n"/>
      <c r="AB396" s="38" t="n"/>
      <c r="AC396" s="41">
        <f>IF(A396="","",IF(COUNTIF($A$6:$A$504,A396)&gt;1,"⚠ Duplicate",""))</f>
        <v/>
      </c>
      <c r="AD396" s="42" t="n"/>
      <c r="AE396" s="42" t="n"/>
      <c r="AF396" s="42" t="n"/>
      <c r="AG396" s="42" t="n"/>
      <c r="AH396" s="42" t="n"/>
      <c r="AI396" s="42" t="n"/>
      <c r="AJ396" s="42" t="n"/>
      <c r="AK396" s="42" t="n"/>
      <c r="AL396" s="42" t="n"/>
      <c r="AM396" s="42" t="n"/>
      <c r="AN396" s="42" t="n"/>
      <c r="AO396" s="42" t="n"/>
      <c r="AP396" s="42" t="n"/>
      <c r="AQ396" s="42" t="n"/>
      <c r="AR396" s="38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5" t="n"/>
      <c r="Z397" s="157">
        <f>IF(OR(Y397="",X397=""),"",IFERROR(Y397*INDEX(FXRates[USD per unit],MATCH(X397,FXRates[Currency],0)),"No rate"))</f>
        <v/>
      </c>
      <c r="AA397" s="32" t="n"/>
      <c r="AB397" s="32" t="n"/>
      <c r="AC397" s="36">
        <f>IF(A397="","",IF(COUNTIF($A$6:$A$504,A397)&gt;1,"⚠ Duplicate",""))</f>
        <v/>
      </c>
      <c r="AD397" s="43" t="n"/>
      <c r="AE397" s="43" t="n"/>
      <c r="AF397" s="43" t="n"/>
      <c r="AG397" s="43" t="n"/>
      <c r="AH397" s="43" t="n"/>
      <c r="AI397" s="43" t="n"/>
      <c r="AJ397" s="43" t="n"/>
      <c r="AK397" s="43" t="n"/>
      <c r="AL397" s="43" t="n"/>
      <c r="AM397" s="43" t="n"/>
      <c r="AN397" s="43" t="n"/>
      <c r="AO397" s="43" t="n"/>
      <c r="AP397" s="43" t="n"/>
      <c r="AQ397" s="43" t="n"/>
      <c r="AR397" s="32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40" t="n"/>
      <c r="Z398" s="158">
        <f>IF(OR(Y398="",X398=""),"",IFERROR(Y398*INDEX(FXRates[USD per unit],MATCH(X398,FXRates[Currency],0)),"No rate"))</f>
        <v/>
      </c>
      <c r="AA398" s="38" t="n"/>
      <c r="AB398" s="38" t="n"/>
      <c r="AC398" s="41">
        <f>IF(A398="","",IF(COUNTIF($A$6:$A$504,A398)&gt;1,"⚠ Duplicate",""))</f>
        <v/>
      </c>
      <c r="AD398" s="42" t="n"/>
      <c r="AE398" s="42" t="n"/>
      <c r="AF398" s="42" t="n"/>
      <c r="AG398" s="42" t="n"/>
      <c r="AH398" s="42" t="n"/>
      <c r="AI398" s="42" t="n"/>
      <c r="AJ398" s="42" t="n"/>
      <c r="AK398" s="42" t="n"/>
      <c r="AL398" s="42" t="n"/>
      <c r="AM398" s="42" t="n"/>
      <c r="AN398" s="42" t="n"/>
      <c r="AO398" s="42" t="n"/>
      <c r="AP398" s="42" t="n"/>
      <c r="AQ398" s="42" t="n"/>
      <c r="AR398" s="38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5" t="n"/>
      <c r="Z399" s="157">
        <f>IF(OR(Y399="",X399=""),"",IFERROR(Y399*INDEX(FXRates[USD per unit],MATCH(X399,FXRates[Currency],0)),"No rate"))</f>
        <v/>
      </c>
      <c r="AA399" s="32" t="n"/>
      <c r="AB399" s="32" t="n"/>
      <c r="AC399" s="36">
        <f>IF(A399="","",IF(COUNTIF($A$6:$A$504,A399)&gt;1,"⚠ Duplicate",""))</f>
        <v/>
      </c>
      <c r="AD399" s="43" t="n"/>
      <c r="AE399" s="43" t="n"/>
      <c r="AF399" s="43" t="n"/>
      <c r="AG399" s="43" t="n"/>
      <c r="AH399" s="43" t="n"/>
      <c r="AI399" s="43" t="n"/>
      <c r="AJ399" s="43" t="n"/>
      <c r="AK399" s="43" t="n"/>
      <c r="AL399" s="43" t="n"/>
      <c r="AM399" s="43" t="n"/>
      <c r="AN399" s="43" t="n"/>
      <c r="AO399" s="43" t="n"/>
      <c r="AP399" s="43" t="n"/>
      <c r="AQ399" s="43" t="n"/>
      <c r="AR399" s="32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40" t="n"/>
      <c r="Z400" s="158">
        <f>IF(OR(Y400="",X400=""),"",IFERROR(Y400*INDEX(FXRates[USD per unit],MATCH(X400,FXRates[Currency],0)),"No rate"))</f>
        <v/>
      </c>
      <c r="AA400" s="38" t="n"/>
      <c r="AB400" s="38" t="n"/>
      <c r="AC400" s="41">
        <f>IF(A400="","",IF(COUNTIF($A$6:$A$504,A400)&gt;1,"⚠ Duplicate",""))</f>
        <v/>
      </c>
      <c r="AD400" s="42" t="n"/>
      <c r="AE400" s="42" t="n"/>
      <c r="AF400" s="42" t="n"/>
      <c r="AG400" s="42" t="n"/>
      <c r="AH400" s="42" t="n"/>
      <c r="AI400" s="42" t="n"/>
      <c r="AJ400" s="42" t="n"/>
      <c r="AK400" s="42" t="n"/>
      <c r="AL400" s="42" t="n"/>
      <c r="AM400" s="42" t="n"/>
      <c r="AN400" s="42" t="n"/>
      <c r="AO400" s="42" t="n"/>
      <c r="AP400" s="42" t="n"/>
      <c r="AQ400" s="42" t="n"/>
      <c r="AR400" s="38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5" t="n"/>
      <c r="Z401" s="157">
        <f>IF(OR(Y401="",X401=""),"",IFERROR(Y401*INDEX(FXRates[USD per unit],MATCH(X401,FXRates[Currency],0)),"No rate"))</f>
        <v/>
      </c>
      <c r="AA401" s="32" t="n"/>
      <c r="AB401" s="32" t="n"/>
      <c r="AC401" s="36">
        <f>IF(A401="","",IF(COUNTIF($A$6:$A$504,A401)&gt;1,"⚠ Duplicate",""))</f>
        <v/>
      </c>
      <c r="AD401" s="43" t="n"/>
      <c r="AE401" s="43" t="n"/>
      <c r="AF401" s="43" t="n"/>
      <c r="AG401" s="43" t="n"/>
      <c r="AH401" s="43" t="n"/>
      <c r="AI401" s="43" t="n"/>
      <c r="AJ401" s="43" t="n"/>
      <c r="AK401" s="43" t="n"/>
      <c r="AL401" s="43" t="n"/>
      <c r="AM401" s="43" t="n"/>
      <c r="AN401" s="43" t="n"/>
      <c r="AO401" s="43" t="n"/>
      <c r="AP401" s="43" t="n"/>
      <c r="AQ401" s="43" t="n"/>
      <c r="AR401" s="32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40" t="n"/>
      <c r="Z402" s="158">
        <f>IF(OR(Y402="",X402=""),"",IFERROR(Y402*INDEX(FXRates[USD per unit],MATCH(X402,FXRates[Currency],0)),"No rate"))</f>
        <v/>
      </c>
      <c r="AA402" s="38" t="n"/>
      <c r="AB402" s="38" t="n"/>
      <c r="AC402" s="41">
        <f>IF(A402="","",IF(COUNTIF($A$6:$A$504,A402)&gt;1,"⚠ Duplicate",""))</f>
        <v/>
      </c>
      <c r="AD402" s="42" t="n"/>
      <c r="AE402" s="42" t="n"/>
      <c r="AF402" s="42" t="n"/>
      <c r="AG402" s="42" t="n"/>
      <c r="AH402" s="42" t="n"/>
      <c r="AI402" s="42" t="n"/>
      <c r="AJ402" s="42" t="n"/>
      <c r="AK402" s="42" t="n"/>
      <c r="AL402" s="42" t="n"/>
      <c r="AM402" s="42" t="n"/>
      <c r="AN402" s="42" t="n"/>
      <c r="AO402" s="42" t="n"/>
      <c r="AP402" s="42" t="n"/>
      <c r="AQ402" s="42" t="n"/>
      <c r="AR402" s="38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5" t="n"/>
      <c r="Z403" s="157">
        <f>IF(OR(Y403="",X403=""),"",IFERROR(Y403*INDEX(FXRates[USD per unit],MATCH(X403,FXRates[Currency],0)),"No rate"))</f>
        <v/>
      </c>
      <c r="AA403" s="32" t="n"/>
      <c r="AB403" s="32" t="n"/>
      <c r="AC403" s="36">
        <f>IF(A403="","",IF(COUNTIF($A$6:$A$504,A403)&gt;1,"⚠ Duplicate",""))</f>
        <v/>
      </c>
      <c r="AD403" s="43" t="n"/>
      <c r="AE403" s="43" t="n"/>
      <c r="AF403" s="43" t="n"/>
      <c r="AG403" s="43" t="n"/>
      <c r="AH403" s="43" t="n"/>
      <c r="AI403" s="43" t="n"/>
      <c r="AJ403" s="43" t="n"/>
      <c r="AK403" s="43" t="n"/>
      <c r="AL403" s="43" t="n"/>
      <c r="AM403" s="43" t="n"/>
      <c r="AN403" s="43" t="n"/>
      <c r="AO403" s="43" t="n"/>
      <c r="AP403" s="43" t="n"/>
      <c r="AQ403" s="43" t="n"/>
      <c r="AR403" s="32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40" t="n"/>
      <c r="Z404" s="158">
        <f>IF(OR(Y404="",X404=""),"",IFERROR(Y404*INDEX(FXRates[USD per unit],MATCH(X404,FXRates[Currency],0)),"No rate"))</f>
        <v/>
      </c>
      <c r="AA404" s="38" t="n"/>
      <c r="AB404" s="38" t="n"/>
      <c r="AC404" s="41">
        <f>IF(A404="","",IF(COUNTIF($A$6:$A$504,A404)&gt;1,"⚠ Duplicate",""))</f>
        <v/>
      </c>
      <c r="AD404" s="42" t="n"/>
      <c r="AE404" s="42" t="n"/>
      <c r="AF404" s="42" t="n"/>
      <c r="AG404" s="42" t="n"/>
      <c r="AH404" s="42" t="n"/>
      <c r="AI404" s="42" t="n"/>
      <c r="AJ404" s="42" t="n"/>
      <c r="AK404" s="42" t="n"/>
      <c r="AL404" s="42" t="n"/>
      <c r="AM404" s="42" t="n"/>
      <c r="AN404" s="42" t="n"/>
      <c r="AO404" s="42" t="n"/>
      <c r="AP404" s="42" t="n"/>
      <c r="AQ404" s="42" t="n"/>
      <c r="AR404" s="38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5" t="n"/>
      <c r="Z405" s="157">
        <f>IF(OR(Y405="",X405=""),"",IFERROR(Y405*INDEX(FXRates[USD per unit],MATCH(X405,FXRates[Currency],0)),"No rate"))</f>
        <v/>
      </c>
      <c r="AA405" s="32" t="n"/>
      <c r="AB405" s="32" t="n"/>
      <c r="AC405" s="36">
        <f>IF(A405="","",IF(COUNTIF($A$6:$A$504,A405)&gt;1,"⚠ Duplicate",""))</f>
        <v/>
      </c>
      <c r="AD405" s="43" t="n"/>
      <c r="AE405" s="43" t="n"/>
      <c r="AF405" s="43" t="n"/>
      <c r="AG405" s="43" t="n"/>
      <c r="AH405" s="43" t="n"/>
      <c r="AI405" s="43" t="n"/>
      <c r="AJ405" s="43" t="n"/>
      <c r="AK405" s="43" t="n"/>
      <c r="AL405" s="43" t="n"/>
      <c r="AM405" s="43" t="n"/>
      <c r="AN405" s="43" t="n"/>
      <c r="AO405" s="43" t="n"/>
      <c r="AP405" s="43" t="n"/>
      <c r="AQ405" s="43" t="n"/>
      <c r="AR405" s="32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40" t="n"/>
      <c r="Z406" s="158">
        <f>IF(OR(Y406="",X406=""),"",IFERROR(Y406*INDEX(FXRates[USD per unit],MATCH(X406,FXRates[Currency],0)),"No rate"))</f>
        <v/>
      </c>
      <c r="AA406" s="38" t="n"/>
      <c r="AB406" s="38" t="n"/>
      <c r="AC406" s="41">
        <f>IF(A406="","",IF(COUNTIF($A$6:$A$504,A406)&gt;1,"⚠ Duplicate",""))</f>
        <v/>
      </c>
      <c r="AD406" s="42" t="n"/>
      <c r="AE406" s="42" t="n"/>
      <c r="AF406" s="42" t="n"/>
      <c r="AG406" s="42" t="n"/>
      <c r="AH406" s="42" t="n"/>
      <c r="AI406" s="42" t="n"/>
      <c r="AJ406" s="42" t="n"/>
      <c r="AK406" s="42" t="n"/>
      <c r="AL406" s="42" t="n"/>
      <c r="AM406" s="42" t="n"/>
      <c r="AN406" s="42" t="n"/>
      <c r="AO406" s="42" t="n"/>
      <c r="AP406" s="42" t="n"/>
      <c r="AQ406" s="42" t="n"/>
      <c r="AR406" s="38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5" t="n"/>
      <c r="Z407" s="157">
        <f>IF(OR(Y407="",X407=""),"",IFERROR(Y407*INDEX(FXRates[USD per unit],MATCH(X407,FXRates[Currency],0)),"No rate"))</f>
        <v/>
      </c>
      <c r="AA407" s="32" t="n"/>
      <c r="AB407" s="32" t="n"/>
      <c r="AC407" s="36">
        <f>IF(A407="","",IF(COUNTIF($A$6:$A$504,A407)&gt;1,"⚠ Duplicate",""))</f>
        <v/>
      </c>
      <c r="AD407" s="43" t="n"/>
      <c r="AE407" s="43" t="n"/>
      <c r="AF407" s="43" t="n"/>
      <c r="AG407" s="43" t="n"/>
      <c r="AH407" s="43" t="n"/>
      <c r="AI407" s="43" t="n"/>
      <c r="AJ407" s="43" t="n"/>
      <c r="AK407" s="43" t="n"/>
      <c r="AL407" s="43" t="n"/>
      <c r="AM407" s="43" t="n"/>
      <c r="AN407" s="43" t="n"/>
      <c r="AO407" s="43" t="n"/>
      <c r="AP407" s="43" t="n"/>
      <c r="AQ407" s="43" t="n"/>
      <c r="AR407" s="32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40" t="n"/>
      <c r="Z408" s="158">
        <f>IF(OR(Y408="",X408=""),"",IFERROR(Y408*INDEX(FXRates[USD per unit],MATCH(X408,FXRates[Currency],0)),"No rate"))</f>
        <v/>
      </c>
      <c r="AA408" s="38" t="n"/>
      <c r="AB408" s="38" t="n"/>
      <c r="AC408" s="41">
        <f>IF(A408="","",IF(COUNTIF($A$6:$A$504,A408)&gt;1,"⚠ Duplicate",""))</f>
        <v/>
      </c>
      <c r="AD408" s="42" t="n"/>
      <c r="AE408" s="42" t="n"/>
      <c r="AF408" s="42" t="n"/>
      <c r="AG408" s="42" t="n"/>
      <c r="AH408" s="42" t="n"/>
      <c r="AI408" s="42" t="n"/>
      <c r="AJ408" s="42" t="n"/>
      <c r="AK408" s="42" t="n"/>
      <c r="AL408" s="42" t="n"/>
      <c r="AM408" s="42" t="n"/>
      <c r="AN408" s="42" t="n"/>
      <c r="AO408" s="42" t="n"/>
      <c r="AP408" s="42" t="n"/>
      <c r="AQ408" s="42" t="n"/>
      <c r="AR408" s="38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5" t="n"/>
      <c r="Z409" s="157">
        <f>IF(OR(Y409="",X409=""),"",IFERROR(Y409*INDEX(FXRates[USD per unit],MATCH(X409,FXRates[Currency],0)),"No rate"))</f>
        <v/>
      </c>
      <c r="AA409" s="32" t="n"/>
      <c r="AB409" s="32" t="n"/>
      <c r="AC409" s="36">
        <f>IF(A409="","",IF(COUNTIF($A$6:$A$504,A409)&gt;1,"⚠ Duplicate",""))</f>
        <v/>
      </c>
      <c r="AD409" s="43" t="n"/>
      <c r="AE409" s="43" t="n"/>
      <c r="AF409" s="43" t="n"/>
      <c r="AG409" s="43" t="n"/>
      <c r="AH409" s="43" t="n"/>
      <c r="AI409" s="43" t="n"/>
      <c r="AJ409" s="43" t="n"/>
      <c r="AK409" s="43" t="n"/>
      <c r="AL409" s="43" t="n"/>
      <c r="AM409" s="43" t="n"/>
      <c r="AN409" s="43" t="n"/>
      <c r="AO409" s="43" t="n"/>
      <c r="AP409" s="43" t="n"/>
      <c r="AQ409" s="43" t="n"/>
      <c r="AR409" s="32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40" t="n"/>
      <c r="Z410" s="158">
        <f>IF(OR(Y410="",X410=""),"",IFERROR(Y410*INDEX(FXRates[USD per unit],MATCH(X410,FXRates[Currency],0)),"No rate"))</f>
        <v/>
      </c>
      <c r="AA410" s="38" t="n"/>
      <c r="AB410" s="38" t="n"/>
      <c r="AC410" s="41">
        <f>IF(A410="","",IF(COUNTIF($A$6:$A$504,A410)&gt;1,"⚠ Duplicate",""))</f>
        <v/>
      </c>
      <c r="AD410" s="42" t="n"/>
      <c r="AE410" s="42" t="n"/>
      <c r="AF410" s="42" t="n"/>
      <c r="AG410" s="42" t="n"/>
      <c r="AH410" s="42" t="n"/>
      <c r="AI410" s="42" t="n"/>
      <c r="AJ410" s="42" t="n"/>
      <c r="AK410" s="42" t="n"/>
      <c r="AL410" s="42" t="n"/>
      <c r="AM410" s="42" t="n"/>
      <c r="AN410" s="42" t="n"/>
      <c r="AO410" s="42" t="n"/>
      <c r="AP410" s="42" t="n"/>
      <c r="AQ410" s="42" t="n"/>
      <c r="AR410" s="38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5" t="n"/>
      <c r="Z411" s="157">
        <f>IF(OR(Y411="",X411=""),"",IFERROR(Y411*INDEX(FXRates[USD per unit],MATCH(X411,FXRates[Currency],0)),"No rate"))</f>
        <v/>
      </c>
      <c r="AA411" s="32" t="n"/>
      <c r="AB411" s="32" t="n"/>
      <c r="AC411" s="36">
        <f>IF(A411="","",IF(COUNTIF($A$6:$A$504,A411)&gt;1,"⚠ Duplicate",""))</f>
        <v/>
      </c>
      <c r="AD411" s="43" t="n"/>
      <c r="AE411" s="43" t="n"/>
      <c r="AF411" s="43" t="n"/>
      <c r="AG411" s="43" t="n"/>
      <c r="AH411" s="43" t="n"/>
      <c r="AI411" s="43" t="n"/>
      <c r="AJ411" s="43" t="n"/>
      <c r="AK411" s="43" t="n"/>
      <c r="AL411" s="43" t="n"/>
      <c r="AM411" s="43" t="n"/>
      <c r="AN411" s="43" t="n"/>
      <c r="AO411" s="43" t="n"/>
      <c r="AP411" s="43" t="n"/>
      <c r="AQ411" s="43" t="n"/>
      <c r="AR411" s="32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40" t="n"/>
      <c r="Z412" s="158">
        <f>IF(OR(Y412="",X412=""),"",IFERROR(Y412*INDEX(FXRates[USD per unit],MATCH(X412,FXRates[Currency],0)),"No rate"))</f>
        <v/>
      </c>
      <c r="AA412" s="38" t="n"/>
      <c r="AB412" s="38" t="n"/>
      <c r="AC412" s="41">
        <f>IF(A412="","",IF(COUNTIF($A$6:$A$504,A412)&gt;1,"⚠ Duplicate",""))</f>
        <v/>
      </c>
      <c r="AD412" s="42" t="n"/>
      <c r="AE412" s="42" t="n"/>
      <c r="AF412" s="42" t="n"/>
      <c r="AG412" s="42" t="n"/>
      <c r="AH412" s="42" t="n"/>
      <c r="AI412" s="42" t="n"/>
      <c r="AJ412" s="42" t="n"/>
      <c r="AK412" s="42" t="n"/>
      <c r="AL412" s="42" t="n"/>
      <c r="AM412" s="42" t="n"/>
      <c r="AN412" s="42" t="n"/>
      <c r="AO412" s="42" t="n"/>
      <c r="AP412" s="42" t="n"/>
      <c r="AQ412" s="42" t="n"/>
      <c r="AR412" s="38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5" t="n"/>
      <c r="Z413" s="157">
        <f>IF(OR(Y413="",X413=""),"",IFERROR(Y413*INDEX(FXRates[USD per unit],MATCH(X413,FXRates[Currency],0)),"No rate"))</f>
        <v/>
      </c>
      <c r="AA413" s="32" t="n"/>
      <c r="AB413" s="32" t="n"/>
      <c r="AC413" s="36">
        <f>IF(A413="","",IF(COUNTIF($A$6:$A$504,A413)&gt;1,"⚠ Duplicate",""))</f>
        <v/>
      </c>
      <c r="AD413" s="43" t="n"/>
      <c r="AE413" s="43" t="n"/>
      <c r="AF413" s="43" t="n"/>
      <c r="AG413" s="43" t="n"/>
      <c r="AH413" s="43" t="n"/>
      <c r="AI413" s="43" t="n"/>
      <c r="AJ413" s="43" t="n"/>
      <c r="AK413" s="43" t="n"/>
      <c r="AL413" s="43" t="n"/>
      <c r="AM413" s="43" t="n"/>
      <c r="AN413" s="43" t="n"/>
      <c r="AO413" s="43" t="n"/>
      <c r="AP413" s="43" t="n"/>
      <c r="AQ413" s="43" t="n"/>
      <c r="AR413" s="32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40" t="n"/>
      <c r="Z414" s="158">
        <f>IF(OR(Y414="",X414=""),"",IFERROR(Y414*INDEX(FXRates[USD per unit],MATCH(X414,FXRates[Currency],0)),"No rate"))</f>
        <v/>
      </c>
      <c r="AA414" s="38" t="n"/>
      <c r="AB414" s="38" t="n"/>
      <c r="AC414" s="41">
        <f>IF(A414="","",IF(COUNTIF($A$6:$A$504,A414)&gt;1,"⚠ Duplicate",""))</f>
        <v/>
      </c>
      <c r="AD414" s="42" t="n"/>
      <c r="AE414" s="42" t="n"/>
      <c r="AF414" s="42" t="n"/>
      <c r="AG414" s="42" t="n"/>
      <c r="AH414" s="42" t="n"/>
      <c r="AI414" s="42" t="n"/>
      <c r="AJ414" s="42" t="n"/>
      <c r="AK414" s="42" t="n"/>
      <c r="AL414" s="42" t="n"/>
      <c r="AM414" s="42" t="n"/>
      <c r="AN414" s="42" t="n"/>
      <c r="AO414" s="42" t="n"/>
      <c r="AP414" s="42" t="n"/>
      <c r="AQ414" s="42" t="n"/>
      <c r="AR414" s="38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5" t="n"/>
      <c r="Z415" s="157">
        <f>IF(OR(Y415="",X415=""),"",IFERROR(Y415*INDEX(FXRates[USD per unit],MATCH(X415,FXRates[Currency],0)),"No rate"))</f>
        <v/>
      </c>
      <c r="AA415" s="32" t="n"/>
      <c r="AB415" s="32" t="n"/>
      <c r="AC415" s="36">
        <f>IF(A415="","",IF(COUNTIF($A$6:$A$504,A415)&gt;1,"⚠ Duplicate",""))</f>
        <v/>
      </c>
      <c r="AD415" s="43" t="n"/>
      <c r="AE415" s="43" t="n"/>
      <c r="AF415" s="43" t="n"/>
      <c r="AG415" s="43" t="n"/>
      <c r="AH415" s="43" t="n"/>
      <c r="AI415" s="43" t="n"/>
      <c r="AJ415" s="43" t="n"/>
      <c r="AK415" s="43" t="n"/>
      <c r="AL415" s="43" t="n"/>
      <c r="AM415" s="43" t="n"/>
      <c r="AN415" s="43" t="n"/>
      <c r="AO415" s="43" t="n"/>
      <c r="AP415" s="43" t="n"/>
      <c r="AQ415" s="43" t="n"/>
      <c r="AR415" s="32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40" t="n"/>
      <c r="Z416" s="158">
        <f>IF(OR(Y416="",X416=""),"",IFERROR(Y416*INDEX(FXRates[USD per unit],MATCH(X416,FXRates[Currency],0)),"No rate"))</f>
        <v/>
      </c>
      <c r="AA416" s="38" t="n"/>
      <c r="AB416" s="38" t="n"/>
      <c r="AC416" s="41">
        <f>IF(A416="","",IF(COUNTIF($A$6:$A$504,A416)&gt;1,"⚠ Duplicate",""))</f>
        <v/>
      </c>
      <c r="AD416" s="42" t="n"/>
      <c r="AE416" s="42" t="n"/>
      <c r="AF416" s="42" t="n"/>
      <c r="AG416" s="42" t="n"/>
      <c r="AH416" s="42" t="n"/>
      <c r="AI416" s="42" t="n"/>
      <c r="AJ416" s="42" t="n"/>
      <c r="AK416" s="42" t="n"/>
      <c r="AL416" s="42" t="n"/>
      <c r="AM416" s="42" t="n"/>
      <c r="AN416" s="42" t="n"/>
      <c r="AO416" s="42" t="n"/>
      <c r="AP416" s="42" t="n"/>
      <c r="AQ416" s="42" t="n"/>
      <c r="AR416" s="38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5" t="n"/>
      <c r="Z417" s="157">
        <f>IF(OR(Y417="",X417=""),"",IFERROR(Y417*INDEX(FXRates[USD per unit],MATCH(X417,FXRates[Currency],0)),"No rate"))</f>
        <v/>
      </c>
      <c r="AA417" s="32" t="n"/>
      <c r="AB417" s="32" t="n"/>
      <c r="AC417" s="36">
        <f>IF(A417="","",IF(COUNTIF($A$6:$A$504,A417)&gt;1,"⚠ Duplicate",""))</f>
        <v/>
      </c>
      <c r="AD417" s="43" t="n"/>
      <c r="AE417" s="43" t="n"/>
      <c r="AF417" s="43" t="n"/>
      <c r="AG417" s="43" t="n"/>
      <c r="AH417" s="43" t="n"/>
      <c r="AI417" s="43" t="n"/>
      <c r="AJ417" s="43" t="n"/>
      <c r="AK417" s="43" t="n"/>
      <c r="AL417" s="43" t="n"/>
      <c r="AM417" s="43" t="n"/>
      <c r="AN417" s="43" t="n"/>
      <c r="AO417" s="43" t="n"/>
      <c r="AP417" s="43" t="n"/>
      <c r="AQ417" s="43" t="n"/>
      <c r="AR417" s="32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40" t="n"/>
      <c r="Z418" s="158">
        <f>IF(OR(Y418="",X418=""),"",IFERROR(Y418*INDEX(FXRates[USD per unit],MATCH(X418,FXRates[Currency],0)),"No rate"))</f>
        <v/>
      </c>
      <c r="AA418" s="38" t="n"/>
      <c r="AB418" s="38" t="n"/>
      <c r="AC418" s="41">
        <f>IF(A418="","",IF(COUNTIF($A$6:$A$504,A418)&gt;1,"⚠ Duplicate",""))</f>
        <v/>
      </c>
      <c r="AD418" s="42" t="n"/>
      <c r="AE418" s="42" t="n"/>
      <c r="AF418" s="42" t="n"/>
      <c r="AG418" s="42" t="n"/>
      <c r="AH418" s="42" t="n"/>
      <c r="AI418" s="42" t="n"/>
      <c r="AJ418" s="42" t="n"/>
      <c r="AK418" s="42" t="n"/>
      <c r="AL418" s="42" t="n"/>
      <c r="AM418" s="42" t="n"/>
      <c r="AN418" s="42" t="n"/>
      <c r="AO418" s="42" t="n"/>
      <c r="AP418" s="42" t="n"/>
      <c r="AQ418" s="42" t="n"/>
      <c r="AR418" s="38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5" t="n"/>
      <c r="Z419" s="157">
        <f>IF(OR(Y419="",X419=""),"",IFERROR(Y419*INDEX(FXRates[USD per unit],MATCH(X419,FXRates[Currency],0)),"No rate"))</f>
        <v/>
      </c>
      <c r="AA419" s="32" t="n"/>
      <c r="AB419" s="32" t="n"/>
      <c r="AC419" s="36">
        <f>IF(A419="","",IF(COUNTIF($A$6:$A$504,A419)&gt;1,"⚠ Duplicate",""))</f>
        <v/>
      </c>
      <c r="AD419" s="43" t="n"/>
      <c r="AE419" s="43" t="n"/>
      <c r="AF419" s="43" t="n"/>
      <c r="AG419" s="43" t="n"/>
      <c r="AH419" s="43" t="n"/>
      <c r="AI419" s="43" t="n"/>
      <c r="AJ419" s="43" t="n"/>
      <c r="AK419" s="43" t="n"/>
      <c r="AL419" s="43" t="n"/>
      <c r="AM419" s="43" t="n"/>
      <c r="AN419" s="43" t="n"/>
      <c r="AO419" s="43" t="n"/>
      <c r="AP419" s="43" t="n"/>
      <c r="AQ419" s="43" t="n"/>
      <c r="AR419" s="32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40" t="n"/>
      <c r="Z420" s="158">
        <f>IF(OR(Y420="",X420=""),"",IFERROR(Y420*INDEX(FXRates[USD per unit],MATCH(X420,FXRates[Currency],0)),"No rate"))</f>
        <v/>
      </c>
      <c r="AA420" s="38" t="n"/>
      <c r="AB420" s="38" t="n"/>
      <c r="AC420" s="41">
        <f>IF(A420="","",IF(COUNTIF($A$6:$A$504,A420)&gt;1,"⚠ Duplicate",""))</f>
        <v/>
      </c>
      <c r="AD420" s="42" t="n"/>
      <c r="AE420" s="42" t="n"/>
      <c r="AF420" s="42" t="n"/>
      <c r="AG420" s="42" t="n"/>
      <c r="AH420" s="42" t="n"/>
      <c r="AI420" s="42" t="n"/>
      <c r="AJ420" s="42" t="n"/>
      <c r="AK420" s="42" t="n"/>
      <c r="AL420" s="42" t="n"/>
      <c r="AM420" s="42" t="n"/>
      <c r="AN420" s="42" t="n"/>
      <c r="AO420" s="42" t="n"/>
      <c r="AP420" s="42" t="n"/>
      <c r="AQ420" s="42" t="n"/>
      <c r="AR420" s="38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5" t="n"/>
      <c r="Z421" s="157">
        <f>IF(OR(Y421="",X421=""),"",IFERROR(Y421*INDEX(FXRates[USD per unit],MATCH(X421,FXRates[Currency],0)),"No rate"))</f>
        <v/>
      </c>
      <c r="AA421" s="32" t="n"/>
      <c r="AB421" s="32" t="n"/>
      <c r="AC421" s="36">
        <f>IF(A421="","",IF(COUNTIF($A$6:$A$504,A421)&gt;1,"⚠ Duplicate",""))</f>
        <v/>
      </c>
      <c r="AD421" s="43" t="n"/>
      <c r="AE421" s="43" t="n"/>
      <c r="AF421" s="43" t="n"/>
      <c r="AG421" s="43" t="n"/>
      <c r="AH421" s="43" t="n"/>
      <c r="AI421" s="43" t="n"/>
      <c r="AJ421" s="43" t="n"/>
      <c r="AK421" s="43" t="n"/>
      <c r="AL421" s="43" t="n"/>
      <c r="AM421" s="43" t="n"/>
      <c r="AN421" s="43" t="n"/>
      <c r="AO421" s="43" t="n"/>
      <c r="AP421" s="43" t="n"/>
      <c r="AQ421" s="43" t="n"/>
      <c r="AR421" s="32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40" t="n"/>
      <c r="Z422" s="158">
        <f>IF(OR(Y422="",X422=""),"",IFERROR(Y422*INDEX(FXRates[USD per unit],MATCH(X422,FXRates[Currency],0)),"No rate"))</f>
        <v/>
      </c>
      <c r="AA422" s="38" t="n"/>
      <c r="AB422" s="38" t="n"/>
      <c r="AC422" s="41">
        <f>IF(A422="","",IF(COUNTIF($A$6:$A$504,A422)&gt;1,"⚠ Duplicate",""))</f>
        <v/>
      </c>
      <c r="AD422" s="42" t="n"/>
      <c r="AE422" s="42" t="n"/>
      <c r="AF422" s="42" t="n"/>
      <c r="AG422" s="42" t="n"/>
      <c r="AH422" s="42" t="n"/>
      <c r="AI422" s="42" t="n"/>
      <c r="AJ422" s="42" t="n"/>
      <c r="AK422" s="42" t="n"/>
      <c r="AL422" s="42" t="n"/>
      <c r="AM422" s="42" t="n"/>
      <c r="AN422" s="42" t="n"/>
      <c r="AO422" s="42" t="n"/>
      <c r="AP422" s="42" t="n"/>
      <c r="AQ422" s="42" t="n"/>
      <c r="AR422" s="38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5" t="n"/>
      <c r="Z423" s="157">
        <f>IF(OR(Y423="",X423=""),"",IFERROR(Y423*INDEX(FXRates[USD per unit],MATCH(X423,FXRates[Currency],0)),"No rate"))</f>
        <v/>
      </c>
      <c r="AA423" s="32" t="n"/>
      <c r="AB423" s="32" t="n"/>
      <c r="AC423" s="36">
        <f>IF(A423="","",IF(COUNTIF($A$6:$A$504,A423)&gt;1,"⚠ Duplicate",""))</f>
        <v/>
      </c>
      <c r="AD423" s="43" t="n"/>
      <c r="AE423" s="43" t="n"/>
      <c r="AF423" s="43" t="n"/>
      <c r="AG423" s="43" t="n"/>
      <c r="AH423" s="43" t="n"/>
      <c r="AI423" s="43" t="n"/>
      <c r="AJ423" s="43" t="n"/>
      <c r="AK423" s="43" t="n"/>
      <c r="AL423" s="43" t="n"/>
      <c r="AM423" s="43" t="n"/>
      <c r="AN423" s="43" t="n"/>
      <c r="AO423" s="43" t="n"/>
      <c r="AP423" s="43" t="n"/>
      <c r="AQ423" s="43" t="n"/>
      <c r="AR423" s="32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40" t="n"/>
      <c r="Z424" s="158">
        <f>IF(OR(Y424="",X424=""),"",IFERROR(Y424*INDEX(FXRates[USD per unit],MATCH(X424,FXRates[Currency],0)),"No rate"))</f>
        <v/>
      </c>
      <c r="AA424" s="38" t="n"/>
      <c r="AB424" s="38" t="n"/>
      <c r="AC424" s="41">
        <f>IF(A424="","",IF(COUNTIF($A$6:$A$504,A424)&gt;1,"⚠ Duplicate",""))</f>
        <v/>
      </c>
      <c r="AD424" s="42" t="n"/>
      <c r="AE424" s="42" t="n"/>
      <c r="AF424" s="42" t="n"/>
      <c r="AG424" s="42" t="n"/>
      <c r="AH424" s="42" t="n"/>
      <c r="AI424" s="42" t="n"/>
      <c r="AJ424" s="42" t="n"/>
      <c r="AK424" s="42" t="n"/>
      <c r="AL424" s="42" t="n"/>
      <c r="AM424" s="42" t="n"/>
      <c r="AN424" s="42" t="n"/>
      <c r="AO424" s="42" t="n"/>
      <c r="AP424" s="42" t="n"/>
      <c r="AQ424" s="42" t="n"/>
      <c r="AR424" s="38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5" t="n"/>
      <c r="Z425" s="157">
        <f>IF(OR(Y425="",X425=""),"",IFERROR(Y425*INDEX(FXRates[USD per unit],MATCH(X425,FXRates[Currency],0)),"No rate"))</f>
        <v/>
      </c>
      <c r="AA425" s="32" t="n"/>
      <c r="AB425" s="32" t="n"/>
      <c r="AC425" s="36">
        <f>IF(A425="","",IF(COUNTIF($A$6:$A$504,A425)&gt;1,"⚠ Duplicate",""))</f>
        <v/>
      </c>
      <c r="AD425" s="43" t="n"/>
      <c r="AE425" s="43" t="n"/>
      <c r="AF425" s="43" t="n"/>
      <c r="AG425" s="43" t="n"/>
      <c r="AH425" s="43" t="n"/>
      <c r="AI425" s="43" t="n"/>
      <c r="AJ425" s="43" t="n"/>
      <c r="AK425" s="43" t="n"/>
      <c r="AL425" s="43" t="n"/>
      <c r="AM425" s="43" t="n"/>
      <c r="AN425" s="43" t="n"/>
      <c r="AO425" s="43" t="n"/>
      <c r="AP425" s="43" t="n"/>
      <c r="AQ425" s="43" t="n"/>
      <c r="AR425" s="32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40" t="n"/>
      <c r="Z426" s="158">
        <f>IF(OR(Y426="",X426=""),"",IFERROR(Y426*INDEX(FXRates[USD per unit],MATCH(X426,FXRates[Currency],0)),"No rate"))</f>
        <v/>
      </c>
      <c r="AA426" s="38" t="n"/>
      <c r="AB426" s="38" t="n"/>
      <c r="AC426" s="41">
        <f>IF(A426="","",IF(COUNTIF($A$6:$A$504,A426)&gt;1,"⚠ Duplicate",""))</f>
        <v/>
      </c>
      <c r="AD426" s="42" t="n"/>
      <c r="AE426" s="42" t="n"/>
      <c r="AF426" s="42" t="n"/>
      <c r="AG426" s="42" t="n"/>
      <c r="AH426" s="42" t="n"/>
      <c r="AI426" s="42" t="n"/>
      <c r="AJ426" s="42" t="n"/>
      <c r="AK426" s="42" t="n"/>
      <c r="AL426" s="42" t="n"/>
      <c r="AM426" s="42" t="n"/>
      <c r="AN426" s="42" t="n"/>
      <c r="AO426" s="42" t="n"/>
      <c r="AP426" s="42" t="n"/>
      <c r="AQ426" s="42" t="n"/>
      <c r="AR426" s="38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5" t="n"/>
      <c r="Z427" s="157">
        <f>IF(OR(Y427="",X427=""),"",IFERROR(Y427*INDEX(FXRates[USD per unit],MATCH(X427,FXRates[Currency],0)),"No rate"))</f>
        <v/>
      </c>
      <c r="AA427" s="32" t="n"/>
      <c r="AB427" s="32" t="n"/>
      <c r="AC427" s="36">
        <f>IF(A427="","",IF(COUNTIF($A$6:$A$504,A427)&gt;1,"⚠ Duplicate",""))</f>
        <v/>
      </c>
      <c r="AD427" s="43" t="n"/>
      <c r="AE427" s="43" t="n"/>
      <c r="AF427" s="43" t="n"/>
      <c r="AG427" s="43" t="n"/>
      <c r="AH427" s="43" t="n"/>
      <c r="AI427" s="43" t="n"/>
      <c r="AJ427" s="43" t="n"/>
      <c r="AK427" s="43" t="n"/>
      <c r="AL427" s="43" t="n"/>
      <c r="AM427" s="43" t="n"/>
      <c r="AN427" s="43" t="n"/>
      <c r="AO427" s="43" t="n"/>
      <c r="AP427" s="43" t="n"/>
      <c r="AQ427" s="43" t="n"/>
      <c r="AR427" s="32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40" t="n"/>
      <c r="Z428" s="158">
        <f>IF(OR(Y428="",X428=""),"",IFERROR(Y428*INDEX(FXRates[USD per unit],MATCH(X428,FXRates[Currency],0)),"No rate"))</f>
        <v/>
      </c>
      <c r="AA428" s="38" t="n"/>
      <c r="AB428" s="38" t="n"/>
      <c r="AC428" s="41">
        <f>IF(A428="","",IF(COUNTIF($A$6:$A$504,A428)&gt;1,"⚠ Duplicate",""))</f>
        <v/>
      </c>
      <c r="AD428" s="42" t="n"/>
      <c r="AE428" s="42" t="n"/>
      <c r="AF428" s="42" t="n"/>
      <c r="AG428" s="42" t="n"/>
      <c r="AH428" s="42" t="n"/>
      <c r="AI428" s="42" t="n"/>
      <c r="AJ428" s="42" t="n"/>
      <c r="AK428" s="42" t="n"/>
      <c r="AL428" s="42" t="n"/>
      <c r="AM428" s="42" t="n"/>
      <c r="AN428" s="42" t="n"/>
      <c r="AO428" s="42" t="n"/>
      <c r="AP428" s="42" t="n"/>
      <c r="AQ428" s="42" t="n"/>
      <c r="AR428" s="38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5" t="n"/>
      <c r="Z429" s="157">
        <f>IF(OR(Y429="",X429=""),"",IFERROR(Y429*INDEX(FXRates[USD per unit],MATCH(X429,FXRates[Currency],0)),"No rate"))</f>
        <v/>
      </c>
      <c r="AA429" s="32" t="n"/>
      <c r="AB429" s="32" t="n"/>
      <c r="AC429" s="36">
        <f>IF(A429="","",IF(COUNTIF($A$6:$A$504,A429)&gt;1,"⚠ Duplicate",""))</f>
        <v/>
      </c>
      <c r="AD429" s="43" t="n"/>
      <c r="AE429" s="43" t="n"/>
      <c r="AF429" s="43" t="n"/>
      <c r="AG429" s="43" t="n"/>
      <c r="AH429" s="43" t="n"/>
      <c r="AI429" s="43" t="n"/>
      <c r="AJ429" s="43" t="n"/>
      <c r="AK429" s="43" t="n"/>
      <c r="AL429" s="43" t="n"/>
      <c r="AM429" s="43" t="n"/>
      <c r="AN429" s="43" t="n"/>
      <c r="AO429" s="43" t="n"/>
      <c r="AP429" s="43" t="n"/>
      <c r="AQ429" s="43" t="n"/>
      <c r="AR429" s="32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40" t="n"/>
      <c r="Z430" s="158">
        <f>IF(OR(Y430="",X430=""),"",IFERROR(Y430*INDEX(FXRates[USD per unit],MATCH(X430,FXRates[Currency],0)),"No rate"))</f>
        <v/>
      </c>
      <c r="AA430" s="38" t="n"/>
      <c r="AB430" s="38" t="n"/>
      <c r="AC430" s="41">
        <f>IF(A430="","",IF(COUNTIF($A$6:$A$504,A430)&gt;1,"⚠ Duplicate",""))</f>
        <v/>
      </c>
      <c r="AD430" s="42" t="n"/>
      <c r="AE430" s="42" t="n"/>
      <c r="AF430" s="42" t="n"/>
      <c r="AG430" s="42" t="n"/>
      <c r="AH430" s="42" t="n"/>
      <c r="AI430" s="42" t="n"/>
      <c r="AJ430" s="42" t="n"/>
      <c r="AK430" s="42" t="n"/>
      <c r="AL430" s="42" t="n"/>
      <c r="AM430" s="42" t="n"/>
      <c r="AN430" s="42" t="n"/>
      <c r="AO430" s="42" t="n"/>
      <c r="AP430" s="42" t="n"/>
      <c r="AQ430" s="42" t="n"/>
      <c r="AR430" s="38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5" t="n"/>
      <c r="Z431" s="157">
        <f>IF(OR(Y431="",X431=""),"",IFERROR(Y431*INDEX(FXRates[USD per unit],MATCH(X431,FXRates[Currency],0)),"No rate"))</f>
        <v/>
      </c>
      <c r="AA431" s="32" t="n"/>
      <c r="AB431" s="32" t="n"/>
      <c r="AC431" s="36">
        <f>IF(A431="","",IF(COUNTIF($A$6:$A$504,A431)&gt;1,"⚠ Duplicate",""))</f>
        <v/>
      </c>
      <c r="AD431" s="43" t="n"/>
      <c r="AE431" s="43" t="n"/>
      <c r="AF431" s="43" t="n"/>
      <c r="AG431" s="43" t="n"/>
      <c r="AH431" s="43" t="n"/>
      <c r="AI431" s="43" t="n"/>
      <c r="AJ431" s="43" t="n"/>
      <c r="AK431" s="43" t="n"/>
      <c r="AL431" s="43" t="n"/>
      <c r="AM431" s="43" t="n"/>
      <c r="AN431" s="43" t="n"/>
      <c r="AO431" s="43" t="n"/>
      <c r="AP431" s="43" t="n"/>
      <c r="AQ431" s="43" t="n"/>
      <c r="AR431" s="32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40" t="n"/>
      <c r="Z432" s="158">
        <f>IF(OR(Y432="",X432=""),"",IFERROR(Y432*INDEX(FXRates[USD per unit],MATCH(X432,FXRates[Currency],0)),"No rate"))</f>
        <v/>
      </c>
      <c r="AA432" s="38" t="n"/>
      <c r="AB432" s="38" t="n"/>
      <c r="AC432" s="41">
        <f>IF(A432="","",IF(COUNTIF($A$6:$A$504,A432)&gt;1,"⚠ Duplicate",""))</f>
        <v/>
      </c>
      <c r="AD432" s="42" t="n"/>
      <c r="AE432" s="42" t="n"/>
      <c r="AF432" s="42" t="n"/>
      <c r="AG432" s="42" t="n"/>
      <c r="AH432" s="42" t="n"/>
      <c r="AI432" s="42" t="n"/>
      <c r="AJ432" s="42" t="n"/>
      <c r="AK432" s="42" t="n"/>
      <c r="AL432" s="42" t="n"/>
      <c r="AM432" s="42" t="n"/>
      <c r="AN432" s="42" t="n"/>
      <c r="AO432" s="42" t="n"/>
      <c r="AP432" s="42" t="n"/>
      <c r="AQ432" s="42" t="n"/>
      <c r="AR432" s="38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5" t="n"/>
      <c r="Z433" s="157">
        <f>IF(OR(Y433="",X433=""),"",IFERROR(Y433*INDEX(FXRates[USD per unit],MATCH(X433,FXRates[Currency],0)),"No rate"))</f>
        <v/>
      </c>
      <c r="AA433" s="32" t="n"/>
      <c r="AB433" s="32" t="n"/>
      <c r="AC433" s="36">
        <f>IF(A433="","",IF(COUNTIF($A$6:$A$504,A433)&gt;1,"⚠ Duplicate",""))</f>
        <v/>
      </c>
      <c r="AD433" s="43" t="n"/>
      <c r="AE433" s="43" t="n"/>
      <c r="AF433" s="43" t="n"/>
      <c r="AG433" s="43" t="n"/>
      <c r="AH433" s="43" t="n"/>
      <c r="AI433" s="43" t="n"/>
      <c r="AJ433" s="43" t="n"/>
      <c r="AK433" s="43" t="n"/>
      <c r="AL433" s="43" t="n"/>
      <c r="AM433" s="43" t="n"/>
      <c r="AN433" s="43" t="n"/>
      <c r="AO433" s="43" t="n"/>
      <c r="AP433" s="43" t="n"/>
      <c r="AQ433" s="43" t="n"/>
      <c r="AR433" s="32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40" t="n"/>
      <c r="Z434" s="158">
        <f>IF(OR(Y434="",X434=""),"",IFERROR(Y434*INDEX(FXRates[USD per unit],MATCH(X434,FXRates[Currency],0)),"No rate"))</f>
        <v/>
      </c>
      <c r="AA434" s="38" t="n"/>
      <c r="AB434" s="38" t="n"/>
      <c r="AC434" s="41">
        <f>IF(A434="","",IF(COUNTIF($A$6:$A$504,A434)&gt;1,"⚠ Duplicate",""))</f>
        <v/>
      </c>
      <c r="AD434" s="42" t="n"/>
      <c r="AE434" s="42" t="n"/>
      <c r="AF434" s="42" t="n"/>
      <c r="AG434" s="42" t="n"/>
      <c r="AH434" s="42" t="n"/>
      <c r="AI434" s="42" t="n"/>
      <c r="AJ434" s="42" t="n"/>
      <c r="AK434" s="42" t="n"/>
      <c r="AL434" s="42" t="n"/>
      <c r="AM434" s="42" t="n"/>
      <c r="AN434" s="42" t="n"/>
      <c r="AO434" s="42" t="n"/>
      <c r="AP434" s="42" t="n"/>
      <c r="AQ434" s="42" t="n"/>
      <c r="AR434" s="38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5" t="n"/>
      <c r="Z435" s="157">
        <f>IF(OR(Y435="",X435=""),"",IFERROR(Y435*INDEX(FXRates[USD per unit],MATCH(X435,FXRates[Currency],0)),"No rate"))</f>
        <v/>
      </c>
      <c r="AA435" s="32" t="n"/>
      <c r="AB435" s="32" t="n"/>
      <c r="AC435" s="36">
        <f>IF(A435="","",IF(COUNTIF($A$6:$A$504,A435)&gt;1,"⚠ Duplicate",""))</f>
        <v/>
      </c>
      <c r="AD435" s="43" t="n"/>
      <c r="AE435" s="43" t="n"/>
      <c r="AF435" s="43" t="n"/>
      <c r="AG435" s="43" t="n"/>
      <c r="AH435" s="43" t="n"/>
      <c r="AI435" s="43" t="n"/>
      <c r="AJ435" s="43" t="n"/>
      <c r="AK435" s="43" t="n"/>
      <c r="AL435" s="43" t="n"/>
      <c r="AM435" s="43" t="n"/>
      <c r="AN435" s="43" t="n"/>
      <c r="AO435" s="43" t="n"/>
      <c r="AP435" s="43" t="n"/>
      <c r="AQ435" s="43" t="n"/>
      <c r="AR435" s="32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40" t="n"/>
      <c r="Z436" s="158">
        <f>IF(OR(Y436="",X436=""),"",IFERROR(Y436*INDEX(FXRates[USD per unit],MATCH(X436,FXRates[Currency],0)),"No rate"))</f>
        <v/>
      </c>
      <c r="AA436" s="38" t="n"/>
      <c r="AB436" s="38" t="n"/>
      <c r="AC436" s="41">
        <f>IF(A436="","",IF(COUNTIF($A$6:$A$504,A436)&gt;1,"⚠ Duplicate",""))</f>
        <v/>
      </c>
      <c r="AD436" s="42" t="n"/>
      <c r="AE436" s="42" t="n"/>
      <c r="AF436" s="42" t="n"/>
      <c r="AG436" s="42" t="n"/>
      <c r="AH436" s="42" t="n"/>
      <c r="AI436" s="42" t="n"/>
      <c r="AJ436" s="42" t="n"/>
      <c r="AK436" s="42" t="n"/>
      <c r="AL436" s="42" t="n"/>
      <c r="AM436" s="42" t="n"/>
      <c r="AN436" s="42" t="n"/>
      <c r="AO436" s="42" t="n"/>
      <c r="AP436" s="42" t="n"/>
      <c r="AQ436" s="42" t="n"/>
      <c r="AR436" s="38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5" t="n"/>
      <c r="Z437" s="157">
        <f>IF(OR(Y437="",X437=""),"",IFERROR(Y437*INDEX(FXRates[USD per unit],MATCH(X437,FXRates[Currency],0)),"No rate"))</f>
        <v/>
      </c>
      <c r="AA437" s="32" t="n"/>
      <c r="AB437" s="32" t="n"/>
      <c r="AC437" s="36">
        <f>IF(A437="","",IF(COUNTIF($A$6:$A$504,A437)&gt;1,"⚠ Duplicate",""))</f>
        <v/>
      </c>
      <c r="AD437" s="43" t="n"/>
      <c r="AE437" s="43" t="n"/>
      <c r="AF437" s="43" t="n"/>
      <c r="AG437" s="43" t="n"/>
      <c r="AH437" s="43" t="n"/>
      <c r="AI437" s="43" t="n"/>
      <c r="AJ437" s="43" t="n"/>
      <c r="AK437" s="43" t="n"/>
      <c r="AL437" s="43" t="n"/>
      <c r="AM437" s="43" t="n"/>
      <c r="AN437" s="43" t="n"/>
      <c r="AO437" s="43" t="n"/>
      <c r="AP437" s="43" t="n"/>
      <c r="AQ437" s="43" t="n"/>
      <c r="AR437" s="32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40" t="n"/>
      <c r="Z438" s="158">
        <f>IF(OR(Y438="",X438=""),"",IFERROR(Y438*INDEX(FXRates[USD per unit],MATCH(X438,FXRates[Currency],0)),"No rate"))</f>
        <v/>
      </c>
      <c r="AA438" s="38" t="n"/>
      <c r="AB438" s="38" t="n"/>
      <c r="AC438" s="41">
        <f>IF(A438="","",IF(COUNTIF($A$6:$A$504,A438)&gt;1,"⚠ Duplicate",""))</f>
        <v/>
      </c>
      <c r="AD438" s="42" t="n"/>
      <c r="AE438" s="42" t="n"/>
      <c r="AF438" s="42" t="n"/>
      <c r="AG438" s="42" t="n"/>
      <c r="AH438" s="42" t="n"/>
      <c r="AI438" s="42" t="n"/>
      <c r="AJ438" s="42" t="n"/>
      <c r="AK438" s="42" t="n"/>
      <c r="AL438" s="42" t="n"/>
      <c r="AM438" s="42" t="n"/>
      <c r="AN438" s="42" t="n"/>
      <c r="AO438" s="42" t="n"/>
      <c r="AP438" s="42" t="n"/>
      <c r="AQ438" s="42" t="n"/>
      <c r="AR438" s="38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5" t="n"/>
      <c r="Z439" s="157">
        <f>IF(OR(Y439="",X439=""),"",IFERROR(Y439*INDEX(FXRates[USD per unit],MATCH(X439,FXRates[Currency],0)),"No rate"))</f>
        <v/>
      </c>
      <c r="AA439" s="32" t="n"/>
      <c r="AB439" s="32" t="n"/>
      <c r="AC439" s="36">
        <f>IF(A439="","",IF(COUNTIF($A$6:$A$504,A439)&gt;1,"⚠ Duplicate",""))</f>
        <v/>
      </c>
      <c r="AD439" s="43" t="n"/>
      <c r="AE439" s="43" t="n"/>
      <c r="AF439" s="43" t="n"/>
      <c r="AG439" s="43" t="n"/>
      <c r="AH439" s="43" t="n"/>
      <c r="AI439" s="43" t="n"/>
      <c r="AJ439" s="43" t="n"/>
      <c r="AK439" s="43" t="n"/>
      <c r="AL439" s="43" t="n"/>
      <c r="AM439" s="43" t="n"/>
      <c r="AN439" s="43" t="n"/>
      <c r="AO439" s="43" t="n"/>
      <c r="AP439" s="43" t="n"/>
      <c r="AQ439" s="43" t="n"/>
      <c r="AR439" s="32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40" t="n"/>
      <c r="Z440" s="158">
        <f>IF(OR(Y440="",X440=""),"",IFERROR(Y440*INDEX(FXRates[USD per unit],MATCH(X440,FXRates[Currency],0)),"No rate"))</f>
        <v/>
      </c>
      <c r="AA440" s="38" t="n"/>
      <c r="AB440" s="38" t="n"/>
      <c r="AC440" s="41">
        <f>IF(A440="","",IF(COUNTIF($A$6:$A$504,A440)&gt;1,"⚠ Duplicate",""))</f>
        <v/>
      </c>
      <c r="AD440" s="42" t="n"/>
      <c r="AE440" s="42" t="n"/>
      <c r="AF440" s="42" t="n"/>
      <c r="AG440" s="42" t="n"/>
      <c r="AH440" s="42" t="n"/>
      <c r="AI440" s="42" t="n"/>
      <c r="AJ440" s="42" t="n"/>
      <c r="AK440" s="42" t="n"/>
      <c r="AL440" s="42" t="n"/>
      <c r="AM440" s="42" t="n"/>
      <c r="AN440" s="42" t="n"/>
      <c r="AO440" s="42" t="n"/>
      <c r="AP440" s="42" t="n"/>
      <c r="AQ440" s="42" t="n"/>
      <c r="AR440" s="38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5" t="n"/>
      <c r="Z441" s="157">
        <f>IF(OR(Y441="",X441=""),"",IFERROR(Y441*INDEX(FXRates[USD per unit],MATCH(X441,FXRates[Currency],0)),"No rate"))</f>
        <v/>
      </c>
      <c r="AA441" s="32" t="n"/>
      <c r="AB441" s="32" t="n"/>
      <c r="AC441" s="36">
        <f>IF(A441="","",IF(COUNTIF($A$6:$A$504,A441)&gt;1,"⚠ Duplicate",""))</f>
        <v/>
      </c>
      <c r="AD441" s="43" t="n"/>
      <c r="AE441" s="43" t="n"/>
      <c r="AF441" s="43" t="n"/>
      <c r="AG441" s="43" t="n"/>
      <c r="AH441" s="43" t="n"/>
      <c r="AI441" s="43" t="n"/>
      <c r="AJ441" s="43" t="n"/>
      <c r="AK441" s="43" t="n"/>
      <c r="AL441" s="43" t="n"/>
      <c r="AM441" s="43" t="n"/>
      <c r="AN441" s="43" t="n"/>
      <c r="AO441" s="43" t="n"/>
      <c r="AP441" s="43" t="n"/>
      <c r="AQ441" s="43" t="n"/>
      <c r="AR441" s="32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40" t="n"/>
      <c r="Z442" s="158">
        <f>IF(OR(Y442="",X442=""),"",IFERROR(Y442*INDEX(FXRates[USD per unit],MATCH(X442,FXRates[Currency],0)),"No rate"))</f>
        <v/>
      </c>
      <c r="AA442" s="38" t="n"/>
      <c r="AB442" s="38" t="n"/>
      <c r="AC442" s="41">
        <f>IF(A442="","",IF(COUNTIF($A$6:$A$504,A442)&gt;1,"⚠ Duplicate",""))</f>
        <v/>
      </c>
      <c r="AD442" s="42" t="n"/>
      <c r="AE442" s="42" t="n"/>
      <c r="AF442" s="42" t="n"/>
      <c r="AG442" s="42" t="n"/>
      <c r="AH442" s="42" t="n"/>
      <c r="AI442" s="42" t="n"/>
      <c r="AJ442" s="42" t="n"/>
      <c r="AK442" s="42" t="n"/>
      <c r="AL442" s="42" t="n"/>
      <c r="AM442" s="42" t="n"/>
      <c r="AN442" s="42" t="n"/>
      <c r="AO442" s="42" t="n"/>
      <c r="AP442" s="42" t="n"/>
      <c r="AQ442" s="42" t="n"/>
      <c r="AR442" s="38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5" t="n"/>
      <c r="Z443" s="157">
        <f>IF(OR(Y443="",X443=""),"",IFERROR(Y443*INDEX(FXRates[USD per unit],MATCH(X443,FXRates[Currency],0)),"No rate"))</f>
        <v/>
      </c>
      <c r="AA443" s="32" t="n"/>
      <c r="AB443" s="32" t="n"/>
      <c r="AC443" s="36">
        <f>IF(A443="","",IF(COUNTIF($A$6:$A$504,A443)&gt;1,"⚠ Duplicate",""))</f>
        <v/>
      </c>
      <c r="AD443" s="43" t="n"/>
      <c r="AE443" s="43" t="n"/>
      <c r="AF443" s="43" t="n"/>
      <c r="AG443" s="43" t="n"/>
      <c r="AH443" s="43" t="n"/>
      <c r="AI443" s="43" t="n"/>
      <c r="AJ443" s="43" t="n"/>
      <c r="AK443" s="43" t="n"/>
      <c r="AL443" s="43" t="n"/>
      <c r="AM443" s="43" t="n"/>
      <c r="AN443" s="43" t="n"/>
      <c r="AO443" s="43" t="n"/>
      <c r="AP443" s="43" t="n"/>
      <c r="AQ443" s="43" t="n"/>
      <c r="AR443" s="32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40" t="n"/>
      <c r="Z444" s="158">
        <f>IF(OR(Y444="",X444=""),"",IFERROR(Y444*INDEX(FXRates[USD per unit],MATCH(X444,FXRates[Currency],0)),"No rate"))</f>
        <v/>
      </c>
      <c r="AA444" s="38" t="n"/>
      <c r="AB444" s="38" t="n"/>
      <c r="AC444" s="41">
        <f>IF(A444="","",IF(COUNTIF($A$6:$A$504,A444)&gt;1,"⚠ Duplicate",""))</f>
        <v/>
      </c>
      <c r="AD444" s="42" t="n"/>
      <c r="AE444" s="42" t="n"/>
      <c r="AF444" s="42" t="n"/>
      <c r="AG444" s="42" t="n"/>
      <c r="AH444" s="42" t="n"/>
      <c r="AI444" s="42" t="n"/>
      <c r="AJ444" s="42" t="n"/>
      <c r="AK444" s="42" t="n"/>
      <c r="AL444" s="42" t="n"/>
      <c r="AM444" s="42" t="n"/>
      <c r="AN444" s="42" t="n"/>
      <c r="AO444" s="42" t="n"/>
      <c r="AP444" s="42" t="n"/>
      <c r="AQ444" s="42" t="n"/>
      <c r="AR444" s="38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5" t="n"/>
      <c r="Z445" s="157">
        <f>IF(OR(Y445="",X445=""),"",IFERROR(Y445*INDEX(FXRates[USD per unit],MATCH(X445,FXRates[Currency],0)),"No rate"))</f>
        <v/>
      </c>
      <c r="AA445" s="32" t="n"/>
      <c r="AB445" s="32" t="n"/>
      <c r="AC445" s="36">
        <f>IF(A445="","",IF(COUNTIF($A$6:$A$504,A445)&gt;1,"⚠ Duplicate",""))</f>
        <v/>
      </c>
      <c r="AD445" s="43" t="n"/>
      <c r="AE445" s="43" t="n"/>
      <c r="AF445" s="43" t="n"/>
      <c r="AG445" s="43" t="n"/>
      <c r="AH445" s="43" t="n"/>
      <c r="AI445" s="43" t="n"/>
      <c r="AJ445" s="43" t="n"/>
      <c r="AK445" s="43" t="n"/>
      <c r="AL445" s="43" t="n"/>
      <c r="AM445" s="43" t="n"/>
      <c r="AN445" s="43" t="n"/>
      <c r="AO445" s="43" t="n"/>
      <c r="AP445" s="43" t="n"/>
      <c r="AQ445" s="43" t="n"/>
      <c r="AR445" s="32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40" t="n"/>
      <c r="Z446" s="158">
        <f>IF(OR(Y446="",X446=""),"",IFERROR(Y446*INDEX(FXRates[USD per unit],MATCH(X446,FXRates[Currency],0)),"No rate"))</f>
        <v/>
      </c>
      <c r="AA446" s="38" t="n"/>
      <c r="AB446" s="38" t="n"/>
      <c r="AC446" s="41">
        <f>IF(A446="","",IF(COUNTIF($A$6:$A$504,A446)&gt;1,"⚠ Duplicate",""))</f>
        <v/>
      </c>
      <c r="AD446" s="42" t="n"/>
      <c r="AE446" s="42" t="n"/>
      <c r="AF446" s="42" t="n"/>
      <c r="AG446" s="42" t="n"/>
      <c r="AH446" s="42" t="n"/>
      <c r="AI446" s="42" t="n"/>
      <c r="AJ446" s="42" t="n"/>
      <c r="AK446" s="42" t="n"/>
      <c r="AL446" s="42" t="n"/>
      <c r="AM446" s="42" t="n"/>
      <c r="AN446" s="42" t="n"/>
      <c r="AO446" s="42" t="n"/>
      <c r="AP446" s="42" t="n"/>
      <c r="AQ446" s="42" t="n"/>
      <c r="AR446" s="38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5" t="n"/>
      <c r="Z447" s="157">
        <f>IF(OR(Y447="",X447=""),"",IFERROR(Y447*INDEX(FXRates[USD per unit],MATCH(X447,FXRates[Currency],0)),"No rate"))</f>
        <v/>
      </c>
      <c r="AA447" s="32" t="n"/>
      <c r="AB447" s="32" t="n"/>
      <c r="AC447" s="36">
        <f>IF(A447="","",IF(COUNTIF($A$6:$A$504,A447)&gt;1,"⚠ Duplicate",""))</f>
        <v/>
      </c>
      <c r="AD447" s="43" t="n"/>
      <c r="AE447" s="43" t="n"/>
      <c r="AF447" s="43" t="n"/>
      <c r="AG447" s="43" t="n"/>
      <c r="AH447" s="43" t="n"/>
      <c r="AI447" s="43" t="n"/>
      <c r="AJ447" s="43" t="n"/>
      <c r="AK447" s="43" t="n"/>
      <c r="AL447" s="43" t="n"/>
      <c r="AM447" s="43" t="n"/>
      <c r="AN447" s="43" t="n"/>
      <c r="AO447" s="43" t="n"/>
      <c r="AP447" s="43" t="n"/>
      <c r="AQ447" s="43" t="n"/>
      <c r="AR447" s="32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40" t="n"/>
      <c r="Z448" s="158">
        <f>IF(OR(Y448="",X448=""),"",IFERROR(Y448*INDEX(FXRates[USD per unit],MATCH(X448,FXRates[Currency],0)),"No rate"))</f>
        <v/>
      </c>
      <c r="AA448" s="38" t="n"/>
      <c r="AB448" s="38" t="n"/>
      <c r="AC448" s="41">
        <f>IF(A448="","",IF(COUNTIF($A$6:$A$504,A448)&gt;1,"⚠ Duplicate",""))</f>
        <v/>
      </c>
      <c r="AD448" s="42" t="n"/>
      <c r="AE448" s="42" t="n"/>
      <c r="AF448" s="42" t="n"/>
      <c r="AG448" s="42" t="n"/>
      <c r="AH448" s="42" t="n"/>
      <c r="AI448" s="42" t="n"/>
      <c r="AJ448" s="42" t="n"/>
      <c r="AK448" s="42" t="n"/>
      <c r="AL448" s="42" t="n"/>
      <c r="AM448" s="42" t="n"/>
      <c r="AN448" s="42" t="n"/>
      <c r="AO448" s="42" t="n"/>
      <c r="AP448" s="42" t="n"/>
      <c r="AQ448" s="42" t="n"/>
      <c r="AR448" s="38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5" t="n"/>
      <c r="Z449" s="157">
        <f>IF(OR(Y449="",X449=""),"",IFERROR(Y449*INDEX(FXRates[USD per unit],MATCH(X449,FXRates[Currency],0)),"No rate"))</f>
        <v/>
      </c>
      <c r="AA449" s="32" t="n"/>
      <c r="AB449" s="32" t="n"/>
      <c r="AC449" s="36">
        <f>IF(A449="","",IF(COUNTIF($A$6:$A$504,A449)&gt;1,"⚠ Duplicate",""))</f>
        <v/>
      </c>
      <c r="AD449" s="43" t="n"/>
      <c r="AE449" s="43" t="n"/>
      <c r="AF449" s="43" t="n"/>
      <c r="AG449" s="43" t="n"/>
      <c r="AH449" s="43" t="n"/>
      <c r="AI449" s="43" t="n"/>
      <c r="AJ449" s="43" t="n"/>
      <c r="AK449" s="43" t="n"/>
      <c r="AL449" s="43" t="n"/>
      <c r="AM449" s="43" t="n"/>
      <c r="AN449" s="43" t="n"/>
      <c r="AO449" s="43" t="n"/>
      <c r="AP449" s="43" t="n"/>
      <c r="AQ449" s="43" t="n"/>
      <c r="AR449" s="32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40" t="n"/>
      <c r="Z450" s="158">
        <f>IF(OR(Y450="",X450=""),"",IFERROR(Y450*INDEX(FXRates[USD per unit],MATCH(X450,FXRates[Currency],0)),"No rate"))</f>
        <v/>
      </c>
      <c r="AA450" s="38" t="n"/>
      <c r="AB450" s="38" t="n"/>
      <c r="AC450" s="41">
        <f>IF(A450="","",IF(COUNTIF($A$6:$A$504,A450)&gt;1,"⚠ Duplicate",""))</f>
        <v/>
      </c>
      <c r="AD450" s="42" t="n"/>
      <c r="AE450" s="42" t="n"/>
      <c r="AF450" s="42" t="n"/>
      <c r="AG450" s="42" t="n"/>
      <c r="AH450" s="42" t="n"/>
      <c r="AI450" s="42" t="n"/>
      <c r="AJ450" s="42" t="n"/>
      <c r="AK450" s="42" t="n"/>
      <c r="AL450" s="42" t="n"/>
      <c r="AM450" s="42" t="n"/>
      <c r="AN450" s="42" t="n"/>
      <c r="AO450" s="42" t="n"/>
      <c r="AP450" s="42" t="n"/>
      <c r="AQ450" s="42" t="n"/>
      <c r="AR450" s="38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5" t="n"/>
      <c r="Z451" s="157">
        <f>IF(OR(Y451="",X451=""),"",IFERROR(Y451*INDEX(FXRates[USD per unit],MATCH(X451,FXRates[Currency],0)),"No rate"))</f>
        <v/>
      </c>
      <c r="AA451" s="32" t="n"/>
      <c r="AB451" s="32" t="n"/>
      <c r="AC451" s="36">
        <f>IF(A451="","",IF(COUNTIF($A$6:$A$504,A451)&gt;1,"⚠ Duplicate",""))</f>
        <v/>
      </c>
      <c r="AD451" s="43" t="n"/>
      <c r="AE451" s="43" t="n"/>
      <c r="AF451" s="43" t="n"/>
      <c r="AG451" s="43" t="n"/>
      <c r="AH451" s="43" t="n"/>
      <c r="AI451" s="43" t="n"/>
      <c r="AJ451" s="43" t="n"/>
      <c r="AK451" s="43" t="n"/>
      <c r="AL451" s="43" t="n"/>
      <c r="AM451" s="43" t="n"/>
      <c r="AN451" s="43" t="n"/>
      <c r="AO451" s="43" t="n"/>
      <c r="AP451" s="43" t="n"/>
      <c r="AQ451" s="43" t="n"/>
      <c r="AR451" s="32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40" t="n"/>
      <c r="Z452" s="158">
        <f>IF(OR(Y452="",X452=""),"",IFERROR(Y452*INDEX(FXRates[USD per unit],MATCH(X452,FXRates[Currency],0)),"No rate"))</f>
        <v/>
      </c>
      <c r="AA452" s="38" t="n"/>
      <c r="AB452" s="38" t="n"/>
      <c r="AC452" s="41">
        <f>IF(A452="","",IF(COUNTIF($A$6:$A$504,A452)&gt;1,"⚠ Duplicate",""))</f>
        <v/>
      </c>
      <c r="AD452" s="42" t="n"/>
      <c r="AE452" s="42" t="n"/>
      <c r="AF452" s="42" t="n"/>
      <c r="AG452" s="42" t="n"/>
      <c r="AH452" s="42" t="n"/>
      <c r="AI452" s="42" t="n"/>
      <c r="AJ452" s="42" t="n"/>
      <c r="AK452" s="42" t="n"/>
      <c r="AL452" s="42" t="n"/>
      <c r="AM452" s="42" t="n"/>
      <c r="AN452" s="42" t="n"/>
      <c r="AO452" s="42" t="n"/>
      <c r="AP452" s="42" t="n"/>
      <c r="AQ452" s="42" t="n"/>
      <c r="AR452" s="38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5" t="n"/>
      <c r="Z453" s="157">
        <f>IF(OR(Y453="",X453=""),"",IFERROR(Y453*INDEX(FXRates[USD per unit],MATCH(X453,FXRates[Currency],0)),"No rate"))</f>
        <v/>
      </c>
      <c r="AA453" s="32" t="n"/>
      <c r="AB453" s="32" t="n"/>
      <c r="AC453" s="36">
        <f>IF(A453="","",IF(COUNTIF($A$6:$A$504,A453)&gt;1,"⚠ Duplicate",""))</f>
        <v/>
      </c>
      <c r="AD453" s="43" t="n"/>
      <c r="AE453" s="43" t="n"/>
      <c r="AF453" s="43" t="n"/>
      <c r="AG453" s="43" t="n"/>
      <c r="AH453" s="43" t="n"/>
      <c r="AI453" s="43" t="n"/>
      <c r="AJ453" s="43" t="n"/>
      <c r="AK453" s="43" t="n"/>
      <c r="AL453" s="43" t="n"/>
      <c r="AM453" s="43" t="n"/>
      <c r="AN453" s="43" t="n"/>
      <c r="AO453" s="43" t="n"/>
      <c r="AP453" s="43" t="n"/>
      <c r="AQ453" s="43" t="n"/>
      <c r="AR453" s="32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40" t="n"/>
      <c r="Z454" s="158">
        <f>IF(OR(Y454="",X454=""),"",IFERROR(Y454*INDEX(FXRates[USD per unit],MATCH(X454,FXRates[Currency],0)),"No rate"))</f>
        <v/>
      </c>
      <c r="AA454" s="38" t="n"/>
      <c r="AB454" s="38" t="n"/>
      <c r="AC454" s="41">
        <f>IF(A454="","",IF(COUNTIF($A$6:$A$504,A454)&gt;1,"⚠ Duplicate",""))</f>
        <v/>
      </c>
      <c r="AD454" s="42" t="n"/>
      <c r="AE454" s="42" t="n"/>
      <c r="AF454" s="42" t="n"/>
      <c r="AG454" s="42" t="n"/>
      <c r="AH454" s="42" t="n"/>
      <c r="AI454" s="42" t="n"/>
      <c r="AJ454" s="42" t="n"/>
      <c r="AK454" s="42" t="n"/>
      <c r="AL454" s="42" t="n"/>
      <c r="AM454" s="42" t="n"/>
      <c r="AN454" s="42" t="n"/>
      <c r="AO454" s="42" t="n"/>
      <c r="AP454" s="42" t="n"/>
      <c r="AQ454" s="42" t="n"/>
      <c r="AR454" s="38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5" t="n"/>
      <c r="Z455" s="157">
        <f>IF(OR(Y455="",X455=""),"",IFERROR(Y455*INDEX(FXRates[USD per unit],MATCH(X455,FXRates[Currency],0)),"No rate"))</f>
        <v/>
      </c>
      <c r="AA455" s="32" t="n"/>
      <c r="AB455" s="32" t="n"/>
      <c r="AC455" s="36">
        <f>IF(A455="","",IF(COUNTIF($A$6:$A$504,A455)&gt;1,"⚠ Duplicate",""))</f>
        <v/>
      </c>
      <c r="AD455" s="43" t="n"/>
      <c r="AE455" s="43" t="n"/>
      <c r="AF455" s="43" t="n"/>
      <c r="AG455" s="43" t="n"/>
      <c r="AH455" s="43" t="n"/>
      <c r="AI455" s="43" t="n"/>
      <c r="AJ455" s="43" t="n"/>
      <c r="AK455" s="43" t="n"/>
      <c r="AL455" s="43" t="n"/>
      <c r="AM455" s="43" t="n"/>
      <c r="AN455" s="43" t="n"/>
      <c r="AO455" s="43" t="n"/>
      <c r="AP455" s="43" t="n"/>
      <c r="AQ455" s="43" t="n"/>
      <c r="AR455" s="32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40" t="n"/>
      <c r="Z456" s="158">
        <f>IF(OR(Y456="",X456=""),"",IFERROR(Y456*INDEX(FXRates[USD per unit],MATCH(X456,FXRates[Currency],0)),"No rate"))</f>
        <v/>
      </c>
      <c r="AA456" s="38" t="n"/>
      <c r="AB456" s="38" t="n"/>
      <c r="AC456" s="41">
        <f>IF(A456="","",IF(COUNTIF($A$6:$A$504,A456)&gt;1,"⚠ Duplicate",""))</f>
        <v/>
      </c>
      <c r="AD456" s="42" t="n"/>
      <c r="AE456" s="42" t="n"/>
      <c r="AF456" s="42" t="n"/>
      <c r="AG456" s="42" t="n"/>
      <c r="AH456" s="42" t="n"/>
      <c r="AI456" s="42" t="n"/>
      <c r="AJ456" s="42" t="n"/>
      <c r="AK456" s="42" t="n"/>
      <c r="AL456" s="42" t="n"/>
      <c r="AM456" s="42" t="n"/>
      <c r="AN456" s="42" t="n"/>
      <c r="AO456" s="42" t="n"/>
      <c r="AP456" s="42" t="n"/>
      <c r="AQ456" s="42" t="n"/>
      <c r="AR456" s="38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5" t="n"/>
      <c r="Z457" s="157">
        <f>IF(OR(Y457="",X457=""),"",IFERROR(Y457*INDEX(FXRates[USD per unit],MATCH(X457,FXRates[Currency],0)),"No rate"))</f>
        <v/>
      </c>
      <c r="AA457" s="32" t="n"/>
      <c r="AB457" s="32" t="n"/>
      <c r="AC457" s="36">
        <f>IF(A457="","",IF(COUNTIF($A$6:$A$504,A457)&gt;1,"⚠ Duplicate",""))</f>
        <v/>
      </c>
      <c r="AD457" s="43" t="n"/>
      <c r="AE457" s="43" t="n"/>
      <c r="AF457" s="43" t="n"/>
      <c r="AG457" s="43" t="n"/>
      <c r="AH457" s="43" t="n"/>
      <c r="AI457" s="43" t="n"/>
      <c r="AJ457" s="43" t="n"/>
      <c r="AK457" s="43" t="n"/>
      <c r="AL457" s="43" t="n"/>
      <c r="AM457" s="43" t="n"/>
      <c r="AN457" s="43" t="n"/>
      <c r="AO457" s="43" t="n"/>
      <c r="AP457" s="43" t="n"/>
      <c r="AQ457" s="43" t="n"/>
      <c r="AR457" s="32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40" t="n"/>
      <c r="Z458" s="158">
        <f>IF(OR(Y458="",X458=""),"",IFERROR(Y458*INDEX(FXRates[USD per unit],MATCH(X458,FXRates[Currency],0)),"No rate"))</f>
        <v/>
      </c>
      <c r="AA458" s="38" t="n"/>
      <c r="AB458" s="38" t="n"/>
      <c r="AC458" s="41">
        <f>IF(A458="","",IF(COUNTIF($A$6:$A$504,A458)&gt;1,"⚠ Duplicate",""))</f>
        <v/>
      </c>
      <c r="AD458" s="42" t="n"/>
      <c r="AE458" s="42" t="n"/>
      <c r="AF458" s="42" t="n"/>
      <c r="AG458" s="42" t="n"/>
      <c r="AH458" s="42" t="n"/>
      <c r="AI458" s="42" t="n"/>
      <c r="AJ458" s="42" t="n"/>
      <c r="AK458" s="42" t="n"/>
      <c r="AL458" s="42" t="n"/>
      <c r="AM458" s="42" t="n"/>
      <c r="AN458" s="42" t="n"/>
      <c r="AO458" s="42" t="n"/>
      <c r="AP458" s="42" t="n"/>
      <c r="AQ458" s="42" t="n"/>
      <c r="AR458" s="38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5" t="n"/>
      <c r="Z459" s="157">
        <f>IF(OR(Y459="",X459=""),"",IFERROR(Y459*INDEX(FXRates[USD per unit],MATCH(X459,FXRates[Currency],0)),"No rate"))</f>
        <v/>
      </c>
      <c r="AA459" s="32" t="n"/>
      <c r="AB459" s="32" t="n"/>
      <c r="AC459" s="36">
        <f>IF(A459="","",IF(COUNTIF($A$6:$A$504,A459)&gt;1,"⚠ Duplicate",""))</f>
        <v/>
      </c>
      <c r="AD459" s="43" t="n"/>
      <c r="AE459" s="43" t="n"/>
      <c r="AF459" s="43" t="n"/>
      <c r="AG459" s="43" t="n"/>
      <c r="AH459" s="43" t="n"/>
      <c r="AI459" s="43" t="n"/>
      <c r="AJ459" s="43" t="n"/>
      <c r="AK459" s="43" t="n"/>
      <c r="AL459" s="43" t="n"/>
      <c r="AM459" s="43" t="n"/>
      <c r="AN459" s="43" t="n"/>
      <c r="AO459" s="43" t="n"/>
      <c r="AP459" s="43" t="n"/>
      <c r="AQ459" s="43" t="n"/>
      <c r="AR459" s="32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40" t="n"/>
      <c r="Z460" s="158">
        <f>IF(OR(Y460="",X460=""),"",IFERROR(Y460*INDEX(FXRates[USD per unit],MATCH(X460,FXRates[Currency],0)),"No rate"))</f>
        <v/>
      </c>
      <c r="AA460" s="38" t="n"/>
      <c r="AB460" s="38" t="n"/>
      <c r="AC460" s="41">
        <f>IF(A460="","",IF(COUNTIF($A$6:$A$504,A460)&gt;1,"⚠ Duplicate",""))</f>
        <v/>
      </c>
      <c r="AD460" s="42" t="n"/>
      <c r="AE460" s="42" t="n"/>
      <c r="AF460" s="42" t="n"/>
      <c r="AG460" s="42" t="n"/>
      <c r="AH460" s="42" t="n"/>
      <c r="AI460" s="42" t="n"/>
      <c r="AJ460" s="42" t="n"/>
      <c r="AK460" s="42" t="n"/>
      <c r="AL460" s="42" t="n"/>
      <c r="AM460" s="42" t="n"/>
      <c r="AN460" s="42" t="n"/>
      <c r="AO460" s="42" t="n"/>
      <c r="AP460" s="42" t="n"/>
      <c r="AQ460" s="42" t="n"/>
      <c r="AR460" s="38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5" t="n"/>
      <c r="Z461" s="157">
        <f>IF(OR(Y461="",X461=""),"",IFERROR(Y461*INDEX(FXRates[USD per unit],MATCH(X461,FXRates[Currency],0)),"No rate"))</f>
        <v/>
      </c>
      <c r="AA461" s="32" t="n"/>
      <c r="AB461" s="32" t="n"/>
      <c r="AC461" s="36">
        <f>IF(A461="","",IF(COUNTIF($A$6:$A$504,A461)&gt;1,"⚠ Duplicate",""))</f>
        <v/>
      </c>
      <c r="AD461" s="43" t="n"/>
      <c r="AE461" s="43" t="n"/>
      <c r="AF461" s="43" t="n"/>
      <c r="AG461" s="43" t="n"/>
      <c r="AH461" s="43" t="n"/>
      <c r="AI461" s="43" t="n"/>
      <c r="AJ461" s="43" t="n"/>
      <c r="AK461" s="43" t="n"/>
      <c r="AL461" s="43" t="n"/>
      <c r="AM461" s="43" t="n"/>
      <c r="AN461" s="43" t="n"/>
      <c r="AO461" s="43" t="n"/>
      <c r="AP461" s="43" t="n"/>
      <c r="AQ461" s="43" t="n"/>
      <c r="AR461" s="32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40" t="n"/>
      <c r="Z462" s="158">
        <f>IF(OR(Y462="",X462=""),"",IFERROR(Y462*INDEX(FXRates[USD per unit],MATCH(X462,FXRates[Currency],0)),"No rate"))</f>
        <v/>
      </c>
      <c r="AA462" s="38" t="n"/>
      <c r="AB462" s="38" t="n"/>
      <c r="AC462" s="41">
        <f>IF(A462="","",IF(COUNTIF($A$6:$A$504,A462)&gt;1,"⚠ Duplicate",""))</f>
        <v/>
      </c>
      <c r="AD462" s="42" t="n"/>
      <c r="AE462" s="42" t="n"/>
      <c r="AF462" s="42" t="n"/>
      <c r="AG462" s="42" t="n"/>
      <c r="AH462" s="42" t="n"/>
      <c r="AI462" s="42" t="n"/>
      <c r="AJ462" s="42" t="n"/>
      <c r="AK462" s="42" t="n"/>
      <c r="AL462" s="42" t="n"/>
      <c r="AM462" s="42" t="n"/>
      <c r="AN462" s="42" t="n"/>
      <c r="AO462" s="42" t="n"/>
      <c r="AP462" s="42" t="n"/>
      <c r="AQ462" s="42" t="n"/>
      <c r="AR462" s="38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5" t="n"/>
      <c r="Z463" s="157">
        <f>IF(OR(Y463="",X463=""),"",IFERROR(Y463*INDEX(FXRates[USD per unit],MATCH(X463,FXRates[Currency],0)),"No rate"))</f>
        <v/>
      </c>
      <c r="AA463" s="32" t="n"/>
      <c r="AB463" s="32" t="n"/>
      <c r="AC463" s="36">
        <f>IF(A463="","",IF(COUNTIF($A$6:$A$504,A463)&gt;1,"⚠ Duplicate",""))</f>
        <v/>
      </c>
      <c r="AD463" s="43" t="n"/>
      <c r="AE463" s="43" t="n"/>
      <c r="AF463" s="43" t="n"/>
      <c r="AG463" s="43" t="n"/>
      <c r="AH463" s="43" t="n"/>
      <c r="AI463" s="43" t="n"/>
      <c r="AJ463" s="43" t="n"/>
      <c r="AK463" s="43" t="n"/>
      <c r="AL463" s="43" t="n"/>
      <c r="AM463" s="43" t="n"/>
      <c r="AN463" s="43" t="n"/>
      <c r="AO463" s="43" t="n"/>
      <c r="AP463" s="43" t="n"/>
      <c r="AQ463" s="43" t="n"/>
      <c r="AR463" s="32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40" t="n"/>
      <c r="Z464" s="158">
        <f>IF(OR(Y464="",X464=""),"",IFERROR(Y464*INDEX(FXRates[USD per unit],MATCH(X464,FXRates[Currency],0)),"No rate"))</f>
        <v/>
      </c>
      <c r="AA464" s="38" t="n"/>
      <c r="AB464" s="38" t="n"/>
      <c r="AC464" s="41">
        <f>IF(A464="","",IF(COUNTIF($A$6:$A$504,A464)&gt;1,"⚠ Duplicate",""))</f>
        <v/>
      </c>
      <c r="AD464" s="42" t="n"/>
      <c r="AE464" s="42" t="n"/>
      <c r="AF464" s="42" t="n"/>
      <c r="AG464" s="42" t="n"/>
      <c r="AH464" s="42" t="n"/>
      <c r="AI464" s="42" t="n"/>
      <c r="AJ464" s="42" t="n"/>
      <c r="AK464" s="42" t="n"/>
      <c r="AL464" s="42" t="n"/>
      <c r="AM464" s="42" t="n"/>
      <c r="AN464" s="42" t="n"/>
      <c r="AO464" s="42" t="n"/>
      <c r="AP464" s="42" t="n"/>
      <c r="AQ464" s="42" t="n"/>
      <c r="AR464" s="38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5" t="n"/>
      <c r="Z465" s="157">
        <f>IF(OR(Y465="",X465=""),"",IFERROR(Y465*INDEX(FXRates[USD per unit],MATCH(X465,FXRates[Currency],0)),"No rate"))</f>
        <v/>
      </c>
      <c r="AA465" s="32" t="n"/>
      <c r="AB465" s="32" t="n"/>
      <c r="AC465" s="36">
        <f>IF(A465="","",IF(COUNTIF($A$6:$A$504,A465)&gt;1,"⚠ Duplicate",""))</f>
        <v/>
      </c>
      <c r="AD465" s="43" t="n"/>
      <c r="AE465" s="43" t="n"/>
      <c r="AF465" s="43" t="n"/>
      <c r="AG465" s="43" t="n"/>
      <c r="AH465" s="43" t="n"/>
      <c r="AI465" s="43" t="n"/>
      <c r="AJ465" s="43" t="n"/>
      <c r="AK465" s="43" t="n"/>
      <c r="AL465" s="43" t="n"/>
      <c r="AM465" s="43" t="n"/>
      <c r="AN465" s="43" t="n"/>
      <c r="AO465" s="43" t="n"/>
      <c r="AP465" s="43" t="n"/>
      <c r="AQ465" s="43" t="n"/>
      <c r="AR465" s="32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40" t="n"/>
      <c r="Z466" s="158">
        <f>IF(OR(Y466="",X466=""),"",IFERROR(Y466*INDEX(FXRates[USD per unit],MATCH(X466,FXRates[Currency],0)),"No rate"))</f>
        <v/>
      </c>
      <c r="AA466" s="38" t="n"/>
      <c r="AB466" s="38" t="n"/>
      <c r="AC466" s="41">
        <f>IF(A466="","",IF(COUNTIF($A$6:$A$504,A466)&gt;1,"⚠ Duplicate",""))</f>
        <v/>
      </c>
      <c r="AD466" s="42" t="n"/>
      <c r="AE466" s="42" t="n"/>
      <c r="AF466" s="42" t="n"/>
      <c r="AG466" s="42" t="n"/>
      <c r="AH466" s="42" t="n"/>
      <c r="AI466" s="42" t="n"/>
      <c r="AJ466" s="42" t="n"/>
      <c r="AK466" s="42" t="n"/>
      <c r="AL466" s="42" t="n"/>
      <c r="AM466" s="42" t="n"/>
      <c r="AN466" s="42" t="n"/>
      <c r="AO466" s="42" t="n"/>
      <c r="AP466" s="42" t="n"/>
      <c r="AQ466" s="42" t="n"/>
      <c r="AR466" s="38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5" t="n"/>
      <c r="Z467" s="157">
        <f>IF(OR(Y467="",X467=""),"",IFERROR(Y467*INDEX(FXRates[USD per unit],MATCH(X467,FXRates[Currency],0)),"No rate"))</f>
        <v/>
      </c>
      <c r="AA467" s="32" t="n"/>
      <c r="AB467" s="32" t="n"/>
      <c r="AC467" s="36">
        <f>IF(A467="","",IF(COUNTIF($A$6:$A$504,A467)&gt;1,"⚠ Duplicate",""))</f>
        <v/>
      </c>
      <c r="AD467" s="43" t="n"/>
      <c r="AE467" s="43" t="n"/>
      <c r="AF467" s="43" t="n"/>
      <c r="AG467" s="43" t="n"/>
      <c r="AH467" s="43" t="n"/>
      <c r="AI467" s="43" t="n"/>
      <c r="AJ467" s="43" t="n"/>
      <c r="AK467" s="43" t="n"/>
      <c r="AL467" s="43" t="n"/>
      <c r="AM467" s="43" t="n"/>
      <c r="AN467" s="43" t="n"/>
      <c r="AO467" s="43" t="n"/>
      <c r="AP467" s="43" t="n"/>
      <c r="AQ467" s="43" t="n"/>
      <c r="AR467" s="32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40" t="n"/>
      <c r="Z468" s="158">
        <f>IF(OR(Y468="",X468=""),"",IFERROR(Y468*INDEX(FXRates[USD per unit],MATCH(X468,FXRates[Currency],0)),"No rate"))</f>
        <v/>
      </c>
      <c r="AA468" s="38" t="n"/>
      <c r="AB468" s="38" t="n"/>
      <c r="AC468" s="41">
        <f>IF(A468="","",IF(COUNTIF($A$6:$A$504,A468)&gt;1,"⚠ Duplicate",""))</f>
        <v/>
      </c>
      <c r="AD468" s="42" t="n"/>
      <c r="AE468" s="42" t="n"/>
      <c r="AF468" s="42" t="n"/>
      <c r="AG468" s="42" t="n"/>
      <c r="AH468" s="42" t="n"/>
      <c r="AI468" s="42" t="n"/>
      <c r="AJ468" s="42" t="n"/>
      <c r="AK468" s="42" t="n"/>
      <c r="AL468" s="42" t="n"/>
      <c r="AM468" s="42" t="n"/>
      <c r="AN468" s="42" t="n"/>
      <c r="AO468" s="42" t="n"/>
      <c r="AP468" s="42" t="n"/>
      <c r="AQ468" s="42" t="n"/>
      <c r="AR468" s="38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5" t="n"/>
      <c r="Z469" s="157">
        <f>IF(OR(Y469="",X469=""),"",IFERROR(Y469*INDEX(FXRates[USD per unit],MATCH(X469,FXRates[Currency],0)),"No rate"))</f>
        <v/>
      </c>
      <c r="AA469" s="32" t="n"/>
      <c r="AB469" s="32" t="n"/>
      <c r="AC469" s="36">
        <f>IF(A469="","",IF(COUNTIF($A$6:$A$504,A469)&gt;1,"⚠ Duplicate",""))</f>
        <v/>
      </c>
      <c r="AD469" s="43" t="n"/>
      <c r="AE469" s="43" t="n"/>
      <c r="AF469" s="43" t="n"/>
      <c r="AG469" s="43" t="n"/>
      <c r="AH469" s="43" t="n"/>
      <c r="AI469" s="43" t="n"/>
      <c r="AJ469" s="43" t="n"/>
      <c r="AK469" s="43" t="n"/>
      <c r="AL469" s="43" t="n"/>
      <c r="AM469" s="43" t="n"/>
      <c r="AN469" s="43" t="n"/>
      <c r="AO469" s="43" t="n"/>
      <c r="AP469" s="43" t="n"/>
      <c r="AQ469" s="43" t="n"/>
      <c r="AR469" s="32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40" t="n"/>
      <c r="Z470" s="158">
        <f>IF(OR(Y470="",X470=""),"",IFERROR(Y470*INDEX(FXRates[USD per unit],MATCH(X470,FXRates[Currency],0)),"No rate"))</f>
        <v/>
      </c>
      <c r="AA470" s="38" t="n"/>
      <c r="AB470" s="38" t="n"/>
      <c r="AC470" s="41">
        <f>IF(A470="","",IF(COUNTIF($A$6:$A$504,A470)&gt;1,"⚠ Duplicate",""))</f>
        <v/>
      </c>
      <c r="AD470" s="42" t="n"/>
      <c r="AE470" s="42" t="n"/>
      <c r="AF470" s="42" t="n"/>
      <c r="AG470" s="42" t="n"/>
      <c r="AH470" s="42" t="n"/>
      <c r="AI470" s="42" t="n"/>
      <c r="AJ470" s="42" t="n"/>
      <c r="AK470" s="42" t="n"/>
      <c r="AL470" s="42" t="n"/>
      <c r="AM470" s="42" t="n"/>
      <c r="AN470" s="42" t="n"/>
      <c r="AO470" s="42" t="n"/>
      <c r="AP470" s="42" t="n"/>
      <c r="AQ470" s="42" t="n"/>
      <c r="AR470" s="38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5" t="n"/>
      <c r="Z471" s="157">
        <f>IF(OR(Y471="",X471=""),"",IFERROR(Y471*INDEX(FXRates[USD per unit],MATCH(X471,FXRates[Currency],0)),"No rate"))</f>
        <v/>
      </c>
      <c r="AA471" s="32" t="n"/>
      <c r="AB471" s="32" t="n"/>
      <c r="AC471" s="36">
        <f>IF(A471="","",IF(COUNTIF($A$6:$A$504,A471)&gt;1,"⚠ Duplicate",""))</f>
        <v/>
      </c>
      <c r="AD471" s="43" t="n"/>
      <c r="AE471" s="43" t="n"/>
      <c r="AF471" s="43" t="n"/>
      <c r="AG471" s="43" t="n"/>
      <c r="AH471" s="43" t="n"/>
      <c r="AI471" s="43" t="n"/>
      <c r="AJ471" s="43" t="n"/>
      <c r="AK471" s="43" t="n"/>
      <c r="AL471" s="43" t="n"/>
      <c r="AM471" s="43" t="n"/>
      <c r="AN471" s="43" t="n"/>
      <c r="AO471" s="43" t="n"/>
      <c r="AP471" s="43" t="n"/>
      <c r="AQ471" s="43" t="n"/>
      <c r="AR471" s="32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40" t="n"/>
      <c r="Z472" s="158">
        <f>IF(OR(Y472="",X472=""),"",IFERROR(Y472*INDEX(FXRates[USD per unit],MATCH(X472,FXRates[Currency],0)),"No rate"))</f>
        <v/>
      </c>
      <c r="AA472" s="38" t="n"/>
      <c r="AB472" s="38" t="n"/>
      <c r="AC472" s="41">
        <f>IF(A472="","",IF(COUNTIF($A$6:$A$504,A472)&gt;1,"⚠ Duplicate",""))</f>
        <v/>
      </c>
      <c r="AD472" s="42" t="n"/>
      <c r="AE472" s="42" t="n"/>
      <c r="AF472" s="42" t="n"/>
      <c r="AG472" s="42" t="n"/>
      <c r="AH472" s="42" t="n"/>
      <c r="AI472" s="42" t="n"/>
      <c r="AJ472" s="42" t="n"/>
      <c r="AK472" s="42" t="n"/>
      <c r="AL472" s="42" t="n"/>
      <c r="AM472" s="42" t="n"/>
      <c r="AN472" s="42" t="n"/>
      <c r="AO472" s="42" t="n"/>
      <c r="AP472" s="42" t="n"/>
      <c r="AQ472" s="42" t="n"/>
      <c r="AR472" s="38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5" t="n"/>
      <c r="Z473" s="157">
        <f>IF(OR(Y473="",X473=""),"",IFERROR(Y473*INDEX(FXRates[USD per unit],MATCH(X473,FXRates[Currency],0)),"No rate"))</f>
        <v/>
      </c>
      <c r="AA473" s="32" t="n"/>
      <c r="AB473" s="32" t="n"/>
      <c r="AC473" s="36">
        <f>IF(A473="","",IF(COUNTIF($A$6:$A$504,A473)&gt;1,"⚠ Duplicate",""))</f>
        <v/>
      </c>
      <c r="AD473" s="43" t="n"/>
      <c r="AE473" s="43" t="n"/>
      <c r="AF473" s="43" t="n"/>
      <c r="AG473" s="43" t="n"/>
      <c r="AH473" s="43" t="n"/>
      <c r="AI473" s="43" t="n"/>
      <c r="AJ473" s="43" t="n"/>
      <c r="AK473" s="43" t="n"/>
      <c r="AL473" s="43" t="n"/>
      <c r="AM473" s="43" t="n"/>
      <c r="AN473" s="43" t="n"/>
      <c r="AO473" s="43" t="n"/>
      <c r="AP473" s="43" t="n"/>
      <c r="AQ473" s="43" t="n"/>
      <c r="AR473" s="32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40" t="n"/>
      <c r="Z474" s="158">
        <f>IF(OR(Y474="",X474=""),"",IFERROR(Y474*INDEX(FXRates[USD per unit],MATCH(X474,FXRates[Currency],0)),"No rate"))</f>
        <v/>
      </c>
      <c r="AA474" s="38" t="n"/>
      <c r="AB474" s="38" t="n"/>
      <c r="AC474" s="41">
        <f>IF(A474="","",IF(COUNTIF($A$6:$A$504,A474)&gt;1,"⚠ Duplicate",""))</f>
        <v/>
      </c>
      <c r="AD474" s="42" t="n"/>
      <c r="AE474" s="42" t="n"/>
      <c r="AF474" s="42" t="n"/>
      <c r="AG474" s="42" t="n"/>
      <c r="AH474" s="42" t="n"/>
      <c r="AI474" s="42" t="n"/>
      <c r="AJ474" s="42" t="n"/>
      <c r="AK474" s="42" t="n"/>
      <c r="AL474" s="42" t="n"/>
      <c r="AM474" s="42" t="n"/>
      <c r="AN474" s="42" t="n"/>
      <c r="AO474" s="42" t="n"/>
      <c r="AP474" s="42" t="n"/>
      <c r="AQ474" s="42" t="n"/>
      <c r="AR474" s="38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5" t="n"/>
      <c r="Z475" s="157">
        <f>IF(OR(Y475="",X475=""),"",IFERROR(Y475*INDEX(FXRates[USD per unit],MATCH(X475,FXRates[Currency],0)),"No rate"))</f>
        <v/>
      </c>
      <c r="AA475" s="32" t="n"/>
      <c r="AB475" s="32" t="n"/>
      <c r="AC475" s="36">
        <f>IF(A475="","",IF(COUNTIF($A$6:$A$504,A475)&gt;1,"⚠ Duplicate",""))</f>
        <v/>
      </c>
      <c r="AD475" s="43" t="n"/>
      <c r="AE475" s="43" t="n"/>
      <c r="AF475" s="43" t="n"/>
      <c r="AG475" s="43" t="n"/>
      <c r="AH475" s="43" t="n"/>
      <c r="AI475" s="43" t="n"/>
      <c r="AJ475" s="43" t="n"/>
      <c r="AK475" s="43" t="n"/>
      <c r="AL475" s="43" t="n"/>
      <c r="AM475" s="43" t="n"/>
      <c r="AN475" s="43" t="n"/>
      <c r="AO475" s="43" t="n"/>
      <c r="AP475" s="43" t="n"/>
      <c r="AQ475" s="43" t="n"/>
      <c r="AR475" s="32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40" t="n"/>
      <c r="Z476" s="158">
        <f>IF(OR(Y476="",X476=""),"",IFERROR(Y476*INDEX(FXRates[USD per unit],MATCH(X476,FXRates[Currency],0)),"No rate"))</f>
        <v/>
      </c>
      <c r="AA476" s="38" t="n"/>
      <c r="AB476" s="38" t="n"/>
      <c r="AC476" s="41">
        <f>IF(A476="","",IF(COUNTIF($A$6:$A$504,A476)&gt;1,"⚠ Duplicate",""))</f>
        <v/>
      </c>
      <c r="AD476" s="42" t="n"/>
      <c r="AE476" s="42" t="n"/>
      <c r="AF476" s="42" t="n"/>
      <c r="AG476" s="42" t="n"/>
      <c r="AH476" s="42" t="n"/>
      <c r="AI476" s="42" t="n"/>
      <c r="AJ476" s="42" t="n"/>
      <c r="AK476" s="42" t="n"/>
      <c r="AL476" s="42" t="n"/>
      <c r="AM476" s="42" t="n"/>
      <c r="AN476" s="42" t="n"/>
      <c r="AO476" s="42" t="n"/>
      <c r="AP476" s="42" t="n"/>
      <c r="AQ476" s="42" t="n"/>
      <c r="AR476" s="38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5" t="n"/>
      <c r="Z477" s="157">
        <f>IF(OR(Y477="",X477=""),"",IFERROR(Y477*INDEX(FXRates[USD per unit],MATCH(X477,FXRates[Currency],0)),"No rate"))</f>
        <v/>
      </c>
      <c r="AA477" s="32" t="n"/>
      <c r="AB477" s="32" t="n"/>
      <c r="AC477" s="36">
        <f>IF(A477="","",IF(COUNTIF($A$6:$A$504,A477)&gt;1,"⚠ Duplicate",""))</f>
        <v/>
      </c>
      <c r="AD477" s="43" t="n"/>
      <c r="AE477" s="43" t="n"/>
      <c r="AF477" s="43" t="n"/>
      <c r="AG477" s="43" t="n"/>
      <c r="AH477" s="43" t="n"/>
      <c r="AI477" s="43" t="n"/>
      <c r="AJ477" s="43" t="n"/>
      <c r="AK477" s="43" t="n"/>
      <c r="AL477" s="43" t="n"/>
      <c r="AM477" s="43" t="n"/>
      <c r="AN477" s="43" t="n"/>
      <c r="AO477" s="43" t="n"/>
      <c r="AP477" s="43" t="n"/>
      <c r="AQ477" s="43" t="n"/>
      <c r="AR477" s="32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40" t="n"/>
      <c r="Z478" s="158">
        <f>IF(OR(Y478="",X478=""),"",IFERROR(Y478*INDEX(FXRates[USD per unit],MATCH(X478,FXRates[Currency],0)),"No rate"))</f>
        <v/>
      </c>
      <c r="AA478" s="38" t="n"/>
      <c r="AB478" s="38" t="n"/>
      <c r="AC478" s="41">
        <f>IF(A478="","",IF(COUNTIF($A$6:$A$504,A478)&gt;1,"⚠ Duplicate",""))</f>
        <v/>
      </c>
      <c r="AD478" s="42" t="n"/>
      <c r="AE478" s="42" t="n"/>
      <c r="AF478" s="42" t="n"/>
      <c r="AG478" s="42" t="n"/>
      <c r="AH478" s="42" t="n"/>
      <c r="AI478" s="42" t="n"/>
      <c r="AJ478" s="42" t="n"/>
      <c r="AK478" s="42" t="n"/>
      <c r="AL478" s="42" t="n"/>
      <c r="AM478" s="42" t="n"/>
      <c r="AN478" s="42" t="n"/>
      <c r="AO478" s="42" t="n"/>
      <c r="AP478" s="42" t="n"/>
      <c r="AQ478" s="42" t="n"/>
      <c r="AR478" s="38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5" t="n"/>
      <c r="Z479" s="157">
        <f>IF(OR(Y479="",X479=""),"",IFERROR(Y479*INDEX(FXRates[USD per unit],MATCH(X479,FXRates[Currency],0)),"No rate"))</f>
        <v/>
      </c>
      <c r="AA479" s="32" t="n"/>
      <c r="AB479" s="32" t="n"/>
      <c r="AC479" s="36">
        <f>IF(A479="","",IF(COUNTIF($A$6:$A$504,A479)&gt;1,"⚠ Duplicate",""))</f>
        <v/>
      </c>
      <c r="AD479" s="43" t="n"/>
      <c r="AE479" s="43" t="n"/>
      <c r="AF479" s="43" t="n"/>
      <c r="AG479" s="43" t="n"/>
      <c r="AH479" s="43" t="n"/>
      <c r="AI479" s="43" t="n"/>
      <c r="AJ479" s="43" t="n"/>
      <c r="AK479" s="43" t="n"/>
      <c r="AL479" s="43" t="n"/>
      <c r="AM479" s="43" t="n"/>
      <c r="AN479" s="43" t="n"/>
      <c r="AO479" s="43" t="n"/>
      <c r="AP479" s="43" t="n"/>
      <c r="AQ479" s="43" t="n"/>
      <c r="AR479" s="32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40" t="n"/>
      <c r="Z480" s="158">
        <f>IF(OR(Y480="",X480=""),"",IFERROR(Y480*INDEX(FXRates[USD per unit],MATCH(X480,FXRates[Currency],0)),"No rate"))</f>
        <v/>
      </c>
      <c r="AA480" s="38" t="n"/>
      <c r="AB480" s="38" t="n"/>
      <c r="AC480" s="41">
        <f>IF(A480="","",IF(COUNTIF($A$6:$A$504,A480)&gt;1,"⚠ Duplicate",""))</f>
        <v/>
      </c>
      <c r="AD480" s="42" t="n"/>
      <c r="AE480" s="42" t="n"/>
      <c r="AF480" s="42" t="n"/>
      <c r="AG480" s="42" t="n"/>
      <c r="AH480" s="42" t="n"/>
      <c r="AI480" s="42" t="n"/>
      <c r="AJ480" s="42" t="n"/>
      <c r="AK480" s="42" t="n"/>
      <c r="AL480" s="42" t="n"/>
      <c r="AM480" s="42" t="n"/>
      <c r="AN480" s="42" t="n"/>
      <c r="AO480" s="42" t="n"/>
      <c r="AP480" s="42" t="n"/>
      <c r="AQ480" s="42" t="n"/>
      <c r="AR480" s="38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5" t="n"/>
      <c r="Z481" s="157">
        <f>IF(OR(Y481="",X481=""),"",IFERROR(Y481*INDEX(FXRates[USD per unit],MATCH(X481,FXRates[Currency],0)),"No rate"))</f>
        <v/>
      </c>
      <c r="AA481" s="32" t="n"/>
      <c r="AB481" s="32" t="n"/>
      <c r="AC481" s="36">
        <f>IF(A481="","",IF(COUNTIF($A$6:$A$504,A481)&gt;1,"⚠ Duplicate",""))</f>
        <v/>
      </c>
      <c r="AD481" s="43" t="n"/>
      <c r="AE481" s="43" t="n"/>
      <c r="AF481" s="43" t="n"/>
      <c r="AG481" s="43" t="n"/>
      <c r="AH481" s="43" t="n"/>
      <c r="AI481" s="43" t="n"/>
      <c r="AJ481" s="43" t="n"/>
      <c r="AK481" s="43" t="n"/>
      <c r="AL481" s="43" t="n"/>
      <c r="AM481" s="43" t="n"/>
      <c r="AN481" s="43" t="n"/>
      <c r="AO481" s="43" t="n"/>
      <c r="AP481" s="43" t="n"/>
      <c r="AQ481" s="43" t="n"/>
      <c r="AR481" s="32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40" t="n"/>
      <c r="Z482" s="158">
        <f>IF(OR(Y482="",X482=""),"",IFERROR(Y482*INDEX(FXRates[USD per unit],MATCH(X482,FXRates[Currency],0)),"No rate"))</f>
        <v/>
      </c>
      <c r="AA482" s="38" t="n"/>
      <c r="AB482" s="38" t="n"/>
      <c r="AC482" s="41">
        <f>IF(A482="","",IF(COUNTIF($A$6:$A$504,A482)&gt;1,"⚠ Duplicate",""))</f>
        <v/>
      </c>
      <c r="AD482" s="42" t="n"/>
      <c r="AE482" s="42" t="n"/>
      <c r="AF482" s="42" t="n"/>
      <c r="AG482" s="42" t="n"/>
      <c r="AH482" s="42" t="n"/>
      <c r="AI482" s="42" t="n"/>
      <c r="AJ482" s="42" t="n"/>
      <c r="AK482" s="42" t="n"/>
      <c r="AL482" s="42" t="n"/>
      <c r="AM482" s="42" t="n"/>
      <c r="AN482" s="42" t="n"/>
      <c r="AO482" s="42" t="n"/>
      <c r="AP482" s="42" t="n"/>
      <c r="AQ482" s="42" t="n"/>
      <c r="AR482" s="38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5" t="n"/>
      <c r="Z483" s="157">
        <f>IF(OR(Y483="",X483=""),"",IFERROR(Y483*INDEX(FXRates[USD per unit],MATCH(X483,FXRates[Currency],0)),"No rate"))</f>
        <v/>
      </c>
      <c r="AA483" s="32" t="n"/>
      <c r="AB483" s="32" t="n"/>
      <c r="AC483" s="36">
        <f>IF(A483="","",IF(COUNTIF($A$6:$A$504,A483)&gt;1,"⚠ Duplicate",""))</f>
        <v/>
      </c>
      <c r="AD483" s="43" t="n"/>
      <c r="AE483" s="43" t="n"/>
      <c r="AF483" s="43" t="n"/>
      <c r="AG483" s="43" t="n"/>
      <c r="AH483" s="43" t="n"/>
      <c r="AI483" s="43" t="n"/>
      <c r="AJ483" s="43" t="n"/>
      <c r="AK483" s="43" t="n"/>
      <c r="AL483" s="43" t="n"/>
      <c r="AM483" s="43" t="n"/>
      <c r="AN483" s="43" t="n"/>
      <c r="AO483" s="43" t="n"/>
      <c r="AP483" s="43" t="n"/>
      <c r="AQ483" s="43" t="n"/>
      <c r="AR483" s="32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40" t="n"/>
      <c r="Z484" s="158">
        <f>IF(OR(Y484="",X484=""),"",IFERROR(Y484*INDEX(FXRates[USD per unit],MATCH(X484,FXRates[Currency],0)),"No rate"))</f>
        <v/>
      </c>
      <c r="AA484" s="38" t="n"/>
      <c r="AB484" s="38" t="n"/>
      <c r="AC484" s="41">
        <f>IF(A484="","",IF(COUNTIF($A$6:$A$504,A484)&gt;1,"⚠ Duplicate",""))</f>
        <v/>
      </c>
      <c r="AD484" s="42" t="n"/>
      <c r="AE484" s="42" t="n"/>
      <c r="AF484" s="42" t="n"/>
      <c r="AG484" s="42" t="n"/>
      <c r="AH484" s="42" t="n"/>
      <c r="AI484" s="42" t="n"/>
      <c r="AJ484" s="42" t="n"/>
      <c r="AK484" s="42" t="n"/>
      <c r="AL484" s="42" t="n"/>
      <c r="AM484" s="42" t="n"/>
      <c r="AN484" s="42" t="n"/>
      <c r="AO484" s="42" t="n"/>
      <c r="AP484" s="42" t="n"/>
      <c r="AQ484" s="42" t="n"/>
      <c r="AR484" s="38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5" t="n"/>
      <c r="Z485" s="157">
        <f>IF(OR(Y485="",X485=""),"",IFERROR(Y485*INDEX(FXRates[USD per unit],MATCH(X485,FXRates[Currency],0)),"No rate"))</f>
        <v/>
      </c>
      <c r="AA485" s="32" t="n"/>
      <c r="AB485" s="32" t="n"/>
      <c r="AC485" s="36">
        <f>IF(A485="","",IF(COUNTIF($A$6:$A$504,A485)&gt;1,"⚠ Duplicate",""))</f>
        <v/>
      </c>
      <c r="AD485" s="43" t="n"/>
      <c r="AE485" s="43" t="n"/>
      <c r="AF485" s="43" t="n"/>
      <c r="AG485" s="43" t="n"/>
      <c r="AH485" s="43" t="n"/>
      <c r="AI485" s="43" t="n"/>
      <c r="AJ485" s="43" t="n"/>
      <c r="AK485" s="43" t="n"/>
      <c r="AL485" s="43" t="n"/>
      <c r="AM485" s="43" t="n"/>
      <c r="AN485" s="43" t="n"/>
      <c r="AO485" s="43" t="n"/>
      <c r="AP485" s="43" t="n"/>
      <c r="AQ485" s="43" t="n"/>
      <c r="AR485" s="32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40" t="n"/>
      <c r="Z486" s="158">
        <f>IF(OR(Y486="",X486=""),"",IFERROR(Y486*INDEX(FXRates[USD per unit],MATCH(X486,FXRates[Currency],0)),"No rate"))</f>
        <v/>
      </c>
      <c r="AA486" s="38" t="n"/>
      <c r="AB486" s="38" t="n"/>
      <c r="AC486" s="41">
        <f>IF(A486="","",IF(COUNTIF($A$6:$A$504,A486)&gt;1,"⚠ Duplicate",""))</f>
        <v/>
      </c>
      <c r="AD486" s="42" t="n"/>
      <c r="AE486" s="42" t="n"/>
      <c r="AF486" s="42" t="n"/>
      <c r="AG486" s="42" t="n"/>
      <c r="AH486" s="42" t="n"/>
      <c r="AI486" s="42" t="n"/>
      <c r="AJ486" s="42" t="n"/>
      <c r="AK486" s="42" t="n"/>
      <c r="AL486" s="42" t="n"/>
      <c r="AM486" s="42" t="n"/>
      <c r="AN486" s="42" t="n"/>
      <c r="AO486" s="42" t="n"/>
      <c r="AP486" s="42" t="n"/>
      <c r="AQ486" s="42" t="n"/>
      <c r="AR486" s="38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5" t="n"/>
      <c r="Z487" s="157">
        <f>IF(OR(Y487="",X487=""),"",IFERROR(Y487*INDEX(FXRates[USD per unit],MATCH(X487,FXRates[Currency],0)),"No rate"))</f>
        <v/>
      </c>
      <c r="AA487" s="32" t="n"/>
      <c r="AB487" s="32" t="n"/>
      <c r="AC487" s="36">
        <f>IF(A487="","",IF(COUNTIF($A$6:$A$504,A487)&gt;1,"⚠ Duplicate",""))</f>
        <v/>
      </c>
      <c r="AD487" s="43" t="n"/>
      <c r="AE487" s="43" t="n"/>
      <c r="AF487" s="43" t="n"/>
      <c r="AG487" s="43" t="n"/>
      <c r="AH487" s="43" t="n"/>
      <c r="AI487" s="43" t="n"/>
      <c r="AJ487" s="43" t="n"/>
      <c r="AK487" s="43" t="n"/>
      <c r="AL487" s="43" t="n"/>
      <c r="AM487" s="43" t="n"/>
      <c r="AN487" s="43" t="n"/>
      <c r="AO487" s="43" t="n"/>
      <c r="AP487" s="43" t="n"/>
      <c r="AQ487" s="43" t="n"/>
      <c r="AR487" s="32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40" t="n"/>
      <c r="Z488" s="158">
        <f>IF(OR(Y488="",X488=""),"",IFERROR(Y488*INDEX(FXRates[USD per unit],MATCH(X488,FXRates[Currency],0)),"No rate"))</f>
        <v/>
      </c>
      <c r="AA488" s="38" t="n"/>
      <c r="AB488" s="38" t="n"/>
      <c r="AC488" s="41">
        <f>IF(A488="","",IF(COUNTIF($A$6:$A$504,A488)&gt;1,"⚠ Duplicate",""))</f>
        <v/>
      </c>
      <c r="AD488" s="42" t="n"/>
      <c r="AE488" s="42" t="n"/>
      <c r="AF488" s="42" t="n"/>
      <c r="AG488" s="42" t="n"/>
      <c r="AH488" s="42" t="n"/>
      <c r="AI488" s="42" t="n"/>
      <c r="AJ488" s="42" t="n"/>
      <c r="AK488" s="42" t="n"/>
      <c r="AL488" s="42" t="n"/>
      <c r="AM488" s="42" t="n"/>
      <c r="AN488" s="42" t="n"/>
      <c r="AO488" s="42" t="n"/>
      <c r="AP488" s="42" t="n"/>
      <c r="AQ488" s="42" t="n"/>
      <c r="AR488" s="38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5" t="n"/>
      <c r="Z489" s="157">
        <f>IF(OR(Y489="",X489=""),"",IFERROR(Y489*INDEX(FXRates[USD per unit],MATCH(X489,FXRates[Currency],0)),"No rate"))</f>
        <v/>
      </c>
      <c r="AA489" s="32" t="n"/>
      <c r="AB489" s="32" t="n"/>
      <c r="AC489" s="36">
        <f>IF(A489="","",IF(COUNTIF($A$6:$A$504,A489)&gt;1,"⚠ Duplicate",""))</f>
        <v/>
      </c>
      <c r="AD489" s="43" t="n"/>
      <c r="AE489" s="43" t="n"/>
      <c r="AF489" s="43" t="n"/>
      <c r="AG489" s="43" t="n"/>
      <c r="AH489" s="43" t="n"/>
      <c r="AI489" s="43" t="n"/>
      <c r="AJ489" s="43" t="n"/>
      <c r="AK489" s="43" t="n"/>
      <c r="AL489" s="43" t="n"/>
      <c r="AM489" s="43" t="n"/>
      <c r="AN489" s="43" t="n"/>
      <c r="AO489" s="43" t="n"/>
      <c r="AP489" s="43" t="n"/>
      <c r="AQ489" s="43" t="n"/>
      <c r="AR489" s="32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40" t="n"/>
      <c r="Z490" s="158">
        <f>IF(OR(Y490="",X490=""),"",IFERROR(Y490*INDEX(FXRates[USD per unit],MATCH(X490,FXRates[Currency],0)),"No rate"))</f>
        <v/>
      </c>
      <c r="AA490" s="38" t="n"/>
      <c r="AB490" s="38" t="n"/>
      <c r="AC490" s="41">
        <f>IF(A490="","",IF(COUNTIF($A$6:$A$504,A490)&gt;1,"⚠ Duplicate",""))</f>
        <v/>
      </c>
      <c r="AD490" s="42" t="n"/>
      <c r="AE490" s="42" t="n"/>
      <c r="AF490" s="42" t="n"/>
      <c r="AG490" s="42" t="n"/>
      <c r="AH490" s="42" t="n"/>
      <c r="AI490" s="42" t="n"/>
      <c r="AJ490" s="42" t="n"/>
      <c r="AK490" s="42" t="n"/>
      <c r="AL490" s="42" t="n"/>
      <c r="AM490" s="42" t="n"/>
      <c r="AN490" s="42" t="n"/>
      <c r="AO490" s="42" t="n"/>
      <c r="AP490" s="42" t="n"/>
      <c r="AQ490" s="42" t="n"/>
      <c r="AR490" s="38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5" t="n"/>
      <c r="Z491" s="157">
        <f>IF(OR(Y491="",X491=""),"",IFERROR(Y491*INDEX(FXRates[USD per unit],MATCH(X491,FXRates[Currency],0)),"No rate"))</f>
        <v/>
      </c>
      <c r="AA491" s="32" t="n"/>
      <c r="AB491" s="32" t="n"/>
      <c r="AC491" s="36">
        <f>IF(A491="","",IF(COUNTIF($A$6:$A$504,A491)&gt;1,"⚠ Duplicate",""))</f>
        <v/>
      </c>
      <c r="AD491" s="43" t="n"/>
      <c r="AE491" s="43" t="n"/>
      <c r="AF491" s="43" t="n"/>
      <c r="AG491" s="43" t="n"/>
      <c r="AH491" s="43" t="n"/>
      <c r="AI491" s="43" t="n"/>
      <c r="AJ491" s="43" t="n"/>
      <c r="AK491" s="43" t="n"/>
      <c r="AL491" s="43" t="n"/>
      <c r="AM491" s="43" t="n"/>
      <c r="AN491" s="43" t="n"/>
      <c r="AO491" s="43" t="n"/>
      <c r="AP491" s="43" t="n"/>
      <c r="AQ491" s="43" t="n"/>
      <c r="AR491" s="32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40" t="n"/>
      <c r="Z492" s="158">
        <f>IF(OR(Y492="",X492=""),"",IFERROR(Y492*INDEX(FXRates[USD per unit],MATCH(X492,FXRates[Currency],0)),"No rate"))</f>
        <v/>
      </c>
      <c r="AA492" s="38" t="n"/>
      <c r="AB492" s="38" t="n"/>
      <c r="AC492" s="41">
        <f>IF(A492="","",IF(COUNTIF($A$6:$A$504,A492)&gt;1,"⚠ Duplicate",""))</f>
        <v/>
      </c>
      <c r="AD492" s="42" t="n"/>
      <c r="AE492" s="42" t="n"/>
      <c r="AF492" s="42" t="n"/>
      <c r="AG492" s="42" t="n"/>
      <c r="AH492" s="42" t="n"/>
      <c r="AI492" s="42" t="n"/>
      <c r="AJ492" s="42" t="n"/>
      <c r="AK492" s="42" t="n"/>
      <c r="AL492" s="42" t="n"/>
      <c r="AM492" s="42" t="n"/>
      <c r="AN492" s="42" t="n"/>
      <c r="AO492" s="42" t="n"/>
      <c r="AP492" s="42" t="n"/>
      <c r="AQ492" s="42" t="n"/>
      <c r="AR492" s="38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5" t="n"/>
      <c r="Z493" s="157">
        <f>IF(OR(Y493="",X493=""),"",IFERROR(Y493*INDEX(FXRates[USD per unit],MATCH(X493,FXRates[Currency],0)),"No rate"))</f>
        <v/>
      </c>
      <c r="AA493" s="32" t="n"/>
      <c r="AB493" s="32" t="n"/>
      <c r="AC493" s="36">
        <f>IF(A493="","",IF(COUNTIF($A$6:$A$504,A493)&gt;1,"⚠ Duplicate",""))</f>
        <v/>
      </c>
      <c r="AD493" s="43" t="n"/>
      <c r="AE493" s="43" t="n"/>
      <c r="AF493" s="43" t="n"/>
      <c r="AG493" s="43" t="n"/>
      <c r="AH493" s="43" t="n"/>
      <c r="AI493" s="43" t="n"/>
      <c r="AJ493" s="43" t="n"/>
      <c r="AK493" s="43" t="n"/>
      <c r="AL493" s="43" t="n"/>
      <c r="AM493" s="43" t="n"/>
      <c r="AN493" s="43" t="n"/>
      <c r="AO493" s="43" t="n"/>
      <c r="AP493" s="43" t="n"/>
      <c r="AQ493" s="43" t="n"/>
      <c r="AR493" s="32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40" t="n"/>
      <c r="Z494" s="158">
        <f>IF(OR(Y494="",X494=""),"",IFERROR(Y494*INDEX(FXRates[USD per unit],MATCH(X494,FXRates[Currency],0)),"No rate"))</f>
        <v/>
      </c>
      <c r="AA494" s="38" t="n"/>
      <c r="AB494" s="38" t="n"/>
      <c r="AC494" s="41">
        <f>IF(A494="","",IF(COUNTIF($A$6:$A$504,A494)&gt;1,"⚠ Duplicate",""))</f>
        <v/>
      </c>
      <c r="AD494" s="42" t="n"/>
      <c r="AE494" s="42" t="n"/>
      <c r="AF494" s="42" t="n"/>
      <c r="AG494" s="42" t="n"/>
      <c r="AH494" s="42" t="n"/>
      <c r="AI494" s="42" t="n"/>
      <c r="AJ494" s="42" t="n"/>
      <c r="AK494" s="42" t="n"/>
      <c r="AL494" s="42" t="n"/>
      <c r="AM494" s="42" t="n"/>
      <c r="AN494" s="42" t="n"/>
      <c r="AO494" s="42" t="n"/>
      <c r="AP494" s="42" t="n"/>
      <c r="AQ494" s="42" t="n"/>
      <c r="AR494" s="38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5" t="n"/>
      <c r="Z495" s="157">
        <f>IF(OR(Y495="",X495=""),"",IFERROR(Y495*INDEX(FXRates[USD per unit],MATCH(X495,FXRates[Currency],0)),"No rate"))</f>
        <v/>
      </c>
      <c r="AA495" s="32" t="n"/>
      <c r="AB495" s="32" t="n"/>
      <c r="AC495" s="36">
        <f>IF(A495="","",IF(COUNTIF($A$6:$A$504,A495)&gt;1,"⚠ Duplicate",""))</f>
        <v/>
      </c>
      <c r="AD495" s="43" t="n"/>
      <c r="AE495" s="43" t="n"/>
      <c r="AF495" s="43" t="n"/>
      <c r="AG495" s="43" t="n"/>
      <c r="AH495" s="43" t="n"/>
      <c r="AI495" s="43" t="n"/>
      <c r="AJ495" s="43" t="n"/>
      <c r="AK495" s="43" t="n"/>
      <c r="AL495" s="43" t="n"/>
      <c r="AM495" s="43" t="n"/>
      <c r="AN495" s="43" t="n"/>
      <c r="AO495" s="43" t="n"/>
      <c r="AP495" s="43" t="n"/>
      <c r="AQ495" s="43" t="n"/>
      <c r="AR495" s="32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40" t="n"/>
      <c r="Z496" s="158">
        <f>IF(OR(Y496="",X496=""),"",IFERROR(Y496*INDEX(FXRates[USD per unit],MATCH(X496,FXRates[Currency],0)),"No rate"))</f>
        <v/>
      </c>
      <c r="AA496" s="38" t="n"/>
      <c r="AB496" s="38" t="n"/>
      <c r="AC496" s="41">
        <f>IF(A496="","",IF(COUNTIF($A$6:$A$504,A496)&gt;1,"⚠ Duplicate",""))</f>
        <v/>
      </c>
      <c r="AD496" s="42" t="n"/>
      <c r="AE496" s="42" t="n"/>
      <c r="AF496" s="42" t="n"/>
      <c r="AG496" s="42" t="n"/>
      <c r="AH496" s="42" t="n"/>
      <c r="AI496" s="42" t="n"/>
      <c r="AJ496" s="42" t="n"/>
      <c r="AK496" s="42" t="n"/>
      <c r="AL496" s="42" t="n"/>
      <c r="AM496" s="42" t="n"/>
      <c r="AN496" s="42" t="n"/>
      <c r="AO496" s="42" t="n"/>
      <c r="AP496" s="42" t="n"/>
      <c r="AQ496" s="42" t="n"/>
      <c r="AR496" s="38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5" t="n"/>
      <c r="Z497" s="157">
        <f>IF(OR(Y497="",X497=""),"",IFERROR(Y497*INDEX(FXRates[USD per unit],MATCH(X497,FXRates[Currency],0)),"No rate"))</f>
        <v/>
      </c>
      <c r="AA497" s="32" t="n"/>
      <c r="AB497" s="32" t="n"/>
      <c r="AC497" s="36">
        <f>IF(A497="","",IF(COUNTIF($A$6:$A$504,A497)&gt;1,"⚠ Duplicate",""))</f>
        <v/>
      </c>
      <c r="AD497" s="43" t="n"/>
      <c r="AE497" s="43" t="n"/>
      <c r="AF497" s="43" t="n"/>
      <c r="AG497" s="43" t="n"/>
      <c r="AH497" s="43" t="n"/>
      <c r="AI497" s="43" t="n"/>
      <c r="AJ497" s="43" t="n"/>
      <c r="AK497" s="43" t="n"/>
      <c r="AL497" s="43" t="n"/>
      <c r="AM497" s="43" t="n"/>
      <c r="AN497" s="43" t="n"/>
      <c r="AO497" s="43" t="n"/>
      <c r="AP497" s="43" t="n"/>
      <c r="AQ497" s="43" t="n"/>
      <c r="AR497" s="32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40" t="n"/>
      <c r="Z498" s="158">
        <f>IF(OR(Y498="",X498=""),"",IFERROR(Y498*INDEX(FXRates[USD per unit],MATCH(X498,FXRates[Currency],0)),"No rate"))</f>
        <v/>
      </c>
      <c r="AA498" s="38" t="n"/>
      <c r="AB498" s="38" t="n"/>
      <c r="AC498" s="41">
        <f>IF(A498="","",IF(COUNTIF($A$6:$A$504,A498)&gt;1,"⚠ Duplicate",""))</f>
        <v/>
      </c>
      <c r="AD498" s="42" t="n"/>
      <c r="AE498" s="42" t="n"/>
      <c r="AF498" s="42" t="n"/>
      <c r="AG498" s="42" t="n"/>
      <c r="AH498" s="42" t="n"/>
      <c r="AI498" s="42" t="n"/>
      <c r="AJ498" s="42" t="n"/>
      <c r="AK498" s="42" t="n"/>
      <c r="AL498" s="42" t="n"/>
      <c r="AM498" s="42" t="n"/>
      <c r="AN498" s="42" t="n"/>
      <c r="AO498" s="42" t="n"/>
      <c r="AP498" s="42" t="n"/>
      <c r="AQ498" s="42" t="n"/>
      <c r="AR498" s="38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5" t="n"/>
      <c r="Z499" s="157">
        <f>IF(OR(Y499="",X499=""),"",IFERROR(Y499*INDEX(FXRates[USD per unit],MATCH(X499,FXRates[Currency],0)),"No rate"))</f>
        <v/>
      </c>
      <c r="AA499" s="32" t="n"/>
      <c r="AB499" s="32" t="n"/>
      <c r="AC499" s="36">
        <f>IF(A499="","",IF(COUNTIF($A$6:$A$504,A499)&gt;1,"⚠ Duplicate",""))</f>
        <v/>
      </c>
      <c r="AD499" s="43" t="n"/>
      <c r="AE499" s="43" t="n"/>
      <c r="AF499" s="43" t="n"/>
      <c r="AG499" s="43" t="n"/>
      <c r="AH499" s="43" t="n"/>
      <c r="AI499" s="43" t="n"/>
      <c r="AJ499" s="43" t="n"/>
      <c r="AK499" s="43" t="n"/>
      <c r="AL499" s="43" t="n"/>
      <c r="AM499" s="43" t="n"/>
      <c r="AN499" s="43" t="n"/>
      <c r="AO499" s="43" t="n"/>
      <c r="AP499" s="43" t="n"/>
      <c r="AQ499" s="43" t="n"/>
      <c r="AR499" s="32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40" t="n"/>
      <c r="Z500" s="158">
        <f>IF(OR(Y500="",X500=""),"",IFERROR(Y500*INDEX(FXRates[USD per unit],MATCH(X500,FXRates[Currency],0)),"No rate"))</f>
        <v/>
      </c>
      <c r="AA500" s="38" t="n"/>
      <c r="AB500" s="38" t="n"/>
      <c r="AC500" s="41">
        <f>IF(A500="","",IF(COUNTIF($A$6:$A$504,A500)&gt;1,"⚠ Duplicate",""))</f>
        <v/>
      </c>
      <c r="AD500" s="42" t="n"/>
      <c r="AE500" s="42" t="n"/>
      <c r="AF500" s="42" t="n"/>
      <c r="AG500" s="42" t="n"/>
      <c r="AH500" s="42" t="n"/>
      <c r="AI500" s="42" t="n"/>
      <c r="AJ500" s="42" t="n"/>
      <c r="AK500" s="42" t="n"/>
      <c r="AL500" s="42" t="n"/>
      <c r="AM500" s="42" t="n"/>
      <c r="AN500" s="42" t="n"/>
      <c r="AO500" s="42" t="n"/>
      <c r="AP500" s="42" t="n"/>
      <c r="AQ500" s="42" t="n"/>
      <c r="AR500" s="38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5" t="n"/>
      <c r="Z501" s="157">
        <f>IF(OR(Y501="",X501=""),"",IFERROR(Y501*INDEX(FXRates[USD per unit],MATCH(X501,FXRates[Currency],0)),"No rate"))</f>
        <v/>
      </c>
      <c r="AA501" s="32" t="n"/>
      <c r="AB501" s="32" t="n"/>
      <c r="AC501" s="36">
        <f>IF(A501="","",IF(COUNTIF($A$6:$A$504,A501)&gt;1,"⚠ Duplicate",""))</f>
        <v/>
      </c>
      <c r="AD501" s="43" t="n"/>
      <c r="AE501" s="43" t="n"/>
      <c r="AF501" s="43" t="n"/>
      <c r="AG501" s="43" t="n"/>
      <c r="AH501" s="43" t="n"/>
      <c r="AI501" s="43" t="n"/>
      <c r="AJ501" s="43" t="n"/>
      <c r="AK501" s="43" t="n"/>
      <c r="AL501" s="43" t="n"/>
      <c r="AM501" s="43" t="n"/>
      <c r="AN501" s="43" t="n"/>
      <c r="AO501" s="43" t="n"/>
      <c r="AP501" s="43" t="n"/>
      <c r="AQ501" s="43" t="n"/>
      <c r="AR501" s="32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40" t="n"/>
      <c r="Z502" s="158">
        <f>IF(OR(Y502="",X502=""),"",IFERROR(Y502*INDEX(FXRates[USD per unit],MATCH(X502,FXRates[Currency],0)),"No rate"))</f>
        <v/>
      </c>
      <c r="AA502" s="38" t="n"/>
      <c r="AB502" s="38" t="n"/>
      <c r="AC502" s="41">
        <f>IF(A502="","",IF(COUNTIF($A$6:$A$504,A502)&gt;1,"⚠ Duplicate",""))</f>
        <v/>
      </c>
      <c r="AD502" s="42" t="n"/>
      <c r="AE502" s="42" t="n"/>
      <c r="AF502" s="42" t="n"/>
      <c r="AG502" s="42" t="n"/>
      <c r="AH502" s="42" t="n"/>
      <c r="AI502" s="42" t="n"/>
      <c r="AJ502" s="42" t="n"/>
      <c r="AK502" s="42" t="n"/>
      <c r="AL502" s="42" t="n"/>
      <c r="AM502" s="42" t="n"/>
      <c r="AN502" s="42" t="n"/>
      <c r="AO502" s="42" t="n"/>
      <c r="AP502" s="42" t="n"/>
      <c r="AQ502" s="42" t="n"/>
      <c r="AR502" s="38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5" t="n"/>
      <c r="Z503" s="157">
        <f>IF(OR(Y503="",X503=""),"",IFERROR(Y503*INDEX(FXRates[USD per unit],MATCH(X503,FXRates[Currency],0)),"No rate"))</f>
        <v/>
      </c>
      <c r="AA503" s="32" t="n"/>
      <c r="AB503" s="32" t="n"/>
      <c r="AC503" s="36">
        <f>IF(A503="","",IF(COUNTIF($A$6:$A$504,A503)&gt;1,"⚠ Duplicate",""))</f>
        <v/>
      </c>
      <c r="AD503" s="43" t="n"/>
      <c r="AE503" s="43" t="n"/>
      <c r="AF503" s="43" t="n"/>
      <c r="AG503" s="43" t="n"/>
      <c r="AH503" s="43" t="n"/>
      <c r="AI503" s="43" t="n"/>
      <c r="AJ503" s="43" t="n"/>
      <c r="AK503" s="43" t="n"/>
      <c r="AL503" s="43" t="n"/>
      <c r="AM503" s="43" t="n"/>
      <c r="AN503" s="43" t="n"/>
      <c r="AO503" s="43" t="n"/>
      <c r="AP503" s="43" t="n"/>
      <c r="AQ503" s="43" t="n"/>
      <c r="AR503" s="32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40" t="n"/>
      <c r="Z504" s="158">
        <f>IF(OR(Y504="",X504=""),"",IFERROR(Y504*INDEX(FXRates[USD per unit],MATCH(X504,FXRates[Currency],0)),"No rate"))</f>
        <v/>
      </c>
      <c r="AA504" s="38" t="n"/>
      <c r="AB504" s="38" t="n"/>
      <c r="AC504" s="41">
        <f>IF(A504="","",IF(COUNTIF($A$6:$A$504,A504)&gt;1,"⚠ Duplicate",""))</f>
        <v/>
      </c>
      <c r="AD504" s="42" t="n"/>
      <c r="AE504" s="42" t="n"/>
      <c r="AF504" s="42" t="n"/>
      <c r="AG504" s="42" t="n"/>
      <c r="AH504" s="42" t="n"/>
      <c r="AI504" s="42" t="n"/>
      <c r="AJ504" s="42" t="n"/>
      <c r="AK504" s="42" t="n"/>
      <c r="AL504" s="42" t="n"/>
      <c r="AM504" s="42" t="n"/>
      <c r="AN504" s="42" t="n"/>
      <c r="AO504" s="42" t="n"/>
      <c r="AP504" s="42" t="n"/>
      <c r="AQ504" s="42" t="n"/>
      <c r="AR504" s="38" t="n"/>
    </row>
  </sheetData>
  <mergeCells count="14">
    <mergeCell ref="O3:P3"/>
    <mergeCell ref="AB2:AC2"/>
    <mergeCell ref="X3:Z3"/>
    <mergeCell ref="M3:N3"/>
    <mergeCell ref="A3:F3"/>
    <mergeCell ref="Q3:V3"/>
    <mergeCell ref="AD1:AR3"/>
    <mergeCell ref="Q4:T4"/>
    <mergeCell ref="I3:J3"/>
    <mergeCell ref="A2:AA2"/>
    <mergeCell ref="AA3:AC3"/>
    <mergeCell ref="G3:H3"/>
    <mergeCell ref="K3:L3"/>
    <mergeCell ref="U4:V4"/>
  </mergeCells>
  <conditionalFormatting sqref="AR6:AR504">
    <cfRule type="expression" priority="1" dxfId="3">
      <formula>$AR6="Unverified"</formula>
    </cfRule>
    <cfRule type="expression" priority="2" dxfId="4">
      <formula>$AR6="No data"</formula>
    </cfRule>
  </conditionalFormatting>
  <conditionalFormatting sqref="A6:AR504">
    <cfRule type="expression" priority="10" dxfId="2">
      <formula>$F6="Yes"</formula>
    </cfRule>
  </conditionalFormatting>
  <conditionalFormatting sqref="A6:A504">
    <cfRule type="expression" priority="11" dxfId="1">
      <formula>AND(A6&lt;&gt;"",COUNTIF($A$6:$A$504,A6)&gt;1)</formula>
    </cfRule>
  </conditionalFormatting>
  <conditionalFormatting sqref="AD36:AQ3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5:AQ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7:AQ3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8:AQ3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0:AQ3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9">
    <dataValidation sqref="X6:X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W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Y6:Y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D6:AQ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  <dataValidation sqref="AR6:AR504" showDropDown="0" showInputMessage="0" showErrorMessage="1" allowBlank="1" errorTitle="Invalid entry" error="Choose Real, Unverified or No data." promptTitle="Manhour data status" prompt="How far to trust this project’s manhour figures." type="list">
      <formula1>"Real,Unverified,No data"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1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5" customWidth="1" style="74" min="22" max="22"/>
    <col width="1.6640625" customWidth="1" style="74" min="23" max="23"/>
  </cols>
  <sheetData>
    <row r="1" ht="36" customHeight="1" s="74">
      <c r="A1" s="159" t="inlineStr">
        <is>
          <t>DEMATIC  | Project Search &amp; Schedule Estimator</t>
        </is>
      </c>
      <c r="I1" s="160" t="inlineStr">
        <is>
          <t>Version v42  ·  2026-09-25  ·  see Change Log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61" t="inlineStr">
        <is>
          <t>All</t>
        </is>
      </c>
      <c r="M5" s="162" t="n"/>
      <c r="N5" s="162" t="n"/>
      <c r="O5" s="162" t="n"/>
      <c r="P5" s="162" t="n"/>
      <c r="Q5" s="163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61" t="n"/>
      <c r="M6" s="162" t="n"/>
      <c r="N6" s="162" t="n"/>
      <c r="O6" s="162" t="n"/>
      <c r="P6" s="162" t="n"/>
      <c r="Q6" s="163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4" t="n"/>
      <c r="M7" s="162" t="n"/>
      <c r="N7" s="162" t="n"/>
      <c r="O7" s="162" t="n"/>
      <c r="P7" s="162" t="n"/>
      <c r="Q7" s="163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61" t="inlineStr">
        <is>
          <t>All</t>
        </is>
      </c>
      <c r="M8" s="162" t="n"/>
      <c r="N8" s="162" t="n"/>
      <c r="O8" s="162" t="n"/>
      <c r="P8" s="162" t="n"/>
      <c r="Q8" s="163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5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6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7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8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  <c r="V16" s="28" t="inlineStr">
        <is>
          <t>Solution
Type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  <c r="V17" s="61">
        <f>IFERROR(IF(INDEX(_Helper!BZ2:BZ501,MATCH(LARGE(_Helper!BH2:BH501,1),_Helper!BH2:BH501,0))="","(not set)",INDEX(_Helper!BZ2:BZ501,MATCH(LARGE(_Helper!BH2:BH501,1),_Helper!BH2:BH501,0))),"-")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  <c r="V18" s="32">
        <f>IFERROR(IF(INDEX(_Helper!BZ2:BZ501,MATCH(LARGE(_Helper!BH2:BH501,2),_Helper!BH2:BH501,0))="","(not set)",INDEX(_Helper!BZ2:BZ501,MATCH(LARGE(_Helper!BH2:BH501,2),_Helper!BH2:BH501,0))),"-")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  <c r="V19" s="38">
        <f>IFERROR(IF(INDEX(_Helper!BZ2:BZ501,MATCH(LARGE(_Helper!BH2:BH501,3),_Helper!BH2:BH501,0))="","(not set)",INDEX(_Helper!BZ2:BZ501,MATCH(LARGE(_Helper!BH2:BH501,3),_Helper!BH2:BH501,0))),"-")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  <c r="V20" s="32">
        <f>IFERROR(IF(INDEX(_Helper!BZ2:BZ501,MATCH(LARGE(_Helper!BH2:BH501,4),_Helper!BH2:BH501,0))="","(not set)",INDEX(_Helper!BZ2:BZ501,MATCH(LARGE(_Helper!BH2:BH501,4),_Helper!BH2:BH501,0))),"-")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  <c r="V21" s="38">
        <f>IFERROR(IF(INDEX(_Helper!BZ2:BZ501,MATCH(LARGE(_Helper!BH2:BH501,5),_Helper!BH2:BH501,0))="","(not set)",INDEX(_Helper!BZ2:BZ501,MATCH(LARGE(_Helper!BH2:BH501,5),_Helper!BH2:BH501,0))),"-")</f>
        <v/>
      </c>
    </row>
    <row r="22" ht="14.25" customHeight="1" s="74">
      <c r="A22" s="3" t="n"/>
    </row>
    <row r="23" ht="24" customHeight="1" s="74">
      <c r="A23" s="168" t="inlineStr">
        <is>
          <t xml:space="preserve">  📅  ESTIMATED SCHEDULE &amp; MANHOUR COST  —  from closest match</t>
        </is>
      </c>
      <c r="R23" s="3" t="n"/>
      <c r="S23" s="3" t="n"/>
      <c r="T23" s="3" t="n"/>
      <c r="U23" s="3" t="n"/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3" t="n"/>
      <c r="S24" s="3" t="n"/>
      <c r="T24" s="3" t="n"/>
      <c r="U24" s="3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3" t="n"/>
      <c r="S25" s="3" t="n"/>
      <c r="T25" s="3" t="n"/>
      <c r="U25" s="3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IFERROR(INDEX(_Helper!CA2:CA501,MATCH(LARGE(_Helper!BH2:BH501,1),_Helper!BH2:BH501,0)),"-")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3" t="n"/>
      <c r="S26" s="3" t="n"/>
      <c r="T26" s="3" t="n"/>
      <c r="U26" s="3" t="n"/>
    </row>
    <row r="27" ht="21.75" customHeight="1" s="74">
      <c r="A27" s="92" t="inlineStr">
        <is>
          <t>Mechanical Engineering</t>
        </is>
      </c>
      <c r="B27" s="91" t="n"/>
      <c r="C27" s="91" t="n"/>
      <c r="D27" s="91" t="n"/>
      <c r="E27" s="91" t="n"/>
      <c r="F27" s="91" t="n"/>
      <c r="G27" s="91" t="n"/>
      <c r="H27" s="91" t="n"/>
      <c r="I27" s="91" t="n"/>
      <c r="J27" s="91" t="n"/>
      <c r="K27" s="111">
        <f>IFERROR(INDEX(_Helper!M2:M501,MATCH(LARGE(_Helper!BH2:BH501,1),_Helper!BH2:BH501,0)),"-")</f>
        <v/>
      </c>
      <c r="L27" s="94" t="n"/>
      <c r="M27" s="94" t="n"/>
      <c r="N27" s="94" t="n"/>
      <c r="O27" s="107" t="inlineStr">
        <is>
          <t>Solution Type</t>
        </is>
      </c>
      <c r="P27" s="88" t="n"/>
      <c r="Q27" s="88" t="n"/>
      <c r="R27" s="3" t="n"/>
      <c r="S27" s="3" t="n"/>
      <c r="T27" s="3" t="n"/>
      <c r="U27" s="3" t="n"/>
    </row>
    <row r="28" ht="21.75" customHeight="1" s="74">
      <c r="A28" s="92" t="inlineStr">
        <is>
          <t>Controls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IFERROR(INDEX(_Helper!N2:N501,MATCH(LARGE(_Helper!BH2:BH501,1),_Helper!BH2:BH501,0)),"-")</f>
        <v/>
      </c>
      <c r="L28" s="94" t="n"/>
      <c r="M28" s="94" t="n"/>
      <c r="N28" s="94" t="n"/>
      <c r="O28" s="169">
        <f>IFERROR(IF(INDEX(_Helper!A2:A501,MATCH(LARGE(_Helper!BH2:BH501,1),_Helper!BH2:BH501,0))="","-",IF(INDEX(_Helper!BZ2:BZ501,MATCH(LARGE(_Helper!BH2:BH501,1),_Helper!BH2:BH501,0))="","(not set)",INDEX(_Helper!BZ2:BZ501,MATCH(LARGE(_Helper!BH2:BH501,1),_Helper!BH2:BH501,0)))),"-")</f>
        <v/>
      </c>
      <c r="P28" s="94" t="n"/>
      <c r="Q28" s="94" t="n"/>
      <c r="R28" s="3" t="n"/>
      <c r="S28" s="3" t="n"/>
      <c r="T28" s="3" t="n"/>
      <c r="U28" s="3" t="n"/>
    </row>
    <row r="29" ht="21.75" customHeight="1" s="74">
      <c r="A29" s="92" t="inlineStr">
        <is>
          <t>Systems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IFERROR(INDEX(_Helper!O2:O501,MATCH(LARGE(_Helper!BH2:BH501,1),_Helper!BH2:BH501,0)),"-")</f>
        <v/>
      </c>
      <c r="L29" s="94" t="n"/>
      <c r="M29" s="94" t="n"/>
      <c r="N29" s="94" t="n"/>
      <c r="O29" s="3" t="n"/>
      <c r="P29" s="3" t="n"/>
      <c r="Q29" s="3" t="n"/>
      <c r="R29" s="3" t="n"/>
      <c r="S29" s="3" t="n"/>
      <c r="T29" s="3" t="n"/>
      <c r="U29" s="3" t="n"/>
    </row>
    <row r="30" ht="21.75" customHeight="1" s="74">
      <c r="A30" s="92" t="inlineStr">
        <is>
          <t>Software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IFERROR(INDEX(_Helper!P2:P501,MATCH(LARGE(_Helper!BH2:BH501,1),_Helper!BH2:BH501,0)),"-")</f>
        <v/>
      </c>
      <c r="L30" s="94" t="n"/>
      <c r="M30" s="94" t="n"/>
      <c r="N30" s="94" t="n"/>
      <c r="O30" s="3" t="n"/>
      <c r="P30" s="3" t="n"/>
      <c r="Q30" s="3" t="n"/>
      <c r="R30" s="3" t="n"/>
      <c r="S30" s="3" t="n"/>
      <c r="T30" s="3" t="n"/>
      <c r="U30" s="3" t="n"/>
    </row>
    <row r="31" ht="21.75" customHeight="1" s="74">
      <c r="A31" s="92" t="inlineStr">
        <is>
          <t>M&amp;E Installation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IFERROR(INDEX(_Helper!Q2:Q501,MATCH(LARGE(_Helper!BH2:BH501,1),_Helper!BH2:BH501,0)),"-")</f>
        <v/>
      </c>
      <c r="L31" s="94" t="n"/>
      <c r="M31" s="94" t="n"/>
      <c r="N31" s="94" t="n"/>
      <c r="O31" s="3" t="n"/>
      <c r="P31" s="3" t="n"/>
      <c r="Q31" s="3" t="n"/>
      <c r="R31" s="3" t="n"/>
      <c r="S31" s="3" t="n"/>
      <c r="T31" s="3" t="n"/>
      <c r="U31" s="3" t="n"/>
    </row>
    <row r="32" ht="21.75" customHeight="1" s="74">
      <c r="A32" s="92" t="inlineStr">
        <is>
          <t>Commissioning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IFERROR(INDEX(_Helper!R2:R501,MATCH(LARGE(_Helper!BH2:BH501,1),_Helper!BH2:BH501,0)),"-")</f>
        <v/>
      </c>
      <c r="L32" s="94" t="n"/>
      <c r="M32" s="94" t="n"/>
      <c r="N32" s="94" t="n"/>
      <c r="O32" s="3" t="n"/>
      <c r="P32" s="3" t="n"/>
      <c r="Q32" s="3" t="n"/>
      <c r="R32" s="3" t="n"/>
      <c r="S32" s="3" t="n"/>
      <c r="T32" s="3" t="n"/>
      <c r="U32" s="3" t="n"/>
    </row>
    <row r="33" ht="21.75" customHeight="1" s="74">
      <c r="A33" s="116" t="inlineStr">
        <is>
          <t>TOTAL PROJECT TIMELINE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03">
        <f>IFERROR(INDEX(_Helper!S2:S501,MATCH(LARGE(_Helper!BH2:BH501,1),_Helper!BH2:BH501,0)),"-")</f>
        <v/>
      </c>
      <c r="L33" s="94" t="n"/>
      <c r="M33" s="94" t="n"/>
      <c r="N33" s="94" t="n"/>
      <c r="O33" s="3" t="n"/>
      <c r="P33" s="3" t="n"/>
      <c r="Q33" s="3" t="n"/>
      <c r="R33" s="3" t="n"/>
      <c r="S33" s="3" t="n"/>
      <c r="T33" s="3" t="n"/>
      <c r="U33" s="3" t="n"/>
    </row>
    <row r="34" ht="21.75" customHeight="1" s="74" thickBot="1">
      <c r="A34" s="92" t="inlineStr">
        <is>
          <t>Project Value (closest match)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28">
        <f>IFERROR(INDEX(_Helper!T2:T501,MATCH(LARGE(_Helper!BH2:BH501,1),_Helper!BH2:BH501,0))&amp;" "&amp;TEXT(INDEX(_Helper!BY2:BY501,MATCH(LARGE(_Helper!BH2:BH501,1),_Helper!BH2:BH501,0)),"#,##0.00")&amp;" M","-")</f>
        <v/>
      </c>
      <c r="L34" s="94" t="n"/>
      <c r="M34" s="94" t="n"/>
      <c r="N34" s="94" t="n"/>
      <c r="O34" s="170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P34" s="94" t="n"/>
      <c r="Q34" s="94" t="n"/>
      <c r="R34" s="3" t="n"/>
      <c r="S34" s="3" t="n"/>
      <c r="T34" s="3" t="n"/>
      <c r="U34" s="3" t="n"/>
    </row>
    <row r="35" ht="18" customHeight="1" s="74" thickBot="1">
      <c r="A35" s="107" t="inlineStr">
        <is>
          <t>MANHOUR COST PROFILE  —  closest match</t>
        </is>
      </c>
      <c r="B35" s="88" t="n"/>
      <c r="C35" s="88" t="n"/>
      <c r="D35" s="88" t="n"/>
      <c r="E35" s="88" t="n"/>
      <c r="F35" s="88" t="n"/>
      <c r="G35" s="88" t="n"/>
      <c r="H35" s="88" t="n"/>
      <c r="I35" s="88" t="n"/>
      <c r="J35" s="88" t="n"/>
      <c r="K35" s="107" t="inlineStr">
        <is>
          <t>% of Project Cost</t>
        </is>
      </c>
      <c r="L35" s="88" t="n"/>
      <c r="M35" s="88" t="n"/>
      <c r="N35" s="88" t="n"/>
      <c r="O35" s="107">
        <f>IFERROR(IF(INDEX(_Helper!A2:A501,MATCH(LARGE(_Helper!BH2:BH501,1),_Helper!BH2:BH501,0))="","","Data: "&amp;IF(INDEX(_Helper!CE2:CE501,MATCH(LARGE(_Helper!BH2:BH501,1),_Helper!BH2:BH501,0))="","not set",INDEX(_Helper!CE2:CE501,MATCH(LARGE(_Helper!BH2:BH501,1),_Helper!BH2:BH501,0)))),"")</f>
        <v/>
      </c>
      <c r="P35" s="88" t="n"/>
      <c r="Q35" s="88" t="n"/>
    </row>
    <row r="36" ht="21.75" customHeight="1" s="74" thickBot="1">
      <c r="A36" s="92" t="inlineStr">
        <is>
          <t>Mechanical Installation</t>
        </is>
      </c>
      <c r="B36" s="91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data",N(INDEX(_Helper!BX2:BX501,MATCH(LARGE(_Helper!BH2:BH501,1),_Helper!BH2:BH501,0)))=0),"—",INDEX(_Helper!BJ2:BJ501,MATCH(LARGE(_Helper!BH2:BH501,1),_Helper!BH2:BH501,0)))),"-")</f>
        <v/>
      </c>
      <c r="L36" s="94" t="n"/>
      <c r="M36" s="94" t="n"/>
      <c r="N36" s="94" t="n"/>
    </row>
    <row r="37" ht="21.75" customHeight="1" s="74" thickBot="1">
      <c r="A37" s="92" t="inlineStr">
        <is>
          <t>Electrical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data",N(INDEX(_Helper!BX2:BX501,MATCH(LARGE(_Helper!BH2:BH501,1),_Helper!BH2:BH501,0)))=0),"—",INDEX(_Helper!BK2:BK501,MATCH(LARGE(_Helper!BH2:BH501,1),_Helper!BH2:BH501,0)))),"-")</f>
        <v/>
      </c>
      <c r="L37" s="94" t="n"/>
      <c r="M37" s="94" t="n"/>
      <c r="N37" s="94" t="n"/>
    </row>
    <row r="38" ht="21.75" customHeight="1" s="74" thickBot="1">
      <c r="A38" s="92" t="inlineStr">
        <is>
          <t>Project Management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data",N(INDEX(_Helper!BX2:BX501,MATCH(LARGE(_Helper!BH2:BH501,1),_Helper!BH2:BH501,0)))=0),"—",INDEX(_Helper!BL2:BL501,MATCH(LARGE(_Helper!BH2:BH501,1),_Helper!BH2:BH501,0)))),"-")</f>
        <v/>
      </c>
      <c r="L38" s="94" t="n"/>
      <c r="M38" s="94" t="n"/>
      <c r="N38" s="94" t="n"/>
    </row>
    <row r="39" ht="21.75" customHeight="1" s="74" thickBot="1">
      <c r="A39" s="92" t="inlineStr">
        <is>
          <t>Systems Engineering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data",N(INDEX(_Helper!BX2:BX501,MATCH(LARGE(_Helper!BH2:BH501,1),_Helper!BH2:BH501,0)))=0),"—",INDEX(_Helper!BM2:BM501,MATCH(LARGE(_Helper!BH2:BH501,1),_Helper!BH2:BH501,0)))),"-")</f>
        <v/>
      </c>
      <c r="L39" s="94" t="n"/>
      <c r="M39" s="94" t="n"/>
      <c r="N39" s="94" t="n"/>
    </row>
    <row r="40" ht="21.75" customHeight="1" s="74" thickBot="1">
      <c r="A40" s="92" t="inlineStr">
        <is>
          <t>Mechanical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data",N(INDEX(_Helper!BX2:BX501,MATCH(LARGE(_Helper!BH2:BH501,1),_Helper!BH2:BH501,0)))=0),"—",INDEX(_Helper!BN2:BN501,MATCH(LARGE(_Helper!BH2:BH501,1),_Helper!BH2:BH501,0)))),"-")</f>
        <v/>
      </c>
      <c r="L40" s="94" t="n"/>
      <c r="M40" s="94" t="n"/>
      <c r="N40" s="94" t="n"/>
    </row>
    <row r="41" ht="21.75" customHeight="1" s="74" thickBot="1">
      <c r="A41" s="92" t="inlineStr">
        <is>
          <t>Structural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data",N(INDEX(_Helper!BX2:BX501,MATCH(LARGE(_Helper!BH2:BH501,1),_Helper!BH2:BH501,0)))=0),"—",INDEX(_Helper!BO2:BO501,MATCH(LARGE(_Helper!BH2:BH501,1),_Helper!BH2:BH501,0)))),"-")</f>
        <v/>
      </c>
      <c r="L41" s="94" t="n"/>
      <c r="M41" s="94" t="n"/>
      <c r="N41" s="94" t="n"/>
    </row>
    <row r="42" ht="21.75" customHeight="1" s="74" thickBot="1">
      <c r="A42" s="92" t="inlineStr">
        <is>
          <t>Site Supervision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data",N(INDEX(_Helper!BX2:BX501,MATCH(LARGE(_Helper!BH2:BH501,1),_Helper!BH2:BH501,0)))=0),"—",INDEX(_Helper!BP2:BP501,MATCH(LARGE(_Helper!BH2:BH501,1),_Helper!BH2:BH501,0)))),"-")</f>
        <v/>
      </c>
      <c r="L42" s="94" t="n"/>
      <c r="M42" s="94" t="n"/>
      <c r="N42" s="94" t="n"/>
    </row>
    <row r="43" ht="21.75" customHeight="1" s="74" thickBot="1">
      <c r="A43" s="92" t="inlineStr">
        <is>
          <t>Controls Commissioning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data",N(INDEX(_Helper!BX2:BX501,MATCH(LARGE(_Helper!BH2:BH501,1),_Helper!BH2:BH501,0)))=0),"—",INDEX(_Helper!BQ2:BQ501,MATCH(LARGE(_Helper!BH2:BH501,1),_Helper!BH2:BH501,0)))),"-")</f>
        <v/>
      </c>
      <c r="L43" s="94" t="n"/>
      <c r="M43" s="94" t="n"/>
      <c r="N43" s="94" t="n"/>
    </row>
    <row r="44" ht="21.75" customHeight="1" s="74" thickBot="1">
      <c r="A44" s="92" t="inlineStr">
        <is>
          <t>Systems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data",N(INDEX(_Helper!BX2:BX501,MATCH(LARGE(_Helper!BH2:BH501,1),_Helper!BH2:BH501,0)))=0),"—",INDEX(_Helper!BR2:BR501,MATCH(LARGE(_Helper!BH2:BH501,1),_Helper!BH2:BH501,0)))),"-")</f>
        <v/>
      </c>
      <c r="L44" s="94" t="n"/>
      <c r="M44" s="94" t="n"/>
      <c r="N44" s="94" t="n"/>
    </row>
    <row r="45" ht="21.75" customHeight="1" s="74" thickBot="1">
      <c r="A45" s="92" t="inlineStr">
        <is>
          <t>Service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data",N(INDEX(_Helper!BX2:BX501,MATCH(LARGE(_Helper!BH2:BH501,1),_Helper!BH2:BH501,0)))=0),"—",INDEX(_Helper!BS2:BS501,MATCH(LARGE(_Helper!BH2:BH501,1),_Helper!BH2:BH501,0)))),"-")</f>
        <v/>
      </c>
      <c r="L45" s="94" t="n"/>
      <c r="M45" s="94" t="n"/>
      <c r="N45" s="94" t="n"/>
    </row>
    <row r="46" ht="21.75" customHeight="1" s="74" thickBot="1">
      <c r="A46" s="92" t="inlineStr">
        <is>
          <t>Controls Engineering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data",N(INDEX(_Helper!BX2:BX501,MATCH(LARGE(_Helper!BH2:BH501,1),_Helper!BH2:BH501,0)))=0),"—",INDEX(_Helper!BT2:BT501,MATCH(LARGE(_Helper!BH2:BH501,1),_Helper!BH2:BH501,0)))),"-")</f>
        <v/>
      </c>
      <c r="L46" s="94" t="n"/>
      <c r="M46" s="94" t="n"/>
      <c r="N46" s="94" t="n"/>
    </row>
    <row r="47" ht="21.75" customHeight="1" s="74" thickBot="1">
      <c r="A47" s="92" t="inlineStr">
        <is>
          <t>Controls Purchase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data",N(INDEX(_Helper!BX2:BX501,MATCH(LARGE(_Helper!BH2:BH501,1),_Helper!BH2:BH501,0)))=0),"—",INDEX(_Helper!BU2:BU501,MATCH(LARGE(_Helper!BH2:BH501,1),_Helper!BH2:BH501,0)))),"-")</f>
        <v/>
      </c>
      <c r="L47" s="94" t="n"/>
      <c r="M47" s="94" t="n"/>
      <c r="N47" s="94" t="n"/>
    </row>
    <row r="48" ht="21.75" customHeight="1" s="74" thickBot="1">
      <c r="A48" s="92" t="inlineStr">
        <is>
          <t>Software Engineering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data",N(INDEX(_Helper!BX2:BX501,MATCH(LARGE(_Helper!BH2:BH501,1),_Helper!BH2:BH501,0)))=0),"—",INDEX(_Helper!BV2:BV501,MATCH(LARGE(_Helper!BH2:BH501,1),_Helper!BH2:BH501,0)))),"-")</f>
        <v/>
      </c>
      <c r="L48" s="94" t="n"/>
      <c r="M48" s="94" t="n"/>
      <c r="N48" s="94" t="n"/>
    </row>
    <row r="49" ht="21.75" customHeight="1" s="74" thickBot="1">
      <c r="A49" s="92" t="inlineStr">
        <is>
          <t>Miscellaneous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data",N(INDEX(_Helper!BX2:BX501,MATCH(LARGE(_Helper!BH2:BH501,1),_Helper!BH2:BH501,0)))=0),"—",INDEX(_Helper!BW2:BW501,MATCH(LARGE(_Helper!BH2:BH501,1),_Helper!BH2:BH501,0)))),"-")</f>
        <v/>
      </c>
      <c r="L49" s="94" t="n"/>
      <c r="M49" s="94" t="n"/>
      <c r="N49" s="94" t="n"/>
    </row>
    <row r="50" ht="21.75" customHeight="1" s="74" thickBot="1">
      <c r="A50" s="116" t="inlineStr">
        <is>
          <t>TOTAL MANHOUR COST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112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data",N(INDEX(_Helper!BX2:BX501,MATCH(LARGE(_Helper!BH2:BH501,1),_Helper!BH2:BH501,0)))=0),"No manhour data",INDEX(_Helper!BX2:BX501,MATCH(LARGE(_Helper!BH2:BH501,1),_Helper!BH2:BH501,0)))),"-")</f>
        <v/>
      </c>
      <c r="L50" s="94" t="n"/>
      <c r="M50" s="94" t="n"/>
      <c r="N50" s="94" t="n"/>
    </row>
    <row r="51" ht="15.75" customHeight="1" s="74">
      <c r="R51" s="3" t="n"/>
      <c r="S51" s="3" t="n"/>
      <c r="T51" s="3" t="n"/>
      <c r="U51" s="3" t="n"/>
    </row>
    <row r="52" ht="15" customHeight="1" s="74">
      <c r="A52" s="3" t="n"/>
      <c r="B52" s="3" t="n"/>
      <c r="C52" s="3" t="n"/>
      <c r="D52" s="3" t="n"/>
      <c r="E52" s="3" t="n"/>
      <c r="F52" s="3" t="n"/>
      <c r="G52" s="3" t="n"/>
      <c r="H52" s="3" t="n"/>
      <c r="I52" s="3" t="n"/>
      <c r="J52" s="3" t="n"/>
      <c r="K52" s="3" t="n"/>
      <c r="L52" s="3" t="n"/>
      <c r="M52" s="3" t="n"/>
      <c r="N52" s="3" t="n"/>
      <c r="O52" s="3" t="n"/>
      <c r="P52" s="3" t="n"/>
      <c r="Q52" s="3" t="n"/>
      <c r="R52" s="3" t="n"/>
      <c r="S52" s="3" t="n"/>
      <c r="T52" s="3" t="n"/>
      <c r="U52" s="3" t="n"/>
    </row>
    <row r="53" ht="21.75" customHeight="1" s="74">
      <c r="A53" s="168" t="inlineStr">
        <is>
          <t xml:space="preserve">  SYSTEM MATCH SCORECARD  —  closest match breakdown</t>
        </is>
      </c>
      <c r="R53" s="3" t="n"/>
      <c r="S53" s="3" t="n"/>
      <c r="T53" s="3" t="n"/>
      <c r="U53" s="3" t="n"/>
    </row>
    <row r="54" ht="19.5" customHeight="1" s="74">
      <c r="A54" s="127" t="inlineStr">
        <is>
          <t>System</t>
        </is>
      </c>
      <c r="B54" s="88" t="n"/>
      <c r="C54" s="88" t="n"/>
      <c r="D54" s="88" t="n"/>
      <c r="E54" s="88" t="n"/>
      <c r="F54" s="87" t="inlineStr">
        <is>
          <t>Score</t>
        </is>
      </c>
      <c r="G54" s="88" t="n"/>
      <c r="H54" s="88" t="n"/>
      <c r="I54" s="87" t="inlineStr">
        <is>
          <t>Status</t>
        </is>
      </c>
      <c r="J54" s="88" t="n"/>
      <c r="K54" s="88" t="n"/>
      <c r="L54" s="87" t="inlineStr">
        <is>
          <t>Match Strength  ◀──────────────▶</t>
        </is>
      </c>
      <c r="M54" s="88" t="n"/>
      <c r="N54" s="88" t="n"/>
      <c r="O54" s="88" t="n"/>
      <c r="P54" s="88" t="n"/>
      <c r="Q54" s="88" t="n"/>
      <c r="R54" s="3" t="n"/>
      <c r="S54" s="3" t="n"/>
      <c r="T54" s="3" t="n"/>
      <c r="U54" s="3" t="n"/>
    </row>
    <row r="55" ht="24" customHeight="1" s="74">
      <c r="A55" s="95" t="inlineStr">
        <is>
          <t>Multishuttle</t>
        </is>
      </c>
      <c r="B55" s="72" t="n"/>
      <c r="C55" s="72" t="n"/>
      <c r="D55" s="72" t="n"/>
      <c r="E55" s="72" t="n"/>
      <c r="F55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5" s="94" t="n"/>
      <c r="H55" s="94" t="n"/>
      <c r="I55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5" s="91" t="n"/>
      <c r="K55" s="91" t="n"/>
      <c r="L55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5" s="91" t="n"/>
      <c r="N55" s="91" t="n"/>
      <c r="O55" s="91" t="n"/>
      <c r="P55" s="91" t="n"/>
      <c r="Q55" s="91" t="n"/>
      <c r="R55" s="3" t="n"/>
      <c r="S55" s="3" t="n"/>
      <c r="T55" s="3" t="n"/>
      <c r="U55" s="3" t="n"/>
    </row>
    <row r="56" ht="24" customHeight="1" s="74">
      <c r="A56" s="131" t="inlineStr">
        <is>
          <t>AutoStore</t>
        </is>
      </c>
      <c r="B56" s="72" t="n"/>
      <c r="C56" s="72" t="n"/>
      <c r="D56" s="72" t="n"/>
      <c r="E56" s="72" t="n"/>
      <c r="F56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6" s="94" t="n"/>
      <c r="H56" s="94" t="n"/>
      <c r="I56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6" s="91" t="n"/>
      <c r="K56" s="91" t="n"/>
      <c r="L56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6" s="91" t="n"/>
      <c r="N56" s="91" t="n"/>
      <c r="O56" s="91" t="n"/>
      <c r="P56" s="91" t="n"/>
      <c r="Q56" s="91" t="n"/>
      <c r="R56" s="3" t="n"/>
      <c r="S56" s="3" t="n"/>
      <c r="T56" s="3" t="n"/>
      <c r="U56" s="3" t="n"/>
    </row>
    <row r="57" ht="24" customHeight="1" s="74">
      <c r="A57" s="105" t="inlineStr">
        <is>
          <t>Pallet Shuttle</t>
        </is>
      </c>
      <c r="B57" s="72" t="n"/>
      <c r="C57" s="72" t="n"/>
      <c r="D57" s="72" t="n"/>
      <c r="E57" s="72" t="n"/>
      <c r="F57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7" s="94" t="n"/>
      <c r="H57" s="94" t="n"/>
      <c r="I57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7" s="91" t="n"/>
      <c r="K57" s="91" t="n"/>
      <c r="L57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7" s="91" t="n"/>
      <c r="N57" s="91" t="n"/>
      <c r="O57" s="91" t="n"/>
      <c r="P57" s="91" t="n"/>
      <c r="Q57" s="91" t="n"/>
      <c r="R57" s="3" t="n"/>
      <c r="S57" s="3" t="n"/>
      <c r="T57" s="3" t="n"/>
      <c r="U57" s="3" t="n"/>
    </row>
    <row r="58" ht="24" customHeight="1" s="74">
      <c r="A58" s="133" t="inlineStr">
        <is>
          <t>SRM Crane</t>
        </is>
      </c>
      <c r="B58" s="72" t="n"/>
      <c r="C58" s="72" t="n"/>
      <c r="D58" s="72" t="n"/>
      <c r="E58" s="72" t="n"/>
      <c r="F58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8" s="94" t="n"/>
      <c r="H58" s="94" t="n"/>
      <c r="I58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8" s="91" t="n"/>
      <c r="K58" s="91" t="n"/>
      <c r="L58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8" s="91" t="n"/>
      <c r="N58" s="91" t="n"/>
      <c r="O58" s="91" t="n"/>
      <c r="P58" s="91" t="n"/>
      <c r="Q58" s="91" t="n"/>
      <c r="R58" s="3" t="n"/>
      <c r="S58" s="3" t="n"/>
      <c r="T58" s="3" t="n"/>
      <c r="U58" s="3" t="n"/>
    </row>
    <row r="59" ht="24" customHeight="1" s="74">
      <c r="A59" s="89" t="inlineStr">
        <is>
          <t>Conveyors</t>
        </is>
      </c>
      <c r="B59" s="72" t="n"/>
      <c r="C59" s="72" t="n"/>
      <c r="D59" s="72" t="n"/>
      <c r="E59" s="72" t="n"/>
      <c r="F59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9" s="94" t="n"/>
      <c r="H59" s="94" t="n"/>
      <c r="I59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9" s="91" t="n"/>
      <c r="K59" s="91" t="n"/>
      <c r="L59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32" t="inlineStr">
        <is>
          <t>Keywords</t>
        </is>
      </c>
      <c r="B60" s="72" t="n"/>
      <c r="C60" s="72" t="n"/>
      <c r="D60" s="72" t="n"/>
      <c r="E60" s="72" t="n"/>
      <c r="F60" s="126">
        <f>IF('Smart Search'!G13=0,"—",TEXT(IFERROR(INDEX(_Helper!BD2:BD501,MATCH(LARGE(_Helper!BH2:BH501,1),_Helper!BH2:BH501,0))/IFERROR(1/'Smart Search'!H13,0),0),"0%"))</f>
        <v/>
      </c>
      <c r="G60" s="94" t="n"/>
      <c r="H60" s="94" t="n"/>
      <c r="I60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0" s="91" t="n"/>
      <c r="K60" s="91" t="n"/>
      <c r="L60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15.75" customHeight="1" s="74">
      <c r="A61" s="171" t="inlineStr">
        <is>
          <t xml:space="preserve">  ✅ Strong ≥ 70%     🟡 Partial 30–69%     ❌ Weak &lt; 30%     — System not included in search</t>
        </is>
      </c>
      <c r="R61" s="3" t="n"/>
      <c r="S61" s="3" t="n"/>
      <c r="T61" s="3" t="n"/>
      <c r="U61" s="3" t="n"/>
    </row>
  </sheetData>
  <mergeCells count="113">
    <mergeCell ref="I54:K54"/>
    <mergeCell ref="K48:N48"/>
    <mergeCell ref="I10:Q11"/>
    <mergeCell ref="A14:V14"/>
    <mergeCell ref="I56:K56"/>
    <mergeCell ref="L8:Q8"/>
    <mergeCell ref="A43:J43"/>
    <mergeCell ref="K38:N38"/>
    <mergeCell ref="L54:Q54"/>
    <mergeCell ref="K49:N49"/>
    <mergeCell ref="I8:K8"/>
    <mergeCell ref="A34:J34"/>
    <mergeCell ref="L56:Q56"/>
    <mergeCell ref="K33:N33"/>
    <mergeCell ref="A11:G11"/>
    <mergeCell ref="A15:V15"/>
    <mergeCell ref="A49:J49"/>
    <mergeCell ref="A36:J36"/>
    <mergeCell ref="A57:E57"/>
    <mergeCell ref="K26:N26"/>
    <mergeCell ref="I59:K59"/>
    <mergeCell ref="K35:N35"/>
    <mergeCell ref="A32:J32"/>
    <mergeCell ref="L5:Q5"/>
    <mergeCell ref="K39:N39"/>
    <mergeCell ref="A24:Q24"/>
    <mergeCell ref="A29:J29"/>
    <mergeCell ref="A38:J38"/>
    <mergeCell ref="L55:Q55"/>
    <mergeCell ref="K37:N37"/>
    <mergeCell ref="A44:J44"/>
    <mergeCell ref="A31:J31"/>
    <mergeCell ref="A40:J40"/>
    <mergeCell ref="A55:E55"/>
    <mergeCell ref="A1:G1"/>
    <mergeCell ref="I9:Q9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A58:E58"/>
    <mergeCell ref="F59:H59"/>
    <mergeCell ref="A42:J42"/>
    <mergeCell ref="F55:H55"/>
    <mergeCell ref="K27:N27"/>
    <mergeCell ref="A47:J47"/>
    <mergeCell ref="E10:G10"/>
    <mergeCell ref="K42:N42"/>
    <mergeCell ref="O35:Q35"/>
    <mergeCell ref="A60:E60"/>
    <mergeCell ref="O25:Q25"/>
    <mergeCell ref="A28:J28"/>
    <mergeCell ref="K28:N28"/>
    <mergeCell ref="A61:Q61"/>
    <mergeCell ref="I55:K55"/>
    <mergeCell ref="O27:Q27"/>
    <mergeCell ref="I5:K5"/>
    <mergeCell ref="A30:J30"/>
    <mergeCell ref="K25:N25"/>
    <mergeCell ref="F58:H58"/>
    <mergeCell ref="K30:N30"/>
    <mergeCell ref="L6:Q6"/>
    <mergeCell ref="E25:J25"/>
    <mergeCell ref="K45:N45"/>
    <mergeCell ref="F60:H60"/>
    <mergeCell ref="K29:N29"/>
    <mergeCell ref="F57:H57"/>
    <mergeCell ref="K47:N47"/>
    <mergeCell ref="A41:J41"/>
    <mergeCell ref="K31:N31"/>
    <mergeCell ref="K46:N46"/>
    <mergeCell ref="L7:Q7"/>
    <mergeCell ref="K40:N40"/>
    <mergeCell ref="A53:Q53"/>
    <mergeCell ref="A27:J27"/>
    <mergeCell ref="A2:G2"/>
    <mergeCell ref="I57:K57"/>
    <mergeCell ref="I7:K7"/>
    <mergeCell ref="A33:J33"/>
    <mergeCell ref="A59:E59"/>
    <mergeCell ref="O26:Q26"/>
    <mergeCell ref="A35:J35"/>
    <mergeCell ref="I58:K58"/>
    <mergeCell ref="I12:Q12"/>
    <mergeCell ref="L58:Q58"/>
    <mergeCell ref="A54:E54"/>
    <mergeCell ref="K34:N34"/>
    <mergeCell ref="A39:J39"/>
    <mergeCell ref="L60:Q60"/>
    <mergeCell ref="F56:H56"/>
    <mergeCell ref="A48:J48"/>
    <mergeCell ref="E26:J26"/>
    <mergeCell ref="I1:Q1"/>
    <mergeCell ref="A56:E56"/>
    <mergeCell ref="I4:Q4"/>
    <mergeCell ref="A45:J45"/>
    <mergeCell ref="L59:Q59"/>
    <mergeCell ref="K36:N36"/>
    <mergeCell ref="I60:K60"/>
    <mergeCell ref="A25:D25"/>
    <mergeCell ref="O34:Q34"/>
    <mergeCell ref="A23:Q23"/>
    <mergeCell ref="I6:K6"/>
    <mergeCell ref="O28:Q28"/>
    <mergeCell ref="K44:N44"/>
    <mergeCell ref="F54:H54"/>
    <mergeCell ref="A46:J46"/>
    <mergeCell ref="A37:J37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K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TOTAL</t>
        </is>
      </c>
      <c r="BY1" s="4" t="inlineStr">
        <is>
          <t>Value numeric</t>
        </is>
      </c>
      <c r="BZ1" s="4" t="inlineStr">
        <is>
          <t>Solution Type</t>
        </is>
      </c>
      <c r="CA1" s="4" t="inlineStr">
        <is>
          <t>Client / Region</t>
        </is>
      </c>
      <c r="CB1" s="4" t="inlineStr">
        <is>
          <t>Year</t>
        </is>
      </c>
      <c r="CC1" s="4" t="inlineStr">
        <is>
          <t>Won?</t>
        </is>
      </c>
      <c r="CD1" s="4" t="inlineStr">
        <is>
          <t>Value (USD M)</t>
        </is>
      </c>
      <c r="CE1" s="4" t="inlineStr">
        <is>
          <t>MH Data Status</t>
        </is>
      </c>
    </row>
    <row r="2" ht="15" customHeight="1" s="74">
      <c r="A2" s="66">
        <f>INDEX(Projects[Project ID *],1)&amp;""</f>
        <v/>
      </c>
      <c r="B2" s="66">
        <f>INDEX(Projects[Project Name *],1)&amp;""</f>
        <v/>
      </c>
      <c r="C2" s="66">
        <f>INDEX(Projects[MS Shuttles],1)</f>
        <v/>
      </c>
      <c r="D2" s="66">
        <f>INDEX(Projects[MS Tote Locations],1)</f>
        <v/>
      </c>
      <c r="E2" s="66">
        <f>INDEX(Projects[AS Robots],1)</f>
        <v/>
      </c>
      <c r="F2" s="66">
        <f>INDEX(Projects[AS Tote Locations],1)</f>
        <v/>
      </c>
      <c r="G2" s="66">
        <f>INDEX(Projects[PS Shuttles],1)</f>
        <v/>
      </c>
      <c r="H2" s="66">
        <f>INDEX(Projects[PS Pallet Locations],1)</f>
        <v/>
      </c>
      <c r="I2" s="66">
        <f>INDEX(Projects[SRM Cranes],1)</f>
        <v/>
      </c>
      <c r="J2" s="66">
        <f>INDEX(Projects[SRM Pallet Locations],1)</f>
        <v/>
      </c>
      <c r="K2" s="66">
        <f>INDEX(Projects[Case Conv (m)],1)</f>
        <v/>
      </c>
      <c r="L2" s="66">
        <f>INDEX(Projects[Pallet Conv (m)],1)</f>
        <v/>
      </c>
      <c r="M2" s="66">
        <f>INDEX(Projects[Mech Eng (wks)],1)</f>
        <v/>
      </c>
      <c r="N2" s="66">
        <f>INDEX(Projects[Controls Eng (wks)],1)</f>
        <v/>
      </c>
      <c r="O2" s="66">
        <f>INDEX(Projects[Systems Eng (wks)],1)</f>
        <v/>
      </c>
      <c r="P2" s="66">
        <f>INDEX(Projects[Software Eng (wks)],1)</f>
        <v/>
      </c>
      <c r="Q2" s="66">
        <f>INDEX(Projects[M&amp;E Installation (wks)],1)</f>
        <v/>
      </c>
      <c r="R2" s="66">
        <f>INDEX(Projects[Commissioning (wks)],1)</f>
        <v/>
      </c>
      <c r="S2" s="66">
        <f>INDEX(Projects[Total Timeline (wks)],1)</f>
        <v/>
      </c>
      <c r="T2" s="66">
        <f>INDEX(Projects[Currency],1)&amp;""</f>
        <v/>
      </c>
      <c r="U2" s="67">
        <f>INDEX(Projects[Value (M)],1)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INDEX(Projects[Automation Equipment],1)&amp;""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IF(AND(A2&lt;&gt;"",OR('Smart Search'!$L$5="",'Smart Search'!$L$5="All",TRIM(BZ2)=TRIM('Smart Search'!$L$5)),OR(TRIM('Smart Search'!$L$6)="",TRIM('Smart Search'!$L$6)="All",ISNUMBER(SEARCH(SUBSTITUTE(SUBSTITUTE(SUBSTITUTE(TRIM('Smart Search'!$L$6),"~","~~"),"*","~*"),"?","~?"),CA2))),OR('Smart Search'!$L$7="",AND(CB2&lt;&gt;0,CB2='Smart Search'!$L$7)),OR('Smart Search'!$L$8="",'Smart Search'!$L$8="All",TRIM(CC2)=TRIM('Smart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IF(A2="","",N(INDEX(Projects[Mech Inst],1)))</f>
        <v/>
      </c>
      <c r="BK2" s="5">
        <f>IF(A2="","",N(INDEX(Projects[Elec Inst],1)))</f>
        <v/>
      </c>
      <c r="BL2" s="5">
        <f>IF(A2="","",N(INDEX(Projects[Project Management],1)))</f>
        <v/>
      </c>
      <c r="BM2" s="5">
        <f>IF(A2="","",N(INDEX(Projects[Systems Eng],1)))</f>
        <v/>
      </c>
      <c r="BN2" s="5">
        <f>IF(A2="","",N(INDEX(Projects[Mechanical Eng],1)))</f>
        <v/>
      </c>
      <c r="BO2" s="5">
        <f>IF(A2="","",N(INDEX(Projects[Structural Engineering],1)))</f>
        <v/>
      </c>
      <c r="BP2" s="5">
        <f>IF(A2="","",N(INDEX(Projects[Site Sup],1)))</f>
        <v/>
      </c>
      <c r="BQ2" s="5">
        <f>IF(A2="","",N(INDEX(Projects[Controls Commissioning],1)))</f>
        <v/>
      </c>
      <c r="BR2" s="5">
        <f>IF(A2="","",N(INDEX(Projects[Systems Commissioning],1)))</f>
        <v/>
      </c>
      <c r="BS2" s="5">
        <f>IF(A2="","",N(INDEX(Projects[Service Commissioning],1)))</f>
        <v/>
      </c>
      <c r="BT2" s="5">
        <f>IF(A2="","",N(INDEX(Projects[Controls Eng],1)))</f>
        <v/>
      </c>
      <c r="BU2" s="5">
        <f>IF(A2="","",N(INDEX(Projects[Controls Purchase],1)))</f>
        <v/>
      </c>
      <c r="BV2" s="5">
        <f>IF(A2="","",N(INDEX(Projects[Software Eng],1)))</f>
        <v/>
      </c>
      <c r="BW2" s="5">
        <f>IF(A2="","",N(INDEX(Projects[Misc],1)))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  <c r="BZ2" s="5">
        <f>INDEX(Projects[Solution Type],1)&amp;""</f>
        <v/>
      </c>
      <c r="CA2" s="5">
        <f>INDEX(Projects[Client / Region],1)&amp;""</f>
        <v/>
      </c>
      <c r="CB2" s="5">
        <f>INDEX(Projects[Year],1)</f>
        <v/>
      </c>
      <c r="CC2" s="5">
        <f>INDEX(Projects[Won?],1)&amp;""</f>
        <v/>
      </c>
      <c r="CD2" s="5">
        <f>INDEX(Projects[Value (USD M)],1)</f>
        <v/>
      </c>
      <c r="CE2" s="5">
        <f>INDEX(Projects[MH Data Status],1)&amp;""</f>
        <v/>
      </c>
    </row>
    <row r="3" ht="15" customHeight="1" s="74">
      <c r="A3" s="66">
        <f>INDEX(Projects[Project ID *],2)&amp;""</f>
        <v/>
      </c>
      <c r="B3" s="66">
        <f>INDEX(Projects[Project Name *],2)&amp;""</f>
        <v/>
      </c>
      <c r="C3" s="66">
        <f>INDEX(Projects[MS Shuttles],2)</f>
        <v/>
      </c>
      <c r="D3" s="66">
        <f>INDEX(Projects[MS Tote Locations],2)</f>
        <v/>
      </c>
      <c r="E3" s="66">
        <f>INDEX(Projects[AS Robots],2)</f>
        <v/>
      </c>
      <c r="F3" s="66">
        <f>INDEX(Projects[AS Tote Locations],2)</f>
        <v/>
      </c>
      <c r="G3" s="66">
        <f>INDEX(Projects[PS Shuttles],2)</f>
        <v/>
      </c>
      <c r="H3" s="66">
        <f>INDEX(Projects[PS Pallet Locations],2)</f>
        <v/>
      </c>
      <c r="I3" s="66">
        <f>INDEX(Projects[SRM Cranes],2)</f>
        <v/>
      </c>
      <c r="J3" s="66">
        <f>INDEX(Projects[SRM Pallet Locations],2)</f>
        <v/>
      </c>
      <c r="K3" s="66">
        <f>INDEX(Projects[Case Conv (m)],2)</f>
        <v/>
      </c>
      <c r="L3" s="66">
        <f>INDEX(Projects[Pallet Conv (m)],2)</f>
        <v/>
      </c>
      <c r="M3" s="66">
        <f>INDEX(Projects[Mech Eng (wks)],2)</f>
        <v/>
      </c>
      <c r="N3" s="66">
        <f>INDEX(Projects[Controls Eng (wks)],2)</f>
        <v/>
      </c>
      <c r="O3" s="66">
        <f>INDEX(Projects[Systems Eng (wks)],2)</f>
        <v/>
      </c>
      <c r="P3" s="66">
        <f>INDEX(Projects[Software Eng (wks)],2)</f>
        <v/>
      </c>
      <c r="Q3" s="66">
        <f>INDEX(Projects[M&amp;E Installation (wks)],2)</f>
        <v/>
      </c>
      <c r="R3" s="66">
        <f>INDEX(Projects[Commissioning (wks)],2)</f>
        <v/>
      </c>
      <c r="S3" s="66">
        <f>INDEX(Projects[Total Timeline (wks)],2)</f>
        <v/>
      </c>
      <c r="T3" s="66">
        <f>INDEX(Projects[Currency],2)&amp;""</f>
        <v/>
      </c>
      <c r="U3" s="67">
        <f>INDEX(Projects[Value (M)],2)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INDEX(Projects[Automation Equipment],2)&amp;""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IF(AND(A3&lt;&gt;"",OR('Smart Search'!$L$5="",'Smart Search'!$L$5="All",TRIM(BZ3)=TRIM('Smart Search'!$L$5)),OR(TRIM('Smart Search'!$L$6)="",TRIM('Smart Search'!$L$6)="All",ISNUMBER(SEARCH(SUBSTITUTE(SUBSTITUTE(SUBSTITUTE(TRIM('Smart Search'!$L$6),"~","~~"),"*","~*"),"?","~?"),CA3))),OR('Smart Search'!$L$7="",AND(CB3&lt;&gt;0,CB3='Smart Search'!$L$7)),OR('Smart Search'!$L$8="",'Smart Search'!$L$8="All",TRIM(CC3)=TRIM('Smart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IF(A3="","",N(INDEX(Projects[Mech Inst],2)))</f>
        <v/>
      </c>
      <c r="BK3" s="5">
        <f>IF(A3="","",N(INDEX(Projects[Elec Inst],2)))</f>
        <v/>
      </c>
      <c r="BL3" s="5">
        <f>IF(A3="","",N(INDEX(Projects[Project Management],2)))</f>
        <v/>
      </c>
      <c r="BM3" s="5">
        <f>IF(A3="","",N(INDEX(Projects[Systems Eng],2)))</f>
        <v/>
      </c>
      <c r="BN3" s="5">
        <f>IF(A3="","",N(INDEX(Projects[Mechanical Eng],2)))</f>
        <v/>
      </c>
      <c r="BO3" s="5">
        <f>IF(A3="","",N(INDEX(Projects[Structural Engineering],2)))</f>
        <v/>
      </c>
      <c r="BP3" s="5">
        <f>IF(A3="","",N(INDEX(Projects[Site Sup],2)))</f>
        <v/>
      </c>
      <c r="BQ3" s="5">
        <f>IF(A3="","",N(INDEX(Projects[Controls Commissioning],2)))</f>
        <v/>
      </c>
      <c r="BR3" s="5">
        <f>IF(A3="","",N(INDEX(Projects[Systems Commissioning],2)))</f>
        <v/>
      </c>
      <c r="BS3" s="5">
        <f>IF(A3="","",N(INDEX(Projects[Service Commissioning],2)))</f>
        <v/>
      </c>
      <c r="BT3" s="5">
        <f>IF(A3="","",N(INDEX(Projects[Controls Eng],2)))</f>
        <v/>
      </c>
      <c r="BU3" s="5">
        <f>IF(A3="","",N(INDEX(Projects[Controls Purchase],2)))</f>
        <v/>
      </c>
      <c r="BV3" s="5">
        <f>IF(A3="","",N(INDEX(Projects[Software Eng],2)))</f>
        <v/>
      </c>
      <c r="BW3" s="5">
        <f>IF(A3="","",N(INDEX(Projects[Misc],2)))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  <c r="BZ3" s="5">
        <f>INDEX(Projects[Solution Type],2)&amp;""</f>
        <v/>
      </c>
      <c r="CA3" s="5">
        <f>INDEX(Projects[Client / Region],2)&amp;""</f>
        <v/>
      </c>
      <c r="CB3" s="5">
        <f>INDEX(Projects[Year],2)</f>
        <v/>
      </c>
      <c r="CC3" s="5">
        <f>INDEX(Projects[Won?],2)&amp;""</f>
        <v/>
      </c>
      <c r="CD3" s="5">
        <f>INDEX(Projects[Value (USD M)],2)</f>
        <v/>
      </c>
      <c r="CE3" s="5">
        <f>INDEX(Projects[MH Data Status],2)&amp;""</f>
        <v/>
      </c>
    </row>
    <row r="4" ht="15" customHeight="1" s="74">
      <c r="A4" s="66">
        <f>INDEX(Projects[Project ID *],3)&amp;""</f>
        <v/>
      </c>
      <c r="B4" s="66">
        <f>INDEX(Projects[Project Name *],3)&amp;""</f>
        <v/>
      </c>
      <c r="C4" s="66">
        <f>INDEX(Projects[MS Shuttles],3)</f>
        <v/>
      </c>
      <c r="D4" s="66">
        <f>INDEX(Projects[MS Tote Locations],3)</f>
        <v/>
      </c>
      <c r="E4" s="66">
        <f>INDEX(Projects[AS Robots],3)</f>
        <v/>
      </c>
      <c r="F4" s="66">
        <f>INDEX(Projects[AS Tote Locations],3)</f>
        <v/>
      </c>
      <c r="G4" s="66">
        <f>INDEX(Projects[PS Shuttles],3)</f>
        <v/>
      </c>
      <c r="H4" s="66">
        <f>INDEX(Projects[PS Pallet Locations],3)</f>
        <v/>
      </c>
      <c r="I4" s="66">
        <f>INDEX(Projects[SRM Cranes],3)</f>
        <v/>
      </c>
      <c r="J4" s="66">
        <f>INDEX(Projects[SRM Pallet Locations],3)</f>
        <v/>
      </c>
      <c r="K4" s="66">
        <f>INDEX(Projects[Case Conv (m)],3)</f>
        <v/>
      </c>
      <c r="L4" s="66">
        <f>INDEX(Projects[Pallet Conv (m)],3)</f>
        <v/>
      </c>
      <c r="M4" s="66">
        <f>INDEX(Projects[Mech Eng (wks)],3)</f>
        <v/>
      </c>
      <c r="N4" s="66">
        <f>INDEX(Projects[Controls Eng (wks)],3)</f>
        <v/>
      </c>
      <c r="O4" s="66">
        <f>INDEX(Projects[Systems Eng (wks)],3)</f>
        <v/>
      </c>
      <c r="P4" s="66">
        <f>INDEX(Projects[Software Eng (wks)],3)</f>
        <v/>
      </c>
      <c r="Q4" s="66">
        <f>INDEX(Projects[M&amp;E Installation (wks)],3)</f>
        <v/>
      </c>
      <c r="R4" s="66">
        <f>INDEX(Projects[Commissioning (wks)],3)</f>
        <v/>
      </c>
      <c r="S4" s="66">
        <f>INDEX(Projects[Total Timeline (wks)],3)</f>
        <v/>
      </c>
      <c r="T4" s="66">
        <f>INDEX(Projects[Currency],3)&amp;""</f>
        <v/>
      </c>
      <c r="U4" s="67">
        <f>INDEX(Projects[Value (M)],3)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INDEX(Projects[Automation Equipment],3)&amp;""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IF(AND(A4&lt;&gt;"",OR('Smart Search'!$L$5="",'Smart Search'!$L$5="All",TRIM(BZ4)=TRIM('Smart Search'!$L$5)),OR(TRIM('Smart Search'!$L$6)="",TRIM('Smart Search'!$L$6)="All",ISNUMBER(SEARCH(SUBSTITUTE(SUBSTITUTE(SUBSTITUTE(TRIM('Smart Search'!$L$6),"~","~~"),"*","~*"),"?","~?"),CA4))),OR('Smart Search'!$L$7="",AND(CB4&lt;&gt;0,CB4='Smart Search'!$L$7)),OR('Smart Search'!$L$8="",'Smart Search'!$L$8="All",TRIM(CC4)=TRIM('Smart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IF(A4="","",N(INDEX(Projects[Mech Inst],3)))</f>
        <v/>
      </c>
      <c r="BK4" s="5">
        <f>IF(A4="","",N(INDEX(Projects[Elec Inst],3)))</f>
        <v/>
      </c>
      <c r="BL4" s="5">
        <f>IF(A4="","",N(INDEX(Projects[Project Management],3)))</f>
        <v/>
      </c>
      <c r="BM4" s="5">
        <f>IF(A4="","",N(INDEX(Projects[Systems Eng],3)))</f>
        <v/>
      </c>
      <c r="BN4" s="5">
        <f>IF(A4="","",N(INDEX(Projects[Mechanical Eng],3)))</f>
        <v/>
      </c>
      <c r="BO4" s="5">
        <f>IF(A4="","",N(INDEX(Projects[Structural Engineering],3)))</f>
        <v/>
      </c>
      <c r="BP4" s="5">
        <f>IF(A4="","",N(INDEX(Projects[Site Sup],3)))</f>
        <v/>
      </c>
      <c r="BQ4" s="5">
        <f>IF(A4="","",N(INDEX(Projects[Controls Commissioning],3)))</f>
        <v/>
      </c>
      <c r="BR4" s="5">
        <f>IF(A4="","",N(INDEX(Projects[Systems Commissioning],3)))</f>
        <v/>
      </c>
      <c r="BS4" s="5">
        <f>IF(A4="","",N(INDEX(Projects[Service Commissioning],3)))</f>
        <v/>
      </c>
      <c r="BT4" s="5">
        <f>IF(A4="","",N(INDEX(Projects[Controls Eng],3)))</f>
        <v/>
      </c>
      <c r="BU4" s="5">
        <f>IF(A4="","",N(INDEX(Projects[Controls Purchase],3)))</f>
        <v/>
      </c>
      <c r="BV4" s="5">
        <f>IF(A4="","",N(INDEX(Projects[Software Eng],3)))</f>
        <v/>
      </c>
      <c r="BW4" s="5">
        <f>IF(A4="","",N(INDEX(Projects[Misc],3)))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  <c r="BZ4" s="5">
        <f>INDEX(Projects[Solution Type],3)&amp;""</f>
        <v/>
      </c>
      <c r="CA4" s="5">
        <f>INDEX(Projects[Client / Region],3)&amp;""</f>
        <v/>
      </c>
      <c r="CB4" s="5">
        <f>INDEX(Projects[Year],3)</f>
        <v/>
      </c>
      <c r="CC4" s="5">
        <f>INDEX(Projects[Won?],3)&amp;""</f>
        <v/>
      </c>
      <c r="CD4" s="5">
        <f>INDEX(Projects[Value (USD M)],3)</f>
        <v/>
      </c>
      <c r="CE4" s="5">
        <f>INDEX(Projects[MH Data Status],3)&amp;""</f>
        <v/>
      </c>
    </row>
    <row r="5" ht="15" customHeight="1" s="74">
      <c r="A5" s="66">
        <f>INDEX(Projects[Project ID *],4)&amp;""</f>
        <v/>
      </c>
      <c r="B5" s="66">
        <f>INDEX(Projects[Project Name *],4)&amp;""</f>
        <v/>
      </c>
      <c r="C5" s="66">
        <f>INDEX(Projects[MS Shuttles],4)</f>
        <v/>
      </c>
      <c r="D5" s="66">
        <f>INDEX(Projects[MS Tote Locations],4)</f>
        <v/>
      </c>
      <c r="E5" s="66">
        <f>INDEX(Projects[AS Robots],4)</f>
        <v/>
      </c>
      <c r="F5" s="66">
        <f>INDEX(Projects[AS Tote Locations],4)</f>
        <v/>
      </c>
      <c r="G5" s="66">
        <f>INDEX(Projects[PS Shuttles],4)</f>
        <v/>
      </c>
      <c r="H5" s="66">
        <f>INDEX(Projects[PS Pallet Locations],4)</f>
        <v/>
      </c>
      <c r="I5" s="66">
        <f>INDEX(Projects[SRM Cranes],4)</f>
        <v/>
      </c>
      <c r="J5" s="66">
        <f>INDEX(Projects[SRM Pallet Locations],4)</f>
        <v/>
      </c>
      <c r="K5" s="66">
        <f>INDEX(Projects[Case Conv (m)],4)</f>
        <v/>
      </c>
      <c r="L5" s="66">
        <f>INDEX(Projects[Pallet Conv (m)],4)</f>
        <v/>
      </c>
      <c r="M5" s="66">
        <f>INDEX(Projects[Mech Eng (wks)],4)</f>
        <v/>
      </c>
      <c r="N5" s="66">
        <f>INDEX(Projects[Controls Eng (wks)],4)</f>
        <v/>
      </c>
      <c r="O5" s="66">
        <f>INDEX(Projects[Systems Eng (wks)],4)</f>
        <v/>
      </c>
      <c r="P5" s="66">
        <f>INDEX(Projects[Software Eng (wks)],4)</f>
        <v/>
      </c>
      <c r="Q5" s="66">
        <f>INDEX(Projects[M&amp;E Installation (wks)],4)</f>
        <v/>
      </c>
      <c r="R5" s="66">
        <f>INDEX(Projects[Commissioning (wks)],4)</f>
        <v/>
      </c>
      <c r="S5" s="66">
        <f>INDEX(Projects[Total Timeline (wks)],4)</f>
        <v/>
      </c>
      <c r="T5" s="66">
        <f>INDEX(Projects[Currency],4)&amp;""</f>
        <v/>
      </c>
      <c r="U5" s="67">
        <f>INDEX(Projects[Value (M)],4)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INDEX(Projects[Automation Equipment],4)&amp;""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IF(AND(A5&lt;&gt;"",OR('Smart Search'!$L$5="",'Smart Search'!$L$5="All",TRIM(BZ5)=TRIM('Smart Search'!$L$5)),OR(TRIM('Smart Search'!$L$6)="",TRIM('Smart Search'!$L$6)="All",ISNUMBER(SEARCH(SUBSTITUTE(SUBSTITUTE(SUBSTITUTE(TRIM('Smart Search'!$L$6),"~","~~"),"*","~*"),"?","~?"),CA5))),OR('Smart Search'!$L$7="",AND(CB5&lt;&gt;0,CB5='Smart Search'!$L$7)),OR('Smart Search'!$L$8="",'Smart Search'!$L$8="All",TRIM(CC5)=TRIM('Smart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IF(A5="","",N(INDEX(Projects[Mech Inst],4)))</f>
        <v/>
      </c>
      <c r="BK5" s="5">
        <f>IF(A5="","",N(INDEX(Projects[Elec Inst],4)))</f>
        <v/>
      </c>
      <c r="BL5" s="5">
        <f>IF(A5="","",N(INDEX(Projects[Project Management],4)))</f>
        <v/>
      </c>
      <c r="BM5" s="5">
        <f>IF(A5="","",N(INDEX(Projects[Systems Eng],4)))</f>
        <v/>
      </c>
      <c r="BN5" s="5">
        <f>IF(A5="","",N(INDEX(Projects[Mechanical Eng],4)))</f>
        <v/>
      </c>
      <c r="BO5" s="5">
        <f>IF(A5="","",N(INDEX(Projects[Structural Engineering],4)))</f>
        <v/>
      </c>
      <c r="BP5" s="5">
        <f>IF(A5="","",N(INDEX(Projects[Site Sup],4)))</f>
        <v/>
      </c>
      <c r="BQ5" s="5">
        <f>IF(A5="","",N(INDEX(Projects[Controls Commissioning],4)))</f>
        <v/>
      </c>
      <c r="BR5" s="5">
        <f>IF(A5="","",N(INDEX(Projects[Systems Commissioning],4)))</f>
        <v/>
      </c>
      <c r="BS5" s="5">
        <f>IF(A5="","",N(INDEX(Projects[Service Commissioning],4)))</f>
        <v/>
      </c>
      <c r="BT5" s="5">
        <f>IF(A5="","",N(INDEX(Projects[Controls Eng],4)))</f>
        <v/>
      </c>
      <c r="BU5" s="5">
        <f>IF(A5="","",N(INDEX(Projects[Controls Purchase],4)))</f>
        <v/>
      </c>
      <c r="BV5" s="5">
        <f>IF(A5="","",N(INDEX(Projects[Software Eng],4)))</f>
        <v/>
      </c>
      <c r="BW5" s="5">
        <f>IF(A5="","",N(INDEX(Projects[Misc],4)))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  <c r="BZ5" s="5">
        <f>INDEX(Projects[Solution Type],4)&amp;""</f>
        <v/>
      </c>
      <c r="CA5" s="5">
        <f>INDEX(Projects[Client / Region],4)&amp;""</f>
        <v/>
      </c>
      <c r="CB5" s="5">
        <f>INDEX(Projects[Year],4)</f>
        <v/>
      </c>
      <c r="CC5" s="5">
        <f>INDEX(Projects[Won?],4)&amp;""</f>
        <v/>
      </c>
      <c r="CD5" s="5">
        <f>INDEX(Projects[Value (USD M)],4)</f>
        <v/>
      </c>
      <c r="CE5" s="5">
        <f>INDEX(Projects[MH Data Status],4)&amp;""</f>
        <v/>
      </c>
    </row>
    <row r="6" ht="15" customHeight="1" s="74">
      <c r="A6" s="66">
        <f>INDEX(Projects[Project ID *],5)&amp;""</f>
        <v/>
      </c>
      <c r="B6" s="66">
        <f>INDEX(Projects[Project Name *],5)&amp;""</f>
        <v/>
      </c>
      <c r="C6" s="66">
        <f>INDEX(Projects[MS Shuttles],5)</f>
        <v/>
      </c>
      <c r="D6" s="66">
        <f>INDEX(Projects[MS Tote Locations],5)</f>
        <v/>
      </c>
      <c r="E6" s="66">
        <f>INDEX(Projects[AS Robots],5)</f>
        <v/>
      </c>
      <c r="F6" s="66">
        <f>INDEX(Projects[AS Tote Locations],5)</f>
        <v/>
      </c>
      <c r="G6" s="66">
        <f>INDEX(Projects[PS Shuttles],5)</f>
        <v/>
      </c>
      <c r="H6" s="66">
        <f>INDEX(Projects[PS Pallet Locations],5)</f>
        <v/>
      </c>
      <c r="I6" s="66">
        <f>INDEX(Projects[SRM Cranes],5)</f>
        <v/>
      </c>
      <c r="J6" s="66">
        <f>INDEX(Projects[SRM Pallet Locations],5)</f>
        <v/>
      </c>
      <c r="K6" s="66">
        <f>INDEX(Projects[Case Conv (m)],5)</f>
        <v/>
      </c>
      <c r="L6" s="66">
        <f>INDEX(Projects[Pallet Conv (m)],5)</f>
        <v/>
      </c>
      <c r="M6" s="66">
        <f>INDEX(Projects[Mech Eng (wks)],5)</f>
        <v/>
      </c>
      <c r="N6" s="66">
        <f>INDEX(Projects[Controls Eng (wks)],5)</f>
        <v/>
      </c>
      <c r="O6" s="66">
        <f>INDEX(Projects[Systems Eng (wks)],5)</f>
        <v/>
      </c>
      <c r="P6" s="66">
        <f>INDEX(Projects[Software Eng (wks)],5)</f>
        <v/>
      </c>
      <c r="Q6" s="66">
        <f>INDEX(Projects[M&amp;E Installation (wks)],5)</f>
        <v/>
      </c>
      <c r="R6" s="66">
        <f>INDEX(Projects[Commissioning (wks)],5)</f>
        <v/>
      </c>
      <c r="S6" s="66">
        <f>INDEX(Projects[Total Timeline (wks)],5)</f>
        <v/>
      </c>
      <c r="T6" s="66">
        <f>INDEX(Projects[Currency],5)&amp;""</f>
        <v/>
      </c>
      <c r="U6" s="67">
        <f>INDEX(Projects[Value (M)],5)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INDEX(Projects[Automation Equipment],5)&amp;""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IF(AND(A6&lt;&gt;"",OR('Smart Search'!$L$5="",'Smart Search'!$L$5="All",TRIM(BZ6)=TRIM('Smart Search'!$L$5)),OR(TRIM('Smart Search'!$L$6)="",TRIM('Smart Search'!$L$6)="All",ISNUMBER(SEARCH(SUBSTITUTE(SUBSTITUTE(SUBSTITUTE(TRIM('Smart Search'!$L$6),"~","~~"),"*","~*"),"?","~?"),CA6))),OR('Smart Search'!$L$7="",AND(CB6&lt;&gt;0,CB6='Smart Search'!$L$7)),OR('Smart Search'!$L$8="",'Smart Search'!$L$8="All",TRIM(CC6)=TRIM('Smart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IF(A6="","",N(INDEX(Projects[Mech Inst],5)))</f>
        <v/>
      </c>
      <c r="BK6" s="5">
        <f>IF(A6="","",N(INDEX(Projects[Elec Inst],5)))</f>
        <v/>
      </c>
      <c r="BL6" s="5">
        <f>IF(A6="","",N(INDEX(Projects[Project Management],5)))</f>
        <v/>
      </c>
      <c r="BM6" s="5">
        <f>IF(A6="","",N(INDEX(Projects[Systems Eng],5)))</f>
        <v/>
      </c>
      <c r="BN6" s="5">
        <f>IF(A6="","",N(INDEX(Projects[Mechanical Eng],5)))</f>
        <v/>
      </c>
      <c r="BO6" s="5">
        <f>IF(A6="","",N(INDEX(Projects[Structural Engineering],5)))</f>
        <v/>
      </c>
      <c r="BP6" s="5">
        <f>IF(A6="","",N(INDEX(Projects[Site Sup],5)))</f>
        <v/>
      </c>
      <c r="BQ6" s="5">
        <f>IF(A6="","",N(INDEX(Projects[Controls Commissioning],5)))</f>
        <v/>
      </c>
      <c r="BR6" s="5">
        <f>IF(A6="","",N(INDEX(Projects[Systems Commissioning],5)))</f>
        <v/>
      </c>
      <c r="BS6" s="5">
        <f>IF(A6="","",N(INDEX(Projects[Service Commissioning],5)))</f>
        <v/>
      </c>
      <c r="BT6" s="5">
        <f>IF(A6="","",N(INDEX(Projects[Controls Eng],5)))</f>
        <v/>
      </c>
      <c r="BU6" s="5">
        <f>IF(A6="","",N(INDEX(Projects[Controls Purchase],5)))</f>
        <v/>
      </c>
      <c r="BV6" s="5">
        <f>IF(A6="","",N(INDEX(Projects[Software Eng],5)))</f>
        <v/>
      </c>
      <c r="BW6" s="5">
        <f>IF(A6="","",N(INDEX(Projects[Misc],5)))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  <c r="BZ6" s="5">
        <f>INDEX(Projects[Solution Type],5)&amp;""</f>
        <v/>
      </c>
      <c r="CA6" s="5">
        <f>INDEX(Projects[Client / Region],5)&amp;""</f>
        <v/>
      </c>
      <c r="CB6" s="5">
        <f>INDEX(Projects[Year],5)</f>
        <v/>
      </c>
      <c r="CC6" s="5">
        <f>INDEX(Projects[Won?],5)&amp;""</f>
        <v/>
      </c>
      <c r="CD6" s="5">
        <f>INDEX(Projects[Value (USD M)],5)</f>
        <v/>
      </c>
      <c r="CE6" s="5">
        <f>INDEX(Projects[MH Data Status],5)&amp;""</f>
        <v/>
      </c>
    </row>
    <row r="7" ht="15" customHeight="1" s="74">
      <c r="A7" s="66">
        <f>INDEX(Projects[Project ID *],6)&amp;""</f>
        <v/>
      </c>
      <c r="B7" s="66">
        <f>INDEX(Projects[Project Name *],6)&amp;""</f>
        <v/>
      </c>
      <c r="C7" s="66">
        <f>INDEX(Projects[MS Shuttles],6)</f>
        <v/>
      </c>
      <c r="D7" s="66">
        <f>INDEX(Projects[MS Tote Locations],6)</f>
        <v/>
      </c>
      <c r="E7" s="66">
        <f>INDEX(Projects[AS Robots],6)</f>
        <v/>
      </c>
      <c r="F7" s="66">
        <f>INDEX(Projects[AS Tote Locations],6)</f>
        <v/>
      </c>
      <c r="G7" s="66">
        <f>INDEX(Projects[PS Shuttles],6)</f>
        <v/>
      </c>
      <c r="H7" s="66">
        <f>INDEX(Projects[PS Pallet Locations],6)</f>
        <v/>
      </c>
      <c r="I7" s="66">
        <f>INDEX(Projects[SRM Cranes],6)</f>
        <v/>
      </c>
      <c r="J7" s="66">
        <f>INDEX(Projects[SRM Pallet Locations],6)</f>
        <v/>
      </c>
      <c r="K7" s="66">
        <f>INDEX(Projects[Case Conv (m)],6)</f>
        <v/>
      </c>
      <c r="L7" s="66">
        <f>INDEX(Projects[Pallet Conv (m)],6)</f>
        <v/>
      </c>
      <c r="M7" s="66">
        <f>INDEX(Projects[Mech Eng (wks)],6)</f>
        <v/>
      </c>
      <c r="N7" s="66">
        <f>INDEX(Projects[Controls Eng (wks)],6)</f>
        <v/>
      </c>
      <c r="O7" s="66">
        <f>INDEX(Projects[Systems Eng (wks)],6)</f>
        <v/>
      </c>
      <c r="P7" s="66">
        <f>INDEX(Projects[Software Eng (wks)],6)</f>
        <v/>
      </c>
      <c r="Q7" s="66">
        <f>INDEX(Projects[M&amp;E Installation (wks)],6)</f>
        <v/>
      </c>
      <c r="R7" s="66">
        <f>INDEX(Projects[Commissioning (wks)],6)</f>
        <v/>
      </c>
      <c r="S7" s="66">
        <f>INDEX(Projects[Total Timeline (wks)],6)</f>
        <v/>
      </c>
      <c r="T7" s="66">
        <f>INDEX(Projects[Currency],6)&amp;""</f>
        <v/>
      </c>
      <c r="U7" s="67">
        <f>INDEX(Projects[Value (M)],6)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INDEX(Projects[Automation Equipment],6)&amp;""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IF(AND(A7&lt;&gt;"",OR('Smart Search'!$L$5="",'Smart Search'!$L$5="All",TRIM(BZ7)=TRIM('Smart Search'!$L$5)),OR(TRIM('Smart Search'!$L$6)="",TRIM('Smart Search'!$L$6)="All",ISNUMBER(SEARCH(SUBSTITUTE(SUBSTITUTE(SUBSTITUTE(TRIM('Smart Search'!$L$6),"~","~~"),"*","~*"),"?","~?"),CA7))),OR('Smart Search'!$L$7="",AND(CB7&lt;&gt;0,CB7='Smart Search'!$L$7)),OR('Smart Search'!$L$8="",'Smart Search'!$L$8="All",TRIM(CC7)=TRIM('Smart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IF(A7="","",N(INDEX(Projects[Mech Inst],6)))</f>
        <v/>
      </c>
      <c r="BK7" s="5">
        <f>IF(A7="","",N(INDEX(Projects[Elec Inst],6)))</f>
        <v/>
      </c>
      <c r="BL7" s="5">
        <f>IF(A7="","",N(INDEX(Projects[Project Management],6)))</f>
        <v/>
      </c>
      <c r="BM7" s="5">
        <f>IF(A7="","",N(INDEX(Projects[Systems Eng],6)))</f>
        <v/>
      </c>
      <c r="BN7" s="5">
        <f>IF(A7="","",N(INDEX(Projects[Mechanical Eng],6)))</f>
        <v/>
      </c>
      <c r="BO7" s="5">
        <f>IF(A7="","",N(INDEX(Projects[Structural Engineering],6)))</f>
        <v/>
      </c>
      <c r="BP7" s="5">
        <f>IF(A7="","",N(INDEX(Projects[Site Sup],6)))</f>
        <v/>
      </c>
      <c r="BQ7" s="5">
        <f>IF(A7="","",N(INDEX(Projects[Controls Commissioning],6)))</f>
        <v/>
      </c>
      <c r="BR7" s="5">
        <f>IF(A7="","",N(INDEX(Projects[Systems Commissioning],6)))</f>
        <v/>
      </c>
      <c r="BS7" s="5">
        <f>IF(A7="","",N(INDEX(Projects[Service Commissioning],6)))</f>
        <v/>
      </c>
      <c r="BT7" s="5">
        <f>IF(A7="","",N(INDEX(Projects[Controls Eng],6)))</f>
        <v/>
      </c>
      <c r="BU7" s="5">
        <f>IF(A7="","",N(INDEX(Projects[Controls Purchase],6)))</f>
        <v/>
      </c>
      <c r="BV7" s="5">
        <f>IF(A7="","",N(INDEX(Projects[Software Eng],6)))</f>
        <v/>
      </c>
      <c r="BW7" s="5">
        <f>IF(A7="","",N(INDEX(Projects[Misc],6)))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  <c r="BZ7" s="5">
        <f>INDEX(Projects[Solution Type],6)&amp;""</f>
        <v/>
      </c>
      <c r="CA7" s="5">
        <f>INDEX(Projects[Client / Region],6)&amp;""</f>
        <v/>
      </c>
      <c r="CB7" s="5">
        <f>INDEX(Projects[Year],6)</f>
        <v/>
      </c>
      <c r="CC7" s="5">
        <f>INDEX(Projects[Won?],6)&amp;""</f>
        <v/>
      </c>
      <c r="CD7" s="5">
        <f>INDEX(Projects[Value (USD M)],6)</f>
        <v/>
      </c>
      <c r="CE7" s="5">
        <f>INDEX(Projects[MH Data Status],6)&amp;""</f>
        <v/>
      </c>
    </row>
    <row r="8" ht="15" customHeight="1" s="74">
      <c r="A8" s="66">
        <f>INDEX(Projects[Project ID *],7)&amp;""</f>
        <v/>
      </c>
      <c r="B8" s="66">
        <f>INDEX(Projects[Project Name *],7)&amp;""</f>
        <v/>
      </c>
      <c r="C8" s="66">
        <f>INDEX(Projects[MS Shuttles],7)</f>
        <v/>
      </c>
      <c r="D8" s="66">
        <f>INDEX(Projects[MS Tote Locations],7)</f>
        <v/>
      </c>
      <c r="E8" s="66">
        <f>INDEX(Projects[AS Robots],7)</f>
        <v/>
      </c>
      <c r="F8" s="66">
        <f>INDEX(Projects[AS Tote Locations],7)</f>
        <v/>
      </c>
      <c r="G8" s="66">
        <f>INDEX(Projects[PS Shuttles],7)</f>
        <v/>
      </c>
      <c r="H8" s="66">
        <f>INDEX(Projects[PS Pallet Locations],7)</f>
        <v/>
      </c>
      <c r="I8" s="66">
        <f>INDEX(Projects[SRM Cranes],7)</f>
        <v/>
      </c>
      <c r="J8" s="66">
        <f>INDEX(Projects[SRM Pallet Locations],7)</f>
        <v/>
      </c>
      <c r="K8" s="66">
        <f>INDEX(Projects[Case Conv (m)],7)</f>
        <v/>
      </c>
      <c r="L8" s="66">
        <f>INDEX(Projects[Pallet Conv (m)],7)</f>
        <v/>
      </c>
      <c r="M8" s="66">
        <f>INDEX(Projects[Mech Eng (wks)],7)</f>
        <v/>
      </c>
      <c r="N8" s="66">
        <f>INDEX(Projects[Controls Eng (wks)],7)</f>
        <v/>
      </c>
      <c r="O8" s="66">
        <f>INDEX(Projects[Systems Eng (wks)],7)</f>
        <v/>
      </c>
      <c r="P8" s="66">
        <f>INDEX(Projects[Software Eng (wks)],7)</f>
        <v/>
      </c>
      <c r="Q8" s="66">
        <f>INDEX(Projects[M&amp;E Installation (wks)],7)</f>
        <v/>
      </c>
      <c r="R8" s="66">
        <f>INDEX(Projects[Commissioning (wks)],7)</f>
        <v/>
      </c>
      <c r="S8" s="66">
        <f>INDEX(Projects[Total Timeline (wks)],7)</f>
        <v/>
      </c>
      <c r="T8" s="66">
        <f>INDEX(Projects[Currency],7)&amp;""</f>
        <v/>
      </c>
      <c r="U8" s="67">
        <f>INDEX(Projects[Value (M)],7)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INDEX(Projects[Automation Equipment],7)&amp;""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IF(AND(A8&lt;&gt;"",OR('Smart Search'!$L$5="",'Smart Search'!$L$5="All",TRIM(BZ8)=TRIM('Smart Search'!$L$5)),OR(TRIM('Smart Search'!$L$6)="",TRIM('Smart Search'!$L$6)="All",ISNUMBER(SEARCH(SUBSTITUTE(SUBSTITUTE(SUBSTITUTE(TRIM('Smart Search'!$L$6),"~","~~"),"*","~*"),"?","~?"),CA8))),OR('Smart Search'!$L$7="",AND(CB8&lt;&gt;0,CB8='Smart Search'!$L$7)),OR('Smart Search'!$L$8="",'Smart Search'!$L$8="All",TRIM(CC8)=TRIM('Smart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IF(A8="","",N(INDEX(Projects[Mech Inst],7)))</f>
        <v/>
      </c>
      <c r="BK8" s="5">
        <f>IF(A8="","",N(INDEX(Projects[Elec Inst],7)))</f>
        <v/>
      </c>
      <c r="BL8" s="5">
        <f>IF(A8="","",N(INDEX(Projects[Project Management],7)))</f>
        <v/>
      </c>
      <c r="BM8" s="5">
        <f>IF(A8="","",N(INDEX(Projects[Systems Eng],7)))</f>
        <v/>
      </c>
      <c r="BN8" s="5">
        <f>IF(A8="","",N(INDEX(Projects[Mechanical Eng],7)))</f>
        <v/>
      </c>
      <c r="BO8" s="5">
        <f>IF(A8="","",N(INDEX(Projects[Structural Engineering],7)))</f>
        <v/>
      </c>
      <c r="BP8" s="5">
        <f>IF(A8="","",N(INDEX(Projects[Site Sup],7)))</f>
        <v/>
      </c>
      <c r="BQ8" s="5">
        <f>IF(A8="","",N(INDEX(Projects[Controls Commissioning],7)))</f>
        <v/>
      </c>
      <c r="BR8" s="5">
        <f>IF(A8="","",N(INDEX(Projects[Systems Commissioning],7)))</f>
        <v/>
      </c>
      <c r="BS8" s="5">
        <f>IF(A8="","",N(INDEX(Projects[Service Commissioning],7)))</f>
        <v/>
      </c>
      <c r="BT8" s="5">
        <f>IF(A8="","",N(INDEX(Projects[Controls Eng],7)))</f>
        <v/>
      </c>
      <c r="BU8" s="5">
        <f>IF(A8="","",N(INDEX(Projects[Controls Purchase],7)))</f>
        <v/>
      </c>
      <c r="BV8" s="5">
        <f>IF(A8="","",N(INDEX(Projects[Software Eng],7)))</f>
        <v/>
      </c>
      <c r="BW8" s="5">
        <f>IF(A8="","",N(INDEX(Projects[Misc],7)))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  <c r="BZ8" s="5">
        <f>INDEX(Projects[Solution Type],7)&amp;""</f>
        <v/>
      </c>
      <c r="CA8" s="5">
        <f>INDEX(Projects[Client / Region],7)&amp;""</f>
        <v/>
      </c>
      <c r="CB8" s="5">
        <f>INDEX(Projects[Year],7)</f>
        <v/>
      </c>
      <c r="CC8" s="5">
        <f>INDEX(Projects[Won?],7)&amp;""</f>
        <v/>
      </c>
      <c r="CD8" s="5">
        <f>INDEX(Projects[Value (USD M)],7)</f>
        <v/>
      </c>
      <c r="CE8" s="5">
        <f>INDEX(Projects[MH Data Status],7)&amp;""</f>
        <v/>
      </c>
    </row>
    <row r="9" ht="15" customHeight="1" s="74">
      <c r="A9" s="66">
        <f>INDEX(Projects[Project ID *],8)&amp;""</f>
        <v/>
      </c>
      <c r="B9" s="66">
        <f>INDEX(Projects[Project Name *],8)&amp;""</f>
        <v/>
      </c>
      <c r="C9" s="66">
        <f>INDEX(Projects[MS Shuttles],8)</f>
        <v/>
      </c>
      <c r="D9" s="66">
        <f>INDEX(Projects[MS Tote Locations],8)</f>
        <v/>
      </c>
      <c r="E9" s="66">
        <f>INDEX(Projects[AS Robots],8)</f>
        <v/>
      </c>
      <c r="F9" s="66">
        <f>INDEX(Projects[AS Tote Locations],8)</f>
        <v/>
      </c>
      <c r="G9" s="66">
        <f>INDEX(Projects[PS Shuttles],8)</f>
        <v/>
      </c>
      <c r="H9" s="66">
        <f>INDEX(Projects[PS Pallet Locations],8)</f>
        <v/>
      </c>
      <c r="I9" s="66">
        <f>INDEX(Projects[SRM Cranes],8)</f>
        <v/>
      </c>
      <c r="J9" s="66">
        <f>INDEX(Projects[SRM Pallet Locations],8)</f>
        <v/>
      </c>
      <c r="K9" s="66">
        <f>INDEX(Projects[Case Conv (m)],8)</f>
        <v/>
      </c>
      <c r="L9" s="66">
        <f>INDEX(Projects[Pallet Conv (m)],8)</f>
        <v/>
      </c>
      <c r="M9" s="66">
        <f>INDEX(Projects[Mech Eng (wks)],8)</f>
        <v/>
      </c>
      <c r="N9" s="66">
        <f>INDEX(Projects[Controls Eng (wks)],8)</f>
        <v/>
      </c>
      <c r="O9" s="66">
        <f>INDEX(Projects[Systems Eng (wks)],8)</f>
        <v/>
      </c>
      <c r="P9" s="66">
        <f>INDEX(Projects[Software Eng (wks)],8)</f>
        <v/>
      </c>
      <c r="Q9" s="66">
        <f>INDEX(Projects[M&amp;E Installation (wks)],8)</f>
        <v/>
      </c>
      <c r="R9" s="66">
        <f>INDEX(Projects[Commissioning (wks)],8)</f>
        <v/>
      </c>
      <c r="S9" s="66">
        <f>INDEX(Projects[Total Timeline (wks)],8)</f>
        <v/>
      </c>
      <c r="T9" s="66">
        <f>INDEX(Projects[Currency],8)&amp;""</f>
        <v/>
      </c>
      <c r="U9" s="67">
        <f>INDEX(Projects[Value (M)],8)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INDEX(Projects[Automation Equipment],8)&amp;""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IF(AND(A9&lt;&gt;"",OR('Smart Search'!$L$5="",'Smart Search'!$L$5="All",TRIM(BZ9)=TRIM('Smart Search'!$L$5)),OR(TRIM('Smart Search'!$L$6)="",TRIM('Smart Search'!$L$6)="All",ISNUMBER(SEARCH(SUBSTITUTE(SUBSTITUTE(SUBSTITUTE(TRIM('Smart Search'!$L$6),"~","~~"),"*","~*"),"?","~?"),CA9))),OR('Smart Search'!$L$7="",AND(CB9&lt;&gt;0,CB9='Smart Search'!$L$7)),OR('Smart Search'!$L$8="",'Smart Search'!$L$8="All",TRIM(CC9)=TRIM('Smart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IF(A9="","",N(INDEX(Projects[Mech Inst],8)))</f>
        <v/>
      </c>
      <c r="BK9" s="5">
        <f>IF(A9="","",N(INDEX(Projects[Elec Inst],8)))</f>
        <v/>
      </c>
      <c r="BL9" s="5">
        <f>IF(A9="","",N(INDEX(Projects[Project Management],8)))</f>
        <v/>
      </c>
      <c r="BM9" s="5">
        <f>IF(A9="","",N(INDEX(Projects[Systems Eng],8)))</f>
        <v/>
      </c>
      <c r="BN9" s="5">
        <f>IF(A9="","",N(INDEX(Projects[Mechanical Eng],8)))</f>
        <v/>
      </c>
      <c r="BO9" s="5">
        <f>IF(A9="","",N(INDEX(Projects[Structural Engineering],8)))</f>
        <v/>
      </c>
      <c r="BP9" s="5">
        <f>IF(A9="","",N(INDEX(Projects[Site Sup],8)))</f>
        <v/>
      </c>
      <c r="BQ9" s="5">
        <f>IF(A9="","",N(INDEX(Projects[Controls Commissioning],8)))</f>
        <v/>
      </c>
      <c r="BR9" s="5">
        <f>IF(A9="","",N(INDEX(Projects[Systems Commissioning],8)))</f>
        <v/>
      </c>
      <c r="BS9" s="5">
        <f>IF(A9="","",N(INDEX(Projects[Service Commissioning],8)))</f>
        <v/>
      </c>
      <c r="BT9" s="5">
        <f>IF(A9="","",N(INDEX(Projects[Controls Eng],8)))</f>
        <v/>
      </c>
      <c r="BU9" s="5">
        <f>IF(A9="","",N(INDEX(Projects[Controls Purchase],8)))</f>
        <v/>
      </c>
      <c r="BV9" s="5">
        <f>IF(A9="","",N(INDEX(Projects[Software Eng],8)))</f>
        <v/>
      </c>
      <c r="BW9" s="5">
        <f>IF(A9="","",N(INDEX(Projects[Misc],8)))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  <c r="BZ9" s="5">
        <f>INDEX(Projects[Solution Type],8)&amp;""</f>
        <v/>
      </c>
      <c r="CA9" s="5">
        <f>INDEX(Projects[Client / Region],8)&amp;""</f>
        <v/>
      </c>
      <c r="CB9" s="5">
        <f>INDEX(Projects[Year],8)</f>
        <v/>
      </c>
      <c r="CC9" s="5">
        <f>INDEX(Projects[Won?],8)&amp;""</f>
        <v/>
      </c>
      <c r="CD9" s="5">
        <f>INDEX(Projects[Value (USD M)],8)</f>
        <v/>
      </c>
      <c r="CE9" s="5">
        <f>INDEX(Projects[MH Data Status],8)&amp;""</f>
        <v/>
      </c>
    </row>
    <row r="10" ht="15" customHeight="1" s="74">
      <c r="A10" s="66">
        <f>INDEX(Projects[Project ID *],9)&amp;""</f>
        <v/>
      </c>
      <c r="B10" s="66">
        <f>INDEX(Projects[Project Name *],9)&amp;""</f>
        <v/>
      </c>
      <c r="C10" s="66">
        <f>INDEX(Projects[MS Shuttles],9)</f>
        <v/>
      </c>
      <c r="D10" s="66">
        <f>INDEX(Projects[MS Tote Locations],9)</f>
        <v/>
      </c>
      <c r="E10" s="66">
        <f>INDEX(Projects[AS Robots],9)</f>
        <v/>
      </c>
      <c r="F10" s="66">
        <f>INDEX(Projects[AS Tote Locations],9)</f>
        <v/>
      </c>
      <c r="G10" s="66">
        <f>INDEX(Projects[PS Shuttles],9)</f>
        <v/>
      </c>
      <c r="H10" s="66">
        <f>INDEX(Projects[PS Pallet Locations],9)</f>
        <v/>
      </c>
      <c r="I10" s="66">
        <f>INDEX(Projects[SRM Cranes],9)</f>
        <v/>
      </c>
      <c r="J10" s="66">
        <f>INDEX(Projects[SRM Pallet Locations],9)</f>
        <v/>
      </c>
      <c r="K10" s="66">
        <f>INDEX(Projects[Case Conv (m)],9)</f>
        <v/>
      </c>
      <c r="L10" s="66">
        <f>INDEX(Projects[Pallet Conv (m)],9)</f>
        <v/>
      </c>
      <c r="M10" s="66">
        <f>INDEX(Projects[Mech Eng (wks)],9)</f>
        <v/>
      </c>
      <c r="N10" s="66">
        <f>INDEX(Projects[Controls Eng (wks)],9)</f>
        <v/>
      </c>
      <c r="O10" s="66">
        <f>INDEX(Projects[Systems Eng (wks)],9)</f>
        <v/>
      </c>
      <c r="P10" s="66">
        <f>INDEX(Projects[Software Eng (wks)],9)</f>
        <v/>
      </c>
      <c r="Q10" s="66">
        <f>INDEX(Projects[M&amp;E Installation (wks)],9)</f>
        <v/>
      </c>
      <c r="R10" s="66">
        <f>INDEX(Projects[Commissioning (wks)],9)</f>
        <v/>
      </c>
      <c r="S10" s="66">
        <f>INDEX(Projects[Total Timeline (wks)],9)</f>
        <v/>
      </c>
      <c r="T10" s="66">
        <f>INDEX(Projects[Currency],9)&amp;""</f>
        <v/>
      </c>
      <c r="U10" s="67">
        <f>INDEX(Projects[Value (M)],9)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INDEX(Projects[Automation Equipment],9)&amp;""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IF(AND(A10&lt;&gt;"",OR('Smart Search'!$L$5="",'Smart Search'!$L$5="All",TRIM(BZ10)=TRIM('Smart Search'!$L$5)),OR(TRIM('Smart Search'!$L$6)="",TRIM('Smart Search'!$L$6)="All",ISNUMBER(SEARCH(SUBSTITUTE(SUBSTITUTE(SUBSTITUTE(TRIM('Smart Search'!$L$6),"~","~~"),"*","~*"),"?","~?"),CA10))),OR('Smart Search'!$L$7="",AND(CB10&lt;&gt;0,CB10='Smart Search'!$L$7)),OR('Smart Search'!$L$8="",'Smart Search'!$L$8="All",TRIM(CC10)=TRIM('Smart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IF(A10="","",N(INDEX(Projects[Mech Inst],9)))</f>
        <v/>
      </c>
      <c r="BK10" s="5">
        <f>IF(A10="","",N(INDEX(Projects[Elec Inst],9)))</f>
        <v/>
      </c>
      <c r="BL10" s="5">
        <f>IF(A10="","",N(INDEX(Projects[Project Management],9)))</f>
        <v/>
      </c>
      <c r="BM10" s="5">
        <f>IF(A10="","",N(INDEX(Projects[Systems Eng],9)))</f>
        <v/>
      </c>
      <c r="BN10" s="5">
        <f>IF(A10="","",N(INDEX(Projects[Mechanical Eng],9)))</f>
        <v/>
      </c>
      <c r="BO10" s="5">
        <f>IF(A10="","",N(INDEX(Projects[Structural Engineering],9)))</f>
        <v/>
      </c>
      <c r="BP10" s="5">
        <f>IF(A10="","",N(INDEX(Projects[Site Sup],9)))</f>
        <v/>
      </c>
      <c r="BQ10" s="5">
        <f>IF(A10="","",N(INDEX(Projects[Controls Commissioning],9)))</f>
        <v/>
      </c>
      <c r="BR10" s="5">
        <f>IF(A10="","",N(INDEX(Projects[Systems Commissioning],9)))</f>
        <v/>
      </c>
      <c r="BS10" s="5">
        <f>IF(A10="","",N(INDEX(Projects[Service Commissioning],9)))</f>
        <v/>
      </c>
      <c r="BT10" s="5">
        <f>IF(A10="","",N(INDEX(Projects[Controls Eng],9)))</f>
        <v/>
      </c>
      <c r="BU10" s="5">
        <f>IF(A10="","",N(INDEX(Projects[Controls Purchase],9)))</f>
        <v/>
      </c>
      <c r="BV10" s="5">
        <f>IF(A10="","",N(INDEX(Projects[Software Eng],9)))</f>
        <v/>
      </c>
      <c r="BW10" s="5">
        <f>IF(A10="","",N(INDEX(Projects[Misc],9)))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  <c r="BZ10" s="5">
        <f>INDEX(Projects[Solution Type],9)&amp;""</f>
        <v/>
      </c>
      <c r="CA10" s="5">
        <f>INDEX(Projects[Client / Region],9)&amp;""</f>
        <v/>
      </c>
      <c r="CB10" s="5">
        <f>INDEX(Projects[Year],9)</f>
        <v/>
      </c>
      <c r="CC10" s="5">
        <f>INDEX(Projects[Won?],9)&amp;""</f>
        <v/>
      </c>
      <c r="CD10" s="5">
        <f>INDEX(Projects[Value (USD M)],9)</f>
        <v/>
      </c>
      <c r="CE10" s="5">
        <f>INDEX(Projects[MH Data Status],9)&amp;""</f>
        <v/>
      </c>
    </row>
    <row r="11" ht="15" customHeight="1" s="74">
      <c r="A11" s="66">
        <f>INDEX(Projects[Project ID *],10)&amp;""</f>
        <v/>
      </c>
      <c r="B11" s="66">
        <f>INDEX(Projects[Project Name *],10)&amp;""</f>
        <v/>
      </c>
      <c r="C11" s="66">
        <f>INDEX(Projects[MS Shuttles],10)</f>
        <v/>
      </c>
      <c r="D11" s="66">
        <f>INDEX(Projects[MS Tote Locations],10)</f>
        <v/>
      </c>
      <c r="E11" s="66">
        <f>INDEX(Projects[AS Robots],10)</f>
        <v/>
      </c>
      <c r="F11" s="66">
        <f>INDEX(Projects[AS Tote Locations],10)</f>
        <v/>
      </c>
      <c r="G11" s="66">
        <f>INDEX(Projects[PS Shuttles],10)</f>
        <v/>
      </c>
      <c r="H11" s="66">
        <f>INDEX(Projects[PS Pallet Locations],10)</f>
        <v/>
      </c>
      <c r="I11" s="66">
        <f>INDEX(Projects[SRM Cranes],10)</f>
        <v/>
      </c>
      <c r="J11" s="66">
        <f>INDEX(Projects[SRM Pallet Locations],10)</f>
        <v/>
      </c>
      <c r="K11" s="66">
        <f>INDEX(Projects[Case Conv (m)],10)</f>
        <v/>
      </c>
      <c r="L11" s="66">
        <f>INDEX(Projects[Pallet Conv (m)],10)</f>
        <v/>
      </c>
      <c r="M11" s="66">
        <f>INDEX(Projects[Mech Eng (wks)],10)</f>
        <v/>
      </c>
      <c r="N11" s="66">
        <f>INDEX(Projects[Controls Eng (wks)],10)</f>
        <v/>
      </c>
      <c r="O11" s="66">
        <f>INDEX(Projects[Systems Eng (wks)],10)</f>
        <v/>
      </c>
      <c r="P11" s="66">
        <f>INDEX(Projects[Software Eng (wks)],10)</f>
        <v/>
      </c>
      <c r="Q11" s="66">
        <f>INDEX(Projects[M&amp;E Installation (wks)],10)</f>
        <v/>
      </c>
      <c r="R11" s="66">
        <f>INDEX(Projects[Commissioning (wks)],10)</f>
        <v/>
      </c>
      <c r="S11" s="66">
        <f>INDEX(Projects[Total Timeline (wks)],10)</f>
        <v/>
      </c>
      <c r="T11" s="66">
        <f>INDEX(Projects[Currency],10)&amp;""</f>
        <v/>
      </c>
      <c r="U11" s="67">
        <f>INDEX(Projects[Value (M)],10)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INDEX(Projects[Automation Equipment],10)&amp;""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IF(AND(A11&lt;&gt;"",OR('Smart Search'!$L$5="",'Smart Search'!$L$5="All",TRIM(BZ11)=TRIM('Smart Search'!$L$5)),OR(TRIM('Smart Search'!$L$6)="",TRIM('Smart Search'!$L$6)="All",ISNUMBER(SEARCH(SUBSTITUTE(SUBSTITUTE(SUBSTITUTE(TRIM('Smart Search'!$L$6),"~","~~"),"*","~*"),"?","~?"),CA11))),OR('Smart Search'!$L$7="",AND(CB11&lt;&gt;0,CB11='Smart Search'!$L$7)),OR('Smart Search'!$L$8="",'Smart Search'!$L$8="All",TRIM(CC11)=TRIM('Smart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IF(A11="","",N(INDEX(Projects[Mech Inst],10)))</f>
        <v/>
      </c>
      <c r="BK11" s="5">
        <f>IF(A11="","",N(INDEX(Projects[Elec Inst],10)))</f>
        <v/>
      </c>
      <c r="BL11" s="5">
        <f>IF(A11="","",N(INDEX(Projects[Project Management],10)))</f>
        <v/>
      </c>
      <c r="BM11" s="5">
        <f>IF(A11="","",N(INDEX(Projects[Systems Eng],10)))</f>
        <v/>
      </c>
      <c r="BN11" s="5">
        <f>IF(A11="","",N(INDEX(Projects[Mechanical Eng],10)))</f>
        <v/>
      </c>
      <c r="BO11" s="5">
        <f>IF(A11="","",N(INDEX(Projects[Structural Engineering],10)))</f>
        <v/>
      </c>
      <c r="BP11" s="5">
        <f>IF(A11="","",N(INDEX(Projects[Site Sup],10)))</f>
        <v/>
      </c>
      <c r="BQ11" s="5">
        <f>IF(A11="","",N(INDEX(Projects[Controls Commissioning],10)))</f>
        <v/>
      </c>
      <c r="BR11" s="5">
        <f>IF(A11="","",N(INDEX(Projects[Systems Commissioning],10)))</f>
        <v/>
      </c>
      <c r="BS11" s="5">
        <f>IF(A11="","",N(INDEX(Projects[Service Commissioning],10)))</f>
        <v/>
      </c>
      <c r="BT11" s="5">
        <f>IF(A11="","",N(INDEX(Projects[Controls Eng],10)))</f>
        <v/>
      </c>
      <c r="BU11" s="5">
        <f>IF(A11="","",N(INDEX(Projects[Controls Purchase],10)))</f>
        <v/>
      </c>
      <c r="BV11" s="5">
        <f>IF(A11="","",N(INDEX(Projects[Software Eng],10)))</f>
        <v/>
      </c>
      <c r="BW11" s="5">
        <f>IF(A11="","",N(INDEX(Projects[Misc],10)))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  <c r="BZ11" s="5">
        <f>INDEX(Projects[Solution Type],10)&amp;""</f>
        <v/>
      </c>
      <c r="CA11" s="5">
        <f>INDEX(Projects[Client / Region],10)&amp;""</f>
        <v/>
      </c>
      <c r="CB11" s="5">
        <f>INDEX(Projects[Year],10)</f>
        <v/>
      </c>
      <c r="CC11" s="5">
        <f>INDEX(Projects[Won?],10)&amp;""</f>
        <v/>
      </c>
      <c r="CD11" s="5">
        <f>INDEX(Projects[Value (USD M)],10)</f>
        <v/>
      </c>
      <c r="CE11" s="5">
        <f>INDEX(Projects[MH Data Status],10)&amp;""</f>
        <v/>
      </c>
    </row>
    <row r="12" ht="15" customHeight="1" s="74">
      <c r="A12" s="66">
        <f>INDEX(Projects[Project ID *],11)&amp;""</f>
        <v/>
      </c>
      <c r="B12" s="66">
        <f>INDEX(Projects[Project Name *],11)&amp;""</f>
        <v/>
      </c>
      <c r="C12" s="66">
        <f>INDEX(Projects[MS Shuttles],11)</f>
        <v/>
      </c>
      <c r="D12" s="66">
        <f>INDEX(Projects[MS Tote Locations],11)</f>
        <v/>
      </c>
      <c r="E12" s="66">
        <f>INDEX(Projects[AS Robots],11)</f>
        <v/>
      </c>
      <c r="F12" s="66">
        <f>INDEX(Projects[AS Tote Locations],11)</f>
        <v/>
      </c>
      <c r="G12" s="66">
        <f>INDEX(Projects[PS Shuttles],11)</f>
        <v/>
      </c>
      <c r="H12" s="66">
        <f>INDEX(Projects[PS Pallet Locations],11)</f>
        <v/>
      </c>
      <c r="I12" s="66">
        <f>INDEX(Projects[SRM Cranes],11)</f>
        <v/>
      </c>
      <c r="J12" s="66">
        <f>INDEX(Projects[SRM Pallet Locations],11)</f>
        <v/>
      </c>
      <c r="K12" s="66">
        <f>INDEX(Projects[Case Conv (m)],11)</f>
        <v/>
      </c>
      <c r="L12" s="66">
        <f>INDEX(Projects[Pallet Conv (m)],11)</f>
        <v/>
      </c>
      <c r="M12" s="66">
        <f>INDEX(Projects[Mech Eng (wks)],11)</f>
        <v/>
      </c>
      <c r="N12" s="66">
        <f>INDEX(Projects[Controls Eng (wks)],11)</f>
        <v/>
      </c>
      <c r="O12" s="66">
        <f>INDEX(Projects[Systems Eng (wks)],11)</f>
        <v/>
      </c>
      <c r="P12" s="66">
        <f>INDEX(Projects[Software Eng (wks)],11)</f>
        <v/>
      </c>
      <c r="Q12" s="66">
        <f>INDEX(Projects[M&amp;E Installation (wks)],11)</f>
        <v/>
      </c>
      <c r="R12" s="66">
        <f>INDEX(Projects[Commissioning (wks)],11)</f>
        <v/>
      </c>
      <c r="S12" s="66">
        <f>INDEX(Projects[Total Timeline (wks)],11)</f>
        <v/>
      </c>
      <c r="T12" s="66">
        <f>INDEX(Projects[Currency],11)&amp;""</f>
        <v/>
      </c>
      <c r="U12" s="67">
        <f>INDEX(Projects[Value (M)],11)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INDEX(Projects[Automation Equipment],11)&amp;""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IF(AND(A12&lt;&gt;"",OR('Smart Search'!$L$5="",'Smart Search'!$L$5="All",TRIM(BZ12)=TRIM('Smart Search'!$L$5)),OR(TRIM('Smart Search'!$L$6)="",TRIM('Smart Search'!$L$6)="All",ISNUMBER(SEARCH(SUBSTITUTE(SUBSTITUTE(SUBSTITUTE(TRIM('Smart Search'!$L$6),"~","~~"),"*","~*"),"?","~?"),CA12))),OR('Smart Search'!$L$7="",AND(CB12&lt;&gt;0,CB12='Smart Search'!$L$7)),OR('Smart Search'!$L$8="",'Smart Search'!$L$8="All",TRIM(CC12)=TRIM('Smart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IF(A12="","",N(INDEX(Projects[Mech Inst],11)))</f>
        <v/>
      </c>
      <c r="BK12" s="5">
        <f>IF(A12="","",N(INDEX(Projects[Elec Inst],11)))</f>
        <v/>
      </c>
      <c r="BL12" s="5">
        <f>IF(A12="","",N(INDEX(Projects[Project Management],11)))</f>
        <v/>
      </c>
      <c r="BM12" s="5">
        <f>IF(A12="","",N(INDEX(Projects[Systems Eng],11)))</f>
        <v/>
      </c>
      <c r="BN12" s="5">
        <f>IF(A12="","",N(INDEX(Projects[Mechanical Eng],11)))</f>
        <v/>
      </c>
      <c r="BO12" s="5">
        <f>IF(A12="","",N(INDEX(Projects[Structural Engineering],11)))</f>
        <v/>
      </c>
      <c r="BP12" s="5">
        <f>IF(A12="","",N(INDEX(Projects[Site Sup],11)))</f>
        <v/>
      </c>
      <c r="BQ12" s="5">
        <f>IF(A12="","",N(INDEX(Projects[Controls Commissioning],11)))</f>
        <v/>
      </c>
      <c r="BR12" s="5">
        <f>IF(A12="","",N(INDEX(Projects[Systems Commissioning],11)))</f>
        <v/>
      </c>
      <c r="BS12" s="5">
        <f>IF(A12="","",N(INDEX(Projects[Service Commissioning],11)))</f>
        <v/>
      </c>
      <c r="BT12" s="5">
        <f>IF(A12="","",N(INDEX(Projects[Controls Eng],11)))</f>
        <v/>
      </c>
      <c r="BU12" s="5">
        <f>IF(A12="","",N(INDEX(Projects[Controls Purchase],11)))</f>
        <v/>
      </c>
      <c r="BV12" s="5">
        <f>IF(A12="","",N(INDEX(Projects[Software Eng],11)))</f>
        <v/>
      </c>
      <c r="BW12" s="5">
        <f>IF(A12="","",N(INDEX(Projects[Misc],11)))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  <c r="BZ12" s="5">
        <f>INDEX(Projects[Solution Type],11)&amp;""</f>
        <v/>
      </c>
      <c r="CA12" s="5">
        <f>INDEX(Projects[Client / Region],11)&amp;""</f>
        <v/>
      </c>
      <c r="CB12" s="5">
        <f>INDEX(Projects[Year],11)</f>
        <v/>
      </c>
      <c r="CC12" s="5">
        <f>INDEX(Projects[Won?],11)&amp;""</f>
        <v/>
      </c>
      <c r="CD12" s="5">
        <f>INDEX(Projects[Value (USD M)],11)</f>
        <v/>
      </c>
      <c r="CE12" s="5">
        <f>INDEX(Projects[MH Data Status],11)&amp;""</f>
        <v/>
      </c>
    </row>
    <row r="13" ht="15" customHeight="1" s="74">
      <c r="A13" s="66">
        <f>INDEX(Projects[Project ID *],12)&amp;""</f>
        <v/>
      </c>
      <c r="B13" s="66">
        <f>INDEX(Projects[Project Name *],12)&amp;""</f>
        <v/>
      </c>
      <c r="C13" s="66">
        <f>INDEX(Projects[MS Shuttles],12)</f>
        <v/>
      </c>
      <c r="D13" s="66">
        <f>INDEX(Projects[MS Tote Locations],12)</f>
        <v/>
      </c>
      <c r="E13" s="66">
        <f>INDEX(Projects[AS Robots],12)</f>
        <v/>
      </c>
      <c r="F13" s="66">
        <f>INDEX(Projects[AS Tote Locations],12)</f>
        <v/>
      </c>
      <c r="G13" s="66">
        <f>INDEX(Projects[PS Shuttles],12)</f>
        <v/>
      </c>
      <c r="H13" s="66">
        <f>INDEX(Projects[PS Pallet Locations],12)</f>
        <v/>
      </c>
      <c r="I13" s="66">
        <f>INDEX(Projects[SRM Cranes],12)</f>
        <v/>
      </c>
      <c r="J13" s="66">
        <f>INDEX(Projects[SRM Pallet Locations],12)</f>
        <v/>
      </c>
      <c r="K13" s="66">
        <f>INDEX(Projects[Case Conv (m)],12)</f>
        <v/>
      </c>
      <c r="L13" s="66">
        <f>INDEX(Projects[Pallet Conv (m)],12)</f>
        <v/>
      </c>
      <c r="M13" s="66">
        <f>INDEX(Projects[Mech Eng (wks)],12)</f>
        <v/>
      </c>
      <c r="N13" s="66">
        <f>INDEX(Projects[Controls Eng (wks)],12)</f>
        <v/>
      </c>
      <c r="O13" s="66">
        <f>INDEX(Projects[Systems Eng (wks)],12)</f>
        <v/>
      </c>
      <c r="P13" s="66">
        <f>INDEX(Projects[Software Eng (wks)],12)</f>
        <v/>
      </c>
      <c r="Q13" s="66">
        <f>INDEX(Projects[M&amp;E Installation (wks)],12)</f>
        <v/>
      </c>
      <c r="R13" s="66">
        <f>INDEX(Projects[Commissioning (wks)],12)</f>
        <v/>
      </c>
      <c r="S13" s="66">
        <f>INDEX(Projects[Total Timeline (wks)],12)</f>
        <v/>
      </c>
      <c r="T13" s="66">
        <f>INDEX(Projects[Currency],12)&amp;""</f>
        <v/>
      </c>
      <c r="U13" s="67">
        <f>INDEX(Projects[Value (M)],12)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INDEX(Projects[Automation Equipment],12)&amp;""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IF(AND(A13&lt;&gt;"",OR('Smart Search'!$L$5="",'Smart Search'!$L$5="All",TRIM(BZ13)=TRIM('Smart Search'!$L$5)),OR(TRIM('Smart Search'!$L$6)="",TRIM('Smart Search'!$L$6)="All",ISNUMBER(SEARCH(SUBSTITUTE(SUBSTITUTE(SUBSTITUTE(TRIM('Smart Search'!$L$6),"~","~~"),"*","~*"),"?","~?"),CA13))),OR('Smart Search'!$L$7="",AND(CB13&lt;&gt;0,CB13='Smart Search'!$L$7)),OR('Smart Search'!$L$8="",'Smart Search'!$L$8="All",TRIM(CC13)=TRIM('Smart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IF(A13="","",N(INDEX(Projects[Mech Inst],12)))</f>
        <v/>
      </c>
      <c r="BK13" s="5">
        <f>IF(A13="","",N(INDEX(Projects[Elec Inst],12)))</f>
        <v/>
      </c>
      <c r="BL13" s="5">
        <f>IF(A13="","",N(INDEX(Projects[Project Management],12)))</f>
        <v/>
      </c>
      <c r="BM13" s="5">
        <f>IF(A13="","",N(INDEX(Projects[Systems Eng],12)))</f>
        <v/>
      </c>
      <c r="BN13" s="5">
        <f>IF(A13="","",N(INDEX(Projects[Mechanical Eng],12)))</f>
        <v/>
      </c>
      <c r="BO13" s="5">
        <f>IF(A13="","",N(INDEX(Projects[Structural Engineering],12)))</f>
        <v/>
      </c>
      <c r="BP13" s="5">
        <f>IF(A13="","",N(INDEX(Projects[Site Sup],12)))</f>
        <v/>
      </c>
      <c r="BQ13" s="5">
        <f>IF(A13="","",N(INDEX(Projects[Controls Commissioning],12)))</f>
        <v/>
      </c>
      <c r="BR13" s="5">
        <f>IF(A13="","",N(INDEX(Projects[Systems Commissioning],12)))</f>
        <v/>
      </c>
      <c r="BS13" s="5">
        <f>IF(A13="","",N(INDEX(Projects[Service Commissioning],12)))</f>
        <v/>
      </c>
      <c r="BT13" s="5">
        <f>IF(A13="","",N(INDEX(Projects[Controls Eng],12)))</f>
        <v/>
      </c>
      <c r="BU13" s="5">
        <f>IF(A13="","",N(INDEX(Projects[Controls Purchase],12)))</f>
        <v/>
      </c>
      <c r="BV13" s="5">
        <f>IF(A13="","",N(INDEX(Projects[Software Eng],12)))</f>
        <v/>
      </c>
      <c r="BW13" s="5">
        <f>IF(A13="","",N(INDEX(Projects[Misc],12)))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  <c r="BZ13" s="5">
        <f>INDEX(Projects[Solution Type],12)&amp;""</f>
        <v/>
      </c>
      <c r="CA13" s="5">
        <f>INDEX(Projects[Client / Region],12)&amp;""</f>
        <v/>
      </c>
      <c r="CB13" s="5">
        <f>INDEX(Projects[Year],12)</f>
        <v/>
      </c>
      <c r="CC13" s="5">
        <f>INDEX(Projects[Won?],12)&amp;""</f>
        <v/>
      </c>
      <c r="CD13" s="5">
        <f>INDEX(Projects[Value (USD M)],12)</f>
        <v/>
      </c>
      <c r="CE13" s="5">
        <f>INDEX(Projects[MH Data Status],12)&amp;""</f>
        <v/>
      </c>
    </row>
    <row r="14" ht="15" customHeight="1" s="74">
      <c r="A14" s="66">
        <f>INDEX(Projects[Project ID *],13)&amp;""</f>
        <v/>
      </c>
      <c r="B14" s="66">
        <f>INDEX(Projects[Project Name *],13)&amp;""</f>
        <v/>
      </c>
      <c r="C14" s="66">
        <f>INDEX(Projects[MS Shuttles],13)</f>
        <v/>
      </c>
      <c r="D14" s="66">
        <f>INDEX(Projects[MS Tote Locations],13)</f>
        <v/>
      </c>
      <c r="E14" s="66">
        <f>INDEX(Projects[AS Robots],13)</f>
        <v/>
      </c>
      <c r="F14" s="66">
        <f>INDEX(Projects[AS Tote Locations],13)</f>
        <v/>
      </c>
      <c r="G14" s="66">
        <f>INDEX(Projects[PS Shuttles],13)</f>
        <v/>
      </c>
      <c r="H14" s="66">
        <f>INDEX(Projects[PS Pallet Locations],13)</f>
        <v/>
      </c>
      <c r="I14" s="66">
        <f>INDEX(Projects[SRM Cranes],13)</f>
        <v/>
      </c>
      <c r="J14" s="66">
        <f>INDEX(Projects[SRM Pallet Locations],13)</f>
        <v/>
      </c>
      <c r="K14" s="66">
        <f>INDEX(Projects[Case Conv (m)],13)</f>
        <v/>
      </c>
      <c r="L14" s="66">
        <f>INDEX(Projects[Pallet Conv (m)],13)</f>
        <v/>
      </c>
      <c r="M14" s="66">
        <f>INDEX(Projects[Mech Eng (wks)],13)</f>
        <v/>
      </c>
      <c r="N14" s="66">
        <f>INDEX(Projects[Controls Eng (wks)],13)</f>
        <v/>
      </c>
      <c r="O14" s="66">
        <f>INDEX(Projects[Systems Eng (wks)],13)</f>
        <v/>
      </c>
      <c r="P14" s="66">
        <f>INDEX(Projects[Software Eng (wks)],13)</f>
        <v/>
      </c>
      <c r="Q14" s="66">
        <f>INDEX(Projects[M&amp;E Installation (wks)],13)</f>
        <v/>
      </c>
      <c r="R14" s="66">
        <f>INDEX(Projects[Commissioning (wks)],13)</f>
        <v/>
      </c>
      <c r="S14" s="66">
        <f>INDEX(Projects[Total Timeline (wks)],13)</f>
        <v/>
      </c>
      <c r="T14" s="66">
        <f>INDEX(Projects[Currency],13)&amp;""</f>
        <v/>
      </c>
      <c r="U14" s="67">
        <f>INDEX(Projects[Value (M)],13)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INDEX(Projects[Automation Equipment],13)&amp;""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IF(AND(A14&lt;&gt;"",OR('Smart Search'!$L$5="",'Smart Search'!$L$5="All",TRIM(BZ14)=TRIM('Smart Search'!$L$5)),OR(TRIM('Smart Search'!$L$6)="",TRIM('Smart Search'!$L$6)="All",ISNUMBER(SEARCH(SUBSTITUTE(SUBSTITUTE(SUBSTITUTE(TRIM('Smart Search'!$L$6),"~","~~"),"*","~*"),"?","~?"),CA14))),OR('Smart Search'!$L$7="",AND(CB14&lt;&gt;0,CB14='Smart Search'!$L$7)),OR('Smart Search'!$L$8="",'Smart Search'!$L$8="All",TRIM(CC14)=TRIM('Smart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IF(A14="","",N(INDEX(Projects[Mech Inst],13)))</f>
        <v/>
      </c>
      <c r="BK14" s="5">
        <f>IF(A14="","",N(INDEX(Projects[Elec Inst],13)))</f>
        <v/>
      </c>
      <c r="BL14" s="5">
        <f>IF(A14="","",N(INDEX(Projects[Project Management],13)))</f>
        <v/>
      </c>
      <c r="BM14" s="5">
        <f>IF(A14="","",N(INDEX(Projects[Systems Eng],13)))</f>
        <v/>
      </c>
      <c r="BN14" s="5">
        <f>IF(A14="","",N(INDEX(Projects[Mechanical Eng],13)))</f>
        <v/>
      </c>
      <c r="BO14" s="5">
        <f>IF(A14="","",N(INDEX(Projects[Structural Engineering],13)))</f>
        <v/>
      </c>
      <c r="BP14" s="5">
        <f>IF(A14="","",N(INDEX(Projects[Site Sup],13)))</f>
        <v/>
      </c>
      <c r="BQ14" s="5">
        <f>IF(A14="","",N(INDEX(Projects[Controls Commissioning],13)))</f>
        <v/>
      </c>
      <c r="BR14" s="5">
        <f>IF(A14="","",N(INDEX(Projects[Systems Commissioning],13)))</f>
        <v/>
      </c>
      <c r="BS14" s="5">
        <f>IF(A14="","",N(INDEX(Projects[Service Commissioning],13)))</f>
        <v/>
      </c>
      <c r="BT14" s="5">
        <f>IF(A14="","",N(INDEX(Projects[Controls Eng],13)))</f>
        <v/>
      </c>
      <c r="BU14" s="5">
        <f>IF(A14="","",N(INDEX(Projects[Controls Purchase],13)))</f>
        <v/>
      </c>
      <c r="BV14" s="5">
        <f>IF(A14="","",N(INDEX(Projects[Software Eng],13)))</f>
        <v/>
      </c>
      <c r="BW14" s="5">
        <f>IF(A14="","",N(INDEX(Projects[Misc],13)))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  <c r="BZ14" s="5">
        <f>INDEX(Projects[Solution Type],13)&amp;""</f>
        <v/>
      </c>
      <c r="CA14" s="5">
        <f>INDEX(Projects[Client / Region],13)&amp;""</f>
        <v/>
      </c>
      <c r="CB14" s="5">
        <f>INDEX(Projects[Year],13)</f>
        <v/>
      </c>
      <c r="CC14" s="5">
        <f>INDEX(Projects[Won?],13)&amp;""</f>
        <v/>
      </c>
      <c r="CD14" s="5">
        <f>INDEX(Projects[Value (USD M)],13)</f>
        <v/>
      </c>
      <c r="CE14" s="5">
        <f>INDEX(Projects[MH Data Status],13)&amp;""</f>
        <v/>
      </c>
    </row>
    <row r="15" ht="15" customHeight="1" s="74">
      <c r="A15" s="66">
        <f>INDEX(Projects[Project ID *],14)&amp;""</f>
        <v/>
      </c>
      <c r="B15" s="66">
        <f>INDEX(Projects[Project Name *],14)&amp;""</f>
        <v/>
      </c>
      <c r="C15" s="66">
        <f>INDEX(Projects[MS Shuttles],14)</f>
        <v/>
      </c>
      <c r="D15" s="66">
        <f>INDEX(Projects[MS Tote Locations],14)</f>
        <v/>
      </c>
      <c r="E15" s="66">
        <f>INDEX(Projects[AS Robots],14)</f>
        <v/>
      </c>
      <c r="F15" s="66">
        <f>INDEX(Projects[AS Tote Locations],14)</f>
        <v/>
      </c>
      <c r="G15" s="66">
        <f>INDEX(Projects[PS Shuttles],14)</f>
        <v/>
      </c>
      <c r="H15" s="66">
        <f>INDEX(Projects[PS Pallet Locations],14)</f>
        <v/>
      </c>
      <c r="I15" s="66">
        <f>INDEX(Projects[SRM Cranes],14)</f>
        <v/>
      </c>
      <c r="J15" s="66">
        <f>INDEX(Projects[SRM Pallet Locations],14)</f>
        <v/>
      </c>
      <c r="K15" s="66">
        <f>INDEX(Projects[Case Conv (m)],14)</f>
        <v/>
      </c>
      <c r="L15" s="66">
        <f>INDEX(Projects[Pallet Conv (m)],14)</f>
        <v/>
      </c>
      <c r="M15" s="66">
        <f>INDEX(Projects[Mech Eng (wks)],14)</f>
        <v/>
      </c>
      <c r="N15" s="66">
        <f>INDEX(Projects[Controls Eng (wks)],14)</f>
        <v/>
      </c>
      <c r="O15" s="66">
        <f>INDEX(Projects[Systems Eng (wks)],14)</f>
        <v/>
      </c>
      <c r="P15" s="66">
        <f>INDEX(Projects[Software Eng (wks)],14)</f>
        <v/>
      </c>
      <c r="Q15" s="66">
        <f>INDEX(Projects[M&amp;E Installation (wks)],14)</f>
        <v/>
      </c>
      <c r="R15" s="66">
        <f>INDEX(Projects[Commissioning (wks)],14)</f>
        <v/>
      </c>
      <c r="S15" s="66">
        <f>INDEX(Projects[Total Timeline (wks)],14)</f>
        <v/>
      </c>
      <c r="T15" s="66">
        <f>INDEX(Projects[Currency],14)&amp;""</f>
        <v/>
      </c>
      <c r="U15" s="67">
        <f>INDEX(Projects[Value (M)],14)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INDEX(Projects[Automation Equipment],14)&amp;""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IF(AND(A15&lt;&gt;"",OR('Smart Search'!$L$5="",'Smart Search'!$L$5="All",TRIM(BZ15)=TRIM('Smart Search'!$L$5)),OR(TRIM('Smart Search'!$L$6)="",TRIM('Smart Search'!$L$6)="All",ISNUMBER(SEARCH(SUBSTITUTE(SUBSTITUTE(SUBSTITUTE(TRIM('Smart Search'!$L$6),"~","~~"),"*","~*"),"?","~?"),CA15))),OR('Smart Search'!$L$7="",AND(CB15&lt;&gt;0,CB15='Smart Search'!$L$7)),OR('Smart Search'!$L$8="",'Smart Search'!$L$8="All",TRIM(CC15)=TRIM('Smart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IF(A15="","",N(INDEX(Projects[Mech Inst],14)))</f>
        <v/>
      </c>
      <c r="BK15" s="5">
        <f>IF(A15="","",N(INDEX(Projects[Elec Inst],14)))</f>
        <v/>
      </c>
      <c r="BL15" s="5">
        <f>IF(A15="","",N(INDEX(Projects[Project Management],14)))</f>
        <v/>
      </c>
      <c r="BM15" s="5">
        <f>IF(A15="","",N(INDEX(Projects[Systems Eng],14)))</f>
        <v/>
      </c>
      <c r="BN15" s="5">
        <f>IF(A15="","",N(INDEX(Projects[Mechanical Eng],14)))</f>
        <v/>
      </c>
      <c r="BO15" s="5">
        <f>IF(A15="","",N(INDEX(Projects[Structural Engineering],14)))</f>
        <v/>
      </c>
      <c r="BP15" s="5">
        <f>IF(A15="","",N(INDEX(Projects[Site Sup],14)))</f>
        <v/>
      </c>
      <c r="BQ15" s="5">
        <f>IF(A15="","",N(INDEX(Projects[Controls Commissioning],14)))</f>
        <v/>
      </c>
      <c r="BR15" s="5">
        <f>IF(A15="","",N(INDEX(Projects[Systems Commissioning],14)))</f>
        <v/>
      </c>
      <c r="BS15" s="5">
        <f>IF(A15="","",N(INDEX(Projects[Service Commissioning],14)))</f>
        <v/>
      </c>
      <c r="BT15" s="5">
        <f>IF(A15="","",N(INDEX(Projects[Controls Eng],14)))</f>
        <v/>
      </c>
      <c r="BU15" s="5">
        <f>IF(A15="","",N(INDEX(Projects[Controls Purchase],14)))</f>
        <v/>
      </c>
      <c r="BV15" s="5">
        <f>IF(A15="","",N(INDEX(Projects[Software Eng],14)))</f>
        <v/>
      </c>
      <c r="BW15" s="5">
        <f>IF(A15="","",N(INDEX(Projects[Misc],14)))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  <c r="BZ15" s="5">
        <f>INDEX(Projects[Solution Type],14)&amp;""</f>
        <v/>
      </c>
      <c r="CA15" s="5">
        <f>INDEX(Projects[Client / Region],14)&amp;""</f>
        <v/>
      </c>
      <c r="CB15" s="5">
        <f>INDEX(Projects[Year],14)</f>
        <v/>
      </c>
      <c r="CC15" s="5">
        <f>INDEX(Projects[Won?],14)&amp;""</f>
        <v/>
      </c>
      <c r="CD15" s="5">
        <f>INDEX(Projects[Value (USD M)],14)</f>
        <v/>
      </c>
      <c r="CE15" s="5">
        <f>INDEX(Projects[MH Data Status],14)&amp;""</f>
        <v/>
      </c>
    </row>
    <row r="16" ht="15" customHeight="1" s="74">
      <c r="A16" s="66">
        <f>INDEX(Projects[Project ID *],15)&amp;""</f>
        <v/>
      </c>
      <c r="B16" s="66">
        <f>INDEX(Projects[Project Name *],15)&amp;""</f>
        <v/>
      </c>
      <c r="C16" s="66">
        <f>INDEX(Projects[MS Shuttles],15)</f>
        <v/>
      </c>
      <c r="D16" s="66">
        <f>INDEX(Projects[MS Tote Locations],15)</f>
        <v/>
      </c>
      <c r="E16" s="66">
        <f>INDEX(Projects[AS Robots],15)</f>
        <v/>
      </c>
      <c r="F16" s="66">
        <f>INDEX(Projects[AS Tote Locations],15)</f>
        <v/>
      </c>
      <c r="G16" s="66">
        <f>INDEX(Projects[PS Shuttles],15)</f>
        <v/>
      </c>
      <c r="H16" s="66">
        <f>INDEX(Projects[PS Pallet Locations],15)</f>
        <v/>
      </c>
      <c r="I16" s="66">
        <f>INDEX(Projects[SRM Cranes],15)</f>
        <v/>
      </c>
      <c r="J16" s="66">
        <f>INDEX(Projects[SRM Pallet Locations],15)</f>
        <v/>
      </c>
      <c r="K16" s="66">
        <f>INDEX(Projects[Case Conv (m)],15)</f>
        <v/>
      </c>
      <c r="L16" s="66">
        <f>INDEX(Projects[Pallet Conv (m)],15)</f>
        <v/>
      </c>
      <c r="M16" s="66">
        <f>INDEX(Projects[Mech Eng (wks)],15)</f>
        <v/>
      </c>
      <c r="N16" s="66">
        <f>INDEX(Projects[Controls Eng (wks)],15)</f>
        <v/>
      </c>
      <c r="O16" s="66">
        <f>INDEX(Projects[Systems Eng (wks)],15)</f>
        <v/>
      </c>
      <c r="P16" s="66">
        <f>INDEX(Projects[Software Eng (wks)],15)</f>
        <v/>
      </c>
      <c r="Q16" s="66">
        <f>INDEX(Projects[M&amp;E Installation (wks)],15)</f>
        <v/>
      </c>
      <c r="R16" s="66">
        <f>INDEX(Projects[Commissioning (wks)],15)</f>
        <v/>
      </c>
      <c r="S16" s="66">
        <f>INDEX(Projects[Total Timeline (wks)],15)</f>
        <v/>
      </c>
      <c r="T16" s="66">
        <f>INDEX(Projects[Currency],15)&amp;""</f>
        <v/>
      </c>
      <c r="U16" s="67">
        <f>INDEX(Projects[Value (M)],15)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INDEX(Projects[Automation Equipment],15)&amp;""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IF(AND(A16&lt;&gt;"",OR('Smart Search'!$L$5="",'Smart Search'!$L$5="All",TRIM(BZ16)=TRIM('Smart Search'!$L$5)),OR(TRIM('Smart Search'!$L$6)="",TRIM('Smart Search'!$L$6)="All",ISNUMBER(SEARCH(SUBSTITUTE(SUBSTITUTE(SUBSTITUTE(TRIM('Smart Search'!$L$6),"~","~~"),"*","~*"),"?","~?"),CA16))),OR('Smart Search'!$L$7="",AND(CB16&lt;&gt;0,CB16='Smart Search'!$L$7)),OR('Smart Search'!$L$8="",'Smart Search'!$L$8="All",TRIM(CC16)=TRIM('Smart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IF(A16="","",N(INDEX(Projects[Mech Inst],15)))</f>
        <v/>
      </c>
      <c r="BK16" s="5">
        <f>IF(A16="","",N(INDEX(Projects[Elec Inst],15)))</f>
        <v/>
      </c>
      <c r="BL16" s="5">
        <f>IF(A16="","",N(INDEX(Projects[Project Management],15)))</f>
        <v/>
      </c>
      <c r="BM16" s="5">
        <f>IF(A16="","",N(INDEX(Projects[Systems Eng],15)))</f>
        <v/>
      </c>
      <c r="BN16" s="5">
        <f>IF(A16="","",N(INDEX(Projects[Mechanical Eng],15)))</f>
        <v/>
      </c>
      <c r="BO16" s="5">
        <f>IF(A16="","",N(INDEX(Projects[Structural Engineering],15)))</f>
        <v/>
      </c>
      <c r="BP16" s="5">
        <f>IF(A16="","",N(INDEX(Projects[Site Sup],15)))</f>
        <v/>
      </c>
      <c r="BQ16" s="5">
        <f>IF(A16="","",N(INDEX(Projects[Controls Commissioning],15)))</f>
        <v/>
      </c>
      <c r="BR16" s="5">
        <f>IF(A16="","",N(INDEX(Projects[Systems Commissioning],15)))</f>
        <v/>
      </c>
      <c r="BS16" s="5">
        <f>IF(A16="","",N(INDEX(Projects[Service Commissioning],15)))</f>
        <v/>
      </c>
      <c r="BT16" s="5">
        <f>IF(A16="","",N(INDEX(Projects[Controls Eng],15)))</f>
        <v/>
      </c>
      <c r="BU16" s="5">
        <f>IF(A16="","",N(INDEX(Projects[Controls Purchase],15)))</f>
        <v/>
      </c>
      <c r="BV16" s="5">
        <f>IF(A16="","",N(INDEX(Projects[Software Eng],15)))</f>
        <v/>
      </c>
      <c r="BW16" s="5">
        <f>IF(A16="","",N(INDEX(Projects[Misc],15)))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  <c r="BZ16" s="5">
        <f>INDEX(Projects[Solution Type],15)&amp;""</f>
        <v/>
      </c>
      <c r="CA16" s="5">
        <f>INDEX(Projects[Client / Region],15)&amp;""</f>
        <v/>
      </c>
      <c r="CB16" s="5">
        <f>INDEX(Projects[Year],15)</f>
        <v/>
      </c>
      <c r="CC16" s="5">
        <f>INDEX(Projects[Won?],15)&amp;""</f>
        <v/>
      </c>
      <c r="CD16" s="5">
        <f>INDEX(Projects[Value (USD M)],15)</f>
        <v/>
      </c>
      <c r="CE16" s="5">
        <f>INDEX(Projects[MH Data Status],15)&amp;""</f>
        <v/>
      </c>
    </row>
    <row r="17" ht="15" customHeight="1" s="74">
      <c r="A17" s="66">
        <f>INDEX(Projects[Project ID *],16)&amp;""</f>
        <v/>
      </c>
      <c r="B17" s="66">
        <f>INDEX(Projects[Project Name *],16)&amp;""</f>
        <v/>
      </c>
      <c r="C17" s="66">
        <f>INDEX(Projects[MS Shuttles],16)</f>
        <v/>
      </c>
      <c r="D17" s="66">
        <f>INDEX(Projects[MS Tote Locations],16)</f>
        <v/>
      </c>
      <c r="E17" s="66">
        <f>INDEX(Projects[AS Robots],16)</f>
        <v/>
      </c>
      <c r="F17" s="66">
        <f>INDEX(Projects[AS Tote Locations],16)</f>
        <v/>
      </c>
      <c r="G17" s="66">
        <f>INDEX(Projects[PS Shuttles],16)</f>
        <v/>
      </c>
      <c r="H17" s="66">
        <f>INDEX(Projects[PS Pallet Locations],16)</f>
        <v/>
      </c>
      <c r="I17" s="66">
        <f>INDEX(Projects[SRM Cranes],16)</f>
        <v/>
      </c>
      <c r="J17" s="66">
        <f>INDEX(Projects[SRM Pallet Locations],16)</f>
        <v/>
      </c>
      <c r="K17" s="66">
        <f>INDEX(Projects[Case Conv (m)],16)</f>
        <v/>
      </c>
      <c r="L17" s="66">
        <f>INDEX(Projects[Pallet Conv (m)],16)</f>
        <v/>
      </c>
      <c r="M17" s="66">
        <f>INDEX(Projects[Mech Eng (wks)],16)</f>
        <v/>
      </c>
      <c r="N17" s="66">
        <f>INDEX(Projects[Controls Eng (wks)],16)</f>
        <v/>
      </c>
      <c r="O17" s="66">
        <f>INDEX(Projects[Systems Eng (wks)],16)</f>
        <v/>
      </c>
      <c r="P17" s="66">
        <f>INDEX(Projects[Software Eng (wks)],16)</f>
        <v/>
      </c>
      <c r="Q17" s="66">
        <f>INDEX(Projects[M&amp;E Installation (wks)],16)</f>
        <v/>
      </c>
      <c r="R17" s="66">
        <f>INDEX(Projects[Commissioning (wks)],16)</f>
        <v/>
      </c>
      <c r="S17" s="66">
        <f>INDEX(Projects[Total Timeline (wks)],16)</f>
        <v/>
      </c>
      <c r="T17" s="66">
        <f>INDEX(Projects[Currency],16)&amp;""</f>
        <v/>
      </c>
      <c r="U17" s="67">
        <f>INDEX(Projects[Value (M)],16)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INDEX(Projects[Automation Equipment],16)&amp;""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IF(AND(A17&lt;&gt;"",OR('Smart Search'!$L$5="",'Smart Search'!$L$5="All",TRIM(BZ17)=TRIM('Smart Search'!$L$5)),OR(TRIM('Smart Search'!$L$6)="",TRIM('Smart Search'!$L$6)="All",ISNUMBER(SEARCH(SUBSTITUTE(SUBSTITUTE(SUBSTITUTE(TRIM('Smart Search'!$L$6),"~","~~"),"*","~*"),"?","~?"),CA17))),OR('Smart Search'!$L$7="",AND(CB17&lt;&gt;0,CB17='Smart Search'!$L$7)),OR('Smart Search'!$L$8="",'Smart Search'!$L$8="All",TRIM(CC17)=TRIM('Smart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IF(A17="","",N(INDEX(Projects[Mech Inst],16)))</f>
        <v/>
      </c>
      <c r="BK17" s="5">
        <f>IF(A17="","",N(INDEX(Projects[Elec Inst],16)))</f>
        <v/>
      </c>
      <c r="BL17" s="5">
        <f>IF(A17="","",N(INDEX(Projects[Project Management],16)))</f>
        <v/>
      </c>
      <c r="BM17" s="5">
        <f>IF(A17="","",N(INDEX(Projects[Systems Eng],16)))</f>
        <v/>
      </c>
      <c r="BN17" s="5">
        <f>IF(A17="","",N(INDEX(Projects[Mechanical Eng],16)))</f>
        <v/>
      </c>
      <c r="BO17" s="5">
        <f>IF(A17="","",N(INDEX(Projects[Structural Engineering],16)))</f>
        <v/>
      </c>
      <c r="BP17" s="5">
        <f>IF(A17="","",N(INDEX(Projects[Site Sup],16)))</f>
        <v/>
      </c>
      <c r="BQ17" s="5">
        <f>IF(A17="","",N(INDEX(Projects[Controls Commissioning],16)))</f>
        <v/>
      </c>
      <c r="BR17" s="5">
        <f>IF(A17="","",N(INDEX(Projects[Systems Commissioning],16)))</f>
        <v/>
      </c>
      <c r="BS17" s="5">
        <f>IF(A17="","",N(INDEX(Projects[Service Commissioning],16)))</f>
        <v/>
      </c>
      <c r="BT17" s="5">
        <f>IF(A17="","",N(INDEX(Projects[Controls Eng],16)))</f>
        <v/>
      </c>
      <c r="BU17" s="5">
        <f>IF(A17="","",N(INDEX(Projects[Controls Purchase],16)))</f>
        <v/>
      </c>
      <c r="BV17" s="5">
        <f>IF(A17="","",N(INDEX(Projects[Software Eng],16)))</f>
        <v/>
      </c>
      <c r="BW17" s="5">
        <f>IF(A17="","",N(INDEX(Projects[Misc],16)))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  <c r="BZ17" s="5">
        <f>INDEX(Projects[Solution Type],16)&amp;""</f>
        <v/>
      </c>
      <c r="CA17" s="5">
        <f>INDEX(Projects[Client / Region],16)&amp;""</f>
        <v/>
      </c>
      <c r="CB17" s="5">
        <f>INDEX(Projects[Year],16)</f>
        <v/>
      </c>
      <c r="CC17" s="5">
        <f>INDEX(Projects[Won?],16)&amp;""</f>
        <v/>
      </c>
      <c r="CD17" s="5">
        <f>INDEX(Projects[Value (USD M)],16)</f>
        <v/>
      </c>
      <c r="CE17" s="5">
        <f>INDEX(Projects[MH Data Status],16)&amp;""</f>
        <v/>
      </c>
    </row>
    <row r="18" ht="15" customHeight="1" s="74">
      <c r="A18" s="66">
        <f>INDEX(Projects[Project ID *],17)&amp;""</f>
        <v/>
      </c>
      <c r="B18" s="66">
        <f>INDEX(Projects[Project Name *],17)&amp;""</f>
        <v/>
      </c>
      <c r="C18" s="66">
        <f>INDEX(Projects[MS Shuttles],17)</f>
        <v/>
      </c>
      <c r="D18" s="66">
        <f>INDEX(Projects[MS Tote Locations],17)</f>
        <v/>
      </c>
      <c r="E18" s="66">
        <f>INDEX(Projects[AS Robots],17)</f>
        <v/>
      </c>
      <c r="F18" s="66">
        <f>INDEX(Projects[AS Tote Locations],17)</f>
        <v/>
      </c>
      <c r="G18" s="66">
        <f>INDEX(Projects[PS Shuttles],17)</f>
        <v/>
      </c>
      <c r="H18" s="66">
        <f>INDEX(Projects[PS Pallet Locations],17)</f>
        <v/>
      </c>
      <c r="I18" s="66">
        <f>INDEX(Projects[SRM Cranes],17)</f>
        <v/>
      </c>
      <c r="J18" s="66">
        <f>INDEX(Projects[SRM Pallet Locations],17)</f>
        <v/>
      </c>
      <c r="K18" s="66">
        <f>INDEX(Projects[Case Conv (m)],17)</f>
        <v/>
      </c>
      <c r="L18" s="66">
        <f>INDEX(Projects[Pallet Conv (m)],17)</f>
        <v/>
      </c>
      <c r="M18" s="66">
        <f>INDEX(Projects[Mech Eng (wks)],17)</f>
        <v/>
      </c>
      <c r="N18" s="66">
        <f>INDEX(Projects[Controls Eng (wks)],17)</f>
        <v/>
      </c>
      <c r="O18" s="66">
        <f>INDEX(Projects[Systems Eng (wks)],17)</f>
        <v/>
      </c>
      <c r="P18" s="66">
        <f>INDEX(Projects[Software Eng (wks)],17)</f>
        <v/>
      </c>
      <c r="Q18" s="66">
        <f>INDEX(Projects[M&amp;E Installation (wks)],17)</f>
        <v/>
      </c>
      <c r="R18" s="66">
        <f>INDEX(Projects[Commissioning (wks)],17)</f>
        <v/>
      </c>
      <c r="S18" s="66">
        <f>INDEX(Projects[Total Timeline (wks)],17)</f>
        <v/>
      </c>
      <c r="T18" s="66">
        <f>INDEX(Projects[Currency],17)&amp;""</f>
        <v/>
      </c>
      <c r="U18" s="67">
        <f>INDEX(Projects[Value (M)],17)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INDEX(Projects[Automation Equipment],17)&amp;""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IF(AND(A18&lt;&gt;"",OR('Smart Search'!$L$5="",'Smart Search'!$L$5="All",TRIM(BZ18)=TRIM('Smart Search'!$L$5)),OR(TRIM('Smart Search'!$L$6)="",TRIM('Smart Search'!$L$6)="All",ISNUMBER(SEARCH(SUBSTITUTE(SUBSTITUTE(SUBSTITUTE(TRIM('Smart Search'!$L$6),"~","~~"),"*","~*"),"?","~?"),CA18))),OR('Smart Search'!$L$7="",AND(CB18&lt;&gt;0,CB18='Smart Search'!$L$7)),OR('Smart Search'!$L$8="",'Smart Search'!$L$8="All",TRIM(CC18)=TRIM('Smart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IF(A18="","",N(INDEX(Projects[Mech Inst],17)))</f>
        <v/>
      </c>
      <c r="BK18" s="5">
        <f>IF(A18="","",N(INDEX(Projects[Elec Inst],17)))</f>
        <v/>
      </c>
      <c r="BL18" s="5">
        <f>IF(A18="","",N(INDEX(Projects[Project Management],17)))</f>
        <v/>
      </c>
      <c r="BM18" s="5">
        <f>IF(A18="","",N(INDEX(Projects[Systems Eng],17)))</f>
        <v/>
      </c>
      <c r="BN18" s="5">
        <f>IF(A18="","",N(INDEX(Projects[Mechanical Eng],17)))</f>
        <v/>
      </c>
      <c r="BO18" s="5">
        <f>IF(A18="","",N(INDEX(Projects[Structural Engineering],17)))</f>
        <v/>
      </c>
      <c r="BP18" s="5">
        <f>IF(A18="","",N(INDEX(Projects[Site Sup],17)))</f>
        <v/>
      </c>
      <c r="BQ18" s="5">
        <f>IF(A18="","",N(INDEX(Projects[Controls Commissioning],17)))</f>
        <v/>
      </c>
      <c r="BR18" s="5">
        <f>IF(A18="","",N(INDEX(Projects[Systems Commissioning],17)))</f>
        <v/>
      </c>
      <c r="BS18" s="5">
        <f>IF(A18="","",N(INDEX(Projects[Service Commissioning],17)))</f>
        <v/>
      </c>
      <c r="BT18" s="5">
        <f>IF(A18="","",N(INDEX(Projects[Controls Eng],17)))</f>
        <v/>
      </c>
      <c r="BU18" s="5">
        <f>IF(A18="","",N(INDEX(Projects[Controls Purchase],17)))</f>
        <v/>
      </c>
      <c r="BV18" s="5">
        <f>IF(A18="","",N(INDEX(Projects[Software Eng],17)))</f>
        <v/>
      </c>
      <c r="BW18" s="5">
        <f>IF(A18="","",N(INDEX(Projects[Misc],17)))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  <c r="BZ18" s="5">
        <f>INDEX(Projects[Solution Type],17)&amp;""</f>
        <v/>
      </c>
      <c r="CA18" s="5">
        <f>INDEX(Projects[Client / Region],17)&amp;""</f>
        <v/>
      </c>
      <c r="CB18" s="5">
        <f>INDEX(Projects[Year],17)</f>
        <v/>
      </c>
      <c r="CC18" s="5">
        <f>INDEX(Projects[Won?],17)&amp;""</f>
        <v/>
      </c>
      <c r="CD18" s="5">
        <f>INDEX(Projects[Value (USD M)],17)</f>
        <v/>
      </c>
      <c r="CE18" s="5">
        <f>INDEX(Projects[MH Data Status],17)&amp;""</f>
        <v/>
      </c>
    </row>
    <row r="19" ht="15" customHeight="1" s="74">
      <c r="A19" s="66">
        <f>INDEX(Projects[Project ID *],18)&amp;""</f>
        <v/>
      </c>
      <c r="B19" s="66">
        <f>INDEX(Projects[Project Name *],18)&amp;""</f>
        <v/>
      </c>
      <c r="C19" s="66">
        <f>INDEX(Projects[MS Shuttles],18)</f>
        <v/>
      </c>
      <c r="D19" s="66">
        <f>INDEX(Projects[MS Tote Locations],18)</f>
        <v/>
      </c>
      <c r="E19" s="66">
        <f>INDEX(Projects[AS Robots],18)</f>
        <v/>
      </c>
      <c r="F19" s="66">
        <f>INDEX(Projects[AS Tote Locations],18)</f>
        <v/>
      </c>
      <c r="G19" s="66">
        <f>INDEX(Projects[PS Shuttles],18)</f>
        <v/>
      </c>
      <c r="H19" s="66">
        <f>INDEX(Projects[PS Pallet Locations],18)</f>
        <v/>
      </c>
      <c r="I19" s="66">
        <f>INDEX(Projects[SRM Cranes],18)</f>
        <v/>
      </c>
      <c r="J19" s="66">
        <f>INDEX(Projects[SRM Pallet Locations],18)</f>
        <v/>
      </c>
      <c r="K19" s="66">
        <f>INDEX(Projects[Case Conv (m)],18)</f>
        <v/>
      </c>
      <c r="L19" s="66">
        <f>INDEX(Projects[Pallet Conv (m)],18)</f>
        <v/>
      </c>
      <c r="M19" s="66">
        <f>INDEX(Projects[Mech Eng (wks)],18)</f>
        <v/>
      </c>
      <c r="N19" s="66">
        <f>INDEX(Projects[Controls Eng (wks)],18)</f>
        <v/>
      </c>
      <c r="O19" s="66">
        <f>INDEX(Projects[Systems Eng (wks)],18)</f>
        <v/>
      </c>
      <c r="P19" s="66">
        <f>INDEX(Projects[Software Eng (wks)],18)</f>
        <v/>
      </c>
      <c r="Q19" s="66">
        <f>INDEX(Projects[M&amp;E Installation (wks)],18)</f>
        <v/>
      </c>
      <c r="R19" s="66">
        <f>INDEX(Projects[Commissioning (wks)],18)</f>
        <v/>
      </c>
      <c r="S19" s="66">
        <f>INDEX(Projects[Total Timeline (wks)],18)</f>
        <v/>
      </c>
      <c r="T19" s="66">
        <f>INDEX(Projects[Currency],18)&amp;""</f>
        <v/>
      </c>
      <c r="U19" s="67">
        <f>INDEX(Projects[Value (M)],18)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INDEX(Projects[Automation Equipment],18)&amp;""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IF(AND(A19&lt;&gt;"",OR('Smart Search'!$L$5="",'Smart Search'!$L$5="All",TRIM(BZ19)=TRIM('Smart Search'!$L$5)),OR(TRIM('Smart Search'!$L$6)="",TRIM('Smart Search'!$L$6)="All",ISNUMBER(SEARCH(SUBSTITUTE(SUBSTITUTE(SUBSTITUTE(TRIM('Smart Search'!$L$6),"~","~~"),"*","~*"),"?","~?"),CA19))),OR('Smart Search'!$L$7="",AND(CB19&lt;&gt;0,CB19='Smart Search'!$L$7)),OR('Smart Search'!$L$8="",'Smart Search'!$L$8="All",TRIM(CC19)=TRIM('Smart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IF(A19="","",N(INDEX(Projects[Mech Inst],18)))</f>
        <v/>
      </c>
      <c r="BK19" s="5">
        <f>IF(A19="","",N(INDEX(Projects[Elec Inst],18)))</f>
        <v/>
      </c>
      <c r="BL19" s="5">
        <f>IF(A19="","",N(INDEX(Projects[Project Management],18)))</f>
        <v/>
      </c>
      <c r="BM19" s="5">
        <f>IF(A19="","",N(INDEX(Projects[Systems Eng],18)))</f>
        <v/>
      </c>
      <c r="BN19" s="5">
        <f>IF(A19="","",N(INDEX(Projects[Mechanical Eng],18)))</f>
        <v/>
      </c>
      <c r="BO19" s="5">
        <f>IF(A19="","",N(INDEX(Projects[Structural Engineering],18)))</f>
        <v/>
      </c>
      <c r="BP19" s="5">
        <f>IF(A19="","",N(INDEX(Projects[Site Sup],18)))</f>
        <v/>
      </c>
      <c r="BQ19" s="5">
        <f>IF(A19="","",N(INDEX(Projects[Controls Commissioning],18)))</f>
        <v/>
      </c>
      <c r="BR19" s="5">
        <f>IF(A19="","",N(INDEX(Projects[Systems Commissioning],18)))</f>
        <v/>
      </c>
      <c r="BS19" s="5">
        <f>IF(A19="","",N(INDEX(Projects[Service Commissioning],18)))</f>
        <v/>
      </c>
      <c r="BT19" s="5">
        <f>IF(A19="","",N(INDEX(Projects[Controls Eng],18)))</f>
        <v/>
      </c>
      <c r="BU19" s="5">
        <f>IF(A19="","",N(INDEX(Projects[Controls Purchase],18)))</f>
        <v/>
      </c>
      <c r="BV19" s="5">
        <f>IF(A19="","",N(INDEX(Projects[Software Eng],18)))</f>
        <v/>
      </c>
      <c r="BW19" s="5">
        <f>IF(A19="","",N(INDEX(Projects[Misc],18)))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  <c r="BZ19" s="5">
        <f>INDEX(Projects[Solution Type],18)&amp;""</f>
        <v/>
      </c>
      <c r="CA19" s="5">
        <f>INDEX(Projects[Client / Region],18)&amp;""</f>
        <v/>
      </c>
      <c r="CB19" s="5">
        <f>INDEX(Projects[Year],18)</f>
        <v/>
      </c>
      <c r="CC19" s="5">
        <f>INDEX(Projects[Won?],18)&amp;""</f>
        <v/>
      </c>
      <c r="CD19" s="5">
        <f>INDEX(Projects[Value (USD M)],18)</f>
        <v/>
      </c>
      <c r="CE19" s="5">
        <f>INDEX(Projects[MH Data Status],18)&amp;""</f>
        <v/>
      </c>
    </row>
    <row r="20" ht="15" customHeight="1" s="74">
      <c r="A20" s="66">
        <f>INDEX(Projects[Project ID *],19)&amp;""</f>
        <v/>
      </c>
      <c r="B20" s="66">
        <f>INDEX(Projects[Project Name *],19)&amp;""</f>
        <v/>
      </c>
      <c r="C20" s="66">
        <f>INDEX(Projects[MS Shuttles],19)</f>
        <v/>
      </c>
      <c r="D20" s="66">
        <f>INDEX(Projects[MS Tote Locations],19)</f>
        <v/>
      </c>
      <c r="E20" s="66">
        <f>INDEX(Projects[AS Robots],19)</f>
        <v/>
      </c>
      <c r="F20" s="66">
        <f>INDEX(Projects[AS Tote Locations],19)</f>
        <v/>
      </c>
      <c r="G20" s="66">
        <f>INDEX(Projects[PS Shuttles],19)</f>
        <v/>
      </c>
      <c r="H20" s="66">
        <f>INDEX(Projects[PS Pallet Locations],19)</f>
        <v/>
      </c>
      <c r="I20" s="66">
        <f>INDEX(Projects[SRM Cranes],19)</f>
        <v/>
      </c>
      <c r="J20" s="66">
        <f>INDEX(Projects[SRM Pallet Locations],19)</f>
        <v/>
      </c>
      <c r="K20" s="66">
        <f>INDEX(Projects[Case Conv (m)],19)</f>
        <v/>
      </c>
      <c r="L20" s="66">
        <f>INDEX(Projects[Pallet Conv (m)],19)</f>
        <v/>
      </c>
      <c r="M20" s="66">
        <f>INDEX(Projects[Mech Eng (wks)],19)</f>
        <v/>
      </c>
      <c r="N20" s="66">
        <f>INDEX(Projects[Controls Eng (wks)],19)</f>
        <v/>
      </c>
      <c r="O20" s="66">
        <f>INDEX(Projects[Systems Eng (wks)],19)</f>
        <v/>
      </c>
      <c r="P20" s="66">
        <f>INDEX(Projects[Software Eng (wks)],19)</f>
        <v/>
      </c>
      <c r="Q20" s="66">
        <f>INDEX(Projects[M&amp;E Installation (wks)],19)</f>
        <v/>
      </c>
      <c r="R20" s="66">
        <f>INDEX(Projects[Commissioning (wks)],19)</f>
        <v/>
      </c>
      <c r="S20" s="66">
        <f>INDEX(Projects[Total Timeline (wks)],19)</f>
        <v/>
      </c>
      <c r="T20" s="66">
        <f>INDEX(Projects[Currency],19)&amp;""</f>
        <v/>
      </c>
      <c r="U20" s="67">
        <f>INDEX(Projects[Value (M)],19)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INDEX(Projects[Automation Equipment],19)&amp;""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IF(AND(A20&lt;&gt;"",OR('Smart Search'!$L$5="",'Smart Search'!$L$5="All",TRIM(BZ20)=TRIM('Smart Search'!$L$5)),OR(TRIM('Smart Search'!$L$6)="",TRIM('Smart Search'!$L$6)="All",ISNUMBER(SEARCH(SUBSTITUTE(SUBSTITUTE(SUBSTITUTE(TRIM('Smart Search'!$L$6),"~","~~"),"*","~*"),"?","~?"),CA20))),OR('Smart Search'!$L$7="",AND(CB20&lt;&gt;0,CB20='Smart Search'!$L$7)),OR('Smart Search'!$L$8="",'Smart Search'!$L$8="All",TRIM(CC20)=TRIM('Smart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IF(A20="","",N(INDEX(Projects[Mech Inst],19)))</f>
        <v/>
      </c>
      <c r="BK20" s="5">
        <f>IF(A20="","",N(INDEX(Projects[Elec Inst],19)))</f>
        <v/>
      </c>
      <c r="BL20" s="5">
        <f>IF(A20="","",N(INDEX(Projects[Project Management],19)))</f>
        <v/>
      </c>
      <c r="BM20" s="5">
        <f>IF(A20="","",N(INDEX(Projects[Systems Eng],19)))</f>
        <v/>
      </c>
      <c r="BN20" s="5">
        <f>IF(A20="","",N(INDEX(Projects[Mechanical Eng],19)))</f>
        <v/>
      </c>
      <c r="BO20" s="5">
        <f>IF(A20="","",N(INDEX(Projects[Structural Engineering],19)))</f>
        <v/>
      </c>
      <c r="BP20" s="5">
        <f>IF(A20="","",N(INDEX(Projects[Site Sup],19)))</f>
        <v/>
      </c>
      <c r="BQ20" s="5">
        <f>IF(A20="","",N(INDEX(Projects[Controls Commissioning],19)))</f>
        <v/>
      </c>
      <c r="BR20" s="5">
        <f>IF(A20="","",N(INDEX(Projects[Systems Commissioning],19)))</f>
        <v/>
      </c>
      <c r="BS20" s="5">
        <f>IF(A20="","",N(INDEX(Projects[Service Commissioning],19)))</f>
        <v/>
      </c>
      <c r="BT20" s="5">
        <f>IF(A20="","",N(INDEX(Projects[Controls Eng],19)))</f>
        <v/>
      </c>
      <c r="BU20" s="5">
        <f>IF(A20="","",N(INDEX(Projects[Controls Purchase],19)))</f>
        <v/>
      </c>
      <c r="BV20" s="5">
        <f>IF(A20="","",N(INDEX(Projects[Software Eng],19)))</f>
        <v/>
      </c>
      <c r="BW20" s="5">
        <f>IF(A20="","",N(INDEX(Projects[Misc],19)))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  <c r="BZ20" s="5">
        <f>INDEX(Projects[Solution Type],19)&amp;""</f>
        <v/>
      </c>
      <c r="CA20" s="5">
        <f>INDEX(Projects[Client / Region],19)&amp;""</f>
        <v/>
      </c>
      <c r="CB20" s="5">
        <f>INDEX(Projects[Year],19)</f>
        <v/>
      </c>
      <c r="CC20" s="5">
        <f>INDEX(Projects[Won?],19)&amp;""</f>
        <v/>
      </c>
      <c r="CD20" s="5">
        <f>INDEX(Projects[Value (USD M)],19)</f>
        <v/>
      </c>
      <c r="CE20" s="5">
        <f>INDEX(Projects[MH Data Status],19)&amp;""</f>
        <v/>
      </c>
    </row>
    <row r="21" ht="15" customHeight="1" s="74">
      <c r="A21" s="66">
        <f>INDEX(Projects[Project ID *],20)&amp;""</f>
        <v/>
      </c>
      <c r="B21" s="66">
        <f>INDEX(Projects[Project Name *],20)&amp;""</f>
        <v/>
      </c>
      <c r="C21" s="66">
        <f>INDEX(Projects[MS Shuttles],20)</f>
        <v/>
      </c>
      <c r="D21" s="66">
        <f>INDEX(Projects[MS Tote Locations],20)</f>
        <v/>
      </c>
      <c r="E21" s="66">
        <f>INDEX(Projects[AS Robots],20)</f>
        <v/>
      </c>
      <c r="F21" s="66">
        <f>INDEX(Projects[AS Tote Locations],20)</f>
        <v/>
      </c>
      <c r="G21" s="66">
        <f>INDEX(Projects[PS Shuttles],20)</f>
        <v/>
      </c>
      <c r="H21" s="66">
        <f>INDEX(Projects[PS Pallet Locations],20)</f>
        <v/>
      </c>
      <c r="I21" s="66">
        <f>INDEX(Projects[SRM Cranes],20)</f>
        <v/>
      </c>
      <c r="J21" s="66">
        <f>INDEX(Projects[SRM Pallet Locations],20)</f>
        <v/>
      </c>
      <c r="K21" s="66">
        <f>INDEX(Projects[Case Conv (m)],20)</f>
        <v/>
      </c>
      <c r="L21" s="66">
        <f>INDEX(Projects[Pallet Conv (m)],20)</f>
        <v/>
      </c>
      <c r="M21" s="66">
        <f>INDEX(Projects[Mech Eng (wks)],20)</f>
        <v/>
      </c>
      <c r="N21" s="66">
        <f>INDEX(Projects[Controls Eng (wks)],20)</f>
        <v/>
      </c>
      <c r="O21" s="66">
        <f>INDEX(Projects[Systems Eng (wks)],20)</f>
        <v/>
      </c>
      <c r="P21" s="66">
        <f>INDEX(Projects[Software Eng (wks)],20)</f>
        <v/>
      </c>
      <c r="Q21" s="66">
        <f>INDEX(Projects[M&amp;E Installation (wks)],20)</f>
        <v/>
      </c>
      <c r="R21" s="66">
        <f>INDEX(Projects[Commissioning (wks)],20)</f>
        <v/>
      </c>
      <c r="S21" s="66">
        <f>INDEX(Projects[Total Timeline (wks)],20)</f>
        <v/>
      </c>
      <c r="T21" s="66">
        <f>INDEX(Projects[Currency],20)&amp;""</f>
        <v/>
      </c>
      <c r="U21" s="67">
        <f>INDEX(Projects[Value (M)],20)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INDEX(Projects[Automation Equipment],20)&amp;""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IF(AND(A21&lt;&gt;"",OR('Smart Search'!$L$5="",'Smart Search'!$L$5="All",TRIM(BZ21)=TRIM('Smart Search'!$L$5)),OR(TRIM('Smart Search'!$L$6)="",TRIM('Smart Search'!$L$6)="All",ISNUMBER(SEARCH(SUBSTITUTE(SUBSTITUTE(SUBSTITUTE(TRIM('Smart Search'!$L$6),"~","~~"),"*","~*"),"?","~?"),CA21))),OR('Smart Search'!$L$7="",AND(CB21&lt;&gt;0,CB21='Smart Search'!$L$7)),OR('Smart Search'!$L$8="",'Smart Search'!$L$8="All",TRIM(CC21)=TRIM('Smart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IF(A21="","",N(INDEX(Projects[Mech Inst],20)))</f>
        <v/>
      </c>
      <c r="BK21" s="5">
        <f>IF(A21="","",N(INDEX(Projects[Elec Inst],20)))</f>
        <v/>
      </c>
      <c r="BL21" s="5">
        <f>IF(A21="","",N(INDEX(Projects[Project Management],20)))</f>
        <v/>
      </c>
      <c r="BM21" s="5">
        <f>IF(A21="","",N(INDEX(Projects[Systems Eng],20)))</f>
        <v/>
      </c>
      <c r="BN21" s="5">
        <f>IF(A21="","",N(INDEX(Projects[Mechanical Eng],20)))</f>
        <v/>
      </c>
      <c r="BO21" s="5">
        <f>IF(A21="","",N(INDEX(Projects[Structural Engineering],20)))</f>
        <v/>
      </c>
      <c r="BP21" s="5">
        <f>IF(A21="","",N(INDEX(Projects[Site Sup],20)))</f>
        <v/>
      </c>
      <c r="BQ21" s="5">
        <f>IF(A21="","",N(INDEX(Projects[Controls Commissioning],20)))</f>
        <v/>
      </c>
      <c r="BR21" s="5">
        <f>IF(A21="","",N(INDEX(Projects[Systems Commissioning],20)))</f>
        <v/>
      </c>
      <c r="BS21" s="5">
        <f>IF(A21="","",N(INDEX(Projects[Service Commissioning],20)))</f>
        <v/>
      </c>
      <c r="BT21" s="5">
        <f>IF(A21="","",N(INDEX(Projects[Controls Eng],20)))</f>
        <v/>
      </c>
      <c r="BU21" s="5">
        <f>IF(A21="","",N(INDEX(Projects[Controls Purchase],20)))</f>
        <v/>
      </c>
      <c r="BV21" s="5">
        <f>IF(A21="","",N(INDEX(Projects[Software Eng],20)))</f>
        <v/>
      </c>
      <c r="BW21" s="5">
        <f>IF(A21="","",N(INDEX(Projects[Misc],20)))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  <c r="BZ21" s="5">
        <f>INDEX(Projects[Solution Type],20)&amp;""</f>
        <v/>
      </c>
      <c r="CA21" s="5">
        <f>INDEX(Projects[Client / Region],20)&amp;""</f>
        <v/>
      </c>
      <c r="CB21" s="5">
        <f>INDEX(Projects[Year],20)</f>
        <v/>
      </c>
      <c r="CC21" s="5">
        <f>INDEX(Projects[Won?],20)&amp;""</f>
        <v/>
      </c>
      <c r="CD21" s="5">
        <f>INDEX(Projects[Value (USD M)],20)</f>
        <v/>
      </c>
      <c r="CE21" s="5">
        <f>INDEX(Projects[MH Data Status],20)&amp;""</f>
        <v/>
      </c>
    </row>
    <row r="22" ht="15" customHeight="1" s="74">
      <c r="A22" s="66">
        <f>INDEX(Projects[Project ID *],21)&amp;""</f>
        <v/>
      </c>
      <c r="B22" s="66">
        <f>INDEX(Projects[Project Name *],21)&amp;""</f>
        <v/>
      </c>
      <c r="C22" s="66">
        <f>INDEX(Projects[MS Shuttles],21)</f>
        <v/>
      </c>
      <c r="D22" s="66">
        <f>INDEX(Projects[MS Tote Locations],21)</f>
        <v/>
      </c>
      <c r="E22" s="66">
        <f>INDEX(Projects[AS Robots],21)</f>
        <v/>
      </c>
      <c r="F22" s="66">
        <f>INDEX(Projects[AS Tote Locations],21)</f>
        <v/>
      </c>
      <c r="G22" s="66">
        <f>INDEX(Projects[PS Shuttles],21)</f>
        <v/>
      </c>
      <c r="H22" s="66">
        <f>INDEX(Projects[PS Pallet Locations],21)</f>
        <v/>
      </c>
      <c r="I22" s="66">
        <f>INDEX(Projects[SRM Cranes],21)</f>
        <v/>
      </c>
      <c r="J22" s="66">
        <f>INDEX(Projects[SRM Pallet Locations],21)</f>
        <v/>
      </c>
      <c r="K22" s="66">
        <f>INDEX(Projects[Case Conv (m)],21)</f>
        <v/>
      </c>
      <c r="L22" s="66">
        <f>INDEX(Projects[Pallet Conv (m)],21)</f>
        <v/>
      </c>
      <c r="M22" s="66">
        <f>INDEX(Projects[Mech Eng (wks)],21)</f>
        <v/>
      </c>
      <c r="N22" s="66">
        <f>INDEX(Projects[Controls Eng (wks)],21)</f>
        <v/>
      </c>
      <c r="O22" s="66">
        <f>INDEX(Projects[Systems Eng (wks)],21)</f>
        <v/>
      </c>
      <c r="P22" s="66">
        <f>INDEX(Projects[Software Eng (wks)],21)</f>
        <v/>
      </c>
      <c r="Q22" s="66">
        <f>INDEX(Projects[M&amp;E Installation (wks)],21)</f>
        <v/>
      </c>
      <c r="R22" s="66">
        <f>INDEX(Projects[Commissioning (wks)],21)</f>
        <v/>
      </c>
      <c r="S22" s="66">
        <f>INDEX(Projects[Total Timeline (wks)],21)</f>
        <v/>
      </c>
      <c r="T22" s="66">
        <f>INDEX(Projects[Currency],21)&amp;""</f>
        <v/>
      </c>
      <c r="U22" s="67">
        <f>INDEX(Projects[Value (M)],21)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INDEX(Projects[Automation Equipment],21)&amp;""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IF(AND(A22&lt;&gt;"",OR('Smart Search'!$L$5="",'Smart Search'!$L$5="All",TRIM(BZ22)=TRIM('Smart Search'!$L$5)),OR(TRIM('Smart Search'!$L$6)="",TRIM('Smart Search'!$L$6)="All",ISNUMBER(SEARCH(SUBSTITUTE(SUBSTITUTE(SUBSTITUTE(TRIM('Smart Search'!$L$6),"~","~~"),"*","~*"),"?","~?"),CA22))),OR('Smart Search'!$L$7="",AND(CB22&lt;&gt;0,CB22='Smart Search'!$L$7)),OR('Smart Search'!$L$8="",'Smart Search'!$L$8="All",TRIM(CC22)=TRIM('Smart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IF(A22="","",N(INDEX(Projects[Mech Inst],21)))</f>
        <v/>
      </c>
      <c r="BK22" s="5">
        <f>IF(A22="","",N(INDEX(Projects[Elec Inst],21)))</f>
        <v/>
      </c>
      <c r="BL22" s="5">
        <f>IF(A22="","",N(INDEX(Projects[Project Management],21)))</f>
        <v/>
      </c>
      <c r="BM22" s="5">
        <f>IF(A22="","",N(INDEX(Projects[Systems Eng],21)))</f>
        <v/>
      </c>
      <c r="BN22" s="5">
        <f>IF(A22="","",N(INDEX(Projects[Mechanical Eng],21)))</f>
        <v/>
      </c>
      <c r="BO22" s="5">
        <f>IF(A22="","",N(INDEX(Projects[Structural Engineering],21)))</f>
        <v/>
      </c>
      <c r="BP22" s="5">
        <f>IF(A22="","",N(INDEX(Projects[Site Sup],21)))</f>
        <v/>
      </c>
      <c r="BQ22" s="5">
        <f>IF(A22="","",N(INDEX(Projects[Controls Commissioning],21)))</f>
        <v/>
      </c>
      <c r="BR22" s="5">
        <f>IF(A22="","",N(INDEX(Projects[Systems Commissioning],21)))</f>
        <v/>
      </c>
      <c r="BS22" s="5">
        <f>IF(A22="","",N(INDEX(Projects[Service Commissioning],21)))</f>
        <v/>
      </c>
      <c r="BT22" s="5">
        <f>IF(A22="","",N(INDEX(Projects[Controls Eng],21)))</f>
        <v/>
      </c>
      <c r="BU22" s="5">
        <f>IF(A22="","",N(INDEX(Projects[Controls Purchase],21)))</f>
        <v/>
      </c>
      <c r="BV22" s="5">
        <f>IF(A22="","",N(INDEX(Projects[Software Eng],21)))</f>
        <v/>
      </c>
      <c r="BW22" s="5">
        <f>IF(A22="","",N(INDEX(Projects[Misc],21)))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  <c r="BZ22" s="5">
        <f>INDEX(Projects[Solution Type],21)&amp;""</f>
        <v/>
      </c>
      <c r="CA22" s="5">
        <f>INDEX(Projects[Client / Region],21)&amp;""</f>
        <v/>
      </c>
      <c r="CB22" s="5">
        <f>INDEX(Projects[Year],21)</f>
        <v/>
      </c>
      <c r="CC22" s="5">
        <f>INDEX(Projects[Won?],21)&amp;""</f>
        <v/>
      </c>
      <c r="CD22" s="5">
        <f>INDEX(Projects[Value (USD M)],21)</f>
        <v/>
      </c>
      <c r="CE22" s="5">
        <f>INDEX(Projects[MH Data Status],21)&amp;""</f>
        <v/>
      </c>
    </row>
    <row r="23" ht="15" customHeight="1" s="74">
      <c r="A23" s="66">
        <f>INDEX(Projects[Project ID *],22)&amp;""</f>
        <v/>
      </c>
      <c r="B23" s="66">
        <f>INDEX(Projects[Project Name *],22)&amp;""</f>
        <v/>
      </c>
      <c r="C23" s="66">
        <f>INDEX(Projects[MS Shuttles],22)</f>
        <v/>
      </c>
      <c r="D23" s="66">
        <f>INDEX(Projects[MS Tote Locations],22)</f>
        <v/>
      </c>
      <c r="E23" s="66">
        <f>INDEX(Projects[AS Robots],22)</f>
        <v/>
      </c>
      <c r="F23" s="66">
        <f>INDEX(Projects[AS Tote Locations],22)</f>
        <v/>
      </c>
      <c r="G23" s="66">
        <f>INDEX(Projects[PS Shuttles],22)</f>
        <v/>
      </c>
      <c r="H23" s="66">
        <f>INDEX(Projects[PS Pallet Locations],22)</f>
        <v/>
      </c>
      <c r="I23" s="66">
        <f>INDEX(Projects[SRM Cranes],22)</f>
        <v/>
      </c>
      <c r="J23" s="66">
        <f>INDEX(Projects[SRM Pallet Locations],22)</f>
        <v/>
      </c>
      <c r="K23" s="66">
        <f>INDEX(Projects[Case Conv (m)],22)</f>
        <v/>
      </c>
      <c r="L23" s="66">
        <f>INDEX(Projects[Pallet Conv (m)],22)</f>
        <v/>
      </c>
      <c r="M23" s="66">
        <f>INDEX(Projects[Mech Eng (wks)],22)</f>
        <v/>
      </c>
      <c r="N23" s="66">
        <f>INDEX(Projects[Controls Eng (wks)],22)</f>
        <v/>
      </c>
      <c r="O23" s="66">
        <f>INDEX(Projects[Systems Eng (wks)],22)</f>
        <v/>
      </c>
      <c r="P23" s="66">
        <f>INDEX(Projects[Software Eng (wks)],22)</f>
        <v/>
      </c>
      <c r="Q23" s="66">
        <f>INDEX(Projects[M&amp;E Installation (wks)],22)</f>
        <v/>
      </c>
      <c r="R23" s="66">
        <f>INDEX(Projects[Commissioning (wks)],22)</f>
        <v/>
      </c>
      <c r="S23" s="66">
        <f>INDEX(Projects[Total Timeline (wks)],22)</f>
        <v/>
      </c>
      <c r="T23" s="66">
        <f>INDEX(Projects[Currency],22)&amp;""</f>
        <v/>
      </c>
      <c r="U23" s="67">
        <f>INDEX(Projects[Value (M)],22)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INDEX(Projects[Automation Equipment],22)&amp;""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IF(AND(A23&lt;&gt;"",OR('Smart Search'!$L$5="",'Smart Search'!$L$5="All",TRIM(BZ23)=TRIM('Smart Search'!$L$5)),OR(TRIM('Smart Search'!$L$6)="",TRIM('Smart Search'!$L$6)="All",ISNUMBER(SEARCH(SUBSTITUTE(SUBSTITUTE(SUBSTITUTE(TRIM('Smart Search'!$L$6),"~","~~"),"*","~*"),"?","~?"),CA23))),OR('Smart Search'!$L$7="",AND(CB23&lt;&gt;0,CB23='Smart Search'!$L$7)),OR('Smart Search'!$L$8="",'Smart Search'!$L$8="All",TRIM(CC23)=TRIM('Smart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IF(A23="","",N(INDEX(Projects[Mech Inst],22)))</f>
        <v/>
      </c>
      <c r="BK23" s="5">
        <f>IF(A23="","",N(INDEX(Projects[Elec Inst],22)))</f>
        <v/>
      </c>
      <c r="BL23" s="5">
        <f>IF(A23="","",N(INDEX(Projects[Project Management],22)))</f>
        <v/>
      </c>
      <c r="BM23" s="5">
        <f>IF(A23="","",N(INDEX(Projects[Systems Eng],22)))</f>
        <v/>
      </c>
      <c r="BN23" s="5">
        <f>IF(A23="","",N(INDEX(Projects[Mechanical Eng],22)))</f>
        <v/>
      </c>
      <c r="BO23" s="5">
        <f>IF(A23="","",N(INDEX(Projects[Structural Engineering],22)))</f>
        <v/>
      </c>
      <c r="BP23" s="5">
        <f>IF(A23="","",N(INDEX(Projects[Site Sup],22)))</f>
        <v/>
      </c>
      <c r="BQ23" s="5">
        <f>IF(A23="","",N(INDEX(Projects[Controls Commissioning],22)))</f>
        <v/>
      </c>
      <c r="BR23" s="5">
        <f>IF(A23="","",N(INDEX(Projects[Systems Commissioning],22)))</f>
        <v/>
      </c>
      <c r="BS23" s="5">
        <f>IF(A23="","",N(INDEX(Projects[Service Commissioning],22)))</f>
        <v/>
      </c>
      <c r="BT23" s="5">
        <f>IF(A23="","",N(INDEX(Projects[Controls Eng],22)))</f>
        <v/>
      </c>
      <c r="BU23" s="5">
        <f>IF(A23="","",N(INDEX(Projects[Controls Purchase],22)))</f>
        <v/>
      </c>
      <c r="BV23" s="5">
        <f>IF(A23="","",N(INDEX(Projects[Software Eng],22)))</f>
        <v/>
      </c>
      <c r="BW23" s="5">
        <f>IF(A23="","",N(INDEX(Projects[Misc],22)))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  <c r="BZ23" s="5">
        <f>INDEX(Projects[Solution Type],22)&amp;""</f>
        <v/>
      </c>
      <c r="CA23" s="5">
        <f>INDEX(Projects[Client / Region],22)&amp;""</f>
        <v/>
      </c>
      <c r="CB23" s="5">
        <f>INDEX(Projects[Year],22)</f>
        <v/>
      </c>
      <c r="CC23" s="5">
        <f>INDEX(Projects[Won?],22)&amp;""</f>
        <v/>
      </c>
      <c r="CD23" s="5">
        <f>INDEX(Projects[Value (USD M)],22)</f>
        <v/>
      </c>
      <c r="CE23" s="5">
        <f>INDEX(Projects[MH Data Status],22)&amp;""</f>
        <v/>
      </c>
    </row>
    <row r="24" ht="15" customHeight="1" s="74">
      <c r="A24" s="66">
        <f>INDEX(Projects[Project ID *],23)&amp;""</f>
        <v/>
      </c>
      <c r="B24" s="66">
        <f>INDEX(Projects[Project Name *],23)&amp;""</f>
        <v/>
      </c>
      <c r="C24" s="66">
        <f>INDEX(Projects[MS Shuttles],23)</f>
        <v/>
      </c>
      <c r="D24" s="66">
        <f>INDEX(Projects[MS Tote Locations],23)</f>
        <v/>
      </c>
      <c r="E24" s="66">
        <f>INDEX(Projects[AS Robots],23)</f>
        <v/>
      </c>
      <c r="F24" s="66">
        <f>INDEX(Projects[AS Tote Locations],23)</f>
        <v/>
      </c>
      <c r="G24" s="66">
        <f>INDEX(Projects[PS Shuttles],23)</f>
        <v/>
      </c>
      <c r="H24" s="66">
        <f>INDEX(Projects[PS Pallet Locations],23)</f>
        <v/>
      </c>
      <c r="I24" s="66">
        <f>INDEX(Projects[SRM Cranes],23)</f>
        <v/>
      </c>
      <c r="J24" s="66">
        <f>INDEX(Projects[SRM Pallet Locations],23)</f>
        <v/>
      </c>
      <c r="K24" s="66">
        <f>INDEX(Projects[Case Conv (m)],23)</f>
        <v/>
      </c>
      <c r="L24" s="66">
        <f>INDEX(Projects[Pallet Conv (m)],23)</f>
        <v/>
      </c>
      <c r="M24" s="66">
        <f>INDEX(Projects[Mech Eng (wks)],23)</f>
        <v/>
      </c>
      <c r="N24" s="66">
        <f>INDEX(Projects[Controls Eng (wks)],23)</f>
        <v/>
      </c>
      <c r="O24" s="66">
        <f>INDEX(Projects[Systems Eng (wks)],23)</f>
        <v/>
      </c>
      <c r="P24" s="66">
        <f>INDEX(Projects[Software Eng (wks)],23)</f>
        <v/>
      </c>
      <c r="Q24" s="66">
        <f>INDEX(Projects[M&amp;E Installation (wks)],23)</f>
        <v/>
      </c>
      <c r="R24" s="66">
        <f>INDEX(Projects[Commissioning (wks)],23)</f>
        <v/>
      </c>
      <c r="S24" s="66">
        <f>INDEX(Projects[Total Timeline (wks)],23)</f>
        <v/>
      </c>
      <c r="T24" s="66">
        <f>INDEX(Projects[Currency],23)&amp;""</f>
        <v/>
      </c>
      <c r="U24" s="67">
        <f>INDEX(Projects[Value (M)],23)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INDEX(Projects[Automation Equipment],23)&amp;""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IF(AND(A24&lt;&gt;"",OR('Smart Search'!$L$5="",'Smart Search'!$L$5="All",TRIM(BZ24)=TRIM('Smart Search'!$L$5)),OR(TRIM('Smart Search'!$L$6)="",TRIM('Smart Search'!$L$6)="All",ISNUMBER(SEARCH(SUBSTITUTE(SUBSTITUTE(SUBSTITUTE(TRIM('Smart Search'!$L$6),"~","~~"),"*","~*"),"?","~?"),CA24))),OR('Smart Search'!$L$7="",AND(CB24&lt;&gt;0,CB24='Smart Search'!$L$7)),OR('Smart Search'!$L$8="",'Smart Search'!$L$8="All",TRIM(CC24)=TRIM('Smart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IF(A24="","",N(INDEX(Projects[Mech Inst],23)))</f>
        <v/>
      </c>
      <c r="BK24" s="5">
        <f>IF(A24="","",N(INDEX(Projects[Elec Inst],23)))</f>
        <v/>
      </c>
      <c r="BL24" s="5">
        <f>IF(A24="","",N(INDEX(Projects[Project Management],23)))</f>
        <v/>
      </c>
      <c r="BM24" s="5">
        <f>IF(A24="","",N(INDEX(Projects[Systems Eng],23)))</f>
        <v/>
      </c>
      <c r="BN24" s="5">
        <f>IF(A24="","",N(INDEX(Projects[Mechanical Eng],23)))</f>
        <v/>
      </c>
      <c r="BO24" s="5">
        <f>IF(A24="","",N(INDEX(Projects[Structural Engineering],23)))</f>
        <v/>
      </c>
      <c r="BP24" s="5">
        <f>IF(A24="","",N(INDEX(Projects[Site Sup],23)))</f>
        <v/>
      </c>
      <c r="BQ24" s="5">
        <f>IF(A24="","",N(INDEX(Projects[Controls Commissioning],23)))</f>
        <v/>
      </c>
      <c r="BR24" s="5">
        <f>IF(A24="","",N(INDEX(Projects[Systems Commissioning],23)))</f>
        <v/>
      </c>
      <c r="BS24" s="5">
        <f>IF(A24="","",N(INDEX(Projects[Service Commissioning],23)))</f>
        <v/>
      </c>
      <c r="BT24" s="5">
        <f>IF(A24="","",N(INDEX(Projects[Controls Eng],23)))</f>
        <v/>
      </c>
      <c r="BU24" s="5">
        <f>IF(A24="","",N(INDEX(Projects[Controls Purchase],23)))</f>
        <v/>
      </c>
      <c r="BV24" s="5">
        <f>IF(A24="","",N(INDEX(Projects[Software Eng],23)))</f>
        <v/>
      </c>
      <c r="BW24" s="5">
        <f>IF(A24="","",N(INDEX(Projects[Misc],23)))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  <c r="BZ24" s="5">
        <f>INDEX(Projects[Solution Type],23)&amp;""</f>
        <v/>
      </c>
      <c r="CA24" s="5">
        <f>INDEX(Projects[Client / Region],23)&amp;""</f>
        <v/>
      </c>
      <c r="CB24" s="5">
        <f>INDEX(Projects[Year],23)</f>
        <v/>
      </c>
      <c r="CC24" s="5">
        <f>INDEX(Projects[Won?],23)&amp;""</f>
        <v/>
      </c>
      <c r="CD24" s="5">
        <f>INDEX(Projects[Value (USD M)],23)</f>
        <v/>
      </c>
      <c r="CE24" s="5">
        <f>INDEX(Projects[MH Data Status],23)&amp;""</f>
        <v/>
      </c>
    </row>
    <row r="25" ht="15" customHeight="1" s="74">
      <c r="A25" s="66">
        <f>INDEX(Projects[Project ID *],24)&amp;""</f>
        <v/>
      </c>
      <c r="B25" s="66">
        <f>INDEX(Projects[Project Name *],24)&amp;""</f>
        <v/>
      </c>
      <c r="C25" s="66">
        <f>INDEX(Projects[MS Shuttles],24)</f>
        <v/>
      </c>
      <c r="D25" s="66">
        <f>INDEX(Projects[MS Tote Locations],24)</f>
        <v/>
      </c>
      <c r="E25" s="66">
        <f>INDEX(Projects[AS Robots],24)</f>
        <v/>
      </c>
      <c r="F25" s="66">
        <f>INDEX(Projects[AS Tote Locations],24)</f>
        <v/>
      </c>
      <c r="G25" s="66">
        <f>INDEX(Projects[PS Shuttles],24)</f>
        <v/>
      </c>
      <c r="H25" s="66">
        <f>INDEX(Projects[PS Pallet Locations],24)</f>
        <v/>
      </c>
      <c r="I25" s="66">
        <f>INDEX(Projects[SRM Cranes],24)</f>
        <v/>
      </c>
      <c r="J25" s="66">
        <f>INDEX(Projects[SRM Pallet Locations],24)</f>
        <v/>
      </c>
      <c r="K25" s="66">
        <f>INDEX(Projects[Case Conv (m)],24)</f>
        <v/>
      </c>
      <c r="L25" s="66">
        <f>INDEX(Projects[Pallet Conv (m)],24)</f>
        <v/>
      </c>
      <c r="M25" s="66">
        <f>INDEX(Projects[Mech Eng (wks)],24)</f>
        <v/>
      </c>
      <c r="N25" s="66">
        <f>INDEX(Projects[Controls Eng (wks)],24)</f>
        <v/>
      </c>
      <c r="O25" s="66">
        <f>INDEX(Projects[Systems Eng (wks)],24)</f>
        <v/>
      </c>
      <c r="P25" s="66">
        <f>INDEX(Projects[Software Eng (wks)],24)</f>
        <v/>
      </c>
      <c r="Q25" s="66">
        <f>INDEX(Projects[M&amp;E Installation (wks)],24)</f>
        <v/>
      </c>
      <c r="R25" s="66">
        <f>INDEX(Projects[Commissioning (wks)],24)</f>
        <v/>
      </c>
      <c r="S25" s="66">
        <f>INDEX(Projects[Total Timeline (wks)],24)</f>
        <v/>
      </c>
      <c r="T25" s="66">
        <f>INDEX(Projects[Currency],24)&amp;""</f>
        <v/>
      </c>
      <c r="U25" s="67">
        <f>INDEX(Projects[Value (M)],24)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INDEX(Projects[Automation Equipment],24)&amp;""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IF(AND(A25&lt;&gt;"",OR('Smart Search'!$L$5="",'Smart Search'!$L$5="All",TRIM(BZ25)=TRIM('Smart Search'!$L$5)),OR(TRIM('Smart Search'!$L$6)="",TRIM('Smart Search'!$L$6)="All",ISNUMBER(SEARCH(SUBSTITUTE(SUBSTITUTE(SUBSTITUTE(TRIM('Smart Search'!$L$6),"~","~~"),"*","~*"),"?","~?"),CA25))),OR('Smart Search'!$L$7="",AND(CB25&lt;&gt;0,CB25='Smart Search'!$L$7)),OR('Smart Search'!$L$8="",'Smart Search'!$L$8="All",TRIM(CC25)=TRIM('Smart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IF(A25="","",N(INDEX(Projects[Mech Inst],24)))</f>
        <v/>
      </c>
      <c r="BK25" s="5">
        <f>IF(A25="","",N(INDEX(Projects[Elec Inst],24)))</f>
        <v/>
      </c>
      <c r="BL25" s="5">
        <f>IF(A25="","",N(INDEX(Projects[Project Management],24)))</f>
        <v/>
      </c>
      <c r="BM25" s="5">
        <f>IF(A25="","",N(INDEX(Projects[Systems Eng],24)))</f>
        <v/>
      </c>
      <c r="BN25" s="5">
        <f>IF(A25="","",N(INDEX(Projects[Mechanical Eng],24)))</f>
        <v/>
      </c>
      <c r="BO25" s="5">
        <f>IF(A25="","",N(INDEX(Projects[Structural Engineering],24)))</f>
        <v/>
      </c>
      <c r="BP25" s="5">
        <f>IF(A25="","",N(INDEX(Projects[Site Sup],24)))</f>
        <v/>
      </c>
      <c r="BQ25" s="5">
        <f>IF(A25="","",N(INDEX(Projects[Controls Commissioning],24)))</f>
        <v/>
      </c>
      <c r="BR25" s="5">
        <f>IF(A25="","",N(INDEX(Projects[Systems Commissioning],24)))</f>
        <v/>
      </c>
      <c r="BS25" s="5">
        <f>IF(A25="","",N(INDEX(Projects[Service Commissioning],24)))</f>
        <v/>
      </c>
      <c r="BT25" s="5">
        <f>IF(A25="","",N(INDEX(Projects[Controls Eng],24)))</f>
        <v/>
      </c>
      <c r="BU25" s="5">
        <f>IF(A25="","",N(INDEX(Projects[Controls Purchase],24)))</f>
        <v/>
      </c>
      <c r="BV25" s="5">
        <f>IF(A25="","",N(INDEX(Projects[Software Eng],24)))</f>
        <v/>
      </c>
      <c r="BW25" s="5">
        <f>IF(A25="","",N(INDEX(Projects[Misc],24)))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  <c r="BZ25" s="5">
        <f>INDEX(Projects[Solution Type],24)&amp;""</f>
        <v/>
      </c>
      <c r="CA25" s="5">
        <f>INDEX(Projects[Client / Region],24)&amp;""</f>
        <v/>
      </c>
      <c r="CB25" s="5">
        <f>INDEX(Projects[Year],24)</f>
        <v/>
      </c>
      <c r="CC25" s="5">
        <f>INDEX(Projects[Won?],24)&amp;""</f>
        <v/>
      </c>
      <c r="CD25" s="5">
        <f>INDEX(Projects[Value (USD M)],24)</f>
        <v/>
      </c>
      <c r="CE25" s="5">
        <f>INDEX(Projects[MH Data Status],24)&amp;""</f>
        <v/>
      </c>
    </row>
    <row r="26" ht="15" customHeight="1" s="74">
      <c r="A26" s="66">
        <f>INDEX(Projects[Project ID *],25)&amp;""</f>
        <v/>
      </c>
      <c r="B26" s="66">
        <f>INDEX(Projects[Project Name *],25)&amp;""</f>
        <v/>
      </c>
      <c r="C26" s="66">
        <f>INDEX(Projects[MS Shuttles],25)</f>
        <v/>
      </c>
      <c r="D26" s="66">
        <f>INDEX(Projects[MS Tote Locations],25)</f>
        <v/>
      </c>
      <c r="E26" s="66">
        <f>INDEX(Projects[AS Robots],25)</f>
        <v/>
      </c>
      <c r="F26" s="66">
        <f>INDEX(Projects[AS Tote Locations],25)</f>
        <v/>
      </c>
      <c r="G26" s="66">
        <f>INDEX(Projects[PS Shuttles],25)</f>
        <v/>
      </c>
      <c r="H26" s="66">
        <f>INDEX(Projects[PS Pallet Locations],25)</f>
        <v/>
      </c>
      <c r="I26" s="66">
        <f>INDEX(Projects[SRM Cranes],25)</f>
        <v/>
      </c>
      <c r="J26" s="66">
        <f>INDEX(Projects[SRM Pallet Locations],25)</f>
        <v/>
      </c>
      <c r="K26" s="66">
        <f>INDEX(Projects[Case Conv (m)],25)</f>
        <v/>
      </c>
      <c r="L26" s="66">
        <f>INDEX(Projects[Pallet Conv (m)],25)</f>
        <v/>
      </c>
      <c r="M26" s="66">
        <f>INDEX(Projects[Mech Eng (wks)],25)</f>
        <v/>
      </c>
      <c r="N26" s="66">
        <f>INDEX(Projects[Controls Eng (wks)],25)</f>
        <v/>
      </c>
      <c r="O26" s="66">
        <f>INDEX(Projects[Systems Eng (wks)],25)</f>
        <v/>
      </c>
      <c r="P26" s="66">
        <f>INDEX(Projects[Software Eng (wks)],25)</f>
        <v/>
      </c>
      <c r="Q26" s="66">
        <f>INDEX(Projects[M&amp;E Installation (wks)],25)</f>
        <v/>
      </c>
      <c r="R26" s="66">
        <f>INDEX(Projects[Commissioning (wks)],25)</f>
        <v/>
      </c>
      <c r="S26" s="66">
        <f>INDEX(Projects[Total Timeline (wks)],25)</f>
        <v/>
      </c>
      <c r="T26" s="66">
        <f>INDEX(Projects[Currency],25)&amp;""</f>
        <v/>
      </c>
      <c r="U26" s="67">
        <f>INDEX(Projects[Value (M)],25)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INDEX(Projects[Automation Equipment],25)&amp;""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IF(AND(A26&lt;&gt;"",OR('Smart Search'!$L$5="",'Smart Search'!$L$5="All",TRIM(BZ26)=TRIM('Smart Search'!$L$5)),OR(TRIM('Smart Search'!$L$6)="",TRIM('Smart Search'!$L$6)="All",ISNUMBER(SEARCH(SUBSTITUTE(SUBSTITUTE(SUBSTITUTE(TRIM('Smart Search'!$L$6),"~","~~"),"*","~*"),"?","~?"),CA26))),OR('Smart Search'!$L$7="",AND(CB26&lt;&gt;0,CB26='Smart Search'!$L$7)),OR('Smart Search'!$L$8="",'Smart Search'!$L$8="All",TRIM(CC26)=TRIM('Smart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IF(A26="","",N(INDEX(Projects[Mech Inst],25)))</f>
        <v/>
      </c>
      <c r="BK26" s="5">
        <f>IF(A26="","",N(INDEX(Projects[Elec Inst],25)))</f>
        <v/>
      </c>
      <c r="BL26" s="5">
        <f>IF(A26="","",N(INDEX(Projects[Project Management],25)))</f>
        <v/>
      </c>
      <c r="BM26" s="5">
        <f>IF(A26="","",N(INDEX(Projects[Systems Eng],25)))</f>
        <v/>
      </c>
      <c r="BN26" s="5">
        <f>IF(A26="","",N(INDEX(Projects[Mechanical Eng],25)))</f>
        <v/>
      </c>
      <c r="BO26" s="5">
        <f>IF(A26="","",N(INDEX(Projects[Structural Engineering],25)))</f>
        <v/>
      </c>
      <c r="BP26" s="5">
        <f>IF(A26="","",N(INDEX(Projects[Site Sup],25)))</f>
        <v/>
      </c>
      <c r="BQ26" s="5">
        <f>IF(A26="","",N(INDEX(Projects[Controls Commissioning],25)))</f>
        <v/>
      </c>
      <c r="BR26" s="5">
        <f>IF(A26="","",N(INDEX(Projects[Systems Commissioning],25)))</f>
        <v/>
      </c>
      <c r="BS26" s="5">
        <f>IF(A26="","",N(INDEX(Projects[Service Commissioning],25)))</f>
        <v/>
      </c>
      <c r="BT26" s="5">
        <f>IF(A26="","",N(INDEX(Projects[Controls Eng],25)))</f>
        <v/>
      </c>
      <c r="BU26" s="5">
        <f>IF(A26="","",N(INDEX(Projects[Controls Purchase],25)))</f>
        <v/>
      </c>
      <c r="BV26" s="5">
        <f>IF(A26="","",N(INDEX(Projects[Software Eng],25)))</f>
        <v/>
      </c>
      <c r="BW26" s="5">
        <f>IF(A26="","",N(INDEX(Projects[Misc],25)))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  <c r="BZ26" s="5">
        <f>INDEX(Projects[Solution Type],25)&amp;""</f>
        <v/>
      </c>
      <c r="CA26" s="5">
        <f>INDEX(Projects[Client / Region],25)&amp;""</f>
        <v/>
      </c>
      <c r="CB26" s="5">
        <f>INDEX(Projects[Year],25)</f>
        <v/>
      </c>
      <c r="CC26" s="5">
        <f>INDEX(Projects[Won?],25)&amp;""</f>
        <v/>
      </c>
      <c r="CD26" s="5">
        <f>INDEX(Projects[Value (USD M)],25)</f>
        <v/>
      </c>
      <c r="CE26" s="5">
        <f>INDEX(Projects[MH Data Status],25)&amp;""</f>
        <v/>
      </c>
    </row>
    <row r="27" ht="15" customHeight="1" s="74">
      <c r="A27" s="66">
        <f>INDEX(Projects[Project ID *],26)&amp;""</f>
        <v/>
      </c>
      <c r="B27" s="66">
        <f>INDEX(Projects[Project Name *],26)&amp;""</f>
        <v/>
      </c>
      <c r="C27" s="66">
        <f>INDEX(Projects[MS Shuttles],26)</f>
        <v/>
      </c>
      <c r="D27" s="66">
        <f>INDEX(Projects[MS Tote Locations],26)</f>
        <v/>
      </c>
      <c r="E27" s="66">
        <f>INDEX(Projects[AS Robots],26)</f>
        <v/>
      </c>
      <c r="F27" s="66">
        <f>INDEX(Projects[AS Tote Locations],26)</f>
        <v/>
      </c>
      <c r="G27" s="66">
        <f>INDEX(Projects[PS Shuttles],26)</f>
        <v/>
      </c>
      <c r="H27" s="66">
        <f>INDEX(Projects[PS Pallet Locations],26)</f>
        <v/>
      </c>
      <c r="I27" s="66">
        <f>INDEX(Projects[SRM Cranes],26)</f>
        <v/>
      </c>
      <c r="J27" s="66">
        <f>INDEX(Projects[SRM Pallet Locations],26)</f>
        <v/>
      </c>
      <c r="K27" s="66">
        <f>INDEX(Projects[Case Conv (m)],26)</f>
        <v/>
      </c>
      <c r="L27" s="66">
        <f>INDEX(Projects[Pallet Conv (m)],26)</f>
        <v/>
      </c>
      <c r="M27" s="66">
        <f>INDEX(Projects[Mech Eng (wks)],26)</f>
        <v/>
      </c>
      <c r="N27" s="66">
        <f>INDEX(Projects[Controls Eng (wks)],26)</f>
        <v/>
      </c>
      <c r="O27" s="66">
        <f>INDEX(Projects[Systems Eng (wks)],26)</f>
        <v/>
      </c>
      <c r="P27" s="66">
        <f>INDEX(Projects[Software Eng (wks)],26)</f>
        <v/>
      </c>
      <c r="Q27" s="66">
        <f>INDEX(Projects[M&amp;E Installation (wks)],26)</f>
        <v/>
      </c>
      <c r="R27" s="66">
        <f>INDEX(Projects[Commissioning (wks)],26)</f>
        <v/>
      </c>
      <c r="S27" s="66">
        <f>INDEX(Projects[Total Timeline (wks)],26)</f>
        <v/>
      </c>
      <c r="T27" s="66">
        <f>INDEX(Projects[Currency],26)&amp;""</f>
        <v/>
      </c>
      <c r="U27" s="67">
        <f>INDEX(Projects[Value (M)],26)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INDEX(Projects[Automation Equipment],26)&amp;""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IF(AND(A27&lt;&gt;"",OR('Smart Search'!$L$5="",'Smart Search'!$L$5="All",TRIM(BZ27)=TRIM('Smart Search'!$L$5)),OR(TRIM('Smart Search'!$L$6)="",TRIM('Smart Search'!$L$6)="All",ISNUMBER(SEARCH(SUBSTITUTE(SUBSTITUTE(SUBSTITUTE(TRIM('Smart Search'!$L$6),"~","~~"),"*","~*"),"?","~?"),CA27))),OR('Smart Search'!$L$7="",AND(CB27&lt;&gt;0,CB27='Smart Search'!$L$7)),OR('Smart Search'!$L$8="",'Smart Search'!$L$8="All",TRIM(CC27)=TRIM('Smart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IF(A27="","",N(INDEX(Projects[Mech Inst],26)))</f>
        <v/>
      </c>
      <c r="BK27" s="5">
        <f>IF(A27="","",N(INDEX(Projects[Elec Inst],26)))</f>
        <v/>
      </c>
      <c r="BL27" s="5">
        <f>IF(A27="","",N(INDEX(Projects[Project Management],26)))</f>
        <v/>
      </c>
      <c r="BM27" s="5">
        <f>IF(A27="","",N(INDEX(Projects[Systems Eng],26)))</f>
        <v/>
      </c>
      <c r="BN27" s="5">
        <f>IF(A27="","",N(INDEX(Projects[Mechanical Eng],26)))</f>
        <v/>
      </c>
      <c r="BO27" s="5">
        <f>IF(A27="","",N(INDEX(Projects[Structural Engineering],26)))</f>
        <v/>
      </c>
      <c r="BP27" s="5">
        <f>IF(A27="","",N(INDEX(Projects[Site Sup],26)))</f>
        <v/>
      </c>
      <c r="BQ27" s="5">
        <f>IF(A27="","",N(INDEX(Projects[Controls Commissioning],26)))</f>
        <v/>
      </c>
      <c r="BR27" s="5">
        <f>IF(A27="","",N(INDEX(Projects[Systems Commissioning],26)))</f>
        <v/>
      </c>
      <c r="BS27" s="5">
        <f>IF(A27="","",N(INDEX(Projects[Service Commissioning],26)))</f>
        <v/>
      </c>
      <c r="BT27" s="5">
        <f>IF(A27="","",N(INDEX(Projects[Controls Eng],26)))</f>
        <v/>
      </c>
      <c r="BU27" s="5">
        <f>IF(A27="","",N(INDEX(Projects[Controls Purchase],26)))</f>
        <v/>
      </c>
      <c r="BV27" s="5">
        <f>IF(A27="","",N(INDEX(Projects[Software Eng],26)))</f>
        <v/>
      </c>
      <c r="BW27" s="5">
        <f>IF(A27="","",N(INDEX(Projects[Misc],26)))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  <c r="BZ27" s="5">
        <f>INDEX(Projects[Solution Type],26)&amp;""</f>
        <v/>
      </c>
      <c r="CA27" s="5">
        <f>INDEX(Projects[Client / Region],26)&amp;""</f>
        <v/>
      </c>
      <c r="CB27" s="5">
        <f>INDEX(Projects[Year],26)</f>
        <v/>
      </c>
      <c r="CC27" s="5">
        <f>INDEX(Projects[Won?],26)&amp;""</f>
        <v/>
      </c>
      <c r="CD27" s="5">
        <f>INDEX(Projects[Value (USD M)],26)</f>
        <v/>
      </c>
      <c r="CE27" s="5">
        <f>INDEX(Projects[MH Data Status],26)&amp;""</f>
        <v/>
      </c>
    </row>
    <row r="28" ht="15" customHeight="1" s="74">
      <c r="A28" s="66">
        <f>INDEX(Projects[Project ID *],27)&amp;""</f>
        <v/>
      </c>
      <c r="B28" s="66">
        <f>INDEX(Projects[Project Name *],27)&amp;""</f>
        <v/>
      </c>
      <c r="C28" s="66">
        <f>INDEX(Projects[MS Shuttles],27)</f>
        <v/>
      </c>
      <c r="D28" s="66">
        <f>INDEX(Projects[MS Tote Locations],27)</f>
        <v/>
      </c>
      <c r="E28" s="66">
        <f>INDEX(Projects[AS Robots],27)</f>
        <v/>
      </c>
      <c r="F28" s="66">
        <f>INDEX(Projects[AS Tote Locations],27)</f>
        <v/>
      </c>
      <c r="G28" s="66">
        <f>INDEX(Projects[PS Shuttles],27)</f>
        <v/>
      </c>
      <c r="H28" s="66">
        <f>INDEX(Projects[PS Pallet Locations],27)</f>
        <v/>
      </c>
      <c r="I28" s="66">
        <f>INDEX(Projects[SRM Cranes],27)</f>
        <v/>
      </c>
      <c r="J28" s="66">
        <f>INDEX(Projects[SRM Pallet Locations],27)</f>
        <v/>
      </c>
      <c r="K28" s="66">
        <f>INDEX(Projects[Case Conv (m)],27)</f>
        <v/>
      </c>
      <c r="L28" s="66">
        <f>INDEX(Projects[Pallet Conv (m)],27)</f>
        <v/>
      </c>
      <c r="M28" s="66">
        <f>INDEX(Projects[Mech Eng (wks)],27)</f>
        <v/>
      </c>
      <c r="N28" s="66">
        <f>INDEX(Projects[Controls Eng (wks)],27)</f>
        <v/>
      </c>
      <c r="O28" s="66">
        <f>INDEX(Projects[Systems Eng (wks)],27)</f>
        <v/>
      </c>
      <c r="P28" s="66">
        <f>INDEX(Projects[Software Eng (wks)],27)</f>
        <v/>
      </c>
      <c r="Q28" s="66">
        <f>INDEX(Projects[M&amp;E Installation (wks)],27)</f>
        <v/>
      </c>
      <c r="R28" s="66">
        <f>INDEX(Projects[Commissioning (wks)],27)</f>
        <v/>
      </c>
      <c r="S28" s="66">
        <f>INDEX(Projects[Total Timeline (wks)],27)</f>
        <v/>
      </c>
      <c r="T28" s="66">
        <f>INDEX(Projects[Currency],27)&amp;""</f>
        <v/>
      </c>
      <c r="U28" s="67">
        <f>INDEX(Projects[Value (M)],27)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INDEX(Projects[Automation Equipment],27)&amp;""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IF(AND(A28&lt;&gt;"",OR('Smart Search'!$L$5="",'Smart Search'!$L$5="All",TRIM(BZ28)=TRIM('Smart Search'!$L$5)),OR(TRIM('Smart Search'!$L$6)="",TRIM('Smart Search'!$L$6)="All",ISNUMBER(SEARCH(SUBSTITUTE(SUBSTITUTE(SUBSTITUTE(TRIM('Smart Search'!$L$6),"~","~~"),"*","~*"),"?","~?"),CA28))),OR('Smart Search'!$L$7="",AND(CB28&lt;&gt;0,CB28='Smart Search'!$L$7)),OR('Smart Search'!$L$8="",'Smart Search'!$L$8="All",TRIM(CC28)=TRIM('Smart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IF(A28="","",N(INDEX(Projects[Mech Inst],27)))</f>
        <v/>
      </c>
      <c r="BK28" s="5">
        <f>IF(A28="","",N(INDEX(Projects[Elec Inst],27)))</f>
        <v/>
      </c>
      <c r="BL28" s="5">
        <f>IF(A28="","",N(INDEX(Projects[Project Management],27)))</f>
        <v/>
      </c>
      <c r="BM28" s="5">
        <f>IF(A28="","",N(INDEX(Projects[Systems Eng],27)))</f>
        <v/>
      </c>
      <c r="BN28" s="5">
        <f>IF(A28="","",N(INDEX(Projects[Mechanical Eng],27)))</f>
        <v/>
      </c>
      <c r="BO28" s="5">
        <f>IF(A28="","",N(INDEX(Projects[Structural Engineering],27)))</f>
        <v/>
      </c>
      <c r="BP28" s="5">
        <f>IF(A28="","",N(INDEX(Projects[Site Sup],27)))</f>
        <v/>
      </c>
      <c r="BQ28" s="5">
        <f>IF(A28="","",N(INDEX(Projects[Controls Commissioning],27)))</f>
        <v/>
      </c>
      <c r="BR28" s="5">
        <f>IF(A28="","",N(INDEX(Projects[Systems Commissioning],27)))</f>
        <v/>
      </c>
      <c r="BS28" s="5">
        <f>IF(A28="","",N(INDEX(Projects[Service Commissioning],27)))</f>
        <v/>
      </c>
      <c r="BT28" s="5">
        <f>IF(A28="","",N(INDEX(Projects[Controls Eng],27)))</f>
        <v/>
      </c>
      <c r="BU28" s="5">
        <f>IF(A28="","",N(INDEX(Projects[Controls Purchase],27)))</f>
        <v/>
      </c>
      <c r="BV28" s="5">
        <f>IF(A28="","",N(INDEX(Projects[Software Eng],27)))</f>
        <v/>
      </c>
      <c r="BW28" s="5">
        <f>IF(A28="","",N(INDEX(Projects[Misc],27)))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  <c r="BZ28" s="5">
        <f>INDEX(Projects[Solution Type],27)&amp;""</f>
        <v/>
      </c>
      <c r="CA28" s="5">
        <f>INDEX(Projects[Client / Region],27)&amp;""</f>
        <v/>
      </c>
      <c r="CB28" s="5">
        <f>INDEX(Projects[Year],27)</f>
        <v/>
      </c>
      <c r="CC28" s="5">
        <f>INDEX(Projects[Won?],27)&amp;""</f>
        <v/>
      </c>
      <c r="CD28" s="5">
        <f>INDEX(Projects[Value (USD M)],27)</f>
        <v/>
      </c>
      <c r="CE28" s="5">
        <f>INDEX(Projects[MH Data Status],27)&amp;""</f>
        <v/>
      </c>
    </row>
    <row r="29" ht="15" customHeight="1" s="74">
      <c r="A29" s="66">
        <f>INDEX(Projects[Project ID *],28)&amp;""</f>
        <v/>
      </c>
      <c r="B29" s="66">
        <f>INDEX(Projects[Project Name *],28)&amp;""</f>
        <v/>
      </c>
      <c r="C29" s="66">
        <f>INDEX(Projects[MS Shuttles],28)</f>
        <v/>
      </c>
      <c r="D29" s="66">
        <f>INDEX(Projects[MS Tote Locations],28)</f>
        <v/>
      </c>
      <c r="E29" s="66">
        <f>INDEX(Projects[AS Robots],28)</f>
        <v/>
      </c>
      <c r="F29" s="66">
        <f>INDEX(Projects[AS Tote Locations],28)</f>
        <v/>
      </c>
      <c r="G29" s="66">
        <f>INDEX(Projects[PS Shuttles],28)</f>
        <v/>
      </c>
      <c r="H29" s="66">
        <f>INDEX(Projects[PS Pallet Locations],28)</f>
        <v/>
      </c>
      <c r="I29" s="66">
        <f>INDEX(Projects[SRM Cranes],28)</f>
        <v/>
      </c>
      <c r="J29" s="66">
        <f>INDEX(Projects[SRM Pallet Locations],28)</f>
        <v/>
      </c>
      <c r="K29" s="66">
        <f>INDEX(Projects[Case Conv (m)],28)</f>
        <v/>
      </c>
      <c r="L29" s="66">
        <f>INDEX(Projects[Pallet Conv (m)],28)</f>
        <v/>
      </c>
      <c r="M29" s="66">
        <f>INDEX(Projects[Mech Eng (wks)],28)</f>
        <v/>
      </c>
      <c r="N29" s="66">
        <f>INDEX(Projects[Controls Eng (wks)],28)</f>
        <v/>
      </c>
      <c r="O29" s="66">
        <f>INDEX(Projects[Systems Eng (wks)],28)</f>
        <v/>
      </c>
      <c r="P29" s="66">
        <f>INDEX(Projects[Software Eng (wks)],28)</f>
        <v/>
      </c>
      <c r="Q29" s="66">
        <f>INDEX(Projects[M&amp;E Installation (wks)],28)</f>
        <v/>
      </c>
      <c r="R29" s="66">
        <f>INDEX(Projects[Commissioning (wks)],28)</f>
        <v/>
      </c>
      <c r="S29" s="66">
        <f>INDEX(Projects[Total Timeline (wks)],28)</f>
        <v/>
      </c>
      <c r="T29" s="66">
        <f>INDEX(Projects[Currency],28)&amp;""</f>
        <v/>
      </c>
      <c r="U29" s="67">
        <f>INDEX(Projects[Value (M)],28)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INDEX(Projects[Automation Equipment],28)&amp;""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IF(AND(A29&lt;&gt;"",OR('Smart Search'!$L$5="",'Smart Search'!$L$5="All",TRIM(BZ29)=TRIM('Smart Search'!$L$5)),OR(TRIM('Smart Search'!$L$6)="",TRIM('Smart Search'!$L$6)="All",ISNUMBER(SEARCH(SUBSTITUTE(SUBSTITUTE(SUBSTITUTE(TRIM('Smart Search'!$L$6),"~","~~"),"*","~*"),"?","~?"),CA29))),OR('Smart Search'!$L$7="",AND(CB29&lt;&gt;0,CB29='Smart Search'!$L$7)),OR('Smart Search'!$L$8="",'Smart Search'!$L$8="All",TRIM(CC29)=TRIM('Smart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IF(A29="","",N(INDEX(Projects[Mech Inst],28)))</f>
        <v/>
      </c>
      <c r="BK29" s="5">
        <f>IF(A29="","",N(INDEX(Projects[Elec Inst],28)))</f>
        <v/>
      </c>
      <c r="BL29" s="5">
        <f>IF(A29="","",N(INDEX(Projects[Project Management],28)))</f>
        <v/>
      </c>
      <c r="BM29" s="5">
        <f>IF(A29="","",N(INDEX(Projects[Systems Eng],28)))</f>
        <v/>
      </c>
      <c r="BN29" s="5">
        <f>IF(A29="","",N(INDEX(Projects[Mechanical Eng],28)))</f>
        <v/>
      </c>
      <c r="BO29" s="5">
        <f>IF(A29="","",N(INDEX(Projects[Structural Engineering],28)))</f>
        <v/>
      </c>
      <c r="BP29" s="5">
        <f>IF(A29="","",N(INDEX(Projects[Site Sup],28)))</f>
        <v/>
      </c>
      <c r="BQ29" s="5">
        <f>IF(A29="","",N(INDEX(Projects[Controls Commissioning],28)))</f>
        <v/>
      </c>
      <c r="BR29" s="5">
        <f>IF(A29="","",N(INDEX(Projects[Systems Commissioning],28)))</f>
        <v/>
      </c>
      <c r="BS29" s="5">
        <f>IF(A29="","",N(INDEX(Projects[Service Commissioning],28)))</f>
        <v/>
      </c>
      <c r="BT29" s="5">
        <f>IF(A29="","",N(INDEX(Projects[Controls Eng],28)))</f>
        <v/>
      </c>
      <c r="BU29" s="5">
        <f>IF(A29="","",N(INDEX(Projects[Controls Purchase],28)))</f>
        <v/>
      </c>
      <c r="BV29" s="5">
        <f>IF(A29="","",N(INDEX(Projects[Software Eng],28)))</f>
        <v/>
      </c>
      <c r="BW29" s="5">
        <f>IF(A29="","",N(INDEX(Projects[Misc],28)))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  <c r="BZ29" s="5">
        <f>INDEX(Projects[Solution Type],28)&amp;""</f>
        <v/>
      </c>
      <c r="CA29" s="5">
        <f>INDEX(Projects[Client / Region],28)&amp;""</f>
        <v/>
      </c>
      <c r="CB29" s="5">
        <f>INDEX(Projects[Year],28)</f>
        <v/>
      </c>
      <c r="CC29" s="5">
        <f>INDEX(Projects[Won?],28)&amp;""</f>
        <v/>
      </c>
      <c r="CD29" s="5">
        <f>INDEX(Projects[Value (USD M)],28)</f>
        <v/>
      </c>
      <c r="CE29" s="5">
        <f>INDEX(Projects[MH Data Status],28)&amp;""</f>
        <v/>
      </c>
    </row>
    <row r="30" ht="15" customHeight="1" s="74">
      <c r="A30" s="66">
        <f>INDEX(Projects[Project ID *],29)&amp;""</f>
        <v/>
      </c>
      <c r="B30" s="66">
        <f>INDEX(Projects[Project Name *],29)&amp;""</f>
        <v/>
      </c>
      <c r="C30" s="66">
        <f>INDEX(Projects[MS Shuttles],29)</f>
        <v/>
      </c>
      <c r="D30" s="66">
        <f>INDEX(Projects[MS Tote Locations],29)</f>
        <v/>
      </c>
      <c r="E30" s="66">
        <f>INDEX(Projects[AS Robots],29)</f>
        <v/>
      </c>
      <c r="F30" s="66">
        <f>INDEX(Projects[AS Tote Locations],29)</f>
        <v/>
      </c>
      <c r="G30" s="66">
        <f>INDEX(Projects[PS Shuttles],29)</f>
        <v/>
      </c>
      <c r="H30" s="66">
        <f>INDEX(Projects[PS Pallet Locations],29)</f>
        <v/>
      </c>
      <c r="I30" s="66">
        <f>INDEX(Projects[SRM Cranes],29)</f>
        <v/>
      </c>
      <c r="J30" s="66">
        <f>INDEX(Projects[SRM Pallet Locations],29)</f>
        <v/>
      </c>
      <c r="K30" s="66">
        <f>INDEX(Projects[Case Conv (m)],29)</f>
        <v/>
      </c>
      <c r="L30" s="66">
        <f>INDEX(Projects[Pallet Conv (m)],29)</f>
        <v/>
      </c>
      <c r="M30" s="66">
        <f>INDEX(Projects[Mech Eng (wks)],29)</f>
        <v/>
      </c>
      <c r="N30" s="66">
        <f>INDEX(Projects[Controls Eng (wks)],29)</f>
        <v/>
      </c>
      <c r="O30" s="66">
        <f>INDEX(Projects[Systems Eng (wks)],29)</f>
        <v/>
      </c>
      <c r="P30" s="66">
        <f>INDEX(Projects[Software Eng (wks)],29)</f>
        <v/>
      </c>
      <c r="Q30" s="66">
        <f>INDEX(Projects[M&amp;E Installation (wks)],29)</f>
        <v/>
      </c>
      <c r="R30" s="66">
        <f>INDEX(Projects[Commissioning (wks)],29)</f>
        <v/>
      </c>
      <c r="S30" s="66">
        <f>INDEX(Projects[Total Timeline (wks)],29)</f>
        <v/>
      </c>
      <c r="T30" s="66">
        <f>INDEX(Projects[Currency],29)&amp;""</f>
        <v/>
      </c>
      <c r="U30" s="67">
        <f>INDEX(Projects[Value (M)],29)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INDEX(Projects[Automation Equipment],29)&amp;""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IF(AND(A30&lt;&gt;"",OR('Smart Search'!$L$5="",'Smart Search'!$L$5="All",TRIM(BZ30)=TRIM('Smart Search'!$L$5)),OR(TRIM('Smart Search'!$L$6)="",TRIM('Smart Search'!$L$6)="All",ISNUMBER(SEARCH(SUBSTITUTE(SUBSTITUTE(SUBSTITUTE(TRIM('Smart Search'!$L$6),"~","~~"),"*","~*"),"?","~?"),CA30))),OR('Smart Search'!$L$7="",AND(CB30&lt;&gt;0,CB30='Smart Search'!$L$7)),OR('Smart Search'!$L$8="",'Smart Search'!$L$8="All",TRIM(CC30)=TRIM('Smart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IF(A30="","",N(INDEX(Projects[Mech Inst],29)))</f>
        <v/>
      </c>
      <c r="BK30" s="5">
        <f>IF(A30="","",N(INDEX(Projects[Elec Inst],29)))</f>
        <v/>
      </c>
      <c r="BL30" s="5">
        <f>IF(A30="","",N(INDEX(Projects[Project Management],29)))</f>
        <v/>
      </c>
      <c r="BM30" s="5">
        <f>IF(A30="","",N(INDEX(Projects[Systems Eng],29)))</f>
        <v/>
      </c>
      <c r="BN30" s="5">
        <f>IF(A30="","",N(INDEX(Projects[Mechanical Eng],29)))</f>
        <v/>
      </c>
      <c r="BO30" s="5">
        <f>IF(A30="","",N(INDEX(Projects[Structural Engineering],29)))</f>
        <v/>
      </c>
      <c r="BP30" s="5">
        <f>IF(A30="","",N(INDEX(Projects[Site Sup],29)))</f>
        <v/>
      </c>
      <c r="BQ30" s="5">
        <f>IF(A30="","",N(INDEX(Projects[Controls Commissioning],29)))</f>
        <v/>
      </c>
      <c r="BR30" s="5">
        <f>IF(A30="","",N(INDEX(Projects[Systems Commissioning],29)))</f>
        <v/>
      </c>
      <c r="BS30" s="5">
        <f>IF(A30="","",N(INDEX(Projects[Service Commissioning],29)))</f>
        <v/>
      </c>
      <c r="BT30" s="5">
        <f>IF(A30="","",N(INDEX(Projects[Controls Eng],29)))</f>
        <v/>
      </c>
      <c r="BU30" s="5">
        <f>IF(A30="","",N(INDEX(Projects[Controls Purchase],29)))</f>
        <v/>
      </c>
      <c r="BV30" s="5">
        <f>IF(A30="","",N(INDEX(Projects[Software Eng],29)))</f>
        <v/>
      </c>
      <c r="BW30" s="5">
        <f>IF(A30="","",N(INDEX(Projects[Misc],29)))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  <c r="BZ30" s="5">
        <f>INDEX(Projects[Solution Type],29)&amp;""</f>
        <v/>
      </c>
      <c r="CA30" s="5">
        <f>INDEX(Projects[Client / Region],29)&amp;""</f>
        <v/>
      </c>
      <c r="CB30" s="5">
        <f>INDEX(Projects[Year],29)</f>
        <v/>
      </c>
      <c r="CC30" s="5">
        <f>INDEX(Projects[Won?],29)&amp;""</f>
        <v/>
      </c>
      <c r="CD30" s="5">
        <f>INDEX(Projects[Value (USD M)],29)</f>
        <v/>
      </c>
      <c r="CE30" s="5">
        <f>INDEX(Projects[MH Data Status],29)&amp;""</f>
        <v/>
      </c>
    </row>
    <row r="31" ht="15" customHeight="1" s="74">
      <c r="A31" s="66">
        <f>INDEX(Projects[Project ID *],30)&amp;""</f>
        <v/>
      </c>
      <c r="B31" s="66">
        <f>INDEX(Projects[Project Name *],30)&amp;""</f>
        <v/>
      </c>
      <c r="C31" s="66">
        <f>INDEX(Projects[MS Shuttles],30)</f>
        <v/>
      </c>
      <c r="D31" s="66">
        <f>INDEX(Projects[MS Tote Locations],30)</f>
        <v/>
      </c>
      <c r="E31" s="66">
        <f>INDEX(Projects[AS Robots],30)</f>
        <v/>
      </c>
      <c r="F31" s="66">
        <f>INDEX(Projects[AS Tote Locations],30)</f>
        <v/>
      </c>
      <c r="G31" s="66">
        <f>INDEX(Projects[PS Shuttles],30)</f>
        <v/>
      </c>
      <c r="H31" s="66">
        <f>INDEX(Projects[PS Pallet Locations],30)</f>
        <v/>
      </c>
      <c r="I31" s="66">
        <f>INDEX(Projects[SRM Cranes],30)</f>
        <v/>
      </c>
      <c r="J31" s="66">
        <f>INDEX(Projects[SRM Pallet Locations],30)</f>
        <v/>
      </c>
      <c r="K31" s="66">
        <f>INDEX(Projects[Case Conv (m)],30)</f>
        <v/>
      </c>
      <c r="L31" s="66">
        <f>INDEX(Projects[Pallet Conv (m)],30)</f>
        <v/>
      </c>
      <c r="M31" s="66">
        <f>INDEX(Projects[Mech Eng (wks)],30)</f>
        <v/>
      </c>
      <c r="N31" s="66">
        <f>INDEX(Projects[Controls Eng (wks)],30)</f>
        <v/>
      </c>
      <c r="O31" s="66">
        <f>INDEX(Projects[Systems Eng (wks)],30)</f>
        <v/>
      </c>
      <c r="P31" s="66">
        <f>INDEX(Projects[Software Eng (wks)],30)</f>
        <v/>
      </c>
      <c r="Q31" s="66">
        <f>INDEX(Projects[M&amp;E Installation (wks)],30)</f>
        <v/>
      </c>
      <c r="R31" s="66">
        <f>INDEX(Projects[Commissioning (wks)],30)</f>
        <v/>
      </c>
      <c r="S31" s="66">
        <f>INDEX(Projects[Total Timeline (wks)],30)</f>
        <v/>
      </c>
      <c r="T31" s="66">
        <f>INDEX(Projects[Currency],30)&amp;""</f>
        <v/>
      </c>
      <c r="U31" s="67">
        <f>INDEX(Projects[Value (M)],30)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INDEX(Projects[Automation Equipment],30)&amp;""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IF(AND(A31&lt;&gt;"",OR('Smart Search'!$L$5="",'Smart Search'!$L$5="All",TRIM(BZ31)=TRIM('Smart Search'!$L$5)),OR(TRIM('Smart Search'!$L$6)="",TRIM('Smart Search'!$L$6)="All",ISNUMBER(SEARCH(SUBSTITUTE(SUBSTITUTE(SUBSTITUTE(TRIM('Smart Search'!$L$6),"~","~~"),"*","~*"),"?","~?"),CA31))),OR('Smart Search'!$L$7="",AND(CB31&lt;&gt;0,CB31='Smart Search'!$L$7)),OR('Smart Search'!$L$8="",'Smart Search'!$L$8="All",TRIM(CC31)=TRIM('Smart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IF(A31="","",N(INDEX(Projects[Mech Inst],30)))</f>
        <v/>
      </c>
      <c r="BK31" s="5">
        <f>IF(A31="","",N(INDEX(Projects[Elec Inst],30)))</f>
        <v/>
      </c>
      <c r="BL31" s="5">
        <f>IF(A31="","",N(INDEX(Projects[Project Management],30)))</f>
        <v/>
      </c>
      <c r="BM31" s="5">
        <f>IF(A31="","",N(INDEX(Projects[Systems Eng],30)))</f>
        <v/>
      </c>
      <c r="BN31" s="5">
        <f>IF(A31="","",N(INDEX(Projects[Mechanical Eng],30)))</f>
        <v/>
      </c>
      <c r="BO31" s="5">
        <f>IF(A31="","",N(INDEX(Projects[Structural Engineering],30)))</f>
        <v/>
      </c>
      <c r="BP31" s="5">
        <f>IF(A31="","",N(INDEX(Projects[Site Sup],30)))</f>
        <v/>
      </c>
      <c r="BQ31" s="5">
        <f>IF(A31="","",N(INDEX(Projects[Controls Commissioning],30)))</f>
        <v/>
      </c>
      <c r="BR31" s="5">
        <f>IF(A31="","",N(INDEX(Projects[Systems Commissioning],30)))</f>
        <v/>
      </c>
      <c r="BS31" s="5">
        <f>IF(A31="","",N(INDEX(Projects[Service Commissioning],30)))</f>
        <v/>
      </c>
      <c r="BT31" s="5">
        <f>IF(A31="","",N(INDEX(Projects[Controls Eng],30)))</f>
        <v/>
      </c>
      <c r="BU31" s="5">
        <f>IF(A31="","",N(INDEX(Projects[Controls Purchase],30)))</f>
        <v/>
      </c>
      <c r="BV31" s="5">
        <f>IF(A31="","",N(INDEX(Projects[Software Eng],30)))</f>
        <v/>
      </c>
      <c r="BW31" s="5">
        <f>IF(A31="","",N(INDEX(Projects[Misc],30)))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  <c r="BZ31" s="5">
        <f>INDEX(Projects[Solution Type],30)&amp;""</f>
        <v/>
      </c>
      <c r="CA31" s="5">
        <f>INDEX(Projects[Client / Region],30)&amp;""</f>
        <v/>
      </c>
      <c r="CB31" s="5">
        <f>INDEX(Projects[Year],30)</f>
        <v/>
      </c>
      <c r="CC31" s="5">
        <f>INDEX(Projects[Won?],30)&amp;""</f>
        <v/>
      </c>
      <c r="CD31" s="5">
        <f>INDEX(Projects[Value (USD M)],30)</f>
        <v/>
      </c>
      <c r="CE31" s="5">
        <f>INDEX(Projects[MH Data Status],30)&amp;""</f>
        <v/>
      </c>
    </row>
    <row r="32" ht="15" customHeight="1" s="74">
      <c r="A32" s="66">
        <f>INDEX(Projects[Project ID *],31)&amp;""</f>
        <v/>
      </c>
      <c r="B32" s="66">
        <f>INDEX(Projects[Project Name *],31)&amp;""</f>
        <v/>
      </c>
      <c r="C32" s="66">
        <f>INDEX(Projects[MS Shuttles],31)</f>
        <v/>
      </c>
      <c r="D32" s="66">
        <f>INDEX(Projects[MS Tote Locations],31)</f>
        <v/>
      </c>
      <c r="E32" s="66">
        <f>INDEX(Projects[AS Robots],31)</f>
        <v/>
      </c>
      <c r="F32" s="66">
        <f>INDEX(Projects[AS Tote Locations],31)</f>
        <v/>
      </c>
      <c r="G32" s="66">
        <f>INDEX(Projects[PS Shuttles],31)</f>
        <v/>
      </c>
      <c r="H32" s="66">
        <f>INDEX(Projects[PS Pallet Locations],31)</f>
        <v/>
      </c>
      <c r="I32" s="66">
        <f>INDEX(Projects[SRM Cranes],31)</f>
        <v/>
      </c>
      <c r="J32" s="66">
        <f>INDEX(Projects[SRM Pallet Locations],31)</f>
        <v/>
      </c>
      <c r="K32" s="66">
        <f>INDEX(Projects[Case Conv (m)],31)</f>
        <v/>
      </c>
      <c r="L32" s="66">
        <f>INDEX(Projects[Pallet Conv (m)],31)</f>
        <v/>
      </c>
      <c r="M32" s="66">
        <f>INDEX(Projects[Mech Eng (wks)],31)</f>
        <v/>
      </c>
      <c r="N32" s="66">
        <f>INDEX(Projects[Controls Eng (wks)],31)</f>
        <v/>
      </c>
      <c r="O32" s="66">
        <f>INDEX(Projects[Systems Eng (wks)],31)</f>
        <v/>
      </c>
      <c r="P32" s="66">
        <f>INDEX(Projects[Software Eng (wks)],31)</f>
        <v/>
      </c>
      <c r="Q32" s="66">
        <f>INDEX(Projects[M&amp;E Installation (wks)],31)</f>
        <v/>
      </c>
      <c r="R32" s="66">
        <f>INDEX(Projects[Commissioning (wks)],31)</f>
        <v/>
      </c>
      <c r="S32" s="66">
        <f>INDEX(Projects[Total Timeline (wks)],31)</f>
        <v/>
      </c>
      <c r="T32" s="66">
        <f>INDEX(Projects[Currency],31)&amp;""</f>
        <v/>
      </c>
      <c r="U32" s="67">
        <f>INDEX(Projects[Value (M)],31)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INDEX(Projects[Automation Equipment],31)&amp;""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IF(AND(A32&lt;&gt;"",OR('Smart Search'!$L$5="",'Smart Search'!$L$5="All",TRIM(BZ32)=TRIM('Smart Search'!$L$5)),OR(TRIM('Smart Search'!$L$6)="",TRIM('Smart Search'!$L$6)="All",ISNUMBER(SEARCH(SUBSTITUTE(SUBSTITUTE(SUBSTITUTE(TRIM('Smart Search'!$L$6),"~","~~"),"*","~*"),"?","~?"),CA32))),OR('Smart Search'!$L$7="",AND(CB32&lt;&gt;0,CB32='Smart Search'!$L$7)),OR('Smart Search'!$L$8="",'Smart Search'!$L$8="All",TRIM(CC32)=TRIM('Smart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IF(A32="","",N(INDEX(Projects[Mech Inst],31)))</f>
        <v/>
      </c>
      <c r="BK32" s="5">
        <f>IF(A32="","",N(INDEX(Projects[Elec Inst],31)))</f>
        <v/>
      </c>
      <c r="BL32" s="5">
        <f>IF(A32="","",N(INDEX(Projects[Project Management],31)))</f>
        <v/>
      </c>
      <c r="BM32" s="5">
        <f>IF(A32="","",N(INDEX(Projects[Systems Eng],31)))</f>
        <v/>
      </c>
      <c r="BN32" s="5">
        <f>IF(A32="","",N(INDEX(Projects[Mechanical Eng],31)))</f>
        <v/>
      </c>
      <c r="BO32" s="5">
        <f>IF(A32="","",N(INDEX(Projects[Structural Engineering],31)))</f>
        <v/>
      </c>
      <c r="BP32" s="5">
        <f>IF(A32="","",N(INDEX(Projects[Site Sup],31)))</f>
        <v/>
      </c>
      <c r="BQ32" s="5">
        <f>IF(A32="","",N(INDEX(Projects[Controls Commissioning],31)))</f>
        <v/>
      </c>
      <c r="BR32" s="5">
        <f>IF(A32="","",N(INDEX(Projects[Systems Commissioning],31)))</f>
        <v/>
      </c>
      <c r="BS32" s="5">
        <f>IF(A32="","",N(INDEX(Projects[Service Commissioning],31)))</f>
        <v/>
      </c>
      <c r="BT32" s="5">
        <f>IF(A32="","",N(INDEX(Projects[Controls Eng],31)))</f>
        <v/>
      </c>
      <c r="BU32" s="5">
        <f>IF(A32="","",N(INDEX(Projects[Controls Purchase],31)))</f>
        <v/>
      </c>
      <c r="BV32" s="5">
        <f>IF(A32="","",N(INDEX(Projects[Software Eng],31)))</f>
        <v/>
      </c>
      <c r="BW32" s="5">
        <f>IF(A32="","",N(INDEX(Projects[Misc],31)))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  <c r="BZ32" s="5">
        <f>INDEX(Projects[Solution Type],31)&amp;""</f>
        <v/>
      </c>
      <c r="CA32" s="5">
        <f>INDEX(Projects[Client / Region],31)&amp;""</f>
        <v/>
      </c>
      <c r="CB32" s="5">
        <f>INDEX(Projects[Year],31)</f>
        <v/>
      </c>
      <c r="CC32" s="5">
        <f>INDEX(Projects[Won?],31)&amp;""</f>
        <v/>
      </c>
      <c r="CD32" s="5">
        <f>INDEX(Projects[Value (USD M)],31)</f>
        <v/>
      </c>
      <c r="CE32" s="5">
        <f>INDEX(Projects[MH Data Status],31)&amp;""</f>
        <v/>
      </c>
    </row>
    <row r="33" ht="15" customHeight="1" s="74">
      <c r="A33" s="66">
        <f>INDEX(Projects[Project ID *],32)&amp;""</f>
        <v/>
      </c>
      <c r="B33" s="66">
        <f>INDEX(Projects[Project Name *],32)&amp;""</f>
        <v/>
      </c>
      <c r="C33" s="66">
        <f>INDEX(Projects[MS Shuttles],32)</f>
        <v/>
      </c>
      <c r="D33" s="66">
        <f>INDEX(Projects[MS Tote Locations],32)</f>
        <v/>
      </c>
      <c r="E33" s="66">
        <f>INDEX(Projects[AS Robots],32)</f>
        <v/>
      </c>
      <c r="F33" s="66">
        <f>INDEX(Projects[AS Tote Locations],32)</f>
        <v/>
      </c>
      <c r="G33" s="66">
        <f>INDEX(Projects[PS Shuttles],32)</f>
        <v/>
      </c>
      <c r="H33" s="66">
        <f>INDEX(Projects[PS Pallet Locations],32)</f>
        <v/>
      </c>
      <c r="I33" s="66">
        <f>INDEX(Projects[SRM Cranes],32)</f>
        <v/>
      </c>
      <c r="J33" s="66">
        <f>INDEX(Projects[SRM Pallet Locations],32)</f>
        <v/>
      </c>
      <c r="K33" s="66">
        <f>INDEX(Projects[Case Conv (m)],32)</f>
        <v/>
      </c>
      <c r="L33" s="66">
        <f>INDEX(Projects[Pallet Conv (m)],32)</f>
        <v/>
      </c>
      <c r="M33" s="66">
        <f>INDEX(Projects[Mech Eng (wks)],32)</f>
        <v/>
      </c>
      <c r="N33" s="66">
        <f>INDEX(Projects[Controls Eng (wks)],32)</f>
        <v/>
      </c>
      <c r="O33" s="66">
        <f>INDEX(Projects[Systems Eng (wks)],32)</f>
        <v/>
      </c>
      <c r="P33" s="66">
        <f>INDEX(Projects[Software Eng (wks)],32)</f>
        <v/>
      </c>
      <c r="Q33" s="66">
        <f>INDEX(Projects[M&amp;E Installation (wks)],32)</f>
        <v/>
      </c>
      <c r="R33" s="66">
        <f>INDEX(Projects[Commissioning (wks)],32)</f>
        <v/>
      </c>
      <c r="S33" s="66">
        <f>INDEX(Projects[Total Timeline (wks)],32)</f>
        <v/>
      </c>
      <c r="T33" s="66">
        <f>INDEX(Projects[Currency],32)&amp;""</f>
        <v/>
      </c>
      <c r="U33" s="67">
        <f>INDEX(Projects[Value (M)],32)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INDEX(Projects[Automation Equipment],32)&amp;""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IF(AND(A33&lt;&gt;"",OR('Smart Search'!$L$5="",'Smart Search'!$L$5="All",TRIM(BZ33)=TRIM('Smart Search'!$L$5)),OR(TRIM('Smart Search'!$L$6)="",TRIM('Smart Search'!$L$6)="All",ISNUMBER(SEARCH(SUBSTITUTE(SUBSTITUTE(SUBSTITUTE(TRIM('Smart Search'!$L$6),"~","~~"),"*","~*"),"?","~?"),CA33))),OR('Smart Search'!$L$7="",AND(CB33&lt;&gt;0,CB33='Smart Search'!$L$7)),OR('Smart Search'!$L$8="",'Smart Search'!$L$8="All",TRIM(CC33)=TRIM('Smart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IF(A33="","",N(INDEX(Projects[Mech Inst],32)))</f>
        <v/>
      </c>
      <c r="BK33" s="5">
        <f>IF(A33="","",N(INDEX(Projects[Elec Inst],32)))</f>
        <v/>
      </c>
      <c r="BL33" s="5">
        <f>IF(A33="","",N(INDEX(Projects[Project Management],32)))</f>
        <v/>
      </c>
      <c r="BM33" s="5">
        <f>IF(A33="","",N(INDEX(Projects[Systems Eng],32)))</f>
        <v/>
      </c>
      <c r="BN33" s="5">
        <f>IF(A33="","",N(INDEX(Projects[Mechanical Eng],32)))</f>
        <v/>
      </c>
      <c r="BO33" s="5">
        <f>IF(A33="","",N(INDEX(Projects[Structural Engineering],32)))</f>
        <v/>
      </c>
      <c r="BP33" s="5">
        <f>IF(A33="","",N(INDEX(Projects[Site Sup],32)))</f>
        <v/>
      </c>
      <c r="BQ33" s="5">
        <f>IF(A33="","",N(INDEX(Projects[Controls Commissioning],32)))</f>
        <v/>
      </c>
      <c r="BR33" s="5">
        <f>IF(A33="","",N(INDEX(Projects[Systems Commissioning],32)))</f>
        <v/>
      </c>
      <c r="BS33" s="5">
        <f>IF(A33="","",N(INDEX(Projects[Service Commissioning],32)))</f>
        <v/>
      </c>
      <c r="BT33" s="5">
        <f>IF(A33="","",N(INDEX(Projects[Controls Eng],32)))</f>
        <v/>
      </c>
      <c r="BU33" s="5">
        <f>IF(A33="","",N(INDEX(Projects[Controls Purchase],32)))</f>
        <v/>
      </c>
      <c r="BV33" s="5">
        <f>IF(A33="","",N(INDEX(Projects[Software Eng],32)))</f>
        <v/>
      </c>
      <c r="BW33" s="5">
        <f>IF(A33="","",N(INDEX(Projects[Misc],32)))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  <c r="BZ33" s="5">
        <f>INDEX(Projects[Solution Type],32)&amp;""</f>
        <v/>
      </c>
      <c r="CA33" s="5">
        <f>INDEX(Projects[Client / Region],32)&amp;""</f>
        <v/>
      </c>
      <c r="CB33" s="5">
        <f>INDEX(Projects[Year],32)</f>
        <v/>
      </c>
      <c r="CC33" s="5">
        <f>INDEX(Projects[Won?],32)&amp;""</f>
        <v/>
      </c>
      <c r="CD33" s="5">
        <f>INDEX(Projects[Value (USD M)],32)</f>
        <v/>
      </c>
      <c r="CE33" s="5">
        <f>INDEX(Projects[MH Data Status],32)&amp;""</f>
        <v/>
      </c>
    </row>
    <row r="34" ht="15" customHeight="1" s="74">
      <c r="A34" s="66">
        <f>INDEX(Projects[Project ID *],33)&amp;""</f>
        <v/>
      </c>
      <c r="B34" s="66">
        <f>INDEX(Projects[Project Name *],33)&amp;""</f>
        <v/>
      </c>
      <c r="C34" s="66">
        <f>INDEX(Projects[MS Shuttles],33)</f>
        <v/>
      </c>
      <c r="D34" s="66">
        <f>INDEX(Projects[MS Tote Locations],33)</f>
        <v/>
      </c>
      <c r="E34" s="66">
        <f>INDEX(Projects[AS Robots],33)</f>
        <v/>
      </c>
      <c r="F34" s="66">
        <f>INDEX(Projects[AS Tote Locations],33)</f>
        <v/>
      </c>
      <c r="G34" s="66">
        <f>INDEX(Projects[PS Shuttles],33)</f>
        <v/>
      </c>
      <c r="H34" s="66">
        <f>INDEX(Projects[PS Pallet Locations],33)</f>
        <v/>
      </c>
      <c r="I34" s="66">
        <f>INDEX(Projects[SRM Cranes],33)</f>
        <v/>
      </c>
      <c r="J34" s="66">
        <f>INDEX(Projects[SRM Pallet Locations],33)</f>
        <v/>
      </c>
      <c r="K34" s="66">
        <f>INDEX(Projects[Case Conv (m)],33)</f>
        <v/>
      </c>
      <c r="L34" s="66">
        <f>INDEX(Projects[Pallet Conv (m)],33)</f>
        <v/>
      </c>
      <c r="M34" s="66">
        <f>INDEX(Projects[Mech Eng (wks)],33)</f>
        <v/>
      </c>
      <c r="N34" s="66">
        <f>INDEX(Projects[Controls Eng (wks)],33)</f>
        <v/>
      </c>
      <c r="O34" s="66">
        <f>INDEX(Projects[Systems Eng (wks)],33)</f>
        <v/>
      </c>
      <c r="P34" s="66">
        <f>INDEX(Projects[Software Eng (wks)],33)</f>
        <v/>
      </c>
      <c r="Q34" s="66">
        <f>INDEX(Projects[M&amp;E Installation (wks)],33)</f>
        <v/>
      </c>
      <c r="R34" s="66">
        <f>INDEX(Projects[Commissioning (wks)],33)</f>
        <v/>
      </c>
      <c r="S34" s="66">
        <f>INDEX(Projects[Total Timeline (wks)],33)</f>
        <v/>
      </c>
      <c r="T34" s="66">
        <f>INDEX(Projects[Currency],33)&amp;""</f>
        <v/>
      </c>
      <c r="U34" s="67">
        <f>INDEX(Projects[Value (M)],33)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INDEX(Projects[Automation Equipment],33)&amp;""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IF(AND(A34&lt;&gt;"",OR('Smart Search'!$L$5="",'Smart Search'!$L$5="All",TRIM(BZ34)=TRIM('Smart Search'!$L$5)),OR(TRIM('Smart Search'!$L$6)="",TRIM('Smart Search'!$L$6)="All",ISNUMBER(SEARCH(SUBSTITUTE(SUBSTITUTE(SUBSTITUTE(TRIM('Smart Search'!$L$6),"~","~~"),"*","~*"),"?","~?"),CA34))),OR('Smart Search'!$L$7="",AND(CB34&lt;&gt;0,CB34='Smart Search'!$L$7)),OR('Smart Search'!$L$8="",'Smart Search'!$L$8="All",TRIM(CC34)=TRIM('Smart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IF(A34="","",N(INDEX(Projects[Mech Inst],33)))</f>
        <v/>
      </c>
      <c r="BK34" s="5">
        <f>IF(A34="","",N(INDEX(Projects[Elec Inst],33)))</f>
        <v/>
      </c>
      <c r="BL34" s="5">
        <f>IF(A34="","",N(INDEX(Projects[Project Management],33)))</f>
        <v/>
      </c>
      <c r="BM34" s="5">
        <f>IF(A34="","",N(INDEX(Projects[Systems Eng],33)))</f>
        <v/>
      </c>
      <c r="BN34" s="5">
        <f>IF(A34="","",N(INDEX(Projects[Mechanical Eng],33)))</f>
        <v/>
      </c>
      <c r="BO34" s="5">
        <f>IF(A34="","",N(INDEX(Projects[Structural Engineering],33)))</f>
        <v/>
      </c>
      <c r="BP34" s="5">
        <f>IF(A34="","",N(INDEX(Projects[Site Sup],33)))</f>
        <v/>
      </c>
      <c r="BQ34" s="5">
        <f>IF(A34="","",N(INDEX(Projects[Controls Commissioning],33)))</f>
        <v/>
      </c>
      <c r="BR34" s="5">
        <f>IF(A34="","",N(INDEX(Projects[Systems Commissioning],33)))</f>
        <v/>
      </c>
      <c r="BS34" s="5">
        <f>IF(A34="","",N(INDEX(Projects[Service Commissioning],33)))</f>
        <v/>
      </c>
      <c r="BT34" s="5">
        <f>IF(A34="","",N(INDEX(Projects[Controls Eng],33)))</f>
        <v/>
      </c>
      <c r="BU34" s="5">
        <f>IF(A34="","",N(INDEX(Projects[Controls Purchase],33)))</f>
        <v/>
      </c>
      <c r="BV34" s="5">
        <f>IF(A34="","",N(INDEX(Projects[Software Eng],33)))</f>
        <v/>
      </c>
      <c r="BW34" s="5">
        <f>IF(A34="","",N(INDEX(Projects[Misc],33)))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  <c r="BZ34" s="5">
        <f>INDEX(Projects[Solution Type],33)&amp;""</f>
        <v/>
      </c>
      <c r="CA34" s="5">
        <f>INDEX(Projects[Client / Region],33)&amp;""</f>
        <v/>
      </c>
      <c r="CB34" s="5">
        <f>INDEX(Projects[Year],33)</f>
        <v/>
      </c>
      <c r="CC34" s="5">
        <f>INDEX(Projects[Won?],33)&amp;""</f>
        <v/>
      </c>
      <c r="CD34" s="5">
        <f>INDEX(Projects[Value (USD M)],33)</f>
        <v/>
      </c>
      <c r="CE34" s="5">
        <f>INDEX(Projects[MH Data Status],33)&amp;""</f>
        <v/>
      </c>
    </row>
    <row r="35" ht="15" customHeight="1" s="74">
      <c r="A35" s="66">
        <f>INDEX(Projects[Project ID *],34)&amp;""</f>
        <v/>
      </c>
      <c r="B35" s="66">
        <f>INDEX(Projects[Project Name *],34)&amp;""</f>
        <v/>
      </c>
      <c r="C35" s="66">
        <f>INDEX(Projects[MS Shuttles],34)</f>
        <v/>
      </c>
      <c r="D35" s="66">
        <f>INDEX(Projects[MS Tote Locations],34)</f>
        <v/>
      </c>
      <c r="E35" s="66">
        <f>INDEX(Projects[AS Robots],34)</f>
        <v/>
      </c>
      <c r="F35" s="66">
        <f>INDEX(Projects[AS Tote Locations],34)</f>
        <v/>
      </c>
      <c r="G35" s="66">
        <f>INDEX(Projects[PS Shuttles],34)</f>
        <v/>
      </c>
      <c r="H35" s="66">
        <f>INDEX(Projects[PS Pallet Locations],34)</f>
        <v/>
      </c>
      <c r="I35" s="66">
        <f>INDEX(Projects[SRM Cranes],34)</f>
        <v/>
      </c>
      <c r="J35" s="66">
        <f>INDEX(Projects[SRM Pallet Locations],34)</f>
        <v/>
      </c>
      <c r="K35" s="66">
        <f>INDEX(Projects[Case Conv (m)],34)</f>
        <v/>
      </c>
      <c r="L35" s="66">
        <f>INDEX(Projects[Pallet Conv (m)],34)</f>
        <v/>
      </c>
      <c r="M35" s="66">
        <f>INDEX(Projects[Mech Eng (wks)],34)</f>
        <v/>
      </c>
      <c r="N35" s="66">
        <f>INDEX(Projects[Controls Eng (wks)],34)</f>
        <v/>
      </c>
      <c r="O35" s="66">
        <f>INDEX(Projects[Systems Eng (wks)],34)</f>
        <v/>
      </c>
      <c r="P35" s="66">
        <f>INDEX(Projects[Software Eng (wks)],34)</f>
        <v/>
      </c>
      <c r="Q35" s="66">
        <f>INDEX(Projects[M&amp;E Installation (wks)],34)</f>
        <v/>
      </c>
      <c r="R35" s="66">
        <f>INDEX(Projects[Commissioning (wks)],34)</f>
        <v/>
      </c>
      <c r="S35" s="66">
        <f>INDEX(Projects[Total Timeline (wks)],34)</f>
        <v/>
      </c>
      <c r="T35" s="66">
        <f>INDEX(Projects[Currency],34)&amp;""</f>
        <v/>
      </c>
      <c r="U35" s="67">
        <f>INDEX(Projects[Value (M)],34)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INDEX(Projects[Automation Equipment],34)&amp;""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IF(AND(A35&lt;&gt;"",OR('Smart Search'!$L$5="",'Smart Search'!$L$5="All",TRIM(BZ35)=TRIM('Smart Search'!$L$5)),OR(TRIM('Smart Search'!$L$6)="",TRIM('Smart Search'!$L$6)="All",ISNUMBER(SEARCH(SUBSTITUTE(SUBSTITUTE(SUBSTITUTE(TRIM('Smart Search'!$L$6),"~","~~"),"*","~*"),"?","~?"),CA35))),OR('Smart Search'!$L$7="",AND(CB35&lt;&gt;0,CB35='Smart Search'!$L$7)),OR('Smart Search'!$L$8="",'Smart Search'!$L$8="All",TRIM(CC35)=TRIM('Smart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IF(A35="","",N(INDEX(Projects[Mech Inst],34)))</f>
        <v/>
      </c>
      <c r="BK35" s="5">
        <f>IF(A35="","",N(INDEX(Projects[Elec Inst],34)))</f>
        <v/>
      </c>
      <c r="BL35" s="5">
        <f>IF(A35="","",N(INDEX(Projects[Project Management],34)))</f>
        <v/>
      </c>
      <c r="BM35" s="5">
        <f>IF(A35="","",N(INDEX(Projects[Systems Eng],34)))</f>
        <v/>
      </c>
      <c r="BN35" s="5">
        <f>IF(A35="","",N(INDEX(Projects[Mechanical Eng],34)))</f>
        <v/>
      </c>
      <c r="BO35" s="5">
        <f>IF(A35="","",N(INDEX(Projects[Structural Engineering],34)))</f>
        <v/>
      </c>
      <c r="BP35" s="5">
        <f>IF(A35="","",N(INDEX(Projects[Site Sup],34)))</f>
        <v/>
      </c>
      <c r="BQ35" s="5">
        <f>IF(A35="","",N(INDEX(Projects[Controls Commissioning],34)))</f>
        <v/>
      </c>
      <c r="BR35" s="5">
        <f>IF(A35="","",N(INDEX(Projects[Systems Commissioning],34)))</f>
        <v/>
      </c>
      <c r="BS35" s="5">
        <f>IF(A35="","",N(INDEX(Projects[Service Commissioning],34)))</f>
        <v/>
      </c>
      <c r="BT35" s="5">
        <f>IF(A35="","",N(INDEX(Projects[Controls Eng],34)))</f>
        <v/>
      </c>
      <c r="BU35" s="5">
        <f>IF(A35="","",N(INDEX(Projects[Controls Purchase],34)))</f>
        <v/>
      </c>
      <c r="BV35" s="5">
        <f>IF(A35="","",N(INDEX(Projects[Software Eng],34)))</f>
        <v/>
      </c>
      <c r="BW35" s="5">
        <f>IF(A35="","",N(INDEX(Projects[Misc],34)))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  <c r="BZ35" s="5">
        <f>INDEX(Projects[Solution Type],34)&amp;""</f>
        <v/>
      </c>
      <c r="CA35" s="5">
        <f>INDEX(Projects[Client / Region],34)&amp;""</f>
        <v/>
      </c>
      <c r="CB35" s="5">
        <f>INDEX(Projects[Year],34)</f>
        <v/>
      </c>
      <c r="CC35" s="5">
        <f>INDEX(Projects[Won?],34)&amp;""</f>
        <v/>
      </c>
      <c r="CD35" s="5">
        <f>INDEX(Projects[Value (USD M)],34)</f>
        <v/>
      </c>
      <c r="CE35" s="5">
        <f>INDEX(Projects[MH Data Status],34)&amp;""</f>
        <v/>
      </c>
    </row>
    <row r="36" ht="15" customHeight="1" s="74">
      <c r="A36" s="66">
        <f>INDEX(Projects[Project ID *],35)&amp;""</f>
        <v/>
      </c>
      <c r="B36" s="66">
        <f>INDEX(Projects[Project Name *],35)&amp;""</f>
        <v/>
      </c>
      <c r="C36" s="66">
        <f>INDEX(Projects[MS Shuttles],35)</f>
        <v/>
      </c>
      <c r="D36" s="66">
        <f>INDEX(Projects[MS Tote Locations],35)</f>
        <v/>
      </c>
      <c r="E36" s="66">
        <f>INDEX(Projects[AS Robots],35)</f>
        <v/>
      </c>
      <c r="F36" s="66">
        <f>INDEX(Projects[AS Tote Locations],35)</f>
        <v/>
      </c>
      <c r="G36" s="66">
        <f>INDEX(Projects[PS Shuttles],35)</f>
        <v/>
      </c>
      <c r="H36" s="66">
        <f>INDEX(Projects[PS Pallet Locations],35)</f>
        <v/>
      </c>
      <c r="I36" s="66">
        <f>INDEX(Projects[SRM Cranes],35)</f>
        <v/>
      </c>
      <c r="J36" s="66">
        <f>INDEX(Projects[SRM Pallet Locations],35)</f>
        <v/>
      </c>
      <c r="K36" s="66">
        <f>INDEX(Projects[Case Conv (m)],35)</f>
        <v/>
      </c>
      <c r="L36" s="66">
        <f>INDEX(Projects[Pallet Conv (m)],35)</f>
        <v/>
      </c>
      <c r="M36" s="66">
        <f>INDEX(Projects[Mech Eng (wks)],35)</f>
        <v/>
      </c>
      <c r="N36" s="66">
        <f>INDEX(Projects[Controls Eng (wks)],35)</f>
        <v/>
      </c>
      <c r="O36" s="66">
        <f>INDEX(Projects[Systems Eng (wks)],35)</f>
        <v/>
      </c>
      <c r="P36" s="66">
        <f>INDEX(Projects[Software Eng (wks)],35)</f>
        <v/>
      </c>
      <c r="Q36" s="66">
        <f>INDEX(Projects[M&amp;E Installation (wks)],35)</f>
        <v/>
      </c>
      <c r="R36" s="66">
        <f>INDEX(Projects[Commissioning (wks)],35)</f>
        <v/>
      </c>
      <c r="S36" s="66">
        <f>INDEX(Projects[Total Timeline (wks)],35)</f>
        <v/>
      </c>
      <c r="T36" s="66">
        <f>INDEX(Projects[Currency],35)&amp;""</f>
        <v/>
      </c>
      <c r="U36" s="67">
        <f>INDEX(Projects[Value (M)],35)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INDEX(Projects[Automation Equipment],35)&amp;""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IF(AND(A36&lt;&gt;"",OR('Smart Search'!$L$5="",'Smart Search'!$L$5="All",TRIM(BZ36)=TRIM('Smart Search'!$L$5)),OR(TRIM('Smart Search'!$L$6)="",TRIM('Smart Search'!$L$6)="All",ISNUMBER(SEARCH(SUBSTITUTE(SUBSTITUTE(SUBSTITUTE(TRIM('Smart Search'!$L$6),"~","~~"),"*","~*"),"?","~?"),CA36))),OR('Smart Search'!$L$7="",AND(CB36&lt;&gt;0,CB36='Smart Search'!$L$7)),OR('Smart Search'!$L$8="",'Smart Search'!$L$8="All",TRIM(CC36)=TRIM('Smart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IF(A36="","",N(INDEX(Projects[Mech Inst],35)))</f>
        <v/>
      </c>
      <c r="BK36" s="5">
        <f>IF(A36="","",N(INDEX(Projects[Elec Inst],35)))</f>
        <v/>
      </c>
      <c r="BL36" s="5">
        <f>IF(A36="","",N(INDEX(Projects[Project Management],35)))</f>
        <v/>
      </c>
      <c r="BM36" s="5">
        <f>IF(A36="","",N(INDEX(Projects[Systems Eng],35)))</f>
        <v/>
      </c>
      <c r="BN36" s="5">
        <f>IF(A36="","",N(INDEX(Projects[Mechanical Eng],35)))</f>
        <v/>
      </c>
      <c r="BO36" s="5">
        <f>IF(A36="","",N(INDEX(Projects[Structural Engineering],35)))</f>
        <v/>
      </c>
      <c r="BP36" s="5">
        <f>IF(A36="","",N(INDEX(Projects[Site Sup],35)))</f>
        <v/>
      </c>
      <c r="BQ36" s="5">
        <f>IF(A36="","",N(INDEX(Projects[Controls Commissioning],35)))</f>
        <v/>
      </c>
      <c r="BR36" s="5">
        <f>IF(A36="","",N(INDEX(Projects[Systems Commissioning],35)))</f>
        <v/>
      </c>
      <c r="BS36" s="5">
        <f>IF(A36="","",N(INDEX(Projects[Service Commissioning],35)))</f>
        <v/>
      </c>
      <c r="BT36" s="5">
        <f>IF(A36="","",N(INDEX(Projects[Controls Eng],35)))</f>
        <v/>
      </c>
      <c r="BU36" s="5">
        <f>IF(A36="","",N(INDEX(Projects[Controls Purchase],35)))</f>
        <v/>
      </c>
      <c r="BV36" s="5">
        <f>IF(A36="","",N(INDEX(Projects[Software Eng],35)))</f>
        <v/>
      </c>
      <c r="BW36" s="5">
        <f>IF(A36="","",N(INDEX(Projects[Misc],35)))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  <c r="BZ36" s="5">
        <f>INDEX(Projects[Solution Type],35)&amp;""</f>
        <v/>
      </c>
      <c r="CA36" s="5">
        <f>INDEX(Projects[Client / Region],35)&amp;""</f>
        <v/>
      </c>
      <c r="CB36" s="5">
        <f>INDEX(Projects[Year],35)</f>
        <v/>
      </c>
      <c r="CC36" s="5">
        <f>INDEX(Projects[Won?],35)&amp;""</f>
        <v/>
      </c>
      <c r="CD36" s="5">
        <f>INDEX(Projects[Value (USD M)],35)</f>
        <v/>
      </c>
      <c r="CE36" s="5">
        <f>INDEX(Projects[MH Data Status],35)&amp;""</f>
        <v/>
      </c>
    </row>
    <row r="37" ht="15" customHeight="1" s="74">
      <c r="A37" s="66">
        <f>INDEX(Projects[Project ID *],36)&amp;""</f>
        <v/>
      </c>
      <c r="B37" s="66">
        <f>INDEX(Projects[Project Name *],36)&amp;""</f>
        <v/>
      </c>
      <c r="C37" s="66">
        <f>INDEX(Projects[MS Shuttles],36)</f>
        <v/>
      </c>
      <c r="D37" s="66">
        <f>INDEX(Projects[MS Tote Locations],36)</f>
        <v/>
      </c>
      <c r="E37" s="66">
        <f>INDEX(Projects[AS Robots],36)</f>
        <v/>
      </c>
      <c r="F37" s="66">
        <f>INDEX(Projects[AS Tote Locations],36)</f>
        <v/>
      </c>
      <c r="G37" s="66">
        <f>INDEX(Projects[PS Shuttles],36)</f>
        <v/>
      </c>
      <c r="H37" s="66">
        <f>INDEX(Projects[PS Pallet Locations],36)</f>
        <v/>
      </c>
      <c r="I37" s="66">
        <f>INDEX(Projects[SRM Cranes],36)</f>
        <v/>
      </c>
      <c r="J37" s="66">
        <f>INDEX(Projects[SRM Pallet Locations],36)</f>
        <v/>
      </c>
      <c r="K37" s="66">
        <f>INDEX(Projects[Case Conv (m)],36)</f>
        <v/>
      </c>
      <c r="L37" s="66">
        <f>INDEX(Projects[Pallet Conv (m)],36)</f>
        <v/>
      </c>
      <c r="M37" s="66">
        <f>INDEX(Projects[Mech Eng (wks)],36)</f>
        <v/>
      </c>
      <c r="N37" s="66">
        <f>INDEX(Projects[Controls Eng (wks)],36)</f>
        <v/>
      </c>
      <c r="O37" s="66">
        <f>INDEX(Projects[Systems Eng (wks)],36)</f>
        <v/>
      </c>
      <c r="P37" s="66">
        <f>INDEX(Projects[Software Eng (wks)],36)</f>
        <v/>
      </c>
      <c r="Q37" s="66">
        <f>INDEX(Projects[M&amp;E Installation (wks)],36)</f>
        <v/>
      </c>
      <c r="R37" s="66">
        <f>INDEX(Projects[Commissioning (wks)],36)</f>
        <v/>
      </c>
      <c r="S37" s="66">
        <f>INDEX(Projects[Total Timeline (wks)],36)</f>
        <v/>
      </c>
      <c r="T37" s="66">
        <f>INDEX(Projects[Currency],36)&amp;""</f>
        <v/>
      </c>
      <c r="U37" s="67">
        <f>INDEX(Projects[Value (M)],36)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INDEX(Projects[Automation Equipment],36)&amp;""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IF(AND(A37&lt;&gt;"",OR('Smart Search'!$L$5="",'Smart Search'!$L$5="All",TRIM(BZ37)=TRIM('Smart Search'!$L$5)),OR(TRIM('Smart Search'!$L$6)="",TRIM('Smart Search'!$L$6)="All",ISNUMBER(SEARCH(SUBSTITUTE(SUBSTITUTE(SUBSTITUTE(TRIM('Smart Search'!$L$6),"~","~~"),"*","~*"),"?","~?"),CA37))),OR('Smart Search'!$L$7="",AND(CB37&lt;&gt;0,CB37='Smart Search'!$L$7)),OR('Smart Search'!$L$8="",'Smart Search'!$L$8="All",TRIM(CC37)=TRIM('Smart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IF(A37="","",N(INDEX(Projects[Mech Inst],36)))</f>
        <v/>
      </c>
      <c r="BK37" s="5">
        <f>IF(A37="","",N(INDEX(Projects[Elec Inst],36)))</f>
        <v/>
      </c>
      <c r="BL37" s="5">
        <f>IF(A37="","",N(INDEX(Projects[Project Management],36)))</f>
        <v/>
      </c>
      <c r="BM37" s="5">
        <f>IF(A37="","",N(INDEX(Projects[Systems Eng],36)))</f>
        <v/>
      </c>
      <c r="BN37" s="5">
        <f>IF(A37="","",N(INDEX(Projects[Mechanical Eng],36)))</f>
        <v/>
      </c>
      <c r="BO37" s="5">
        <f>IF(A37="","",N(INDEX(Projects[Structural Engineering],36)))</f>
        <v/>
      </c>
      <c r="BP37" s="5">
        <f>IF(A37="","",N(INDEX(Projects[Site Sup],36)))</f>
        <v/>
      </c>
      <c r="BQ37" s="5">
        <f>IF(A37="","",N(INDEX(Projects[Controls Commissioning],36)))</f>
        <v/>
      </c>
      <c r="BR37" s="5">
        <f>IF(A37="","",N(INDEX(Projects[Systems Commissioning],36)))</f>
        <v/>
      </c>
      <c r="BS37" s="5">
        <f>IF(A37="","",N(INDEX(Projects[Service Commissioning],36)))</f>
        <v/>
      </c>
      <c r="BT37" s="5">
        <f>IF(A37="","",N(INDEX(Projects[Controls Eng],36)))</f>
        <v/>
      </c>
      <c r="BU37" s="5">
        <f>IF(A37="","",N(INDEX(Projects[Controls Purchase],36)))</f>
        <v/>
      </c>
      <c r="BV37" s="5">
        <f>IF(A37="","",N(INDEX(Projects[Software Eng],36)))</f>
        <v/>
      </c>
      <c r="BW37" s="5">
        <f>IF(A37="","",N(INDEX(Projects[Misc],36)))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  <c r="BZ37" s="5">
        <f>INDEX(Projects[Solution Type],36)&amp;""</f>
        <v/>
      </c>
      <c r="CA37" s="5">
        <f>INDEX(Projects[Client / Region],36)&amp;""</f>
        <v/>
      </c>
      <c r="CB37" s="5">
        <f>INDEX(Projects[Year],36)</f>
        <v/>
      </c>
      <c r="CC37" s="5">
        <f>INDEX(Projects[Won?],36)&amp;""</f>
        <v/>
      </c>
      <c r="CD37" s="5">
        <f>INDEX(Projects[Value (USD M)],36)</f>
        <v/>
      </c>
      <c r="CE37" s="5">
        <f>INDEX(Projects[MH Data Status],36)&amp;""</f>
        <v/>
      </c>
    </row>
    <row r="38" ht="15" customHeight="1" s="74">
      <c r="A38" s="66">
        <f>INDEX(Projects[Project ID *],37)&amp;""</f>
        <v/>
      </c>
      <c r="B38" s="66">
        <f>INDEX(Projects[Project Name *],37)&amp;""</f>
        <v/>
      </c>
      <c r="C38" s="66">
        <f>INDEX(Projects[MS Shuttles],37)</f>
        <v/>
      </c>
      <c r="D38" s="66">
        <f>INDEX(Projects[MS Tote Locations],37)</f>
        <v/>
      </c>
      <c r="E38" s="66">
        <f>INDEX(Projects[AS Robots],37)</f>
        <v/>
      </c>
      <c r="F38" s="66">
        <f>INDEX(Projects[AS Tote Locations],37)</f>
        <v/>
      </c>
      <c r="G38" s="66">
        <f>INDEX(Projects[PS Shuttles],37)</f>
        <v/>
      </c>
      <c r="H38" s="66">
        <f>INDEX(Projects[PS Pallet Locations],37)</f>
        <v/>
      </c>
      <c r="I38" s="66">
        <f>INDEX(Projects[SRM Cranes],37)</f>
        <v/>
      </c>
      <c r="J38" s="66">
        <f>INDEX(Projects[SRM Pallet Locations],37)</f>
        <v/>
      </c>
      <c r="K38" s="66">
        <f>INDEX(Projects[Case Conv (m)],37)</f>
        <v/>
      </c>
      <c r="L38" s="66">
        <f>INDEX(Projects[Pallet Conv (m)],37)</f>
        <v/>
      </c>
      <c r="M38" s="66">
        <f>INDEX(Projects[Mech Eng (wks)],37)</f>
        <v/>
      </c>
      <c r="N38" s="66">
        <f>INDEX(Projects[Controls Eng (wks)],37)</f>
        <v/>
      </c>
      <c r="O38" s="66">
        <f>INDEX(Projects[Systems Eng (wks)],37)</f>
        <v/>
      </c>
      <c r="P38" s="66">
        <f>INDEX(Projects[Software Eng (wks)],37)</f>
        <v/>
      </c>
      <c r="Q38" s="66">
        <f>INDEX(Projects[M&amp;E Installation (wks)],37)</f>
        <v/>
      </c>
      <c r="R38" s="66">
        <f>INDEX(Projects[Commissioning (wks)],37)</f>
        <v/>
      </c>
      <c r="S38" s="66">
        <f>INDEX(Projects[Total Timeline (wks)],37)</f>
        <v/>
      </c>
      <c r="T38" s="66">
        <f>INDEX(Projects[Currency],37)&amp;""</f>
        <v/>
      </c>
      <c r="U38" s="67">
        <f>INDEX(Projects[Value (M)],37)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INDEX(Projects[Automation Equipment],37)&amp;""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IF(AND(A38&lt;&gt;"",OR('Smart Search'!$L$5="",'Smart Search'!$L$5="All",TRIM(BZ38)=TRIM('Smart Search'!$L$5)),OR(TRIM('Smart Search'!$L$6)="",TRIM('Smart Search'!$L$6)="All",ISNUMBER(SEARCH(SUBSTITUTE(SUBSTITUTE(SUBSTITUTE(TRIM('Smart Search'!$L$6),"~","~~"),"*","~*"),"?","~?"),CA38))),OR('Smart Search'!$L$7="",AND(CB38&lt;&gt;0,CB38='Smart Search'!$L$7)),OR('Smart Search'!$L$8="",'Smart Search'!$L$8="All",TRIM(CC38)=TRIM('Smart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IF(A38="","",N(INDEX(Projects[Mech Inst],37)))</f>
        <v/>
      </c>
      <c r="BK38" s="5">
        <f>IF(A38="","",N(INDEX(Projects[Elec Inst],37)))</f>
        <v/>
      </c>
      <c r="BL38" s="5">
        <f>IF(A38="","",N(INDEX(Projects[Project Management],37)))</f>
        <v/>
      </c>
      <c r="BM38" s="5">
        <f>IF(A38="","",N(INDEX(Projects[Systems Eng],37)))</f>
        <v/>
      </c>
      <c r="BN38" s="5">
        <f>IF(A38="","",N(INDEX(Projects[Mechanical Eng],37)))</f>
        <v/>
      </c>
      <c r="BO38" s="5">
        <f>IF(A38="","",N(INDEX(Projects[Structural Engineering],37)))</f>
        <v/>
      </c>
      <c r="BP38" s="5">
        <f>IF(A38="","",N(INDEX(Projects[Site Sup],37)))</f>
        <v/>
      </c>
      <c r="BQ38" s="5">
        <f>IF(A38="","",N(INDEX(Projects[Controls Commissioning],37)))</f>
        <v/>
      </c>
      <c r="BR38" s="5">
        <f>IF(A38="","",N(INDEX(Projects[Systems Commissioning],37)))</f>
        <v/>
      </c>
      <c r="BS38" s="5">
        <f>IF(A38="","",N(INDEX(Projects[Service Commissioning],37)))</f>
        <v/>
      </c>
      <c r="BT38" s="5">
        <f>IF(A38="","",N(INDEX(Projects[Controls Eng],37)))</f>
        <v/>
      </c>
      <c r="BU38" s="5">
        <f>IF(A38="","",N(INDEX(Projects[Controls Purchase],37)))</f>
        <v/>
      </c>
      <c r="BV38" s="5">
        <f>IF(A38="","",N(INDEX(Projects[Software Eng],37)))</f>
        <v/>
      </c>
      <c r="BW38" s="5">
        <f>IF(A38="","",N(INDEX(Projects[Misc],37)))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  <c r="BZ38" s="5">
        <f>INDEX(Projects[Solution Type],37)&amp;""</f>
        <v/>
      </c>
      <c r="CA38" s="5">
        <f>INDEX(Projects[Client / Region],37)&amp;""</f>
        <v/>
      </c>
      <c r="CB38" s="5">
        <f>INDEX(Projects[Year],37)</f>
        <v/>
      </c>
      <c r="CC38" s="5">
        <f>INDEX(Projects[Won?],37)&amp;""</f>
        <v/>
      </c>
      <c r="CD38" s="5">
        <f>INDEX(Projects[Value (USD M)],37)</f>
        <v/>
      </c>
      <c r="CE38" s="5">
        <f>INDEX(Projects[MH Data Status],37)&amp;""</f>
        <v/>
      </c>
    </row>
    <row r="39" ht="15" customHeight="1" s="74">
      <c r="A39" s="66">
        <f>INDEX(Projects[Project ID *],38)&amp;""</f>
        <v/>
      </c>
      <c r="B39" s="66">
        <f>INDEX(Projects[Project Name *],38)&amp;""</f>
        <v/>
      </c>
      <c r="C39" s="66">
        <f>INDEX(Projects[MS Shuttles],38)</f>
        <v/>
      </c>
      <c r="D39" s="66">
        <f>INDEX(Projects[MS Tote Locations],38)</f>
        <v/>
      </c>
      <c r="E39" s="66">
        <f>INDEX(Projects[AS Robots],38)</f>
        <v/>
      </c>
      <c r="F39" s="66">
        <f>INDEX(Projects[AS Tote Locations],38)</f>
        <v/>
      </c>
      <c r="G39" s="66">
        <f>INDEX(Projects[PS Shuttles],38)</f>
        <v/>
      </c>
      <c r="H39" s="66">
        <f>INDEX(Projects[PS Pallet Locations],38)</f>
        <v/>
      </c>
      <c r="I39" s="66">
        <f>INDEX(Projects[SRM Cranes],38)</f>
        <v/>
      </c>
      <c r="J39" s="66">
        <f>INDEX(Projects[SRM Pallet Locations],38)</f>
        <v/>
      </c>
      <c r="K39" s="66">
        <f>INDEX(Projects[Case Conv (m)],38)</f>
        <v/>
      </c>
      <c r="L39" s="66">
        <f>INDEX(Projects[Pallet Conv (m)],38)</f>
        <v/>
      </c>
      <c r="M39" s="66">
        <f>INDEX(Projects[Mech Eng (wks)],38)</f>
        <v/>
      </c>
      <c r="N39" s="66">
        <f>INDEX(Projects[Controls Eng (wks)],38)</f>
        <v/>
      </c>
      <c r="O39" s="66">
        <f>INDEX(Projects[Systems Eng (wks)],38)</f>
        <v/>
      </c>
      <c r="P39" s="66">
        <f>INDEX(Projects[Software Eng (wks)],38)</f>
        <v/>
      </c>
      <c r="Q39" s="66">
        <f>INDEX(Projects[M&amp;E Installation (wks)],38)</f>
        <v/>
      </c>
      <c r="R39" s="66">
        <f>INDEX(Projects[Commissioning (wks)],38)</f>
        <v/>
      </c>
      <c r="S39" s="66">
        <f>INDEX(Projects[Total Timeline (wks)],38)</f>
        <v/>
      </c>
      <c r="T39" s="66">
        <f>INDEX(Projects[Currency],38)&amp;""</f>
        <v/>
      </c>
      <c r="U39" s="67">
        <f>INDEX(Projects[Value (M)],38)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INDEX(Projects[Automation Equipment],38)&amp;""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IF(AND(A39&lt;&gt;"",OR('Smart Search'!$L$5="",'Smart Search'!$L$5="All",TRIM(BZ39)=TRIM('Smart Search'!$L$5)),OR(TRIM('Smart Search'!$L$6)="",TRIM('Smart Search'!$L$6)="All",ISNUMBER(SEARCH(SUBSTITUTE(SUBSTITUTE(SUBSTITUTE(TRIM('Smart Search'!$L$6),"~","~~"),"*","~*"),"?","~?"),CA39))),OR('Smart Search'!$L$7="",AND(CB39&lt;&gt;0,CB39='Smart Search'!$L$7)),OR('Smart Search'!$L$8="",'Smart Search'!$L$8="All",TRIM(CC39)=TRIM('Smart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IF(A39="","",N(INDEX(Projects[Mech Inst],38)))</f>
        <v/>
      </c>
      <c r="BK39" s="5">
        <f>IF(A39="","",N(INDEX(Projects[Elec Inst],38)))</f>
        <v/>
      </c>
      <c r="BL39" s="5">
        <f>IF(A39="","",N(INDEX(Projects[Project Management],38)))</f>
        <v/>
      </c>
      <c r="BM39" s="5">
        <f>IF(A39="","",N(INDEX(Projects[Systems Eng],38)))</f>
        <v/>
      </c>
      <c r="BN39" s="5">
        <f>IF(A39="","",N(INDEX(Projects[Mechanical Eng],38)))</f>
        <v/>
      </c>
      <c r="BO39" s="5">
        <f>IF(A39="","",N(INDEX(Projects[Structural Engineering],38)))</f>
        <v/>
      </c>
      <c r="BP39" s="5">
        <f>IF(A39="","",N(INDEX(Projects[Site Sup],38)))</f>
        <v/>
      </c>
      <c r="BQ39" s="5">
        <f>IF(A39="","",N(INDEX(Projects[Controls Commissioning],38)))</f>
        <v/>
      </c>
      <c r="BR39" s="5">
        <f>IF(A39="","",N(INDEX(Projects[Systems Commissioning],38)))</f>
        <v/>
      </c>
      <c r="BS39" s="5">
        <f>IF(A39="","",N(INDEX(Projects[Service Commissioning],38)))</f>
        <v/>
      </c>
      <c r="BT39" s="5">
        <f>IF(A39="","",N(INDEX(Projects[Controls Eng],38)))</f>
        <v/>
      </c>
      <c r="BU39" s="5">
        <f>IF(A39="","",N(INDEX(Projects[Controls Purchase],38)))</f>
        <v/>
      </c>
      <c r="BV39" s="5">
        <f>IF(A39="","",N(INDEX(Projects[Software Eng],38)))</f>
        <v/>
      </c>
      <c r="BW39" s="5">
        <f>IF(A39="","",N(INDEX(Projects[Misc],38)))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  <c r="BZ39" s="5">
        <f>INDEX(Projects[Solution Type],38)&amp;""</f>
        <v/>
      </c>
      <c r="CA39" s="5">
        <f>INDEX(Projects[Client / Region],38)&amp;""</f>
        <v/>
      </c>
      <c r="CB39" s="5">
        <f>INDEX(Projects[Year],38)</f>
        <v/>
      </c>
      <c r="CC39" s="5">
        <f>INDEX(Projects[Won?],38)&amp;""</f>
        <v/>
      </c>
      <c r="CD39" s="5">
        <f>INDEX(Projects[Value (USD M)],38)</f>
        <v/>
      </c>
      <c r="CE39" s="5">
        <f>INDEX(Projects[MH Data Status],38)&amp;""</f>
        <v/>
      </c>
    </row>
    <row r="40" ht="15" customHeight="1" s="74">
      <c r="A40" s="66">
        <f>INDEX(Projects[Project ID *],39)&amp;""</f>
        <v/>
      </c>
      <c r="B40" s="66">
        <f>INDEX(Projects[Project Name *],39)&amp;""</f>
        <v/>
      </c>
      <c r="C40" s="66">
        <f>INDEX(Projects[MS Shuttles],39)</f>
        <v/>
      </c>
      <c r="D40" s="66">
        <f>INDEX(Projects[MS Tote Locations],39)</f>
        <v/>
      </c>
      <c r="E40" s="66">
        <f>INDEX(Projects[AS Robots],39)</f>
        <v/>
      </c>
      <c r="F40" s="66">
        <f>INDEX(Projects[AS Tote Locations],39)</f>
        <v/>
      </c>
      <c r="G40" s="66">
        <f>INDEX(Projects[PS Shuttles],39)</f>
        <v/>
      </c>
      <c r="H40" s="66">
        <f>INDEX(Projects[PS Pallet Locations],39)</f>
        <v/>
      </c>
      <c r="I40" s="66">
        <f>INDEX(Projects[SRM Cranes],39)</f>
        <v/>
      </c>
      <c r="J40" s="66">
        <f>INDEX(Projects[SRM Pallet Locations],39)</f>
        <v/>
      </c>
      <c r="K40" s="66">
        <f>INDEX(Projects[Case Conv (m)],39)</f>
        <v/>
      </c>
      <c r="L40" s="66">
        <f>INDEX(Projects[Pallet Conv (m)],39)</f>
        <v/>
      </c>
      <c r="M40" s="66">
        <f>INDEX(Projects[Mech Eng (wks)],39)</f>
        <v/>
      </c>
      <c r="N40" s="66">
        <f>INDEX(Projects[Controls Eng (wks)],39)</f>
        <v/>
      </c>
      <c r="O40" s="66">
        <f>INDEX(Projects[Systems Eng (wks)],39)</f>
        <v/>
      </c>
      <c r="P40" s="66">
        <f>INDEX(Projects[Software Eng (wks)],39)</f>
        <v/>
      </c>
      <c r="Q40" s="66">
        <f>INDEX(Projects[M&amp;E Installation (wks)],39)</f>
        <v/>
      </c>
      <c r="R40" s="66">
        <f>INDEX(Projects[Commissioning (wks)],39)</f>
        <v/>
      </c>
      <c r="S40" s="66">
        <f>INDEX(Projects[Total Timeline (wks)],39)</f>
        <v/>
      </c>
      <c r="T40" s="66">
        <f>INDEX(Projects[Currency],39)&amp;""</f>
        <v/>
      </c>
      <c r="U40" s="67">
        <f>INDEX(Projects[Value (M)],39)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INDEX(Projects[Automation Equipment],39)&amp;""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IF(AND(A40&lt;&gt;"",OR('Smart Search'!$L$5="",'Smart Search'!$L$5="All",TRIM(BZ40)=TRIM('Smart Search'!$L$5)),OR(TRIM('Smart Search'!$L$6)="",TRIM('Smart Search'!$L$6)="All",ISNUMBER(SEARCH(SUBSTITUTE(SUBSTITUTE(SUBSTITUTE(TRIM('Smart Search'!$L$6),"~","~~"),"*","~*"),"?","~?"),CA40))),OR('Smart Search'!$L$7="",AND(CB40&lt;&gt;0,CB40='Smart Search'!$L$7)),OR('Smart Search'!$L$8="",'Smart Search'!$L$8="All",TRIM(CC40)=TRIM('Smart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IF(A40="","",N(INDEX(Projects[Mech Inst],39)))</f>
        <v/>
      </c>
      <c r="BK40" s="5">
        <f>IF(A40="","",N(INDEX(Projects[Elec Inst],39)))</f>
        <v/>
      </c>
      <c r="BL40" s="5">
        <f>IF(A40="","",N(INDEX(Projects[Project Management],39)))</f>
        <v/>
      </c>
      <c r="BM40" s="5">
        <f>IF(A40="","",N(INDEX(Projects[Systems Eng],39)))</f>
        <v/>
      </c>
      <c r="BN40" s="5">
        <f>IF(A40="","",N(INDEX(Projects[Mechanical Eng],39)))</f>
        <v/>
      </c>
      <c r="BO40" s="5">
        <f>IF(A40="","",N(INDEX(Projects[Structural Engineering],39)))</f>
        <v/>
      </c>
      <c r="BP40" s="5">
        <f>IF(A40="","",N(INDEX(Projects[Site Sup],39)))</f>
        <v/>
      </c>
      <c r="BQ40" s="5">
        <f>IF(A40="","",N(INDEX(Projects[Controls Commissioning],39)))</f>
        <v/>
      </c>
      <c r="BR40" s="5">
        <f>IF(A40="","",N(INDEX(Projects[Systems Commissioning],39)))</f>
        <v/>
      </c>
      <c r="BS40" s="5">
        <f>IF(A40="","",N(INDEX(Projects[Service Commissioning],39)))</f>
        <v/>
      </c>
      <c r="BT40" s="5">
        <f>IF(A40="","",N(INDEX(Projects[Controls Eng],39)))</f>
        <v/>
      </c>
      <c r="BU40" s="5">
        <f>IF(A40="","",N(INDEX(Projects[Controls Purchase],39)))</f>
        <v/>
      </c>
      <c r="BV40" s="5">
        <f>IF(A40="","",N(INDEX(Projects[Software Eng],39)))</f>
        <v/>
      </c>
      <c r="BW40" s="5">
        <f>IF(A40="","",N(INDEX(Projects[Misc],39)))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  <c r="BZ40" s="5">
        <f>INDEX(Projects[Solution Type],39)&amp;""</f>
        <v/>
      </c>
      <c r="CA40" s="5">
        <f>INDEX(Projects[Client / Region],39)&amp;""</f>
        <v/>
      </c>
      <c r="CB40" s="5">
        <f>INDEX(Projects[Year],39)</f>
        <v/>
      </c>
      <c r="CC40" s="5">
        <f>INDEX(Projects[Won?],39)&amp;""</f>
        <v/>
      </c>
      <c r="CD40" s="5">
        <f>INDEX(Projects[Value (USD M)],39)</f>
        <v/>
      </c>
      <c r="CE40" s="5">
        <f>INDEX(Projects[MH Data Status],39)&amp;""</f>
        <v/>
      </c>
    </row>
    <row r="41" ht="15" customHeight="1" s="74">
      <c r="A41" s="66">
        <f>INDEX(Projects[Project ID *],40)&amp;""</f>
        <v/>
      </c>
      <c r="B41" s="66">
        <f>INDEX(Projects[Project Name *],40)&amp;""</f>
        <v/>
      </c>
      <c r="C41" s="66">
        <f>INDEX(Projects[MS Shuttles],40)</f>
        <v/>
      </c>
      <c r="D41" s="66">
        <f>INDEX(Projects[MS Tote Locations],40)</f>
        <v/>
      </c>
      <c r="E41" s="66">
        <f>INDEX(Projects[AS Robots],40)</f>
        <v/>
      </c>
      <c r="F41" s="66">
        <f>INDEX(Projects[AS Tote Locations],40)</f>
        <v/>
      </c>
      <c r="G41" s="66">
        <f>INDEX(Projects[PS Shuttles],40)</f>
        <v/>
      </c>
      <c r="H41" s="66">
        <f>INDEX(Projects[PS Pallet Locations],40)</f>
        <v/>
      </c>
      <c r="I41" s="66">
        <f>INDEX(Projects[SRM Cranes],40)</f>
        <v/>
      </c>
      <c r="J41" s="66">
        <f>INDEX(Projects[SRM Pallet Locations],40)</f>
        <v/>
      </c>
      <c r="K41" s="66">
        <f>INDEX(Projects[Case Conv (m)],40)</f>
        <v/>
      </c>
      <c r="L41" s="66">
        <f>INDEX(Projects[Pallet Conv (m)],40)</f>
        <v/>
      </c>
      <c r="M41" s="66">
        <f>INDEX(Projects[Mech Eng (wks)],40)</f>
        <v/>
      </c>
      <c r="N41" s="66">
        <f>INDEX(Projects[Controls Eng (wks)],40)</f>
        <v/>
      </c>
      <c r="O41" s="66">
        <f>INDEX(Projects[Systems Eng (wks)],40)</f>
        <v/>
      </c>
      <c r="P41" s="66">
        <f>INDEX(Projects[Software Eng (wks)],40)</f>
        <v/>
      </c>
      <c r="Q41" s="66">
        <f>INDEX(Projects[M&amp;E Installation (wks)],40)</f>
        <v/>
      </c>
      <c r="R41" s="66">
        <f>INDEX(Projects[Commissioning (wks)],40)</f>
        <v/>
      </c>
      <c r="S41" s="66">
        <f>INDEX(Projects[Total Timeline (wks)],40)</f>
        <v/>
      </c>
      <c r="T41" s="66">
        <f>INDEX(Projects[Currency],40)&amp;""</f>
        <v/>
      </c>
      <c r="U41" s="67">
        <f>INDEX(Projects[Value (M)],40)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INDEX(Projects[Automation Equipment],40)&amp;""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IF(AND(A41&lt;&gt;"",OR('Smart Search'!$L$5="",'Smart Search'!$L$5="All",TRIM(BZ41)=TRIM('Smart Search'!$L$5)),OR(TRIM('Smart Search'!$L$6)="",TRIM('Smart Search'!$L$6)="All",ISNUMBER(SEARCH(SUBSTITUTE(SUBSTITUTE(SUBSTITUTE(TRIM('Smart Search'!$L$6),"~","~~"),"*","~*"),"?","~?"),CA41))),OR('Smart Search'!$L$7="",AND(CB41&lt;&gt;0,CB41='Smart Search'!$L$7)),OR('Smart Search'!$L$8="",'Smart Search'!$L$8="All",TRIM(CC41)=TRIM('Smart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IF(A41="","",N(INDEX(Projects[Mech Inst],40)))</f>
        <v/>
      </c>
      <c r="BK41" s="5">
        <f>IF(A41="","",N(INDEX(Projects[Elec Inst],40)))</f>
        <v/>
      </c>
      <c r="BL41" s="5">
        <f>IF(A41="","",N(INDEX(Projects[Project Management],40)))</f>
        <v/>
      </c>
      <c r="BM41" s="5">
        <f>IF(A41="","",N(INDEX(Projects[Systems Eng],40)))</f>
        <v/>
      </c>
      <c r="BN41" s="5">
        <f>IF(A41="","",N(INDEX(Projects[Mechanical Eng],40)))</f>
        <v/>
      </c>
      <c r="BO41" s="5">
        <f>IF(A41="","",N(INDEX(Projects[Structural Engineering],40)))</f>
        <v/>
      </c>
      <c r="BP41" s="5">
        <f>IF(A41="","",N(INDEX(Projects[Site Sup],40)))</f>
        <v/>
      </c>
      <c r="BQ41" s="5">
        <f>IF(A41="","",N(INDEX(Projects[Controls Commissioning],40)))</f>
        <v/>
      </c>
      <c r="BR41" s="5">
        <f>IF(A41="","",N(INDEX(Projects[Systems Commissioning],40)))</f>
        <v/>
      </c>
      <c r="BS41" s="5">
        <f>IF(A41="","",N(INDEX(Projects[Service Commissioning],40)))</f>
        <v/>
      </c>
      <c r="BT41" s="5">
        <f>IF(A41="","",N(INDEX(Projects[Controls Eng],40)))</f>
        <v/>
      </c>
      <c r="BU41" s="5">
        <f>IF(A41="","",N(INDEX(Projects[Controls Purchase],40)))</f>
        <v/>
      </c>
      <c r="BV41" s="5">
        <f>IF(A41="","",N(INDEX(Projects[Software Eng],40)))</f>
        <v/>
      </c>
      <c r="BW41" s="5">
        <f>IF(A41="","",N(INDEX(Projects[Misc],40)))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  <c r="BZ41" s="5">
        <f>INDEX(Projects[Solution Type],40)&amp;""</f>
        <v/>
      </c>
      <c r="CA41" s="5">
        <f>INDEX(Projects[Client / Region],40)&amp;""</f>
        <v/>
      </c>
      <c r="CB41" s="5">
        <f>INDEX(Projects[Year],40)</f>
        <v/>
      </c>
      <c r="CC41" s="5">
        <f>INDEX(Projects[Won?],40)&amp;""</f>
        <v/>
      </c>
      <c r="CD41" s="5">
        <f>INDEX(Projects[Value (USD M)],40)</f>
        <v/>
      </c>
      <c r="CE41" s="5">
        <f>INDEX(Projects[MH Data Status],40)&amp;""</f>
        <v/>
      </c>
    </row>
    <row r="42" ht="15" customHeight="1" s="74">
      <c r="A42" s="66">
        <f>INDEX(Projects[Project ID *],41)&amp;""</f>
        <v/>
      </c>
      <c r="B42" s="66">
        <f>INDEX(Projects[Project Name *],41)&amp;""</f>
        <v/>
      </c>
      <c r="C42" s="66">
        <f>INDEX(Projects[MS Shuttles],41)</f>
        <v/>
      </c>
      <c r="D42" s="66">
        <f>INDEX(Projects[MS Tote Locations],41)</f>
        <v/>
      </c>
      <c r="E42" s="66">
        <f>INDEX(Projects[AS Robots],41)</f>
        <v/>
      </c>
      <c r="F42" s="66">
        <f>INDEX(Projects[AS Tote Locations],41)</f>
        <v/>
      </c>
      <c r="G42" s="66">
        <f>INDEX(Projects[PS Shuttles],41)</f>
        <v/>
      </c>
      <c r="H42" s="66">
        <f>INDEX(Projects[PS Pallet Locations],41)</f>
        <v/>
      </c>
      <c r="I42" s="66">
        <f>INDEX(Projects[SRM Cranes],41)</f>
        <v/>
      </c>
      <c r="J42" s="66">
        <f>INDEX(Projects[SRM Pallet Locations],41)</f>
        <v/>
      </c>
      <c r="K42" s="66">
        <f>INDEX(Projects[Case Conv (m)],41)</f>
        <v/>
      </c>
      <c r="L42" s="66">
        <f>INDEX(Projects[Pallet Conv (m)],41)</f>
        <v/>
      </c>
      <c r="M42" s="66">
        <f>INDEX(Projects[Mech Eng (wks)],41)</f>
        <v/>
      </c>
      <c r="N42" s="66">
        <f>INDEX(Projects[Controls Eng (wks)],41)</f>
        <v/>
      </c>
      <c r="O42" s="66">
        <f>INDEX(Projects[Systems Eng (wks)],41)</f>
        <v/>
      </c>
      <c r="P42" s="66">
        <f>INDEX(Projects[Software Eng (wks)],41)</f>
        <v/>
      </c>
      <c r="Q42" s="66">
        <f>INDEX(Projects[M&amp;E Installation (wks)],41)</f>
        <v/>
      </c>
      <c r="R42" s="66">
        <f>INDEX(Projects[Commissioning (wks)],41)</f>
        <v/>
      </c>
      <c r="S42" s="66">
        <f>INDEX(Projects[Total Timeline (wks)],41)</f>
        <v/>
      </c>
      <c r="T42" s="66">
        <f>INDEX(Projects[Currency],41)&amp;""</f>
        <v/>
      </c>
      <c r="U42" s="67">
        <f>INDEX(Projects[Value (M)],41)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INDEX(Projects[Automation Equipment],41)&amp;""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IF(AND(A42&lt;&gt;"",OR('Smart Search'!$L$5="",'Smart Search'!$L$5="All",TRIM(BZ42)=TRIM('Smart Search'!$L$5)),OR(TRIM('Smart Search'!$L$6)="",TRIM('Smart Search'!$L$6)="All",ISNUMBER(SEARCH(SUBSTITUTE(SUBSTITUTE(SUBSTITUTE(TRIM('Smart Search'!$L$6),"~","~~"),"*","~*"),"?","~?"),CA42))),OR('Smart Search'!$L$7="",AND(CB42&lt;&gt;0,CB42='Smart Search'!$L$7)),OR('Smart Search'!$L$8="",'Smart Search'!$L$8="All",TRIM(CC42)=TRIM('Smart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IF(A42="","",N(INDEX(Projects[Mech Inst],41)))</f>
        <v/>
      </c>
      <c r="BK42" s="5">
        <f>IF(A42="","",N(INDEX(Projects[Elec Inst],41)))</f>
        <v/>
      </c>
      <c r="BL42" s="5">
        <f>IF(A42="","",N(INDEX(Projects[Project Management],41)))</f>
        <v/>
      </c>
      <c r="BM42" s="5">
        <f>IF(A42="","",N(INDEX(Projects[Systems Eng],41)))</f>
        <v/>
      </c>
      <c r="BN42" s="5">
        <f>IF(A42="","",N(INDEX(Projects[Mechanical Eng],41)))</f>
        <v/>
      </c>
      <c r="BO42" s="5">
        <f>IF(A42="","",N(INDEX(Projects[Structural Engineering],41)))</f>
        <v/>
      </c>
      <c r="BP42" s="5">
        <f>IF(A42="","",N(INDEX(Projects[Site Sup],41)))</f>
        <v/>
      </c>
      <c r="BQ42" s="5">
        <f>IF(A42="","",N(INDEX(Projects[Controls Commissioning],41)))</f>
        <v/>
      </c>
      <c r="BR42" s="5">
        <f>IF(A42="","",N(INDEX(Projects[Systems Commissioning],41)))</f>
        <v/>
      </c>
      <c r="BS42" s="5">
        <f>IF(A42="","",N(INDEX(Projects[Service Commissioning],41)))</f>
        <v/>
      </c>
      <c r="BT42" s="5">
        <f>IF(A42="","",N(INDEX(Projects[Controls Eng],41)))</f>
        <v/>
      </c>
      <c r="BU42" s="5">
        <f>IF(A42="","",N(INDEX(Projects[Controls Purchase],41)))</f>
        <v/>
      </c>
      <c r="BV42" s="5">
        <f>IF(A42="","",N(INDEX(Projects[Software Eng],41)))</f>
        <v/>
      </c>
      <c r="BW42" s="5">
        <f>IF(A42="","",N(INDEX(Projects[Misc],41)))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  <c r="BZ42" s="5">
        <f>INDEX(Projects[Solution Type],41)&amp;""</f>
        <v/>
      </c>
      <c r="CA42" s="5">
        <f>INDEX(Projects[Client / Region],41)&amp;""</f>
        <v/>
      </c>
      <c r="CB42" s="5">
        <f>INDEX(Projects[Year],41)</f>
        <v/>
      </c>
      <c r="CC42" s="5">
        <f>INDEX(Projects[Won?],41)&amp;""</f>
        <v/>
      </c>
      <c r="CD42" s="5">
        <f>INDEX(Projects[Value (USD M)],41)</f>
        <v/>
      </c>
      <c r="CE42" s="5">
        <f>INDEX(Projects[MH Data Status],41)&amp;""</f>
        <v/>
      </c>
    </row>
    <row r="43" ht="15" customHeight="1" s="74">
      <c r="A43" s="66">
        <f>INDEX(Projects[Project ID *],42)&amp;""</f>
        <v/>
      </c>
      <c r="B43" s="66">
        <f>INDEX(Projects[Project Name *],42)&amp;""</f>
        <v/>
      </c>
      <c r="C43" s="66">
        <f>INDEX(Projects[MS Shuttles],42)</f>
        <v/>
      </c>
      <c r="D43" s="66">
        <f>INDEX(Projects[MS Tote Locations],42)</f>
        <v/>
      </c>
      <c r="E43" s="66">
        <f>INDEX(Projects[AS Robots],42)</f>
        <v/>
      </c>
      <c r="F43" s="66">
        <f>INDEX(Projects[AS Tote Locations],42)</f>
        <v/>
      </c>
      <c r="G43" s="66">
        <f>INDEX(Projects[PS Shuttles],42)</f>
        <v/>
      </c>
      <c r="H43" s="66">
        <f>INDEX(Projects[PS Pallet Locations],42)</f>
        <v/>
      </c>
      <c r="I43" s="66">
        <f>INDEX(Projects[SRM Cranes],42)</f>
        <v/>
      </c>
      <c r="J43" s="66">
        <f>INDEX(Projects[SRM Pallet Locations],42)</f>
        <v/>
      </c>
      <c r="K43" s="66">
        <f>INDEX(Projects[Case Conv (m)],42)</f>
        <v/>
      </c>
      <c r="L43" s="66">
        <f>INDEX(Projects[Pallet Conv (m)],42)</f>
        <v/>
      </c>
      <c r="M43" s="66">
        <f>INDEX(Projects[Mech Eng (wks)],42)</f>
        <v/>
      </c>
      <c r="N43" s="66">
        <f>INDEX(Projects[Controls Eng (wks)],42)</f>
        <v/>
      </c>
      <c r="O43" s="66">
        <f>INDEX(Projects[Systems Eng (wks)],42)</f>
        <v/>
      </c>
      <c r="P43" s="66">
        <f>INDEX(Projects[Software Eng (wks)],42)</f>
        <v/>
      </c>
      <c r="Q43" s="66">
        <f>INDEX(Projects[M&amp;E Installation (wks)],42)</f>
        <v/>
      </c>
      <c r="R43" s="66">
        <f>INDEX(Projects[Commissioning (wks)],42)</f>
        <v/>
      </c>
      <c r="S43" s="66">
        <f>INDEX(Projects[Total Timeline (wks)],42)</f>
        <v/>
      </c>
      <c r="T43" s="66">
        <f>INDEX(Projects[Currency],42)&amp;""</f>
        <v/>
      </c>
      <c r="U43" s="67">
        <f>INDEX(Projects[Value (M)],42)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INDEX(Projects[Automation Equipment],42)&amp;""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IF(AND(A43&lt;&gt;"",OR('Smart Search'!$L$5="",'Smart Search'!$L$5="All",TRIM(BZ43)=TRIM('Smart Search'!$L$5)),OR(TRIM('Smart Search'!$L$6)="",TRIM('Smart Search'!$L$6)="All",ISNUMBER(SEARCH(SUBSTITUTE(SUBSTITUTE(SUBSTITUTE(TRIM('Smart Search'!$L$6),"~","~~"),"*","~*"),"?","~?"),CA43))),OR('Smart Search'!$L$7="",AND(CB43&lt;&gt;0,CB43='Smart Search'!$L$7)),OR('Smart Search'!$L$8="",'Smart Search'!$L$8="All",TRIM(CC43)=TRIM('Smart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IF(A43="","",N(INDEX(Projects[Mech Inst],42)))</f>
        <v/>
      </c>
      <c r="BK43" s="5">
        <f>IF(A43="","",N(INDEX(Projects[Elec Inst],42)))</f>
        <v/>
      </c>
      <c r="BL43" s="5">
        <f>IF(A43="","",N(INDEX(Projects[Project Management],42)))</f>
        <v/>
      </c>
      <c r="BM43" s="5">
        <f>IF(A43="","",N(INDEX(Projects[Systems Eng],42)))</f>
        <v/>
      </c>
      <c r="BN43" s="5">
        <f>IF(A43="","",N(INDEX(Projects[Mechanical Eng],42)))</f>
        <v/>
      </c>
      <c r="BO43" s="5">
        <f>IF(A43="","",N(INDEX(Projects[Structural Engineering],42)))</f>
        <v/>
      </c>
      <c r="BP43" s="5">
        <f>IF(A43="","",N(INDEX(Projects[Site Sup],42)))</f>
        <v/>
      </c>
      <c r="BQ43" s="5">
        <f>IF(A43="","",N(INDEX(Projects[Controls Commissioning],42)))</f>
        <v/>
      </c>
      <c r="BR43" s="5">
        <f>IF(A43="","",N(INDEX(Projects[Systems Commissioning],42)))</f>
        <v/>
      </c>
      <c r="BS43" s="5">
        <f>IF(A43="","",N(INDEX(Projects[Service Commissioning],42)))</f>
        <v/>
      </c>
      <c r="BT43" s="5">
        <f>IF(A43="","",N(INDEX(Projects[Controls Eng],42)))</f>
        <v/>
      </c>
      <c r="BU43" s="5">
        <f>IF(A43="","",N(INDEX(Projects[Controls Purchase],42)))</f>
        <v/>
      </c>
      <c r="BV43" s="5">
        <f>IF(A43="","",N(INDEX(Projects[Software Eng],42)))</f>
        <v/>
      </c>
      <c r="BW43" s="5">
        <f>IF(A43="","",N(INDEX(Projects[Misc],42)))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  <c r="BZ43" s="5">
        <f>INDEX(Projects[Solution Type],42)&amp;""</f>
        <v/>
      </c>
      <c r="CA43" s="5">
        <f>INDEX(Projects[Client / Region],42)&amp;""</f>
        <v/>
      </c>
      <c r="CB43" s="5">
        <f>INDEX(Projects[Year],42)</f>
        <v/>
      </c>
      <c r="CC43" s="5">
        <f>INDEX(Projects[Won?],42)&amp;""</f>
        <v/>
      </c>
      <c r="CD43" s="5">
        <f>INDEX(Projects[Value (USD M)],42)</f>
        <v/>
      </c>
      <c r="CE43" s="5">
        <f>INDEX(Projects[MH Data Status],42)&amp;""</f>
        <v/>
      </c>
    </row>
    <row r="44" ht="15" customHeight="1" s="74">
      <c r="A44" s="66">
        <f>INDEX(Projects[Project ID *],43)&amp;""</f>
        <v/>
      </c>
      <c r="B44" s="66">
        <f>INDEX(Projects[Project Name *],43)&amp;""</f>
        <v/>
      </c>
      <c r="C44" s="66">
        <f>INDEX(Projects[MS Shuttles],43)</f>
        <v/>
      </c>
      <c r="D44" s="66">
        <f>INDEX(Projects[MS Tote Locations],43)</f>
        <v/>
      </c>
      <c r="E44" s="66">
        <f>INDEX(Projects[AS Robots],43)</f>
        <v/>
      </c>
      <c r="F44" s="66">
        <f>INDEX(Projects[AS Tote Locations],43)</f>
        <v/>
      </c>
      <c r="G44" s="66">
        <f>INDEX(Projects[PS Shuttles],43)</f>
        <v/>
      </c>
      <c r="H44" s="66">
        <f>INDEX(Projects[PS Pallet Locations],43)</f>
        <v/>
      </c>
      <c r="I44" s="66">
        <f>INDEX(Projects[SRM Cranes],43)</f>
        <v/>
      </c>
      <c r="J44" s="66">
        <f>INDEX(Projects[SRM Pallet Locations],43)</f>
        <v/>
      </c>
      <c r="K44" s="66">
        <f>INDEX(Projects[Case Conv (m)],43)</f>
        <v/>
      </c>
      <c r="L44" s="66">
        <f>INDEX(Projects[Pallet Conv (m)],43)</f>
        <v/>
      </c>
      <c r="M44" s="66">
        <f>INDEX(Projects[Mech Eng (wks)],43)</f>
        <v/>
      </c>
      <c r="N44" s="66">
        <f>INDEX(Projects[Controls Eng (wks)],43)</f>
        <v/>
      </c>
      <c r="O44" s="66">
        <f>INDEX(Projects[Systems Eng (wks)],43)</f>
        <v/>
      </c>
      <c r="P44" s="66">
        <f>INDEX(Projects[Software Eng (wks)],43)</f>
        <v/>
      </c>
      <c r="Q44" s="66">
        <f>INDEX(Projects[M&amp;E Installation (wks)],43)</f>
        <v/>
      </c>
      <c r="R44" s="66">
        <f>INDEX(Projects[Commissioning (wks)],43)</f>
        <v/>
      </c>
      <c r="S44" s="66">
        <f>INDEX(Projects[Total Timeline (wks)],43)</f>
        <v/>
      </c>
      <c r="T44" s="66">
        <f>INDEX(Projects[Currency],43)&amp;""</f>
        <v/>
      </c>
      <c r="U44" s="67">
        <f>INDEX(Projects[Value (M)],43)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INDEX(Projects[Automation Equipment],43)&amp;""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IF(AND(A44&lt;&gt;"",OR('Smart Search'!$L$5="",'Smart Search'!$L$5="All",TRIM(BZ44)=TRIM('Smart Search'!$L$5)),OR(TRIM('Smart Search'!$L$6)="",TRIM('Smart Search'!$L$6)="All",ISNUMBER(SEARCH(SUBSTITUTE(SUBSTITUTE(SUBSTITUTE(TRIM('Smart Search'!$L$6),"~","~~"),"*","~*"),"?","~?"),CA44))),OR('Smart Search'!$L$7="",AND(CB44&lt;&gt;0,CB44='Smart Search'!$L$7)),OR('Smart Search'!$L$8="",'Smart Search'!$L$8="All",TRIM(CC44)=TRIM('Smart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IF(A44="","",N(INDEX(Projects[Mech Inst],43)))</f>
        <v/>
      </c>
      <c r="BK44" s="5">
        <f>IF(A44="","",N(INDEX(Projects[Elec Inst],43)))</f>
        <v/>
      </c>
      <c r="BL44" s="5">
        <f>IF(A44="","",N(INDEX(Projects[Project Management],43)))</f>
        <v/>
      </c>
      <c r="BM44" s="5">
        <f>IF(A44="","",N(INDEX(Projects[Systems Eng],43)))</f>
        <v/>
      </c>
      <c r="BN44" s="5">
        <f>IF(A44="","",N(INDEX(Projects[Mechanical Eng],43)))</f>
        <v/>
      </c>
      <c r="BO44" s="5">
        <f>IF(A44="","",N(INDEX(Projects[Structural Engineering],43)))</f>
        <v/>
      </c>
      <c r="BP44" s="5">
        <f>IF(A44="","",N(INDEX(Projects[Site Sup],43)))</f>
        <v/>
      </c>
      <c r="BQ44" s="5">
        <f>IF(A44="","",N(INDEX(Projects[Controls Commissioning],43)))</f>
        <v/>
      </c>
      <c r="BR44" s="5">
        <f>IF(A44="","",N(INDEX(Projects[Systems Commissioning],43)))</f>
        <v/>
      </c>
      <c r="BS44" s="5">
        <f>IF(A44="","",N(INDEX(Projects[Service Commissioning],43)))</f>
        <v/>
      </c>
      <c r="BT44" s="5">
        <f>IF(A44="","",N(INDEX(Projects[Controls Eng],43)))</f>
        <v/>
      </c>
      <c r="BU44" s="5">
        <f>IF(A44="","",N(INDEX(Projects[Controls Purchase],43)))</f>
        <v/>
      </c>
      <c r="BV44" s="5">
        <f>IF(A44="","",N(INDEX(Projects[Software Eng],43)))</f>
        <v/>
      </c>
      <c r="BW44" s="5">
        <f>IF(A44="","",N(INDEX(Projects[Misc],43)))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  <c r="BZ44" s="5">
        <f>INDEX(Projects[Solution Type],43)&amp;""</f>
        <v/>
      </c>
      <c r="CA44" s="5">
        <f>INDEX(Projects[Client / Region],43)&amp;""</f>
        <v/>
      </c>
      <c r="CB44" s="5">
        <f>INDEX(Projects[Year],43)</f>
        <v/>
      </c>
      <c r="CC44" s="5">
        <f>INDEX(Projects[Won?],43)&amp;""</f>
        <v/>
      </c>
      <c r="CD44" s="5">
        <f>INDEX(Projects[Value (USD M)],43)</f>
        <v/>
      </c>
      <c r="CE44" s="5">
        <f>INDEX(Projects[MH Data Status],43)&amp;""</f>
        <v/>
      </c>
    </row>
    <row r="45" ht="15" customHeight="1" s="74">
      <c r="A45" s="66">
        <f>INDEX(Projects[Project ID *],44)&amp;""</f>
        <v/>
      </c>
      <c r="B45" s="66">
        <f>INDEX(Projects[Project Name *],44)&amp;""</f>
        <v/>
      </c>
      <c r="C45" s="66">
        <f>INDEX(Projects[MS Shuttles],44)</f>
        <v/>
      </c>
      <c r="D45" s="66">
        <f>INDEX(Projects[MS Tote Locations],44)</f>
        <v/>
      </c>
      <c r="E45" s="66">
        <f>INDEX(Projects[AS Robots],44)</f>
        <v/>
      </c>
      <c r="F45" s="66">
        <f>INDEX(Projects[AS Tote Locations],44)</f>
        <v/>
      </c>
      <c r="G45" s="66">
        <f>INDEX(Projects[PS Shuttles],44)</f>
        <v/>
      </c>
      <c r="H45" s="66">
        <f>INDEX(Projects[PS Pallet Locations],44)</f>
        <v/>
      </c>
      <c r="I45" s="66">
        <f>INDEX(Projects[SRM Cranes],44)</f>
        <v/>
      </c>
      <c r="J45" s="66">
        <f>INDEX(Projects[SRM Pallet Locations],44)</f>
        <v/>
      </c>
      <c r="K45" s="66">
        <f>INDEX(Projects[Case Conv (m)],44)</f>
        <v/>
      </c>
      <c r="L45" s="66">
        <f>INDEX(Projects[Pallet Conv (m)],44)</f>
        <v/>
      </c>
      <c r="M45" s="66">
        <f>INDEX(Projects[Mech Eng (wks)],44)</f>
        <v/>
      </c>
      <c r="N45" s="66">
        <f>INDEX(Projects[Controls Eng (wks)],44)</f>
        <v/>
      </c>
      <c r="O45" s="66">
        <f>INDEX(Projects[Systems Eng (wks)],44)</f>
        <v/>
      </c>
      <c r="P45" s="66">
        <f>INDEX(Projects[Software Eng (wks)],44)</f>
        <v/>
      </c>
      <c r="Q45" s="66">
        <f>INDEX(Projects[M&amp;E Installation (wks)],44)</f>
        <v/>
      </c>
      <c r="R45" s="66">
        <f>INDEX(Projects[Commissioning (wks)],44)</f>
        <v/>
      </c>
      <c r="S45" s="66">
        <f>INDEX(Projects[Total Timeline (wks)],44)</f>
        <v/>
      </c>
      <c r="T45" s="66">
        <f>INDEX(Projects[Currency],44)&amp;""</f>
        <v/>
      </c>
      <c r="U45" s="67">
        <f>INDEX(Projects[Value (M)],44)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INDEX(Projects[Automation Equipment],44)&amp;""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IF(AND(A45&lt;&gt;"",OR('Smart Search'!$L$5="",'Smart Search'!$L$5="All",TRIM(BZ45)=TRIM('Smart Search'!$L$5)),OR(TRIM('Smart Search'!$L$6)="",TRIM('Smart Search'!$L$6)="All",ISNUMBER(SEARCH(SUBSTITUTE(SUBSTITUTE(SUBSTITUTE(TRIM('Smart Search'!$L$6),"~","~~"),"*","~*"),"?","~?"),CA45))),OR('Smart Search'!$L$7="",AND(CB45&lt;&gt;0,CB45='Smart Search'!$L$7)),OR('Smart Search'!$L$8="",'Smart Search'!$L$8="All",TRIM(CC45)=TRIM('Smart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IF(A45="","",N(INDEX(Projects[Mech Inst],44)))</f>
        <v/>
      </c>
      <c r="BK45" s="5">
        <f>IF(A45="","",N(INDEX(Projects[Elec Inst],44)))</f>
        <v/>
      </c>
      <c r="BL45" s="5">
        <f>IF(A45="","",N(INDEX(Projects[Project Management],44)))</f>
        <v/>
      </c>
      <c r="BM45" s="5">
        <f>IF(A45="","",N(INDEX(Projects[Systems Eng],44)))</f>
        <v/>
      </c>
      <c r="BN45" s="5">
        <f>IF(A45="","",N(INDEX(Projects[Mechanical Eng],44)))</f>
        <v/>
      </c>
      <c r="BO45" s="5">
        <f>IF(A45="","",N(INDEX(Projects[Structural Engineering],44)))</f>
        <v/>
      </c>
      <c r="BP45" s="5">
        <f>IF(A45="","",N(INDEX(Projects[Site Sup],44)))</f>
        <v/>
      </c>
      <c r="BQ45" s="5">
        <f>IF(A45="","",N(INDEX(Projects[Controls Commissioning],44)))</f>
        <v/>
      </c>
      <c r="BR45" s="5">
        <f>IF(A45="","",N(INDEX(Projects[Systems Commissioning],44)))</f>
        <v/>
      </c>
      <c r="BS45" s="5">
        <f>IF(A45="","",N(INDEX(Projects[Service Commissioning],44)))</f>
        <v/>
      </c>
      <c r="BT45" s="5">
        <f>IF(A45="","",N(INDEX(Projects[Controls Eng],44)))</f>
        <v/>
      </c>
      <c r="BU45" s="5">
        <f>IF(A45="","",N(INDEX(Projects[Controls Purchase],44)))</f>
        <v/>
      </c>
      <c r="BV45" s="5">
        <f>IF(A45="","",N(INDEX(Projects[Software Eng],44)))</f>
        <v/>
      </c>
      <c r="BW45" s="5">
        <f>IF(A45="","",N(INDEX(Projects[Misc],44)))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  <c r="BZ45" s="5">
        <f>INDEX(Projects[Solution Type],44)&amp;""</f>
        <v/>
      </c>
      <c r="CA45" s="5">
        <f>INDEX(Projects[Client / Region],44)&amp;""</f>
        <v/>
      </c>
      <c r="CB45" s="5">
        <f>INDEX(Projects[Year],44)</f>
        <v/>
      </c>
      <c r="CC45" s="5">
        <f>INDEX(Projects[Won?],44)&amp;""</f>
        <v/>
      </c>
      <c r="CD45" s="5">
        <f>INDEX(Projects[Value (USD M)],44)</f>
        <v/>
      </c>
      <c r="CE45" s="5">
        <f>INDEX(Projects[MH Data Status],44)&amp;""</f>
        <v/>
      </c>
    </row>
    <row r="46" ht="15" customHeight="1" s="74">
      <c r="A46" s="66">
        <f>INDEX(Projects[Project ID *],45)&amp;""</f>
        <v/>
      </c>
      <c r="B46" s="66">
        <f>INDEX(Projects[Project Name *],45)&amp;""</f>
        <v/>
      </c>
      <c r="C46" s="66">
        <f>INDEX(Projects[MS Shuttles],45)</f>
        <v/>
      </c>
      <c r="D46" s="66">
        <f>INDEX(Projects[MS Tote Locations],45)</f>
        <v/>
      </c>
      <c r="E46" s="66">
        <f>INDEX(Projects[AS Robots],45)</f>
        <v/>
      </c>
      <c r="F46" s="66">
        <f>INDEX(Projects[AS Tote Locations],45)</f>
        <v/>
      </c>
      <c r="G46" s="66">
        <f>INDEX(Projects[PS Shuttles],45)</f>
        <v/>
      </c>
      <c r="H46" s="66">
        <f>INDEX(Projects[PS Pallet Locations],45)</f>
        <v/>
      </c>
      <c r="I46" s="66">
        <f>INDEX(Projects[SRM Cranes],45)</f>
        <v/>
      </c>
      <c r="J46" s="66">
        <f>INDEX(Projects[SRM Pallet Locations],45)</f>
        <v/>
      </c>
      <c r="K46" s="66">
        <f>INDEX(Projects[Case Conv (m)],45)</f>
        <v/>
      </c>
      <c r="L46" s="66">
        <f>INDEX(Projects[Pallet Conv (m)],45)</f>
        <v/>
      </c>
      <c r="M46" s="66">
        <f>INDEX(Projects[Mech Eng (wks)],45)</f>
        <v/>
      </c>
      <c r="N46" s="66">
        <f>INDEX(Projects[Controls Eng (wks)],45)</f>
        <v/>
      </c>
      <c r="O46" s="66">
        <f>INDEX(Projects[Systems Eng (wks)],45)</f>
        <v/>
      </c>
      <c r="P46" s="66">
        <f>INDEX(Projects[Software Eng (wks)],45)</f>
        <v/>
      </c>
      <c r="Q46" s="66">
        <f>INDEX(Projects[M&amp;E Installation (wks)],45)</f>
        <v/>
      </c>
      <c r="R46" s="66">
        <f>INDEX(Projects[Commissioning (wks)],45)</f>
        <v/>
      </c>
      <c r="S46" s="66">
        <f>INDEX(Projects[Total Timeline (wks)],45)</f>
        <v/>
      </c>
      <c r="T46" s="66">
        <f>INDEX(Projects[Currency],45)&amp;""</f>
        <v/>
      </c>
      <c r="U46" s="67">
        <f>INDEX(Projects[Value (M)],45)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INDEX(Projects[Automation Equipment],45)&amp;""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IF(AND(A46&lt;&gt;"",OR('Smart Search'!$L$5="",'Smart Search'!$L$5="All",TRIM(BZ46)=TRIM('Smart Search'!$L$5)),OR(TRIM('Smart Search'!$L$6)="",TRIM('Smart Search'!$L$6)="All",ISNUMBER(SEARCH(SUBSTITUTE(SUBSTITUTE(SUBSTITUTE(TRIM('Smart Search'!$L$6),"~","~~"),"*","~*"),"?","~?"),CA46))),OR('Smart Search'!$L$7="",AND(CB46&lt;&gt;0,CB46='Smart Search'!$L$7)),OR('Smart Search'!$L$8="",'Smart Search'!$L$8="All",TRIM(CC46)=TRIM('Smart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IF(A46="","",N(INDEX(Projects[Mech Inst],45)))</f>
        <v/>
      </c>
      <c r="BK46" s="5">
        <f>IF(A46="","",N(INDEX(Projects[Elec Inst],45)))</f>
        <v/>
      </c>
      <c r="BL46" s="5">
        <f>IF(A46="","",N(INDEX(Projects[Project Management],45)))</f>
        <v/>
      </c>
      <c r="BM46" s="5">
        <f>IF(A46="","",N(INDEX(Projects[Systems Eng],45)))</f>
        <v/>
      </c>
      <c r="BN46" s="5">
        <f>IF(A46="","",N(INDEX(Projects[Mechanical Eng],45)))</f>
        <v/>
      </c>
      <c r="BO46" s="5">
        <f>IF(A46="","",N(INDEX(Projects[Structural Engineering],45)))</f>
        <v/>
      </c>
      <c r="BP46" s="5">
        <f>IF(A46="","",N(INDEX(Projects[Site Sup],45)))</f>
        <v/>
      </c>
      <c r="BQ46" s="5">
        <f>IF(A46="","",N(INDEX(Projects[Controls Commissioning],45)))</f>
        <v/>
      </c>
      <c r="BR46" s="5">
        <f>IF(A46="","",N(INDEX(Projects[Systems Commissioning],45)))</f>
        <v/>
      </c>
      <c r="BS46" s="5">
        <f>IF(A46="","",N(INDEX(Projects[Service Commissioning],45)))</f>
        <v/>
      </c>
      <c r="BT46" s="5">
        <f>IF(A46="","",N(INDEX(Projects[Controls Eng],45)))</f>
        <v/>
      </c>
      <c r="BU46" s="5">
        <f>IF(A46="","",N(INDEX(Projects[Controls Purchase],45)))</f>
        <v/>
      </c>
      <c r="BV46" s="5">
        <f>IF(A46="","",N(INDEX(Projects[Software Eng],45)))</f>
        <v/>
      </c>
      <c r="BW46" s="5">
        <f>IF(A46="","",N(INDEX(Projects[Misc],45)))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  <c r="BZ46" s="5">
        <f>INDEX(Projects[Solution Type],45)&amp;""</f>
        <v/>
      </c>
      <c r="CA46" s="5">
        <f>INDEX(Projects[Client / Region],45)&amp;""</f>
        <v/>
      </c>
      <c r="CB46" s="5">
        <f>INDEX(Projects[Year],45)</f>
        <v/>
      </c>
      <c r="CC46" s="5">
        <f>INDEX(Projects[Won?],45)&amp;""</f>
        <v/>
      </c>
      <c r="CD46" s="5">
        <f>INDEX(Projects[Value (USD M)],45)</f>
        <v/>
      </c>
      <c r="CE46" s="5">
        <f>INDEX(Projects[MH Data Status],45)&amp;""</f>
        <v/>
      </c>
    </row>
    <row r="47" ht="15" customHeight="1" s="74">
      <c r="A47" s="66">
        <f>INDEX(Projects[Project ID *],46)&amp;""</f>
        <v/>
      </c>
      <c r="B47" s="66">
        <f>INDEX(Projects[Project Name *],46)&amp;""</f>
        <v/>
      </c>
      <c r="C47" s="66">
        <f>INDEX(Projects[MS Shuttles],46)</f>
        <v/>
      </c>
      <c r="D47" s="66">
        <f>INDEX(Projects[MS Tote Locations],46)</f>
        <v/>
      </c>
      <c r="E47" s="66">
        <f>INDEX(Projects[AS Robots],46)</f>
        <v/>
      </c>
      <c r="F47" s="66">
        <f>INDEX(Projects[AS Tote Locations],46)</f>
        <v/>
      </c>
      <c r="G47" s="66">
        <f>INDEX(Projects[PS Shuttles],46)</f>
        <v/>
      </c>
      <c r="H47" s="66">
        <f>INDEX(Projects[PS Pallet Locations],46)</f>
        <v/>
      </c>
      <c r="I47" s="66">
        <f>INDEX(Projects[SRM Cranes],46)</f>
        <v/>
      </c>
      <c r="J47" s="66">
        <f>INDEX(Projects[SRM Pallet Locations],46)</f>
        <v/>
      </c>
      <c r="K47" s="66">
        <f>INDEX(Projects[Case Conv (m)],46)</f>
        <v/>
      </c>
      <c r="L47" s="66">
        <f>INDEX(Projects[Pallet Conv (m)],46)</f>
        <v/>
      </c>
      <c r="M47" s="66">
        <f>INDEX(Projects[Mech Eng (wks)],46)</f>
        <v/>
      </c>
      <c r="N47" s="66">
        <f>INDEX(Projects[Controls Eng (wks)],46)</f>
        <v/>
      </c>
      <c r="O47" s="66">
        <f>INDEX(Projects[Systems Eng (wks)],46)</f>
        <v/>
      </c>
      <c r="P47" s="66">
        <f>INDEX(Projects[Software Eng (wks)],46)</f>
        <v/>
      </c>
      <c r="Q47" s="66">
        <f>INDEX(Projects[M&amp;E Installation (wks)],46)</f>
        <v/>
      </c>
      <c r="R47" s="66">
        <f>INDEX(Projects[Commissioning (wks)],46)</f>
        <v/>
      </c>
      <c r="S47" s="66">
        <f>INDEX(Projects[Total Timeline (wks)],46)</f>
        <v/>
      </c>
      <c r="T47" s="66">
        <f>INDEX(Projects[Currency],46)&amp;""</f>
        <v/>
      </c>
      <c r="U47" s="67">
        <f>INDEX(Projects[Value (M)],46)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INDEX(Projects[Automation Equipment],46)&amp;""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IF(AND(A47&lt;&gt;"",OR('Smart Search'!$L$5="",'Smart Search'!$L$5="All",TRIM(BZ47)=TRIM('Smart Search'!$L$5)),OR(TRIM('Smart Search'!$L$6)="",TRIM('Smart Search'!$L$6)="All",ISNUMBER(SEARCH(SUBSTITUTE(SUBSTITUTE(SUBSTITUTE(TRIM('Smart Search'!$L$6),"~","~~"),"*","~*"),"?","~?"),CA47))),OR('Smart Search'!$L$7="",AND(CB47&lt;&gt;0,CB47='Smart Search'!$L$7)),OR('Smart Search'!$L$8="",'Smart Search'!$L$8="All",TRIM(CC47)=TRIM('Smart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IF(A47="","",N(INDEX(Projects[Mech Inst],46)))</f>
        <v/>
      </c>
      <c r="BK47" s="5">
        <f>IF(A47="","",N(INDEX(Projects[Elec Inst],46)))</f>
        <v/>
      </c>
      <c r="BL47" s="5">
        <f>IF(A47="","",N(INDEX(Projects[Project Management],46)))</f>
        <v/>
      </c>
      <c r="BM47" s="5">
        <f>IF(A47="","",N(INDEX(Projects[Systems Eng],46)))</f>
        <v/>
      </c>
      <c r="BN47" s="5">
        <f>IF(A47="","",N(INDEX(Projects[Mechanical Eng],46)))</f>
        <v/>
      </c>
      <c r="BO47" s="5">
        <f>IF(A47="","",N(INDEX(Projects[Structural Engineering],46)))</f>
        <v/>
      </c>
      <c r="BP47" s="5">
        <f>IF(A47="","",N(INDEX(Projects[Site Sup],46)))</f>
        <v/>
      </c>
      <c r="BQ47" s="5">
        <f>IF(A47="","",N(INDEX(Projects[Controls Commissioning],46)))</f>
        <v/>
      </c>
      <c r="BR47" s="5">
        <f>IF(A47="","",N(INDEX(Projects[Systems Commissioning],46)))</f>
        <v/>
      </c>
      <c r="BS47" s="5">
        <f>IF(A47="","",N(INDEX(Projects[Service Commissioning],46)))</f>
        <v/>
      </c>
      <c r="BT47" s="5">
        <f>IF(A47="","",N(INDEX(Projects[Controls Eng],46)))</f>
        <v/>
      </c>
      <c r="BU47" s="5">
        <f>IF(A47="","",N(INDEX(Projects[Controls Purchase],46)))</f>
        <v/>
      </c>
      <c r="BV47" s="5">
        <f>IF(A47="","",N(INDEX(Projects[Software Eng],46)))</f>
        <v/>
      </c>
      <c r="BW47" s="5">
        <f>IF(A47="","",N(INDEX(Projects[Misc],46)))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  <c r="BZ47" s="5">
        <f>INDEX(Projects[Solution Type],46)&amp;""</f>
        <v/>
      </c>
      <c r="CA47" s="5">
        <f>INDEX(Projects[Client / Region],46)&amp;""</f>
        <v/>
      </c>
      <c r="CB47" s="5">
        <f>INDEX(Projects[Year],46)</f>
        <v/>
      </c>
      <c r="CC47" s="5">
        <f>INDEX(Projects[Won?],46)&amp;""</f>
        <v/>
      </c>
      <c r="CD47" s="5">
        <f>INDEX(Projects[Value (USD M)],46)</f>
        <v/>
      </c>
      <c r="CE47" s="5">
        <f>INDEX(Projects[MH Data Status],46)&amp;""</f>
        <v/>
      </c>
    </row>
    <row r="48" ht="15" customHeight="1" s="74">
      <c r="A48" s="66">
        <f>INDEX(Projects[Project ID *],47)&amp;""</f>
        <v/>
      </c>
      <c r="B48" s="66">
        <f>INDEX(Projects[Project Name *],47)&amp;""</f>
        <v/>
      </c>
      <c r="C48" s="66">
        <f>INDEX(Projects[MS Shuttles],47)</f>
        <v/>
      </c>
      <c r="D48" s="66">
        <f>INDEX(Projects[MS Tote Locations],47)</f>
        <v/>
      </c>
      <c r="E48" s="66">
        <f>INDEX(Projects[AS Robots],47)</f>
        <v/>
      </c>
      <c r="F48" s="66">
        <f>INDEX(Projects[AS Tote Locations],47)</f>
        <v/>
      </c>
      <c r="G48" s="66">
        <f>INDEX(Projects[PS Shuttles],47)</f>
        <v/>
      </c>
      <c r="H48" s="66">
        <f>INDEX(Projects[PS Pallet Locations],47)</f>
        <v/>
      </c>
      <c r="I48" s="66">
        <f>INDEX(Projects[SRM Cranes],47)</f>
        <v/>
      </c>
      <c r="J48" s="66">
        <f>INDEX(Projects[SRM Pallet Locations],47)</f>
        <v/>
      </c>
      <c r="K48" s="66">
        <f>INDEX(Projects[Case Conv (m)],47)</f>
        <v/>
      </c>
      <c r="L48" s="66">
        <f>INDEX(Projects[Pallet Conv (m)],47)</f>
        <v/>
      </c>
      <c r="M48" s="66">
        <f>INDEX(Projects[Mech Eng (wks)],47)</f>
        <v/>
      </c>
      <c r="N48" s="66">
        <f>INDEX(Projects[Controls Eng (wks)],47)</f>
        <v/>
      </c>
      <c r="O48" s="66">
        <f>INDEX(Projects[Systems Eng (wks)],47)</f>
        <v/>
      </c>
      <c r="P48" s="66">
        <f>INDEX(Projects[Software Eng (wks)],47)</f>
        <v/>
      </c>
      <c r="Q48" s="66">
        <f>INDEX(Projects[M&amp;E Installation (wks)],47)</f>
        <v/>
      </c>
      <c r="R48" s="66">
        <f>INDEX(Projects[Commissioning (wks)],47)</f>
        <v/>
      </c>
      <c r="S48" s="66">
        <f>INDEX(Projects[Total Timeline (wks)],47)</f>
        <v/>
      </c>
      <c r="T48" s="66">
        <f>INDEX(Projects[Currency],47)&amp;""</f>
        <v/>
      </c>
      <c r="U48" s="67">
        <f>INDEX(Projects[Value (M)],47)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INDEX(Projects[Automation Equipment],47)&amp;""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IF(AND(A48&lt;&gt;"",OR('Smart Search'!$L$5="",'Smart Search'!$L$5="All",TRIM(BZ48)=TRIM('Smart Search'!$L$5)),OR(TRIM('Smart Search'!$L$6)="",TRIM('Smart Search'!$L$6)="All",ISNUMBER(SEARCH(SUBSTITUTE(SUBSTITUTE(SUBSTITUTE(TRIM('Smart Search'!$L$6),"~","~~"),"*","~*"),"?","~?"),CA48))),OR('Smart Search'!$L$7="",AND(CB48&lt;&gt;0,CB48='Smart Search'!$L$7)),OR('Smart Search'!$L$8="",'Smart Search'!$L$8="All",TRIM(CC48)=TRIM('Smart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IF(A48="","",N(INDEX(Projects[Mech Inst],47)))</f>
        <v/>
      </c>
      <c r="BK48" s="5">
        <f>IF(A48="","",N(INDEX(Projects[Elec Inst],47)))</f>
        <v/>
      </c>
      <c r="BL48" s="5">
        <f>IF(A48="","",N(INDEX(Projects[Project Management],47)))</f>
        <v/>
      </c>
      <c r="BM48" s="5">
        <f>IF(A48="","",N(INDEX(Projects[Systems Eng],47)))</f>
        <v/>
      </c>
      <c r="BN48" s="5">
        <f>IF(A48="","",N(INDEX(Projects[Mechanical Eng],47)))</f>
        <v/>
      </c>
      <c r="BO48" s="5">
        <f>IF(A48="","",N(INDEX(Projects[Structural Engineering],47)))</f>
        <v/>
      </c>
      <c r="BP48" s="5">
        <f>IF(A48="","",N(INDEX(Projects[Site Sup],47)))</f>
        <v/>
      </c>
      <c r="BQ48" s="5">
        <f>IF(A48="","",N(INDEX(Projects[Controls Commissioning],47)))</f>
        <v/>
      </c>
      <c r="BR48" s="5">
        <f>IF(A48="","",N(INDEX(Projects[Systems Commissioning],47)))</f>
        <v/>
      </c>
      <c r="BS48" s="5">
        <f>IF(A48="","",N(INDEX(Projects[Service Commissioning],47)))</f>
        <v/>
      </c>
      <c r="BT48" s="5">
        <f>IF(A48="","",N(INDEX(Projects[Controls Eng],47)))</f>
        <v/>
      </c>
      <c r="BU48" s="5">
        <f>IF(A48="","",N(INDEX(Projects[Controls Purchase],47)))</f>
        <v/>
      </c>
      <c r="BV48" s="5">
        <f>IF(A48="","",N(INDEX(Projects[Software Eng],47)))</f>
        <v/>
      </c>
      <c r="BW48" s="5">
        <f>IF(A48="","",N(INDEX(Projects[Misc],47)))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  <c r="BZ48" s="5">
        <f>INDEX(Projects[Solution Type],47)&amp;""</f>
        <v/>
      </c>
      <c r="CA48" s="5">
        <f>INDEX(Projects[Client / Region],47)&amp;""</f>
        <v/>
      </c>
      <c r="CB48" s="5">
        <f>INDEX(Projects[Year],47)</f>
        <v/>
      </c>
      <c r="CC48" s="5">
        <f>INDEX(Projects[Won?],47)&amp;""</f>
        <v/>
      </c>
      <c r="CD48" s="5">
        <f>INDEX(Projects[Value (USD M)],47)</f>
        <v/>
      </c>
      <c r="CE48" s="5">
        <f>INDEX(Projects[MH Data Status],47)&amp;""</f>
        <v/>
      </c>
    </row>
    <row r="49" ht="15" customHeight="1" s="74">
      <c r="A49" s="66">
        <f>INDEX(Projects[Project ID *],48)&amp;""</f>
        <v/>
      </c>
      <c r="B49" s="66">
        <f>INDEX(Projects[Project Name *],48)&amp;""</f>
        <v/>
      </c>
      <c r="C49" s="66">
        <f>INDEX(Projects[MS Shuttles],48)</f>
        <v/>
      </c>
      <c r="D49" s="66">
        <f>INDEX(Projects[MS Tote Locations],48)</f>
        <v/>
      </c>
      <c r="E49" s="66">
        <f>INDEX(Projects[AS Robots],48)</f>
        <v/>
      </c>
      <c r="F49" s="66">
        <f>INDEX(Projects[AS Tote Locations],48)</f>
        <v/>
      </c>
      <c r="G49" s="66">
        <f>INDEX(Projects[PS Shuttles],48)</f>
        <v/>
      </c>
      <c r="H49" s="66">
        <f>INDEX(Projects[PS Pallet Locations],48)</f>
        <v/>
      </c>
      <c r="I49" s="66">
        <f>INDEX(Projects[SRM Cranes],48)</f>
        <v/>
      </c>
      <c r="J49" s="66">
        <f>INDEX(Projects[SRM Pallet Locations],48)</f>
        <v/>
      </c>
      <c r="K49" s="66">
        <f>INDEX(Projects[Case Conv (m)],48)</f>
        <v/>
      </c>
      <c r="L49" s="66">
        <f>INDEX(Projects[Pallet Conv (m)],48)</f>
        <v/>
      </c>
      <c r="M49" s="66">
        <f>INDEX(Projects[Mech Eng (wks)],48)</f>
        <v/>
      </c>
      <c r="N49" s="66">
        <f>INDEX(Projects[Controls Eng (wks)],48)</f>
        <v/>
      </c>
      <c r="O49" s="66">
        <f>INDEX(Projects[Systems Eng (wks)],48)</f>
        <v/>
      </c>
      <c r="P49" s="66">
        <f>INDEX(Projects[Software Eng (wks)],48)</f>
        <v/>
      </c>
      <c r="Q49" s="66">
        <f>INDEX(Projects[M&amp;E Installation (wks)],48)</f>
        <v/>
      </c>
      <c r="R49" s="66">
        <f>INDEX(Projects[Commissioning (wks)],48)</f>
        <v/>
      </c>
      <c r="S49" s="66">
        <f>INDEX(Projects[Total Timeline (wks)],48)</f>
        <v/>
      </c>
      <c r="T49" s="66">
        <f>INDEX(Projects[Currency],48)&amp;""</f>
        <v/>
      </c>
      <c r="U49" s="67">
        <f>INDEX(Projects[Value (M)],48)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INDEX(Projects[Automation Equipment],48)&amp;""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IF(AND(A49&lt;&gt;"",OR('Smart Search'!$L$5="",'Smart Search'!$L$5="All",TRIM(BZ49)=TRIM('Smart Search'!$L$5)),OR(TRIM('Smart Search'!$L$6)="",TRIM('Smart Search'!$L$6)="All",ISNUMBER(SEARCH(SUBSTITUTE(SUBSTITUTE(SUBSTITUTE(TRIM('Smart Search'!$L$6),"~","~~"),"*","~*"),"?","~?"),CA49))),OR('Smart Search'!$L$7="",AND(CB49&lt;&gt;0,CB49='Smart Search'!$L$7)),OR('Smart Search'!$L$8="",'Smart Search'!$L$8="All",TRIM(CC49)=TRIM('Smart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IF(A49="","",N(INDEX(Projects[Mech Inst],48)))</f>
        <v/>
      </c>
      <c r="BK49" s="5">
        <f>IF(A49="","",N(INDEX(Projects[Elec Inst],48)))</f>
        <v/>
      </c>
      <c r="BL49" s="5">
        <f>IF(A49="","",N(INDEX(Projects[Project Management],48)))</f>
        <v/>
      </c>
      <c r="BM49" s="5">
        <f>IF(A49="","",N(INDEX(Projects[Systems Eng],48)))</f>
        <v/>
      </c>
      <c r="BN49" s="5">
        <f>IF(A49="","",N(INDEX(Projects[Mechanical Eng],48)))</f>
        <v/>
      </c>
      <c r="BO49" s="5">
        <f>IF(A49="","",N(INDEX(Projects[Structural Engineering],48)))</f>
        <v/>
      </c>
      <c r="BP49" s="5">
        <f>IF(A49="","",N(INDEX(Projects[Site Sup],48)))</f>
        <v/>
      </c>
      <c r="BQ49" s="5">
        <f>IF(A49="","",N(INDEX(Projects[Controls Commissioning],48)))</f>
        <v/>
      </c>
      <c r="BR49" s="5">
        <f>IF(A49="","",N(INDEX(Projects[Systems Commissioning],48)))</f>
        <v/>
      </c>
      <c r="BS49" s="5">
        <f>IF(A49="","",N(INDEX(Projects[Service Commissioning],48)))</f>
        <v/>
      </c>
      <c r="BT49" s="5">
        <f>IF(A49="","",N(INDEX(Projects[Controls Eng],48)))</f>
        <v/>
      </c>
      <c r="BU49" s="5">
        <f>IF(A49="","",N(INDEX(Projects[Controls Purchase],48)))</f>
        <v/>
      </c>
      <c r="BV49" s="5">
        <f>IF(A49="","",N(INDEX(Projects[Software Eng],48)))</f>
        <v/>
      </c>
      <c r="BW49" s="5">
        <f>IF(A49="","",N(INDEX(Projects[Misc],48)))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  <c r="BZ49" s="5">
        <f>INDEX(Projects[Solution Type],48)&amp;""</f>
        <v/>
      </c>
      <c r="CA49" s="5">
        <f>INDEX(Projects[Client / Region],48)&amp;""</f>
        <v/>
      </c>
      <c r="CB49" s="5">
        <f>INDEX(Projects[Year],48)</f>
        <v/>
      </c>
      <c r="CC49" s="5">
        <f>INDEX(Projects[Won?],48)&amp;""</f>
        <v/>
      </c>
      <c r="CD49" s="5">
        <f>INDEX(Projects[Value (USD M)],48)</f>
        <v/>
      </c>
      <c r="CE49" s="5">
        <f>INDEX(Projects[MH Data Status],48)&amp;""</f>
        <v/>
      </c>
    </row>
    <row r="50" ht="15" customHeight="1" s="74">
      <c r="A50" s="66">
        <f>INDEX(Projects[Project ID *],49)&amp;""</f>
        <v/>
      </c>
      <c r="B50" s="66">
        <f>INDEX(Projects[Project Name *],49)&amp;""</f>
        <v/>
      </c>
      <c r="C50" s="66">
        <f>INDEX(Projects[MS Shuttles],49)</f>
        <v/>
      </c>
      <c r="D50" s="66">
        <f>INDEX(Projects[MS Tote Locations],49)</f>
        <v/>
      </c>
      <c r="E50" s="66">
        <f>INDEX(Projects[AS Robots],49)</f>
        <v/>
      </c>
      <c r="F50" s="66">
        <f>INDEX(Projects[AS Tote Locations],49)</f>
        <v/>
      </c>
      <c r="G50" s="66">
        <f>INDEX(Projects[PS Shuttles],49)</f>
        <v/>
      </c>
      <c r="H50" s="66">
        <f>INDEX(Projects[PS Pallet Locations],49)</f>
        <v/>
      </c>
      <c r="I50" s="66">
        <f>INDEX(Projects[SRM Cranes],49)</f>
        <v/>
      </c>
      <c r="J50" s="66">
        <f>INDEX(Projects[SRM Pallet Locations],49)</f>
        <v/>
      </c>
      <c r="K50" s="66">
        <f>INDEX(Projects[Case Conv (m)],49)</f>
        <v/>
      </c>
      <c r="L50" s="66">
        <f>INDEX(Projects[Pallet Conv (m)],49)</f>
        <v/>
      </c>
      <c r="M50" s="66">
        <f>INDEX(Projects[Mech Eng (wks)],49)</f>
        <v/>
      </c>
      <c r="N50" s="66">
        <f>INDEX(Projects[Controls Eng (wks)],49)</f>
        <v/>
      </c>
      <c r="O50" s="66">
        <f>INDEX(Projects[Systems Eng (wks)],49)</f>
        <v/>
      </c>
      <c r="P50" s="66">
        <f>INDEX(Projects[Software Eng (wks)],49)</f>
        <v/>
      </c>
      <c r="Q50" s="66">
        <f>INDEX(Projects[M&amp;E Installation (wks)],49)</f>
        <v/>
      </c>
      <c r="R50" s="66">
        <f>INDEX(Projects[Commissioning (wks)],49)</f>
        <v/>
      </c>
      <c r="S50" s="66">
        <f>INDEX(Projects[Total Timeline (wks)],49)</f>
        <v/>
      </c>
      <c r="T50" s="66">
        <f>INDEX(Projects[Currency],49)&amp;""</f>
        <v/>
      </c>
      <c r="U50" s="67">
        <f>INDEX(Projects[Value (M)],49)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INDEX(Projects[Automation Equipment],49)&amp;""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IF(AND(A50&lt;&gt;"",OR('Smart Search'!$L$5="",'Smart Search'!$L$5="All",TRIM(BZ50)=TRIM('Smart Search'!$L$5)),OR(TRIM('Smart Search'!$L$6)="",TRIM('Smart Search'!$L$6)="All",ISNUMBER(SEARCH(SUBSTITUTE(SUBSTITUTE(SUBSTITUTE(TRIM('Smart Search'!$L$6),"~","~~"),"*","~*"),"?","~?"),CA50))),OR('Smart Search'!$L$7="",AND(CB50&lt;&gt;0,CB50='Smart Search'!$L$7)),OR('Smart Search'!$L$8="",'Smart Search'!$L$8="All",TRIM(CC50)=TRIM('Smart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IF(A50="","",N(INDEX(Projects[Mech Inst],49)))</f>
        <v/>
      </c>
      <c r="BK50" s="5">
        <f>IF(A50="","",N(INDEX(Projects[Elec Inst],49)))</f>
        <v/>
      </c>
      <c r="BL50" s="5">
        <f>IF(A50="","",N(INDEX(Projects[Project Management],49)))</f>
        <v/>
      </c>
      <c r="BM50" s="5">
        <f>IF(A50="","",N(INDEX(Projects[Systems Eng],49)))</f>
        <v/>
      </c>
      <c r="BN50" s="5">
        <f>IF(A50="","",N(INDEX(Projects[Mechanical Eng],49)))</f>
        <v/>
      </c>
      <c r="BO50" s="5">
        <f>IF(A50="","",N(INDEX(Projects[Structural Engineering],49)))</f>
        <v/>
      </c>
      <c r="BP50" s="5">
        <f>IF(A50="","",N(INDEX(Projects[Site Sup],49)))</f>
        <v/>
      </c>
      <c r="BQ50" s="5">
        <f>IF(A50="","",N(INDEX(Projects[Controls Commissioning],49)))</f>
        <v/>
      </c>
      <c r="BR50" s="5">
        <f>IF(A50="","",N(INDEX(Projects[Systems Commissioning],49)))</f>
        <v/>
      </c>
      <c r="BS50" s="5">
        <f>IF(A50="","",N(INDEX(Projects[Service Commissioning],49)))</f>
        <v/>
      </c>
      <c r="BT50" s="5">
        <f>IF(A50="","",N(INDEX(Projects[Controls Eng],49)))</f>
        <v/>
      </c>
      <c r="BU50" s="5">
        <f>IF(A50="","",N(INDEX(Projects[Controls Purchase],49)))</f>
        <v/>
      </c>
      <c r="BV50" s="5">
        <f>IF(A50="","",N(INDEX(Projects[Software Eng],49)))</f>
        <v/>
      </c>
      <c r="BW50" s="5">
        <f>IF(A50="","",N(INDEX(Projects[Misc],49)))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  <c r="BZ50" s="5">
        <f>INDEX(Projects[Solution Type],49)&amp;""</f>
        <v/>
      </c>
      <c r="CA50" s="5">
        <f>INDEX(Projects[Client / Region],49)&amp;""</f>
        <v/>
      </c>
      <c r="CB50" s="5">
        <f>INDEX(Projects[Year],49)</f>
        <v/>
      </c>
      <c r="CC50" s="5">
        <f>INDEX(Projects[Won?],49)&amp;""</f>
        <v/>
      </c>
      <c r="CD50" s="5">
        <f>INDEX(Projects[Value (USD M)],49)</f>
        <v/>
      </c>
      <c r="CE50" s="5">
        <f>INDEX(Projects[MH Data Status],49)&amp;""</f>
        <v/>
      </c>
    </row>
    <row r="51" ht="15" customHeight="1" s="74">
      <c r="A51" s="66">
        <f>INDEX(Projects[Project ID *],50)&amp;""</f>
        <v/>
      </c>
      <c r="B51" s="66">
        <f>INDEX(Projects[Project Name *],50)&amp;""</f>
        <v/>
      </c>
      <c r="C51" s="66">
        <f>INDEX(Projects[MS Shuttles],50)</f>
        <v/>
      </c>
      <c r="D51" s="66">
        <f>INDEX(Projects[MS Tote Locations],50)</f>
        <v/>
      </c>
      <c r="E51" s="66">
        <f>INDEX(Projects[AS Robots],50)</f>
        <v/>
      </c>
      <c r="F51" s="66">
        <f>INDEX(Projects[AS Tote Locations],50)</f>
        <v/>
      </c>
      <c r="G51" s="66">
        <f>INDEX(Projects[PS Shuttles],50)</f>
        <v/>
      </c>
      <c r="H51" s="66">
        <f>INDEX(Projects[PS Pallet Locations],50)</f>
        <v/>
      </c>
      <c r="I51" s="66">
        <f>INDEX(Projects[SRM Cranes],50)</f>
        <v/>
      </c>
      <c r="J51" s="66">
        <f>INDEX(Projects[SRM Pallet Locations],50)</f>
        <v/>
      </c>
      <c r="K51" s="66">
        <f>INDEX(Projects[Case Conv (m)],50)</f>
        <v/>
      </c>
      <c r="L51" s="66">
        <f>INDEX(Projects[Pallet Conv (m)],50)</f>
        <v/>
      </c>
      <c r="M51" s="66">
        <f>INDEX(Projects[Mech Eng (wks)],50)</f>
        <v/>
      </c>
      <c r="N51" s="66">
        <f>INDEX(Projects[Controls Eng (wks)],50)</f>
        <v/>
      </c>
      <c r="O51" s="66">
        <f>INDEX(Projects[Systems Eng (wks)],50)</f>
        <v/>
      </c>
      <c r="P51" s="66">
        <f>INDEX(Projects[Software Eng (wks)],50)</f>
        <v/>
      </c>
      <c r="Q51" s="66">
        <f>INDEX(Projects[M&amp;E Installation (wks)],50)</f>
        <v/>
      </c>
      <c r="R51" s="66">
        <f>INDEX(Projects[Commissioning (wks)],50)</f>
        <v/>
      </c>
      <c r="S51" s="66">
        <f>INDEX(Projects[Total Timeline (wks)],50)</f>
        <v/>
      </c>
      <c r="T51" s="66">
        <f>INDEX(Projects[Currency],50)&amp;""</f>
        <v/>
      </c>
      <c r="U51" s="67">
        <f>INDEX(Projects[Value (M)],50)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INDEX(Projects[Automation Equipment],50)&amp;""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IF(AND(A51&lt;&gt;"",OR('Smart Search'!$L$5="",'Smart Search'!$L$5="All",TRIM(BZ51)=TRIM('Smart Search'!$L$5)),OR(TRIM('Smart Search'!$L$6)="",TRIM('Smart Search'!$L$6)="All",ISNUMBER(SEARCH(SUBSTITUTE(SUBSTITUTE(SUBSTITUTE(TRIM('Smart Search'!$L$6),"~","~~"),"*","~*"),"?","~?"),CA51))),OR('Smart Search'!$L$7="",AND(CB51&lt;&gt;0,CB51='Smart Search'!$L$7)),OR('Smart Search'!$L$8="",'Smart Search'!$L$8="All",TRIM(CC51)=TRIM('Smart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IF(A51="","",N(INDEX(Projects[Mech Inst],50)))</f>
        <v/>
      </c>
      <c r="BK51" s="5">
        <f>IF(A51="","",N(INDEX(Projects[Elec Inst],50)))</f>
        <v/>
      </c>
      <c r="BL51" s="5">
        <f>IF(A51="","",N(INDEX(Projects[Project Management],50)))</f>
        <v/>
      </c>
      <c r="BM51" s="5">
        <f>IF(A51="","",N(INDEX(Projects[Systems Eng],50)))</f>
        <v/>
      </c>
      <c r="BN51" s="5">
        <f>IF(A51="","",N(INDEX(Projects[Mechanical Eng],50)))</f>
        <v/>
      </c>
      <c r="BO51" s="5">
        <f>IF(A51="","",N(INDEX(Projects[Structural Engineering],50)))</f>
        <v/>
      </c>
      <c r="BP51" s="5">
        <f>IF(A51="","",N(INDEX(Projects[Site Sup],50)))</f>
        <v/>
      </c>
      <c r="BQ51" s="5">
        <f>IF(A51="","",N(INDEX(Projects[Controls Commissioning],50)))</f>
        <v/>
      </c>
      <c r="BR51" s="5">
        <f>IF(A51="","",N(INDEX(Projects[Systems Commissioning],50)))</f>
        <v/>
      </c>
      <c r="BS51" s="5">
        <f>IF(A51="","",N(INDEX(Projects[Service Commissioning],50)))</f>
        <v/>
      </c>
      <c r="BT51" s="5">
        <f>IF(A51="","",N(INDEX(Projects[Controls Eng],50)))</f>
        <v/>
      </c>
      <c r="BU51" s="5">
        <f>IF(A51="","",N(INDEX(Projects[Controls Purchase],50)))</f>
        <v/>
      </c>
      <c r="BV51" s="5">
        <f>IF(A51="","",N(INDEX(Projects[Software Eng],50)))</f>
        <v/>
      </c>
      <c r="BW51" s="5">
        <f>IF(A51="","",N(INDEX(Projects[Misc],50)))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  <c r="BZ51" s="5">
        <f>INDEX(Projects[Solution Type],50)&amp;""</f>
        <v/>
      </c>
      <c r="CA51" s="5">
        <f>INDEX(Projects[Client / Region],50)&amp;""</f>
        <v/>
      </c>
      <c r="CB51" s="5">
        <f>INDEX(Projects[Year],50)</f>
        <v/>
      </c>
      <c r="CC51" s="5">
        <f>INDEX(Projects[Won?],50)&amp;""</f>
        <v/>
      </c>
      <c r="CD51" s="5">
        <f>INDEX(Projects[Value (USD M)],50)</f>
        <v/>
      </c>
      <c r="CE51" s="5">
        <f>INDEX(Projects[MH Data Status],50)&amp;""</f>
        <v/>
      </c>
    </row>
    <row r="52" ht="15" customHeight="1" s="74">
      <c r="A52" s="66">
        <f>INDEX(Projects[Project ID *],51)&amp;""</f>
        <v/>
      </c>
      <c r="B52" s="66">
        <f>INDEX(Projects[Project Name *],51)&amp;""</f>
        <v/>
      </c>
      <c r="C52" s="66">
        <f>INDEX(Projects[MS Shuttles],51)</f>
        <v/>
      </c>
      <c r="D52" s="66">
        <f>INDEX(Projects[MS Tote Locations],51)</f>
        <v/>
      </c>
      <c r="E52" s="66">
        <f>INDEX(Projects[AS Robots],51)</f>
        <v/>
      </c>
      <c r="F52" s="66">
        <f>INDEX(Projects[AS Tote Locations],51)</f>
        <v/>
      </c>
      <c r="G52" s="66">
        <f>INDEX(Projects[PS Shuttles],51)</f>
        <v/>
      </c>
      <c r="H52" s="66">
        <f>INDEX(Projects[PS Pallet Locations],51)</f>
        <v/>
      </c>
      <c r="I52" s="66">
        <f>INDEX(Projects[SRM Cranes],51)</f>
        <v/>
      </c>
      <c r="J52" s="66">
        <f>INDEX(Projects[SRM Pallet Locations],51)</f>
        <v/>
      </c>
      <c r="K52" s="66">
        <f>INDEX(Projects[Case Conv (m)],51)</f>
        <v/>
      </c>
      <c r="L52" s="66">
        <f>INDEX(Projects[Pallet Conv (m)],51)</f>
        <v/>
      </c>
      <c r="M52" s="66">
        <f>INDEX(Projects[Mech Eng (wks)],51)</f>
        <v/>
      </c>
      <c r="N52" s="66">
        <f>INDEX(Projects[Controls Eng (wks)],51)</f>
        <v/>
      </c>
      <c r="O52" s="66">
        <f>INDEX(Projects[Systems Eng (wks)],51)</f>
        <v/>
      </c>
      <c r="P52" s="66">
        <f>INDEX(Projects[Software Eng (wks)],51)</f>
        <v/>
      </c>
      <c r="Q52" s="66">
        <f>INDEX(Projects[M&amp;E Installation (wks)],51)</f>
        <v/>
      </c>
      <c r="R52" s="66">
        <f>INDEX(Projects[Commissioning (wks)],51)</f>
        <v/>
      </c>
      <c r="S52" s="66">
        <f>INDEX(Projects[Total Timeline (wks)],51)</f>
        <v/>
      </c>
      <c r="T52" s="66">
        <f>INDEX(Projects[Currency],51)&amp;""</f>
        <v/>
      </c>
      <c r="U52" s="67">
        <f>INDEX(Projects[Value (M)],51)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INDEX(Projects[Automation Equipment],51)&amp;""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IF(AND(A52&lt;&gt;"",OR('Smart Search'!$L$5="",'Smart Search'!$L$5="All",TRIM(BZ52)=TRIM('Smart Search'!$L$5)),OR(TRIM('Smart Search'!$L$6)="",TRIM('Smart Search'!$L$6)="All",ISNUMBER(SEARCH(SUBSTITUTE(SUBSTITUTE(SUBSTITUTE(TRIM('Smart Search'!$L$6),"~","~~"),"*","~*"),"?","~?"),CA52))),OR('Smart Search'!$L$7="",AND(CB52&lt;&gt;0,CB52='Smart Search'!$L$7)),OR('Smart Search'!$L$8="",'Smart Search'!$L$8="All",TRIM(CC52)=TRIM('Smart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IF(A52="","",N(INDEX(Projects[Mech Inst],51)))</f>
        <v/>
      </c>
      <c r="BK52" s="5">
        <f>IF(A52="","",N(INDEX(Projects[Elec Inst],51)))</f>
        <v/>
      </c>
      <c r="BL52" s="5">
        <f>IF(A52="","",N(INDEX(Projects[Project Management],51)))</f>
        <v/>
      </c>
      <c r="BM52" s="5">
        <f>IF(A52="","",N(INDEX(Projects[Systems Eng],51)))</f>
        <v/>
      </c>
      <c r="BN52" s="5">
        <f>IF(A52="","",N(INDEX(Projects[Mechanical Eng],51)))</f>
        <v/>
      </c>
      <c r="BO52" s="5">
        <f>IF(A52="","",N(INDEX(Projects[Structural Engineering],51)))</f>
        <v/>
      </c>
      <c r="BP52" s="5">
        <f>IF(A52="","",N(INDEX(Projects[Site Sup],51)))</f>
        <v/>
      </c>
      <c r="BQ52" s="5">
        <f>IF(A52="","",N(INDEX(Projects[Controls Commissioning],51)))</f>
        <v/>
      </c>
      <c r="BR52" s="5">
        <f>IF(A52="","",N(INDEX(Projects[Systems Commissioning],51)))</f>
        <v/>
      </c>
      <c r="BS52" s="5">
        <f>IF(A52="","",N(INDEX(Projects[Service Commissioning],51)))</f>
        <v/>
      </c>
      <c r="BT52" s="5">
        <f>IF(A52="","",N(INDEX(Projects[Controls Eng],51)))</f>
        <v/>
      </c>
      <c r="BU52" s="5">
        <f>IF(A52="","",N(INDEX(Projects[Controls Purchase],51)))</f>
        <v/>
      </c>
      <c r="BV52" s="5">
        <f>IF(A52="","",N(INDEX(Projects[Software Eng],51)))</f>
        <v/>
      </c>
      <c r="BW52" s="5">
        <f>IF(A52="","",N(INDEX(Projects[Misc],51)))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  <c r="BZ52" s="5">
        <f>INDEX(Projects[Solution Type],51)&amp;""</f>
        <v/>
      </c>
      <c r="CA52" s="5">
        <f>INDEX(Projects[Client / Region],51)&amp;""</f>
        <v/>
      </c>
      <c r="CB52" s="5">
        <f>INDEX(Projects[Year],51)</f>
        <v/>
      </c>
      <c r="CC52" s="5">
        <f>INDEX(Projects[Won?],51)&amp;""</f>
        <v/>
      </c>
      <c r="CD52" s="5">
        <f>INDEX(Projects[Value (USD M)],51)</f>
        <v/>
      </c>
      <c r="CE52" s="5">
        <f>INDEX(Projects[MH Data Status],51)&amp;""</f>
        <v/>
      </c>
    </row>
    <row r="53" ht="15" customHeight="1" s="74">
      <c r="A53" s="66">
        <f>INDEX(Projects[Project ID *],52)&amp;""</f>
        <v/>
      </c>
      <c r="B53" s="66">
        <f>INDEX(Projects[Project Name *],52)&amp;""</f>
        <v/>
      </c>
      <c r="C53" s="66">
        <f>INDEX(Projects[MS Shuttles],52)</f>
        <v/>
      </c>
      <c r="D53" s="66">
        <f>INDEX(Projects[MS Tote Locations],52)</f>
        <v/>
      </c>
      <c r="E53" s="66">
        <f>INDEX(Projects[AS Robots],52)</f>
        <v/>
      </c>
      <c r="F53" s="66">
        <f>INDEX(Projects[AS Tote Locations],52)</f>
        <v/>
      </c>
      <c r="G53" s="66">
        <f>INDEX(Projects[PS Shuttles],52)</f>
        <v/>
      </c>
      <c r="H53" s="66">
        <f>INDEX(Projects[PS Pallet Locations],52)</f>
        <v/>
      </c>
      <c r="I53" s="66">
        <f>INDEX(Projects[SRM Cranes],52)</f>
        <v/>
      </c>
      <c r="J53" s="66">
        <f>INDEX(Projects[SRM Pallet Locations],52)</f>
        <v/>
      </c>
      <c r="K53" s="66">
        <f>INDEX(Projects[Case Conv (m)],52)</f>
        <v/>
      </c>
      <c r="L53" s="66">
        <f>INDEX(Projects[Pallet Conv (m)],52)</f>
        <v/>
      </c>
      <c r="M53" s="66">
        <f>INDEX(Projects[Mech Eng (wks)],52)</f>
        <v/>
      </c>
      <c r="N53" s="66">
        <f>INDEX(Projects[Controls Eng (wks)],52)</f>
        <v/>
      </c>
      <c r="O53" s="66">
        <f>INDEX(Projects[Systems Eng (wks)],52)</f>
        <v/>
      </c>
      <c r="P53" s="66">
        <f>INDEX(Projects[Software Eng (wks)],52)</f>
        <v/>
      </c>
      <c r="Q53" s="66">
        <f>INDEX(Projects[M&amp;E Installation (wks)],52)</f>
        <v/>
      </c>
      <c r="R53" s="66">
        <f>INDEX(Projects[Commissioning (wks)],52)</f>
        <v/>
      </c>
      <c r="S53" s="66">
        <f>INDEX(Projects[Total Timeline (wks)],52)</f>
        <v/>
      </c>
      <c r="T53" s="66">
        <f>INDEX(Projects[Currency],52)&amp;""</f>
        <v/>
      </c>
      <c r="U53" s="67">
        <f>INDEX(Projects[Value (M)],52)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INDEX(Projects[Automation Equipment],52)&amp;""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IF(AND(A53&lt;&gt;"",OR('Smart Search'!$L$5="",'Smart Search'!$L$5="All",TRIM(BZ53)=TRIM('Smart Search'!$L$5)),OR(TRIM('Smart Search'!$L$6)="",TRIM('Smart Search'!$L$6)="All",ISNUMBER(SEARCH(SUBSTITUTE(SUBSTITUTE(SUBSTITUTE(TRIM('Smart Search'!$L$6),"~","~~"),"*","~*"),"?","~?"),CA53))),OR('Smart Search'!$L$7="",AND(CB53&lt;&gt;0,CB53='Smart Search'!$L$7)),OR('Smart Search'!$L$8="",'Smart Search'!$L$8="All",TRIM(CC53)=TRIM('Smart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IF(A53="","",N(INDEX(Projects[Mech Inst],52)))</f>
        <v/>
      </c>
      <c r="BK53" s="5">
        <f>IF(A53="","",N(INDEX(Projects[Elec Inst],52)))</f>
        <v/>
      </c>
      <c r="BL53" s="5">
        <f>IF(A53="","",N(INDEX(Projects[Project Management],52)))</f>
        <v/>
      </c>
      <c r="BM53" s="5">
        <f>IF(A53="","",N(INDEX(Projects[Systems Eng],52)))</f>
        <v/>
      </c>
      <c r="BN53" s="5">
        <f>IF(A53="","",N(INDEX(Projects[Mechanical Eng],52)))</f>
        <v/>
      </c>
      <c r="BO53" s="5">
        <f>IF(A53="","",N(INDEX(Projects[Structural Engineering],52)))</f>
        <v/>
      </c>
      <c r="BP53" s="5">
        <f>IF(A53="","",N(INDEX(Projects[Site Sup],52)))</f>
        <v/>
      </c>
      <c r="BQ53" s="5">
        <f>IF(A53="","",N(INDEX(Projects[Controls Commissioning],52)))</f>
        <v/>
      </c>
      <c r="BR53" s="5">
        <f>IF(A53="","",N(INDEX(Projects[Systems Commissioning],52)))</f>
        <v/>
      </c>
      <c r="BS53" s="5">
        <f>IF(A53="","",N(INDEX(Projects[Service Commissioning],52)))</f>
        <v/>
      </c>
      <c r="BT53" s="5">
        <f>IF(A53="","",N(INDEX(Projects[Controls Eng],52)))</f>
        <v/>
      </c>
      <c r="BU53" s="5">
        <f>IF(A53="","",N(INDEX(Projects[Controls Purchase],52)))</f>
        <v/>
      </c>
      <c r="BV53" s="5">
        <f>IF(A53="","",N(INDEX(Projects[Software Eng],52)))</f>
        <v/>
      </c>
      <c r="BW53" s="5">
        <f>IF(A53="","",N(INDEX(Projects[Misc],52)))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  <c r="BZ53" s="5">
        <f>INDEX(Projects[Solution Type],52)&amp;""</f>
        <v/>
      </c>
      <c r="CA53" s="5">
        <f>INDEX(Projects[Client / Region],52)&amp;""</f>
        <v/>
      </c>
      <c r="CB53" s="5">
        <f>INDEX(Projects[Year],52)</f>
        <v/>
      </c>
      <c r="CC53" s="5">
        <f>INDEX(Projects[Won?],52)&amp;""</f>
        <v/>
      </c>
      <c r="CD53" s="5">
        <f>INDEX(Projects[Value (USD M)],52)</f>
        <v/>
      </c>
      <c r="CE53" s="5">
        <f>INDEX(Projects[MH Data Status],52)&amp;""</f>
        <v/>
      </c>
    </row>
    <row r="54" ht="15" customHeight="1" s="74">
      <c r="A54" s="66">
        <f>INDEX(Projects[Project ID *],53)&amp;""</f>
        <v/>
      </c>
      <c r="B54" s="66">
        <f>INDEX(Projects[Project Name *],53)&amp;""</f>
        <v/>
      </c>
      <c r="C54" s="66">
        <f>INDEX(Projects[MS Shuttles],53)</f>
        <v/>
      </c>
      <c r="D54" s="66">
        <f>INDEX(Projects[MS Tote Locations],53)</f>
        <v/>
      </c>
      <c r="E54" s="66">
        <f>INDEX(Projects[AS Robots],53)</f>
        <v/>
      </c>
      <c r="F54" s="66">
        <f>INDEX(Projects[AS Tote Locations],53)</f>
        <v/>
      </c>
      <c r="G54" s="66">
        <f>INDEX(Projects[PS Shuttles],53)</f>
        <v/>
      </c>
      <c r="H54" s="66">
        <f>INDEX(Projects[PS Pallet Locations],53)</f>
        <v/>
      </c>
      <c r="I54" s="66">
        <f>INDEX(Projects[SRM Cranes],53)</f>
        <v/>
      </c>
      <c r="J54" s="66">
        <f>INDEX(Projects[SRM Pallet Locations],53)</f>
        <v/>
      </c>
      <c r="K54" s="66">
        <f>INDEX(Projects[Case Conv (m)],53)</f>
        <v/>
      </c>
      <c r="L54" s="66">
        <f>INDEX(Projects[Pallet Conv (m)],53)</f>
        <v/>
      </c>
      <c r="M54" s="66">
        <f>INDEX(Projects[Mech Eng (wks)],53)</f>
        <v/>
      </c>
      <c r="N54" s="66">
        <f>INDEX(Projects[Controls Eng (wks)],53)</f>
        <v/>
      </c>
      <c r="O54" s="66">
        <f>INDEX(Projects[Systems Eng (wks)],53)</f>
        <v/>
      </c>
      <c r="P54" s="66">
        <f>INDEX(Projects[Software Eng (wks)],53)</f>
        <v/>
      </c>
      <c r="Q54" s="66">
        <f>INDEX(Projects[M&amp;E Installation (wks)],53)</f>
        <v/>
      </c>
      <c r="R54" s="66">
        <f>INDEX(Projects[Commissioning (wks)],53)</f>
        <v/>
      </c>
      <c r="S54" s="66">
        <f>INDEX(Projects[Total Timeline (wks)],53)</f>
        <v/>
      </c>
      <c r="T54" s="66">
        <f>INDEX(Projects[Currency],53)&amp;""</f>
        <v/>
      </c>
      <c r="U54" s="67">
        <f>INDEX(Projects[Value (M)],53)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INDEX(Projects[Automation Equipment],53)&amp;""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IF(AND(A54&lt;&gt;"",OR('Smart Search'!$L$5="",'Smart Search'!$L$5="All",TRIM(BZ54)=TRIM('Smart Search'!$L$5)),OR(TRIM('Smart Search'!$L$6)="",TRIM('Smart Search'!$L$6)="All",ISNUMBER(SEARCH(SUBSTITUTE(SUBSTITUTE(SUBSTITUTE(TRIM('Smart Search'!$L$6),"~","~~"),"*","~*"),"?","~?"),CA54))),OR('Smart Search'!$L$7="",AND(CB54&lt;&gt;0,CB54='Smart Search'!$L$7)),OR('Smart Search'!$L$8="",'Smart Search'!$L$8="All",TRIM(CC54)=TRIM('Smart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IF(A54="","",N(INDEX(Projects[Mech Inst],53)))</f>
        <v/>
      </c>
      <c r="BK54" s="5">
        <f>IF(A54="","",N(INDEX(Projects[Elec Inst],53)))</f>
        <v/>
      </c>
      <c r="BL54" s="5">
        <f>IF(A54="","",N(INDEX(Projects[Project Management],53)))</f>
        <v/>
      </c>
      <c r="BM54" s="5">
        <f>IF(A54="","",N(INDEX(Projects[Systems Eng],53)))</f>
        <v/>
      </c>
      <c r="BN54" s="5">
        <f>IF(A54="","",N(INDEX(Projects[Mechanical Eng],53)))</f>
        <v/>
      </c>
      <c r="BO54" s="5">
        <f>IF(A54="","",N(INDEX(Projects[Structural Engineering],53)))</f>
        <v/>
      </c>
      <c r="BP54" s="5">
        <f>IF(A54="","",N(INDEX(Projects[Site Sup],53)))</f>
        <v/>
      </c>
      <c r="BQ54" s="5">
        <f>IF(A54="","",N(INDEX(Projects[Controls Commissioning],53)))</f>
        <v/>
      </c>
      <c r="BR54" s="5">
        <f>IF(A54="","",N(INDEX(Projects[Systems Commissioning],53)))</f>
        <v/>
      </c>
      <c r="BS54" s="5">
        <f>IF(A54="","",N(INDEX(Projects[Service Commissioning],53)))</f>
        <v/>
      </c>
      <c r="BT54" s="5">
        <f>IF(A54="","",N(INDEX(Projects[Controls Eng],53)))</f>
        <v/>
      </c>
      <c r="BU54" s="5">
        <f>IF(A54="","",N(INDEX(Projects[Controls Purchase],53)))</f>
        <v/>
      </c>
      <c r="BV54" s="5">
        <f>IF(A54="","",N(INDEX(Projects[Software Eng],53)))</f>
        <v/>
      </c>
      <c r="BW54" s="5">
        <f>IF(A54="","",N(INDEX(Projects[Misc],53)))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  <c r="BZ54" s="5">
        <f>INDEX(Projects[Solution Type],53)&amp;""</f>
        <v/>
      </c>
      <c r="CA54" s="5">
        <f>INDEX(Projects[Client / Region],53)&amp;""</f>
        <v/>
      </c>
      <c r="CB54" s="5">
        <f>INDEX(Projects[Year],53)</f>
        <v/>
      </c>
      <c r="CC54" s="5">
        <f>INDEX(Projects[Won?],53)&amp;""</f>
        <v/>
      </c>
      <c r="CD54" s="5">
        <f>INDEX(Projects[Value (USD M)],53)</f>
        <v/>
      </c>
      <c r="CE54" s="5">
        <f>INDEX(Projects[MH Data Status],53)&amp;""</f>
        <v/>
      </c>
    </row>
    <row r="55" ht="15" customHeight="1" s="74">
      <c r="A55" s="66">
        <f>INDEX(Projects[Project ID *],54)&amp;""</f>
        <v/>
      </c>
      <c r="B55" s="66">
        <f>INDEX(Projects[Project Name *],54)&amp;""</f>
        <v/>
      </c>
      <c r="C55" s="66">
        <f>INDEX(Projects[MS Shuttles],54)</f>
        <v/>
      </c>
      <c r="D55" s="66">
        <f>INDEX(Projects[MS Tote Locations],54)</f>
        <v/>
      </c>
      <c r="E55" s="66">
        <f>INDEX(Projects[AS Robots],54)</f>
        <v/>
      </c>
      <c r="F55" s="66">
        <f>INDEX(Projects[AS Tote Locations],54)</f>
        <v/>
      </c>
      <c r="G55" s="66">
        <f>INDEX(Projects[PS Shuttles],54)</f>
        <v/>
      </c>
      <c r="H55" s="66">
        <f>INDEX(Projects[PS Pallet Locations],54)</f>
        <v/>
      </c>
      <c r="I55" s="66">
        <f>INDEX(Projects[SRM Cranes],54)</f>
        <v/>
      </c>
      <c r="J55" s="66">
        <f>INDEX(Projects[SRM Pallet Locations],54)</f>
        <v/>
      </c>
      <c r="K55" s="66">
        <f>INDEX(Projects[Case Conv (m)],54)</f>
        <v/>
      </c>
      <c r="L55" s="66">
        <f>INDEX(Projects[Pallet Conv (m)],54)</f>
        <v/>
      </c>
      <c r="M55" s="66">
        <f>INDEX(Projects[Mech Eng (wks)],54)</f>
        <v/>
      </c>
      <c r="N55" s="66">
        <f>INDEX(Projects[Controls Eng (wks)],54)</f>
        <v/>
      </c>
      <c r="O55" s="66">
        <f>INDEX(Projects[Systems Eng (wks)],54)</f>
        <v/>
      </c>
      <c r="P55" s="66">
        <f>INDEX(Projects[Software Eng (wks)],54)</f>
        <v/>
      </c>
      <c r="Q55" s="66">
        <f>INDEX(Projects[M&amp;E Installation (wks)],54)</f>
        <v/>
      </c>
      <c r="R55" s="66">
        <f>INDEX(Projects[Commissioning (wks)],54)</f>
        <v/>
      </c>
      <c r="S55" s="66">
        <f>INDEX(Projects[Total Timeline (wks)],54)</f>
        <v/>
      </c>
      <c r="T55" s="66">
        <f>INDEX(Projects[Currency],54)&amp;""</f>
        <v/>
      </c>
      <c r="U55" s="67">
        <f>INDEX(Projects[Value (M)],54)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INDEX(Projects[Automation Equipment],54)&amp;""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IF(AND(A55&lt;&gt;"",OR('Smart Search'!$L$5="",'Smart Search'!$L$5="All",TRIM(BZ55)=TRIM('Smart Search'!$L$5)),OR(TRIM('Smart Search'!$L$6)="",TRIM('Smart Search'!$L$6)="All",ISNUMBER(SEARCH(SUBSTITUTE(SUBSTITUTE(SUBSTITUTE(TRIM('Smart Search'!$L$6),"~","~~"),"*","~*"),"?","~?"),CA55))),OR('Smart Search'!$L$7="",AND(CB55&lt;&gt;0,CB55='Smart Search'!$L$7)),OR('Smart Search'!$L$8="",'Smart Search'!$L$8="All",TRIM(CC55)=TRIM('Smart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IF(A55="","",N(INDEX(Projects[Mech Inst],54)))</f>
        <v/>
      </c>
      <c r="BK55" s="5">
        <f>IF(A55="","",N(INDEX(Projects[Elec Inst],54)))</f>
        <v/>
      </c>
      <c r="BL55" s="5">
        <f>IF(A55="","",N(INDEX(Projects[Project Management],54)))</f>
        <v/>
      </c>
      <c r="BM55" s="5">
        <f>IF(A55="","",N(INDEX(Projects[Systems Eng],54)))</f>
        <v/>
      </c>
      <c r="BN55" s="5">
        <f>IF(A55="","",N(INDEX(Projects[Mechanical Eng],54)))</f>
        <v/>
      </c>
      <c r="BO55" s="5">
        <f>IF(A55="","",N(INDEX(Projects[Structural Engineering],54)))</f>
        <v/>
      </c>
      <c r="BP55" s="5">
        <f>IF(A55="","",N(INDEX(Projects[Site Sup],54)))</f>
        <v/>
      </c>
      <c r="BQ55" s="5">
        <f>IF(A55="","",N(INDEX(Projects[Controls Commissioning],54)))</f>
        <v/>
      </c>
      <c r="BR55" s="5">
        <f>IF(A55="","",N(INDEX(Projects[Systems Commissioning],54)))</f>
        <v/>
      </c>
      <c r="BS55" s="5">
        <f>IF(A55="","",N(INDEX(Projects[Service Commissioning],54)))</f>
        <v/>
      </c>
      <c r="BT55" s="5">
        <f>IF(A55="","",N(INDEX(Projects[Controls Eng],54)))</f>
        <v/>
      </c>
      <c r="BU55" s="5">
        <f>IF(A55="","",N(INDEX(Projects[Controls Purchase],54)))</f>
        <v/>
      </c>
      <c r="BV55" s="5">
        <f>IF(A55="","",N(INDEX(Projects[Software Eng],54)))</f>
        <v/>
      </c>
      <c r="BW55" s="5">
        <f>IF(A55="","",N(INDEX(Projects[Misc],54)))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  <c r="BZ55" s="5">
        <f>INDEX(Projects[Solution Type],54)&amp;""</f>
        <v/>
      </c>
      <c r="CA55" s="5">
        <f>INDEX(Projects[Client / Region],54)&amp;""</f>
        <v/>
      </c>
      <c r="CB55" s="5">
        <f>INDEX(Projects[Year],54)</f>
        <v/>
      </c>
      <c r="CC55" s="5">
        <f>INDEX(Projects[Won?],54)&amp;""</f>
        <v/>
      </c>
      <c r="CD55" s="5">
        <f>INDEX(Projects[Value (USD M)],54)</f>
        <v/>
      </c>
      <c r="CE55" s="5">
        <f>INDEX(Projects[MH Data Status],54)&amp;""</f>
        <v/>
      </c>
    </row>
    <row r="56" ht="15" customHeight="1" s="74">
      <c r="A56" s="66">
        <f>INDEX(Projects[Project ID *],55)&amp;""</f>
        <v/>
      </c>
      <c r="B56" s="66">
        <f>INDEX(Projects[Project Name *],55)&amp;""</f>
        <v/>
      </c>
      <c r="C56" s="66">
        <f>INDEX(Projects[MS Shuttles],55)</f>
        <v/>
      </c>
      <c r="D56" s="66">
        <f>INDEX(Projects[MS Tote Locations],55)</f>
        <v/>
      </c>
      <c r="E56" s="66">
        <f>INDEX(Projects[AS Robots],55)</f>
        <v/>
      </c>
      <c r="F56" s="66">
        <f>INDEX(Projects[AS Tote Locations],55)</f>
        <v/>
      </c>
      <c r="G56" s="66">
        <f>INDEX(Projects[PS Shuttles],55)</f>
        <v/>
      </c>
      <c r="H56" s="66">
        <f>INDEX(Projects[PS Pallet Locations],55)</f>
        <v/>
      </c>
      <c r="I56" s="66">
        <f>INDEX(Projects[SRM Cranes],55)</f>
        <v/>
      </c>
      <c r="J56" s="66">
        <f>INDEX(Projects[SRM Pallet Locations],55)</f>
        <v/>
      </c>
      <c r="K56" s="66">
        <f>INDEX(Projects[Case Conv (m)],55)</f>
        <v/>
      </c>
      <c r="L56" s="66">
        <f>INDEX(Projects[Pallet Conv (m)],55)</f>
        <v/>
      </c>
      <c r="M56" s="66">
        <f>INDEX(Projects[Mech Eng (wks)],55)</f>
        <v/>
      </c>
      <c r="N56" s="66">
        <f>INDEX(Projects[Controls Eng (wks)],55)</f>
        <v/>
      </c>
      <c r="O56" s="66">
        <f>INDEX(Projects[Systems Eng (wks)],55)</f>
        <v/>
      </c>
      <c r="P56" s="66">
        <f>INDEX(Projects[Software Eng (wks)],55)</f>
        <v/>
      </c>
      <c r="Q56" s="66">
        <f>INDEX(Projects[M&amp;E Installation (wks)],55)</f>
        <v/>
      </c>
      <c r="R56" s="66">
        <f>INDEX(Projects[Commissioning (wks)],55)</f>
        <v/>
      </c>
      <c r="S56" s="66">
        <f>INDEX(Projects[Total Timeline (wks)],55)</f>
        <v/>
      </c>
      <c r="T56" s="66">
        <f>INDEX(Projects[Currency],55)&amp;""</f>
        <v/>
      </c>
      <c r="U56" s="67">
        <f>INDEX(Projects[Value (M)],55)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INDEX(Projects[Automation Equipment],55)&amp;""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IF(AND(A56&lt;&gt;"",OR('Smart Search'!$L$5="",'Smart Search'!$L$5="All",TRIM(BZ56)=TRIM('Smart Search'!$L$5)),OR(TRIM('Smart Search'!$L$6)="",TRIM('Smart Search'!$L$6)="All",ISNUMBER(SEARCH(SUBSTITUTE(SUBSTITUTE(SUBSTITUTE(TRIM('Smart Search'!$L$6),"~","~~"),"*","~*"),"?","~?"),CA56))),OR('Smart Search'!$L$7="",AND(CB56&lt;&gt;0,CB56='Smart Search'!$L$7)),OR('Smart Search'!$L$8="",'Smart Search'!$L$8="All",TRIM(CC56)=TRIM('Smart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IF(A56="","",N(INDEX(Projects[Mech Inst],55)))</f>
        <v/>
      </c>
      <c r="BK56" s="5">
        <f>IF(A56="","",N(INDEX(Projects[Elec Inst],55)))</f>
        <v/>
      </c>
      <c r="BL56" s="5">
        <f>IF(A56="","",N(INDEX(Projects[Project Management],55)))</f>
        <v/>
      </c>
      <c r="BM56" s="5">
        <f>IF(A56="","",N(INDEX(Projects[Systems Eng],55)))</f>
        <v/>
      </c>
      <c r="BN56" s="5">
        <f>IF(A56="","",N(INDEX(Projects[Mechanical Eng],55)))</f>
        <v/>
      </c>
      <c r="BO56" s="5">
        <f>IF(A56="","",N(INDEX(Projects[Structural Engineering],55)))</f>
        <v/>
      </c>
      <c r="BP56" s="5">
        <f>IF(A56="","",N(INDEX(Projects[Site Sup],55)))</f>
        <v/>
      </c>
      <c r="BQ56" s="5">
        <f>IF(A56="","",N(INDEX(Projects[Controls Commissioning],55)))</f>
        <v/>
      </c>
      <c r="BR56" s="5">
        <f>IF(A56="","",N(INDEX(Projects[Systems Commissioning],55)))</f>
        <v/>
      </c>
      <c r="BS56" s="5">
        <f>IF(A56="","",N(INDEX(Projects[Service Commissioning],55)))</f>
        <v/>
      </c>
      <c r="BT56" s="5">
        <f>IF(A56="","",N(INDEX(Projects[Controls Eng],55)))</f>
        <v/>
      </c>
      <c r="BU56" s="5">
        <f>IF(A56="","",N(INDEX(Projects[Controls Purchase],55)))</f>
        <v/>
      </c>
      <c r="BV56" s="5">
        <f>IF(A56="","",N(INDEX(Projects[Software Eng],55)))</f>
        <v/>
      </c>
      <c r="BW56" s="5">
        <f>IF(A56="","",N(INDEX(Projects[Misc],55)))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  <c r="BZ56" s="5">
        <f>INDEX(Projects[Solution Type],55)&amp;""</f>
        <v/>
      </c>
      <c r="CA56" s="5">
        <f>INDEX(Projects[Client / Region],55)&amp;""</f>
        <v/>
      </c>
      <c r="CB56" s="5">
        <f>INDEX(Projects[Year],55)</f>
        <v/>
      </c>
      <c r="CC56" s="5">
        <f>INDEX(Projects[Won?],55)&amp;""</f>
        <v/>
      </c>
      <c r="CD56" s="5">
        <f>INDEX(Projects[Value (USD M)],55)</f>
        <v/>
      </c>
      <c r="CE56" s="5">
        <f>INDEX(Projects[MH Data Status],55)&amp;""</f>
        <v/>
      </c>
    </row>
    <row r="57" ht="15" customHeight="1" s="74">
      <c r="A57" s="66">
        <f>INDEX(Projects[Project ID *],56)&amp;""</f>
        <v/>
      </c>
      <c r="B57" s="66">
        <f>INDEX(Projects[Project Name *],56)&amp;""</f>
        <v/>
      </c>
      <c r="C57" s="66">
        <f>INDEX(Projects[MS Shuttles],56)</f>
        <v/>
      </c>
      <c r="D57" s="66">
        <f>INDEX(Projects[MS Tote Locations],56)</f>
        <v/>
      </c>
      <c r="E57" s="66">
        <f>INDEX(Projects[AS Robots],56)</f>
        <v/>
      </c>
      <c r="F57" s="66">
        <f>INDEX(Projects[AS Tote Locations],56)</f>
        <v/>
      </c>
      <c r="G57" s="66">
        <f>INDEX(Projects[PS Shuttles],56)</f>
        <v/>
      </c>
      <c r="H57" s="66">
        <f>INDEX(Projects[PS Pallet Locations],56)</f>
        <v/>
      </c>
      <c r="I57" s="66">
        <f>INDEX(Projects[SRM Cranes],56)</f>
        <v/>
      </c>
      <c r="J57" s="66">
        <f>INDEX(Projects[SRM Pallet Locations],56)</f>
        <v/>
      </c>
      <c r="K57" s="66">
        <f>INDEX(Projects[Case Conv (m)],56)</f>
        <v/>
      </c>
      <c r="L57" s="66">
        <f>INDEX(Projects[Pallet Conv (m)],56)</f>
        <v/>
      </c>
      <c r="M57" s="66">
        <f>INDEX(Projects[Mech Eng (wks)],56)</f>
        <v/>
      </c>
      <c r="N57" s="66">
        <f>INDEX(Projects[Controls Eng (wks)],56)</f>
        <v/>
      </c>
      <c r="O57" s="66">
        <f>INDEX(Projects[Systems Eng (wks)],56)</f>
        <v/>
      </c>
      <c r="P57" s="66">
        <f>INDEX(Projects[Software Eng (wks)],56)</f>
        <v/>
      </c>
      <c r="Q57" s="66">
        <f>INDEX(Projects[M&amp;E Installation (wks)],56)</f>
        <v/>
      </c>
      <c r="R57" s="66">
        <f>INDEX(Projects[Commissioning (wks)],56)</f>
        <v/>
      </c>
      <c r="S57" s="66">
        <f>INDEX(Projects[Total Timeline (wks)],56)</f>
        <v/>
      </c>
      <c r="T57" s="66">
        <f>INDEX(Projects[Currency],56)&amp;""</f>
        <v/>
      </c>
      <c r="U57" s="67">
        <f>INDEX(Projects[Value (M)],56)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INDEX(Projects[Automation Equipment],56)&amp;""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IF(AND(A57&lt;&gt;"",OR('Smart Search'!$L$5="",'Smart Search'!$L$5="All",TRIM(BZ57)=TRIM('Smart Search'!$L$5)),OR(TRIM('Smart Search'!$L$6)="",TRIM('Smart Search'!$L$6)="All",ISNUMBER(SEARCH(SUBSTITUTE(SUBSTITUTE(SUBSTITUTE(TRIM('Smart Search'!$L$6),"~","~~"),"*","~*"),"?","~?"),CA57))),OR('Smart Search'!$L$7="",AND(CB57&lt;&gt;0,CB57='Smart Search'!$L$7)),OR('Smart Search'!$L$8="",'Smart Search'!$L$8="All",TRIM(CC57)=TRIM('Smart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IF(A57="","",N(INDEX(Projects[Mech Inst],56)))</f>
        <v/>
      </c>
      <c r="BK57" s="5">
        <f>IF(A57="","",N(INDEX(Projects[Elec Inst],56)))</f>
        <v/>
      </c>
      <c r="BL57" s="5">
        <f>IF(A57="","",N(INDEX(Projects[Project Management],56)))</f>
        <v/>
      </c>
      <c r="BM57" s="5">
        <f>IF(A57="","",N(INDEX(Projects[Systems Eng],56)))</f>
        <v/>
      </c>
      <c r="BN57" s="5">
        <f>IF(A57="","",N(INDEX(Projects[Mechanical Eng],56)))</f>
        <v/>
      </c>
      <c r="BO57" s="5">
        <f>IF(A57="","",N(INDEX(Projects[Structural Engineering],56)))</f>
        <v/>
      </c>
      <c r="BP57" s="5">
        <f>IF(A57="","",N(INDEX(Projects[Site Sup],56)))</f>
        <v/>
      </c>
      <c r="BQ57" s="5">
        <f>IF(A57="","",N(INDEX(Projects[Controls Commissioning],56)))</f>
        <v/>
      </c>
      <c r="BR57" s="5">
        <f>IF(A57="","",N(INDEX(Projects[Systems Commissioning],56)))</f>
        <v/>
      </c>
      <c r="BS57" s="5">
        <f>IF(A57="","",N(INDEX(Projects[Service Commissioning],56)))</f>
        <v/>
      </c>
      <c r="BT57" s="5">
        <f>IF(A57="","",N(INDEX(Projects[Controls Eng],56)))</f>
        <v/>
      </c>
      <c r="BU57" s="5">
        <f>IF(A57="","",N(INDEX(Projects[Controls Purchase],56)))</f>
        <v/>
      </c>
      <c r="BV57" s="5">
        <f>IF(A57="","",N(INDEX(Projects[Software Eng],56)))</f>
        <v/>
      </c>
      <c r="BW57" s="5">
        <f>IF(A57="","",N(INDEX(Projects[Misc],56)))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  <c r="BZ57" s="5">
        <f>INDEX(Projects[Solution Type],56)&amp;""</f>
        <v/>
      </c>
      <c r="CA57" s="5">
        <f>INDEX(Projects[Client / Region],56)&amp;""</f>
        <v/>
      </c>
      <c r="CB57" s="5">
        <f>INDEX(Projects[Year],56)</f>
        <v/>
      </c>
      <c r="CC57" s="5">
        <f>INDEX(Projects[Won?],56)&amp;""</f>
        <v/>
      </c>
      <c r="CD57" s="5">
        <f>INDEX(Projects[Value (USD M)],56)</f>
        <v/>
      </c>
      <c r="CE57" s="5">
        <f>INDEX(Projects[MH Data Status],56)&amp;""</f>
        <v/>
      </c>
    </row>
    <row r="58" ht="15" customHeight="1" s="74">
      <c r="A58" s="66">
        <f>INDEX(Projects[Project ID *],57)&amp;""</f>
        <v/>
      </c>
      <c r="B58" s="66">
        <f>INDEX(Projects[Project Name *],57)&amp;""</f>
        <v/>
      </c>
      <c r="C58" s="66">
        <f>INDEX(Projects[MS Shuttles],57)</f>
        <v/>
      </c>
      <c r="D58" s="66">
        <f>INDEX(Projects[MS Tote Locations],57)</f>
        <v/>
      </c>
      <c r="E58" s="66">
        <f>INDEX(Projects[AS Robots],57)</f>
        <v/>
      </c>
      <c r="F58" s="66">
        <f>INDEX(Projects[AS Tote Locations],57)</f>
        <v/>
      </c>
      <c r="G58" s="66">
        <f>INDEX(Projects[PS Shuttles],57)</f>
        <v/>
      </c>
      <c r="H58" s="66">
        <f>INDEX(Projects[PS Pallet Locations],57)</f>
        <v/>
      </c>
      <c r="I58" s="66">
        <f>INDEX(Projects[SRM Cranes],57)</f>
        <v/>
      </c>
      <c r="J58" s="66">
        <f>INDEX(Projects[SRM Pallet Locations],57)</f>
        <v/>
      </c>
      <c r="K58" s="66">
        <f>INDEX(Projects[Case Conv (m)],57)</f>
        <v/>
      </c>
      <c r="L58" s="66">
        <f>INDEX(Projects[Pallet Conv (m)],57)</f>
        <v/>
      </c>
      <c r="M58" s="66">
        <f>INDEX(Projects[Mech Eng (wks)],57)</f>
        <v/>
      </c>
      <c r="N58" s="66">
        <f>INDEX(Projects[Controls Eng (wks)],57)</f>
        <v/>
      </c>
      <c r="O58" s="66">
        <f>INDEX(Projects[Systems Eng (wks)],57)</f>
        <v/>
      </c>
      <c r="P58" s="66">
        <f>INDEX(Projects[Software Eng (wks)],57)</f>
        <v/>
      </c>
      <c r="Q58" s="66">
        <f>INDEX(Projects[M&amp;E Installation (wks)],57)</f>
        <v/>
      </c>
      <c r="R58" s="66">
        <f>INDEX(Projects[Commissioning (wks)],57)</f>
        <v/>
      </c>
      <c r="S58" s="66">
        <f>INDEX(Projects[Total Timeline (wks)],57)</f>
        <v/>
      </c>
      <c r="T58" s="66">
        <f>INDEX(Projects[Currency],57)&amp;""</f>
        <v/>
      </c>
      <c r="U58" s="67">
        <f>INDEX(Projects[Value (M)],57)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INDEX(Projects[Automation Equipment],57)&amp;""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IF(AND(A58&lt;&gt;"",OR('Smart Search'!$L$5="",'Smart Search'!$L$5="All",TRIM(BZ58)=TRIM('Smart Search'!$L$5)),OR(TRIM('Smart Search'!$L$6)="",TRIM('Smart Search'!$L$6)="All",ISNUMBER(SEARCH(SUBSTITUTE(SUBSTITUTE(SUBSTITUTE(TRIM('Smart Search'!$L$6),"~","~~"),"*","~*"),"?","~?"),CA58))),OR('Smart Search'!$L$7="",AND(CB58&lt;&gt;0,CB58='Smart Search'!$L$7)),OR('Smart Search'!$L$8="",'Smart Search'!$L$8="All",TRIM(CC58)=TRIM('Smart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IF(A58="","",N(INDEX(Projects[Mech Inst],57)))</f>
        <v/>
      </c>
      <c r="BK58" s="5">
        <f>IF(A58="","",N(INDEX(Projects[Elec Inst],57)))</f>
        <v/>
      </c>
      <c r="BL58" s="5">
        <f>IF(A58="","",N(INDEX(Projects[Project Management],57)))</f>
        <v/>
      </c>
      <c r="BM58" s="5">
        <f>IF(A58="","",N(INDEX(Projects[Systems Eng],57)))</f>
        <v/>
      </c>
      <c r="BN58" s="5">
        <f>IF(A58="","",N(INDEX(Projects[Mechanical Eng],57)))</f>
        <v/>
      </c>
      <c r="BO58" s="5">
        <f>IF(A58="","",N(INDEX(Projects[Structural Engineering],57)))</f>
        <v/>
      </c>
      <c r="BP58" s="5">
        <f>IF(A58="","",N(INDEX(Projects[Site Sup],57)))</f>
        <v/>
      </c>
      <c r="BQ58" s="5">
        <f>IF(A58="","",N(INDEX(Projects[Controls Commissioning],57)))</f>
        <v/>
      </c>
      <c r="BR58" s="5">
        <f>IF(A58="","",N(INDEX(Projects[Systems Commissioning],57)))</f>
        <v/>
      </c>
      <c r="BS58" s="5">
        <f>IF(A58="","",N(INDEX(Projects[Service Commissioning],57)))</f>
        <v/>
      </c>
      <c r="BT58" s="5">
        <f>IF(A58="","",N(INDEX(Projects[Controls Eng],57)))</f>
        <v/>
      </c>
      <c r="BU58" s="5">
        <f>IF(A58="","",N(INDEX(Projects[Controls Purchase],57)))</f>
        <v/>
      </c>
      <c r="BV58" s="5">
        <f>IF(A58="","",N(INDEX(Projects[Software Eng],57)))</f>
        <v/>
      </c>
      <c r="BW58" s="5">
        <f>IF(A58="","",N(INDEX(Projects[Misc],57)))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  <c r="BZ58" s="5">
        <f>INDEX(Projects[Solution Type],57)&amp;""</f>
        <v/>
      </c>
      <c r="CA58" s="5">
        <f>INDEX(Projects[Client / Region],57)&amp;""</f>
        <v/>
      </c>
      <c r="CB58" s="5">
        <f>INDEX(Projects[Year],57)</f>
        <v/>
      </c>
      <c r="CC58" s="5">
        <f>INDEX(Projects[Won?],57)&amp;""</f>
        <v/>
      </c>
      <c r="CD58" s="5">
        <f>INDEX(Projects[Value (USD M)],57)</f>
        <v/>
      </c>
      <c r="CE58" s="5">
        <f>INDEX(Projects[MH Data Status],57)&amp;""</f>
        <v/>
      </c>
    </row>
    <row r="59" ht="15" customHeight="1" s="74">
      <c r="A59" s="66">
        <f>INDEX(Projects[Project ID *],58)&amp;""</f>
        <v/>
      </c>
      <c r="B59" s="66">
        <f>INDEX(Projects[Project Name *],58)&amp;""</f>
        <v/>
      </c>
      <c r="C59" s="66">
        <f>INDEX(Projects[MS Shuttles],58)</f>
        <v/>
      </c>
      <c r="D59" s="66">
        <f>INDEX(Projects[MS Tote Locations],58)</f>
        <v/>
      </c>
      <c r="E59" s="66">
        <f>INDEX(Projects[AS Robots],58)</f>
        <v/>
      </c>
      <c r="F59" s="66">
        <f>INDEX(Projects[AS Tote Locations],58)</f>
        <v/>
      </c>
      <c r="G59" s="66">
        <f>INDEX(Projects[PS Shuttles],58)</f>
        <v/>
      </c>
      <c r="H59" s="66">
        <f>INDEX(Projects[PS Pallet Locations],58)</f>
        <v/>
      </c>
      <c r="I59" s="66">
        <f>INDEX(Projects[SRM Cranes],58)</f>
        <v/>
      </c>
      <c r="J59" s="66">
        <f>INDEX(Projects[SRM Pallet Locations],58)</f>
        <v/>
      </c>
      <c r="K59" s="66">
        <f>INDEX(Projects[Case Conv (m)],58)</f>
        <v/>
      </c>
      <c r="L59" s="66">
        <f>INDEX(Projects[Pallet Conv (m)],58)</f>
        <v/>
      </c>
      <c r="M59" s="66">
        <f>INDEX(Projects[Mech Eng (wks)],58)</f>
        <v/>
      </c>
      <c r="N59" s="66">
        <f>INDEX(Projects[Controls Eng (wks)],58)</f>
        <v/>
      </c>
      <c r="O59" s="66">
        <f>INDEX(Projects[Systems Eng (wks)],58)</f>
        <v/>
      </c>
      <c r="P59" s="66">
        <f>INDEX(Projects[Software Eng (wks)],58)</f>
        <v/>
      </c>
      <c r="Q59" s="66">
        <f>INDEX(Projects[M&amp;E Installation (wks)],58)</f>
        <v/>
      </c>
      <c r="R59" s="66">
        <f>INDEX(Projects[Commissioning (wks)],58)</f>
        <v/>
      </c>
      <c r="S59" s="66">
        <f>INDEX(Projects[Total Timeline (wks)],58)</f>
        <v/>
      </c>
      <c r="T59" s="66">
        <f>INDEX(Projects[Currency],58)&amp;""</f>
        <v/>
      </c>
      <c r="U59" s="67">
        <f>INDEX(Projects[Value (M)],58)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INDEX(Projects[Automation Equipment],58)&amp;""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IF(AND(A59&lt;&gt;"",OR('Smart Search'!$L$5="",'Smart Search'!$L$5="All",TRIM(BZ59)=TRIM('Smart Search'!$L$5)),OR(TRIM('Smart Search'!$L$6)="",TRIM('Smart Search'!$L$6)="All",ISNUMBER(SEARCH(SUBSTITUTE(SUBSTITUTE(SUBSTITUTE(TRIM('Smart Search'!$L$6),"~","~~"),"*","~*"),"?","~?"),CA59))),OR('Smart Search'!$L$7="",AND(CB59&lt;&gt;0,CB59='Smart Search'!$L$7)),OR('Smart Search'!$L$8="",'Smart Search'!$L$8="All",TRIM(CC59)=TRIM('Smart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IF(A59="","",N(INDEX(Projects[Mech Inst],58)))</f>
        <v/>
      </c>
      <c r="BK59" s="5">
        <f>IF(A59="","",N(INDEX(Projects[Elec Inst],58)))</f>
        <v/>
      </c>
      <c r="BL59" s="5">
        <f>IF(A59="","",N(INDEX(Projects[Project Management],58)))</f>
        <v/>
      </c>
      <c r="BM59" s="5">
        <f>IF(A59="","",N(INDEX(Projects[Systems Eng],58)))</f>
        <v/>
      </c>
      <c r="BN59" s="5">
        <f>IF(A59="","",N(INDEX(Projects[Mechanical Eng],58)))</f>
        <v/>
      </c>
      <c r="BO59" s="5">
        <f>IF(A59="","",N(INDEX(Projects[Structural Engineering],58)))</f>
        <v/>
      </c>
      <c r="BP59" s="5">
        <f>IF(A59="","",N(INDEX(Projects[Site Sup],58)))</f>
        <v/>
      </c>
      <c r="BQ59" s="5">
        <f>IF(A59="","",N(INDEX(Projects[Controls Commissioning],58)))</f>
        <v/>
      </c>
      <c r="BR59" s="5">
        <f>IF(A59="","",N(INDEX(Projects[Systems Commissioning],58)))</f>
        <v/>
      </c>
      <c r="BS59" s="5">
        <f>IF(A59="","",N(INDEX(Projects[Service Commissioning],58)))</f>
        <v/>
      </c>
      <c r="BT59" s="5">
        <f>IF(A59="","",N(INDEX(Projects[Controls Eng],58)))</f>
        <v/>
      </c>
      <c r="BU59" s="5">
        <f>IF(A59="","",N(INDEX(Projects[Controls Purchase],58)))</f>
        <v/>
      </c>
      <c r="BV59" s="5">
        <f>IF(A59="","",N(INDEX(Projects[Software Eng],58)))</f>
        <v/>
      </c>
      <c r="BW59" s="5">
        <f>IF(A59="","",N(INDEX(Projects[Misc],58)))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  <c r="BZ59" s="5">
        <f>INDEX(Projects[Solution Type],58)&amp;""</f>
        <v/>
      </c>
      <c r="CA59" s="5">
        <f>INDEX(Projects[Client / Region],58)&amp;""</f>
        <v/>
      </c>
      <c r="CB59" s="5">
        <f>INDEX(Projects[Year],58)</f>
        <v/>
      </c>
      <c r="CC59" s="5">
        <f>INDEX(Projects[Won?],58)&amp;""</f>
        <v/>
      </c>
      <c r="CD59" s="5">
        <f>INDEX(Projects[Value (USD M)],58)</f>
        <v/>
      </c>
      <c r="CE59" s="5">
        <f>INDEX(Projects[MH Data Status],58)&amp;""</f>
        <v/>
      </c>
    </row>
    <row r="60" ht="15" customHeight="1" s="74">
      <c r="A60" s="66">
        <f>INDEX(Projects[Project ID *],59)&amp;""</f>
        <v/>
      </c>
      <c r="B60" s="66">
        <f>INDEX(Projects[Project Name *],59)&amp;""</f>
        <v/>
      </c>
      <c r="C60" s="66">
        <f>INDEX(Projects[MS Shuttles],59)</f>
        <v/>
      </c>
      <c r="D60" s="66">
        <f>INDEX(Projects[MS Tote Locations],59)</f>
        <v/>
      </c>
      <c r="E60" s="66">
        <f>INDEX(Projects[AS Robots],59)</f>
        <v/>
      </c>
      <c r="F60" s="66">
        <f>INDEX(Projects[AS Tote Locations],59)</f>
        <v/>
      </c>
      <c r="G60" s="66">
        <f>INDEX(Projects[PS Shuttles],59)</f>
        <v/>
      </c>
      <c r="H60" s="66">
        <f>INDEX(Projects[PS Pallet Locations],59)</f>
        <v/>
      </c>
      <c r="I60" s="66">
        <f>INDEX(Projects[SRM Cranes],59)</f>
        <v/>
      </c>
      <c r="J60" s="66">
        <f>INDEX(Projects[SRM Pallet Locations],59)</f>
        <v/>
      </c>
      <c r="K60" s="66">
        <f>INDEX(Projects[Case Conv (m)],59)</f>
        <v/>
      </c>
      <c r="L60" s="66">
        <f>INDEX(Projects[Pallet Conv (m)],59)</f>
        <v/>
      </c>
      <c r="M60" s="66">
        <f>INDEX(Projects[Mech Eng (wks)],59)</f>
        <v/>
      </c>
      <c r="N60" s="66">
        <f>INDEX(Projects[Controls Eng (wks)],59)</f>
        <v/>
      </c>
      <c r="O60" s="66">
        <f>INDEX(Projects[Systems Eng (wks)],59)</f>
        <v/>
      </c>
      <c r="P60" s="66">
        <f>INDEX(Projects[Software Eng (wks)],59)</f>
        <v/>
      </c>
      <c r="Q60" s="66">
        <f>INDEX(Projects[M&amp;E Installation (wks)],59)</f>
        <v/>
      </c>
      <c r="R60" s="66">
        <f>INDEX(Projects[Commissioning (wks)],59)</f>
        <v/>
      </c>
      <c r="S60" s="66">
        <f>INDEX(Projects[Total Timeline (wks)],59)</f>
        <v/>
      </c>
      <c r="T60" s="66">
        <f>INDEX(Projects[Currency],59)&amp;""</f>
        <v/>
      </c>
      <c r="U60" s="67">
        <f>INDEX(Projects[Value (M)],59)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INDEX(Projects[Automation Equipment],59)&amp;""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IF(AND(A60&lt;&gt;"",OR('Smart Search'!$L$5="",'Smart Search'!$L$5="All",TRIM(BZ60)=TRIM('Smart Search'!$L$5)),OR(TRIM('Smart Search'!$L$6)="",TRIM('Smart Search'!$L$6)="All",ISNUMBER(SEARCH(SUBSTITUTE(SUBSTITUTE(SUBSTITUTE(TRIM('Smart Search'!$L$6),"~","~~"),"*","~*"),"?","~?"),CA60))),OR('Smart Search'!$L$7="",AND(CB60&lt;&gt;0,CB60='Smart Search'!$L$7)),OR('Smart Search'!$L$8="",'Smart Search'!$L$8="All",TRIM(CC60)=TRIM('Smart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IF(A60="","",N(INDEX(Projects[Mech Inst],59)))</f>
        <v/>
      </c>
      <c r="BK60" s="5">
        <f>IF(A60="","",N(INDEX(Projects[Elec Inst],59)))</f>
        <v/>
      </c>
      <c r="BL60" s="5">
        <f>IF(A60="","",N(INDEX(Projects[Project Management],59)))</f>
        <v/>
      </c>
      <c r="BM60" s="5">
        <f>IF(A60="","",N(INDEX(Projects[Systems Eng],59)))</f>
        <v/>
      </c>
      <c r="BN60" s="5">
        <f>IF(A60="","",N(INDEX(Projects[Mechanical Eng],59)))</f>
        <v/>
      </c>
      <c r="BO60" s="5">
        <f>IF(A60="","",N(INDEX(Projects[Structural Engineering],59)))</f>
        <v/>
      </c>
      <c r="BP60" s="5">
        <f>IF(A60="","",N(INDEX(Projects[Site Sup],59)))</f>
        <v/>
      </c>
      <c r="BQ60" s="5">
        <f>IF(A60="","",N(INDEX(Projects[Controls Commissioning],59)))</f>
        <v/>
      </c>
      <c r="BR60" s="5">
        <f>IF(A60="","",N(INDEX(Projects[Systems Commissioning],59)))</f>
        <v/>
      </c>
      <c r="BS60" s="5">
        <f>IF(A60="","",N(INDEX(Projects[Service Commissioning],59)))</f>
        <v/>
      </c>
      <c r="BT60" s="5">
        <f>IF(A60="","",N(INDEX(Projects[Controls Eng],59)))</f>
        <v/>
      </c>
      <c r="BU60" s="5">
        <f>IF(A60="","",N(INDEX(Projects[Controls Purchase],59)))</f>
        <v/>
      </c>
      <c r="BV60" s="5">
        <f>IF(A60="","",N(INDEX(Projects[Software Eng],59)))</f>
        <v/>
      </c>
      <c r="BW60" s="5">
        <f>IF(A60="","",N(INDEX(Projects[Misc],59)))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  <c r="BZ60" s="5">
        <f>INDEX(Projects[Solution Type],59)&amp;""</f>
        <v/>
      </c>
      <c r="CA60" s="5">
        <f>INDEX(Projects[Client / Region],59)&amp;""</f>
        <v/>
      </c>
      <c r="CB60" s="5">
        <f>INDEX(Projects[Year],59)</f>
        <v/>
      </c>
      <c r="CC60" s="5">
        <f>INDEX(Projects[Won?],59)&amp;""</f>
        <v/>
      </c>
      <c r="CD60" s="5">
        <f>INDEX(Projects[Value (USD M)],59)</f>
        <v/>
      </c>
      <c r="CE60" s="5">
        <f>INDEX(Projects[MH Data Status],59)&amp;""</f>
        <v/>
      </c>
    </row>
    <row r="61" ht="15" customHeight="1" s="74">
      <c r="A61" s="66">
        <f>INDEX(Projects[Project ID *],60)&amp;""</f>
        <v/>
      </c>
      <c r="B61" s="66">
        <f>INDEX(Projects[Project Name *],60)&amp;""</f>
        <v/>
      </c>
      <c r="C61" s="66">
        <f>INDEX(Projects[MS Shuttles],60)</f>
        <v/>
      </c>
      <c r="D61" s="66">
        <f>INDEX(Projects[MS Tote Locations],60)</f>
        <v/>
      </c>
      <c r="E61" s="66">
        <f>INDEX(Projects[AS Robots],60)</f>
        <v/>
      </c>
      <c r="F61" s="66">
        <f>INDEX(Projects[AS Tote Locations],60)</f>
        <v/>
      </c>
      <c r="G61" s="66">
        <f>INDEX(Projects[PS Shuttles],60)</f>
        <v/>
      </c>
      <c r="H61" s="66">
        <f>INDEX(Projects[PS Pallet Locations],60)</f>
        <v/>
      </c>
      <c r="I61" s="66">
        <f>INDEX(Projects[SRM Cranes],60)</f>
        <v/>
      </c>
      <c r="J61" s="66">
        <f>INDEX(Projects[SRM Pallet Locations],60)</f>
        <v/>
      </c>
      <c r="K61" s="66">
        <f>INDEX(Projects[Case Conv (m)],60)</f>
        <v/>
      </c>
      <c r="L61" s="66">
        <f>INDEX(Projects[Pallet Conv (m)],60)</f>
        <v/>
      </c>
      <c r="M61" s="66">
        <f>INDEX(Projects[Mech Eng (wks)],60)</f>
        <v/>
      </c>
      <c r="N61" s="66">
        <f>INDEX(Projects[Controls Eng (wks)],60)</f>
        <v/>
      </c>
      <c r="O61" s="66">
        <f>INDEX(Projects[Systems Eng (wks)],60)</f>
        <v/>
      </c>
      <c r="P61" s="66">
        <f>INDEX(Projects[Software Eng (wks)],60)</f>
        <v/>
      </c>
      <c r="Q61" s="66">
        <f>INDEX(Projects[M&amp;E Installation (wks)],60)</f>
        <v/>
      </c>
      <c r="R61" s="66">
        <f>INDEX(Projects[Commissioning (wks)],60)</f>
        <v/>
      </c>
      <c r="S61" s="66">
        <f>INDEX(Projects[Total Timeline (wks)],60)</f>
        <v/>
      </c>
      <c r="T61" s="66">
        <f>INDEX(Projects[Currency],60)&amp;""</f>
        <v/>
      </c>
      <c r="U61" s="67">
        <f>INDEX(Projects[Value (M)],60)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INDEX(Projects[Automation Equipment],60)&amp;""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IF(AND(A61&lt;&gt;"",OR('Smart Search'!$L$5="",'Smart Search'!$L$5="All",TRIM(BZ61)=TRIM('Smart Search'!$L$5)),OR(TRIM('Smart Search'!$L$6)="",TRIM('Smart Search'!$L$6)="All",ISNUMBER(SEARCH(SUBSTITUTE(SUBSTITUTE(SUBSTITUTE(TRIM('Smart Search'!$L$6),"~","~~"),"*","~*"),"?","~?"),CA61))),OR('Smart Search'!$L$7="",AND(CB61&lt;&gt;0,CB61='Smart Search'!$L$7)),OR('Smart Search'!$L$8="",'Smart Search'!$L$8="All",TRIM(CC61)=TRIM('Smart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IF(A61="","",N(INDEX(Projects[Mech Inst],60)))</f>
        <v/>
      </c>
      <c r="BK61" s="5">
        <f>IF(A61="","",N(INDEX(Projects[Elec Inst],60)))</f>
        <v/>
      </c>
      <c r="BL61" s="5">
        <f>IF(A61="","",N(INDEX(Projects[Project Management],60)))</f>
        <v/>
      </c>
      <c r="BM61" s="5">
        <f>IF(A61="","",N(INDEX(Projects[Systems Eng],60)))</f>
        <v/>
      </c>
      <c r="BN61" s="5">
        <f>IF(A61="","",N(INDEX(Projects[Mechanical Eng],60)))</f>
        <v/>
      </c>
      <c r="BO61" s="5">
        <f>IF(A61="","",N(INDEX(Projects[Structural Engineering],60)))</f>
        <v/>
      </c>
      <c r="BP61" s="5">
        <f>IF(A61="","",N(INDEX(Projects[Site Sup],60)))</f>
        <v/>
      </c>
      <c r="BQ61" s="5">
        <f>IF(A61="","",N(INDEX(Projects[Controls Commissioning],60)))</f>
        <v/>
      </c>
      <c r="BR61" s="5">
        <f>IF(A61="","",N(INDEX(Projects[Systems Commissioning],60)))</f>
        <v/>
      </c>
      <c r="BS61" s="5">
        <f>IF(A61="","",N(INDEX(Projects[Service Commissioning],60)))</f>
        <v/>
      </c>
      <c r="BT61" s="5">
        <f>IF(A61="","",N(INDEX(Projects[Controls Eng],60)))</f>
        <v/>
      </c>
      <c r="BU61" s="5">
        <f>IF(A61="","",N(INDEX(Projects[Controls Purchase],60)))</f>
        <v/>
      </c>
      <c r="BV61" s="5">
        <f>IF(A61="","",N(INDEX(Projects[Software Eng],60)))</f>
        <v/>
      </c>
      <c r="BW61" s="5">
        <f>IF(A61="","",N(INDEX(Projects[Misc],60)))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  <c r="BZ61" s="5">
        <f>INDEX(Projects[Solution Type],60)&amp;""</f>
        <v/>
      </c>
      <c r="CA61" s="5">
        <f>INDEX(Projects[Client / Region],60)&amp;""</f>
        <v/>
      </c>
      <c r="CB61" s="5">
        <f>INDEX(Projects[Year],60)</f>
        <v/>
      </c>
      <c r="CC61" s="5">
        <f>INDEX(Projects[Won?],60)&amp;""</f>
        <v/>
      </c>
      <c r="CD61" s="5">
        <f>INDEX(Projects[Value (USD M)],60)</f>
        <v/>
      </c>
      <c r="CE61" s="5">
        <f>INDEX(Projects[MH Data Status],60)&amp;""</f>
        <v/>
      </c>
    </row>
    <row r="62" ht="15" customHeight="1" s="74">
      <c r="A62" s="66">
        <f>INDEX(Projects[Project ID *],61)&amp;""</f>
        <v/>
      </c>
      <c r="B62" s="66">
        <f>INDEX(Projects[Project Name *],61)&amp;""</f>
        <v/>
      </c>
      <c r="C62" s="66">
        <f>INDEX(Projects[MS Shuttles],61)</f>
        <v/>
      </c>
      <c r="D62" s="66">
        <f>INDEX(Projects[MS Tote Locations],61)</f>
        <v/>
      </c>
      <c r="E62" s="66">
        <f>INDEX(Projects[AS Robots],61)</f>
        <v/>
      </c>
      <c r="F62" s="66">
        <f>INDEX(Projects[AS Tote Locations],61)</f>
        <v/>
      </c>
      <c r="G62" s="66">
        <f>INDEX(Projects[PS Shuttles],61)</f>
        <v/>
      </c>
      <c r="H62" s="66">
        <f>INDEX(Projects[PS Pallet Locations],61)</f>
        <v/>
      </c>
      <c r="I62" s="66">
        <f>INDEX(Projects[SRM Cranes],61)</f>
        <v/>
      </c>
      <c r="J62" s="66">
        <f>INDEX(Projects[SRM Pallet Locations],61)</f>
        <v/>
      </c>
      <c r="K62" s="66">
        <f>INDEX(Projects[Case Conv (m)],61)</f>
        <v/>
      </c>
      <c r="L62" s="66">
        <f>INDEX(Projects[Pallet Conv (m)],61)</f>
        <v/>
      </c>
      <c r="M62" s="66">
        <f>INDEX(Projects[Mech Eng (wks)],61)</f>
        <v/>
      </c>
      <c r="N62" s="66">
        <f>INDEX(Projects[Controls Eng (wks)],61)</f>
        <v/>
      </c>
      <c r="O62" s="66">
        <f>INDEX(Projects[Systems Eng (wks)],61)</f>
        <v/>
      </c>
      <c r="P62" s="66">
        <f>INDEX(Projects[Software Eng (wks)],61)</f>
        <v/>
      </c>
      <c r="Q62" s="66">
        <f>INDEX(Projects[M&amp;E Installation (wks)],61)</f>
        <v/>
      </c>
      <c r="R62" s="66">
        <f>INDEX(Projects[Commissioning (wks)],61)</f>
        <v/>
      </c>
      <c r="S62" s="66">
        <f>INDEX(Projects[Total Timeline (wks)],61)</f>
        <v/>
      </c>
      <c r="T62" s="66">
        <f>INDEX(Projects[Currency],61)&amp;""</f>
        <v/>
      </c>
      <c r="U62" s="67">
        <f>INDEX(Projects[Value (M)],61)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INDEX(Projects[Automation Equipment],61)&amp;""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IF(AND(A62&lt;&gt;"",OR('Smart Search'!$L$5="",'Smart Search'!$L$5="All",TRIM(BZ62)=TRIM('Smart Search'!$L$5)),OR(TRIM('Smart Search'!$L$6)="",TRIM('Smart Search'!$L$6)="All",ISNUMBER(SEARCH(SUBSTITUTE(SUBSTITUTE(SUBSTITUTE(TRIM('Smart Search'!$L$6),"~","~~"),"*","~*"),"?","~?"),CA62))),OR('Smart Search'!$L$7="",AND(CB62&lt;&gt;0,CB62='Smart Search'!$L$7)),OR('Smart Search'!$L$8="",'Smart Search'!$L$8="All",TRIM(CC62)=TRIM('Smart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IF(A62="","",N(INDEX(Projects[Mech Inst],61)))</f>
        <v/>
      </c>
      <c r="BK62" s="5">
        <f>IF(A62="","",N(INDEX(Projects[Elec Inst],61)))</f>
        <v/>
      </c>
      <c r="BL62" s="5">
        <f>IF(A62="","",N(INDEX(Projects[Project Management],61)))</f>
        <v/>
      </c>
      <c r="BM62" s="5">
        <f>IF(A62="","",N(INDEX(Projects[Systems Eng],61)))</f>
        <v/>
      </c>
      <c r="BN62" s="5">
        <f>IF(A62="","",N(INDEX(Projects[Mechanical Eng],61)))</f>
        <v/>
      </c>
      <c r="BO62" s="5">
        <f>IF(A62="","",N(INDEX(Projects[Structural Engineering],61)))</f>
        <v/>
      </c>
      <c r="BP62" s="5">
        <f>IF(A62="","",N(INDEX(Projects[Site Sup],61)))</f>
        <v/>
      </c>
      <c r="BQ62" s="5">
        <f>IF(A62="","",N(INDEX(Projects[Controls Commissioning],61)))</f>
        <v/>
      </c>
      <c r="BR62" s="5">
        <f>IF(A62="","",N(INDEX(Projects[Systems Commissioning],61)))</f>
        <v/>
      </c>
      <c r="BS62" s="5">
        <f>IF(A62="","",N(INDEX(Projects[Service Commissioning],61)))</f>
        <v/>
      </c>
      <c r="BT62" s="5">
        <f>IF(A62="","",N(INDEX(Projects[Controls Eng],61)))</f>
        <v/>
      </c>
      <c r="BU62" s="5">
        <f>IF(A62="","",N(INDEX(Projects[Controls Purchase],61)))</f>
        <v/>
      </c>
      <c r="BV62" s="5">
        <f>IF(A62="","",N(INDEX(Projects[Software Eng],61)))</f>
        <v/>
      </c>
      <c r="BW62" s="5">
        <f>IF(A62="","",N(INDEX(Projects[Misc],61)))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  <c r="BZ62" s="5">
        <f>INDEX(Projects[Solution Type],61)&amp;""</f>
        <v/>
      </c>
      <c r="CA62" s="5">
        <f>INDEX(Projects[Client / Region],61)&amp;""</f>
        <v/>
      </c>
      <c r="CB62" s="5">
        <f>INDEX(Projects[Year],61)</f>
        <v/>
      </c>
      <c r="CC62" s="5">
        <f>INDEX(Projects[Won?],61)&amp;""</f>
        <v/>
      </c>
      <c r="CD62" s="5">
        <f>INDEX(Projects[Value (USD M)],61)</f>
        <v/>
      </c>
      <c r="CE62" s="5">
        <f>INDEX(Projects[MH Data Status],61)&amp;""</f>
        <v/>
      </c>
    </row>
    <row r="63" ht="15" customHeight="1" s="74">
      <c r="A63" s="66">
        <f>INDEX(Projects[Project ID *],62)&amp;""</f>
        <v/>
      </c>
      <c r="B63" s="66">
        <f>INDEX(Projects[Project Name *],62)&amp;""</f>
        <v/>
      </c>
      <c r="C63" s="66">
        <f>INDEX(Projects[MS Shuttles],62)</f>
        <v/>
      </c>
      <c r="D63" s="66">
        <f>INDEX(Projects[MS Tote Locations],62)</f>
        <v/>
      </c>
      <c r="E63" s="66">
        <f>INDEX(Projects[AS Robots],62)</f>
        <v/>
      </c>
      <c r="F63" s="66">
        <f>INDEX(Projects[AS Tote Locations],62)</f>
        <v/>
      </c>
      <c r="G63" s="66">
        <f>INDEX(Projects[PS Shuttles],62)</f>
        <v/>
      </c>
      <c r="H63" s="66">
        <f>INDEX(Projects[PS Pallet Locations],62)</f>
        <v/>
      </c>
      <c r="I63" s="66">
        <f>INDEX(Projects[SRM Cranes],62)</f>
        <v/>
      </c>
      <c r="J63" s="66">
        <f>INDEX(Projects[SRM Pallet Locations],62)</f>
        <v/>
      </c>
      <c r="K63" s="66">
        <f>INDEX(Projects[Case Conv (m)],62)</f>
        <v/>
      </c>
      <c r="L63" s="66">
        <f>INDEX(Projects[Pallet Conv (m)],62)</f>
        <v/>
      </c>
      <c r="M63" s="66">
        <f>INDEX(Projects[Mech Eng (wks)],62)</f>
        <v/>
      </c>
      <c r="N63" s="66">
        <f>INDEX(Projects[Controls Eng (wks)],62)</f>
        <v/>
      </c>
      <c r="O63" s="66">
        <f>INDEX(Projects[Systems Eng (wks)],62)</f>
        <v/>
      </c>
      <c r="P63" s="66">
        <f>INDEX(Projects[Software Eng (wks)],62)</f>
        <v/>
      </c>
      <c r="Q63" s="66">
        <f>INDEX(Projects[M&amp;E Installation (wks)],62)</f>
        <v/>
      </c>
      <c r="R63" s="66">
        <f>INDEX(Projects[Commissioning (wks)],62)</f>
        <v/>
      </c>
      <c r="S63" s="66">
        <f>INDEX(Projects[Total Timeline (wks)],62)</f>
        <v/>
      </c>
      <c r="T63" s="66">
        <f>INDEX(Projects[Currency],62)&amp;""</f>
        <v/>
      </c>
      <c r="U63" s="67">
        <f>INDEX(Projects[Value (M)],62)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INDEX(Projects[Automation Equipment],62)&amp;""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IF(AND(A63&lt;&gt;"",OR('Smart Search'!$L$5="",'Smart Search'!$L$5="All",TRIM(BZ63)=TRIM('Smart Search'!$L$5)),OR(TRIM('Smart Search'!$L$6)="",TRIM('Smart Search'!$L$6)="All",ISNUMBER(SEARCH(SUBSTITUTE(SUBSTITUTE(SUBSTITUTE(TRIM('Smart Search'!$L$6),"~","~~"),"*","~*"),"?","~?"),CA63))),OR('Smart Search'!$L$7="",AND(CB63&lt;&gt;0,CB63='Smart Search'!$L$7)),OR('Smart Search'!$L$8="",'Smart Search'!$L$8="All",TRIM(CC63)=TRIM('Smart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IF(A63="","",N(INDEX(Projects[Mech Inst],62)))</f>
        <v/>
      </c>
      <c r="BK63" s="5">
        <f>IF(A63="","",N(INDEX(Projects[Elec Inst],62)))</f>
        <v/>
      </c>
      <c r="BL63" s="5">
        <f>IF(A63="","",N(INDEX(Projects[Project Management],62)))</f>
        <v/>
      </c>
      <c r="BM63" s="5">
        <f>IF(A63="","",N(INDEX(Projects[Systems Eng],62)))</f>
        <v/>
      </c>
      <c r="BN63" s="5">
        <f>IF(A63="","",N(INDEX(Projects[Mechanical Eng],62)))</f>
        <v/>
      </c>
      <c r="BO63" s="5">
        <f>IF(A63="","",N(INDEX(Projects[Structural Engineering],62)))</f>
        <v/>
      </c>
      <c r="BP63" s="5">
        <f>IF(A63="","",N(INDEX(Projects[Site Sup],62)))</f>
        <v/>
      </c>
      <c r="BQ63" s="5">
        <f>IF(A63="","",N(INDEX(Projects[Controls Commissioning],62)))</f>
        <v/>
      </c>
      <c r="BR63" s="5">
        <f>IF(A63="","",N(INDEX(Projects[Systems Commissioning],62)))</f>
        <v/>
      </c>
      <c r="BS63" s="5">
        <f>IF(A63="","",N(INDEX(Projects[Service Commissioning],62)))</f>
        <v/>
      </c>
      <c r="BT63" s="5">
        <f>IF(A63="","",N(INDEX(Projects[Controls Eng],62)))</f>
        <v/>
      </c>
      <c r="BU63" s="5">
        <f>IF(A63="","",N(INDEX(Projects[Controls Purchase],62)))</f>
        <v/>
      </c>
      <c r="BV63" s="5">
        <f>IF(A63="","",N(INDEX(Projects[Software Eng],62)))</f>
        <v/>
      </c>
      <c r="BW63" s="5">
        <f>IF(A63="","",N(INDEX(Projects[Misc],62)))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  <c r="BZ63" s="5">
        <f>INDEX(Projects[Solution Type],62)&amp;""</f>
        <v/>
      </c>
      <c r="CA63" s="5">
        <f>INDEX(Projects[Client / Region],62)&amp;""</f>
        <v/>
      </c>
      <c r="CB63" s="5">
        <f>INDEX(Projects[Year],62)</f>
        <v/>
      </c>
      <c r="CC63" s="5">
        <f>INDEX(Projects[Won?],62)&amp;""</f>
        <v/>
      </c>
      <c r="CD63" s="5">
        <f>INDEX(Projects[Value (USD M)],62)</f>
        <v/>
      </c>
      <c r="CE63" s="5">
        <f>INDEX(Projects[MH Data Status],62)&amp;""</f>
        <v/>
      </c>
    </row>
    <row r="64" ht="15" customHeight="1" s="74">
      <c r="A64" s="66">
        <f>INDEX(Projects[Project ID *],63)&amp;""</f>
        <v/>
      </c>
      <c r="B64" s="66">
        <f>INDEX(Projects[Project Name *],63)&amp;""</f>
        <v/>
      </c>
      <c r="C64" s="66">
        <f>INDEX(Projects[MS Shuttles],63)</f>
        <v/>
      </c>
      <c r="D64" s="66">
        <f>INDEX(Projects[MS Tote Locations],63)</f>
        <v/>
      </c>
      <c r="E64" s="66">
        <f>INDEX(Projects[AS Robots],63)</f>
        <v/>
      </c>
      <c r="F64" s="66">
        <f>INDEX(Projects[AS Tote Locations],63)</f>
        <v/>
      </c>
      <c r="G64" s="66">
        <f>INDEX(Projects[PS Shuttles],63)</f>
        <v/>
      </c>
      <c r="H64" s="66">
        <f>INDEX(Projects[PS Pallet Locations],63)</f>
        <v/>
      </c>
      <c r="I64" s="66">
        <f>INDEX(Projects[SRM Cranes],63)</f>
        <v/>
      </c>
      <c r="J64" s="66">
        <f>INDEX(Projects[SRM Pallet Locations],63)</f>
        <v/>
      </c>
      <c r="K64" s="66">
        <f>INDEX(Projects[Case Conv (m)],63)</f>
        <v/>
      </c>
      <c r="L64" s="66">
        <f>INDEX(Projects[Pallet Conv (m)],63)</f>
        <v/>
      </c>
      <c r="M64" s="66">
        <f>INDEX(Projects[Mech Eng (wks)],63)</f>
        <v/>
      </c>
      <c r="N64" s="66">
        <f>INDEX(Projects[Controls Eng (wks)],63)</f>
        <v/>
      </c>
      <c r="O64" s="66">
        <f>INDEX(Projects[Systems Eng (wks)],63)</f>
        <v/>
      </c>
      <c r="P64" s="66">
        <f>INDEX(Projects[Software Eng (wks)],63)</f>
        <v/>
      </c>
      <c r="Q64" s="66">
        <f>INDEX(Projects[M&amp;E Installation (wks)],63)</f>
        <v/>
      </c>
      <c r="R64" s="66">
        <f>INDEX(Projects[Commissioning (wks)],63)</f>
        <v/>
      </c>
      <c r="S64" s="66">
        <f>INDEX(Projects[Total Timeline (wks)],63)</f>
        <v/>
      </c>
      <c r="T64" s="66">
        <f>INDEX(Projects[Currency],63)&amp;""</f>
        <v/>
      </c>
      <c r="U64" s="67">
        <f>INDEX(Projects[Value (M)],63)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INDEX(Projects[Automation Equipment],63)&amp;""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IF(AND(A64&lt;&gt;"",OR('Smart Search'!$L$5="",'Smart Search'!$L$5="All",TRIM(BZ64)=TRIM('Smart Search'!$L$5)),OR(TRIM('Smart Search'!$L$6)="",TRIM('Smart Search'!$L$6)="All",ISNUMBER(SEARCH(SUBSTITUTE(SUBSTITUTE(SUBSTITUTE(TRIM('Smart Search'!$L$6),"~","~~"),"*","~*"),"?","~?"),CA64))),OR('Smart Search'!$L$7="",AND(CB64&lt;&gt;0,CB64='Smart Search'!$L$7)),OR('Smart Search'!$L$8="",'Smart Search'!$L$8="All",TRIM(CC64)=TRIM('Smart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IF(A64="","",N(INDEX(Projects[Mech Inst],63)))</f>
        <v/>
      </c>
      <c r="BK64" s="5">
        <f>IF(A64="","",N(INDEX(Projects[Elec Inst],63)))</f>
        <v/>
      </c>
      <c r="BL64" s="5">
        <f>IF(A64="","",N(INDEX(Projects[Project Management],63)))</f>
        <v/>
      </c>
      <c r="BM64" s="5">
        <f>IF(A64="","",N(INDEX(Projects[Systems Eng],63)))</f>
        <v/>
      </c>
      <c r="BN64" s="5">
        <f>IF(A64="","",N(INDEX(Projects[Mechanical Eng],63)))</f>
        <v/>
      </c>
      <c r="BO64" s="5">
        <f>IF(A64="","",N(INDEX(Projects[Structural Engineering],63)))</f>
        <v/>
      </c>
      <c r="BP64" s="5">
        <f>IF(A64="","",N(INDEX(Projects[Site Sup],63)))</f>
        <v/>
      </c>
      <c r="BQ64" s="5">
        <f>IF(A64="","",N(INDEX(Projects[Controls Commissioning],63)))</f>
        <v/>
      </c>
      <c r="BR64" s="5">
        <f>IF(A64="","",N(INDEX(Projects[Systems Commissioning],63)))</f>
        <v/>
      </c>
      <c r="BS64" s="5">
        <f>IF(A64="","",N(INDEX(Projects[Service Commissioning],63)))</f>
        <v/>
      </c>
      <c r="BT64" s="5">
        <f>IF(A64="","",N(INDEX(Projects[Controls Eng],63)))</f>
        <v/>
      </c>
      <c r="BU64" s="5">
        <f>IF(A64="","",N(INDEX(Projects[Controls Purchase],63)))</f>
        <v/>
      </c>
      <c r="BV64" s="5">
        <f>IF(A64="","",N(INDEX(Projects[Software Eng],63)))</f>
        <v/>
      </c>
      <c r="BW64" s="5">
        <f>IF(A64="","",N(INDEX(Projects[Misc],63)))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  <c r="BZ64" s="5">
        <f>INDEX(Projects[Solution Type],63)&amp;""</f>
        <v/>
      </c>
      <c r="CA64" s="5">
        <f>INDEX(Projects[Client / Region],63)&amp;""</f>
        <v/>
      </c>
      <c r="CB64" s="5">
        <f>INDEX(Projects[Year],63)</f>
        <v/>
      </c>
      <c r="CC64" s="5">
        <f>INDEX(Projects[Won?],63)&amp;""</f>
        <v/>
      </c>
      <c r="CD64" s="5">
        <f>INDEX(Projects[Value (USD M)],63)</f>
        <v/>
      </c>
      <c r="CE64" s="5">
        <f>INDEX(Projects[MH Data Status],63)&amp;""</f>
        <v/>
      </c>
    </row>
    <row r="65" ht="15" customHeight="1" s="74">
      <c r="A65" s="66">
        <f>INDEX(Projects[Project ID *],64)&amp;""</f>
        <v/>
      </c>
      <c r="B65" s="66">
        <f>INDEX(Projects[Project Name *],64)&amp;""</f>
        <v/>
      </c>
      <c r="C65" s="66">
        <f>INDEX(Projects[MS Shuttles],64)</f>
        <v/>
      </c>
      <c r="D65" s="66">
        <f>INDEX(Projects[MS Tote Locations],64)</f>
        <v/>
      </c>
      <c r="E65" s="66">
        <f>INDEX(Projects[AS Robots],64)</f>
        <v/>
      </c>
      <c r="F65" s="66">
        <f>INDEX(Projects[AS Tote Locations],64)</f>
        <v/>
      </c>
      <c r="G65" s="66">
        <f>INDEX(Projects[PS Shuttles],64)</f>
        <v/>
      </c>
      <c r="H65" s="66">
        <f>INDEX(Projects[PS Pallet Locations],64)</f>
        <v/>
      </c>
      <c r="I65" s="66">
        <f>INDEX(Projects[SRM Cranes],64)</f>
        <v/>
      </c>
      <c r="J65" s="66">
        <f>INDEX(Projects[SRM Pallet Locations],64)</f>
        <v/>
      </c>
      <c r="K65" s="66">
        <f>INDEX(Projects[Case Conv (m)],64)</f>
        <v/>
      </c>
      <c r="L65" s="66">
        <f>INDEX(Projects[Pallet Conv (m)],64)</f>
        <v/>
      </c>
      <c r="M65" s="66">
        <f>INDEX(Projects[Mech Eng (wks)],64)</f>
        <v/>
      </c>
      <c r="N65" s="66">
        <f>INDEX(Projects[Controls Eng (wks)],64)</f>
        <v/>
      </c>
      <c r="O65" s="66">
        <f>INDEX(Projects[Systems Eng (wks)],64)</f>
        <v/>
      </c>
      <c r="P65" s="66">
        <f>INDEX(Projects[Software Eng (wks)],64)</f>
        <v/>
      </c>
      <c r="Q65" s="66">
        <f>INDEX(Projects[M&amp;E Installation (wks)],64)</f>
        <v/>
      </c>
      <c r="R65" s="66">
        <f>INDEX(Projects[Commissioning (wks)],64)</f>
        <v/>
      </c>
      <c r="S65" s="66">
        <f>INDEX(Projects[Total Timeline (wks)],64)</f>
        <v/>
      </c>
      <c r="T65" s="66">
        <f>INDEX(Projects[Currency],64)&amp;""</f>
        <v/>
      </c>
      <c r="U65" s="67">
        <f>INDEX(Projects[Value (M)],64)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INDEX(Projects[Automation Equipment],64)&amp;""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IF(AND(A65&lt;&gt;"",OR('Smart Search'!$L$5="",'Smart Search'!$L$5="All",TRIM(BZ65)=TRIM('Smart Search'!$L$5)),OR(TRIM('Smart Search'!$L$6)="",TRIM('Smart Search'!$L$6)="All",ISNUMBER(SEARCH(SUBSTITUTE(SUBSTITUTE(SUBSTITUTE(TRIM('Smart Search'!$L$6),"~","~~"),"*","~*"),"?","~?"),CA65))),OR('Smart Search'!$L$7="",AND(CB65&lt;&gt;0,CB65='Smart Search'!$L$7)),OR('Smart Search'!$L$8="",'Smart Search'!$L$8="All",TRIM(CC65)=TRIM('Smart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IF(A65="","",N(INDEX(Projects[Mech Inst],64)))</f>
        <v/>
      </c>
      <c r="BK65" s="5">
        <f>IF(A65="","",N(INDEX(Projects[Elec Inst],64)))</f>
        <v/>
      </c>
      <c r="BL65" s="5">
        <f>IF(A65="","",N(INDEX(Projects[Project Management],64)))</f>
        <v/>
      </c>
      <c r="BM65" s="5">
        <f>IF(A65="","",N(INDEX(Projects[Systems Eng],64)))</f>
        <v/>
      </c>
      <c r="BN65" s="5">
        <f>IF(A65="","",N(INDEX(Projects[Mechanical Eng],64)))</f>
        <v/>
      </c>
      <c r="BO65" s="5">
        <f>IF(A65="","",N(INDEX(Projects[Structural Engineering],64)))</f>
        <v/>
      </c>
      <c r="BP65" s="5">
        <f>IF(A65="","",N(INDEX(Projects[Site Sup],64)))</f>
        <v/>
      </c>
      <c r="BQ65" s="5">
        <f>IF(A65="","",N(INDEX(Projects[Controls Commissioning],64)))</f>
        <v/>
      </c>
      <c r="BR65" s="5">
        <f>IF(A65="","",N(INDEX(Projects[Systems Commissioning],64)))</f>
        <v/>
      </c>
      <c r="BS65" s="5">
        <f>IF(A65="","",N(INDEX(Projects[Service Commissioning],64)))</f>
        <v/>
      </c>
      <c r="BT65" s="5">
        <f>IF(A65="","",N(INDEX(Projects[Controls Eng],64)))</f>
        <v/>
      </c>
      <c r="BU65" s="5">
        <f>IF(A65="","",N(INDEX(Projects[Controls Purchase],64)))</f>
        <v/>
      </c>
      <c r="BV65" s="5">
        <f>IF(A65="","",N(INDEX(Projects[Software Eng],64)))</f>
        <v/>
      </c>
      <c r="BW65" s="5">
        <f>IF(A65="","",N(INDEX(Projects[Misc],64)))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  <c r="BZ65" s="5">
        <f>INDEX(Projects[Solution Type],64)&amp;""</f>
        <v/>
      </c>
      <c r="CA65" s="5">
        <f>INDEX(Projects[Client / Region],64)&amp;""</f>
        <v/>
      </c>
      <c r="CB65" s="5">
        <f>INDEX(Projects[Year],64)</f>
        <v/>
      </c>
      <c r="CC65" s="5">
        <f>INDEX(Projects[Won?],64)&amp;""</f>
        <v/>
      </c>
      <c r="CD65" s="5">
        <f>INDEX(Projects[Value (USD M)],64)</f>
        <v/>
      </c>
      <c r="CE65" s="5">
        <f>INDEX(Projects[MH Data Status],64)&amp;""</f>
        <v/>
      </c>
    </row>
    <row r="66" ht="15" customHeight="1" s="74">
      <c r="A66" s="66">
        <f>INDEX(Projects[Project ID *],65)&amp;""</f>
        <v/>
      </c>
      <c r="B66" s="66">
        <f>INDEX(Projects[Project Name *],65)&amp;""</f>
        <v/>
      </c>
      <c r="C66" s="66">
        <f>INDEX(Projects[MS Shuttles],65)</f>
        <v/>
      </c>
      <c r="D66" s="66">
        <f>INDEX(Projects[MS Tote Locations],65)</f>
        <v/>
      </c>
      <c r="E66" s="66">
        <f>INDEX(Projects[AS Robots],65)</f>
        <v/>
      </c>
      <c r="F66" s="66">
        <f>INDEX(Projects[AS Tote Locations],65)</f>
        <v/>
      </c>
      <c r="G66" s="66">
        <f>INDEX(Projects[PS Shuttles],65)</f>
        <v/>
      </c>
      <c r="H66" s="66">
        <f>INDEX(Projects[PS Pallet Locations],65)</f>
        <v/>
      </c>
      <c r="I66" s="66">
        <f>INDEX(Projects[SRM Cranes],65)</f>
        <v/>
      </c>
      <c r="J66" s="66">
        <f>INDEX(Projects[SRM Pallet Locations],65)</f>
        <v/>
      </c>
      <c r="K66" s="66">
        <f>INDEX(Projects[Case Conv (m)],65)</f>
        <v/>
      </c>
      <c r="L66" s="66">
        <f>INDEX(Projects[Pallet Conv (m)],65)</f>
        <v/>
      </c>
      <c r="M66" s="66">
        <f>INDEX(Projects[Mech Eng (wks)],65)</f>
        <v/>
      </c>
      <c r="N66" s="66">
        <f>INDEX(Projects[Controls Eng (wks)],65)</f>
        <v/>
      </c>
      <c r="O66" s="66">
        <f>INDEX(Projects[Systems Eng (wks)],65)</f>
        <v/>
      </c>
      <c r="P66" s="66">
        <f>INDEX(Projects[Software Eng (wks)],65)</f>
        <v/>
      </c>
      <c r="Q66" s="66">
        <f>INDEX(Projects[M&amp;E Installation (wks)],65)</f>
        <v/>
      </c>
      <c r="R66" s="66">
        <f>INDEX(Projects[Commissioning (wks)],65)</f>
        <v/>
      </c>
      <c r="S66" s="66">
        <f>INDEX(Projects[Total Timeline (wks)],65)</f>
        <v/>
      </c>
      <c r="T66" s="66">
        <f>INDEX(Projects[Currency],65)&amp;""</f>
        <v/>
      </c>
      <c r="U66" s="67">
        <f>INDEX(Projects[Value (M)],65)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INDEX(Projects[Automation Equipment],65)&amp;""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IF(AND(A66&lt;&gt;"",OR('Smart Search'!$L$5="",'Smart Search'!$L$5="All",TRIM(BZ66)=TRIM('Smart Search'!$L$5)),OR(TRIM('Smart Search'!$L$6)="",TRIM('Smart Search'!$L$6)="All",ISNUMBER(SEARCH(SUBSTITUTE(SUBSTITUTE(SUBSTITUTE(TRIM('Smart Search'!$L$6),"~","~~"),"*","~*"),"?","~?"),CA66))),OR('Smart Search'!$L$7="",AND(CB66&lt;&gt;0,CB66='Smart Search'!$L$7)),OR('Smart Search'!$L$8="",'Smart Search'!$L$8="All",TRIM(CC66)=TRIM('Smart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IF(A66="","",N(INDEX(Projects[Mech Inst],65)))</f>
        <v/>
      </c>
      <c r="BK66" s="5">
        <f>IF(A66="","",N(INDEX(Projects[Elec Inst],65)))</f>
        <v/>
      </c>
      <c r="BL66" s="5">
        <f>IF(A66="","",N(INDEX(Projects[Project Management],65)))</f>
        <v/>
      </c>
      <c r="BM66" s="5">
        <f>IF(A66="","",N(INDEX(Projects[Systems Eng],65)))</f>
        <v/>
      </c>
      <c r="BN66" s="5">
        <f>IF(A66="","",N(INDEX(Projects[Mechanical Eng],65)))</f>
        <v/>
      </c>
      <c r="BO66" s="5">
        <f>IF(A66="","",N(INDEX(Projects[Structural Engineering],65)))</f>
        <v/>
      </c>
      <c r="BP66" s="5">
        <f>IF(A66="","",N(INDEX(Projects[Site Sup],65)))</f>
        <v/>
      </c>
      <c r="BQ66" s="5">
        <f>IF(A66="","",N(INDEX(Projects[Controls Commissioning],65)))</f>
        <v/>
      </c>
      <c r="BR66" s="5">
        <f>IF(A66="","",N(INDEX(Projects[Systems Commissioning],65)))</f>
        <v/>
      </c>
      <c r="BS66" s="5">
        <f>IF(A66="","",N(INDEX(Projects[Service Commissioning],65)))</f>
        <v/>
      </c>
      <c r="BT66" s="5">
        <f>IF(A66="","",N(INDEX(Projects[Controls Eng],65)))</f>
        <v/>
      </c>
      <c r="BU66" s="5">
        <f>IF(A66="","",N(INDEX(Projects[Controls Purchase],65)))</f>
        <v/>
      </c>
      <c r="BV66" s="5">
        <f>IF(A66="","",N(INDEX(Projects[Software Eng],65)))</f>
        <v/>
      </c>
      <c r="BW66" s="5">
        <f>IF(A66="","",N(INDEX(Projects[Misc],65)))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  <c r="BZ66" s="5">
        <f>INDEX(Projects[Solution Type],65)&amp;""</f>
        <v/>
      </c>
      <c r="CA66" s="5">
        <f>INDEX(Projects[Client / Region],65)&amp;""</f>
        <v/>
      </c>
      <c r="CB66" s="5">
        <f>INDEX(Projects[Year],65)</f>
        <v/>
      </c>
      <c r="CC66" s="5">
        <f>INDEX(Projects[Won?],65)&amp;""</f>
        <v/>
      </c>
      <c r="CD66" s="5">
        <f>INDEX(Projects[Value (USD M)],65)</f>
        <v/>
      </c>
      <c r="CE66" s="5">
        <f>INDEX(Projects[MH Data Status],65)&amp;""</f>
        <v/>
      </c>
    </row>
    <row r="67" ht="15" customHeight="1" s="74">
      <c r="A67" s="66">
        <f>INDEX(Projects[Project ID *],66)&amp;""</f>
        <v/>
      </c>
      <c r="B67" s="66">
        <f>INDEX(Projects[Project Name *],66)&amp;""</f>
        <v/>
      </c>
      <c r="C67" s="66">
        <f>INDEX(Projects[MS Shuttles],66)</f>
        <v/>
      </c>
      <c r="D67" s="66">
        <f>INDEX(Projects[MS Tote Locations],66)</f>
        <v/>
      </c>
      <c r="E67" s="66">
        <f>INDEX(Projects[AS Robots],66)</f>
        <v/>
      </c>
      <c r="F67" s="66">
        <f>INDEX(Projects[AS Tote Locations],66)</f>
        <v/>
      </c>
      <c r="G67" s="66">
        <f>INDEX(Projects[PS Shuttles],66)</f>
        <v/>
      </c>
      <c r="H67" s="66">
        <f>INDEX(Projects[PS Pallet Locations],66)</f>
        <v/>
      </c>
      <c r="I67" s="66">
        <f>INDEX(Projects[SRM Cranes],66)</f>
        <v/>
      </c>
      <c r="J67" s="66">
        <f>INDEX(Projects[SRM Pallet Locations],66)</f>
        <v/>
      </c>
      <c r="K67" s="66">
        <f>INDEX(Projects[Case Conv (m)],66)</f>
        <v/>
      </c>
      <c r="L67" s="66">
        <f>INDEX(Projects[Pallet Conv (m)],66)</f>
        <v/>
      </c>
      <c r="M67" s="66">
        <f>INDEX(Projects[Mech Eng (wks)],66)</f>
        <v/>
      </c>
      <c r="N67" s="66">
        <f>INDEX(Projects[Controls Eng (wks)],66)</f>
        <v/>
      </c>
      <c r="O67" s="66">
        <f>INDEX(Projects[Systems Eng (wks)],66)</f>
        <v/>
      </c>
      <c r="P67" s="66">
        <f>INDEX(Projects[Software Eng (wks)],66)</f>
        <v/>
      </c>
      <c r="Q67" s="66">
        <f>INDEX(Projects[M&amp;E Installation (wks)],66)</f>
        <v/>
      </c>
      <c r="R67" s="66">
        <f>INDEX(Projects[Commissioning (wks)],66)</f>
        <v/>
      </c>
      <c r="S67" s="66">
        <f>INDEX(Projects[Total Timeline (wks)],66)</f>
        <v/>
      </c>
      <c r="T67" s="66">
        <f>INDEX(Projects[Currency],66)&amp;""</f>
        <v/>
      </c>
      <c r="U67" s="67">
        <f>INDEX(Projects[Value (M)],66)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INDEX(Projects[Automation Equipment],66)&amp;""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IF(AND(A67&lt;&gt;"",OR('Smart Search'!$L$5="",'Smart Search'!$L$5="All",TRIM(BZ67)=TRIM('Smart Search'!$L$5)),OR(TRIM('Smart Search'!$L$6)="",TRIM('Smart Search'!$L$6)="All",ISNUMBER(SEARCH(SUBSTITUTE(SUBSTITUTE(SUBSTITUTE(TRIM('Smart Search'!$L$6),"~","~~"),"*","~*"),"?","~?"),CA67))),OR('Smart Search'!$L$7="",AND(CB67&lt;&gt;0,CB67='Smart Search'!$L$7)),OR('Smart Search'!$L$8="",'Smart Search'!$L$8="All",TRIM(CC67)=TRIM('Smart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IF(A67="","",N(INDEX(Projects[Mech Inst],66)))</f>
        <v/>
      </c>
      <c r="BK67" s="5">
        <f>IF(A67="","",N(INDEX(Projects[Elec Inst],66)))</f>
        <v/>
      </c>
      <c r="BL67" s="5">
        <f>IF(A67="","",N(INDEX(Projects[Project Management],66)))</f>
        <v/>
      </c>
      <c r="BM67" s="5">
        <f>IF(A67="","",N(INDEX(Projects[Systems Eng],66)))</f>
        <v/>
      </c>
      <c r="BN67" s="5">
        <f>IF(A67="","",N(INDEX(Projects[Mechanical Eng],66)))</f>
        <v/>
      </c>
      <c r="BO67" s="5">
        <f>IF(A67="","",N(INDEX(Projects[Structural Engineering],66)))</f>
        <v/>
      </c>
      <c r="BP67" s="5">
        <f>IF(A67="","",N(INDEX(Projects[Site Sup],66)))</f>
        <v/>
      </c>
      <c r="BQ67" s="5">
        <f>IF(A67="","",N(INDEX(Projects[Controls Commissioning],66)))</f>
        <v/>
      </c>
      <c r="BR67" s="5">
        <f>IF(A67="","",N(INDEX(Projects[Systems Commissioning],66)))</f>
        <v/>
      </c>
      <c r="BS67" s="5">
        <f>IF(A67="","",N(INDEX(Projects[Service Commissioning],66)))</f>
        <v/>
      </c>
      <c r="BT67" s="5">
        <f>IF(A67="","",N(INDEX(Projects[Controls Eng],66)))</f>
        <v/>
      </c>
      <c r="BU67" s="5">
        <f>IF(A67="","",N(INDEX(Projects[Controls Purchase],66)))</f>
        <v/>
      </c>
      <c r="BV67" s="5">
        <f>IF(A67="","",N(INDEX(Projects[Software Eng],66)))</f>
        <v/>
      </c>
      <c r="BW67" s="5">
        <f>IF(A67="","",N(INDEX(Projects[Misc],66)))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  <c r="BZ67" s="5">
        <f>INDEX(Projects[Solution Type],66)&amp;""</f>
        <v/>
      </c>
      <c r="CA67" s="5">
        <f>INDEX(Projects[Client / Region],66)&amp;""</f>
        <v/>
      </c>
      <c r="CB67" s="5">
        <f>INDEX(Projects[Year],66)</f>
        <v/>
      </c>
      <c r="CC67" s="5">
        <f>INDEX(Projects[Won?],66)&amp;""</f>
        <v/>
      </c>
      <c r="CD67" s="5">
        <f>INDEX(Projects[Value (USD M)],66)</f>
        <v/>
      </c>
      <c r="CE67" s="5">
        <f>INDEX(Projects[MH Data Status],66)&amp;""</f>
        <v/>
      </c>
    </row>
    <row r="68" ht="15" customHeight="1" s="74">
      <c r="A68" s="66">
        <f>INDEX(Projects[Project ID *],67)&amp;""</f>
        <v/>
      </c>
      <c r="B68" s="66">
        <f>INDEX(Projects[Project Name *],67)&amp;""</f>
        <v/>
      </c>
      <c r="C68" s="66">
        <f>INDEX(Projects[MS Shuttles],67)</f>
        <v/>
      </c>
      <c r="D68" s="66">
        <f>INDEX(Projects[MS Tote Locations],67)</f>
        <v/>
      </c>
      <c r="E68" s="66">
        <f>INDEX(Projects[AS Robots],67)</f>
        <v/>
      </c>
      <c r="F68" s="66">
        <f>INDEX(Projects[AS Tote Locations],67)</f>
        <v/>
      </c>
      <c r="G68" s="66">
        <f>INDEX(Projects[PS Shuttles],67)</f>
        <v/>
      </c>
      <c r="H68" s="66">
        <f>INDEX(Projects[PS Pallet Locations],67)</f>
        <v/>
      </c>
      <c r="I68" s="66">
        <f>INDEX(Projects[SRM Cranes],67)</f>
        <v/>
      </c>
      <c r="J68" s="66">
        <f>INDEX(Projects[SRM Pallet Locations],67)</f>
        <v/>
      </c>
      <c r="K68" s="66">
        <f>INDEX(Projects[Case Conv (m)],67)</f>
        <v/>
      </c>
      <c r="L68" s="66">
        <f>INDEX(Projects[Pallet Conv (m)],67)</f>
        <v/>
      </c>
      <c r="M68" s="66">
        <f>INDEX(Projects[Mech Eng (wks)],67)</f>
        <v/>
      </c>
      <c r="N68" s="66">
        <f>INDEX(Projects[Controls Eng (wks)],67)</f>
        <v/>
      </c>
      <c r="O68" s="66">
        <f>INDEX(Projects[Systems Eng (wks)],67)</f>
        <v/>
      </c>
      <c r="P68" s="66">
        <f>INDEX(Projects[Software Eng (wks)],67)</f>
        <v/>
      </c>
      <c r="Q68" s="66">
        <f>INDEX(Projects[M&amp;E Installation (wks)],67)</f>
        <v/>
      </c>
      <c r="R68" s="66">
        <f>INDEX(Projects[Commissioning (wks)],67)</f>
        <v/>
      </c>
      <c r="S68" s="66">
        <f>INDEX(Projects[Total Timeline (wks)],67)</f>
        <v/>
      </c>
      <c r="T68" s="66">
        <f>INDEX(Projects[Currency],67)&amp;""</f>
        <v/>
      </c>
      <c r="U68" s="67">
        <f>INDEX(Projects[Value (M)],67)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INDEX(Projects[Automation Equipment],67)&amp;""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IF(AND(A68&lt;&gt;"",OR('Smart Search'!$L$5="",'Smart Search'!$L$5="All",TRIM(BZ68)=TRIM('Smart Search'!$L$5)),OR(TRIM('Smart Search'!$L$6)="",TRIM('Smart Search'!$L$6)="All",ISNUMBER(SEARCH(SUBSTITUTE(SUBSTITUTE(SUBSTITUTE(TRIM('Smart Search'!$L$6),"~","~~"),"*","~*"),"?","~?"),CA68))),OR('Smart Search'!$L$7="",AND(CB68&lt;&gt;0,CB68='Smart Search'!$L$7)),OR('Smart Search'!$L$8="",'Smart Search'!$L$8="All",TRIM(CC68)=TRIM('Smart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IF(A68="","",N(INDEX(Projects[Mech Inst],67)))</f>
        <v/>
      </c>
      <c r="BK68" s="5">
        <f>IF(A68="","",N(INDEX(Projects[Elec Inst],67)))</f>
        <v/>
      </c>
      <c r="BL68" s="5">
        <f>IF(A68="","",N(INDEX(Projects[Project Management],67)))</f>
        <v/>
      </c>
      <c r="BM68" s="5">
        <f>IF(A68="","",N(INDEX(Projects[Systems Eng],67)))</f>
        <v/>
      </c>
      <c r="BN68" s="5">
        <f>IF(A68="","",N(INDEX(Projects[Mechanical Eng],67)))</f>
        <v/>
      </c>
      <c r="BO68" s="5">
        <f>IF(A68="","",N(INDEX(Projects[Structural Engineering],67)))</f>
        <v/>
      </c>
      <c r="BP68" s="5">
        <f>IF(A68="","",N(INDEX(Projects[Site Sup],67)))</f>
        <v/>
      </c>
      <c r="BQ68" s="5">
        <f>IF(A68="","",N(INDEX(Projects[Controls Commissioning],67)))</f>
        <v/>
      </c>
      <c r="BR68" s="5">
        <f>IF(A68="","",N(INDEX(Projects[Systems Commissioning],67)))</f>
        <v/>
      </c>
      <c r="BS68" s="5">
        <f>IF(A68="","",N(INDEX(Projects[Service Commissioning],67)))</f>
        <v/>
      </c>
      <c r="BT68" s="5">
        <f>IF(A68="","",N(INDEX(Projects[Controls Eng],67)))</f>
        <v/>
      </c>
      <c r="BU68" s="5">
        <f>IF(A68="","",N(INDEX(Projects[Controls Purchase],67)))</f>
        <v/>
      </c>
      <c r="BV68" s="5">
        <f>IF(A68="","",N(INDEX(Projects[Software Eng],67)))</f>
        <v/>
      </c>
      <c r="BW68" s="5">
        <f>IF(A68="","",N(INDEX(Projects[Misc],67)))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  <c r="BZ68" s="5">
        <f>INDEX(Projects[Solution Type],67)&amp;""</f>
        <v/>
      </c>
      <c r="CA68" s="5">
        <f>INDEX(Projects[Client / Region],67)&amp;""</f>
        <v/>
      </c>
      <c r="CB68" s="5">
        <f>INDEX(Projects[Year],67)</f>
        <v/>
      </c>
      <c r="CC68" s="5">
        <f>INDEX(Projects[Won?],67)&amp;""</f>
        <v/>
      </c>
      <c r="CD68" s="5">
        <f>INDEX(Projects[Value (USD M)],67)</f>
        <v/>
      </c>
      <c r="CE68" s="5">
        <f>INDEX(Projects[MH Data Status],67)&amp;""</f>
        <v/>
      </c>
    </row>
    <row r="69" ht="15" customHeight="1" s="74">
      <c r="A69" s="66">
        <f>INDEX(Projects[Project ID *],68)&amp;""</f>
        <v/>
      </c>
      <c r="B69" s="66">
        <f>INDEX(Projects[Project Name *],68)&amp;""</f>
        <v/>
      </c>
      <c r="C69" s="66">
        <f>INDEX(Projects[MS Shuttles],68)</f>
        <v/>
      </c>
      <c r="D69" s="66">
        <f>INDEX(Projects[MS Tote Locations],68)</f>
        <v/>
      </c>
      <c r="E69" s="66">
        <f>INDEX(Projects[AS Robots],68)</f>
        <v/>
      </c>
      <c r="F69" s="66">
        <f>INDEX(Projects[AS Tote Locations],68)</f>
        <v/>
      </c>
      <c r="G69" s="66">
        <f>INDEX(Projects[PS Shuttles],68)</f>
        <v/>
      </c>
      <c r="H69" s="66">
        <f>INDEX(Projects[PS Pallet Locations],68)</f>
        <v/>
      </c>
      <c r="I69" s="66">
        <f>INDEX(Projects[SRM Cranes],68)</f>
        <v/>
      </c>
      <c r="J69" s="66">
        <f>INDEX(Projects[SRM Pallet Locations],68)</f>
        <v/>
      </c>
      <c r="K69" s="66">
        <f>INDEX(Projects[Case Conv (m)],68)</f>
        <v/>
      </c>
      <c r="L69" s="66">
        <f>INDEX(Projects[Pallet Conv (m)],68)</f>
        <v/>
      </c>
      <c r="M69" s="66">
        <f>INDEX(Projects[Mech Eng (wks)],68)</f>
        <v/>
      </c>
      <c r="N69" s="66">
        <f>INDEX(Projects[Controls Eng (wks)],68)</f>
        <v/>
      </c>
      <c r="O69" s="66">
        <f>INDEX(Projects[Systems Eng (wks)],68)</f>
        <v/>
      </c>
      <c r="P69" s="66">
        <f>INDEX(Projects[Software Eng (wks)],68)</f>
        <v/>
      </c>
      <c r="Q69" s="66">
        <f>INDEX(Projects[M&amp;E Installation (wks)],68)</f>
        <v/>
      </c>
      <c r="R69" s="66">
        <f>INDEX(Projects[Commissioning (wks)],68)</f>
        <v/>
      </c>
      <c r="S69" s="66">
        <f>INDEX(Projects[Total Timeline (wks)],68)</f>
        <v/>
      </c>
      <c r="T69" s="66">
        <f>INDEX(Projects[Currency],68)&amp;""</f>
        <v/>
      </c>
      <c r="U69" s="67">
        <f>INDEX(Projects[Value (M)],68)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INDEX(Projects[Automation Equipment],68)&amp;""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IF(AND(A69&lt;&gt;"",OR('Smart Search'!$L$5="",'Smart Search'!$L$5="All",TRIM(BZ69)=TRIM('Smart Search'!$L$5)),OR(TRIM('Smart Search'!$L$6)="",TRIM('Smart Search'!$L$6)="All",ISNUMBER(SEARCH(SUBSTITUTE(SUBSTITUTE(SUBSTITUTE(TRIM('Smart Search'!$L$6),"~","~~"),"*","~*"),"?","~?"),CA69))),OR('Smart Search'!$L$7="",AND(CB69&lt;&gt;0,CB69='Smart Search'!$L$7)),OR('Smart Search'!$L$8="",'Smart Search'!$L$8="All",TRIM(CC69)=TRIM('Smart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IF(A69="","",N(INDEX(Projects[Mech Inst],68)))</f>
        <v/>
      </c>
      <c r="BK69" s="5">
        <f>IF(A69="","",N(INDEX(Projects[Elec Inst],68)))</f>
        <v/>
      </c>
      <c r="BL69" s="5">
        <f>IF(A69="","",N(INDEX(Projects[Project Management],68)))</f>
        <v/>
      </c>
      <c r="BM69" s="5">
        <f>IF(A69="","",N(INDEX(Projects[Systems Eng],68)))</f>
        <v/>
      </c>
      <c r="BN69" s="5">
        <f>IF(A69="","",N(INDEX(Projects[Mechanical Eng],68)))</f>
        <v/>
      </c>
      <c r="BO69" s="5">
        <f>IF(A69="","",N(INDEX(Projects[Structural Engineering],68)))</f>
        <v/>
      </c>
      <c r="BP69" s="5">
        <f>IF(A69="","",N(INDEX(Projects[Site Sup],68)))</f>
        <v/>
      </c>
      <c r="BQ69" s="5">
        <f>IF(A69="","",N(INDEX(Projects[Controls Commissioning],68)))</f>
        <v/>
      </c>
      <c r="BR69" s="5">
        <f>IF(A69="","",N(INDEX(Projects[Systems Commissioning],68)))</f>
        <v/>
      </c>
      <c r="BS69" s="5">
        <f>IF(A69="","",N(INDEX(Projects[Service Commissioning],68)))</f>
        <v/>
      </c>
      <c r="BT69" s="5">
        <f>IF(A69="","",N(INDEX(Projects[Controls Eng],68)))</f>
        <v/>
      </c>
      <c r="BU69" s="5">
        <f>IF(A69="","",N(INDEX(Projects[Controls Purchase],68)))</f>
        <v/>
      </c>
      <c r="BV69" s="5">
        <f>IF(A69="","",N(INDEX(Projects[Software Eng],68)))</f>
        <v/>
      </c>
      <c r="BW69" s="5">
        <f>IF(A69="","",N(INDEX(Projects[Misc],68)))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  <c r="BZ69" s="5">
        <f>INDEX(Projects[Solution Type],68)&amp;""</f>
        <v/>
      </c>
      <c r="CA69" s="5">
        <f>INDEX(Projects[Client / Region],68)&amp;""</f>
        <v/>
      </c>
      <c r="CB69" s="5">
        <f>INDEX(Projects[Year],68)</f>
        <v/>
      </c>
      <c r="CC69" s="5">
        <f>INDEX(Projects[Won?],68)&amp;""</f>
        <v/>
      </c>
      <c r="CD69" s="5">
        <f>INDEX(Projects[Value (USD M)],68)</f>
        <v/>
      </c>
      <c r="CE69" s="5">
        <f>INDEX(Projects[MH Data Status],68)&amp;""</f>
        <v/>
      </c>
    </row>
    <row r="70" ht="15" customHeight="1" s="74">
      <c r="A70" s="66">
        <f>INDEX(Projects[Project ID *],69)&amp;""</f>
        <v/>
      </c>
      <c r="B70" s="66">
        <f>INDEX(Projects[Project Name *],69)&amp;""</f>
        <v/>
      </c>
      <c r="C70" s="66">
        <f>INDEX(Projects[MS Shuttles],69)</f>
        <v/>
      </c>
      <c r="D70" s="66">
        <f>INDEX(Projects[MS Tote Locations],69)</f>
        <v/>
      </c>
      <c r="E70" s="66">
        <f>INDEX(Projects[AS Robots],69)</f>
        <v/>
      </c>
      <c r="F70" s="66">
        <f>INDEX(Projects[AS Tote Locations],69)</f>
        <v/>
      </c>
      <c r="G70" s="66">
        <f>INDEX(Projects[PS Shuttles],69)</f>
        <v/>
      </c>
      <c r="H70" s="66">
        <f>INDEX(Projects[PS Pallet Locations],69)</f>
        <v/>
      </c>
      <c r="I70" s="66">
        <f>INDEX(Projects[SRM Cranes],69)</f>
        <v/>
      </c>
      <c r="J70" s="66">
        <f>INDEX(Projects[SRM Pallet Locations],69)</f>
        <v/>
      </c>
      <c r="K70" s="66">
        <f>INDEX(Projects[Case Conv (m)],69)</f>
        <v/>
      </c>
      <c r="L70" s="66">
        <f>INDEX(Projects[Pallet Conv (m)],69)</f>
        <v/>
      </c>
      <c r="M70" s="66">
        <f>INDEX(Projects[Mech Eng (wks)],69)</f>
        <v/>
      </c>
      <c r="N70" s="66">
        <f>INDEX(Projects[Controls Eng (wks)],69)</f>
        <v/>
      </c>
      <c r="O70" s="66">
        <f>INDEX(Projects[Systems Eng (wks)],69)</f>
        <v/>
      </c>
      <c r="P70" s="66">
        <f>INDEX(Projects[Software Eng (wks)],69)</f>
        <v/>
      </c>
      <c r="Q70" s="66">
        <f>INDEX(Projects[M&amp;E Installation (wks)],69)</f>
        <v/>
      </c>
      <c r="R70" s="66">
        <f>INDEX(Projects[Commissioning (wks)],69)</f>
        <v/>
      </c>
      <c r="S70" s="66">
        <f>INDEX(Projects[Total Timeline (wks)],69)</f>
        <v/>
      </c>
      <c r="T70" s="66">
        <f>INDEX(Projects[Currency],69)&amp;""</f>
        <v/>
      </c>
      <c r="U70" s="67">
        <f>INDEX(Projects[Value (M)],69)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INDEX(Projects[Automation Equipment],69)&amp;""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IF(AND(A70&lt;&gt;"",OR('Smart Search'!$L$5="",'Smart Search'!$L$5="All",TRIM(BZ70)=TRIM('Smart Search'!$L$5)),OR(TRIM('Smart Search'!$L$6)="",TRIM('Smart Search'!$L$6)="All",ISNUMBER(SEARCH(SUBSTITUTE(SUBSTITUTE(SUBSTITUTE(TRIM('Smart Search'!$L$6),"~","~~"),"*","~*"),"?","~?"),CA70))),OR('Smart Search'!$L$7="",AND(CB70&lt;&gt;0,CB70='Smart Search'!$L$7)),OR('Smart Search'!$L$8="",'Smart Search'!$L$8="All",TRIM(CC70)=TRIM('Smart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IF(A70="","",N(INDEX(Projects[Mech Inst],69)))</f>
        <v/>
      </c>
      <c r="BK70" s="5">
        <f>IF(A70="","",N(INDEX(Projects[Elec Inst],69)))</f>
        <v/>
      </c>
      <c r="BL70" s="5">
        <f>IF(A70="","",N(INDEX(Projects[Project Management],69)))</f>
        <v/>
      </c>
      <c r="BM70" s="5">
        <f>IF(A70="","",N(INDEX(Projects[Systems Eng],69)))</f>
        <v/>
      </c>
      <c r="BN70" s="5">
        <f>IF(A70="","",N(INDEX(Projects[Mechanical Eng],69)))</f>
        <v/>
      </c>
      <c r="BO70" s="5">
        <f>IF(A70="","",N(INDEX(Projects[Structural Engineering],69)))</f>
        <v/>
      </c>
      <c r="BP70" s="5">
        <f>IF(A70="","",N(INDEX(Projects[Site Sup],69)))</f>
        <v/>
      </c>
      <c r="BQ70" s="5">
        <f>IF(A70="","",N(INDEX(Projects[Controls Commissioning],69)))</f>
        <v/>
      </c>
      <c r="BR70" s="5">
        <f>IF(A70="","",N(INDEX(Projects[Systems Commissioning],69)))</f>
        <v/>
      </c>
      <c r="BS70" s="5">
        <f>IF(A70="","",N(INDEX(Projects[Service Commissioning],69)))</f>
        <v/>
      </c>
      <c r="BT70" s="5">
        <f>IF(A70="","",N(INDEX(Projects[Controls Eng],69)))</f>
        <v/>
      </c>
      <c r="BU70" s="5">
        <f>IF(A70="","",N(INDEX(Projects[Controls Purchase],69)))</f>
        <v/>
      </c>
      <c r="BV70" s="5">
        <f>IF(A70="","",N(INDEX(Projects[Software Eng],69)))</f>
        <v/>
      </c>
      <c r="BW70" s="5">
        <f>IF(A70="","",N(INDEX(Projects[Misc],69)))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  <c r="BZ70" s="5">
        <f>INDEX(Projects[Solution Type],69)&amp;""</f>
        <v/>
      </c>
      <c r="CA70" s="5">
        <f>INDEX(Projects[Client / Region],69)&amp;""</f>
        <v/>
      </c>
      <c r="CB70" s="5">
        <f>INDEX(Projects[Year],69)</f>
        <v/>
      </c>
      <c r="CC70" s="5">
        <f>INDEX(Projects[Won?],69)&amp;""</f>
        <v/>
      </c>
      <c r="CD70" s="5">
        <f>INDEX(Projects[Value (USD M)],69)</f>
        <v/>
      </c>
      <c r="CE70" s="5">
        <f>INDEX(Projects[MH Data Status],69)&amp;""</f>
        <v/>
      </c>
    </row>
    <row r="71" ht="15" customHeight="1" s="74">
      <c r="A71" s="66">
        <f>INDEX(Projects[Project ID *],70)&amp;""</f>
        <v/>
      </c>
      <c r="B71" s="66">
        <f>INDEX(Projects[Project Name *],70)&amp;""</f>
        <v/>
      </c>
      <c r="C71" s="66">
        <f>INDEX(Projects[MS Shuttles],70)</f>
        <v/>
      </c>
      <c r="D71" s="66">
        <f>INDEX(Projects[MS Tote Locations],70)</f>
        <v/>
      </c>
      <c r="E71" s="66">
        <f>INDEX(Projects[AS Robots],70)</f>
        <v/>
      </c>
      <c r="F71" s="66">
        <f>INDEX(Projects[AS Tote Locations],70)</f>
        <v/>
      </c>
      <c r="G71" s="66">
        <f>INDEX(Projects[PS Shuttles],70)</f>
        <v/>
      </c>
      <c r="H71" s="66">
        <f>INDEX(Projects[PS Pallet Locations],70)</f>
        <v/>
      </c>
      <c r="I71" s="66">
        <f>INDEX(Projects[SRM Cranes],70)</f>
        <v/>
      </c>
      <c r="J71" s="66">
        <f>INDEX(Projects[SRM Pallet Locations],70)</f>
        <v/>
      </c>
      <c r="K71" s="66">
        <f>INDEX(Projects[Case Conv (m)],70)</f>
        <v/>
      </c>
      <c r="L71" s="66">
        <f>INDEX(Projects[Pallet Conv (m)],70)</f>
        <v/>
      </c>
      <c r="M71" s="66">
        <f>INDEX(Projects[Mech Eng (wks)],70)</f>
        <v/>
      </c>
      <c r="N71" s="66">
        <f>INDEX(Projects[Controls Eng (wks)],70)</f>
        <v/>
      </c>
      <c r="O71" s="66">
        <f>INDEX(Projects[Systems Eng (wks)],70)</f>
        <v/>
      </c>
      <c r="P71" s="66">
        <f>INDEX(Projects[Software Eng (wks)],70)</f>
        <v/>
      </c>
      <c r="Q71" s="66">
        <f>INDEX(Projects[M&amp;E Installation (wks)],70)</f>
        <v/>
      </c>
      <c r="R71" s="66">
        <f>INDEX(Projects[Commissioning (wks)],70)</f>
        <v/>
      </c>
      <c r="S71" s="66">
        <f>INDEX(Projects[Total Timeline (wks)],70)</f>
        <v/>
      </c>
      <c r="T71" s="66">
        <f>INDEX(Projects[Currency],70)&amp;""</f>
        <v/>
      </c>
      <c r="U71" s="67">
        <f>INDEX(Projects[Value (M)],70)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INDEX(Projects[Automation Equipment],70)&amp;""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IF(AND(A71&lt;&gt;"",OR('Smart Search'!$L$5="",'Smart Search'!$L$5="All",TRIM(BZ71)=TRIM('Smart Search'!$L$5)),OR(TRIM('Smart Search'!$L$6)="",TRIM('Smart Search'!$L$6)="All",ISNUMBER(SEARCH(SUBSTITUTE(SUBSTITUTE(SUBSTITUTE(TRIM('Smart Search'!$L$6),"~","~~"),"*","~*"),"?","~?"),CA71))),OR('Smart Search'!$L$7="",AND(CB71&lt;&gt;0,CB71='Smart Search'!$L$7)),OR('Smart Search'!$L$8="",'Smart Search'!$L$8="All",TRIM(CC71)=TRIM('Smart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IF(A71="","",N(INDEX(Projects[Mech Inst],70)))</f>
        <v/>
      </c>
      <c r="BK71" s="5">
        <f>IF(A71="","",N(INDEX(Projects[Elec Inst],70)))</f>
        <v/>
      </c>
      <c r="BL71" s="5">
        <f>IF(A71="","",N(INDEX(Projects[Project Management],70)))</f>
        <v/>
      </c>
      <c r="BM71" s="5">
        <f>IF(A71="","",N(INDEX(Projects[Systems Eng],70)))</f>
        <v/>
      </c>
      <c r="BN71" s="5">
        <f>IF(A71="","",N(INDEX(Projects[Mechanical Eng],70)))</f>
        <v/>
      </c>
      <c r="BO71" s="5">
        <f>IF(A71="","",N(INDEX(Projects[Structural Engineering],70)))</f>
        <v/>
      </c>
      <c r="BP71" s="5">
        <f>IF(A71="","",N(INDEX(Projects[Site Sup],70)))</f>
        <v/>
      </c>
      <c r="BQ71" s="5">
        <f>IF(A71="","",N(INDEX(Projects[Controls Commissioning],70)))</f>
        <v/>
      </c>
      <c r="BR71" s="5">
        <f>IF(A71="","",N(INDEX(Projects[Systems Commissioning],70)))</f>
        <v/>
      </c>
      <c r="BS71" s="5">
        <f>IF(A71="","",N(INDEX(Projects[Service Commissioning],70)))</f>
        <v/>
      </c>
      <c r="BT71" s="5">
        <f>IF(A71="","",N(INDEX(Projects[Controls Eng],70)))</f>
        <v/>
      </c>
      <c r="BU71" s="5">
        <f>IF(A71="","",N(INDEX(Projects[Controls Purchase],70)))</f>
        <v/>
      </c>
      <c r="BV71" s="5">
        <f>IF(A71="","",N(INDEX(Projects[Software Eng],70)))</f>
        <v/>
      </c>
      <c r="BW71" s="5">
        <f>IF(A71="","",N(INDEX(Projects[Misc],70)))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  <c r="BZ71" s="5">
        <f>INDEX(Projects[Solution Type],70)&amp;""</f>
        <v/>
      </c>
      <c r="CA71" s="5">
        <f>INDEX(Projects[Client / Region],70)&amp;""</f>
        <v/>
      </c>
      <c r="CB71" s="5">
        <f>INDEX(Projects[Year],70)</f>
        <v/>
      </c>
      <c r="CC71" s="5">
        <f>INDEX(Projects[Won?],70)&amp;""</f>
        <v/>
      </c>
      <c r="CD71" s="5">
        <f>INDEX(Projects[Value (USD M)],70)</f>
        <v/>
      </c>
      <c r="CE71" s="5">
        <f>INDEX(Projects[MH Data Status],70)&amp;""</f>
        <v/>
      </c>
    </row>
    <row r="72" ht="15" customHeight="1" s="74">
      <c r="A72" s="66">
        <f>INDEX(Projects[Project ID *],71)&amp;""</f>
        <v/>
      </c>
      <c r="B72" s="66">
        <f>INDEX(Projects[Project Name *],71)&amp;""</f>
        <v/>
      </c>
      <c r="C72" s="66">
        <f>INDEX(Projects[MS Shuttles],71)</f>
        <v/>
      </c>
      <c r="D72" s="66">
        <f>INDEX(Projects[MS Tote Locations],71)</f>
        <v/>
      </c>
      <c r="E72" s="66">
        <f>INDEX(Projects[AS Robots],71)</f>
        <v/>
      </c>
      <c r="F72" s="66">
        <f>INDEX(Projects[AS Tote Locations],71)</f>
        <v/>
      </c>
      <c r="G72" s="66">
        <f>INDEX(Projects[PS Shuttles],71)</f>
        <v/>
      </c>
      <c r="H72" s="66">
        <f>INDEX(Projects[PS Pallet Locations],71)</f>
        <v/>
      </c>
      <c r="I72" s="66">
        <f>INDEX(Projects[SRM Cranes],71)</f>
        <v/>
      </c>
      <c r="J72" s="66">
        <f>INDEX(Projects[SRM Pallet Locations],71)</f>
        <v/>
      </c>
      <c r="K72" s="66">
        <f>INDEX(Projects[Case Conv (m)],71)</f>
        <v/>
      </c>
      <c r="L72" s="66">
        <f>INDEX(Projects[Pallet Conv (m)],71)</f>
        <v/>
      </c>
      <c r="M72" s="66">
        <f>INDEX(Projects[Mech Eng (wks)],71)</f>
        <v/>
      </c>
      <c r="N72" s="66">
        <f>INDEX(Projects[Controls Eng (wks)],71)</f>
        <v/>
      </c>
      <c r="O72" s="66">
        <f>INDEX(Projects[Systems Eng (wks)],71)</f>
        <v/>
      </c>
      <c r="P72" s="66">
        <f>INDEX(Projects[Software Eng (wks)],71)</f>
        <v/>
      </c>
      <c r="Q72" s="66">
        <f>INDEX(Projects[M&amp;E Installation (wks)],71)</f>
        <v/>
      </c>
      <c r="R72" s="66">
        <f>INDEX(Projects[Commissioning (wks)],71)</f>
        <v/>
      </c>
      <c r="S72" s="66">
        <f>INDEX(Projects[Total Timeline (wks)],71)</f>
        <v/>
      </c>
      <c r="T72" s="66">
        <f>INDEX(Projects[Currency],71)&amp;""</f>
        <v/>
      </c>
      <c r="U72" s="67">
        <f>INDEX(Projects[Value (M)],71)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INDEX(Projects[Automation Equipment],71)&amp;""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IF(AND(A72&lt;&gt;"",OR('Smart Search'!$L$5="",'Smart Search'!$L$5="All",TRIM(BZ72)=TRIM('Smart Search'!$L$5)),OR(TRIM('Smart Search'!$L$6)="",TRIM('Smart Search'!$L$6)="All",ISNUMBER(SEARCH(SUBSTITUTE(SUBSTITUTE(SUBSTITUTE(TRIM('Smart Search'!$L$6),"~","~~"),"*","~*"),"?","~?"),CA72))),OR('Smart Search'!$L$7="",AND(CB72&lt;&gt;0,CB72='Smart Search'!$L$7)),OR('Smart Search'!$L$8="",'Smart Search'!$L$8="All",TRIM(CC72)=TRIM('Smart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IF(A72="","",N(INDEX(Projects[Mech Inst],71)))</f>
        <v/>
      </c>
      <c r="BK72" s="5">
        <f>IF(A72="","",N(INDEX(Projects[Elec Inst],71)))</f>
        <v/>
      </c>
      <c r="BL72" s="5">
        <f>IF(A72="","",N(INDEX(Projects[Project Management],71)))</f>
        <v/>
      </c>
      <c r="BM72" s="5">
        <f>IF(A72="","",N(INDEX(Projects[Systems Eng],71)))</f>
        <v/>
      </c>
      <c r="BN72" s="5">
        <f>IF(A72="","",N(INDEX(Projects[Mechanical Eng],71)))</f>
        <v/>
      </c>
      <c r="BO72" s="5">
        <f>IF(A72="","",N(INDEX(Projects[Structural Engineering],71)))</f>
        <v/>
      </c>
      <c r="BP72" s="5">
        <f>IF(A72="","",N(INDEX(Projects[Site Sup],71)))</f>
        <v/>
      </c>
      <c r="BQ72" s="5">
        <f>IF(A72="","",N(INDEX(Projects[Controls Commissioning],71)))</f>
        <v/>
      </c>
      <c r="BR72" s="5">
        <f>IF(A72="","",N(INDEX(Projects[Systems Commissioning],71)))</f>
        <v/>
      </c>
      <c r="BS72" s="5">
        <f>IF(A72="","",N(INDEX(Projects[Service Commissioning],71)))</f>
        <v/>
      </c>
      <c r="BT72" s="5">
        <f>IF(A72="","",N(INDEX(Projects[Controls Eng],71)))</f>
        <v/>
      </c>
      <c r="BU72" s="5">
        <f>IF(A72="","",N(INDEX(Projects[Controls Purchase],71)))</f>
        <v/>
      </c>
      <c r="BV72" s="5">
        <f>IF(A72="","",N(INDEX(Projects[Software Eng],71)))</f>
        <v/>
      </c>
      <c r="BW72" s="5">
        <f>IF(A72="","",N(INDEX(Projects[Misc],71)))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  <c r="BZ72" s="5">
        <f>INDEX(Projects[Solution Type],71)&amp;""</f>
        <v/>
      </c>
      <c r="CA72" s="5">
        <f>INDEX(Projects[Client / Region],71)&amp;""</f>
        <v/>
      </c>
      <c r="CB72" s="5">
        <f>INDEX(Projects[Year],71)</f>
        <v/>
      </c>
      <c r="CC72" s="5">
        <f>INDEX(Projects[Won?],71)&amp;""</f>
        <v/>
      </c>
      <c r="CD72" s="5">
        <f>INDEX(Projects[Value (USD M)],71)</f>
        <v/>
      </c>
      <c r="CE72" s="5">
        <f>INDEX(Projects[MH Data Status],71)&amp;""</f>
        <v/>
      </c>
    </row>
    <row r="73" ht="15" customHeight="1" s="74">
      <c r="A73" s="66">
        <f>INDEX(Projects[Project ID *],72)&amp;""</f>
        <v/>
      </c>
      <c r="B73" s="66">
        <f>INDEX(Projects[Project Name *],72)&amp;""</f>
        <v/>
      </c>
      <c r="C73" s="66">
        <f>INDEX(Projects[MS Shuttles],72)</f>
        <v/>
      </c>
      <c r="D73" s="66">
        <f>INDEX(Projects[MS Tote Locations],72)</f>
        <v/>
      </c>
      <c r="E73" s="66">
        <f>INDEX(Projects[AS Robots],72)</f>
        <v/>
      </c>
      <c r="F73" s="66">
        <f>INDEX(Projects[AS Tote Locations],72)</f>
        <v/>
      </c>
      <c r="G73" s="66">
        <f>INDEX(Projects[PS Shuttles],72)</f>
        <v/>
      </c>
      <c r="H73" s="66">
        <f>INDEX(Projects[PS Pallet Locations],72)</f>
        <v/>
      </c>
      <c r="I73" s="66">
        <f>INDEX(Projects[SRM Cranes],72)</f>
        <v/>
      </c>
      <c r="J73" s="66">
        <f>INDEX(Projects[SRM Pallet Locations],72)</f>
        <v/>
      </c>
      <c r="K73" s="66">
        <f>INDEX(Projects[Case Conv (m)],72)</f>
        <v/>
      </c>
      <c r="L73" s="66">
        <f>INDEX(Projects[Pallet Conv (m)],72)</f>
        <v/>
      </c>
      <c r="M73" s="66">
        <f>INDEX(Projects[Mech Eng (wks)],72)</f>
        <v/>
      </c>
      <c r="N73" s="66">
        <f>INDEX(Projects[Controls Eng (wks)],72)</f>
        <v/>
      </c>
      <c r="O73" s="66">
        <f>INDEX(Projects[Systems Eng (wks)],72)</f>
        <v/>
      </c>
      <c r="P73" s="66">
        <f>INDEX(Projects[Software Eng (wks)],72)</f>
        <v/>
      </c>
      <c r="Q73" s="66">
        <f>INDEX(Projects[M&amp;E Installation (wks)],72)</f>
        <v/>
      </c>
      <c r="R73" s="66">
        <f>INDEX(Projects[Commissioning (wks)],72)</f>
        <v/>
      </c>
      <c r="S73" s="66">
        <f>INDEX(Projects[Total Timeline (wks)],72)</f>
        <v/>
      </c>
      <c r="T73" s="66">
        <f>INDEX(Projects[Currency],72)&amp;""</f>
        <v/>
      </c>
      <c r="U73" s="67">
        <f>INDEX(Projects[Value (M)],72)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INDEX(Projects[Automation Equipment],72)&amp;""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IF(AND(A73&lt;&gt;"",OR('Smart Search'!$L$5="",'Smart Search'!$L$5="All",TRIM(BZ73)=TRIM('Smart Search'!$L$5)),OR(TRIM('Smart Search'!$L$6)="",TRIM('Smart Search'!$L$6)="All",ISNUMBER(SEARCH(SUBSTITUTE(SUBSTITUTE(SUBSTITUTE(TRIM('Smart Search'!$L$6),"~","~~"),"*","~*"),"?","~?"),CA73))),OR('Smart Search'!$L$7="",AND(CB73&lt;&gt;0,CB73='Smart Search'!$L$7)),OR('Smart Search'!$L$8="",'Smart Search'!$L$8="All",TRIM(CC73)=TRIM('Smart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IF(A73="","",N(INDEX(Projects[Mech Inst],72)))</f>
        <v/>
      </c>
      <c r="BK73" s="5">
        <f>IF(A73="","",N(INDEX(Projects[Elec Inst],72)))</f>
        <v/>
      </c>
      <c r="BL73" s="5">
        <f>IF(A73="","",N(INDEX(Projects[Project Management],72)))</f>
        <v/>
      </c>
      <c r="BM73" s="5">
        <f>IF(A73="","",N(INDEX(Projects[Systems Eng],72)))</f>
        <v/>
      </c>
      <c r="BN73" s="5">
        <f>IF(A73="","",N(INDEX(Projects[Mechanical Eng],72)))</f>
        <v/>
      </c>
      <c r="BO73" s="5">
        <f>IF(A73="","",N(INDEX(Projects[Structural Engineering],72)))</f>
        <v/>
      </c>
      <c r="BP73" s="5">
        <f>IF(A73="","",N(INDEX(Projects[Site Sup],72)))</f>
        <v/>
      </c>
      <c r="BQ73" s="5">
        <f>IF(A73="","",N(INDEX(Projects[Controls Commissioning],72)))</f>
        <v/>
      </c>
      <c r="BR73" s="5">
        <f>IF(A73="","",N(INDEX(Projects[Systems Commissioning],72)))</f>
        <v/>
      </c>
      <c r="BS73" s="5">
        <f>IF(A73="","",N(INDEX(Projects[Service Commissioning],72)))</f>
        <v/>
      </c>
      <c r="BT73" s="5">
        <f>IF(A73="","",N(INDEX(Projects[Controls Eng],72)))</f>
        <v/>
      </c>
      <c r="BU73" s="5">
        <f>IF(A73="","",N(INDEX(Projects[Controls Purchase],72)))</f>
        <v/>
      </c>
      <c r="BV73" s="5">
        <f>IF(A73="","",N(INDEX(Projects[Software Eng],72)))</f>
        <v/>
      </c>
      <c r="BW73" s="5">
        <f>IF(A73="","",N(INDEX(Projects[Misc],72)))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  <c r="BZ73" s="5">
        <f>INDEX(Projects[Solution Type],72)&amp;""</f>
        <v/>
      </c>
      <c r="CA73" s="5">
        <f>INDEX(Projects[Client / Region],72)&amp;""</f>
        <v/>
      </c>
      <c r="CB73" s="5">
        <f>INDEX(Projects[Year],72)</f>
        <v/>
      </c>
      <c r="CC73" s="5">
        <f>INDEX(Projects[Won?],72)&amp;""</f>
        <v/>
      </c>
      <c r="CD73" s="5">
        <f>INDEX(Projects[Value (USD M)],72)</f>
        <v/>
      </c>
      <c r="CE73" s="5">
        <f>INDEX(Projects[MH Data Status],72)&amp;""</f>
        <v/>
      </c>
    </row>
    <row r="74" ht="15" customHeight="1" s="74">
      <c r="A74" s="66">
        <f>INDEX(Projects[Project ID *],73)&amp;""</f>
        <v/>
      </c>
      <c r="B74" s="66">
        <f>INDEX(Projects[Project Name *],73)&amp;""</f>
        <v/>
      </c>
      <c r="C74" s="66">
        <f>INDEX(Projects[MS Shuttles],73)</f>
        <v/>
      </c>
      <c r="D74" s="66">
        <f>INDEX(Projects[MS Tote Locations],73)</f>
        <v/>
      </c>
      <c r="E74" s="66">
        <f>INDEX(Projects[AS Robots],73)</f>
        <v/>
      </c>
      <c r="F74" s="66">
        <f>INDEX(Projects[AS Tote Locations],73)</f>
        <v/>
      </c>
      <c r="G74" s="66">
        <f>INDEX(Projects[PS Shuttles],73)</f>
        <v/>
      </c>
      <c r="H74" s="66">
        <f>INDEX(Projects[PS Pallet Locations],73)</f>
        <v/>
      </c>
      <c r="I74" s="66">
        <f>INDEX(Projects[SRM Cranes],73)</f>
        <v/>
      </c>
      <c r="J74" s="66">
        <f>INDEX(Projects[SRM Pallet Locations],73)</f>
        <v/>
      </c>
      <c r="K74" s="66">
        <f>INDEX(Projects[Case Conv (m)],73)</f>
        <v/>
      </c>
      <c r="L74" s="66">
        <f>INDEX(Projects[Pallet Conv (m)],73)</f>
        <v/>
      </c>
      <c r="M74" s="66">
        <f>INDEX(Projects[Mech Eng (wks)],73)</f>
        <v/>
      </c>
      <c r="N74" s="66">
        <f>INDEX(Projects[Controls Eng (wks)],73)</f>
        <v/>
      </c>
      <c r="O74" s="66">
        <f>INDEX(Projects[Systems Eng (wks)],73)</f>
        <v/>
      </c>
      <c r="P74" s="66">
        <f>INDEX(Projects[Software Eng (wks)],73)</f>
        <v/>
      </c>
      <c r="Q74" s="66">
        <f>INDEX(Projects[M&amp;E Installation (wks)],73)</f>
        <v/>
      </c>
      <c r="R74" s="66">
        <f>INDEX(Projects[Commissioning (wks)],73)</f>
        <v/>
      </c>
      <c r="S74" s="66">
        <f>INDEX(Projects[Total Timeline (wks)],73)</f>
        <v/>
      </c>
      <c r="T74" s="66">
        <f>INDEX(Projects[Currency],73)&amp;""</f>
        <v/>
      </c>
      <c r="U74" s="67">
        <f>INDEX(Projects[Value (M)],73)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INDEX(Projects[Automation Equipment],73)&amp;""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IF(AND(A74&lt;&gt;"",OR('Smart Search'!$L$5="",'Smart Search'!$L$5="All",TRIM(BZ74)=TRIM('Smart Search'!$L$5)),OR(TRIM('Smart Search'!$L$6)="",TRIM('Smart Search'!$L$6)="All",ISNUMBER(SEARCH(SUBSTITUTE(SUBSTITUTE(SUBSTITUTE(TRIM('Smart Search'!$L$6),"~","~~"),"*","~*"),"?","~?"),CA74))),OR('Smart Search'!$L$7="",AND(CB74&lt;&gt;0,CB74='Smart Search'!$L$7)),OR('Smart Search'!$L$8="",'Smart Search'!$L$8="All",TRIM(CC74)=TRIM('Smart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IF(A74="","",N(INDEX(Projects[Mech Inst],73)))</f>
        <v/>
      </c>
      <c r="BK74" s="5">
        <f>IF(A74="","",N(INDEX(Projects[Elec Inst],73)))</f>
        <v/>
      </c>
      <c r="BL74" s="5">
        <f>IF(A74="","",N(INDEX(Projects[Project Management],73)))</f>
        <v/>
      </c>
      <c r="BM74" s="5">
        <f>IF(A74="","",N(INDEX(Projects[Systems Eng],73)))</f>
        <v/>
      </c>
      <c r="BN74" s="5">
        <f>IF(A74="","",N(INDEX(Projects[Mechanical Eng],73)))</f>
        <v/>
      </c>
      <c r="BO74" s="5">
        <f>IF(A74="","",N(INDEX(Projects[Structural Engineering],73)))</f>
        <v/>
      </c>
      <c r="BP74" s="5">
        <f>IF(A74="","",N(INDEX(Projects[Site Sup],73)))</f>
        <v/>
      </c>
      <c r="BQ74" s="5">
        <f>IF(A74="","",N(INDEX(Projects[Controls Commissioning],73)))</f>
        <v/>
      </c>
      <c r="BR74" s="5">
        <f>IF(A74="","",N(INDEX(Projects[Systems Commissioning],73)))</f>
        <v/>
      </c>
      <c r="BS74" s="5">
        <f>IF(A74="","",N(INDEX(Projects[Service Commissioning],73)))</f>
        <v/>
      </c>
      <c r="BT74" s="5">
        <f>IF(A74="","",N(INDEX(Projects[Controls Eng],73)))</f>
        <v/>
      </c>
      <c r="BU74" s="5">
        <f>IF(A74="","",N(INDEX(Projects[Controls Purchase],73)))</f>
        <v/>
      </c>
      <c r="BV74" s="5">
        <f>IF(A74="","",N(INDEX(Projects[Software Eng],73)))</f>
        <v/>
      </c>
      <c r="BW74" s="5">
        <f>IF(A74="","",N(INDEX(Projects[Misc],73)))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  <c r="BZ74" s="5">
        <f>INDEX(Projects[Solution Type],73)&amp;""</f>
        <v/>
      </c>
      <c r="CA74" s="5">
        <f>INDEX(Projects[Client / Region],73)&amp;""</f>
        <v/>
      </c>
      <c r="CB74" s="5">
        <f>INDEX(Projects[Year],73)</f>
        <v/>
      </c>
      <c r="CC74" s="5">
        <f>INDEX(Projects[Won?],73)&amp;""</f>
        <v/>
      </c>
      <c r="CD74" s="5">
        <f>INDEX(Projects[Value (USD M)],73)</f>
        <v/>
      </c>
      <c r="CE74" s="5">
        <f>INDEX(Projects[MH Data Status],73)&amp;""</f>
        <v/>
      </c>
    </row>
    <row r="75" ht="15" customHeight="1" s="74">
      <c r="A75" s="66">
        <f>INDEX(Projects[Project ID *],74)&amp;""</f>
        <v/>
      </c>
      <c r="B75" s="66">
        <f>INDEX(Projects[Project Name *],74)&amp;""</f>
        <v/>
      </c>
      <c r="C75" s="66">
        <f>INDEX(Projects[MS Shuttles],74)</f>
        <v/>
      </c>
      <c r="D75" s="66">
        <f>INDEX(Projects[MS Tote Locations],74)</f>
        <v/>
      </c>
      <c r="E75" s="66">
        <f>INDEX(Projects[AS Robots],74)</f>
        <v/>
      </c>
      <c r="F75" s="66">
        <f>INDEX(Projects[AS Tote Locations],74)</f>
        <v/>
      </c>
      <c r="G75" s="66">
        <f>INDEX(Projects[PS Shuttles],74)</f>
        <v/>
      </c>
      <c r="H75" s="66">
        <f>INDEX(Projects[PS Pallet Locations],74)</f>
        <v/>
      </c>
      <c r="I75" s="66">
        <f>INDEX(Projects[SRM Cranes],74)</f>
        <v/>
      </c>
      <c r="J75" s="66">
        <f>INDEX(Projects[SRM Pallet Locations],74)</f>
        <v/>
      </c>
      <c r="K75" s="66">
        <f>INDEX(Projects[Case Conv (m)],74)</f>
        <v/>
      </c>
      <c r="L75" s="66">
        <f>INDEX(Projects[Pallet Conv (m)],74)</f>
        <v/>
      </c>
      <c r="M75" s="66">
        <f>INDEX(Projects[Mech Eng (wks)],74)</f>
        <v/>
      </c>
      <c r="N75" s="66">
        <f>INDEX(Projects[Controls Eng (wks)],74)</f>
        <v/>
      </c>
      <c r="O75" s="66">
        <f>INDEX(Projects[Systems Eng (wks)],74)</f>
        <v/>
      </c>
      <c r="P75" s="66">
        <f>INDEX(Projects[Software Eng (wks)],74)</f>
        <v/>
      </c>
      <c r="Q75" s="66">
        <f>INDEX(Projects[M&amp;E Installation (wks)],74)</f>
        <v/>
      </c>
      <c r="R75" s="66">
        <f>INDEX(Projects[Commissioning (wks)],74)</f>
        <v/>
      </c>
      <c r="S75" s="66">
        <f>INDEX(Projects[Total Timeline (wks)],74)</f>
        <v/>
      </c>
      <c r="T75" s="66">
        <f>INDEX(Projects[Currency],74)&amp;""</f>
        <v/>
      </c>
      <c r="U75" s="67">
        <f>INDEX(Projects[Value (M)],74)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INDEX(Projects[Automation Equipment],74)&amp;""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IF(AND(A75&lt;&gt;"",OR('Smart Search'!$L$5="",'Smart Search'!$L$5="All",TRIM(BZ75)=TRIM('Smart Search'!$L$5)),OR(TRIM('Smart Search'!$L$6)="",TRIM('Smart Search'!$L$6)="All",ISNUMBER(SEARCH(SUBSTITUTE(SUBSTITUTE(SUBSTITUTE(TRIM('Smart Search'!$L$6),"~","~~"),"*","~*"),"?","~?"),CA75))),OR('Smart Search'!$L$7="",AND(CB75&lt;&gt;0,CB75='Smart Search'!$L$7)),OR('Smart Search'!$L$8="",'Smart Search'!$L$8="All",TRIM(CC75)=TRIM('Smart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IF(A75="","",N(INDEX(Projects[Mech Inst],74)))</f>
        <v/>
      </c>
      <c r="BK75" s="5">
        <f>IF(A75="","",N(INDEX(Projects[Elec Inst],74)))</f>
        <v/>
      </c>
      <c r="BL75" s="5">
        <f>IF(A75="","",N(INDEX(Projects[Project Management],74)))</f>
        <v/>
      </c>
      <c r="BM75" s="5">
        <f>IF(A75="","",N(INDEX(Projects[Systems Eng],74)))</f>
        <v/>
      </c>
      <c r="BN75" s="5">
        <f>IF(A75="","",N(INDEX(Projects[Mechanical Eng],74)))</f>
        <v/>
      </c>
      <c r="BO75" s="5">
        <f>IF(A75="","",N(INDEX(Projects[Structural Engineering],74)))</f>
        <v/>
      </c>
      <c r="BP75" s="5">
        <f>IF(A75="","",N(INDEX(Projects[Site Sup],74)))</f>
        <v/>
      </c>
      <c r="BQ75" s="5">
        <f>IF(A75="","",N(INDEX(Projects[Controls Commissioning],74)))</f>
        <v/>
      </c>
      <c r="BR75" s="5">
        <f>IF(A75="","",N(INDEX(Projects[Systems Commissioning],74)))</f>
        <v/>
      </c>
      <c r="BS75" s="5">
        <f>IF(A75="","",N(INDEX(Projects[Service Commissioning],74)))</f>
        <v/>
      </c>
      <c r="BT75" s="5">
        <f>IF(A75="","",N(INDEX(Projects[Controls Eng],74)))</f>
        <v/>
      </c>
      <c r="BU75" s="5">
        <f>IF(A75="","",N(INDEX(Projects[Controls Purchase],74)))</f>
        <v/>
      </c>
      <c r="BV75" s="5">
        <f>IF(A75="","",N(INDEX(Projects[Software Eng],74)))</f>
        <v/>
      </c>
      <c r="BW75" s="5">
        <f>IF(A75="","",N(INDEX(Projects[Misc],74)))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  <c r="BZ75" s="5">
        <f>INDEX(Projects[Solution Type],74)&amp;""</f>
        <v/>
      </c>
      <c r="CA75" s="5">
        <f>INDEX(Projects[Client / Region],74)&amp;""</f>
        <v/>
      </c>
      <c r="CB75" s="5">
        <f>INDEX(Projects[Year],74)</f>
        <v/>
      </c>
      <c r="CC75" s="5">
        <f>INDEX(Projects[Won?],74)&amp;""</f>
        <v/>
      </c>
      <c r="CD75" s="5">
        <f>INDEX(Projects[Value (USD M)],74)</f>
        <v/>
      </c>
      <c r="CE75" s="5">
        <f>INDEX(Projects[MH Data Status],74)&amp;""</f>
        <v/>
      </c>
    </row>
    <row r="76" ht="15" customHeight="1" s="74">
      <c r="A76" s="66">
        <f>INDEX(Projects[Project ID *],75)&amp;""</f>
        <v/>
      </c>
      <c r="B76" s="66">
        <f>INDEX(Projects[Project Name *],75)&amp;""</f>
        <v/>
      </c>
      <c r="C76" s="66">
        <f>INDEX(Projects[MS Shuttles],75)</f>
        <v/>
      </c>
      <c r="D76" s="66">
        <f>INDEX(Projects[MS Tote Locations],75)</f>
        <v/>
      </c>
      <c r="E76" s="66">
        <f>INDEX(Projects[AS Robots],75)</f>
        <v/>
      </c>
      <c r="F76" s="66">
        <f>INDEX(Projects[AS Tote Locations],75)</f>
        <v/>
      </c>
      <c r="G76" s="66">
        <f>INDEX(Projects[PS Shuttles],75)</f>
        <v/>
      </c>
      <c r="H76" s="66">
        <f>INDEX(Projects[PS Pallet Locations],75)</f>
        <v/>
      </c>
      <c r="I76" s="66">
        <f>INDEX(Projects[SRM Cranes],75)</f>
        <v/>
      </c>
      <c r="J76" s="66">
        <f>INDEX(Projects[SRM Pallet Locations],75)</f>
        <v/>
      </c>
      <c r="K76" s="66">
        <f>INDEX(Projects[Case Conv (m)],75)</f>
        <v/>
      </c>
      <c r="L76" s="66">
        <f>INDEX(Projects[Pallet Conv (m)],75)</f>
        <v/>
      </c>
      <c r="M76" s="66">
        <f>INDEX(Projects[Mech Eng (wks)],75)</f>
        <v/>
      </c>
      <c r="N76" s="66">
        <f>INDEX(Projects[Controls Eng (wks)],75)</f>
        <v/>
      </c>
      <c r="O76" s="66">
        <f>INDEX(Projects[Systems Eng (wks)],75)</f>
        <v/>
      </c>
      <c r="P76" s="66">
        <f>INDEX(Projects[Software Eng (wks)],75)</f>
        <v/>
      </c>
      <c r="Q76" s="66">
        <f>INDEX(Projects[M&amp;E Installation (wks)],75)</f>
        <v/>
      </c>
      <c r="R76" s="66">
        <f>INDEX(Projects[Commissioning (wks)],75)</f>
        <v/>
      </c>
      <c r="S76" s="66">
        <f>INDEX(Projects[Total Timeline (wks)],75)</f>
        <v/>
      </c>
      <c r="T76" s="66">
        <f>INDEX(Projects[Currency],75)&amp;""</f>
        <v/>
      </c>
      <c r="U76" s="67">
        <f>INDEX(Projects[Value (M)],75)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INDEX(Projects[Automation Equipment],75)&amp;""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IF(AND(A76&lt;&gt;"",OR('Smart Search'!$L$5="",'Smart Search'!$L$5="All",TRIM(BZ76)=TRIM('Smart Search'!$L$5)),OR(TRIM('Smart Search'!$L$6)="",TRIM('Smart Search'!$L$6)="All",ISNUMBER(SEARCH(SUBSTITUTE(SUBSTITUTE(SUBSTITUTE(TRIM('Smart Search'!$L$6),"~","~~"),"*","~*"),"?","~?"),CA76))),OR('Smart Search'!$L$7="",AND(CB76&lt;&gt;0,CB76='Smart Search'!$L$7)),OR('Smart Search'!$L$8="",'Smart Search'!$L$8="All",TRIM(CC76)=TRIM('Smart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IF(A76="","",N(INDEX(Projects[Mech Inst],75)))</f>
        <v/>
      </c>
      <c r="BK76" s="5">
        <f>IF(A76="","",N(INDEX(Projects[Elec Inst],75)))</f>
        <v/>
      </c>
      <c r="BL76" s="5">
        <f>IF(A76="","",N(INDEX(Projects[Project Management],75)))</f>
        <v/>
      </c>
      <c r="BM76" s="5">
        <f>IF(A76="","",N(INDEX(Projects[Systems Eng],75)))</f>
        <v/>
      </c>
      <c r="BN76" s="5">
        <f>IF(A76="","",N(INDEX(Projects[Mechanical Eng],75)))</f>
        <v/>
      </c>
      <c r="BO76" s="5">
        <f>IF(A76="","",N(INDEX(Projects[Structural Engineering],75)))</f>
        <v/>
      </c>
      <c r="BP76" s="5">
        <f>IF(A76="","",N(INDEX(Projects[Site Sup],75)))</f>
        <v/>
      </c>
      <c r="BQ76" s="5">
        <f>IF(A76="","",N(INDEX(Projects[Controls Commissioning],75)))</f>
        <v/>
      </c>
      <c r="BR76" s="5">
        <f>IF(A76="","",N(INDEX(Projects[Systems Commissioning],75)))</f>
        <v/>
      </c>
      <c r="BS76" s="5">
        <f>IF(A76="","",N(INDEX(Projects[Service Commissioning],75)))</f>
        <v/>
      </c>
      <c r="BT76" s="5">
        <f>IF(A76="","",N(INDEX(Projects[Controls Eng],75)))</f>
        <v/>
      </c>
      <c r="BU76" s="5">
        <f>IF(A76="","",N(INDEX(Projects[Controls Purchase],75)))</f>
        <v/>
      </c>
      <c r="BV76" s="5">
        <f>IF(A76="","",N(INDEX(Projects[Software Eng],75)))</f>
        <v/>
      </c>
      <c r="BW76" s="5">
        <f>IF(A76="","",N(INDEX(Projects[Misc],75)))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  <c r="BZ76" s="5">
        <f>INDEX(Projects[Solution Type],75)&amp;""</f>
        <v/>
      </c>
      <c r="CA76" s="5">
        <f>INDEX(Projects[Client / Region],75)&amp;""</f>
        <v/>
      </c>
      <c r="CB76" s="5">
        <f>INDEX(Projects[Year],75)</f>
        <v/>
      </c>
      <c r="CC76" s="5">
        <f>INDEX(Projects[Won?],75)&amp;""</f>
        <v/>
      </c>
      <c r="CD76" s="5">
        <f>INDEX(Projects[Value (USD M)],75)</f>
        <v/>
      </c>
      <c r="CE76" s="5">
        <f>INDEX(Projects[MH Data Status],75)&amp;""</f>
        <v/>
      </c>
    </row>
    <row r="77" ht="15" customHeight="1" s="74">
      <c r="A77" s="66">
        <f>INDEX(Projects[Project ID *],76)&amp;""</f>
        <v/>
      </c>
      <c r="B77" s="66">
        <f>INDEX(Projects[Project Name *],76)&amp;""</f>
        <v/>
      </c>
      <c r="C77" s="66">
        <f>INDEX(Projects[MS Shuttles],76)</f>
        <v/>
      </c>
      <c r="D77" s="66">
        <f>INDEX(Projects[MS Tote Locations],76)</f>
        <v/>
      </c>
      <c r="E77" s="66">
        <f>INDEX(Projects[AS Robots],76)</f>
        <v/>
      </c>
      <c r="F77" s="66">
        <f>INDEX(Projects[AS Tote Locations],76)</f>
        <v/>
      </c>
      <c r="G77" s="66">
        <f>INDEX(Projects[PS Shuttles],76)</f>
        <v/>
      </c>
      <c r="H77" s="66">
        <f>INDEX(Projects[PS Pallet Locations],76)</f>
        <v/>
      </c>
      <c r="I77" s="66">
        <f>INDEX(Projects[SRM Cranes],76)</f>
        <v/>
      </c>
      <c r="J77" s="66">
        <f>INDEX(Projects[SRM Pallet Locations],76)</f>
        <v/>
      </c>
      <c r="K77" s="66">
        <f>INDEX(Projects[Case Conv (m)],76)</f>
        <v/>
      </c>
      <c r="L77" s="66">
        <f>INDEX(Projects[Pallet Conv (m)],76)</f>
        <v/>
      </c>
      <c r="M77" s="66">
        <f>INDEX(Projects[Mech Eng (wks)],76)</f>
        <v/>
      </c>
      <c r="N77" s="66">
        <f>INDEX(Projects[Controls Eng (wks)],76)</f>
        <v/>
      </c>
      <c r="O77" s="66">
        <f>INDEX(Projects[Systems Eng (wks)],76)</f>
        <v/>
      </c>
      <c r="P77" s="66">
        <f>INDEX(Projects[Software Eng (wks)],76)</f>
        <v/>
      </c>
      <c r="Q77" s="66">
        <f>INDEX(Projects[M&amp;E Installation (wks)],76)</f>
        <v/>
      </c>
      <c r="R77" s="66">
        <f>INDEX(Projects[Commissioning (wks)],76)</f>
        <v/>
      </c>
      <c r="S77" s="66">
        <f>INDEX(Projects[Total Timeline (wks)],76)</f>
        <v/>
      </c>
      <c r="T77" s="66">
        <f>INDEX(Projects[Currency],76)&amp;""</f>
        <v/>
      </c>
      <c r="U77" s="67">
        <f>INDEX(Projects[Value (M)],76)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INDEX(Projects[Automation Equipment],76)&amp;""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IF(AND(A77&lt;&gt;"",OR('Smart Search'!$L$5="",'Smart Search'!$L$5="All",TRIM(BZ77)=TRIM('Smart Search'!$L$5)),OR(TRIM('Smart Search'!$L$6)="",TRIM('Smart Search'!$L$6)="All",ISNUMBER(SEARCH(SUBSTITUTE(SUBSTITUTE(SUBSTITUTE(TRIM('Smart Search'!$L$6),"~","~~"),"*","~*"),"?","~?"),CA77))),OR('Smart Search'!$L$7="",AND(CB77&lt;&gt;0,CB77='Smart Search'!$L$7)),OR('Smart Search'!$L$8="",'Smart Search'!$L$8="All",TRIM(CC77)=TRIM('Smart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IF(A77="","",N(INDEX(Projects[Mech Inst],76)))</f>
        <v/>
      </c>
      <c r="BK77" s="5">
        <f>IF(A77="","",N(INDEX(Projects[Elec Inst],76)))</f>
        <v/>
      </c>
      <c r="BL77" s="5">
        <f>IF(A77="","",N(INDEX(Projects[Project Management],76)))</f>
        <v/>
      </c>
      <c r="BM77" s="5">
        <f>IF(A77="","",N(INDEX(Projects[Systems Eng],76)))</f>
        <v/>
      </c>
      <c r="BN77" s="5">
        <f>IF(A77="","",N(INDEX(Projects[Mechanical Eng],76)))</f>
        <v/>
      </c>
      <c r="BO77" s="5">
        <f>IF(A77="","",N(INDEX(Projects[Structural Engineering],76)))</f>
        <v/>
      </c>
      <c r="BP77" s="5">
        <f>IF(A77="","",N(INDEX(Projects[Site Sup],76)))</f>
        <v/>
      </c>
      <c r="BQ77" s="5">
        <f>IF(A77="","",N(INDEX(Projects[Controls Commissioning],76)))</f>
        <v/>
      </c>
      <c r="BR77" s="5">
        <f>IF(A77="","",N(INDEX(Projects[Systems Commissioning],76)))</f>
        <v/>
      </c>
      <c r="BS77" s="5">
        <f>IF(A77="","",N(INDEX(Projects[Service Commissioning],76)))</f>
        <v/>
      </c>
      <c r="BT77" s="5">
        <f>IF(A77="","",N(INDEX(Projects[Controls Eng],76)))</f>
        <v/>
      </c>
      <c r="BU77" s="5">
        <f>IF(A77="","",N(INDEX(Projects[Controls Purchase],76)))</f>
        <v/>
      </c>
      <c r="BV77" s="5">
        <f>IF(A77="","",N(INDEX(Projects[Software Eng],76)))</f>
        <v/>
      </c>
      <c r="BW77" s="5">
        <f>IF(A77="","",N(INDEX(Projects[Misc],76)))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  <c r="BZ77" s="5">
        <f>INDEX(Projects[Solution Type],76)&amp;""</f>
        <v/>
      </c>
      <c r="CA77" s="5">
        <f>INDEX(Projects[Client / Region],76)&amp;""</f>
        <v/>
      </c>
      <c r="CB77" s="5">
        <f>INDEX(Projects[Year],76)</f>
        <v/>
      </c>
      <c r="CC77" s="5">
        <f>INDEX(Projects[Won?],76)&amp;""</f>
        <v/>
      </c>
      <c r="CD77" s="5">
        <f>INDEX(Projects[Value (USD M)],76)</f>
        <v/>
      </c>
      <c r="CE77" s="5">
        <f>INDEX(Projects[MH Data Status],76)&amp;""</f>
        <v/>
      </c>
    </row>
    <row r="78" ht="15" customHeight="1" s="74">
      <c r="A78" s="66">
        <f>INDEX(Projects[Project ID *],77)&amp;""</f>
        <v/>
      </c>
      <c r="B78" s="66">
        <f>INDEX(Projects[Project Name *],77)&amp;""</f>
        <v/>
      </c>
      <c r="C78" s="66">
        <f>INDEX(Projects[MS Shuttles],77)</f>
        <v/>
      </c>
      <c r="D78" s="66">
        <f>INDEX(Projects[MS Tote Locations],77)</f>
        <v/>
      </c>
      <c r="E78" s="66">
        <f>INDEX(Projects[AS Robots],77)</f>
        <v/>
      </c>
      <c r="F78" s="66">
        <f>INDEX(Projects[AS Tote Locations],77)</f>
        <v/>
      </c>
      <c r="G78" s="66">
        <f>INDEX(Projects[PS Shuttles],77)</f>
        <v/>
      </c>
      <c r="H78" s="66">
        <f>INDEX(Projects[PS Pallet Locations],77)</f>
        <v/>
      </c>
      <c r="I78" s="66">
        <f>INDEX(Projects[SRM Cranes],77)</f>
        <v/>
      </c>
      <c r="J78" s="66">
        <f>INDEX(Projects[SRM Pallet Locations],77)</f>
        <v/>
      </c>
      <c r="K78" s="66">
        <f>INDEX(Projects[Case Conv (m)],77)</f>
        <v/>
      </c>
      <c r="L78" s="66">
        <f>INDEX(Projects[Pallet Conv (m)],77)</f>
        <v/>
      </c>
      <c r="M78" s="66">
        <f>INDEX(Projects[Mech Eng (wks)],77)</f>
        <v/>
      </c>
      <c r="N78" s="66">
        <f>INDEX(Projects[Controls Eng (wks)],77)</f>
        <v/>
      </c>
      <c r="O78" s="66">
        <f>INDEX(Projects[Systems Eng (wks)],77)</f>
        <v/>
      </c>
      <c r="P78" s="66">
        <f>INDEX(Projects[Software Eng (wks)],77)</f>
        <v/>
      </c>
      <c r="Q78" s="66">
        <f>INDEX(Projects[M&amp;E Installation (wks)],77)</f>
        <v/>
      </c>
      <c r="R78" s="66">
        <f>INDEX(Projects[Commissioning (wks)],77)</f>
        <v/>
      </c>
      <c r="S78" s="66">
        <f>INDEX(Projects[Total Timeline (wks)],77)</f>
        <v/>
      </c>
      <c r="T78" s="66">
        <f>INDEX(Projects[Currency],77)&amp;""</f>
        <v/>
      </c>
      <c r="U78" s="67">
        <f>INDEX(Projects[Value (M)],77)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INDEX(Projects[Automation Equipment],77)&amp;""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IF(AND(A78&lt;&gt;"",OR('Smart Search'!$L$5="",'Smart Search'!$L$5="All",TRIM(BZ78)=TRIM('Smart Search'!$L$5)),OR(TRIM('Smart Search'!$L$6)="",TRIM('Smart Search'!$L$6)="All",ISNUMBER(SEARCH(SUBSTITUTE(SUBSTITUTE(SUBSTITUTE(TRIM('Smart Search'!$L$6),"~","~~"),"*","~*"),"?","~?"),CA78))),OR('Smart Search'!$L$7="",AND(CB78&lt;&gt;0,CB78='Smart Search'!$L$7)),OR('Smart Search'!$L$8="",'Smart Search'!$L$8="All",TRIM(CC78)=TRIM('Smart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IF(A78="","",N(INDEX(Projects[Mech Inst],77)))</f>
        <v/>
      </c>
      <c r="BK78" s="5">
        <f>IF(A78="","",N(INDEX(Projects[Elec Inst],77)))</f>
        <v/>
      </c>
      <c r="BL78" s="5">
        <f>IF(A78="","",N(INDEX(Projects[Project Management],77)))</f>
        <v/>
      </c>
      <c r="BM78" s="5">
        <f>IF(A78="","",N(INDEX(Projects[Systems Eng],77)))</f>
        <v/>
      </c>
      <c r="BN78" s="5">
        <f>IF(A78="","",N(INDEX(Projects[Mechanical Eng],77)))</f>
        <v/>
      </c>
      <c r="BO78" s="5">
        <f>IF(A78="","",N(INDEX(Projects[Structural Engineering],77)))</f>
        <v/>
      </c>
      <c r="BP78" s="5">
        <f>IF(A78="","",N(INDEX(Projects[Site Sup],77)))</f>
        <v/>
      </c>
      <c r="BQ78" s="5">
        <f>IF(A78="","",N(INDEX(Projects[Controls Commissioning],77)))</f>
        <v/>
      </c>
      <c r="BR78" s="5">
        <f>IF(A78="","",N(INDEX(Projects[Systems Commissioning],77)))</f>
        <v/>
      </c>
      <c r="BS78" s="5">
        <f>IF(A78="","",N(INDEX(Projects[Service Commissioning],77)))</f>
        <v/>
      </c>
      <c r="BT78" s="5">
        <f>IF(A78="","",N(INDEX(Projects[Controls Eng],77)))</f>
        <v/>
      </c>
      <c r="BU78" s="5">
        <f>IF(A78="","",N(INDEX(Projects[Controls Purchase],77)))</f>
        <v/>
      </c>
      <c r="BV78" s="5">
        <f>IF(A78="","",N(INDEX(Projects[Software Eng],77)))</f>
        <v/>
      </c>
      <c r="BW78" s="5">
        <f>IF(A78="","",N(INDEX(Projects[Misc],77)))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  <c r="BZ78" s="5">
        <f>INDEX(Projects[Solution Type],77)&amp;""</f>
        <v/>
      </c>
      <c r="CA78" s="5">
        <f>INDEX(Projects[Client / Region],77)&amp;""</f>
        <v/>
      </c>
      <c r="CB78" s="5">
        <f>INDEX(Projects[Year],77)</f>
        <v/>
      </c>
      <c r="CC78" s="5">
        <f>INDEX(Projects[Won?],77)&amp;""</f>
        <v/>
      </c>
      <c r="CD78" s="5">
        <f>INDEX(Projects[Value (USD M)],77)</f>
        <v/>
      </c>
      <c r="CE78" s="5">
        <f>INDEX(Projects[MH Data Status],77)&amp;""</f>
        <v/>
      </c>
    </row>
    <row r="79" ht="15" customHeight="1" s="74">
      <c r="A79" s="66">
        <f>INDEX(Projects[Project ID *],78)&amp;""</f>
        <v/>
      </c>
      <c r="B79" s="66">
        <f>INDEX(Projects[Project Name *],78)&amp;""</f>
        <v/>
      </c>
      <c r="C79" s="66">
        <f>INDEX(Projects[MS Shuttles],78)</f>
        <v/>
      </c>
      <c r="D79" s="66">
        <f>INDEX(Projects[MS Tote Locations],78)</f>
        <v/>
      </c>
      <c r="E79" s="66">
        <f>INDEX(Projects[AS Robots],78)</f>
        <v/>
      </c>
      <c r="F79" s="66">
        <f>INDEX(Projects[AS Tote Locations],78)</f>
        <v/>
      </c>
      <c r="G79" s="66">
        <f>INDEX(Projects[PS Shuttles],78)</f>
        <v/>
      </c>
      <c r="H79" s="66">
        <f>INDEX(Projects[PS Pallet Locations],78)</f>
        <v/>
      </c>
      <c r="I79" s="66">
        <f>INDEX(Projects[SRM Cranes],78)</f>
        <v/>
      </c>
      <c r="J79" s="66">
        <f>INDEX(Projects[SRM Pallet Locations],78)</f>
        <v/>
      </c>
      <c r="K79" s="66">
        <f>INDEX(Projects[Case Conv (m)],78)</f>
        <v/>
      </c>
      <c r="L79" s="66">
        <f>INDEX(Projects[Pallet Conv (m)],78)</f>
        <v/>
      </c>
      <c r="M79" s="66">
        <f>INDEX(Projects[Mech Eng (wks)],78)</f>
        <v/>
      </c>
      <c r="N79" s="66">
        <f>INDEX(Projects[Controls Eng (wks)],78)</f>
        <v/>
      </c>
      <c r="O79" s="66">
        <f>INDEX(Projects[Systems Eng (wks)],78)</f>
        <v/>
      </c>
      <c r="P79" s="66">
        <f>INDEX(Projects[Software Eng (wks)],78)</f>
        <v/>
      </c>
      <c r="Q79" s="66">
        <f>INDEX(Projects[M&amp;E Installation (wks)],78)</f>
        <v/>
      </c>
      <c r="R79" s="66">
        <f>INDEX(Projects[Commissioning (wks)],78)</f>
        <v/>
      </c>
      <c r="S79" s="66">
        <f>INDEX(Projects[Total Timeline (wks)],78)</f>
        <v/>
      </c>
      <c r="T79" s="66">
        <f>INDEX(Projects[Currency],78)&amp;""</f>
        <v/>
      </c>
      <c r="U79" s="67">
        <f>INDEX(Projects[Value (M)],78)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INDEX(Projects[Automation Equipment],78)&amp;""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IF(AND(A79&lt;&gt;"",OR('Smart Search'!$L$5="",'Smart Search'!$L$5="All",TRIM(BZ79)=TRIM('Smart Search'!$L$5)),OR(TRIM('Smart Search'!$L$6)="",TRIM('Smart Search'!$L$6)="All",ISNUMBER(SEARCH(SUBSTITUTE(SUBSTITUTE(SUBSTITUTE(TRIM('Smart Search'!$L$6),"~","~~"),"*","~*"),"?","~?"),CA79))),OR('Smart Search'!$L$7="",AND(CB79&lt;&gt;0,CB79='Smart Search'!$L$7)),OR('Smart Search'!$L$8="",'Smart Search'!$L$8="All",TRIM(CC79)=TRIM('Smart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IF(A79="","",N(INDEX(Projects[Mech Inst],78)))</f>
        <v/>
      </c>
      <c r="BK79" s="5">
        <f>IF(A79="","",N(INDEX(Projects[Elec Inst],78)))</f>
        <v/>
      </c>
      <c r="BL79" s="5">
        <f>IF(A79="","",N(INDEX(Projects[Project Management],78)))</f>
        <v/>
      </c>
      <c r="BM79" s="5">
        <f>IF(A79="","",N(INDEX(Projects[Systems Eng],78)))</f>
        <v/>
      </c>
      <c r="BN79" s="5">
        <f>IF(A79="","",N(INDEX(Projects[Mechanical Eng],78)))</f>
        <v/>
      </c>
      <c r="BO79" s="5">
        <f>IF(A79="","",N(INDEX(Projects[Structural Engineering],78)))</f>
        <v/>
      </c>
      <c r="BP79" s="5">
        <f>IF(A79="","",N(INDEX(Projects[Site Sup],78)))</f>
        <v/>
      </c>
      <c r="BQ79" s="5">
        <f>IF(A79="","",N(INDEX(Projects[Controls Commissioning],78)))</f>
        <v/>
      </c>
      <c r="BR79" s="5">
        <f>IF(A79="","",N(INDEX(Projects[Systems Commissioning],78)))</f>
        <v/>
      </c>
      <c r="BS79" s="5">
        <f>IF(A79="","",N(INDEX(Projects[Service Commissioning],78)))</f>
        <v/>
      </c>
      <c r="BT79" s="5">
        <f>IF(A79="","",N(INDEX(Projects[Controls Eng],78)))</f>
        <v/>
      </c>
      <c r="BU79" s="5">
        <f>IF(A79="","",N(INDEX(Projects[Controls Purchase],78)))</f>
        <v/>
      </c>
      <c r="BV79" s="5">
        <f>IF(A79="","",N(INDEX(Projects[Software Eng],78)))</f>
        <v/>
      </c>
      <c r="BW79" s="5">
        <f>IF(A79="","",N(INDEX(Projects[Misc],78)))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  <c r="BZ79" s="5">
        <f>INDEX(Projects[Solution Type],78)&amp;""</f>
        <v/>
      </c>
      <c r="CA79" s="5">
        <f>INDEX(Projects[Client / Region],78)&amp;""</f>
        <v/>
      </c>
      <c r="CB79" s="5">
        <f>INDEX(Projects[Year],78)</f>
        <v/>
      </c>
      <c r="CC79" s="5">
        <f>INDEX(Projects[Won?],78)&amp;""</f>
        <v/>
      </c>
      <c r="CD79" s="5">
        <f>INDEX(Projects[Value (USD M)],78)</f>
        <v/>
      </c>
      <c r="CE79" s="5">
        <f>INDEX(Projects[MH Data Status],78)&amp;""</f>
        <v/>
      </c>
    </row>
    <row r="80" ht="15" customHeight="1" s="74">
      <c r="A80" s="66">
        <f>INDEX(Projects[Project ID *],79)&amp;""</f>
        <v/>
      </c>
      <c r="B80" s="66">
        <f>INDEX(Projects[Project Name *],79)&amp;""</f>
        <v/>
      </c>
      <c r="C80" s="66">
        <f>INDEX(Projects[MS Shuttles],79)</f>
        <v/>
      </c>
      <c r="D80" s="66">
        <f>INDEX(Projects[MS Tote Locations],79)</f>
        <v/>
      </c>
      <c r="E80" s="66">
        <f>INDEX(Projects[AS Robots],79)</f>
        <v/>
      </c>
      <c r="F80" s="66">
        <f>INDEX(Projects[AS Tote Locations],79)</f>
        <v/>
      </c>
      <c r="G80" s="66">
        <f>INDEX(Projects[PS Shuttles],79)</f>
        <v/>
      </c>
      <c r="H80" s="66">
        <f>INDEX(Projects[PS Pallet Locations],79)</f>
        <v/>
      </c>
      <c r="I80" s="66">
        <f>INDEX(Projects[SRM Cranes],79)</f>
        <v/>
      </c>
      <c r="J80" s="66">
        <f>INDEX(Projects[SRM Pallet Locations],79)</f>
        <v/>
      </c>
      <c r="K80" s="66">
        <f>INDEX(Projects[Case Conv (m)],79)</f>
        <v/>
      </c>
      <c r="L80" s="66">
        <f>INDEX(Projects[Pallet Conv (m)],79)</f>
        <v/>
      </c>
      <c r="M80" s="66">
        <f>INDEX(Projects[Mech Eng (wks)],79)</f>
        <v/>
      </c>
      <c r="N80" s="66">
        <f>INDEX(Projects[Controls Eng (wks)],79)</f>
        <v/>
      </c>
      <c r="O80" s="66">
        <f>INDEX(Projects[Systems Eng (wks)],79)</f>
        <v/>
      </c>
      <c r="P80" s="66">
        <f>INDEX(Projects[Software Eng (wks)],79)</f>
        <v/>
      </c>
      <c r="Q80" s="66">
        <f>INDEX(Projects[M&amp;E Installation (wks)],79)</f>
        <v/>
      </c>
      <c r="R80" s="66">
        <f>INDEX(Projects[Commissioning (wks)],79)</f>
        <v/>
      </c>
      <c r="S80" s="66">
        <f>INDEX(Projects[Total Timeline (wks)],79)</f>
        <v/>
      </c>
      <c r="T80" s="66">
        <f>INDEX(Projects[Currency],79)&amp;""</f>
        <v/>
      </c>
      <c r="U80" s="67">
        <f>INDEX(Projects[Value (M)],79)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INDEX(Projects[Automation Equipment],79)&amp;""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IF(AND(A80&lt;&gt;"",OR('Smart Search'!$L$5="",'Smart Search'!$L$5="All",TRIM(BZ80)=TRIM('Smart Search'!$L$5)),OR(TRIM('Smart Search'!$L$6)="",TRIM('Smart Search'!$L$6)="All",ISNUMBER(SEARCH(SUBSTITUTE(SUBSTITUTE(SUBSTITUTE(TRIM('Smart Search'!$L$6),"~","~~"),"*","~*"),"?","~?"),CA80))),OR('Smart Search'!$L$7="",AND(CB80&lt;&gt;0,CB80='Smart Search'!$L$7)),OR('Smart Search'!$L$8="",'Smart Search'!$L$8="All",TRIM(CC80)=TRIM('Smart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IF(A80="","",N(INDEX(Projects[Mech Inst],79)))</f>
        <v/>
      </c>
      <c r="BK80" s="5">
        <f>IF(A80="","",N(INDEX(Projects[Elec Inst],79)))</f>
        <v/>
      </c>
      <c r="BL80" s="5">
        <f>IF(A80="","",N(INDEX(Projects[Project Management],79)))</f>
        <v/>
      </c>
      <c r="BM80" s="5">
        <f>IF(A80="","",N(INDEX(Projects[Systems Eng],79)))</f>
        <v/>
      </c>
      <c r="BN80" s="5">
        <f>IF(A80="","",N(INDEX(Projects[Mechanical Eng],79)))</f>
        <v/>
      </c>
      <c r="BO80" s="5">
        <f>IF(A80="","",N(INDEX(Projects[Structural Engineering],79)))</f>
        <v/>
      </c>
      <c r="BP80" s="5">
        <f>IF(A80="","",N(INDEX(Projects[Site Sup],79)))</f>
        <v/>
      </c>
      <c r="BQ80" s="5">
        <f>IF(A80="","",N(INDEX(Projects[Controls Commissioning],79)))</f>
        <v/>
      </c>
      <c r="BR80" s="5">
        <f>IF(A80="","",N(INDEX(Projects[Systems Commissioning],79)))</f>
        <v/>
      </c>
      <c r="BS80" s="5">
        <f>IF(A80="","",N(INDEX(Projects[Service Commissioning],79)))</f>
        <v/>
      </c>
      <c r="BT80" s="5">
        <f>IF(A80="","",N(INDEX(Projects[Controls Eng],79)))</f>
        <v/>
      </c>
      <c r="BU80" s="5">
        <f>IF(A80="","",N(INDEX(Projects[Controls Purchase],79)))</f>
        <v/>
      </c>
      <c r="BV80" s="5">
        <f>IF(A80="","",N(INDEX(Projects[Software Eng],79)))</f>
        <v/>
      </c>
      <c r="BW80" s="5">
        <f>IF(A80="","",N(INDEX(Projects[Misc],79)))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  <c r="BZ80" s="5">
        <f>INDEX(Projects[Solution Type],79)&amp;""</f>
        <v/>
      </c>
      <c r="CA80" s="5">
        <f>INDEX(Projects[Client / Region],79)&amp;""</f>
        <v/>
      </c>
      <c r="CB80" s="5">
        <f>INDEX(Projects[Year],79)</f>
        <v/>
      </c>
      <c r="CC80" s="5">
        <f>INDEX(Projects[Won?],79)&amp;""</f>
        <v/>
      </c>
      <c r="CD80" s="5">
        <f>INDEX(Projects[Value (USD M)],79)</f>
        <v/>
      </c>
      <c r="CE80" s="5">
        <f>INDEX(Projects[MH Data Status],79)&amp;""</f>
        <v/>
      </c>
    </row>
    <row r="81" ht="15" customHeight="1" s="74">
      <c r="A81" s="66">
        <f>INDEX(Projects[Project ID *],80)&amp;""</f>
        <v/>
      </c>
      <c r="B81" s="66">
        <f>INDEX(Projects[Project Name *],80)&amp;""</f>
        <v/>
      </c>
      <c r="C81" s="66">
        <f>INDEX(Projects[MS Shuttles],80)</f>
        <v/>
      </c>
      <c r="D81" s="66">
        <f>INDEX(Projects[MS Tote Locations],80)</f>
        <v/>
      </c>
      <c r="E81" s="66">
        <f>INDEX(Projects[AS Robots],80)</f>
        <v/>
      </c>
      <c r="F81" s="66">
        <f>INDEX(Projects[AS Tote Locations],80)</f>
        <v/>
      </c>
      <c r="G81" s="66">
        <f>INDEX(Projects[PS Shuttles],80)</f>
        <v/>
      </c>
      <c r="H81" s="66">
        <f>INDEX(Projects[PS Pallet Locations],80)</f>
        <v/>
      </c>
      <c r="I81" s="66">
        <f>INDEX(Projects[SRM Cranes],80)</f>
        <v/>
      </c>
      <c r="J81" s="66">
        <f>INDEX(Projects[SRM Pallet Locations],80)</f>
        <v/>
      </c>
      <c r="K81" s="66">
        <f>INDEX(Projects[Case Conv (m)],80)</f>
        <v/>
      </c>
      <c r="L81" s="66">
        <f>INDEX(Projects[Pallet Conv (m)],80)</f>
        <v/>
      </c>
      <c r="M81" s="66">
        <f>INDEX(Projects[Mech Eng (wks)],80)</f>
        <v/>
      </c>
      <c r="N81" s="66">
        <f>INDEX(Projects[Controls Eng (wks)],80)</f>
        <v/>
      </c>
      <c r="O81" s="66">
        <f>INDEX(Projects[Systems Eng (wks)],80)</f>
        <v/>
      </c>
      <c r="P81" s="66">
        <f>INDEX(Projects[Software Eng (wks)],80)</f>
        <v/>
      </c>
      <c r="Q81" s="66">
        <f>INDEX(Projects[M&amp;E Installation (wks)],80)</f>
        <v/>
      </c>
      <c r="R81" s="66">
        <f>INDEX(Projects[Commissioning (wks)],80)</f>
        <v/>
      </c>
      <c r="S81" s="66">
        <f>INDEX(Projects[Total Timeline (wks)],80)</f>
        <v/>
      </c>
      <c r="T81" s="66">
        <f>INDEX(Projects[Currency],80)&amp;""</f>
        <v/>
      </c>
      <c r="U81" s="67">
        <f>INDEX(Projects[Value (M)],80)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INDEX(Projects[Automation Equipment],80)&amp;""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IF(AND(A81&lt;&gt;"",OR('Smart Search'!$L$5="",'Smart Search'!$L$5="All",TRIM(BZ81)=TRIM('Smart Search'!$L$5)),OR(TRIM('Smart Search'!$L$6)="",TRIM('Smart Search'!$L$6)="All",ISNUMBER(SEARCH(SUBSTITUTE(SUBSTITUTE(SUBSTITUTE(TRIM('Smart Search'!$L$6),"~","~~"),"*","~*"),"?","~?"),CA81))),OR('Smart Search'!$L$7="",AND(CB81&lt;&gt;0,CB81='Smart Search'!$L$7)),OR('Smart Search'!$L$8="",'Smart Search'!$L$8="All",TRIM(CC81)=TRIM('Smart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IF(A81="","",N(INDEX(Projects[Mech Inst],80)))</f>
        <v/>
      </c>
      <c r="BK81" s="5">
        <f>IF(A81="","",N(INDEX(Projects[Elec Inst],80)))</f>
        <v/>
      </c>
      <c r="BL81" s="5">
        <f>IF(A81="","",N(INDEX(Projects[Project Management],80)))</f>
        <v/>
      </c>
      <c r="BM81" s="5">
        <f>IF(A81="","",N(INDEX(Projects[Systems Eng],80)))</f>
        <v/>
      </c>
      <c r="BN81" s="5">
        <f>IF(A81="","",N(INDEX(Projects[Mechanical Eng],80)))</f>
        <v/>
      </c>
      <c r="BO81" s="5">
        <f>IF(A81="","",N(INDEX(Projects[Structural Engineering],80)))</f>
        <v/>
      </c>
      <c r="BP81" s="5">
        <f>IF(A81="","",N(INDEX(Projects[Site Sup],80)))</f>
        <v/>
      </c>
      <c r="BQ81" s="5">
        <f>IF(A81="","",N(INDEX(Projects[Controls Commissioning],80)))</f>
        <v/>
      </c>
      <c r="BR81" s="5">
        <f>IF(A81="","",N(INDEX(Projects[Systems Commissioning],80)))</f>
        <v/>
      </c>
      <c r="BS81" s="5">
        <f>IF(A81="","",N(INDEX(Projects[Service Commissioning],80)))</f>
        <v/>
      </c>
      <c r="BT81" s="5">
        <f>IF(A81="","",N(INDEX(Projects[Controls Eng],80)))</f>
        <v/>
      </c>
      <c r="BU81" s="5">
        <f>IF(A81="","",N(INDEX(Projects[Controls Purchase],80)))</f>
        <v/>
      </c>
      <c r="BV81" s="5">
        <f>IF(A81="","",N(INDEX(Projects[Software Eng],80)))</f>
        <v/>
      </c>
      <c r="BW81" s="5">
        <f>IF(A81="","",N(INDEX(Projects[Misc],80)))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  <c r="BZ81" s="5">
        <f>INDEX(Projects[Solution Type],80)&amp;""</f>
        <v/>
      </c>
      <c r="CA81" s="5">
        <f>INDEX(Projects[Client / Region],80)&amp;""</f>
        <v/>
      </c>
      <c r="CB81" s="5">
        <f>INDEX(Projects[Year],80)</f>
        <v/>
      </c>
      <c r="CC81" s="5">
        <f>INDEX(Projects[Won?],80)&amp;""</f>
        <v/>
      </c>
      <c r="CD81" s="5">
        <f>INDEX(Projects[Value (USD M)],80)</f>
        <v/>
      </c>
      <c r="CE81" s="5">
        <f>INDEX(Projects[MH Data Status],80)&amp;""</f>
        <v/>
      </c>
    </row>
    <row r="82" ht="15" customHeight="1" s="74">
      <c r="A82" s="66">
        <f>INDEX(Projects[Project ID *],81)&amp;""</f>
        <v/>
      </c>
      <c r="B82" s="66">
        <f>INDEX(Projects[Project Name *],81)&amp;""</f>
        <v/>
      </c>
      <c r="C82" s="66">
        <f>INDEX(Projects[MS Shuttles],81)</f>
        <v/>
      </c>
      <c r="D82" s="66">
        <f>INDEX(Projects[MS Tote Locations],81)</f>
        <v/>
      </c>
      <c r="E82" s="66">
        <f>INDEX(Projects[AS Robots],81)</f>
        <v/>
      </c>
      <c r="F82" s="66">
        <f>INDEX(Projects[AS Tote Locations],81)</f>
        <v/>
      </c>
      <c r="G82" s="66">
        <f>INDEX(Projects[PS Shuttles],81)</f>
        <v/>
      </c>
      <c r="H82" s="66">
        <f>INDEX(Projects[PS Pallet Locations],81)</f>
        <v/>
      </c>
      <c r="I82" s="66">
        <f>INDEX(Projects[SRM Cranes],81)</f>
        <v/>
      </c>
      <c r="J82" s="66">
        <f>INDEX(Projects[SRM Pallet Locations],81)</f>
        <v/>
      </c>
      <c r="K82" s="66">
        <f>INDEX(Projects[Case Conv (m)],81)</f>
        <v/>
      </c>
      <c r="L82" s="66">
        <f>INDEX(Projects[Pallet Conv (m)],81)</f>
        <v/>
      </c>
      <c r="M82" s="66">
        <f>INDEX(Projects[Mech Eng (wks)],81)</f>
        <v/>
      </c>
      <c r="N82" s="66">
        <f>INDEX(Projects[Controls Eng (wks)],81)</f>
        <v/>
      </c>
      <c r="O82" s="66">
        <f>INDEX(Projects[Systems Eng (wks)],81)</f>
        <v/>
      </c>
      <c r="P82" s="66">
        <f>INDEX(Projects[Software Eng (wks)],81)</f>
        <v/>
      </c>
      <c r="Q82" s="66">
        <f>INDEX(Projects[M&amp;E Installation (wks)],81)</f>
        <v/>
      </c>
      <c r="R82" s="66">
        <f>INDEX(Projects[Commissioning (wks)],81)</f>
        <v/>
      </c>
      <c r="S82" s="66">
        <f>INDEX(Projects[Total Timeline (wks)],81)</f>
        <v/>
      </c>
      <c r="T82" s="66">
        <f>INDEX(Projects[Currency],81)&amp;""</f>
        <v/>
      </c>
      <c r="U82" s="67">
        <f>INDEX(Projects[Value (M)],81)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INDEX(Projects[Automation Equipment],81)&amp;""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IF(AND(A82&lt;&gt;"",OR('Smart Search'!$L$5="",'Smart Search'!$L$5="All",TRIM(BZ82)=TRIM('Smart Search'!$L$5)),OR(TRIM('Smart Search'!$L$6)="",TRIM('Smart Search'!$L$6)="All",ISNUMBER(SEARCH(SUBSTITUTE(SUBSTITUTE(SUBSTITUTE(TRIM('Smart Search'!$L$6),"~","~~"),"*","~*"),"?","~?"),CA82))),OR('Smart Search'!$L$7="",AND(CB82&lt;&gt;0,CB82='Smart Search'!$L$7)),OR('Smart Search'!$L$8="",'Smart Search'!$L$8="All",TRIM(CC82)=TRIM('Smart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IF(A82="","",N(INDEX(Projects[Mech Inst],81)))</f>
        <v/>
      </c>
      <c r="BK82" s="5">
        <f>IF(A82="","",N(INDEX(Projects[Elec Inst],81)))</f>
        <v/>
      </c>
      <c r="BL82" s="5">
        <f>IF(A82="","",N(INDEX(Projects[Project Management],81)))</f>
        <v/>
      </c>
      <c r="BM82" s="5">
        <f>IF(A82="","",N(INDEX(Projects[Systems Eng],81)))</f>
        <v/>
      </c>
      <c r="BN82" s="5">
        <f>IF(A82="","",N(INDEX(Projects[Mechanical Eng],81)))</f>
        <v/>
      </c>
      <c r="BO82" s="5">
        <f>IF(A82="","",N(INDEX(Projects[Structural Engineering],81)))</f>
        <v/>
      </c>
      <c r="BP82" s="5">
        <f>IF(A82="","",N(INDEX(Projects[Site Sup],81)))</f>
        <v/>
      </c>
      <c r="BQ82" s="5">
        <f>IF(A82="","",N(INDEX(Projects[Controls Commissioning],81)))</f>
        <v/>
      </c>
      <c r="BR82" s="5">
        <f>IF(A82="","",N(INDEX(Projects[Systems Commissioning],81)))</f>
        <v/>
      </c>
      <c r="BS82" s="5">
        <f>IF(A82="","",N(INDEX(Projects[Service Commissioning],81)))</f>
        <v/>
      </c>
      <c r="BT82" s="5">
        <f>IF(A82="","",N(INDEX(Projects[Controls Eng],81)))</f>
        <v/>
      </c>
      <c r="BU82" s="5">
        <f>IF(A82="","",N(INDEX(Projects[Controls Purchase],81)))</f>
        <v/>
      </c>
      <c r="BV82" s="5">
        <f>IF(A82="","",N(INDEX(Projects[Software Eng],81)))</f>
        <v/>
      </c>
      <c r="BW82" s="5">
        <f>IF(A82="","",N(INDEX(Projects[Misc],81)))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  <c r="BZ82" s="5">
        <f>INDEX(Projects[Solution Type],81)&amp;""</f>
        <v/>
      </c>
      <c r="CA82" s="5">
        <f>INDEX(Projects[Client / Region],81)&amp;""</f>
        <v/>
      </c>
      <c r="CB82" s="5">
        <f>INDEX(Projects[Year],81)</f>
        <v/>
      </c>
      <c r="CC82" s="5">
        <f>INDEX(Projects[Won?],81)&amp;""</f>
        <v/>
      </c>
      <c r="CD82" s="5">
        <f>INDEX(Projects[Value (USD M)],81)</f>
        <v/>
      </c>
      <c r="CE82" s="5">
        <f>INDEX(Projects[MH Data Status],81)&amp;""</f>
        <v/>
      </c>
    </row>
    <row r="83" ht="15" customHeight="1" s="74">
      <c r="A83" s="66">
        <f>INDEX(Projects[Project ID *],82)&amp;""</f>
        <v/>
      </c>
      <c r="B83" s="66">
        <f>INDEX(Projects[Project Name *],82)&amp;""</f>
        <v/>
      </c>
      <c r="C83" s="66">
        <f>INDEX(Projects[MS Shuttles],82)</f>
        <v/>
      </c>
      <c r="D83" s="66">
        <f>INDEX(Projects[MS Tote Locations],82)</f>
        <v/>
      </c>
      <c r="E83" s="66">
        <f>INDEX(Projects[AS Robots],82)</f>
        <v/>
      </c>
      <c r="F83" s="66">
        <f>INDEX(Projects[AS Tote Locations],82)</f>
        <v/>
      </c>
      <c r="G83" s="66">
        <f>INDEX(Projects[PS Shuttles],82)</f>
        <v/>
      </c>
      <c r="H83" s="66">
        <f>INDEX(Projects[PS Pallet Locations],82)</f>
        <v/>
      </c>
      <c r="I83" s="66">
        <f>INDEX(Projects[SRM Cranes],82)</f>
        <v/>
      </c>
      <c r="J83" s="66">
        <f>INDEX(Projects[SRM Pallet Locations],82)</f>
        <v/>
      </c>
      <c r="K83" s="66">
        <f>INDEX(Projects[Case Conv (m)],82)</f>
        <v/>
      </c>
      <c r="L83" s="66">
        <f>INDEX(Projects[Pallet Conv (m)],82)</f>
        <v/>
      </c>
      <c r="M83" s="66">
        <f>INDEX(Projects[Mech Eng (wks)],82)</f>
        <v/>
      </c>
      <c r="N83" s="66">
        <f>INDEX(Projects[Controls Eng (wks)],82)</f>
        <v/>
      </c>
      <c r="O83" s="66">
        <f>INDEX(Projects[Systems Eng (wks)],82)</f>
        <v/>
      </c>
      <c r="P83" s="66">
        <f>INDEX(Projects[Software Eng (wks)],82)</f>
        <v/>
      </c>
      <c r="Q83" s="66">
        <f>INDEX(Projects[M&amp;E Installation (wks)],82)</f>
        <v/>
      </c>
      <c r="R83" s="66">
        <f>INDEX(Projects[Commissioning (wks)],82)</f>
        <v/>
      </c>
      <c r="S83" s="66">
        <f>INDEX(Projects[Total Timeline (wks)],82)</f>
        <v/>
      </c>
      <c r="T83" s="66">
        <f>INDEX(Projects[Currency],82)&amp;""</f>
        <v/>
      </c>
      <c r="U83" s="67">
        <f>INDEX(Projects[Value (M)],82)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INDEX(Projects[Automation Equipment],82)&amp;""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IF(AND(A83&lt;&gt;"",OR('Smart Search'!$L$5="",'Smart Search'!$L$5="All",TRIM(BZ83)=TRIM('Smart Search'!$L$5)),OR(TRIM('Smart Search'!$L$6)="",TRIM('Smart Search'!$L$6)="All",ISNUMBER(SEARCH(SUBSTITUTE(SUBSTITUTE(SUBSTITUTE(TRIM('Smart Search'!$L$6),"~","~~"),"*","~*"),"?","~?"),CA83))),OR('Smart Search'!$L$7="",AND(CB83&lt;&gt;0,CB83='Smart Search'!$L$7)),OR('Smart Search'!$L$8="",'Smart Search'!$L$8="All",TRIM(CC83)=TRIM('Smart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IF(A83="","",N(INDEX(Projects[Mech Inst],82)))</f>
        <v/>
      </c>
      <c r="BK83" s="5">
        <f>IF(A83="","",N(INDEX(Projects[Elec Inst],82)))</f>
        <v/>
      </c>
      <c r="BL83" s="5">
        <f>IF(A83="","",N(INDEX(Projects[Project Management],82)))</f>
        <v/>
      </c>
      <c r="BM83" s="5">
        <f>IF(A83="","",N(INDEX(Projects[Systems Eng],82)))</f>
        <v/>
      </c>
      <c r="BN83" s="5">
        <f>IF(A83="","",N(INDEX(Projects[Mechanical Eng],82)))</f>
        <v/>
      </c>
      <c r="BO83" s="5">
        <f>IF(A83="","",N(INDEX(Projects[Structural Engineering],82)))</f>
        <v/>
      </c>
      <c r="BP83" s="5">
        <f>IF(A83="","",N(INDEX(Projects[Site Sup],82)))</f>
        <v/>
      </c>
      <c r="BQ83" s="5">
        <f>IF(A83="","",N(INDEX(Projects[Controls Commissioning],82)))</f>
        <v/>
      </c>
      <c r="BR83" s="5">
        <f>IF(A83="","",N(INDEX(Projects[Systems Commissioning],82)))</f>
        <v/>
      </c>
      <c r="BS83" s="5">
        <f>IF(A83="","",N(INDEX(Projects[Service Commissioning],82)))</f>
        <v/>
      </c>
      <c r="BT83" s="5">
        <f>IF(A83="","",N(INDEX(Projects[Controls Eng],82)))</f>
        <v/>
      </c>
      <c r="BU83" s="5">
        <f>IF(A83="","",N(INDEX(Projects[Controls Purchase],82)))</f>
        <v/>
      </c>
      <c r="BV83" s="5">
        <f>IF(A83="","",N(INDEX(Projects[Software Eng],82)))</f>
        <v/>
      </c>
      <c r="BW83" s="5">
        <f>IF(A83="","",N(INDEX(Projects[Misc],82)))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  <c r="BZ83" s="5">
        <f>INDEX(Projects[Solution Type],82)&amp;""</f>
        <v/>
      </c>
      <c r="CA83" s="5">
        <f>INDEX(Projects[Client / Region],82)&amp;""</f>
        <v/>
      </c>
      <c r="CB83" s="5">
        <f>INDEX(Projects[Year],82)</f>
        <v/>
      </c>
      <c r="CC83" s="5">
        <f>INDEX(Projects[Won?],82)&amp;""</f>
        <v/>
      </c>
      <c r="CD83" s="5">
        <f>INDEX(Projects[Value (USD M)],82)</f>
        <v/>
      </c>
      <c r="CE83" s="5">
        <f>INDEX(Projects[MH Data Status],82)&amp;""</f>
        <v/>
      </c>
    </row>
    <row r="84" ht="15" customHeight="1" s="74">
      <c r="A84" s="66">
        <f>INDEX(Projects[Project ID *],83)&amp;""</f>
        <v/>
      </c>
      <c r="B84" s="66">
        <f>INDEX(Projects[Project Name *],83)&amp;""</f>
        <v/>
      </c>
      <c r="C84" s="66">
        <f>INDEX(Projects[MS Shuttles],83)</f>
        <v/>
      </c>
      <c r="D84" s="66">
        <f>INDEX(Projects[MS Tote Locations],83)</f>
        <v/>
      </c>
      <c r="E84" s="66">
        <f>INDEX(Projects[AS Robots],83)</f>
        <v/>
      </c>
      <c r="F84" s="66">
        <f>INDEX(Projects[AS Tote Locations],83)</f>
        <v/>
      </c>
      <c r="G84" s="66">
        <f>INDEX(Projects[PS Shuttles],83)</f>
        <v/>
      </c>
      <c r="H84" s="66">
        <f>INDEX(Projects[PS Pallet Locations],83)</f>
        <v/>
      </c>
      <c r="I84" s="66">
        <f>INDEX(Projects[SRM Cranes],83)</f>
        <v/>
      </c>
      <c r="J84" s="66">
        <f>INDEX(Projects[SRM Pallet Locations],83)</f>
        <v/>
      </c>
      <c r="K84" s="66">
        <f>INDEX(Projects[Case Conv (m)],83)</f>
        <v/>
      </c>
      <c r="L84" s="66">
        <f>INDEX(Projects[Pallet Conv (m)],83)</f>
        <v/>
      </c>
      <c r="M84" s="66">
        <f>INDEX(Projects[Mech Eng (wks)],83)</f>
        <v/>
      </c>
      <c r="N84" s="66">
        <f>INDEX(Projects[Controls Eng (wks)],83)</f>
        <v/>
      </c>
      <c r="O84" s="66">
        <f>INDEX(Projects[Systems Eng (wks)],83)</f>
        <v/>
      </c>
      <c r="P84" s="66">
        <f>INDEX(Projects[Software Eng (wks)],83)</f>
        <v/>
      </c>
      <c r="Q84" s="66">
        <f>INDEX(Projects[M&amp;E Installation (wks)],83)</f>
        <v/>
      </c>
      <c r="R84" s="66">
        <f>INDEX(Projects[Commissioning (wks)],83)</f>
        <v/>
      </c>
      <c r="S84" s="66">
        <f>INDEX(Projects[Total Timeline (wks)],83)</f>
        <v/>
      </c>
      <c r="T84" s="66">
        <f>INDEX(Projects[Currency],83)&amp;""</f>
        <v/>
      </c>
      <c r="U84" s="67">
        <f>INDEX(Projects[Value (M)],83)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INDEX(Projects[Automation Equipment],83)&amp;""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IF(AND(A84&lt;&gt;"",OR('Smart Search'!$L$5="",'Smart Search'!$L$5="All",TRIM(BZ84)=TRIM('Smart Search'!$L$5)),OR(TRIM('Smart Search'!$L$6)="",TRIM('Smart Search'!$L$6)="All",ISNUMBER(SEARCH(SUBSTITUTE(SUBSTITUTE(SUBSTITUTE(TRIM('Smart Search'!$L$6),"~","~~"),"*","~*"),"?","~?"),CA84))),OR('Smart Search'!$L$7="",AND(CB84&lt;&gt;0,CB84='Smart Search'!$L$7)),OR('Smart Search'!$L$8="",'Smart Search'!$L$8="All",TRIM(CC84)=TRIM('Smart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IF(A84="","",N(INDEX(Projects[Mech Inst],83)))</f>
        <v/>
      </c>
      <c r="BK84" s="5">
        <f>IF(A84="","",N(INDEX(Projects[Elec Inst],83)))</f>
        <v/>
      </c>
      <c r="BL84" s="5">
        <f>IF(A84="","",N(INDEX(Projects[Project Management],83)))</f>
        <v/>
      </c>
      <c r="BM84" s="5">
        <f>IF(A84="","",N(INDEX(Projects[Systems Eng],83)))</f>
        <v/>
      </c>
      <c r="BN84" s="5">
        <f>IF(A84="","",N(INDEX(Projects[Mechanical Eng],83)))</f>
        <v/>
      </c>
      <c r="BO84" s="5">
        <f>IF(A84="","",N(INDEX(Projects[Structural Engineering],83)))</f>
        <v/>
      </c>
      <c r="BP84" s="5">
        <f>IF(A84="","",N(INDEX(Projects[Site Sup],83)))</f>
        <v/>
      </c>
      <c r="BQ84" s="5">
        <f>IF(A84="","",N(INDEX(Projects[Controls Commissioning],83)))</f>
        <v/>
      </c>
      <c r="BR84" s="5">
        <f>IF(A84="","",N(INDEX(Projects[Systems Commissioning],83)))</f>
        <v/>
      </c>
      <c r="BS84" s="5">
        <f>IF(A84="","",N(INDEX(Projects[Service Commissioning],83)))</f>
        <v/>
      </c>
      <c r="BT84" s="5">
        <f>IF(A84="","",N(INDEX(Projects[Controls Eng],83)))</f>
        <v/>
      </c>
      <c r="BU84" s="5">
        <f>IF(A84="","",N(INDEX(Projects[Controls Purchase],83)))</f>
        <v/>
      </c>
      <c r="BV84" s="5">
        <f>IF(A84="","",N(INDEX(Projects[Software Eng],83)))</f>
        <v/>
      </c>
      <c r="BW84" s="5">
        <f>IF(A84="","",N(INDEX(Projects[Misc],83)))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  <c r="BZ84" s="5">
        <f>INDEX(Projects[Solution Type],83)&amp;""</f>
        <v/>
      </c>
      <c r="CA84" s="5">
        <f>INDEX(Projects[Client / Region],83)&amp;""</f>
        <v/>
      </c>
      <c r="CB84" s="5">
        <f>INDEX(Projects[Year],83)</f>
        <v/>
      </c>
      <c r="CC84" s="5">
        <f>INDEX(Projects[Won?],83)&amp;""</f>
        <v/>
      </c>
      <c r="CD84" s="5">
        <f>INDEX(Projects[Value (USD M)],83)</f>
        <v/>
      </c>
      <c r="CE84" s="5">
        <f>INDEX(Projects[MH Data Status],83)&amp;""</f>
        <v/>
      </c>
    </row>
    <row r="85" ht="15" customHeight="1" s="74">
      <c r="A85" s="66">
        <f>INDEX(Projects[Project ID *],84)&amp;""</f>
        <v/>
      </c>
      <c r="B85" s="66">
        <f>INDEX(Projects[Project Name *],84)&amp;""</f>
        <v/>
      </c>
      <c r="C85" s="66">
        <f>INDEX(Projects[MS Shuttles],84)</f>
        <v/>
      </c>
      <c r="D85" s="66">
        <f>INDEX(Projects[MS Tote Locations],84)</f>
        <v/>
      </c>
      <c r="E85" s="66">
        <f>INDEX(Projects[AS Robots],84)</f>
        <v/>
      </c>
      <c r="F85" s="66">
        <f>INDEX(Projects[AS Tote Locations],84)</f>
        <v/>
      </c>
      <c r="G85" s="66">
        <f>INDEX(Projects[PS Shuttles],84)</f>
        <v/>
      </c>
      <c r="H85" s="66">
        <f>INDEX(Projects[PS Pallet Locations],84)</f>
        <v/>
      </c>
      <c r="I85" s="66">
        <f>INDEX(Projects[SRM Cranes],84)</f>
        <v/>
      </c>
      <c r="J85" s="66">
        <f>INDEX(Projects[SRM Pallet Locations],84)</f>
        <v/>
      </c>
      <c r="K85" s="66">
        <f>INDEX(Projects[Case Conv (m)],84)</f>
        <v/>
      </c>
      <c r="L85" s="66">
        <f>INDEX(Projects[Pallet Conv (m)],84)</f>
        <v/>
      </c>
      <c r="M85" s="66">
        <f>INDEX(Projects[Mech Eng (wks)],84)</f>
        <v/>
      </c>
      <c r="N85" s="66">
        <f>INDEX(Projects[Controls Eng (wks)],84)</f>
        <v/>
      </c>
      <c r="O85" s="66">
        <f>INDEX(Projects[Systems Eng (wks)],84)</f>
        <v/>
      </c>
      <c r="P85" s="66">
        <f>INDEX(Projects[Software Eng (wks)],84)</f>
        <v/>
      </c>
      <c r="Q85" s="66">
        <f>INDEX(Projects[M&amp;E Installation (wks)],84)</f>
        <v/>
      </c>
      <c r="R85" s="66">
        <f>INDEX(Projects[Commissioning (wks)],84)</f>
        <v/>
      </c>
      <c r="S85" s="66">
        <f>INDEX(Projects[Total Timeline (wks)],84)</f>
        <v/>
      </c>
      <c r="T85" s="66">
        <f>INDEX(Projects[Currency],84)&amp;""</f>
        <v/>
      </c>
      <c r="U85" s="67">
        <f>INDEX(Projects[Value (M)],84)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INDEX(Projects[Automation Equipment],84)&amp;""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IF(AND(A85&lt;&gt;"",OR('Smart Search'!$L$5="",'Smart Search'!$L$5="All",TRIM(BZ85)=TRIM('Smart Search'!$L$5)),OR(TRIM('Smart Search'!$L$6)="",TRIM('Smart Search'!$L$6)="All",ISNUMBER(SEARCH(SUBSTITUTE(SUBSTITUTE(SUBSTITUTE(TRIM('Smart Search'!$L$6),"~","~~"),"*","~*"),"?","~?"),CA85))),OR('Smart Search'!$L$7="",AND(CB85&lt;&gt;0,CB85='Smart Search'!$L$7)),OR('Smart Search'!$L$8="",'Smart Search'!$L$8="All",TRIM(CC85)=TRIM('Smart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IF(A85="","",N(INDEX(Projects[Mech Inst],84)))</f>
        <v/>
      </c>
      <c r="BK85" s="5">
        <f>IF(A85="","",N(INDEX(Projects[Elec Inst],84)))</f>
        <v/>
      </c>
      <c r="BL85" s="5">
        <f>IF(A85="","",N(INDEX(Projects[Project Management],84)))</f>
        <v/>
      </c>
      <c r="BM85" s="5">
        <f>IF(A85="","",N(INDEX(Projects[Systems Eng],84)))</f>
        <v/>
      </c>
      <c r="BN85" s="5">
        <f>IF(A85="","",N(INDEX(Projects[Mechanical Eng],84)))</f>
        <v/>
      </c>
      <c r="BO85" s="5">
        <f>IF(A85="","",N(INDEX(Projects[Structural Engineering],84)))</f>
        <v/>
      </c>
      <c r="BP85" s="5">
        <f>IF(A85="","",N(INDEX(Projects[Site Sup],84)))</f>
        <v/>
      </c>
      <c r="BQ85" s="5">
        <f>IF(A85="","",N(INDEX(Projects[Controls Commissioning],84)))</f>
        <v/>
      </c>
      <c r="BR85" s="5">
        <f>IF(A85="","",N(INDEX(Projects[Systems Commissioning],84)))</f>
        <v/>
      </c>
      <c r="BS85" s="5">
        <f>IF(A85="","",N(INDEX(Projects[Service Commissioning],84)))</f>
        <v/>
      </c>
      <c r="BT85" s="5">
        <f>IF(A85="","",N(INDEX(Projects[Controls Eng],84)))</f>
        <v/>
      </c>
      <c r="BU85" s="5">
        <f>IF(A85="","",N(INDEX(Projects[Controls Purchase],84)))</f>
        <v/>
      </c>
      <c r="BV85" s="5">
        <f>IF(A85="","",N(INDEX(Projects[Software Eng],84)))</f>
        <v/>
      </c>
      <c r="BW85" s="5">
        <f>IF(A85="","",N(INDEX(Projects[Misc],84)))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  <c r="BZ85" s="5">
        <f>INDEX(Projects[Solution Type],84)&amp;""</f>
        <v/>
      </c>
      <c r="CA85" s="5">
        <f>INDEX(Projects[Client / Region],84)&amp;""</f>
        <v/>
      </c>
      <c r="CB85" s="5">
        <f>INDEX(Projects[Year],84)</f>
        <v/>
      </c>
      <c r="CC85" s="5">
        <f>INDEX(Projects[Won?],84)&amp;""</f>
        <v/>
      </c>
      <c r="CD85" s="5">
        <f>INDEX(Projects[Value (USD M)],84)</f>
        <v/>
      </c>
      <c r="CE85" s="5">
        <f>INDEX(Projects[MH Data Status],84)&amp;""</f>
        <v/>
      </c>
    </row>
    <row r="86" ht="15" customHeight="1" s="74">
      <c r="A86" s="66">
        <f>INDEX(Projects[Project ID *],85)&amp;""</f>
        <v/>
      </c>
      <c r="B86" s="66">
        <f>INDEX(Projects[Project Name *],85)&amp;""</f>
        <v/>
      </c>
      <c r="C86" s="66">
        <f>INDEX(Projects[MS Shuttles],85)</f>
        <v/>
      </c>
      <c r="D86" s="66">
        <f>INDEX(Projects[MS Tote Locations],85)</f>
        <v/>
      </c>
      <c r="E86" s="66">
        <f>INDEX(Projects[AS Robots],85)</f>
        <v/>
      </c>
      <c r="F86" s="66">
        <f>INDEX(Projects[AS Tote Locations],85)</f>
        <v/>
      </c>
      <c r="G86" s="66">
        <f>INDEX(Projects[PS Shuttles],85)</f>
        <v/>
      </c>
      <c r="H86" s="66">
        <f>INDEX(Projects[PS Pallet Locations],85)</f>
        <v/>
      </c>
      <c r="I86" s="66">
        <f>INDEX(Projects[SRM Cranes],85)</f>
        <v/>
      </c>
      <c r="J86" s="66">
        <f>INDEX(Projects[SRM Pallet Locations],85)</f>
        <v/>
      </c>
      <c r="K86" s="66">
        <f>INDEX(Projects[Case Conv (m)],85)</f>
        <v/>
      </c>
      <c r="L86" s="66">
        <f>INDEX(Projects[Pallet Conv (m)],85)</f>
        <v/>
      </c>
      <c r="M86" s="66">
        <f>INDEX(Projects[Mech Eng (wks)],85)</f>
        <v/>
      </c>
      <c r="N86" s="66">
        <f>INDEX(Projects[Controls Eng (wks)],85)</f>
        <v/>
      </c>
      <c r="O86" s="66">
        <f>INDEX(Projects[Systems Eng (wks)],85)</f>
        <v/>
      </c>
      <c r="P86" s="66">
        <f>INDEX(Projects[Software Eng (wks)],85)</f>
        <v/>
      </c>
      <c r="Q86" s="66">
        <f>INDEX(Projects[M&amp;E Installation (wks)],85)</f>
        <v/>
      </c>
      <c r="R86" s="66">
        <f>INDEX(Projects[Commissioning (wks)],85)</f>
        <v/>
      </c>
      <c r="S86" s="66">
        <f>INDEX(Projects[Total Timeline (wks)],85)</f>
        <v/>
      </c>
      <c r="T86" s="66">
        <f>INDEX(Projects[Currency],85)&amp;""</f>
        <v/>
      </c>
      <c r="U86" s="67">
        <f>INDEX(Projects[Value (M)],85)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INDEX(Projects[Automation Equipment],85)&amp;""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IF(AND(A86&lt;&gt;"",OR('Smart Search'!$L$5="",'Smart Search'!$L$5="All",TRIM(BZ86)=TRIM('Smart Search'!$L$5)),OR(TRIM('Smart Search'!$L$6)="",TRIM('Smart Search'!$L$6)="All",ISNUMBER(SEARCH(SUBSTITUTE(SUBSTITUTE(SUBSTITUTE(TRIM('Smart Search'!$L$6),"~","~~"),"*","~*"),"?","~?"),CA86))),OR('Smart Search'!$L$7="",AND(CB86&lt;&gt;0,CB86='Smart Search'!$L$7)),OR('Smart Search'!$L$8="",'Smart Search'!$L$8="All",TRIM(CC86)=TRIM('Smart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IF(A86="","",N(INDEX(Projects[Mech Inst],85)))</f>
        <v/>
      </c>
      <c r="BK86" s="5">
        <f>IF(A86="","",N(INDEX(Projects[Elec Inst],85)))</f>
        <v/>
      </c>
      <c r="BL86" s="5">
        <f>IF(A86="","",N(INDEX(Projects[Project Management],85)))</f>
        <v/>
      </c>
      <c r="BM86" s="5">
        <f>IF(A86="","",N(INDEX(Projects[Systems Eng],85)))</f>
        <v/>
      </c>
      <c r="BN86" s="5">
        <f>IF(A86="","",N(INDEX(Projects[Mechanical Eng],85)))</f>
        <v/>
      </c>
      <c r="BO86" s="5">
        <f>IF(A86="","",N(INDEX(Projects[Structural Engineering],85)))</f>
        <v/>
      </c>
      <c r="BP86" s="5">
        <f>IF(A86="","",N(INDEX(Projects[Site Sup],85)))</f>
        <v/>
      </c>
      <c r="BQ86" s="5">
        <f>IF(A86="","",N(INDEX(Projects[Controls Commissioning],85)))</f>
        <v/>
      </c>
      <c r="BR86" s="5">
        <f>IF(A86="","",N(INDEX(Projects[Systems Commissioning],85)))</f>
        <v/>
      </c>
      <c r="BS86" s="5">
        <f>IF(A86="","",N(INDEX(Projects[Service Commissioning],85)))</f>
        <v/>
      </c>
      <c r="BT86" s="5">
        <f>IF(A86="","",N(INDEX(Projects[Controls Eng],85)))</f>
        <v/>
      </c>
      <c r="BU86" s="5">
        <f>IF(A86="","",N(INDEX(Projects[Controls Purchase],85)))</f>
        <v/>
      </c>
      <c r="BV86" s="5">
        <f>IF(A86="","",N(INDEX(Projects[Software Eng],85)))</f>
        <v/>
      </c>
      <c r="BW86" s="5">
        <f>IF(A86="","",N(INDEX(Projects[Misc],85)))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  <c r="BZ86" s="5">
        <f>INDEX(Projects[Solution Type],85)&amp;""</f>
        <v/>
      </c>
      <c r="CA86" s="5">
        <f>INDEX(Projects[Client / Region],85)&amp;""</f>
        <v/>
      </c>
      <c r="CB86" s="5">
        <f>INDEX(Projects[Year],85)</f>
        <v/>
      </c>
      <c r="CC86" s="5">
        <f>INDEX(Projects[Won?],85)&amp;""</f>
        <v/>
      </c>
      <c r="CD86" s="5">
        <f>INDEX(Projects[Value (USD M)],85)</f>
        <v/>
      </c>
      <c r="CE86" s="5">
        <f>INDEX(Projects[MH Data Status],85)&amp;""</f>
        <v/>
      </c>
    </row>
    <row r="87" ht="15" customHeight="1" s="74">
      <c r="A87" s="66">
        <f>INDEX(Projects[Project ID *],86)&amp;""</f>
        <v/>
      </c>
      <c r="B87" s="66">
        <f>INDEX(Projects[Project Name *],86)&amp;""</f>
        <v/>
      </c>
      <c r="C87" s="66">
        <f>INDEX(Projects[MS Shuttles],86)</f>
        <v/>
      </c>
      <c r="D87" s="66">
        <f>INDEX(Projects[MS Tote Locations],86)</f>
        <v/>
      </c>
      <c r="E87" s="66">
        <f>INDEX(Projects[AS Robots],86)</f>
        <v/>
      </c>
      <c r="F87" s="66">
        <f>INDEX(Projects[AS Tote Locations],86)</f>
        <v/>
      </c>
      <c r="G87" s="66">
        <f>INDEX(Projects[PS Shuttles],86)</f>
        <v/>
      </c>
      <c r="H87" s="66">
        <f>INDEX(Projects[PS Pallet Locations],86)</f>
        <v/>
      </c>
      <c r="I87" s="66">
        <f>INDEX(Projects[SRM Cranes],86)</f>
        <v/>
      </c>
      <c r="J87" s="66">
        <f>INDEX(Projects[SRM Pallet Locations],86)</f>
        <v/>
      </c>
      <c r="K87" s="66">
        <f>INDEX(Projects[Case Conv (m)],86)</f>
        <v/>
      </c>
      <c r="L87" s="66">
        <f>INDEX(Projects[Pallet Conv (m)],86)</f>
        <v/>
      </c>
      <c r="M87" s="66">
        <f>INDEX(Projects[Mech Eng (wks)],86)</f>
        <v/>
      </c>
      <c r="N87" s="66">
        <f>INDEX(Projects[Controls Eng (wks)],86)</f>
        <v/>
      </c>
      <c r="O87" s="66">
        <f>INDEX(Projects[Systems Eng (wks)],86)</f>
        <v/>
      </c>
      <c r="P87" s="66">
        <f>INDEX(Projects[Software Eng (wks)],86)</f>
        <v/>
      </c>
      <c r="Q87" s="66">
        <f>INDEX(Projects[M&amp;E Installation (wks)],86)</f>
        <v/>
      </c>
      <c r="R87" s="66">
        <f>INDEX(Projects[Commissioning (wks)],86)</f>
        <v/>
      </c>
      <c r="S87" s="66">
        <f>INDEX(Projects[Total Timeline (wks)],86)</f>
        <v/>
      </c>
      <c r="T87" s="66">
        <f>INDEX(Projects[Currency],86)&amp;""</f>
        <v/>
      </c>
      <c r="U87" s="67">
        <f>INDEX(Projects[Value (M)],86)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INDEX(Projects[Automation Equipment],86)&amp;""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IF(AND(A87&lt;&gt;"",OR('Smart Search'!$L$5="",'Smart Search'!$L$5="All",TRIM(BZ87)=TRIM('Smart Search'!$L$5)),OR(TRIM('Smart Search'!$L$6)="",TRIM('Smart Search'!$L$6)="All",ISNUMBER(SEARCH(SUBSTITUTE(SUBSTITUTE(SUBSTITUTE(TRIM('Smart Search'!$L$6),"~","~~"),"*","~*"),"?","~?"),CA87))),OR('Smart Search'!$L$7="",AND(CB87&lt;&gt;0,CB87='Smart Search'!$L$7)),OR('Smart Search'!$L$8="",'Smart Search'!$L$8="All",TRIM(CC87)=TRIM('Smart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IF(A87="","",N(INDEX(Projects[Mech Inst],86)))</f>
        <v/>
      </c>
      <c r="BK87" s="5">
        <f>IF(A87="","",N(INDEX(Projects[Elec Inst],86)))</f>
        <v/>
      </c>
      <c r="BL87" s="5">
        <f>IF(A87="","",N(INDEX(Projects[Project Management],86)))</f>
        <v/>
      </c>
      <c r="BM87" s="5">
        <f>IF(A87="","",N(INDEX(Projects[Systems Eng],86)))</f>
        <v/>
      </c>
      <c r="BN87" s="5">
        <f>IF(A87="","",N(INDEX(Projects[Mechanical Eng],86)))</f>
        <v/>
      </c>
      <c r="BO87" s="5">
        <f>IF(A87="","",N(INDEX(Projects[Structural Engineering],86)))</f>
        <v/>
      </c>
      <c r="BP87" s="5">
        <f>IF(A87="","",N(INDEX(Projects[Site Sup],86)))</f>
        <v/>
      </c>
      <c r="BQ87" s="5">
        <f>IF(A87="","",N(INDEX(Projects[Controls Commissioning],86)))</f>
        <v/>
      </c>
      <c r="BR87" s="5">
        <f>IF(A87="","",N(INDEX(Projects[Systems Commissioning],86)))</f>
        <v/>
      </c>
      <c r="BS87" s="5">
        <f>IF(A87="","",N(INDEX(Projects[Service Commissioning],86)))</f>
        <v/>
      </c>
      <c r="BT87" s="5">
        <f>IF(A87="","",N(INDEX(Projects[Controls Eng],86)))</f>
        <v/>
      </c>
      <c r="BU87" s="5">
        <f>IF(A87="","",N(INDEX(Projects[Controls Purchase],86)))</f>
        <v/>
      </c>
      <c r="BV87" s="5">
        <f>IF(A87="","",N(INDEX(Projects[Software Eng],86)))</f>
        <v/>
      </c>
      <c r="BW87" s="5">
        <f>IF(A87="","",N(INDEX(Projects[Misc],86)))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  <c r="BZ87" s="5">
        <f>INDEX(Projects[Solution Type],86)&amp;""</f>
        <v/>
      </c>
      <c r="CA87" s="5">
        <f>INDEX(Projects[Client / Region],86)&amp;""</f>
        <v/>
      </c>
      <c r="CB87" s="5">
        <f>INDEX(Projects[Year],86)</f>
        <v/>
      </c>
      <c r="CC87" s="5">
        <f>INDEX(Projects[Won?],86)&amp;""</f>
        <v/>
      </c>
      <c r="CD87" s="5">
        <f>INDEX(Projects[Value (USD M)],86)</f>
        <v/>
      </c>
      <c r="CE87" s="5">
        <f>INDEX(Projects[MH Data Status],86)&amp;""</f>
        <v/>
      </c>
    </row>
    <row r="88" ht="15" customHeight="1" s="74">
      <c r="A88" s="66">
        <f>INDEX(Projects[Project ID *],87)&amp;""</f>
        <v/>
      </c>
      <c r="B88" s="66">
        <f>INDEX(Projects[Project Name *],87)&amp;""</f>
        <v/>
      </c>
      <c r="C88" s="66">
        <f>INDEX(Projects[MS Shuttles],87)</f>
        <v/>
      </c>
      <c r="D88" s="66">
        <f>INDEX(Projects[MS Tote Locations],87)</f>
        <v/>
      </c>
      <c r="E88" s="66">
        <f>INDEX(Projects[AS Robots],87)</f>
        <v/>
      </c>
      <c r="F88" s="66">
        <f>INDEX(Projects[AS Tote Locations],87)</f>
        <v/>
      </c>
      <c r="G88" s="66">
        <f>INDEX(Projects[PS Shuttles],87)</f>
        <v/>
      </c>
      <c r="H88" s="66">
        <f>INDEX(Projects[PS Pallet Locations],87)</f>
        <v/>
      </c>
      <c r="I88" s="66">
        <f>INDEX(Projects[SRM Cranes],87)</f>
        <v/>
      </c>
      <c r="J88" s="66">
        <f>INDEX(Projects[SRM Pallet Locations],87)</f>
        <v/>
      </c>
      <c r="K88" s="66">
        <f>INDEX(Projects[Case Conv (m)],87)</f>
        <v/>
      </c>
      <c r="L88" s="66">
        <f>INDEX(Projects[Pallet Conv (m)],87)</f>
        <v/>
      </c>
      <c r="M88" s="66">
        <f>INDEX(Projects[Mech Eng (wks)],87)</f>
        <v/>
      </c>
      <c r="N88" s="66">
        <f>INDEX(Projects[Controls Eng (wks)],87)</f>
        <v/>
      </c>
      <c r="O88" s="66">
        <f>INDEX(Projects[Systems Eng (wks)],87)</f>
        <v/>
      </c>
      <c r="P88" s="66">
        <f>INDEX(Projects[Software Eng (wks)],87)</f>
        <v/>
      </c>
      <c r="Q88" s="66">
        <f>INDEX(Projects[M&amp;E Installation (wks)],87)</f>
        <v/>
      </c>
      <c r="R88" s="66">
        <f>INDEX(Projects[Commissioning (wks)],87)</f>
        <v/>
      </c>
      <c r="S88" s="66">
        <f>INDEX(Projects[Total Timeline (wks)],87)</f>
        <v/>
      </c>
      <c r="T88" s="66">
        <f>INDEX(Projects[Currency],87)&amp;""</f>
        <v/>
      </c>
      <c r="U88" s="67">
        <f>INDEX(Projects[Value (M)],87)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INDEX(Projects[Automation Equipment],87)&amp;""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IF(AND(A88&lt;&gt;"",OR('Smart Search'!$L$5="",'Smart Search'!$L$5="All",TRIM(BZ88)=TRIM('Smart Search'!$L$5)),OR(TRIM('Smart Search'!$L$6)="",TRIM('Smart Search'!$L$6)="All",ISNUMBER(SEARCH(SUBSTITUTE(SUBSTITUTE(SUBSTITUTE(TRIM('Smart Search'!$L$6),"~","~~"),"*","~*"),"?","~?"),CA88))),OR('Smart Search'!$L$7="",AND(CB88&lt;&gt;0,CB88='Smart Search'!$L$7)),OR('Smart Search'!$L$8="",'Smart Search'!$L$8="All",TRIM(CC88)=TRIM('Smart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IF(A88="","",N(INDEX(Projects[Mech Inst],87)))</f>
        <v/>
      </c>
      <c r="BK88" s="5">
        <f>IF(A88="","",N(INDEX(Projects[Elec Inst],87)))</f>
        <v/>
      </c>
      <c r="BL88" s="5">
        <f>IF(A88="","",N(INDEX(Projects[Project Management],87)))</f>
        <v/>
      </c>
      <c r="BM88" s="5">
        <f>IF(A88="","",N(INDEX(Projects[Systems Eng],87)))</f>
        <v/>
      </c>
      <c r="BN88" s="5">
        <f>IF(A88="","",N(INDEX(Projects[Mechanical Eng],87)))</f>
        <v/>
      </c>
      <c r="BO88" s="5">
        <f>IF(A88="","",N(INDEX(Projects[Structural Engineering],87)))</f>
        <v/>
      </c>
      <c r="BP88" s="5">
        <f>IF(A88="","",N(INDEX(Projects[Site Sup],87)))</f>
        <v/>
      </c>
      <c r="BQ88" s="5">
        <f>IF(A88="","",N(INDEX(Projects[Controls Commissioning],87)))</f>
        <v/>
      </c>
      <c r="BR88" s="5">
        <f>IF(A88="","",N(INDEX(Projects[Systems Commissioning],87)))</f>
        <v/>
      </c>
      <c r="BS88" s="5">
        <f>IF(A88="","",N(INDEX(Projects[Service Commissioning],87)))</f>
        <v/>
      </c>
      <c r="BT88" s="5">
        <f>IF(A88="","",N(INDEX(Projects[Controls Eng],87)))</f>
        <v/>
      </c>
      <c r="BU88" s="5">
        <f>IF(A88="","",N(INDEX(Projects[Controls Purchase],87)))</f>
        <v/>
      </c>
      <c r="BV88" s="5">
        <f>IF(A88="","",N(INDEX(Projects[Software Eng],87)))</f>
        <v/>
      </c>
      <c r="BW88" s="5">
        <f>IF(A88="","",N(INDEX(Projects[Misc],87)))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  <c r="BZ88" s="5">
        <f>INDEX(Projects[Solution Type],87)&amp;""</f>
        <v/>
      </c>
      <c r="CA88" s="5">
        <f>INDEX(Projects[Client / Region],87)&amp;""</f>
        <v/>
      </c>
      <c r="CB88" s="5">
        <f>INDEX(Projects[Year],87)</f>
        <v/>
      </c>
      <c r="CC88" s="5">
        <f>INDEX(Projects[Won?],87)&amp;""</f>
        <v/>
      </c>
      <c r="CD88" s="5">
        <f>INDEX(Projects[Value (USD M)],87)</f>
        <v/>
      </c>
      <c r="CE88" s="5">
        <f>INDEX(Projects[MH Data Status],87)&amp;""</f>
        <v/>
      </c>
    </row>
    <row r="89" ht="15" customHeight="1" s="74">
      <c r="A89" s="66">
        <f>INDEX(Projects[Project ID *],88)&amp;""</f>
        <v/>
      </c>
      <c r="B89" s="66">
        <f>INDEX(Projects[Project Name *],88)&amp;""</f>
        <v/>
      </c>
      <c r="C89" s="66">
        <f>INDEX(Projects[MS Shuttles],88)</f>
        <v/>
      </c>
      <c r="D89" s="66">
        <f>INDEX(Projects[MS Tote Locations],88)</f>
        <v/>
      </c>
      <c r="E89" s="66">
        <f>INDEX(Projects[AS Robots],88)</f>
        <v/>
      </c>
      <c r="F89" s="66">
        <f>INDEX(Projects[AS Tote Locations],88)</f>
        <v/>
      </c>
      <c r="G89" s="66">
        <f>INDEX(Projects[PS Shuttles],88)</f>
        <v/>
      </c>
      <c r="H89" s="66">
        <f>INDEX(Projects[PS Pallet Locations],88)</f>
        <v/>
      </c>
      <c r="I89" s="66">
        <f>INDEX(Projects[SRM Cranes],88)</f>
        <v/>
      </c>
      <c r="J89" s="66">
        <f>INDEX(Projects[SRM Pallet Locations],88)</f>
        <v/>
      </c>
      <c r="K89" s="66">
        <f>INDEX(Projects[Case Conv (m)],88)</f>
        <v/>
      </c>
      <c r="L89" s="66">
        <f>INDEX(Projects[Pallet Conv (m)],88)</f>
        <v/>
      </c>
      <c r="M89" s="66">
        <f>INDEX(Projects[Mech Eng (wks)],88)</f>
        <v/>
      </c>
      <c r="N89" s="66">
        <f>INDEX(Projects[Controls Eng (wks)],88)</f>
        <v/>
      </c>
      <c r="O89" s="66">
        <f>INDEX(Projects[Systems Eng (wks)],88)</f>
        <v/>
      </c>
      <c r="P89" s="66">
        <f>INDEX(Projects[Software Eng (wks)],88)</f>
        <v/>
      </c>
      <c r="Q89" s="66">
        <f>INDEX(Projects[M&amp;E Installation (wks)],88)</f>
        <v/>
      </c>
      <c r="R89" s="66">
        <f>INDEX(Projects[Commissioning (wks)],88)</f>
        <v/>
      </c>
      <c r="S89" s="66">
        <f>INDEX(Projects[Total Timeline (wks)],88)</f>
        <v/>
      </c>
      <c r="T89" s="66">
        <f>INDEX(Projects[Currency],88)&amp;""</f>
        <v/>
      </c>
      <c r="U89" s="67">
        <f>INDEX(Projects[Value (M)],88)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INDEX(Projects[Automation Equipment],88)&amp;""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IF(AND(A89&lt;&gt;"",OR('Smart Search'!$L$5="",'Smart Search'!$L$5="All",TRIM(BZ89)=TRIM('Smart Search'!$L$5)),OR(TRIM('Smart Search'!$L$6)="",TRIM('Smart Search'!$L$6)="All",ISNUMBER(SEARCH(SUBSTITUTE(SUBSTITUTE(SUBSTITUTE(TRIM('Smart Search'!$L$6),"~","~~"),"*","~*"),"?","~?"),CA89))),OR('Smart Search'!$L$7="",AND(CB89&lt;&gt;0,CB89='Smart Search'!$L$7)),OR('Smart Search'!$L$8="",'Smart Search'!$L$8="All",TRIM(CC89)=TRIM('Smart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IF(A89="","",N(INDEX(Projects[Mech Inst],88)))</f>
        <v/>
      </c>
      <c r="BK89" s="5">
        <f>IF(A89="","",N(INDEX(Projects[Elec Inst],88)))</f>
        <v/>
      </c>
      <c r="BL89" s="5">
        <f>IF(A89="","",N(INDEX(Projects[Project Management],88)))</f>
        <v/>
      </c>
      <c r="BM89" s="5">
        <f>IF(A89="","",N(INDEX(Projects[Systems Eng],88)))</f>
        <v/>
      </c>
      <c r="BN89" s="5">
        <f>IF(A89="","",N(INDEX(Projects[Mechanical Eng],88)))</f>
        <v/>
      </c>
      <c r="BO89" s="5">
        <f>IF(A89="","",N(INDEX(Projects[Structural Engineering],88)))</f>
        <v/>
      </c>
      <c r="BP89" s="5">
        <f>IF(A89="","",N(INDEX(Projects[Site Sup],88)))</f>
        <v/>
      </c>
      <c r="BQ89" s="5">
        <f>IF(A89="","",N(INDEX(Projects[Controls Commissioning],88)))</f>
        <v/>
      </c>
      <c r="BR89" s="5">
        <f>IF(A89="","",N(INDEX(Projects[Systems Commissioning],88)))</f>
        <v/>
      </c>
      <c r="BS89" s="5">
        <f>IF(A89="","",N(INDEX(Projects[Service Commissioning],88)))</f>
        <v/>
      </c>
      <c r="BT89" s="5">
        <f>IF(A89="","",N(INDEX(Projects[Controls Eng],88)))</f>
        <v/>
      </c>
      <c r="BU89" s="5">
        <f>IF(A89="","",N(INDEX(Projects[Controls Purchase],88)))</f>
        <v/>
      </c>
      <c r="BV89" s="5">
        <f>IF(A89="","",N(INDEX(Projects[Software Eng],88)))</f>
        <v/>
      </c>
      <c r="BW89" s="5">
        <f>IF(A89="","",N(INDEX(Projects[Misc],88)))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  <c r="BZ89" s="5">
        <f>INDEX(Projects[Solution Type],88)&amp;""</f>
        <v/>
      </c>
      <c r="CA89" s="5">
        <f>INDEX(Projects[Client / Region],88)&amp;""</f>
        <v/>
      </c>
      <c r="CB89" s="5">
        <f>INDEX(Projects[Year],88)</f>
        <v/>
      </c>
      <c r="CC89" s="5">
        <f>INDEX(Projects[Won?],88)&amp;""</f>
        <v/>
      </c>
      <c r="CD89" s="5">
        <f>INDEX(Projects[Value (USD M)],88)</f>
        <v/>
      </c>
      <c r="CE89" s="5">
        <f>INDEX(Projects[MH Data Status],88)&amp;""</f>
        <v/>
      </c>
    </row>
    <row r="90" ht="15" customHeight="1" s="74">
      <c r="A90" s="66">
        <f>INDEX(Projects[Project ID *],89)&amp;""</f>
        <v/>
      </c>
      <c r="B90" s="66">
        <f>INDEX(Projects[Project Name *],89)&amp;""</f>
        <v/>
      </c>
      <c r="C90" s="66">
        <f>INDEX(Projects[MS Shuttles],89)</f>
        <v/>
      </c>
      <c r="D90" s="66">
        <f>INDEX(Projects[MS Tote Locations],89)</f>
        <v/>
      </c>
      <c r="E90" s="66">
        <f>INDEX(Projects[AS Robots],89)</f>
        <v/>
      </c>
      <c r="F90" s="66">
        <f>INDEX(Projects[AS Tote Locations],89)</f>
        <v/>
      </c>
      <c r="G90" s="66">
        <f>INDEX(Projects[PS Shuttles],89)</f>
        <v/>
      </c>
      <c r="H90" s="66">
        <f>INDEX(Projects[PS Pallet Locations],89)</f>
        <v/>
      </c>
      <c r="I90" s="66">
        <f>INDEX(Projects[SRM Cranes],89)</f>
        <v/>
      </c>
      <c r="J90" s="66">
        <f>INDEX(Projects[SRM Pallet Locations],89)</f>
        <v/>
      </c>
      <c r="K90" s="66">
        <f>INDEX(Projects[Case Conv (m)],89)</f>
        <v/>
      </c>
      <c r="L90" s="66">
        <f>INDEX(Projects[Pallet Conv (m)],89)</f>
        <v/>
      </c>
      <c r="M90" s="66">
        <f>INDEX(Projects[Mech Eng (wks)],89)</f>
        <v/>
      </c>
      <c r="N90" s="66">
        <f>INDEX(Projects[Controls Eng (wks)],89)</f>
        <v/>
      </c>
      <c r="O90" s="66">
        <f>INDEX(Projects[Systems Eng (wks)],89)</f>
        <v/>
      </c>
      <c r="P90" s="66">
        <f>INDEX(Projects[Software Eng (wks)],89)</f>
        <v/>
      </c>
      <c r="Q90" s="66">
        <f>INDEX(Projects[M&amp;E Installation (wks)],89)</f>
        <v/>
      </c>
      <c r="R90" s="66">
        <f>INDEX(Projects[Commissioning (wks)],89)</f>
        <v/>
      </c>
      <c r="S90" s="66">
        <f>INDEX(Projects[Total Timeline (wks)],89)</f>
        <v/>
      </c>
      <c r="T90" s="66">
        <f>INDEX(Projects[Currency],89)&amp;""</f>
        <v/>
      </c>
      <c r="U90" s="67">
        <f>INDEX(Projects[Value (M)],89)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INDEX(Projects[Automation Equipment],89)&amp;""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IF(AND(A90&lt;&gt;"",OR('Smart Search'!$L$5="",'Smart Search'!$L$5="All",TRIM(BZ90)=TRIM('Smart Search'!$L$5)),OR(TRIM('Smart Search'!$L$6)="",TRIM('Smart Search'!$L$6)="All",ISNUMBER(SEARCH(SUBSTITUTE(SUBSTITUTE(SUBSTITUTE(TRIM('Smart Search'!$L$6),"~","~~"),"*","~*"),"?","~?"),CA90))),OR('Smart Search'!$L$7="",AND(CB90&lt;&gt;0,CB90='Smart Search'!$L$7)),OR('Smart Search'!$L$8="",'Smart Search'!$L$8="All",TRIM(CC90)=TRIM('Smart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IF(A90="","",N(INDEX(Projects[Mech Inst],89)))</f>
        <v/>
      </c>
      <c r="BK90" s="5">
        <f>IF(A90="","",N(INDEX(Projects[Elec Inst],89)))</f>
        <v/>
      </c>
      <c r="BL90" s="5">
        <f>IF(A90="","",N(INDEX(Projects[Project Management],89)))</f>
        <v/>
      </c>
      <c r="BM90" s="5">
        <f>IF(A90="","",N(INDEX(Projects[Systems Eng],89)))</f>
        <v/>
      </c>
      <c r="BN90" s="5">
        <f>IF(A90="","",N(INDEX(Projects[Mechanical Eng],89)))</f>
        <v/>
      </c>
      <c r="BO90" s="5">
        <f>IF(A90="","",N(INDEX(Projects[Structural Engineering],89)))</f>
        <v/>
      </c>
      <c r="BP90" s="5">
        <f>IF(A90="","",N(INDEX(Projects[Site Sup],89)))</f>
        <v/>
      </c>
      <c r="BQ90" s="5">
        <f>IF(A90="","",N(INDEX(Projects[Controls Commissioning],89)))</f>
        <v/>
      </c>
      <c r="BR90" s="5">
        <f>IF(A90="","",N(INDEX(Projects[Systems Commissioning],89)))</f>
        <v/>
      </c>
      <c r="BS90" s="5">
        <f>IF(A90="","",N(INDEX(Projects[Service Commissioning],89)))</f>
        <v/>
      </c>
      <c r="BT90" s="5">
        <f>IF(A90="","",N(INDEX(Projects[Controls Eng],89)))</f>
        <v/>
      </c>
      <c r="BU90" s="5">
        <f>IF(A90="","",N(INDEX(Projects[Controls Purchase],89)))</f>
        <v/>
      </c>
      <c r="BV90" s="5">
        <f>IF(A90="","",N(INDEX(Projects[Software Eng],89)))</f>
        <v/>
      </c>
      <c r="BW90" s="5">
        <f>IF(A90="","",N(INDEX(Projects[Misc],89)))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  <c r="BZ90" s="5">
        <f>INDEX(Projects[Solution Type],89)&amp;""</f>
        <v/>
      </c>
      <c r="CA90" s="5">
        <f>INDEX(Projects[Client / Region],89)&amp;""</f>
        <v/>
      </c>
      <c r="CB90" s="5">
        <f>INDEX(Projects[Year],89)</f>
        <v/>
      </c>
      <c r="CC90" s="5">
        <f>INDEX(Projects[Won?],89)&amp;""</f>
        <v/>
      </c>
      <c r="CD90" s="5">
        <f>INDEX(Projects[Value (USD M)],89)</f>
        <v/>
      </c>
      <c r="CE90" s="5">
        <f>INDEX(Projects[MH Data Status],89)&amp;""</f>
        <v/>
      </c>
    </row>
    <row r="91" ht="15" customHeight="1" s="74">
      <c r="A91" s="66">
        <f>INDEX(Projects[Project ID *],90)&amp;""</f>
        <v/>
      </c>
      <c r="B91" s="66">
        <f>INDEX(Projects[Project Name *],90)&amp;""</f>
        <v/>
      </c>
      <c r="C91" s="66">
        <f>INDEX(Projects[MS Shuttles],90)</f>
        <v/>
      </c>
      <c r="D91" s="66">
        <f>INDEX(Projects[MS Tote Locations],90)</f>
        <v/>
      </c>
      <c r="E91" s="66">
        <f>INDEX(Projects[AS Robots],90)</f>
        <v/>
      </c>
      <c r="F91" s="66">
        <f>INDEX(Projects[AS Tote Locations],90)</f>
        <v/>
      </c>
      <c r="G91" s="66">
        <f>INDEX(Projects[PS Shuttles],90)</f>
        <v/>
      </c>
      <c r="H91" s="66">
        <f>INDEX(Projects[PS Pallet Locations],90)</f>
        <v/>
      </c>
      <c r="I91" s="66">
        <f>INDEX(Projects[SRM Cranes],90)</f>
        <v/>
      </c>
      <c r="J91" s="66">
        <f>INDEX(Projects[SRM Pallet Locations],90)</f>
        <v/>
      </c>
      <c r="K91" s="66">
        <f>INDEX(Projects[Case Conv (m)],90)</f>
        <v/>
      </c>
      <c r="L91" s="66">
        <f>INDEX(Projects[Pallet Conv (m)],90)</f>
        <v/>
      </c>
      <c r="M91" s="66">
        <f>INDEX(Projects[Mech Eng (wks)],90)</f>
        <v/>
      </c>
      <c r="N91" s="66">
        <f>INDEX(Projects[Controls Eng (wks)],90)</f>
        <v/>
      </c>
      <c r="O91" s="66">
        <f>INDEX(Projects[Systems Eng (wks)],90)</f>
        <v/>
      </c>
      <c r="P91" s="66">
        <f>INDEX(Projects[Software Eng (wks)],90)</f>
        <v/>
      </c>
      <c r="Q91" s="66">
        <f>INDEX(Projects[M&amp;E Installation (wks)],90)</f>
        <v/>
      </c>
      <c r="R91" s="66">
        <f>INDEX(Projects[Commissioning (wks)],90)</f>
        <v/>
      </c>
      <c r="S91" s="66">
        <f>INDEX(Projects[Total Timeline (wks)],90)</f>
        <v/>
      </c>
      <c r="T91" s="66">
        <f>INDEX(Projects[Currency],90)&amp;""</f>
        <v/>
      </c>
      <c r="U91" s="67">
        <f>INDEX(Projects[Value (M)],90)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INDEX(Projects[Automation Equipment],90)&amp;""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IF(AND(A91&lt;&gt;"",OR('Smart Search'!$L$5="",'Smart Search'!$L$5="All",TRIM(BZ91)=TRIM('Smart Search'!$L$5)),OR(TRIM('Smart Search'!$L$6)="",TRIM('Smart Search'!$L$6)="All",ISNUMBER(SEARCH(SUBSTITUTE(SUBSTITUTE(SUBSTITUTE(TRIM('Smart Search'!$L$6),"~","~~"),"*","~*"),"?","~?"),CA91))),OR('Smart Search'!$L$7="",AND(CB91&lt;&gt;0,CB91='Smart Search'!$L$7)),OR('Smart Search'!$L$8="",'Smart Search'!$L$8="All",TRIM(CC91)=TRIM('Smart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IF(A91="","",N(INDEX(Projects[Mech Inst],90)))</f>
        <v/>
      </c>
      <c r="BK91" s="5">
        <f>IF(A91="","",N(INDEX(Projects[Elec Inst],90)))</f>
        <v/>
      </c>
      <c r="BL91" s="5">
        <f>IF(A91="","",N(INDEX(Projects[Project Management],90)))</f>
        <v/>
      </c>
      <c r="BM91" s="5">
        <f>IF(A91="","",N(INDEX(Projects[Systems Eng],90)))</f>
        <v/>
      </c>
      <c r="BN91" s="5">
        <f>IF(A91="","",N(INDEX(Projects[Mechanical Eng],90)))</f>
        <v/>
      </c>
      <c r="BO91" s="5">
        <f>IF(A91="","",N(INDEX(Projects[Structural Engineering],90)))</f>
        <v/>
      </c>
      <c r="BP91" s="5">
        <f>IF(A91="","",N(INDEX(Projects[Site Sup],90)))</f>
        <v/>
      </c>
      <c r="BQ91" s="5">
        <f>IF(A91="","",N(INDEX(Projects[Controls Commissioning],90)))</f>
        <v/>
      </c>
      <c r="BR91" s="5">
        <f>IF(A91="","",N(INDEX(Projects[Systems Commissioning],90)))</f>
        <v/>
      </c>
      <c r="BS91" s="5">
        <f>IF(A91="","",N(INDEX(Projects[Service Commissioning],90)))</f>
        <v/>
      </c>
      <c r="BT91" s="5">
        <f>IF(A91="","",N(INDEX(Projects[Controls Eng],90)))</f>
        <v/>
      </c>
      <c r="BU91" s="5">
        <f>IF(A91="","",N(INDEX(Projects[Controls Purchase],90)))</f>
        <v/>
      </c>
      <c r="BV91" s="5">
        <f>IF(A91="","",N(INDEX(Projects[Software Eng],90)))</f>
        <v/>
      </c>
      <c r="BW91" s="5">
        <f>IF(A91="","",N(INDEX(Projects[Misc],90)))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  <c r="BZ91" s="5">
        <f>INDEX(Projects[Solution Type],90)&amp;""</f>
        <v/>
      </c>
      <c r="CA91" s="5">
        <f>INDEX(Projects[Client / Region],90)&amp;""</f>
        <v/>
      </c>
      <c r="CB91" s="5">
        <f>INDEX(Projects[Year],90)</f>
        <v/>
      </c>
      <c r="CC91" s="5">
        <f>INDEX(Projects[Won?],90)&amp;""</f>
        <v/>
      </c>
      <c r="CD91" s="5">
        <f>INDEX(Projects[Value (USD M)],90)</f>
        <v/>
      </c>
      <c r="CE91" s="5">
        <f>INDEX(Projects[MH Data Status],90)&amp;""</f>
        <v/>
      </c>
    </row>
    <row r="92" ht="15" customHeight="1" s="74">
      <c r="A92" s="66">
        <f>INDEX(Projects[Project ID *],91)&amp;""</f>
        <v/>
      </c>
      <c r="B92" s="66">
        <f>INDEX(Projects[Project Name *],91)&amp;""</f>
        <v/>
      </c>
      <c r="C92" s="66">
        <f>INDEX(Projects[MS Shuttles],91)</f>
        <v/>
      </c>
      <c r="D92" s="66">
        <f>INDEX(Projects[MS Tote Locations],91)</f>
        <v/>
      </c>
      <c r="E92" s="66">
        <f>INDEX(Projects[AS Robots],91)</f>
        <v/>
      </c>
      <c r="F92" s="66">
        <f>INDEX(Projects[AS Tote Locations],91)</f>
        <v/>
      </c>
      <c r="G92" s="66">
        <f>INDEX(Projects[PS Shuttles],91)</f>
        <v/>
      </c>
      <c r="H92" s="66">
        <f>INDEX(Projects[PS Pallet Locations],91)</f>
        <v/>
      </c>
      <c r="I92" s="66">
        <f>INDEX(Projects[SRM Cranes],91)</f>
        <v/>
      </c>
      <c r="J92" s="66">
        <f>INDEX(Projects[SRM Pallet Locations],91)</f>
        <v/>
      </c>
      <c r="K92" s="66">
        <f>INDEX(Projects[Case Conv (m)],91)</f>
        <v/>
      </c>
      <c r="L92" s="66">
        <f>INDEX(Projects[Pallet Conv (m)],91)</f>
        <v/>
      </c>
      <c r="M92" s="66">
        <f>INDEX(Projects[Mech Eng (wks)],91)</f>
        <v/>
      </c>
      <c r="N92" s="66">
        <f>INDEX(Projects[Controls Eng (wks)],91)</f>
        <v/>
      </c>
      <c r="O92" s="66">
        <f>INDEX(Projects[Systems Eng (wks)],91)</f>
        <v/>
      </c>
      <c r="P92" s="66">
        <f>INDEX(Projects[Software Eng (wks)],91)</f>
        <v/>
      </c>
      <c r="Q92" s="66">
        <f>INDEX(Projects[M&amp;E Installation (wks)],91)</f>
        <v/>
      </c>
      <c r="R92" s="66">
        <f>INDEX(Projects[Commissioning (wks)],91)</f>
        <v/>
      </c>
      <c r="S92" s="66">
        <f>INDEX(Projects[Total Timeline (wks)],91)</f>
        <v/>
      </c>
      <c r="T92" s="66">
        <f>INDEX(Projects[Currency],91)&amp;""</f>
        <v/>
      </c>
      <c r="U92" s="67">
        <f>INDEX(Projects[Value (M)],91)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INDEX(Projects[Automation Equipment],91)&amp;""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IF(AND(A92&lt;&gt;"",OR('Smart Search'!$L$5="",'Smart Search'!$L$5="All",TRIM(BZ92)=TRIM('Smart Search'!$L$5)),OR(TRIM('Smart Search'!$L$6)="",TRIM('Smart Search'!$L$6)="All",ISNUMBER(SEARCH(SUBSTITUTE(SUBSTITUTE(SUBSTITUTE(TRIM('Smart Search'!$L$6),"~","~~"),"*","~*"),"?","~?"),CA92))),OR('Smart Search'!$L$7="",AND(CB92&lt;&gt;0,CB92='Smart Search'!$L$7)),OR('Smart Search'!$L$8="",'Smart Search'!$L$8="All",TRIM(CC92)=TRIM('Smart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IF(A92="","",N(INDEX(Projects[Mech Inst],91)))</f>
        <v/>
      </c>
      <c r="BK92" s="5">
        <f>IF(A92="","",N(INDEX(Projects[Elec Inst],91)))</f>
        <v/>
      </c>
      <c r="BL92" s="5">
        <f>IF(A92="","",N(INDEX(Projects[Project Management],91)))</f>
        <v/>
      </c>
      <c r="BM92" s="5">
        <f>IF(A92="","",N(INDEX(Projects[Systems Eng],91)))</f>
        <v/>
      </c>
      <c r="BN92" s="5">
        <f>IF(A92="","",N(INDEX(Projects[Mechanical Eng],91)))</f>
        <v/>
      </c>
      <c r="BO92" s="5">
        <f>IF(A92="","",N(INDEX(Projects[Structural Engineering],91)))</f>
        <v/>
      </c>
      <c r="BP92" s="5">
        <f>IF(A92="","",N(INDEX(Projects[Site Sup],91)))</f>
        <v/>
      </c>
      <c r="BQ92" s="5">
        <f>IF(A92="","",N(INDEX(Projects[Controls Commissioning],91)))</f>
        <v/>
      </c>
      <c r="BR92" s="5">
        <f>IF(A92="","",N(INDEX(Projects[Systems Commissioning],91)))</f>
        <v/>
      </c>
      <c r="BS92" s="5">
        <f>IF(A92="","",N(INDEX(Projects[Service Commissioning],91)))</f>
        <v/>
      </c>
      <c r="BT92" s="5">
        <f>IF(A92="","",N(INDEX(Projects[Controls Eng],91)))</f>
        <v/>
      </c>
      <c r="BU92" s="5">
        <f>IF(A92="","",N(INDEX(Projects[Controls Purchase],91)))</f>
        <v/>
      </c>
      <c r="BV92" s="5">
        <f>IF(A92="","",N(INDEX(Projects[Software Eng],91)))</f>
        <v/>
      </c>
      <c r="BW92" s="5">
        <f>IF(A92="","",N(INDEX(Projects[Misc],91)))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  <c r="BZ92" s="5">
        <f>INDEX(Projects[Solution Type],91)&amp;""</f>
        <v/>
      </c>
      <c r="CA92" s="5">
        <f>INDEX(Projects[Client / Region],91)&amp;""</f>
        <v/>
      </c>
      <c r="CB92" s="5">
        <f>INDEX(Projects[Year],91)</f>
        <v/>
      </c>
      <c r="CC92" s="5">
        <f>INDEX(Projects[Won?],91)&amp;""</f>
        <v/>
      </c>
      <c r="CD92" s="5">
        <f>INDEX(Projects[Value (USD M)],91)</f>
        <v/>
      </c>
      <c r="CE92" s="5">
        <f>INDEX(Projects[MH Data Status],91)&amp;""</f>
        <v/>
      </c>
    </row>
    <row r="93" ht="15" customHeight="1" s="74">
      <c r="A93" s="66">
        <f>INDEX(Projects[Project ID *],92)&amp;""</f>
        <v/>
      </c>
      <c r="B93" s="66">
        <f>INDEX(Projects[Project Name *],92)&amp;""</f>
        <v/>
      </c>
      <c r="C93" s="66">
        <f>INDEX(Projects[MS Shuttles],92)</f>
        <v/>
      </c>
      <c r="D93" s="66">
        <f>INDEX(Projects[MS Tote Locations],92)</f>
        <v/>
      </c>
      <c r="E93" s="66">
        <f>INDEX(Projects[AS Robots],92)</f>
        <v/>
      </c>
      <c r="F93" s="66">
        <f>INDEX(Projects[AS Tote Locations],92)</f>
        <v/>
      </c>
      <c r="G93" s="66">
        <f>INDEX(Projects[PS Shuttles],92)</f>
        <v/>
      </c>
      <c r="H93" s="66">
        <f>INDEX(Projects[PS Pallet Locations],92)</f>
        <v/>
      </c>
      <c r="I93" s="66">
        <f>INDEX(Projects[SRM Cranes],92)</f>
        <v/>
      </c>
      <c r="J93" s="66">
        <f>INDEX(Projects[SRM Pallet Locations],92)</f>
        <v/>
      </c>
      <c r="K93" s="66">
        <f>INDEX(Projects[Case Conv (m)],92)</f>
        <v/>
      </c>
      <c r="L93" s="66">
        <f>INDEX(Projects[Pallet Conv (m)],92)</f>
        <v/>
      </c>
      <c r="M93" s="66">
        <f>INDEX(Projects[Mech Eng (wks)],92)</f>
        <v/>
      </c>
      <c r="N93" s="66">
        <f>INDEX(Projects[Controls Eng (wks)],92)</f>
        <v/>
      </c>
      <c r="O93" s="66">
        <f>INDEX(Projects[Systems Eng (wks)],92)</f>
        <v/>
      </c>
      <c r="P93" s="66">
        <f>INDEX(Projects[Software Eng (wks)],92)</f>
        <v/>
      </c>
      <c r="Q93" s="66">
        <f>INDEX(Projects[M&amp;E Installation (wks)],92)</f>
        <v/>
      </c>
      <c r="R93" s="66">
        <f>INDEX(Projects[Commissioning (wks)],92)</f>
        <v/>
      </c>
      <c r="S93" s="66">
        <f>INDEX(Projects[Total Timeline (wks)],92)</f>
        <v/>
      </c>
      <c r="T93" s="66">
        <f>INDEX(Projects[Currency],92)&amp;""</f>
        <v/>
      </c>
      <c r="U93" s="67">
        <f>INDEX(Projects[Value (M)],92)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INDEX(Projects[Automation Equipment],92)&amp;""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IF(AND(A93&lt;&gt;"",OR('Smart Search'!$L$5="",'Smart Search'!$L$5="All",TRIM(BZ93)=TRIM('Smart Search'!$L$5)),OR(TRIM('Smart Search'!$L$6)="",TRIM('Smart Search'!$L$6)="All",ISNUMBER(SEARCH(SUBSTITUTE(SUBSTITUTE(SUBSTITUTE(TRIM('Smart Search'!$L$6),"~","~~"),"*","~*"),"?","~?"),CA93))),OR('Smart Search'!$L$7="",AND(CB93&lt;&gt;0,CB93='Smart Search'!$L$7)),OR('Smart Search'!$L$8="",'Smart Search'!$L$8="All",TRIM(CC93)=TRIM('Smart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IF(A93="","",N(INDEX(Projects[Mech Inst],92)))</f>
        <v/>
      </c>
      <c r="BK93" s="5">
        <f>IF(A93="","",N(INDEX(Projects[Elec Inst],92)))</f>
        <v/>
      </c>
      <c r="BL93" s="5">
        <f>IF(A93="","",N(INDEX(Projects[Project Management],92)))</f>
        <v/>
      </c>
      <c r="BM93" s="5">
        <f>IF(A93="","",N(INDEX(Projects[Systems Eng],92)))</f>
        <v/>
      </c>
      <c r="BN93" s="5">
        <f>IF(A93="","",N(INDEX(Projects[Mechanical Eng],92)))</f>
        <v/>
      </c>
      <c r="BO93" s="5">
        <f>IF(A93="","",N(INDEX(Projects[Structural Engineering],92)))</f>
        <v/>
      </c>
      <c r="BP93" s="5">
        <f>IF(A93="","",N(INDEX(Projects[Site Sup],92)))</f>
        <v/>
      </c>
      <c r="BQ93" s="5">
        <f>IF(A93="","",N(INDEX(Projects[Controls Commissioning],92)))</f>
        <v/>
      </c>
      <c r="BR93" s="5">
        <f>IF(A93="","",N(INDEX(Projects[Systems Commissioning],92)))</f>
        <v/>
      </c>
      <c r="BS93" s="5">
        <f>IF(A93="","",N(INDEX(Projects[Service Commissioning],92)))</f>
        <v/>
      </c>
      <c r="BT93" s="5">
        <f>IF(A93="","",N(INDEX(Projects[Controls Eng],92)))</f>
        <v/>
      </c>
      <c r="BU93" s="5">
        <f>IF(A93="","",N(INDEX(Projects[Controls Purchase],92)))</f>
        <v/>
      </c>
      <c r="BV93" s="5">
        <f>IF(A93="","",N(INDEX(Projects[Software Eng],92)))</f>
        <v/>
      </c>
      <c r="BW93" s="5">
        <f>IF(A93="","",N(INDEX(Projects[Misc],92)))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  <c r="BZ93" s="5">
        <f>INDEX(Projects[Solution Type],92)&amp;""</f>
        <v/>
      </c>
      <c r="CA93" s="5">
        <f>INDEX(Projects[Client / Region],92)&amp;""</f>
        <v/>
      </c>
      <c r="CB93" s="5">
        <f>INDEX(Projects[Year],92)</f>
        <v/>
      </c>
      <c r="CC93" s="5">
        <f>INDEX(Projects[Won?],92)&amp;""</f>
        <v/>
      </c>
      <c r="CD93" s="5">
        <f>INDEX(Projects[Value (USD M)],92)</f>
        <v/>
      </c>
      <c r="CE93" s="5">
        <f>INDEX(Projects[MH Data Status],92)&amp;""</f>
        <v/>
      </c>
    </row>
    <row r="94" ht="15" customHeight="1" s="74">
      <c r="A94" s="66">
        <f>INDEX(Projects[Project ID *],93)&amp;""</f>
        <v/>
      </c>
      <c r="B94" s="66">
        <f>INDEX(Projects[Project Name *],93)&amp;""</f>
        <v/>
      </c>
      <c r="C94" s="66">
        <f>INDEX(Projects[MS Shuttles],93)</f>
        <v/>
      </c>
      <c r="D94" s="66">
        <f>INDEX(Projects[MS Tote Locations],93)</f>
        <v/>
      </c>
      <c r="E94" s="66">
        <f>INDEX(Projects[AS Robots],93)</f>
        <v/>
      </c>
      <c r="F94" s="66">
        <f>INDEX(Projects[AS Tote Locations],93)</f>
        <v/>
      </c>
      <c r="G94" s="66">
        <f>INDEX(Projects[PS Shuttles],93)</f>
        <v/>
      </c>
      <c r="H94" s="66">
        <f>INDEX(Projects[PS Pallet Locations],93)</f>
        <v/>
      </c>
      <c r="I94" s="66">
        <f>INDEX(Projects[SRM Cranes],93)</f>
        <v/>
      </c>
      <c r="J94" s="66">
        <f>INDEX(Projects[SRM Pallet Locations],93)</f>
        <v/>
      </c>
      <c r="K94" s="66">
        <f>INDEX(Projects[Case Conv (m)],93)</f>
        <v/>
      </c>
      <c r="L94" s="66">
        <f>INDEX(Projects[Pallet Conv (m)],93)</f>
        <v/>
      </c>
      <c r="M94" s="66">
        <f>INDEX(Projects[Mech Eng (wks)],93)</f>
        <v/>
      </c>
      <c r="N94" s="66">
        <f>INDEX(Projects[Controls Eng (wks)],93)</f>
        <v/>
      </c>
      <c r="O94" s="66">
        <f>INDEX(Projects[Systems Eng (wks)],93)</f>
        <v/>
      </c>
      <c r="P94" s="66">
        <f>INDEX(Projects[Software Eng (wks)],93)</f>
        <v/>
      </c>
      <c r="Q94" s="66">
        <f>INDEX(Projects[M&amp;E Installation (wks)],93)</f>
        <v/>
      </c>
      <c r="R94" s="66">
        <f>INDEX(Projects[Commissioning (wks)],93)</f>
        <v/>
      </c>
      <c r="S94" s="66">
        <f>INDEX(Projects[Total Timeline (wks)],93)</f>
        <v/>
      </c>
      <c r="T94" s="66">
        <f>INDEX(Projects[Currency],93)&amp;""</f>
        <v/>
      </c>
      <c r="U94" s="67">
        <f>INDEX(Projects[Value (M)],93)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INDEX(Projects[Automation Equipment],93)&amp;""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IF(AND(A94&lt;&gt;"",OR('Smart Search'!$L$5="",'Smart Search'!$L$5="All",TRIM(BZ94)=TRIM('Smart Search'!$L$5)),OR(TRIM('Smart Search'!$L$6)="",TRIM('Smart Search'!$L$6)="All",ISNUMBER(SEARCH(SUBSTITUTE(SUBSTITUTE(SUBSTITUTE(TRIM('Smart Search'!$L$6),"~","~~"),"*","~*"),"?","~?"),CA94))),OR('Smart Search'!$L$7="",AND(CB94&lt;&gt;0,CB94='Smart Search'!$L$7)),OR('Smart Search'!$L$8="",'Smart Search'!$L$8="All",TRIM(CC94)=TRIM('Smart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IF(A94="","",N(INDEX(Projects[Mech Inst],93)))</f>
        <v/>
      </c>
      <c r="BK94" s="5">
        <f>IF(A94="","",N(INDEX(Projects[Elec Inst],93)))</f>
        <v/>
      </c>
      <c r="BL94" s="5">
        <f>IF(A94="","",N(INDEX(Projects[Project Management],93)))</f>
        <v/>
      </c>
      <c r="BM94" s="5">
        <f>IF(A94="","",N(INDEX(Projects[Systems Eng],93)))</f>
        <v/>
      </c>
      <c r="BN94" s="5">
        <f>IF(A94="","",N(INDEX(Projects[Mechanical Eng],93)))</f>
        <v/>
      </c>
      <c r="BO94" s="5">
        <f>IF(A94="","",N(INDEX(Projects[Structural Engineering],93)))</f>
        <v/>
      </c>
      <c r="BP94" s="5">
        <f>IF(A94="","",N(INDEX(Projects[Site Sup],93)))</f>
        <v/>
      </c>
      <c r="BQ94" s="5">
        <f>IF(A94="","",N(INDEX(Projects[Controls Commissioning],93)))</f>
        <v/>
      </c>
      <c r="BR94" s="5">
        <f>IF(A94="","",N(INDEX(Projects[Systems Commissioning],93)))</f>
        <v/>
      </c>
      <c r="BS94" s="5">
        <f>IF(A94="","",N(INDEX(Projects[Service Commissioning],93)))</f>
        <v/>
      </c>
      <c r="BT94" s="5">
        <f>IF(A94="","",N(INDEX(Projects[Controls Eng],93)))</f>
        <v/>
      </c>
      <c r="BU94" s="5">
        <f>IF(A94="","",N(INDEX(Projects[Controls Purchase],93)))</f>
        <v/>
      </c>
      <c r="BV94" s="5">
        <f>IF(A94="","",N(INDEX(Projects[Software Eng],93)))</f>
        <v/>
      </c>
      <c r="BW94" s="5">
        <f>IF(A94="","",N(INDEX(Projects[Misc],93)))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  <c r="BZ94" s="5">
        <f>INDEX(Projects[Solution Type],93)&amp;""</f>
        <v/>
      </c>
      <c r="CA94" s="5">
        <f>INDEX(Projects[Client / Region],93)&amp;""</f>
        <v/>
      </c>
      <c r="CB94" s="5">
        <f>INDEX(Projects[Year],93)</f>
        <v/>
      </c>
      <c r="CC94" s="5">
        <f>INDEX(Projects[Won?],93)&amp;""</f>
        <v/>
      </c>
      <c r="CD94" s="5">
        <f>INDEX(Projects[Value (USD M)],93)</f>
        <v/>
      </c>
      <c r="CE94" s="5">
        <f>INDEX(Projects[MH Data Status],93)&amp;""</f>
        <v/>
      </c>
    </row>
    <row r="95" ht="15" customHeight="1" s="74">
      <c r="A95" s="66">
        <f>INDEX(Projects[Project ID *],94)&amp;""</f>
        <v/>
      </c>
      <c r="B95" s="66">
        <f>INDEX(Projects[Project Name *],94)&amp;""</f>
        <v/>
      </c>
      <c r="C95" s="66">
        <f>INDEX(Projects[MS Shuttles],94)</f>
        <v/>
      </c>
      <c r="D95" s="66">
        <f>INDEX(Projects[MS Tote Locations],94)</f>
        <v/>
      </c>
      <c r="E95" s="66">
        <f>INDEX(Projects[AS Robots],94)</f>
        <v/>
      </c>
      <c r="F95" s="66">
        <f>INDEX(Projects[AS Tote Locations],94)</f>
        <v/>
      </c>
      <c r="G95" s="66">
        <f>INDEX(Projects[PS Shuttles],94)</f>
        <v/>
      </c>
      <c r="H95" s="66">
        <f>INDEX(Projects[PS Pallet Locations],94)</f>
        <v/>
      </c>
      <c r="I95" s="66">
        <f>INDEX(Projects[SRM Cranes],94)</f>
        <v/>
      </c>
      <c r="J95" s="66">
        <f>INDEX(Projects[SRM Pallet Locations],94)</f>
        <v/>
      </c>
      <c r="K95" s="66">
        <f>INDEX(Projects[Case Conv (m)],94)</f>
        <v/>
      </c>
      <c r="L95" s="66">
        <f>INDEX(Projects[Pallet Conv (m)],94)</f>
        <v/>
      </c>
      <c r="M95" s="66">
        <f>INDEX(Projects[Mech Eng (wks)],94)</f>
        <v/>
      </c>
      <c r="N95" s="66">
        <f>INDEX(Projects[Controls Eng (wks)],94)</f>
        <v/>
      </c>
      <c r="O95" s="66">
        <f>INDEX(Projects[Systems Eng (wks)],94)</f>
        <v/>
      </c>
      <c r="P95" s="66">
        <f>INDEX(Projects[Software Eng (wks)],94)</f>
        <v/>
      </c>
      <c r="Q95" s="66">
        <f>INDEX(Projects[M&amp;E Installation (wks)],94)</f>
        <v/>
      </c>
      <c r="R95" s="66">
        <f>INDEX(Projects[Commissioning (wks)],94)</f>
        <v/>
      </c>
      <c r="S95" s="66">
        <f>INDEX(Projects[Total Timeline (wks)],94)</f>
        <v/>
      </c>
      <c r="T95" s="66">
        <f>INDEX(Projects[Currency],94)&amp;""</f>
        <v/>
      </c>
      <c r="U95" s="67">
        <f>INDEX(Projects[Value (M)],94)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INDEX(Projects[Automation Equipment],94)&amp;""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IF(AND(A95&lt;&gt;"",OR('Smart Search'!$L$5="",'Smart Search'!$L$5="All",TRIM(BZ95)=TRIM('Smart Search'!$L$5)),OR(TRIM('Smart Search'!$L$6)="",TRIM('Smart Search'!$L$6)="All",ISNUMBER(SEARCH(SUBSTITUTE(SUBSTITUTE(SUBSTITUTE(TRIM('Smart Search'!$L$6),"~","~~"),"*","~*"),"?","~?"),CA95))),OR('Smart Search'!$L$7="",AND(CB95&lt;&gt;0,CB95='Smart Search'!$L$7)),OR('Smart Search'!$L$8="",'Smart Search'!$L$8="All",TRIM(CC95)=TRIM('Smart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IF(A95="","",N(INDEX(Projects[Mech Inst],94)))</f>
        <v/>
      </c>
      <c r="BK95" s="5">
        <f>IF(A95="","",N(INDEX(Projects[Elec Inst],94)))</f>
        <v/>
      </c>
      <c r="BL95" s="5">
        <f>IF(A95="","",N(INDEX(Projects[Project Management],94)))</f>
        <v/>
      </c>
      <c r="BM95" s="5">
        <f>IF(A95="","",N(INDEX(Projects[Systems Eng],94)))</f>
        <v/>
      </c>
      <c r="BN95" s="5">
        <f>IF(A95="","",N(INDEX(Projects[Mechanical Eng],94)))</f>
        <v/>
      </c>
      <c r="BO95" s="5">
        <f>IF(A95="","",N(INDEX(Projects[Structural Engineering],94)))</f>
        <v/>
      </c>
      <c r="BP95" s="5">
        <f>IF(A95="","",N(INDEX(Projects[Site Sup],94)))</f>
        <v/>
      </c>
      <c r="BQ95" s="5">
        <f>IF(A95="","",N(INDEX(Projects[Controls Commissioning],94)))</f>
        <v/>
      </c>
      <c r="BR95" s="5">
        <f>IF(A95="","",N(INDEX(Projects[Systems Commissioning],94)))</f>
        <v/>
      </c>
      <c r="BS95" s="5">
        <f>IF(A95="","",N(INDEX(Projects[Service Commissioning],94)))</f>
        <v/>
      </c>
      <c r="BT95" s="5">
        <f>IF(A95="","",N(INDEX(Projects[Controls Eng],94)))</f>
        <v/>
      </c>
      <c r="BU95" s="5">
        <f>IF(A95="","",N(INDEX(Projects[Controls Purchase],94)))</f>
        <v/>
      </c>
      <c r="BV95" s="5">
        <f>IF(A95="","",N(INDEX(Projects[Software Eng],94)))</f>
        <v/>
      </c>
      <c r="BW95" s="5">
        <f>IF(A95="","",N(INDEX(Projects[Misc],94)))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  <c r="BZ95" s="5">
        <f>INDEX(Projects[Solution Type],94)&amp;""</f>
        <v/>
      </c>
      <c r="CA95" s="5">
        <f>INDEX(Projects[Client / Region],94)&amp;""</f>
        <v/>
      </c>
      <c r="CB95" s="5">
        <f>INDEX(Projects[Year],94)</f>
        <v/>
      </c>
      <c r="CC95" s="5">
        <f>INDEX(Projects[Won?],94)&amp;""</f>
        <v/>
      </c>
      <c r="CD95" s="5">
        <f>INDEX(Projects[Value (USD M)],94)</f>
        <v/>
      </c>
      <c r="CE95" s="5">
        <f>INDEX(Projects[MH Data Status],94)&amp;""</f>
        <v/>
      </c>
    </row>
    <row r="96" ht="15" customHeight="1" s="74">
      <c r="A96" s="66">
        <f>INDEX(Projects[Project ID *],95)&amp;""</f>
        <v/>
      </c>
      <c r="B96" s="66">
        <f>INDEX(Projects[Project Name *],95)&amp;""</f>
        <v/>
      </c>
      <c r="C96" s="66">
        <f>INDEX(Projects[MS Shuttles],95)</f>
        <v/>
      </c>
      <c r="D96" s="66">
        <f>INDEX(Projects[MS Tote Locations],95)</f>
        <v/>
      </c>
      <c r="E96" s="66">
        <f>INDEX(Projects[AS Robots],95)</f>
        <v/>
      </c>
      <c r="F96" s="66">
        <f>INDEX(Projects[AS Tote Locations],95)</f>
        <v/>
      </c>
      <c r="G96" s="66">
        <f>INDEX(Projects[PS Shuttles],95)</f>
        <v/>
      </c>
      <c r="H96" s="66">
        <f>INDEX(Projects[PS Pallet Locations],95)</f>
        <v/>
      </c>
      <c r="I96" s="66">
        <f>INDEX(Projects[SRM Cranes],95)</f>
        <v/>
      </c>
      <c r="J96" s="66">
        <f>INDEX(Projects[SRM Pallet Locations],95)</f>
        <v/>
      </c>
      <c r="K96" s="66">
        <f>INDEX(Projects[Case Conv (m)],95)</f>
        <v/>
      </c>
      <c r="L96" s="66">
        <f>INDEX(Projects[Pallet Conv (m)],95)</f>
        <v/>
      </c>
      <c r="M96" s="66">
        <f>INDEX(Projects[Mech Eng (wks)],95)</f>
        <v/>
      </c>
      <c r="N96" s="66">
        <f>INDEX(Projects[Controls Eng (wks)],95)</f>
        <v/>
      </c>
      <c r="O96" s="66">
        <f>INDEX(Projects[Systems Eng (wks)],95)</f>
        <v/>
      </c>
      <c r="P96" s="66">
        <f>INDEX(Projects[Software Eng (wks)],95)</f>
        <v/>
      </c>
      <c r="Q96" s="66">
        <f>INDEX(Projects[M&amp;E Installation (wks)],95)</f>
        <v/>
      </c>
      <c r="R96" s="66">
        <f>INDEX(Projects[Commissioning (wks)],95)</f>
        <v/>
      </c>
      <c r="S96" s="66">
        <f>INDEX(Projects[Total Timeline (wks)],95)</f>
        <v/>
      </c>
      <c r="T96" s="66">
        <f>INDEX(Projects[Currency],95)&amp;""</f>
        <v/>
      </c>
      <c r="U96" s="67">
        <f>INDEX(Projects[Value (M)],95)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INDEX(Projects[Automation Equipment],95)&amp;""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IF(AND(A96&lt;&gt;"",OR('Smart Search'!$L$5="",'Smart Search'!$L$5="All",TRIM(BZ96)=TRIM('Smart Search'!$L$5)),OR(TRIM('Smart Search'!$L$6)="",TRIM('Smart Search'!$L$6)="All",ISNUMBER(SEARCH(SUBSTITUTE(SUBSTITUTE(SUBSTITUTE(TRIM('Smart Search'!$L$6),"~","~~"),"*","~*"),"?","~?"),CA96))),OR('Smart Search'!$L$7="",AND(CB96&lt;&gt;0,CB96='Smart Search'!$L$7)),OR('Smart Search'!$L$8="",'Smart Search'!$L$8="All",TRIM(CC96)=TRIM('Smart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IF(A96="","",N(INDEX(Projects[Mech Inst],95)))</f>
        <v/>
      </c>
      <c r="BK96" s="5">
        <f>IF(A96="","",N(INDEX(Projects[Elec Inst],95)))</f>
        <v/>
      </c>
      <c r="BL96" s="5">
        <f>IF(A96="","",N(INDEX(Projects[Project Management],95)))</f>
        <v/>
      </c>
      <c r="BM96" s="5">
        <f>IF(A96="","",N(INDEX(Projects[Systems Eng],95)))</f>
        <v/>
      </c>
      <c r="BN96" s="5">
        <f>IF(A96="","",N(INDEX(Projects[Mechanical Eng],95)))</f>
        <v/>
      </c>
      <c r="BO96" s="5">
        <f>IF(A96="","",N(INDEX(Projects[Structural Engineering],95)))</f>
        <v/>
      </c>
      <c r="BP96" s="5">
        <f>IF(A96="","",N(INDEX(Projects[Site Sup],95)))</f>
        <v/>
      </c>
      <c r="BQ96" s="5">
        <f>IF(A96="","",N(INDEX(Projects[Controls Commissioning],95)))</f>
        <v/>
      </c>
      <c r="BR96" s="5">
        <f>IF(A96="","",N(INDEX(Projects[Systems Commissioning],95)))</f>
        <v/>
      </c>
      <c r="BS96" s="5">
        <f>IF(A96="","",N(INDEX(Projects[Service Commissioning],95)))</f>
        <v/>
      </c>
      <c r="BT96" s="5">
        <f>IF(A96="","",N(INDEX(Projects[Controls Eng],95)))</f>
        <v/>
      </c>
      <c r="BU96" s="5">
        <f>IF(A96="","",N(INDEX(Projects[Controls Purchase],95)))</f>
        <v/>
      </c>
      <c r="BV96" s="5">
        <f>IF(A96="","",N(INDEX(Projects[Software Eng],95)))</f>
        <v/>
      </c>
      <c r="BW96" s="5">
        <f>IF(A96="","",N(INDEX(Projects[Misc],95)))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  <c r="BZ96" s="5">
        <f>INDEX(Projects[Solution Type],95)&amp;""</f>
        <v/>
      </c>
      <c r="CA96" s="5">
        <f>INDEX(Projects[Client / Region],95)&amp;""</f>
        <v/>
      </c>
      <c r="CB96" s="5">
        <f>INDEX(Projects[Year],95)</f>
        <v/>
      </c>
      <c r="CC96" s="5">
        <f>INDEX(Projects[Won?],95)&amp;""</f>
        <v/>
      </c>
      <c r="CD96" s="5">
        <f>INDEX(Projects[Value (USD M)],95)</f>
        <v/>
      </c>
      <c r="CE96" s="5">
        <f>INDEX(Projects[MH Data Status],95)&amp;""</f>
        <v/>
      </c>
    </row>
    <row r="97" ht="15" customHeight="1" s="74">
      <c r="A97" s="66">
        <f>INDEX(Projects[Project ID *],96)&amp;""</f>
        <v/>
      </c>
      <c r="B97" s="66">
        <f>INDEX(Projects[Project Name *],96)&amp;""</f>
        <v/>
      </c>
      <c r="C97" s="66">
        <f>INDEX(Projects[MS Shuttles],96)</f>
        <v/>
      </c>
      <c r="D97" s="66">
        <f>INDEX(Projects[MS Tote Locations],96)</f>
        <v/>
      </c>
      <c r="E97" s="66">
        <f>INDEX(Projects[AS Robots],96)</f>
        <v/>
      </c>
      <c r="F97" s="66">
        <f>INDEX(Projects[AS Tote Locations],96)</f>
        <v/>
      </c>
      <c r="G97" s="66">
        <f>INDEX(Projects[PS Shuttles],96)</f>
        <v/>
      </c>
      <c r="H97" s="66">
        <f>INDEX(Projects[PS Pallet Locations],96)</f>
        <v/>
      </c>
      <c r="I97" s="66">
        <f>INDEX(Projects[SRM Cranes],96)</f>
        <v/>
      </c>
      <c r="J97" s="66">
        <f>INDEX(Projects[SRM Pallet Locations],96)</f>
        <v/>
      </c>
      <c r="K97" s="66">
        <f>INDEX(Projects[Case Conv (m)],96)</f>
        <v/>
      </c>
      <c r="L97" s="66">
        <f>INDEX(Projects[Pallet Conv (m)],96)</f>
        <v/>
      </c>
      <c r="M97" s="66">
        <f>INDEX(Projects[Mech Eng (wks)],96)</f>
        <v/>
      </c>
      <c r="N97" s="66">
        <f>INDEX(Projects[Controls Eng (wks)],96)</f>
        <v/>
      </c>
      <c r="O97" s="66">
        <f>INDEX(Projects[Systems Eng (wks)],96)</f>
        <v/>
      </c>
      <c r="P97" s="66">
        <f>INDEX(Projects[Software Eng (wks)],96)</f>
        <v/>
      </c>
      <c r="Q97" s="66">
        <f>INDEX(Projects[M&amp;E Installation (wks)],96)</f>
        <v/>
      </c>
      <c r="R97" s="66">
        <f>INDEX(Projects[Commissioning (wks)],96)</f>
        <v/>
      </c>
      <c r="S97" s="66">
        <f>INDEX(Projects[Total Timeline (wks)],96)</f>
        <v/>
      </c>
      <c r="T97" s="66">
        <f>INDEX(Projects[Currency],96)&amp;""</f>
        <v/>
      </c>
      <c r="U97" s="67">
        <f>INDEX(Projects[Value (M)],96)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INDEX(Projects[Automation Equipment],96)&amp;""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IF(AND(A97&lt;&gt;"",OR('Smart Search'!$L$5="",'Smart Search'!$L$5="All",TRIM(BZ97)=TRIM('Smart Search'!$L$5)),OR(TRIM('Smart Search'!$L$6)="",TRIM('Smart Search'!$L$6)="All",ISNUMBER(SEARCH(SUBSTITUTE(SUBSTITUTE(SUBSTITUTE(TRIM('Smart Search'!$L$6),"~","~~"),"*","~*"),"?","~?"),CA97))),OR('Smart Search'!$L$7="",AND(CB97&lt;&gt;0,CB97='Smart Search'!$L$7)),OR('Smart Search'!$L$8="",'Smart Search'!$L$8="All",TRIM(CC97)=TRIM('Smart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IF(A97="","",N(INDEX(Projects[Mech Inst],96)))</f>
        <v/>
      </c>
      <c r="BK97" s="5">
        <f>IF(A97="","",N(INDEX(Projects[Elec Inst],96)))</f>
        <v/>
      </c>
      <c r="BL97" s="5">
        <f>IF(A97="","",N(INDEX(Projects[Project Management],96)))</f>
        <v/>
      </c>
      <c r="BM97" s="5">
        <f>IF(A97="","",N(INDEX(Projects[Systems Eng],96)))</f>
        <v/>
      </c>
      <c r="BN97" s="5">
        <f>IF(A97="","",N(INDEX(Projects[Mechanical Eng],96)))</f>
        <v/>
      </c>
      <c r="BO97" s="5">
        <f>IF(A97="","",N(INDEX(Projects[Structural Engineering],96)))</f>
        <v/>
      </c>
      <c r="BP97" s="5">
        <f>IF(A97="","",N(INDEX(Projects[Site Sup],96)))</f>
        <v/>
      </c>
      <c r="BQ97" s="5">
        <f>IF(A97="","",N(INDEX(Projects[Controls Commissioning],96)))</f>
        <v/>
      </c>
      <c r="BR97" s="5">
        <f>IF(A97="","",N(INDEX(Projects[Systems Commissioning],96)))</f>
        <v/>
      </c>
      <c r="BS97" s="5">
        <f>IF(A97="","",N(INDEX(Projects[Service Commissioning],96)))</f>
        <v/>
      </c>
      <c r="BT97" s="5">
        <f>IF(A97="","",N(INDEX(Projects[Controls Eng],96)))</f>
        <v/>
      </c>
      <c r="BU97" s="5">
        <f>IF(A97="","",N(INDEX(Projects[Controls Purchase],96)))</f>
        <v/>
      </c>
      <c r="BV97" s="5">
        <f>IF(A97="","",N(INDEX(Projects[Software Eng],96)))</f>
        <v/>
      </c>
      <c r="BW97" s="5">
        <f>IF(A97="","",N(INDEX(Projects[Misc],96)))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  <c r="BZ97" s="5">
        <f>INDEX(Projects[Solution Type],96)&amp;""</f>
        <v/>
      </c>
      <c r="CA97" s="5">
        <f>INDEX(Projects[Client / Region],96)&amp;""</f>
        <v/>
      </c>
      <c r="CB97" s="5">
        <f>INDEX(Projects[Year],96)</f>
        <v/>
      </c>
      <c r="CC97" s="5">
        <f>INDEX(Projects[Won?],96)&amp;""</f>
        <v/>
      </c>
      <c r="CD97" s="5">
        <f>INDEX(Projects[Value (USD M)],96)</f>
        <v/>
      </c>
      <c r="CE97" s="5">
        <f>INDEX(Projects[MH Data Status],96)&amp;""</f>
        <v/>
      </c>
    </row>
    <row r="98" ht="15" customHeight="1" s="74">
      <c r="A98" s="66">
        <f>INDEX(Projects[Project ID *],97)&amp;""</f>
        <v/>
      </c>
      <c r="B98" s="66">
        <f>INDEX(Projects[Project Name *],97)&amp;""</f>
        <v/>
      </c>
      <c r="C98" s="66">
        <f>INDEX(Projects[MS Shuttles],97)</f>
        <v/>
      </c>
      <c r="D98" s="66">
        <f>INDEX(Projects[MS Tote Locations],97)</f>
        <v/>
      </c>
      <c r="E98" s="66">
        <f>INDEX(Projects[AS Robots],97)</f>
        <v/>
      </c>
      <c r="F98" s="66">
        <f>INDEX(Projects[AS Tote Locations],97)</f>
        <v/>
      </c>
      <c r="G98" s="66">
        <f>INDEX(Projects[PS Shuttles],97)</f>
        <v/>
      </c>
      <c r="H98" s="66">
        <f>INDEX(Projects[PS Pallet Locations],97)</f>
        <v/>
      </c>
      <c r="I98" s="66">
        <f>INDEX(Projects[SRM Cranes],97)</f>
        <v/>
      </c>
      <c r="J98" s="66">
        <f>INDEX(Projects[SRM Pallet Locations],97)</f>
        <v/>
      </c>
      <c r="K98" s="66">
        <f>INDEX(Projects[Case Conv (m)],97)</f>
        <v/>
      </c>
      <c r="L98" s="66">
        <f>INDEX(Projects[Pallet Conv (m)],97)</f>
        <v/>
      </c>
      <c r="M98" s="66">
        <f>INDEX(Projects[Mech Eng (wks)],97)</f>
        <v/>
      </c>
      <c r="N98" s="66">
        <f>INDEX(Projects[Controls Eng (wks)],97)</f>
        <v/>
      </c>
      <c r="O98" s="66">
        <f>INDEX(Projects[Systems Eng (wks)],97)</f>
        <v/>
      </c>
      <c r="P98" s="66">
        <f>INDEX(Projects[Software Eng (wks)],97)</f>
        <v/>
      </c>
      <c r="Q98" s="66">
        <f>INDEX(Projects[M&amp;E Installation (wks)],97)</f>
        <v/>
      </c>
      <c r="R98" s="66">
        <f>INDEX(Projects[Commissioning (wks)],97)</f>
        <v/>
      </c>
      <c r="S98" s="66">
        <f>INDEX(Projects[Total Timeline (wks)],97)</f>
        <v/>
      </c>
      <c r="T98" s="66">
        <f>INDEX(Projects[Currency],97)&amp;""</f>
        <v/>
      </c>
      <c r="U98" s="67">
        <f>INDEX(Projects[Value (M)],97)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INDEX(Projects[Automation Equipment],97)&amp;""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IF(AND(A98&lt;&gt;"",OR('Smart Search'!$L$5="",'Smart Search'!$L$5="All",TRIM(BZ98)=TRIM('Smart Search'!$L$5)),OR(TRIM('Smart Search'!$L$6)="",TRIM('Smart Search'!$L$6)="All",ISNUMBER(SEARCH(SUBSTITUTE(SUBSTITUTE(SUBSTITUTE(TRIM('Smart Search'!$L$6),"~","~~"),"*","~*"),"?","~?"),CA98))),OR('Smart Search'!$L$7="",AND(CB98&lt;&gt;0,CB98='Smart Search'!$L$7)),OR('Smart Search'!$L$8="",'Smart Search'!$L$8="All",TRIM(CC98)=TRIM('Smart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IF(A98="","",N(INDEX(Projects[Mech Inst],97)))</f>
        <v/>
      </c>
      <c r="BK98" s="5">
        <f>IF(A98="","",N(INDEX(Projects[Elec Inst],97)))</f>
        <v/>
      </c>
      <c r="BL98" s="5">
        <f>IF(A98="","",N(INDEX(Projects[Project Management],97)))</f>
        <v/>
      </c>
      <c r="BM98" s="5">
        <f>IF(A98="","",N(INDEX(Projects[Systems Eng],97)))</f>
        <v/>
      </c>
      <c r="BN98" s="5">
        <f>IF(A98="","",N(INDEX(Projects[Mechanical Eng],97)))</f>
        <v/>
      </c>
      <c r="BO98" s="5">
        <f>IF(A98="","",N(INDEX(Projects[Structural Engineering],97)))</f>
        <v/>
      </c>
      <c r="BP98" s="5">
        <f>IF(A98="","",N(INDEX(Projects[Site Sup],97)))</f>
        <v/>
      </c>
      <c r="BQ98" s="5">
        <f>IF(A98="","",N(INDEX(Projects[Controls Commissioning],97)))</f>
        <v/>
      </c>
      <c r="BR98" s="5">
        <f>IF(A98="","",N(INDEX(Projects[Systems Commissioning],97)))</f>
        <v/>
      </c>
      <c r="BS98" s="5">
        <f>IF(A98="","",N(INDEX(Projects[Service Commissioning],97)))</f>
        <v/>
      </c>
      <c r="BT98" s="5">
        <f>IF(A98="","",N(INDEX(Projects[Controls Eng],97)))</f>
        <v/>
      </c>
      <c r="BU98" s="5">
        <f>IF(A98="","",N(INDEX(Projects[Controls Purchase],97)))</f>
        <v/>
      </c>
      <c r="BV98" s="5">
        <f>IF(A98="","",N(INDEX(Projects[Software Eng],97)))</f>
        <v/>
      </c>
      <c r="BW98" s="5">
        <f>IF(A98="","",N(INDEX(Projects[Misc],97)))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  <c r="BZ98" s="5">
        <f>INDEX(Projects[Solution Type],97)&amp;""</f>
        <v/>
      </c>
      <c r="CA98" s="5">
        <f>INDEX(Projects[Client / Region],97)&amp;""</f>
        <v/>
      </c>
      <c r="CB98" s="5">
        <f>INDEX(Projects[Year],97)</f>
        <v/>
      </c>
      <c r="CC98" s="5">
        <f>INDEX(Projects[Won?],97)&amp;""</f>
        <v/>
      </c>
      <c r="CD98" s="5">
        <f>INDEX(Projects[Value (USD M)],97)</f>
        <v/>
      </c>
      <c r="CE98" s="5">
        <f>INDEX(Projects[MH Data Status],97)&amp;""</f>
        <v/>
      </c>
    </row>
    <row r="99" ht="15" customHeight="1" s="74">
      <c r="A99" s="66">
        <f>INDEX(Projects[Project ID *],98)&amp;""</f>
        <v/>
      </c>
      <c r="B99" s="66">
        <f>INDEX(Projects[Project Name *],98)&amp;""</f>
        <v/>
      </c>
      <c r="C99" s="66">
        <f>INDEX(Projects[MS Shuttles],98)</f>
        <v/>
      </c>
      <c r="D99" s="66">
        <f>INDEX(Projects[MS Tote Locations],98)</f>
        <v/>
      </c>
      <c r="E99" s="66">
        <f>INDEX(Projects[AS Robots],98)</f>
        <v/>
      </c>
      <c r="F99" s="66">
        <f>INDEX(Projects[AS Tote Locations],98)</f>
        <v/>
      </c>
      <c r="G99" s="66">
        <f>INDEX(Projects[PS Shuttles],98)</f>
        <v/>
      </c>
      <c r="H99" s="66">
        <f>INDEX(Projects[PS Pallet Locations],98)</f>
        <v/>
      </c>
      <c r="I99" s="66">
        <f>INDEX(Projects[SRM Cranes],98)</f>
        <v/>
      </c>
      <c r="J99" s="66">
        <f>INDEX(Projects[SRM Pallet Locations],98)</f>
        <v/>
      </c>
      <c r="K99" s="66">
        <f>INDEX(Projects[Case Conv (m)],98)</f>
        <v/>
      </c>
      <c r="L99" s="66">
        <f>INDEX(Projects[Pallet Conv (m)],98)</f>
        <v/>
      </c>
      <c r="M99" s="66">
        <f>INDEX(Projects[Mech Eng (wks)],98)</f>
        <v/>
      </c>
      <c r="N99" s="66">
        <f>INDEX(Projects[Controls Eng (wks)],98)</f>
        <v/>
      </c>
      <c r="O99" s="66">
        <f>INDEX(Projects[Systems Eng (wks)],98)</f>
        <v/>
      </c>
      <c r="P99" s="66">
        <f>INDEX(Projects[Software Eng (wks)],98)</f>
        <v/>
      </c>
      <c r="Q99" s="66">
        <f>INDEX(Projects[M&amp;E Installation (wks)],98)</f>
        <v/>
      </c>
      <c r="R99" s="66">
        <f>INDEX(Projects[Commissioning (wks)],98)</f>
        <v/>
      </c>
      <c r="S99" s="66">
        <f>INDEX(Projects[Total Timeline (wks)],98)</f>
        <v/>
      </c>
      <c r="T99" s="66">
        <f>INDEX(Projects[Currency],98)&amp;""</f>
        <v/>
      </c>
      <c r="U99" s="67">
        <f>INDEX(Projects[Value (M)],98)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INDEX(Projects[Automation Equipment],98)&amp;""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IF(AND(A99&lt;&gt;"",OR('Smart Search'!$L$5="",'Smart Search'!$L$5="All",TRIM(BZ99)=TRIM('Smart Search'!$L$5)),OR(TRIM('Smart Search'!$L$6)="",TRIM('Smart Search'!$L$6)="All",ISNUMBER(SEARCH(SUBSTITUTE(SUBSTITUTE(SUBSTITUTE(TRIM('Smart Search'!$L$6),"~","~~"),"*","~*"),"?","~?"),CA99))),OR('Smart Search'!$L$7="",AND(CB99&lt;&gt;0,CB99='Smart Search'!$L$7)),OR('Smart Search'!$L$8="",'Smart Search'!$L$8="All",TRIM(CC99)=TRIM('Smart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IF(A99="","",N(INDEX(Projects[Mech Inst],98)))</f>
        <v/>
      </c>
      <c r="BK99" s="5">
        <f>IF(A99="","",N(INDEX(Projects[Elec Inst],98)))</f>
        <v/>
      </c>
      <c r="BL99" s="5">
        <f>IF(A99="","",N(INDEX(Projects[Project Management],98)))</f>
        <v/>
      </c>
      <c r="BM99" s="5">
        <f>IF(A99="","",N(INDEX(Projects[Systems Eng],98)))</f>
        <v/>
      </c>
      <c r="BN99" s="5">
        <f>IF(A99="","",N(INDEX(Projects[Mechanical Eng],98)))</f>
        <v/>
      </c>
      <c r="BO99" s="5">
        <f>IF(A99="","",N(INDEX(Projects[Structural Engineering],98)))</f>
        <v/>
      </c>
      <c r="BP99" s="5">
        <f>IF(A99="","",N(INDEX(Projects[Site Sup],98)))</f>
        <v/>
      </c>
      <c r="BQ99" s="5">
        <f>IF(A99="","",N(INDEX(Projects[Controls Commissioning],98)))</f>
        <v/>
      </c>
      <c r="BR99" s="5">
        <f>IF(A99="","",N(INDEX(Projects[Systems Commissioning],98)))</f>
        <v/>
      </c>
      <c r="BS99" s="5">
        <f>IF(A99="","",N(INDEX(Projects[Service Commissioning],98)))</f>
        <v/>
      </c>
      <c r="BT99" s="5">
        <f>IF(A99="","",N(INDEX(Projects[Controls Eng],98)))</f>
        <v/>
      </c>
      <c r="BU99" s="5">
        <f>IF(A99="","",N(INDEX(Projects[Controls Purchase],98)))</f>
        <v/>
      </c>
      <c r="BV99" s="5">
        <f>IF(A99="","",N(INDEX(Projects[Software Eng],98)))</f>
        <v/>
      </c>
      <c r="BW99" s="5">
        <f>IF(A99="","",N(INDEX(Projects[Misc],98)))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  <c r="BZ99" s="5">
        <f>INDEX(Projects[Solution Type],98)&amp;""</f>
        <v/>
      </c>
      <c r="CA99" s="5">
        <f>INDEX(Projects[Client / Region],98)&amp;""</f>
        <v/>
      </c>
      <c r="CB99" s="5">
        <f>INDEX(Projects[Year],98)</f>
        <v/>
      </c>
      <c r="CC99" s="5">
        <f>INDEX(Projects[Won?],98)&amp;""</f>
        <v/>
      </c>
      <c r="CD99" s="5">
        <f>INDEX(Projects[Value (USD M)],98)</f>
        <v/>
      </c>
      <c r="CE99" s="5">
        <f>INDEX(Projects[MH Data Status],98)&amp;""</f>
        <v/>
      </c>
    </row>
    <row r="100" ht="15" customHeight="1" s="74">
      <c r="A100" s="66">
        <f>INDEX(Projects[Project ID *],99)&amp;""</f>
        <v/>
      </c>
      <c r="B100" s="66">
        <f>INDEX(Projects[Project Name *],99)&amp;""</f>
        <v/>
      </c>
      <c r="C100" s="66">
        <f>INDEX(Projects[MS Shuttles],99)</f>
        <v/>
      </c>
      <c r="D100" s="66">
        <f>INDEX(Projects[MS Tote Locations],99)</f>
        <v/>
      </c>
      <c r="E100" s="66">
        <f>INDEX(Projects[AS Robots],99)</f>
        <v/>
      </c>
      <c r="F100" s="66">
        <f>INDEX(Projects[AS Tote Locations],99)</f>
        <v/>
      </c>
      <c r="G100" s="66">
        <f>INDEX(Projects[PS Shuttles],99)</f>
        <v/>
      </c>
      <c r="H100" s="66">
        <f>INDEX(Projects[PS Pallet Locations],99)</f>
        <v/>
      </c>
      <c r="I100" s="66">
        <f>INDEX(Projects[SRM Cranes],99)</f>
        <v/>
      </c>
      <c r="J100" s="66">
        <f>INDEX(Projects[SRM Pallet Locations],99)</f>
        <v/>
      </c>
      <c r="K100" s="66">
        <f>INDEX(Projects[Case Conv (m)],99)</f>
        <v/>
      </c>
      <c r="L100" s="66">
        <f>INDEX(Projects[Pallet Conv (m)],99)</f>
        <v/>
      </c>
      <c r="M100" s="66">
        <f>INDEX(Projects[Mech Eng (wks)],99)</f>
        <v/>
      </c>
      <c r="N100" s="66">
        <f>INDEX(Projects[Controls Eng (wks)],99)</f>
        <v/>
      </c>
      <c r="O100" s="66">
        <f>INDEX(Projects[Systems Eng (wks)],99)</f>
        <v/>
      </c>
      <c r="P100" s="66">
        <f>INDEX(Projects[Software Eng (wks)],99)</f>
        <v/>
      </c>
      <c r="Q100" s="66">
        <f>INDEX(Projects[M&amp;E Installation (wks)],99)</f>
        <v/>
      </c>
      <c r="R100" s="66">
        <f>INDEX(Projects[Commissioning (wks)],99)</f>
        <v/>
      </c>
      <c r="S100" s="66">
        <f>INDEX(Projects[Total Timeline (wks)],99)</f>
        <v/>
      </c>
      <c r="T100" s="66">
        <f>INDEX(Projects[Currency],99)&amp;""</f>
        <v/>
      </c>
      <c r="U100" s="67">
        <f>INDEX(Projects[Value (M)],99)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INDEX(Projects[Automation Equipment],99)&amp;""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IF(AND(A100&lt;&gt;"",OR('Smart Search'!$L$5="",'Smart Search'!$L$5="All",TRIM(BZ100)=TRIM('Smart Search'!$L$5)),OR(TRIM('Smart Search'!$L$6)="",TRIM('Smart Search'!$L$6)="All",ISNUMBER(SEARCH(SUBSTITUTE(SUBSTITUTE(SUBSTITUTE(TRIM('Smart Search'!$L$6),"~","~~"),"*","~*"),"?","~?"),CA100))),OR('Smart Search'!$L$7="",AND(CB100&lt;&gt;0,CB100='Smart Search'!$L$7)),OR('Smart Search'!$L$8="",'Smart Search'!$L$8="All",TRIM(CC100)=TRIM('Smart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IF(A100="","",N(INDEX(Projects[Mech Inst],99)))</f>
        <v/>
      </c>
      <c r="BK100" s="5">
        <f>IF(A100="","",N(INDEX(Projects[Elec Inst],99)))</f>
        <v/>
      </c>
      <c r="BL100" s="5">
        <f>IF(A100="","",N(INDEX(Projects[Project Management],99)))</f>
        <v/>
      </c>
      <c r="BM100" s="5">
        <f>IF(A100="","",N(INDEX(Projects[Systems Eng],99)))</f>
        <v/>
      </c>
      <c r="BN100" s="5">
        <f>IF(A100="","",N(INDEX(Projects[Mechanical Eng],99)))</f>
        <v/>
      </c>
      <c r="BO100" s="5">
        <f>IF(A100="","",N(INDEX(Projects[Structural Engineering],99)))</f>
        <v/>
      </c>
      <c r="BP100" s="5">
        <f>IF(A100="","",N(INDEX(Projects[Site Sup],99)))</f>
        <v/>
      </c>
      <c r="BQ100" s="5">
        <f>IF(A100="","",N(INDEX(Projects[Controls Commissioning],99)))</f>
        <v/>
      </c>
      <c r="BR100" s="5">
        <f>IF(A100="","",N(INDEX(Projects[Systems Commissioning],99)))</f>
        <v/>
      </c>
      <c r="BS100" s="5">
        <f>IF(A100="","",N(INDEX(Projects[Service Commissioning],99)))</f>
        <v/>
      </c>
      <c r="BT100" s="5">
        <f>IF(A100="","",N(INDEX(Projects[Controls Eng],99)))</f>
        <v/>
      </c>
      <c r="BU100" s="5">
        <f>IF(A100="","",N(INDEX(Projects[Controls Purchase],99)))</f>
        <v/>
      </c>
      <c r="BV100" s="5">
        <f>IF(A100="","",N(INDEX(Projects[Software Eng],99)))</f>
        <v/>
      </c>
      <c r="BW100" s="5">
        <f>IF(A100="","",N(INDEX(Projects[Misc],99)))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  <c r="BZ100" s="5">
        <f>INDEX(Projects[Solution Type],99)&amp;""</f>
        <v/>
      </c>
      <c r="CA100" s="5">
        <f>INDEX(Projects[Client / Region],99)&amp;""</f>
        <v/>
      </c>
      <c r="CB100" s="5">
        <f>INDEX(Projects[Year],99)</f>
        <v/>
      </c>
      <c r="CC100" s="5">
        <f>INDEX(Projects[Won?],99)&amp;""</f>
        <v/>
      </c>
      <c r="CD100" s="5">
        <f>INDEX(Projects[Value (USD M)],99)</f>
        <v/>
      </c>
      <c r="CE100" s="5">
        <f>INDEX(Projects[MH Data Status],99)&amp;""</f>
        <v/>
      </c>
    </row>
    <row r="101" ht="15" customHeight="1" s="74">
      <c r="A101" s="66">
        <f>INDEX(Projects[Project ID *],100)&amp;""</f>
        <v/>
      </c>
      <c r="B101" s="66">
        <f>INDEX(Projects[Project Name *],100)&amp;""</f>
        <v/>
      </c>
      <c r="C101" s="66">
        <f>INDEX(Projects[MS Shuttles],100)</f>
        <v/>
      </c>
      <c r="D101" s="66">
        <f>INDEX(Projects[MS Tote Locations],100)</f>
        <v/>
      </c>
      <c r="E101" s="66">
        <f>INDEX(Projects[AS Robots],100)</f>
        <v/>
      </c>
      <c r="F101" s="66">
        <f>INDEX(Projects[AS Tote Locations],100)</f>
        <v/>
      </c>
      <c r="G101" s="66">
        <f>INDEX(Projects[PS Shuttles],100)</f>
        <v/>
      </c>
      <c r="H101" s="66">
        <f>INDEX(Projects[PS Pallet Locations],100)</f>
        <v/>
      </c>
      <c r="I101" s="66">
        <f>INDEX(Projects[SRM Cranes],100)</f>
        <v/>
      </c>
      <c r="J101" s="66">
        <f>INDEX(Projects[SRM Pallet Locations],100)</f>
        <v/>
      </c>
      <c r="K101" s="66">
        <f>INDEX(Projects[Case Conv (m)],100)</f>
        <v/>
      </c>
      <c r="L101" s="66">
        <f>INDEX(Projects[Pallet Conv (m)],100)</f>
        <v/>
      </c>
      <c r="M101" s="66">
        <f>INDEX(Projects[Mech Eng (wks)],100)</f>
        <v/>
      </c>
      <c r="N101" s="66">
        <f>INDEX(Projects[Controls Eng (wks)],100)</f>
        <v/>
      </c>
      <c r="O101" s="66">
        <f>INDEX(Projects[Systems Eng (wks)],100)</f>
        <v/>
      </c>
      <c r="P101" s="66">
        <f>INDEX(Projects[Software Eng (wks)],100)</f>
        <v/>
      </c>
      <c r="Q101" s="66">
        <f>INDEX(Projects[M&amp;E Installation (wks)],100)</f>
        <v/>
      </c>
      <c r="R101" s="66">
        <f>INDEX(Projects[Commissioning (wks)],100)</f>
        <v/>
      </c>
      <c r="S101" s="66">
        <f>INDEX(Projects[Total Timeline (wks)],100)</f>
        <v/>
      </c>
      <c r="T101" s="66">
        <f>INDEX(Projects[Currency],100)&amp;""</f>
        <v/>
      </c>
      <c r="U101" s="67">
        <f>INDEX(Projects[Value (M)],100)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INDEX(Projects[Automation Equipment],100)&amp;""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IF(AND(A101&lt;&gt;"",OR('Smart Search'!$L$5="",'Smart Search'!$L$5="All",TRIM(BZ101)=TRIM('Smart Search'!$L$5)),OR(TRIM('Smart Search'!$L$6)="",TRIM('Smart Search'!$L$6)="All",ISNUMBER(SEARCH(SUBSTITUTE(SUBSTITUTE(SUBSTITUTE(TRIM('Smart Search'!$L$6),"~","~~"),"*","~*"),"?","~?"),CA101))),OR('Smart Search'!$L$7="",AND(CB101&lt;&gt;0,CB101='Smart Search'!$L$7)),OR('Smart Search'!$L$8="",'Smart Search'!$L$8="All",TRIM(CC101)=TRIM('Smart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IF(A101="","",N(INDEX(Projects[Mech Inst],100)))</f>
        <v/>
      </c>
      <c r="BK101" s="5">
        <f>IF(A101="","",N(INDEX(Projects[Elec Inst],100)))</f>
        <v/>
      </c>
      <c r="BL101" s="5">
        <f>IF(A101="","",N(INDEX(Projects[Project Management],100)))</f>
        <v/>
      </c>
      <c r="BM101" s="5">
        <f>IF(A101="","",N(INDEX(Projects[Systems Eng],100)))</f>
        <v/>
      </c>
      <c r="BN101" s="5">
        <f>IF(A101="","",N(INDEX(Projects[Mechanical Eng],100)))</f>
        <v/>
      </c>
      <c r="BO101" s="5">
        <f>IF(A101="","",N(INDEX(Projects[Structural Engineering],100)))</f>
        <v/>
      </c>
      <c r="BP101" s="5">
        <f>IF(A101="","",N(INDEX(Projects[Site Sup],100)))</f>
        <v/>
      </c>
      <c r="BQ101" s="5">
        <f>IF(A101="","",N(INDEX(Projects[Controls Commissioning],100)))</f>
        <v/>
      </c>
      <c r="BR101" s="5">
        <f>IF(A101="","",N(INDEX(Projects[Systems Commissioning],100)))</f>
        <v/>
      </c>
      <c r="BS101" s="5">
        <f>IF(A101="","",N(INDEX(Projects[Service Commissioning],100)))</f>
        <v/>
      </c>
      <c r="BT101" s="5">
        <f>IF(A101="","",N(INDEX(Projects[Controls Eng],100)))</f>
        <v/>
      </c>
      <c r="BU101" s="5">
        <f>IF(A101="","",N(INDEX(Projects[Controls Purchase],100)))</f>
        <v/>
      </c>
      <c r="BV101" s="5">
        <f>IF(A101="","",N(INDEX(Projects[Software Eng],100)))</f>
        <v/>
      </c>
      <c r="BW101" s="5">
        <f>IF(A101="","",N(INDEX(Projects[Misc],100)))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  <c r="BZ101" s="5">
        <f>INDEX(Projects[Solution Type],100)&amp;""</f>
        <v/>
      </c>
      <c r="CA101" s="5">
        <f>INDEX(Projects[Client / Region],100)&amp;""</f>
        <v/>
      </c>
      <c r="CB101" s="5">
        <f>INDEX(Projects[Year],100)</f>
        <v/>
      </c>
      <c r="CC101" s="5">
        <f>INDEX(Projects[Won?],100)&amp;""</f>
        <v/>
      </c>
      <c r="CD101" s="5">
        <f>INDEX(Projects[Value (USD M)],100)</f>
        <v/>
      </c>
      <c r="CE101" s="5">
        <f>INDEX(Projects[MH Data Status],100)&amp;""</f>
        <v/>
      </c>
    </row>
    <row r="102" ht="15" customHeight="1" s="74">
      <c r="A102" s="66">
        <f>INDEX(Projects[Project ID *],101)&amp;""</f>
        <v/>
      </c>
      <c r="B102" s="66">
        <f>INDEX(Projects[Project Name *],101)&amp;""</f>
        <v/>
      </c>
      <c r="C102" s="66">
        <f>INDEX(Projects[MS Shuttles],101)</f>
        <v/>
      </c>
      <c r="D102" s="66">
        <f>INDEX(Projects[MS Tote Locations],101)</f>
        <v/>
      </c>
      <c r="E102" s="66">
        <f>INDEX(Projects[AS Robots],101)</f>
        <v/>
      </c>
      <c r="F102" s="66">
        <f>INDEX(Projects[AS Tote Locations],101)</f>
        <v/>
      </c>
      <c r="G102" s="66">
        <f>INDEX(Projects[PS Shuttles],101)</f>
        <v/>
      </c>
      <c r="H102" s="66">
        <f>INDEX(Projects[PS Pallet Locations],101)</f>
        <v/>
      </c>
      <c r="I102" s="66">
        <f>INDEX(Projects[SRM Cranes],101)</f>
        <v/>
      </c>
      <c r="J102" s="66">
        <f>INDEX(Projects[SRM Pallet Locations],101)</f>
        <v/>
      </c>
      <c r="K102" s="66">
        <f>INDEX(Projects[Case Conv (m)],101)</f>
        <v/>
      </c>
      <c r="L102" s="66">
        <f>INDEX(Projects[Pallet Conv (m)],101)</f>
        <v/>
      </c>
      <c r="M102" s="66">
        <f>INDEX(Projects[Mech Eng (wks)],101)</f>
        <v/>
      </c>
      <c r="N102" s="66">
        <f>INDEX(Projects[Controls Eng (wks)],101)</f>
        <v/>
      </c>
      <c r="O102" s="66">
        <f>INDEX(Projects[Systems Eng (wks)],101)</f>
        <v/>
      </c>
      <c r="P102" s="66">
        <f>INDEX(Projects[Software Eng (wks)],101)</f>
        <v/>
      </c>
      <c r="Q102" s="66">
        <f>INDEX(Projects[M&amp;E Installation (wks)],101)</f>
        <v/>
      </c>
      <c r="R102" s="66">
        <f>INDEX(Projects[Commissioning (wks)],101)</f>
        <v/>
      </c>
      <c r="S102" s="66">
        <f>INDEX(Projects[Total Timeline (wks)],101)</f>
        <v/>
      </c>
      <c r="T102" s="66">
        <f>INDEX(Projects[Currency],101)&amp;""</f>
        <v/>
      </c>
      <c r="U102" s="67">
        <f>INDEX(Projects[Value (M)],101)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INDEX(Projects[Automation Equipment],101)&amp;""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IF(AND(A102&lt;&gt;"",OR('Smart Search'!$L$5="",'Smart Search'!$L$5="All",TRIM(BZ102)=TRIM('Smart Search'!$L$5)),OR(TRIM('Smart Search'!$L$6)="",TRIM('Smart Search'!$L$6)="All",ISNUMBER(SEARCH(SUBSTITUTE(SUBSTITUTE(SUBSTITUTE(TRIM('Smart Search'!$L$6),"~","~~"),"*","~*"),"?","~?"),CA102))),OR('Smart Search'!$L$7="",AND(CB102&lt;&gt;0,CB102='Smart Search'!$L$7)),OR('Smart Search'!$L$8="",'Smart Search'!$L$8="All",TRIM(CC102)=TRIM('Smart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IF(A102="","",N(INDEX(Projects[Mech Inst],101)))</f>
        <v/>
      </c>
      <c r="BK102" s="5">
        <f>IF(A102="","",N(INDEX(Projects[Elec Inst],101)))</f>
        <v/>
      </c>
      <c r="BL102" s="5">
        <f>IF(A102="","",N(INDEX(Projects[Project Management],101)))</f>
        <v/>
      </c>
      <c r="BM102" s="5">
        <f>IF(A102="","",N(INDEX(Projects[Systems Eng],101)))</f>
        <v/>
      </c>
      <c r="BN102" s="5">
        <f>IF(A102="","",N(INDEX(Projects[Mechanical Eng],101)))</f>
        <v/>
      </c>
      <c r="BO102" s="5">
        <f>IF(A102="","",N(INDEX(Projects[Structural Engineering],101)))</f>
        <v/>
      </c>
      <c r="BP102" s="5">
        <f>IF(A102="","",N(INDEX(Projects[Site Sup],101)))</f>
        <v/>
      </c>
      <c r="BQ102" s="5">
        <f>IF(A102="","",N(INDEX(Projects[Controls Commissioning],101)))</f>
        <v/>
      </c>
      <c r="BR102" s="5">
        <f>IF(A102="","",N(INDEX(Projects[Systems Commissioning],101)))</f>
        <v/>
      </c>
      <c r="BS102" s="5">
        <f>IF(A102="","",N(INDEX(Projects[Service Commissioning],101)))</f>
        <v/>
      </c>
      <c r="BT102" s="5">
        <f>IF(A102="","",N(INDEX(Projects[Controls Eng],101)))</f>
        <v/>
      </c>
      <c r="BU102" s="5">
        <f>IF(A102="","",N(INDEX(Projects[Controls Purchase],101)))</f>
        <v/>
      </c>
      <c r="BV102" s="5">
        <f>IF(A102="","",N(INDEX(Projects[Software Eng],101)))</f>
        <v/>
      </c>
      <c r="BW102" s="5">
        <f>IF(A102="","",N(INDEX(Projects[Misc],101)))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  <c r="BZ102" s="5">
        <f>INDEX(Projects[Solution Type],101)&amp;""</f>
        <v/>
      </c>
      <c r="CA102" s="5">
        <f>INDEX(Projects[Client / Region],101)&amp;""</f>
        <v/>
      </c>
      <c r="CB102" s="5">
        <f>INDEX(Projects[Year],101)</f>
        <v/>
      </c>
      <c r="CC102" s="5">
        <f>INDEX(Projects[Won?],101)&amp;""</f>
        <v/>
      </c>
      <c r="CD102" s="5">
        <f>INDEX(Projects[Value (USD M)],101)</f>
        <v/>
      </c>
      <c r="CE102" s="5">
        <f>INDEX(Projects[MH Data Status],101)&amp;""</f>
        <v/>
      </c>
    </row>
    <row r="103" ht="15" customHeight="1" s="74">
      <c r="A103" s="66">
        <f>INDEX(Projects[Project ID *],102)&amp;""</f>
        <v/>
      </c>
      <c r="B103" s="66">
        <f>INDEX(Projects[Project Name *],102)&amp;""</f>
        <v/>
      </c>
      <c r="C103" s="66">
        <f>INDEX(Projects[MS Shuttles],102)</f>
        <v/>
      </c>
      <c r="D103" s="66">
        <f>INDEX(Projects[MS Tote Locations],102)</f>
        <v/>
      </c>
      <c r="E103" s="66">
        <f>INDEX(Projects[AS Robots],102)</f>
        <v/>
      </c>
      <c r="F103" s="66">
        <f>INDEX(Projects[AS Tote Locations],102)</f>
        <v/>
      </c>
      <c r="G103" s="66">
        <f>INDEX(Projects[PS Shuttles],102)</f>
        <v/>
      </c>
      <c r="H103" s="66">
        <f>INDEX(Projects[PS Pallet Locations],102)</f>
        <v/>
      </c>
      <c r="I103" s="66">
        <f>INDEX(Projects[SRM Cranes],102)</f>
        <v/>
      </c>
      <c r="J103" s="66">
        <f>INDEX(Projects[SRM Pallet Locations],102)</f>
        <v/>
      </c>
      <c r="K103" s="66">
        <f>INDEX(Projects[Case Conv (m)],102)</f>
        <v/>
      </c>
      <c r="L103" s="66">
        <f>INDEX(Projects[Pallet Conv (m)],102)</f>
        <v/>
      </c>
      <c r="M103" s="66">
        <f>INDEX(Projects[Mech Eng (wks)],102)</f>
        <v/>
      </c>
      <c r="N103" s="66">
        <f>INDEX(Projects[Controls Eng (wks)],102)</f>
        <v/>
      </c>
      <c r="O103" s="66">
        <f>INDEX(Projects[Systems Eng (wks)],102)</f>
        <v/>
      </c>
      <c r="P103" s="66">
        <f>INDEX(Projects[Software Eng (wks)],102)</f>
        <v/>
      </c>
      <c r="Q103" s="66">
        <f>INDEX(Projects[M&amp;E Installation (wks)],102)</f>
        <v/>
      </c>
      <c r="R103" s="66">
        <f>INDEX(Projects[Commissioning (wks)],102)</f>
        <v/>
      </c>
      <c r="S103" s="66">
        <f>INDEX(Projects[Total Timeline (wks)],102)</f>
        <v/>
      </c>
      <c r="T103" s="66">
        <f>INDEX(Projects[Currency],102)&amp;""</f>
        <v/>
      </c>
      <c r="U103" s="67">
        <f>INDEX(Projects[Value (M)],102)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INDEX(Projects[Automation Equipment],102)&amp;""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IF(AND(A103&lt;&gt;"",OR('Smart Search'!$L$5="",'Smart Search'!$L$5="All",TRIM(BZ103)=TRIM('Smart Search'!$L$5)),OR(TRIM('Smart Search'!$L$6)="",TRIM('Smart Search'!$L$6)="All",ISNUMBER(SEARCH(SUBSTITUTE(SUBSTITUTE(SUBSTITUTE(TRIM('Smart Search'!$L$6),"~","~~"),"*","~*"),"?","~?"),CA103))),OR('Smart Search'!$L$7="",AND(CB103&lt;&gt;0,CB103='Smart Search'!$L$7)),OR('Smart Search'!$L$8="",'Smart Search'!$L$8="All",TRIM(CC103)=TRIM('Smart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IF(A103="","",N(INDEX(Projects[Mech Inst],102)))</f>
        <v/>
      </c>
      <c r="BK103" s="5">
        <f>IF(A103="","",N(INDEX(Projects[Elec Inst],102)))</f>
        <v/>
      </c>
      <c r="BL103" s="5">
        <f>IF(A103="","",N(INDEX(Projects[Project Management],102)))</f>
        <v/>
      </c>
      <c r="BM103" s="5">
        <f>IF(A103="","",N(INDEX(Projects[Systems Eng],102)))</f>
        <v/>
      </c>
      <c r="BN103" s="5">
        <f>IF(A103="","",N(INDEX(Projects[Mechanical Eng],102)))</f>
        <v/>
      </c>
      <c r="BO103" s="5">
        <f>IF(A103="","",N(INDEX(Projects[Structural Engineering],102)))</f>
        <v/>
      </c>
      <c r="BP103" s="5">
        <f>IF(A103="","",N(INDEX(Projects[Site Sup],102)))</f>
        <v/>
      </c>
      <c r="BQ103" s="5">
        <f>IF(A103="","",N(INDEX(Projects[Controls Commissioning],102)))</f>
        <v/>
      </c>
      <c r="BR103" s="5">
        <f>IF(A103="","",N(INDEX(Projects[Systems Commissioning],102)))</f>
        <v/>
      </c>
      <c r="BS103" s="5">
        <f>IF(A103="","",N(INDEX(Projects[Service Commissioning],102)))</f>
        <v/>
      </c>
      <c r="BT103" s="5">
        <f>IF(A103="","",N(INDEX(Projects[Controls Eng],102)))</f>
        <v/>
      </c>
      <c r="BU103" s="5">
        <f>IF(A103="","",N(INDEX(Projects[Controls Purchase],102)))</f>
        <v/>
      </c>
      <c r="BV103" s="5">
        <f>IF(A103="","",N(INDEX(Projects[Software Eng],102)))</f>
        <v/>
      </c>
      <c r="BW103" s="5">
        <f>IF(A103="","",N(INDEX(Projects[Misc],102)))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  <c r="BZ103" s="5">
        <f>INDEX(Projects[Solution Type],102)&amp;""</f>
        <v/>
      </c>
      <c r="CA103" s="5">
        <f>INDEX(Projects[Client / Region],102)&amp;""</f>
        <v/>
      </c>
      <c r="CB103" s="5">
        <f>INDEX(Projects[Year],102)</f>
        <v/>
      </c>
      <c r="CC103" s="5">
        <f>INDEX(Projects[Won?],102)&amp;""</f>
        <v/>
      </c>
      <c r="CD103" s="5">
        <f>INDEX(Projects[Value (USD M)],102)</f>
        <v/>
      </c>
      <c r="CE103" s="5">
        <f>INDEX(Projects[MH Data Status],102)&amp;""</f>
        <v/>
      </c>
    </row>
    <row r="104" ht="15" customHeight="1" s="74">
      <c r="A104" s="66">
        <f>INDEX(Projects[Project ID *],103)&amp;""</f>
        <v/>
      </c>
      <c r="B104" s="66">
        <f>INDEX(Projects[Project Name *],103)&amp;""</f>
        <v/>
      </c>
      <c r="C104" s="66">
        <f>INDEX(Projects[MS Shuttles],103)</f>
        <v/>
      </c>
      <c r="D104" s="66">
        <f>INDEX(Projects[MS Tote Locations],103)</f>
        <v/>
      </c>
      <c r="E104" s="66">
        <f>INDEX(Projects[AS Robots],103)</f>
        <v/>
      </c>
      <c r="F104" s="66">
        <f>INDEX(Projects[AS Tote Locations],103)</f>
        <v/>
      </c>
      <c r="G104" s="66">
        <f>INDEX(Projects[PS Shuttles],103)</f>
        <v/>
      </c>
      <c r="H104" s="66">
        <f>INDEX(Projects[PS Pallet Locations],103)</f>
        <v/>
      </c>
      <c r="I104" s="66">
        <f>INDEX(Projects[SRM Cranes],103)</f>
        <v/>
      </c>
      <c r="J104" s="66">
        <f>INDEX(Projects[SRM Pallet Locations],103)</f>
        <v/>
      </c>
      <c r="K104" s="66">
        <f>INDEX(Projects[Case Conv (m)],103)</f>
        <v/>
      </c>
      <c r="L104" s="66">
        <f>INDEX(Projects[Pallet Conv (m)],103)</f>
        <v/>
      </c>
      <c r="M104" s="66">
        <f>INDEX(Projects[Mech Eng (wks)],103)</f>
        <v/>
      </c>
      <c r="N104" s="66">
        <f>INDEX(Projects[Controls Eng (wks)],103)</f>
        <v/>
      </c>
      <c r="O104" s="66">
        <f>INDEX(Projects[Systems Eng (wks)],103)</f>
        <v/>
      </c>
      <c r="P104" s="66">
        <f>INDEX(Projects[Software Eng (wks)],103)</f>
        <v/>
      </c>
      <c r="Q104" s="66">
        <f>INDEX(Projects[M&amp;E Installation (wks)],103)</f>
        <v/>
      </c>
      <c r="R104" s="66">
        <f>INDEX(Projects[Commissioning (wks)],103)</f>
        <v/>
      </c>
      <c r="S104" s="66">
        <f>INDEX(Projects[Total Timeline (wks)],103)</f>
        <v/>
      </c>
      <c r="T104" s="66">
        <f>INDEX(Projects[Currency],103)&amp;""</f>
        <v/>
      </c>
      <c r="U104" s="67">
        <f>INDEX(Projects[Value (M)],103)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INDEX(Projects[Automation Equipment],103)&amp;""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IF(AND(A104&lt;&gt;"",OR('Smart Search'!$L$5="",'Smart Search'!$L$5="All",TRIM(BZ104)=TRIM('Smart Search'!$L$5)),OR(TRIM('Smart Search'!$L$6)="",TRIM('Smart Search'!$L$6)="All",ISNUMBER(SEARCH(SUBSTITUTE(SUBSTITUTE(SUBSTITUTE(TRIM('Smart Search'!$L$6),"~","~~"),"*","~*"),"?","~?"),CA104))),OR('Smart Search'!$L$7="",AND(CB104&lt;&gt;0,CB104='Smart Search'!$L$7)),OR('Smart Search'!$L$8="",'Smart Search'!$L$8="All",TRIM(CC104)=TRIM('Smart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IF(A104="","",N(INDEX(Projects[Mech Inst],103)))</f>
        <v/>
      </c>
      <c r="BK104" s="5">
        <f>IF(A104="","",N(INDEX(Projects[Elec Inst],103)))</f>
        <v/>
      </c>
      <c r="BL104" s="5">
        <f>IF(A104="","",N(INDEX(Projects[Project Management],103)))</f>
        <v/>
      </c>
      <c r="BM104" s="5">
        <f>IF(A104="","",N(INDEX(Projects[Systems Eng],103)))</f>
        <v/>
      </c>
      <c r="BN104" s="5">
        <f>IF(A104="","",N(INDEX(Projects[Mechanical Eng],103)))</f>
        <v/>
      </c>
      <c r="BO104" s="5">
        <f>IF(A104="","",N(INDEX(Projects[Structural Engineering],103)))</f>
        <v/>
      </c>
      <c r="BP104" s="5">
        <f>IF(A104="","",N(INDEX(Projects[Site Sup],103)))</f>
        <v/>
      </c>
      <c r="BQ104" s="5">
        <f>IF(A104="","",N(INDEX(Projects[Controls Commissioning],103)))</f>
        <v/>
      </c>
      <c r="BR104" s="5">
        <f>IF(A104="","",N(INDEX(Projects[Systems Commissioning],103)))</f>
        <v/>
      </c>
      <c r="BS104" s="5">
        <f>IF(A104="","",N(INDEX(Projects[Service Commissioning],103)))</f>
        <v/>
      </c>
      <c r="BT104" s="5">
        <f>IF(A104="","",N(INDEX(Projects[Controls Eng],103)))</f>
        <v/>
      </c>
      <c r="BU104" s="5">
        <f>IF(A104="","",N(INDEX(Projects[Controls Purchase],103)))</f>
        <v/>
      </c>
      <c r="BV104" s="5">
        <f>IF(A104="","",N(INDEX(Projects[Software Eng],103)))</f>
        <v/>
      </c>
      <c r="BW104" s="5">
        <f>IF(A104="","",N(INDEX(Projects[Misc],103)))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  <c r="BZ104" s="5">
        <f>INDEX(Projects[Solution Type],103)&amp;""</f>
        <v/>
      </c>
      <c r="CA104" s="5">
        <f>INDEX(Projects[Client / Region],103)&amp;""</f>
        <v/>
      </c>
      <c r="CB104" s="5">
        <f>INDEX(Projects[Year],103)</f>
        <v/>
      </c>
      <c r="CC104" s="5">
        <f>INDEX(Projects[Won?],103)&amp;""</f>
        <v/>
      </c>
      <c r="CD104" s="5">
        <f>INDEX(Projects[Value (USD M)],103)</f>
        <v/>
      </c>
      <c r="CE104" s="5">
        <f>INDEX(Projects[MH Data Status],103)&amp;""</f>
        <v/>
      </c>
    </row>
    <row r="105" ht="15" customHeight="1" s="74">
      <c r="A105" s="66">
        <f>INDEX(Projects[Project ID *],104)&amp;""</f>
        <v/>
      </c>
      <c r="B105" s="66">
        <f>INDEX(Projects[Project Name *],104)&amp;""</f>
        <v/>
      </c>
      <c r="C105" s="66">
        <f>INDEX(Projects[MS Shuttles],104)</f>
        <v/>
      </c>
      <c r="D105" s="66">
        <f>INDEX(Projects[MS Tote Locations],104)</f>
        <v/>
      </c>
      <c r="E105" s="66">
        <f>INDEX(Projects[AS Robots],104)</f>
        <v/>
      </c>
      <c r="F105" s="66">
        <f>INDEX(Projects[AS Tote Locations],104)</f>
        <v/>
      </c>
      <c r="G105" s="66">
        <f>INDEX(Projects[PS Shuttles],104)</f>
        <v/>
      </c>
      <c r="H105" s="66">
        <f>INDEX(Projects[PS Pallet Locations],104)</f>
        <v/>
      </c>
      <c r="I105" s="66">
        <f>INDEX(Projects[SRM Cranes],104)</f>
        <v/>
      </c>
      <c r="J105" s="66">
        <f>INDEX(Projects[SRM Pallet Locations],104)</f>
        <v/>
      </c>
      <c r="K105" s="66">
        <f>INDEX(Projects[Case Conv (m)],104)</f>
        <v/>
      </c>
      <c r="L105" s="66">
        <f>INDEX(Projects[Pallet Conv (m)],104)</f>
        <v/>
      </c>
      <c r="M105" s="66">
        <f>INDEX(Projects[Mech Eng (wks)],104)</f>
        <v/>
      </c>
      <c r="N105" s="66">
        <f>INDEX(Projects[Controls Eng (wks)],104)</f>
        <v/>
      </c>
      <c r="O105" s="66">
        <f>INDEX(Projects[Systems Eng (wks)],104)</f>
        <v/>
      </c>
      <c r="P105" s="66">
        <f>INDEX(Projects[Software Eng (wks)],104)</f>
        <v/>
      </c>
      <c r="Q105" s="66">
        <f>INDEX(Projects[M&amp;E Installation (wks)],104)</f>
        <v/>
      </c>
      <c r="R105" s="66">
        <f>INDEX(Projects[Commissioning (wks)],104)</f>
        <v/>
      </c>
      <c r="S105" s="66">
        <f>INDEX(Projects[Total Timeline (wks)],104)</f>
        <v/>
      </c>
      <c r="T105" s="66">
        <f>INDEX(Projects[Currency],104)&amp;""</f>
        <v/>
      </c>
      <c r="U105" s="67">
        <f>INDEX(Projects[Value (M)],104)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INDEX(Projects[Automation Equipment],104)&amp;""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IF(AND(A105&lt;&gt;"",OR('Smart Search'!$L$5="",'Smart Search'!$L$5="All",TRIM(BZ105)=TRIM('Smart Search'!$L$5)),OR(TRIM('Smart Search'!$L$6)="",TRIM('Smart Search'!$L$6)="All",ISNUMBER(SEARCH(SUBSTITUTE(SUBSTITUTE(SUBSTITUTE(TRIM('Smart Search'!$L$6),"~","~~"),"*","~*"),"?","~?"),CA105))),OR('Smart Search'!$L$7="",AND(CB105&lt;&gt;0,CB105='Smart Search'!$L$7)),OR('Smart Search'!$L$8="",'Smart Search'!$L$8="All",TRIM(CC105)=TRIM('Smart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IF(A105="","",N(INDEX(Projects[Mech Inst],104)))</f>
        <v/>
      </c>
      <c r="BK105" s="5">
        <f>IF(A105="","",N(INDEX(Projects[Elec Inst],104)))</f>
        <v/>
      </c>
      <c r="BL105" s="5">
        <f>IF(A105="","",N(INDEX(Projects[Project Management],104)))</f>
        <v/>
      </c>
      <c r="BM105" s="5">
        <f>IF(A105="","",N(INDEX(Projects[Systems Eng],104)))</f>
        <v/>
      </c>
      <c r="BN105" s="5">
        <f>IF(A105="","",N(INDEX(Projects[Mechanical Eng],104)))</f>
        <v/>
      </c>
      <c r="BO105" s="5">
        <f>IF(A105="","",N(INDEX(Projects[Structural Engineering],104)))</f>
        <v/>
      </c>
      <c r="BP105" s="5">
        <f>IF(A105="","",N(INDEX(Projects[Site Sup],104)))</f>
        <v/>
      </c>
      <c r="BQ105" s="5">
        <f>IF(A105="","",N(INDEX(Projects[Controls Commissioning],104)))</f>
        <v/>
      </c>
      <c r="BR105" s="5">
        <f>IF(A105="","",N(INDEX(Projects[Systems Commissioning],104)))</f>
        <v/>
      </c>
      <c r="BS105" s="5">
        <f>IF(A105="","",N(INDEX(Projects[Service Commissioning],104)))</f>
        <v/>
      </c>
      <c r="BT105" s="5">
        <f>IF(A105="","",N(INDEX(Projects[Controls Eng],104)))</f>
        <v/>
      </c>
      <c r="BU105" s="5">
        <f>IF(A105="","",N(INDEX(Projects[Controls Purchase],104)))</f>
        <v/>
      </c>
      <c r="BV105" s="5">
        <f>IF(A105="","",N(INDEX(Projects[Software Eng],104)))</f>
        <v/>
      </c>
      <c r="BW105" s="5">
        <f>IF(A105="","",N(INDEX(Projects[Misc],104)))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  <c r="BZ105" s="5">
        <f>INDEX(Projects[Solution Type],104)&amp;""</f>
        <v/>
      </c>
      <c r="CA105" s="5">
        <f>INDEX(Projects[Client / Region],104)&amp;""</f>
        <v/>
      </c>
      <c r="CB105" s="5">
        <f>INDEX(Projects[Year],104)</f>
        <v/>
      </c>
      <c r="CC105" s="5">
        <f>INDEX(Projects[Won?],104)&amp;""</f>
        <v/>
      </c>
      <c r="CD105" s="5">
        <f>INDEX(Projects[Value (USD M)],104)</f>
        <v/>
      </c>
      <c r="CE105" s="5">
        <f>INDEX(Projects[MH Data Status],104)&amp;""</f>
        <v/>
      </c>
    </row>
    <row r="106" ht="15" customHeight="1" s="74">
      <c r="A106" s="66">
        <f>INDEX(Projects[Project ID *],105)&amp;""</f>
        <v/>
      </c>
      <c r="B106" s="66">
        <f>INDEX(Projects[Project Name *],105)&amp;""</f>
        <v/>
      </c>
      <c r="C106" s="66">
        <f>INDEX(Projects[MS Shuttles],105)</f>
        <v/>
      </c>
      <c r="D106" s="66">
        <f>INDEX(Projects[MS Tote Locations],105)</f>
        <v/>
      </c>
      <c r="E106" s="66">
        <f>INDEX(Projects[AS Robots],105)</f>
        <v/>
      </c>
      <c r="F106" s="66">
        <f>INDEX(Projects[AS Tote Locations],105)</f>
        <v/>
      </c>
      <c r="G106" s="66">
        <f>INDEX(Projects[PS Shuttles],105)</f>
        <v/>
      </c>
      <c r="H106" s="66">
        <f>INDEX(Projects[PS Pallet Locations],105)</f>
        <v/>
      </c>
      <c r="I106" s="66">
        <f>INDEX(Projects[SRM Cranes],105)</f>
        <v/>
      </c>
      <c r="J106" s="66">
        <f>INDEX(Projects[SRM Pallet Locations],105)</f>
        <v/>
      </c>
      <c r="K106" s="66">
        <f>INDEX(Projects[Case Conv (m)],105)</f>
        <v/>
      </c>
      <c r="L106" s="66">
        <f>INDEX(Projects[Pallet Conv (m)],105)</f>
        <v/>
      </c>
      <c r="M106" s="66">
        <f>INDEX(Projects[Mech Eng (wks)],105)</f>
        <v/>
      </c>
      <c r="N106" s="66">
        <f>INDEX(Projects[Controls Eng (wks)],105)</f>
        <v/>
      </c>
      <c r="O106" s="66">
        <f>INDEX(Projects[Systems Eng (wks)],105)</f>
        <v/>
      </c>
      <c r="P106" s="66">
        <f>INDEX(Projects[Software Eng (wks)],105)</f>
        <v/>
      </c>
      <c r="Q106" s="66">
        <f>INDEX(Projects[M&amp;E Installation (wks)],105)</f>
        <v/>
      </c>
      <c r="R106" s="66">
        <f>INDEX(Projects[Commissioning (wks)],105)</f>
        <v/>
      </c>
      <c r="S106" s="66">
        <f>INDEX(Projects[Total Timeline (wks)],105)</f>
        <v/>
      </c>
      <c r="T106" s="66">
        <f>INDEX(Projects[Currency],105)&amp;""</f>
        <v/>
      </c>
      <c r="U106" s="67">
        <f>INDEX(Projects[Value (M)],105)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INDEX(Projects[Automation Equipment],105)&amp;""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IF(AND(A106&lt;&gt;"",OR('Smart Search'!$L$5="",'Smart Search'!$L$5="All",TRIM(BZ106)=TRIM('Smart Search'!$L$5)),OR(TRIM('Smart Search'!$L$6)="",TRIM('Smart Search'!$L$6)="All",ISNUMBER(SEARCH(SUBSTITUTE(SUBSTITUTE(SUBSTITUTE(TRIM('Smart Search'!$L$6),"~","~~"),"*","~*"),"?","~?"),CA106))),OR('Smart Search'!$L$7="",AND(CB106&lt;&gt;0,CB106='Smart Search'!$L$7)),OR('Smart Search'!$L$8="",'Smart Search'!$L$8="All",TRIM(CC106)=TRIM('Smart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IF(A106="","",N(INDEX(Projects[Mech Inst],105)))</f>
        <v/>
      </c>
      <c r="BK106" s="5">
        <f>IF(A106="","",N(INDEX(Projects[Elec Inst],105)))</f>
        <v/>
      </c>
      <c r="BL106" s="5">
        <f>IF(A106="","",N(INDEX(Projects[Project Management],105)))</f>
        <v/>
      </c>
      <c r="BM106" s="5">
        <f>IF(A106="","",N(INDEX(Projects[Systems Eng],105)))</f>
        <v/>
      </c>
      <c r="BN106" s="5">
        <f>IF(A106="","",N(INDEX(Projects[Mechanical Eng],105)))</f>
        <v/>
      </c>
      <c r="BO106" s="5">
        <f>IF(A106="","",N(INDEX(Projects[Structural Engineering],105)))</f>
        <v/>
      </c>
      <c r="BP106" s="5">
        <f>IF(A106="","",N(INDEX(Projects[Site Sup],105)))</f>
        <v/>
      </c>
      <c r="BQ106" s="5">
        <f>IF(A106="","",N(INDEX(Projects[Controls Commissioning],105)))</f>
        <v/>
      </c>
      <c r="BR106" s="5">
        <f>IF(A106="","",N(INDEX(Projects[Systems Commissioning],105)))</f>
        <v/>
      </c>
      <c r="BS106" s="5">
        <f>IF(A106="","",N(INDEX(Projects[Service Commissioning],105)))</f>
        <v/>
      </c>
      <c r="BT106" s="5">
        <f>IF(A106="","",N(INDEX(Projects[Controls Eng],105)))</f>
        <v/>
      </c>
      <c r="BU106" s="5">
        <f>IF(A106="","",N(INDEX(Projects[Controls Purchase],105)))</f>
        <v/>
      </c>
      <c r="BV106" s="5">
        <f>IF(A106="","",N(INDEX(Projects[Software Eng],105)))</f>
        <v/>
      </c>
      <c r="BW106" s="5">
        <f>IF(A106="","",N(INDEX(Projects[Misc],105)))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  <c r="BZ106" s="5">
        <f>INDEX(Projects[Solution Type],105)&amp;""</f>
        <v/>
      </c>
      <c r="CA106" s="5">
        <f>INDEX(Projects[Client / Region],105)&amp;""</f>
        <v/>
      </c>
      <c r="CB106" s="5">
        <f>INDEX(Projects[Year],105)</f>
        <v/>
      </c>
      <c r="CC106" s="5">
        <f>INDEX(Projects[Won?],105)&amp;""</f>
        <v/>
      </c>
      <c r="CD106" s="5">
        <f>INDEX(Projects[Value (USD M)],105)</f>
        <v/>
      </c>
      <c r="CE106" s="5">
        <f>INDEX(Projects[MH Data Status],105)&amp;""</f>
        <v/>
      </c>
    </row>
    <row r="107" ht="15" customHeight="1" s="74">
      <c r="A107" s="66">
        <f>INDEX(Projects[Project ID *],106)&amp;""</f>
        <v/>
      </c>
      <c r="B107" s="66">
        <f>INDEX(Projects[Project Name *],106)&amp;""</f>
        <v/>
      </c>
      <c r="C107" s="66">
        <f>INDEX(Projects[MS Shuttles],106)</f>
        <v/>
      </c>
      <c r="D107" s="66">
        <f>INDEX(Projects[MS Tote Locations],106)</f>
        <v/>
      </c>
      <c r="E107" s="66">
        <f>INDEX(Projects[AS Robots],106)</f>
        <v/>
      </c>
      <c r="F107" s="66">
        <f>INDEX(Projects[AS Tote Locations],106)</f>
        <v/>
      </c>
      <c r="G107" s="66">
        <f>INDEX(Projects[PS Shuttles],106)</f>
        <v/>
      </c>
      <c r="H107" s="66">
        <f>INDEX(Projects[PS Pallet Locations],106)</f>
        <v/>
      </c>
      <c r="I107" s="66">
        <f>INDEX(Projects[SRM Cranes],106)</f>
        <v/>
      </c>
      <c r="J107" s="66">
        <f>INDEX(Projects[SRM Pallet Locations],106)</f>
        <v/>
      </c>
      <c r="K107" s="66">
        <f>INDEX(Projects[Case Conv (m)],106)</f>
        <v/>
      </c>
      <c r="L107" s="66">
        <f>INDEX(Projects[Pallet Conv (m)],106)</f>
        <v/>
      </c>
      <c r="M107" s="66">
        <f>INDEX(Projects[Mech Eng (wks)],106)</f>
        <v/>
      </c>
      <c r="N107" s="66">
        <f>INDEX(Projects[Controls Eng (wks)],106)</f>
        <v/>
      </c>
      <c r="O107" s="66">
        <f>INDEX(Projects[Systems Eng (wks)],106)</f>
        <v/>
      </c>
      <c r="P107" s="66">
        <f>INDEX(Projects[Software Eng (wks)],106)</f>
        <v/>
      </c>
      <c r="Q107" s="66">
        <f>INDEX(Projects[M&amp;E Installation (wks)],106)</f>
        <v/>
      </c>
      <c r="R107" s="66">
        <f>INDEX(Projects[Commissioning (wks)],106)</f>
        <v/>
      </c>
      <c r="S107" s="66">
        <f>INDEX(Projects[Total Timeline (wks)],106)</f>
        <v/>
      </c>
      <c r="T107" s="66">
        <f>INDEX(Projects[Currency],106)&amp;""</f>
        <v/>
      </c>
      <c r="U107" s="67">
        <f>INDEX(Projects[Value (M)],106)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INDEX(Projects[Automation Equipment],106)&amp;""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IF(AND(A107&lt;&gt;"",OR('Smart Search'!$L$5="",'Smart Search'!$L$5="All",TRIM(BZ107)=TRIM('Smart Search'!$L$5)),OR(TRIM('Smart Search'!$L$6)="",TRIM('Smart Search'!$L$6)="All",ISNUMBER(SEARCH(SUBSTITUTE(SUBSTITUTE(SUBSTITUTE(TRIM('Smart Search'!$L$6),"~","~~"),"*","~*"),"?","~?"),CA107))),OR('Smart Search'!$L$7="",AND(CB107&lt;&gt;0,CB107='Smart Search'!$L$7)),OR('Smart Search'!$L$8="",'Smart Search'!$L$8="All",TRIM(CC107)=TRIM('Smart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IF(A107="","",N(INDEX(Projects[Mech Inst],106)))</f>
        <v/>
      </c>
      <c r="BK107" s="5">
        <f>IF(A107="","",N(INDEX(Projects[Elec Inst],106)))</f>
        <v/>
      </c>
      <c r="BL107" s="5">
        <f>IF(A107="","",N(INDEX(Projects[Project Management],106)))</f>
        <v/>
      </c>
      <c r="BM107" s="5">
        <f>IF(A107="","",N(INDEX(Projects[Systems Eng],106)))</f>
        <v/>
      </c>
      <c r="BN107" s="5">
        <f>IF(A107="","",N(INDEX(Projects[Mechanical Eng],106)))</f>
        <v/>
      </c>
      <c r="BO107" s="5">
        <f>IF(A107="","",N(INDEX(Projects[Structural Engineering],106)))</f>
        <v/>
      </c>
      <c r="BP107" s="5">
        <f>IF(A107="","",N(INDEX(Projects[Site Sup],106)))</f>
        <v/>
      </c>
      <c r="BQ107" s="5">
        <f>IF(A107="","",N(INDEX(Projects[Controls Commissioning],106)))</f>
        <v/>
      </c>
      <c r="BR107" s="5">
        <f>IF(A107="","",N(INDEX(Projects[Systems Commissioning],106)))</f>
        <v/>
      </c>
      <c r="BS107" s="5">
        <f>IF(A107="","",N(INDEX(Projects[Service Commissioning],106)))</f>
        <v/>
      </c>
      <c r="BT107" s="5">
        <f>IF(A107="","",N(INDEX(Projects[Controls Eng],106)))</f>
        <v/>
      </c>
      <c r="BU107" s="5">
        <f>IF(A107="","",N(INDEX(Projects[Controls Purchase],106)))</f>
        <v/>
      </c>
      <c r="BV107" s="5">
        <f>IF(A107="","",N(INDEX(Projects[Software Eng],106)))</f>
        <v/>
      </c>
      <c r="BW107" s="5">
        <f>IF(A107="","",N(INDEX(Projects[Misc],106)))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  <c r="BZ107" s="5">
        <f>INDEX(Projects[Solution Type],106)&amp;""</f>
        <v/>
      </c>
      <c r="CA107" s="5">
        <f>INDEX(Projects[Client / Region],106)&amp;""</f>
        <v/>
      </c>
      <c r="CB107" s="5">
        <f>INDEX(Projects[Year],106)</f>
        <v/>
      </c>
      <c r="CC107" s="5">
        <f>INDEX(Projects[Won?],106)&amp;""</f>
        <v/>
      </c>
      <c r="CD107" s="5">
        <f>INDEX(Projects[Value (USD M)],106)</f>
        <v/>
      </c>
      <c r="CE107" s="5">
        <f>INDEX(Projects[MH Data Status],106)&amp;""</f>
        <v/>
      </c>
    </row>
    <row r="108" ht="15" customHeight="1" s="74">
      <c r="A108" s="66">
        <f>INDEX(Projects[Project ID *],107)&amp;""</f>
        <v/>
      </c>
      <c r="B108" s="66">
        <f>INDEX(Projects[Project Name *],107)&amp;""</f>
        <v/>
      </c>
      <c r="C108" s="66">
        <f>INDEX(Projects[MS Shuttles],107)</f>
        <v/>
      </c>
      <c r="D108" s="66">
        <f>INDEX(Projects[MS Tote Locations],107)</f>
        <v/>
      </c>
      <c r="E108" s="66">
        <f>INDEX(Projects[AS Robots],107)</f>
        <v/>
      </c>
      <c r="F108" s="66">
        <f>INDEX(Projects[AS Tote Locations],107)</f>
        <v/>
      </c>
      <c r="G108" s="66">
        <f>INDEX(Projects[PS Shuttles],107)</f>
        <v/>
      </c>
      <c r="H108" s="66">
        <f>INDEX(Projects[PS Pallet Locations],107)</f>
        <v/>
      </c>
      <c r="I108" s="66">
        <f>INDEX(Projects[SRM Cranes],107)</f>
        <v/>
      </c>
      <c r="J108" s="66">
        <f>INDEX(Projects[SRM Pallet Locations],107)</f>
        <v/>
      </c>
      <c r="K108" s="66">
        <f>INDEX(Projects[Case Conv (m)],107)</f>
        <v/>
      </c>
      <c r="L108" s="66">
        <f>INDEX(Projects[Pallet Conv (m)],107)</f>
        <v/>
      </c>
      <c r="M108" s="66">
        <f>INDEX(Projects[Mech Eng (wks)],107)</f>
        <v/>
      </c>
      <c r="N108" s="66">
        <f>INDEX(Projects[Controls Eng (wks)],107)</f>
        <v/>
      </c>
      <c r="O108" s="66">
        <f>INDEX(Projects[Systems Eng (wks)],107)</f>
        <v/>
      </c>
      <c r="P108" s="66">
        <f>INDEX(Projects[Software Eng (wks)],107)</f>
        <v/>
      </c>
      <c r="Q108" s="66">
        <f>INDEX(Projects[M&amp;E Installation (wks)],107)</f>
        <v/>
      </c>
      <c r="R108" s="66">
        <f>INDEX(Projects[Commissioning (wks)],107)</f>
        <v/>
      </c>
      <c r="S108" s="66">
        <f>INDEX(Projects[Total Timeline (wks)],107)</f>
        <v/>
      </c>
      <c r="T108" s="66">
        <f>INDEX(Projects[Currency],107)&amp;""</f>
        <v/>
      </c>
      <c r="U108" s="67">
        <f>INDEX(Projects[Value (M)],107)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INDEX(Projects[Automation Equipment],107)&amp;""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IF(AND(A108&lt;&gt;"",OR('Smart Search'!$L$5="",'Smart Search'!$L$5="All",TRIM(BZ108)=TRIM('Smart Search'!$L$5)),OR(TRIM('Smart Search'!$L$6)="",TRIM('Smart Search'!$L$6)="All",ISNUMBER(SEARCH(SUBSTITUTE(SUBSTITUTE(SUBSTITUTE(TRIM('Smart Search'!$L$6),"~","~~"),"*","~*"),"?","~?"),CA108))),OR('Smart Search'!$L$7="",AND(CB108&lt;&gt;0,CB108='Smart Search'!$L$7)),OR('Smart Search'!$L$8="",'Smart Search'!$L$8="All",TRIM(CC108)=TRIM('Smart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IF(A108="","",N(INDEX(Projects[Mech Inst],107)))</f>
        <v/>
      </c>
      <c r="BK108" s="5">
        <f>IF(A108="","",N(INDEX(Projects[Elec Inst],107)))</f>
        <v/>
      </c>
      <c r="BL108" s="5">
        <f>IF(A108="","",N(INDEX(Projects[Project Management],107)))</f>
        <v/>
      </c>
      <c r="BM108" s="5">
        <f>IF(A108="","",N(INDEX(Projects[Systems Eng],107)))</f>
        <v/>
      </c>
      <c r="BN108" s="5">
        <f>IF(A108="","",N(INDEX(Projects[Mechanical Eng],107)))</f>
        <v/>
      </c>
      <c r="BO108" s="5">
        <f>IF(A108="","",N(INDEX(Projects[Structural Engineering],107)))</f>
        <v/>
      </c>
      <c r="BP108" s="5">
        <f>IF(A108="","",N(INDEX(Projects[Site Sup],107)))</f>
        <v/>
      </c>
      <c r="BQ108" s="5">
        <f>IF(A108="","",N(INDEX(Projects[Controls Commissioning],107)))</f>
        <v/>
      </c>
      <c r="BR108" s="5">
        <f>IF(A108="","",N(INDEX(Projects[Systems Commissioning],107)))</f>
        <v/>
      </c>
      <c r="BS108" s="5">
        <f>IF(A108="","",N(INDEX(Projects[Service Commissioning],107)))</f>
        <v/>
      </c>
      <c r="BT108" s="5">
        <f>IF(A108="","",N(INDEX(Projects[Controls Eng],107)))</f>
        <v/>
      </c>
      <c r="BU108" s="5">
        <f>IF(A108="","",N(INDEX(Projects[Controls Purchase],107)))</f>
        <v/>
      </c>
      <c r="BV108" s="5">
        <f>IF(A108="","",N(INDEX(Projects[Software Eng],107)))</f>
        <v/>
      </c>
      <c r="BW108" s="5">
        <f>IF(A108="","",N(INDEX(Projects[Misc],107)))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  <c r="BZ108" s="5">
        <f>INDEX(Projects[Solution Type],107)&amp;""</f>
        <v/>
      </c>
      <c r="CA108" s="5">
        <f>INDEX(Projects[Client / Region],107)&amp;""</f>
        <v/>
      </c>
      <c r="CB108" s="5">
        <f>INDEX(Projects[Year],107)</f>
        <v/>
      </c>
      <c r="CC108" s="5">
        <f>INDEX(Projects[Won?],107)&amp;""</f>
        <v/>
      </c>
      <c r="CD108" s="5">
        <f>INDEX(Projects[Value (USD M)],107)</f>
        <v/>
      </c>
      <c r="CE108" s="5">
        <f>INDEX(Projects[MH Data Status],107)&amp;""</f>
        <v/>
      </c>
    </row>
    <row r="109" ht="15" customHeight="1" s="74">
      <c r="A109" s="66">
        <f>INDEX(Projects[Project ID *],108)&amp;""</f>
        <v/>
      </c>
      <c r="B109" s="66">
        <f>INDEX(Projects[Project Name *],108)&amp;""</f>
        <v/>
      </c>
      <c r="C109" s="66">
        <f>INDEX(Projects[MS Shuttles],108)</f>
        <v/>
      </c>
      <c r="D109" s="66">
        <f>INDEX(Projects[MS Tote Locations],108)</f>
        <v/>
      </c>
      <c r="E109" s="66">
        <f>INDEX(Projects[AS Robots],108)</f>
        <v/>
      </c>
      <c r="F109" s="66">
        <f>INDEX(Projects[AS Tote Locations],108)</f>
        <v/>
      </c>
      <c r="G109" s="66">
        <f>INDEX(Projects[PS Shuttles],108)</f>
        <v/>
      </c>
      <c r="H109" s="66">
        <f>INDEX(Projects[PS Pallet Locations],108)</f>
        <v/>
      </c>
      <c r="I109" s="66">
        <f>INDEX(Projects[SRM Cranes],108)</f>
        <v/>
      </c>
      <c r="J109" s="66">
        <f>INDEX(Projects[SRM Pallet Locations],108)</f>
        <v/>
      </c>
      <c r="K109" s="66">
        <f>INDEX(Projects[Case Conv (m)],108)</f>
        <v/>
      </c>
      <c r="L109" s="66">
        <f>INDEX(Projects[Pallet Conv (m)],108)</f>
        <v/>
      </c>
      <c r="M109" s="66">
        <f>INDEX(Projects[Mech Eng (wks)],108)</f>
        <v/>
      </c>
      <c r="N109" s="66">
        <f>INDEX(Projects[Controls Eng (wks)],108)</f>
        <v/>
      </c>
      <c r="O109" s="66">
        <f>INDEX(Projects[Systems Eng (wks)],108)</f>
        <v/>
      </c>
      <c r="P109" s="66">
        <f>INDEX(Projects[Software Eng (wks)],108)</f>
        <v/>
      </c>
      <c r="Q109" s="66">
        <f>INDEX(Projects[M&amp;E Installation (wks)],108)</f>
        <v/>
      </c>
      <c r="R109" s="66">
        <f>INDEX(Projects[Commissioning (wks)],108)</f>
        <v/>
      </c>
      <c r="S109" s="66">
        <f>INDEX(Projects[Total Timeline (wks)],108)</f>
        <v/>
      </c>
      <c r="T109" s="66">
        <f>INDEX(Projects[Currency],108)&amp;""</f>
        <v/>
      </c>
      <c r="U109" s="67">
        <f>INDEX(Projects[Value (M)],108)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INDEX(Projects[Automation Equipment],108)&amp;""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IF(AND(A109&lt;&gt;"",OR('Smart Search'!$L$5="",'Smart Search'!$L$5="All",TRIM(BZ109)=TRIM('Smart Search'!$L$5)),OR(TRIM('Smart Search'!$L$6)="",TRIM('Smart Search'!$L$6)="All",ISNUMBER(SEARCH(SUBSTITUTE(SUBSTITUTE(SUBSTITUTE(TRIM('Smart Search'!$L$6),"~","~~"),"*","~*"),"?","~?"),CA109))),OR('Smart Search'!$L$7="",AND(CB109&lt;&gt;0,CB109='Smart Search'!$L$7)),OR('Smart Search'!$L$8="",'Smart Search'!$L$8="All",TRIM(CC109)=TRIM('Smart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IF(A109="","",N(INDEX(Projects[Mech Inst],108)))</f>
        <v/>
      </c>
      <c r="BK109" s="5">
        <f>IF(A109="","",N(INDEX(Projects[Elec Inst],108)))</f>
        <v/>
      </c>
      <c r="BL109" s="5">
        <f>IF(A109="","",N(INDEX(Projects[Project Management],108)))</f>
        <v/>
      </c>
      <c r="BM109" s="5">
        <f>IF(A109="","",N(INDEX(Projects[Systems Eng],108)))</f>
        <v/>
      </c>
      <c r="BN109" s="5">
        <f>IF(A109="","",N(INDEX(Projects[Mechanical Eng],108)))</f>
        <v/>
      </c>
      <c r="BO109" s="5">
        <f>IF(A109="","",N(INDEX(Projects[Structural Engineering],108)))</f>
        <v/>
      </c>
      <c r="BP109" s="5">
        <f>IF(A109="","",N(INDEX(Projects[Site Sup],108)))</f>
        <v/>
      </c>
      <c r="BQ109" s="5">
        <f>IF(A109="","",N(INDEX(Projects[Controls Commissioning],108)))</f>
        <v/>
      </c>
      <c r="BR109" s="5">
        <f>IF(A109="","",N(INDEX(Projects[Systems Commissioning],108)))</f>
        <v/>
      </c>
      <c r="BS109" s="5">
        <f>IF(A109="","",N(INDEX(Projects[Service Commissioning],108)))</f>
        <v/>
      </c>
      <c r="BT109" s="5">
        <f>IF(A109="","",N(INDEX(Projects[Controls Eng],108)))</f>
        <v/>
      </c>
      <c r="BU109" s="5">
        <f>IF(A109="","",N(INDEX(Projects[Controls Purchase],108)))</f>
        <v/>
      </c>
      <c r="BV109" s="5">
        <f>IF(A109="","",N(INDEX(Projects[Software Eng],108)))</f>
        <v/>
      </c>
      <c r="BW109" s="5">
        <f>IF(A109="","",N(INDEX(Projects[Misc],108)))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  <c r="BZ109" s="5">
        <f>INDEX(Projects[Solution Type],108)&amp;""</f>
        <v/>
      </c>
      <c r="CA109" s="5">
        <f>INDEX(Projects[Client / Region],108)&amp;""</f>
        <v/>
      </c>
      <c r="CB109" s="5">
        <f>INDEX(Projects[Year],108)</f>
        <v/>
      </c>
      <c r="CC109" s="5">
        <f>INDEX(Projects[Won?],108)&amp;""</f>
        <v/>
      </c>
      <c r="CD109" s="5">
        <f>INDEX(Projects[Value (USD M)],108)</f>
        <v/>
      </c>
      <c r="CE109" s="5">
        <f>INDEX(Projects[MH Data Status],108)&amp;""</f>
        <v/>
      </c>
    </row>
    <row r="110" ht="15" customHeight="1" s="74">
      <c r="A110" s="66">
        <f>INDEX(Projects[Project ID *],109)&amp;""</f>
        <v/>
      </c>
      <c r="B110" s="66">
        <f>INDEX(Projects[Project Name *],109)&amp;""</f>
        <v/>
      </c>
      <c r="C110" s="66">
        <f>INDEX(Projects[MS Shuttles],109)</f>
        <v/>
      </c>
      <c r="D110" s="66">
        <f>INDEX(Projects[MS Tote Locations],109)</f>
        <v/>
      </c>
      <c r="E110" s="66">
        <f>INDEX(Projects[AS Robots],109)</f>
        <v/>
      </c>
      <c r="F110" s="66">
        <f>INDEX(Projects[AS Tote Locations],109)</f>
        <v/>
      </c>
      <c r="G110" s="66">
        <f>INDEX(Projects[PS Shuttles],109)</f>
        <v/>
      </c>
      <c r="H110" s="66">
        <f>INDEX(Projects[PS Pallet Locations],109)</f>
        <v/>
      </c>
      <c r="I110" s="66">
        <f>INDEX(Projects[SRM Cranes],109)</f>
        <v/>
      </c>
      <c r="J110" s="66">
        <f>INDEX(Projects[SRM Pallet Locations],109)</f>
        <v/>
      </c>
      <c r="K110" s="66">
        <f>INDEX(Projects[Case Conv (m)],109)</f>
        <v/>
      </c>
      <c r="L110" s="66">
        <f>INDEX(Projects[Pallet Conv (m)],109)</f>
        <v/>
      </c>
      <c r="M110" s="66">
        <f>INDEX(Projects[Mech Eng (wks)],109)</f>
        <v/>
      </c>
      <c r="N110" s="66">
        <f>INDEX(Projects[Controls Eng (wks)],109)</f>
        <v/>
      </c>
      <c r="O110" s="66">
        <f>INDEX(Projects[Systems Eng (wks)],109)</f>
        <v/>
      </c>
      <c r="P110" s="66">
        <f>INDEX(Projects[Software Eng (wks)],109)</f>
        <v/>
      </c>
      <c r="Q110" s="66">
        <f>INDEX(Projects[M&amp;E Installation (wks)],109)</f>
        <v/>
      </c>
      <c r="R110" s="66">
        <f>INDEX(Projects[Commissioning (wks)],109)</f>
        <v/>
      </c>
      <c r="S110" s="66">
        <f>INDEX(Projects[Total Timeline (wks)],109)</f>
        <v/>
      </c>
      <c r="T110" s="66">
        <f>INDEX(Projects[Currency],109)&amp;""</f>
        <v/>
      </c>
      <c r="U110" s="67">
        <f>INDEX(Projects[Value (M)],109)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INDEX(Projects[Automation Equipment],109)&amp;""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IF(AND(A110&lt;&gt;"",OR('Smart Search'!$L$5="",'Smart Search'!$L$5="All",TRIM(BZ110)=TRIM('Smart Search'!$L$5)),OR(TRIM('Smart Search'!$L$6)="",TRIM('Smart Search'!$L$6)="All",ISNUMBER(SEARCH(SUBSTITUTE(SUBSTITUTE(SUBSTITUTE(TRIM('Smart Search'!$L$6),"~","~~"),"*","~*"),"?","~?"),CA110))),OR('Smart Search'!$L$7="",AND(CB110&lt;&gt;0,CB110='Smart Search'!$L$7)),OR('Smart Search'!$L$8="",'Smart Search'!$L$8="All",TRIM(CC110)=TRIM('Smart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IF(A110="","",N(INDEX(Projects[Mech Inst],109)))</f>
        <v/>
      </c>
      <c r="BK110" s="5">
        <f>IF(A110="","",N(INDEX(Projects[Elec Inst],109)))</f>
        <v/>
      </c>
      <c r="BL110" s="5">
        <f>IF(A110="","",N(INDEX(Projects[Project Management],109)))</f>
        <v/>
      </c>
      <c r="BM110" s="5">
        <f>IF(A110="","",N(INDEX(Projects[Systems Eng],109)))</f>
        <v/>
      </c>
      <c r="BN110" s="5">
        <f>IF(A110="","",N(INDEX(Projects[Mechanical Eng],109)))</f>
        <v/>
      </c>
      <c r="BO110" s="5">
        <f>IF(A110="","",N(INDEX(Projects[Structural Engineering],109)))</f>
        <v/>
      </c>
      <c r="BP110" s="5">
        <f>IF(A110="","",N(INDEX(Projects[Site Sup],109)))</f>
        <v/>
      </c>
      <c r="BQ110" s="5">
        <f>IF(A110="","",N(INDEX(Projects[Controls Commissioning],109)))</f>
        <v/>
      </c>
      <c r="BR110" s="5">
        <f>IF(A110="","",N(INDEX(Projects[Systems Commissioning],109)))</f>
        <v/>
      </c>
      <c r="BS110" s="5">
        <f>IF(A110="","",N(INDEX(Projects[Service Commissioning],109)))</f>
        <v/>
      </c>
      <c r="BT110" s="5">
        <f>IF(A110="","",N(INDEX(Projects[Controls Eng],109)))</f>
        <v/>
      </c>
      <c r="BU110" s="5">
        <f>IF(A110="","",N(INDEX(Projects[Controls Purchase],109)))</f>
        <v/>
      </c>
      <c r="BV110" s="5">
        <f>IF(A110="","",N(INDEX(Projects[Software Eng],109)))</f>
        <v/>
      </c>
      <c r="BW110" s="5">
        <f>IF(A110="","",N(INDEX(Projects[Misc],109)))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  <c r="BZ110" s="5">
        <f>INDEX(Projects[Solution Type],109)&amp;""</f>
        <v/>
      </c>
      <c r="CA110" s="5">
        <f>INDEX(Projects[Client / Region],109)&amp;""</f>
        <v/>
      </c>
      <c r="CB110" s="5">
        <f>INDEX(Projects[Year],109)</f>
        <v/>
      </c>
      <c r="CC110" s="5">
        <f>INDEX(Projects[Won?],109)&amp;""</f>
        <v/>
      </c>
      <c r="CD110" s="5">
        <f>INDEX(Projects[Value (USD M)],109)</f>
        <v/>
      </c>
      <c r="CE110" s="5">
        <f>INDEX(Projects[MH Data Status],109)&amp;""</f>
        <v/>
      </c>
    </row>
    <row r="111" ht="15" customHeight="1" s="74">
      <c r="A111" s="66">
        <f>INDEX(Projects[Project ID *],110)&amp;""</f>
        <v/>
      </c>
      <c r="B111" s="66">
        <f>INDEX(Projects[Project Name *],110)&amp;""</f>
        <v/>
      </c>
      <c r="C111" s="66">
        <f>INDEX(Projects[MS Shuttles],110)</f>
        <v/>
      </c>
      <c r="D111" s="66">
        <f>INDEX(Projects[MS Tote Locations],110)</f>
        <v/>
      </c>
      <c r="E111" s="66">
        <f>INDEX(Projects[AS Robots],110)</f>
        <v/>
      </c>
      <c r="F111" s="66">
        <f>INDEX(Projects[AS Tote Locations],110)</f>
        <v/>
      </c>
      <c r="G111" s="66">
        <f>INDEX(Projects[PS Shuttles],110)</f>
        <v/>
      </c>
      <c r="H111" s="66">
        <f>INDEX(Projects[PS Pallet Locations],110)</f>
        <v/>
      </c>
      <c r="I111" s="66">
        <f>INDEX(Projects[SRM Cranes],110)</f>
        <v/>
      </c>
      <c r="J111" s="66">
        <f>INDEX(Projects[SRM Pallet Locations],110)</f>
        <v/>
      </c>
      <c r="K111" s="66">
        <f>INDEX(Projects[Case Conv (m)],110)</f>
        <v/>
      </c>
      <c r="L111" s="66">
        <f>INDEX(Projects[Pallet Conv (m)],110)</f>
        <v/>
      </c>
      <c r="M111" s="66">
        <f>INDEX(Projects[Mech Eng (wks)],110)</f>
        <v/>
      </c>
      <c r="N111" s="66">
        <f>INDEX(Projects[Controls Eng (wks)],110)</f>
        <v/>
      </c>
      <c r="O111" s="66">
        <f>INDEX(Projects[Systems Eng (wks)],110)</f>
        <v/>
      </c>
      <c r="P111" s="66">
        <f>INDEX(Projects[Software Eng (wks)],110)</f>
        <v/>
      </c>
      <c r="Q111" s="66">
        <f>INDEX(Projects[M&amp;E Installation (wks)],110)</f>
        <v/>
      </c>
      <c r="R111" s="66">
        <f>INDEX(Projects[Commissioning (wks)],110)</f>
        <v/>
      </c>
      <c r="S111" s="66">
        <f>INDEX(Projects[Total Timeline (wks)],110)</f>
        <v/>
      </c>
      <c r="T111" s="66">
        <f>INDEX(Projects[Currency],110)&amp;""</f>
        <v/>
      </c>
      <c r="U111" s="67">
        <f>INDEX(Projects[Value (M)],110)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INDEX(Projects[Automation Equipment],110)&amp;""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IF(AND(A111&lt;&gt;"",OR('Smart Search'!$L$5="",'Smart Search'!$L$5="All",TRIM(BZ111)=TRIM('Smart Search'!$L$5)),OR(TRIM('Smart Search'!$L$6)="",TRIM('Smart Search'!$L$6)="All",ISNUMBER(SEARCH(SUBSTITUTE(SUBSTITUTE(SUBSTITUTE(TRIM('Smart Search'!$L$6),"~","~~"),"*","~*"),"?","~?"),CA111))),OR('Smart Search'!$L$7="",AND(CB111&lt;&gt;0,CB111='Smart Search'!$L$7)),OR('Smart Search'!$L$8="",'Smart Search'!$L$8="All",TRIM(CC111)=TRIM('Smart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IF(A111="","",N(INDEX(Projects[Mech Inst],110)))</f>
        <v/>
      </c>
      <c r="BK111" s="5">
        <f>IF(A111="","",N(INDEX(Projects[Elec Inst],110)))</f>
        <v/>
      </c>
      <c r="BL111" s="5">
        <f>IF(A111="","",N(INDEX(Projects[Project Management],110)))</f>
        <v/>
      </c>
      <c r="BM111" s="5">
        <f>IF(A111="","",N(INDEX(Projects[Systems Eng],110)))</f>
        <v/>
      </c>
      <c r="BN111" s="5">
        <f>IF(A111="","",N(INDEX(Projects[Mechanical Eng],110)))</f>
        <v/>
      </c>
      <c r="BO111" s="5">
        <f>IF(A111="","",N(INDEX(Projects[Structural Engineering],110)))</f>
        <v/>
      </c>
      <c r="BP111" s="5">
        <f>IF(A111="","",N(INDEX(Projects[Site Sup],110)))</f>
        <v/>
      </c>
      <c r="BQ111" s="5">
        <f>IF(A111="","",N(INDEX(Projects[Controls Commissioning],110)))</f>
        <v/>
      </c>
      <c r="BR111" s="5">
        <f>IF(A111="","",N(INDEX(Projects[Systems Commissioning],110)))</f>
        <v/>
      </c>
      <c r="BS111" s="5">
        <f>IF(A111="","",N(INDEX(Projects[Service Commissioning],110)))</f>
        <v/>
      </c>
      <c r="BT111" s="5">
        <f>IF(A111="","",N(INDEX(Projects[Controls Eng],110)))</f>
        <v/>
      </c>
      <c r="BU111" s="5">
        <f>IF(A111="","",N(INDEX(Projects[Controls Purchase],110)))</f>
        <v/>
      </c>
      <c r="BV111" s="5">
        <f>IF(A111="","",N(INDEX(Projects[Software Eng],110)))</f>
        <v/>
      </c>
      <c r="BW111" s="5">
        <f>IF(A111="","",N(INDEX(Projects[Misc],110)))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  <c r="BZ111" s="5">
        <f>INDEX(Projects[Solution Type],110)&amp;""</f>
        <v/>
      </c>
      <c r="CA111" s="5">
        <f>INDEX(Projects[Client / Region],110)&amp;""</f>
        <v/>
      </c>
      <c r="CB111" s="5">
        <f>INDEX(Projects[Year],110)</f>
        <v/>
      </c>
      <c r="CC111" s="5">
        <f>INDEX(Projects[Won?],110)&amp;""</f>
        <v/>
      </c>
      <c r="CD111" s="5">
        <f>INDEX(Projects[Value (USD M)],110)</f>
        <v/>
      </c>
      <c r="CE111" s="5">
        <f>INDEX(Projects[MH Data Status],110)&amp;""</f>
        <v/>
      </c>
    </row>
    <row r="112" ht="15" customHeight="1" s="74">
      <c r="A112" s="66">
        <f>INDEX(Projects[Project ID *],111)&amp;""</f>
        <v/>
      </c>
      <c r="B112" s="66">
        <f>INDEX(Projects[Project Name *],111)&amp;""</f>
        <v/>
      </c>
      <c r="C112" s="66">
        <f>INDEX(Projects[MS Shuttles],111)</f>
        <v/>
      </c>
      <c r="D112" s="66">
        <f>INDEX(Projects[MS Tote Locations],111)</f>
        <v/>
      </c>
      <c r="E112" s="66">
        <f>INDEX(Projects[AS Robots],111)</f>
        <v/>
      </c>
      <c r="F112" s="66">
        <f>INDEX(Projects[AS Tote Locations],111)</f>
        <v/>
      </c>
      <c r="G112" s="66">
        <f>INDEX(Projects[PS Shuttles],111)</f>
        <v/>
      </c>
      <c r="H112" s="66">
        <f>INDEX(Projects[PS Pallet Locations],111)</f>
        <v/>
      </c>
      <c r="I112" s="66">
        <f>INDEX(Projects[SRM Cranes],111)</f>
        <v/>
      </c>
      <c r="J112" s="66">
        <f>INDEX(Projects[SRM Pallet Locations],111)</f>
        <v/>
      </c>
      <c r="K112" s="66">
        <f>INDEX(Projects[Case Conv (m)],111)</f>
        <v/>
      </c>
      <c r="L112" s="66">
        <f>INDEX(Projects[Pallet Conv (m)],111)</f>
        <v/>
      </c>
      <c r="M112" s="66">
        <f>INDEX(Projects[Mech Eng (wks)],111)</f>
        <v/>
      </c>
      <c r="N112" s="66">
        <f>INDEX(Projects[Controls Eng (wks)],111)</f>
        <v/>
      </c>
      <c r="O112" s="66">
        <f>INDEX(Projects[Systems Eng (wks)],111)</f>
        <v/>
      </c>
      <c r="P112" s="66">
        <f>INDEX(Projects[Software Eng (wks)],111)</f>
        <v/>
      </c>
      <c r="Q112" s="66">
        <f>INDEX(Projects[M&amp;E Installation (wks)],111)</f>
        <v/>
      </c>
      <c r="R112" s="66">
        <f>INDEX(Projects[Commissioning (wks)],111)</f>
        <v/>
      </c>
      <c r="S112" s="66">
        <f>INDEX(Projects[Total Timeline (wks)],111)</f>
        <v/>
      </c>
      <c r="T112" s="66">
        <f>INDEX(Projects[Currency],111)&amp;""</f>
        <v/>
      </c>
      <c r="U112" s="67">
        <f>INDEX(Projects[Value (M)],111)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INDEX(Projects[Automation Equipment],111)&amp;""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IF(AND(A112&lt;&gt;"",OR('Smart Search'!$L$5="",'Smart Search'!$L$5="All",TRIM(BZ112)=TRIM('Smart Search'!$L$5)),OR(TRIM('Smart Search'!$L$6)="",TRIM('Smart Search'!$L$6)="All",ISNUMBER(SEARCH(SUBSTITUTE(SUBSTITUTE(SUBSTITUTE(TRIM('Smart Search'!$L$6),"~","~~"),"*","~*"),"?","~?"),CA112))),OR('Smart Search'!$L$7="",AND(CB112&lt;&gt;0,CB112='Smart Search'!$L$7)),OR('Smart Search'!$L$8="",'Smart Search'!$L$8="All",TRIM(CC112)=TRIM('Smart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IF(A112="","",N(INDEX(Projects[Mech Inst],111)))</f>
        <v/>
      </c>
      <c r="BK112" s="5">
        <f>IF(A112="","",N(INDEX(Projects[Elec Inst],111)))</f>
        <v/>
      </c>
      <c r="BL112" s="5">
        <f>IF(A112="","",N(INDEX(Projects[Project Management],111)))</f>
        <v/>
      </c>
      <c r="BM112" s="5">
        <f>IF(A112="","",N(INDEX(Projects[Systems Eng],111)))</f>
        <v/>
      </c>
      <c r="BN112" s="5">
        <f>IF(A112="","",N(INDEX(Projects[Mechanical Eng],111)))</f>
        <v/>
      </c>
      <c r="BO112" s="5">
        <f>IF(A112="","",N(INDEX(Projects[Structural Engineering],111)))</f>
        <v/>
      </c>
      <c r="BP112" s="5">
        <f>IF(A112="","",N(INDEX(Projects[Site Sup],111)))</f>
        <v/>
      </c>
      <c r="BQ112" s="5">
        <f>IF(A112="","",N(INDEX(Projects[Controls Commissioning],111)))</f>
        <v/>
      </c>
      <c r="BR112" s="5">
        <f>IF(A112="","",N(INDEX(Projects[Systems Commissioning],111)))</f>
        <v/>
      </c>
      <c r="BS112" s="5">
        <f>IF(A112="","",N(INDEX(Projects[Service Commissioning],111)))</f>
        <v/>
      </c>
      <c r="BT112" s="5">
        <f>IF(A112="","",N(INDEX(Projects[Controls Eng],111)))</f>
        <v/>
      </c>
      <c r="BU112" s="5">
        <f>IF(A112="","",N(INDEX(Projects[Controls Purchase],111)))</f>
        <v/>
      </c>
      <c r="BV112" s="5">
        <f>IF(A112="","",N(INDEX(Projects[Software Eng],111)))</f>
        <v/>
      </c>
      <c r="BW112" s="5">
        <f>IF(A112="","",N(INDEX(Projects[Misc],111)))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  <c r="BZ112" s="5">
        <f>INDEX(Projects[Solution Type],111)&amp;""</f>
        <v/>
      </c>
      <c r="CA112" s="5">
        <f>INDEX(Projects[Client / Region],111)&amp;""</f>
        <v/>
      </c>
      <c r="CB112" s="5">
        <f>INDEX(Projects[Year],111)</f>
        <v/>
      </c>
      <c r="CC112" s="5">
        <f>INDEX(Projects[Won?],111)&amp;""</f>
        <v/>
      </c>
      <c r="CD112" s="5">
        <f>INDEX(Projects[Value (USD M)],111)</f>
        <v/>
      </c>
      <c r="CE112" s="5">
        <f>INDEX(Projects[MH Data Status],111)&amp;""</f>
        <v/>
      </c>
    </row>
    <row r="113" ht="15" customHeight="1" s="74">
      <c r="A113" s="66">
        <f>INDEX(Projects[Project ID *],112)&amp;""</f>
        <v/>
      </c>
      <c r="B113" s="66">
        <f>INDEX(Projects[Project Name *],112)&amp;""</f>
        <v/>
      </c>
      <c r="C113" s="66">
        <f>INDEX(Projects[MS Shuttles],112)</f>
        <v/>
      </c>
      <c r="D113" s="66">
        <f>INDEX(Projects[MS Tote Locations],112)</f>
        <v/>
      </c>
      <c r="E113" s="66">
        <f>INDEX(Projects[AS Robots],112)</f>
        <v/>
      </c>
      <c r="F113" s="66">
        <f>INDEX(Projects[AS Tote Locations],112)</f>
        <v/>
      </c>
      <c r="G113" s="66">
        <f>INDEX(Projects[PS Shuttles],112)</f>
        <v/>
      </c>
      <c r="H113" s="66">
        <f>INDEX(Projects[PS Pallet Locations],112)</f>
        <v/>
      </c>
      <c r="I113" s="66">
        <f>INDEX(Projects[SRM Cranes],112)</f>
        <v/>
      </c>
      <c r="J113" s="66">
        <f>INDEX(Projects[SRM Pallet Locations],112)</f>
        <v/>
      </c>
      <c r="K113" s="66">
        <f>INDEX(Projects[Case Conv (m)],112)</f>
        <v/>
      </c>
      <c r="L113" s="66">
        <f>INDEX(Projects[Pallet Conv (m)],112)</f>
        <v/>
      </c>
      <c r="M113" s="66">
        <f>INDEX(Projects[Mech Eng (wks)],112)</f>
        <v/>
      </c>
      <c r="N113" s="66">
        <f>INDEX(Projects[Controls Eng (wks)],112)</f>
        <v/>
      </c>
      <c r="O113" s="66">
        <f>INDEX(Projects[Systems Eng (wks)],112)</f>
        <v/>
      </c>
      <c r="P113" s="66">
        <f>INDEX(Projects[Software Eng (wks)],112)</f>
        <v/>
      </c>
      <c r="Q113" s="66">
        <f>INDEX(Projects[M&amp;E Installation (wks)],112)</f>
        <v/>
      </c>
      <c r="R113" s="66">
        <f>INDEX(Projects[Commissioning (wks)],112)</f>
        <v/>
      </c>
      <c r="S113" s="66">
        <f>INDEX(Projects[Total Timeline (wks)],112)</f>
        <v/>
      </c>
      <c r="T113" s="66">
        <f>INDEX(Projects[Currency],112)&amp;""</f>
        <v/>
      </c>
      <c r="U113" s="67">
        <f>INDEX(Projects[Value (M)],112)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INDEX(Projects[Automation Equipment],112)&amp;""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IF(AND(A113&lt;&gt;"",OR('Smart Search'!$L$5="",'Smart Search'!$L$5="All",TRIM(BZ113)=TRIM('Smart Search'!$L$5)),OR(TRIM('Smart Search'!$L$6)="",TRIM('Smart Search'!$L$6)="All",ISNUMBER(SEARCH(SUBSTITUTE(SUBSTITUTE(SUBSTITUTE(TRIM('Smart Search'!$L$6),"~","~~"),"*","~*"),"?","~?"),CA113))),OR('Smart Search'!$L$7="",AND(CB113&lt;&gt;0,CB113='Smart Search'!$L$7)),OR('Smart Search'!$L$8="",'Smart Search'!$L$8="All",TRIM(CC113)=TRIM('Smart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IF(A113="","",N(INDEX(Projects[Mech Inst],112)))</f>
        <v/>
      </c>
      <c r="BK113" s="5">
        <f>IF(A113="","",N(INDEX(Projects[Elec Inst],112)))</f>
        <v/>
      </c>
      <c r="BL113" s="5">
        <f>IF(A113="","",N(INDEX(Projects[Project Management],112)))</f>
        <v/>
      </c>
      <c r="BM113" s="5">
        <f>IF(A113="","",N(INDEX(Projects[Systems Eng],112)))</f>
        <v/>
      </c>
      <c r="BN113" s="5">
        <f>IF(A113="","",N(INDEX(Projects[Mechanical Eng],112)))</f>
        <v/>
      </c>
      <c r="BO113" s="5">
        <f>IF(A113="","",N(INDEX(Projects[Structural Engineering],112)))</f>
        <v/>
      </c>
      <c r="BP113" s="5">
        <f>IF(A113="","",N(INDEX(Projects[Site Sup],112)))</f>
        <v/>
      </c>
      <c r="BQ113" s="5">
        <f>IF(A113="","",N(INDEX(Projects[Controls Commissioning],112)))</f>
        <v/>
      </c>
      <c r="BR113" s="5">
        <f>IF(A113="","",N(INDEX(Projects[Systems Commissioning],112)))</f>
        <v/>
      </c>
      <c r="BS113" s="5">
        <f>IF(A113="","",N(INDEX(Projects[Service Commissioning],112)))</f>
        <v/>
      </c>
      <c r="BT113" s="5">
        <f>IF(A113="","",N(INDEX(Projects[Controls Eng],112)))</f>
        <v/>
      </c>
      <c r="BU113" s="5">
        <f>IF(A113="","",N(INDEX(Projects[Controls Purchase],112)))</f>
        <v/>
      </c>
      <c r="BV113" s="5">
        <f>IF(A113="","",N(INDEX(Projects[Software Eng],112)))</f>
        <v/>
      </c>
      <c r="BW113" s="5">
        <f>IF(A113="","",N(INDEX(Projects[Misc],112)))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  <c r="BZ113" s="5">
        <f>INDEX(Projects[Solution Type],112)&amp;""</f>
        <v/>
      </c>
      <c r="CA113" s="5">
        <f>INDEX(Projects[Client / Region],112)&amp;""</f>
        <v/>
      </c>
      <c r="CB113" s="5">
        <f>INDEX(Projects[Year],112)</f>
        <v/>
      </c>
      <c r="CC113" s="5">
        <f>INDEX(Projects[Won?],112)&amp;""</f>
        <v/>
      </c>
      <c r="CD113" s="5">
        <f>INDEX(Projects[Value (USD M)],112)</f>
        <v/>
      </c>
      <c r="CE113" s="5">
        <f>INDEX(Projects[MH Data Status],112)&amp;""</f>
        <v/>
      </c>
    </row>
    <row r="114" ht="15" customHeight="1" s="74">
      <c r="A114" s="66">
        <f>INDEX(Projects[Project ID *],113)&amp;""</f>
        <v/>
      </c>
      <c r="B114" s="66">
        <f>INDEX(Projects[Project Name *],113)&amp;""</f>
        <v/>
      </c>
      <c r="C114" s="66">
        <f>INDEX(Projects[MS Shuttles],113)</f>
        <v/>
      </c>
      <c r="D114" s="66">
        <f>INDEX(Projects[MS Tote Locations],113)</f>
        <v/>
      </c>
      <c r="E114" s="66">
        <f>INDEX(Projects[AS Robots],113)</f>
        <v/>
      </c>
      <c r="F114" s="66">
        <f>INDEX(Projects[AS Tote Locations],113)</f>
        <v/>
      </c>
      <c r="G114" s="66">
        <f>INDEX(Projects[PS Shuttles],113)</f>
        <v/>
      </c>
      <c r="H114" s="66">
        <f>INDEX(Projects[PS Pallet Locations],113)</f>
        <v/>
      </c>
      <c r="I114" s="66">
        <f>INDEX(Projects[SRM Cranes],113)</f>
        <v/>
      </c>
      <c r="J114" s="66">
        <f>INDEX(Projects[SRM Pallet Locations],113)</f>
        <v/>
      </c>
      <c r="K114" s="66">
        <f>INDEX(Projects[Case Conv (m)],113)</f>
        <v/>
      </c>
      <c r="L114" s="66">
        <f>INDEX(Projects[Pallet Conv (m)],113)</f>
        <v/>
      </c>
      <c r="M114" s="66">
        <f>INDEX(Projects[Mech Eng (wks)],113)</f>
        <v/>
      </c>
      <c r="N114" s="66">
        <f>INDEX(Projects[Controls Eng (wks)],113)</f>
        <v/>
      </c>
      <c r="O114" s="66">
        <f>INDEX(Projects[Systems Eng (wks)],113)</f>
        <v/>
      </c>
      <c r="P114" s="66">
        <f>INDEX(Projects[Software Eng (wks)],113)</f>
        <v/>
      </c>
      <c r="Q114" s="66">
        <f>INDEX(Projects[M&amp;E Installation (wks)],113)</f>
        <v/>
      </c>
      <c r="R114" s="66">
        <f>INDEX(Projects[Commissioning (wks)],113)</f>
        <v/>
      </c>
      <c r="S114" s="66">
        <f>INDEX(Projects[Total Timeline (wks)],113)</f>
        <v/>
      </c>
      <c r="T114" s="66">
        <f>INDEX(Projects[Currency],113)&amp;""</f>
        <v/>
      </c>
      <c r="U114" s="67">
        <f>INDEX(Projects[Value (M)],113)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INDEX(Projects[Automation Equipment],113)&amp;""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IF(AND(A114&lt;&gt;"",OR('Smart Search'!$L$5="",'Smart Search'!$L$5="All",TRIM(BZ114)=TRIM('Smart Search'!$L$5)),OR(TRIM('Smart Search'!$L$6)="",TRIM('Smart Search'!$L$6)="All",ISNUMBER(SEARCH(SUBSTITUTE(SUBSTITUTE(SUBSTITUTE(TRIM('Smart Search'!$L$6),"~","~~"),"*","~*"),"?","~?"),CA114))),OR('Smart Search'!$L$7="",AND(CB114&lt;&gt;0,CB114='Smart Search'!$L$7)),OR('Smart Search'!$L$8="",'Smart Search'!$L$8="All",TRIM(CC114)=TRIM('Smart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IF(A114="","",N(INDEX(Projects[Mech Inst],113)))</f>
        <v/>
      </c>
      <c r="BK114" s="5">
        <f>IF(A114="","",N(INDEX(Projects[Elec Inst],113)))</f>
        <v/>
      </c>
      <c r="BL114" s="5">
        <f>IF(A114="","",N(INDEX(Projects[Project Management],113)))</f>
        <v/>
      </c>
      <c r="BM114" s="5">
        <f>IF(A114="","",N(INDEX(Projects[Systems Eng],113)))</f>
        <v/>
      </c>
      <c r="BN114" s="5">
        <f>IF(A114="","",N(INDEX(Projects[Mechanical Eng],113)))</f>
        <v/>
      </c>
      <c r="BO114" s="5">
        <f>IF(A114="","",N(INDEX(Projects[Structural Engineering],113)))</f>
        <v/>
      </c>
      <c r="BP114" s="5">
        <f>IF(A114="","",N(INDEX(Projects[Site Sup],113)))</f>
        <v/>
      </c>
      <c r="BQ114" s="5">
        <f>IF(A114="","",N(INDEX(Projects[Controls Commissioning],113)))</f>
        <v/>
      </c>
      <c r="BR114" s="5">
        <f>IF(A114="","",N(INDEX(Projects[Systems Commissioning],113)))</f>
        <v/>
      </c>
      <c r="BS114" s="5">
        <f>IF(A114="","",N(INDEX(Projects[Service Commissioning],113)))</f>
        <v/>
      </c>
      <c r="BT114" s="5">
        <f>IF(A114="","",N(INDEX(Projects[Controls Eng],113)))</f>
        <v/>
      </c>
      <c r="BU114" s="5">
        <f>IF(A114="","",N(INDEX(Projects[Controls Purchase],113)))</f>
        <v/>
      </c>
      <c r="BV114" s="5">
        <f>IF(A114="","",N(INDEX(Projects[Software Eng],113)))</f>
        <v/>
      </c>
      <c r="BW114" s="5">
        <f>IF(A114="","",N(INDEX(Projects[Misc],113)))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  <c r="BZ114" s="5">
        <f>INDEX(Projects[Solution Type],113)&amp;""</f>
        <v/>
      </c>
      <c r="CA114" s="5">
        <f>INDEX(Projects[Client / Region],113)&amp;""</f>
        <v/>
      </c>
      <c r="CB114" s="5">
        <f>INDEX(Projects[Year],113)</f>
        <v/>
      </c>
      <c r="CC114" s="5">
        <f>INDEX(Projects[Won?],113)&amp;""</f>
        <v/>
      </c>
      <c r="CD114" s="5">
        <f>INDEX(Projects[Value (USD M)],113)</f>
        <v/>
      </c>
      <c r="CE114" s="5">
        <f>INDEX(Projects[MH Data Status],113)&amp;""</f>
        <v/>
      </c>
    </row>
    <row r="115" ht="15" customHeight="1" s="74">
      <c r="A115" s="66">
        <f>INDEX(Projects[Project ID *],114)&amp;""</f>
        <v/>
      </c>
      <c r="B115" s="66">
        <f>INDEX(Projects[Project Name *],114)&amp;""</f>
        <v/>
      </c>
      <c r="C115" s="66">
        <f>INDEX(Projects[MS Shuttles],114)</f>
        <v/>
      </c>
      <c r="D115" s="66">
        <f>INDEX(Projects[MS Tote Locations],114)</f>
        <v/>
      </c>
      <c r="E115" s="66">
        <f>INDEX(Projects[AS Robots],114)</f>
        <v/>
      </c>
      <c r="F115" s="66">
        <f>INDEX(Projects[AS Tote Locations],114)</f>
        <v/>
      </c>
      <c r="G115" s="66">
        <f>INDEX(Projects[PS Shuttles],114)</f>
        <v/>
      </c>
      <c r="H115" s="66">
        <f>INDEX(Projects[PS Pallet Locations],114)</f>
        <v/>
      </c>
      <c r="I115" s="66">
        <f>INDEX(Projects[SRM Cranes],114)</f>
        <v/>
      </c>
      <c r="J115" s="66">
        <f>INDEX(Projects[SRM Pallet Locations],114)</f>
        <v/>
      </c>
      <c r="K115" s="66">
        <f>INDEX(Projects[Case Conv (m)],114)</f>
        <v/>
      </c>
      <c r="L115" s="66">
        <f>INDEX(Projects[Pallet Conv (m)],114)</f>
        <v/>
      </c>
      <c r="M115" s="66">
        <f>INDEX(Projects[Mech Eng (wks)],114)</f>
        <v/>
      </c>
      <c r="N115" s="66">
        <f>INDEX(Projects[Controls Eng (wks)],114)</f>
        <v/>
      </c>
      <c r="O115" s="66">
        <f>INDEX(Projects[Systems Eng (wks)],114)</f>
        <v/>
      </c>
      <c r="P115" s="66">
        <f>INDEX(Projects[Software Eng (wks)],114)</f>
        <v/>
      </c>
      <c r="Q115" s="66">
        <f>INDEX(Projects[M&amp;E Installation (wks)],114)</f>
        <v/>
      </c>
      <c r="R115" s="66">
        <f>INDEX(Projects[Commissioning (wks)],114)</f>
        <v/>
      </c>
      <c r="S115" s="66">
        <f>INDEX(Projects[Total Timeline (wks)],114)</f>
        <v/>
      </c>
      <c r="T115" s="66">
        <f>INDEX(Projects[Currency],114)&amp;""</f>
        <v/>
      </c>
      <c r="U115" s="67">
        <f>INDEX(Projects[Value (M)],114)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INDEX(Projects[Automation Equipment],114)&amp;""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IF(AND(A115&lt;&gt;"",OR('Smart Search'!$L$5="",'Smart Search'!$L$5="All",TRIM(BZ115)=TRIM('Smart Search'!$L$5)),OR(TRIM('Smart Search'!$L$6)="",TRIM('Smart Search'!$L$6)="All",ISNUMBER(SEARCH(SUBSTITUTE(SUBSTITUTE(SUBSTITUTE(TRIM('Smart Search'!$L$6),"~","~~"),"*","~*"),"?","~?"),CA115))),OR('Smart Search'!$L$7="",AND(CB115&lt;&gt;0,CB115='Smart Search'!$L$7)),OR('Smart Search'!$L$8="",'Smart Search'!$L$8="All",TRIM(CC115)=TRIM('Smart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IF(A115="","",N(INDEX(Projects[Mech Inst],114)))</f>
        <v/>
      </c>
      <c r="BK115" s="5">
        <f>IF(A115="","",N(INDEX(Projects[Elec Inst],114)))</f>
        <v/>
      </c>
      <c r="BL115" s="5">
        <f>IF(A115="","",N(INDEX(Projects[Project Management],114)))</f>
        <v/>
      </c>
      <c r="BM115" s="5">
        <f>IF(A115="","",N(INDEX(Projects[Systems Eng],114)))</f>
        <v/>
      </c>
      <c r="BN115" s="5">
        <f>IF(A115="","",N(INDEX(Projects[Mechanical Eng],114)))</f>
        <v/>
      </c>
      <c r="BO115" s="5">
        <f>IF(A115="","",N(INDEX(Projects[Structural Engineering],114)))</f>
        <v/>
      </c>
      <c r="BP115" s="5">
        <f>IF(A115="","",N(INDEX(Projects[Site Sup],114)))</f>
        <v/>
      </c>
      <c r="BQ115" s="5">
        <f>IF(A115="","",N(INDEX(Projects[Controls Commissioning],114)))</f>
        <v/>
      </c>
      <c r="BR115" s="5">
        <f>IF(A115="","",N(INDEX(Projects[Systems Commissioning],114)))</f>
        <v/>
      </c>
      <c r="BS115" s="5">
        <f>IF(A115="","",N(INDEX(Projects[Service Commissioning],114)))</f>
        <v/>
      </c>
      <c r="BT115" s="5">
        <f>IF(A115="","",N(INDEX(Projects[Controls Eng],114)))</f>
        <v/>
      </c>
      <c r="BU115" s="5">
        <f>IF(A115="","",N(INDEX(Projects[Controls Purchase],114)))</f>
        <v/>
      </c>
      <c r="BV115" s="5">
        <f>IF(A115="","",N(INDEX(Projects[Software Eng],114)))</f>
        <v/>
      </c>
      <c r="BW115" s="5">
        <f>IF(A115="","",N(INDEX(Projects[Misc],114)))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  <c r="BZ115" s="5">
        <f>INDEX(Projects[Solution Type],114)&amp;""</f>
        <v/>
      </c>
      <c r="CA115" s="5">
        <f>INDEX(Projects[Client / Region],114)&amp;""</f>
        <v/>
      </c>
      <c r="CB115" s="5">
        <f>INDEX(Projects[Year],114)</f>
        <v/>
      </c>
      <c r="CC115" s="5">
        <f>INDEX(Projects[Won?],114)&amp;""</f>
        <v/>
      </c>
      <c r="CD115" s="5">
        <f>INDEX(Projects[Value (USD M)],114)</f>
        <v/>
      </c>
      <c r="CE115" s="5">
        <f>INDEX(Projects[MH Data Status],114)&amp;""</f>
        <v/>
      </c>
    </row>
    <row r="116" ht="15" customHeight="1" s="74">
      <c r="A116" s="66">
        <f>INDEX(Projects[Project ID *],115)&amp;""</f>
        <v/>
      </c>
      <c r="B116" s="66">
        <f>INDEX(Projects[Project Name *],115)&amp;""</f>
        <v/>
      </c>
      <c r="C116" s="66">
        <f>INDEX(Projects[MS Shuttles],115)</f>
        <v/>
      </c>
      <c r="D116" s="66">
        <f>INDEX(Projects[MS Tote Locations],115)</f>
        <v/>
      </c>
      <c r="E116" s="66">
        <f>INDEX(Projects[AS Robots],115)</f>
        <v/>
      </c>
      <c r="F116" s="66">
        <f>INDEX(Projects[AS Tote Locations],115)</f>
        <v/>
      </c>
      <c r="G116" s="66">
        <f>INDEX(Projects[PS Shuttles],115)</f>
        <v/>
      </c>
      <c r="H116" s="66">
        <f>INDEX(Projects[PS Pallet Locations],115)</f>
        <v/>
      </c>
      <c r="I116" s="66">
        <f>INDEX(Projects[SRM Cranes],115)</f>
        <v/>
      </c>
      <c r="J116" s="66">
        <f>INDEX(Projects[SRM Pallet Locations],115)</f>
        <v/>
      </c>
      <c r="K116" s="66">
        <f>INDEX(Projects[Case Conv (m)],115)</f>
        <v/>
      </c>
      <c r="L116" s="66">
        <f>INDEX(Projects[Pallet Conv (m)],115)</f>
        <v/>
      </c>
      <c r="M116" s="66">
        <f>INDEX(Projects[Mech Eng (wks)],115)</f>
        <v/>
      </c>
      <c r="N116" s="66">
        <f>INDEX(Projects[Controls Eng (wks)],115)</f>
        <v/>
      </c>
      <c r="O116" s="66">
        <f>INDEX(Projects[Systems Eng (wks)],115)</f>
        <v/>
      </c>
      <c r="P116" s="66">
        <f>INDEX(Projects[Software Eng (wks)],115)</f>
        <v/>
      </c>
      <c r="Q116" s="66">
        <f>INDEX(Projects[M&amp;E Installation (wks)],115)</f>
        <v/>
      </c>
      <c r="R116" s="66">
        <f>INDEX(Projects[Commissioning (wks)],115)</f>
        <v/>
      </c>
      <c r="S116" s="66">
        <f>INDEX(Projects[Total Timeline (wks)],115)</f>
        <v/>
      </c>
      <c r="T116" s="66">
        <f>INDEX(Projects[Currency],115)&amp;""</f>
        <v/>
      </c>
      <c r="U116" s="67">
        <f>INDEX(Projects[Value (M)],115)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INDEX(Projects[Automation Equipment],115)&amp;""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IF(AND(A116&lt;&gt;"",OR('Smart Search'!$L$5="",'Smart Search'!$L$5="All",TRIM(BZ116)=TRIM('Smart Search'!$L$5)),OR(TRIM('Smart Search'!$L$6)="",TRIM('Smart Search'!$L$6)="All",ISNUMBER(SEARCH(SUBSTITUTE(SUBSTITUTE(SUBSTITUTE(TRIM('Smart Search'!$L$6),"~","~~"),"*","~*"),"?","~?"),CA116))),OR('Smart Search'!$L$7="",AND(CB116&lt;&gt;0,CB116='Smart Search'!$L$7)),OR('Smart Search'!$L$8="",'Smart Search'!$L$8="All",TRIM(CC116)=TRIM('Smart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IF(A116="","",N(INDEX(Projects[Mech Inst],115)))</f>
        <v/>
      </c>
      <c r="BK116" s="5">
        <f>IF(A116="","",N(INDEX(Projects[Elec Inst],115)))</f>
        <v/>
      </c>
      <c r="BL116" s="5">
        <f>IF(A116="","",N(INDEX(Projects[Project Management],115)))</f>
        <v/>
      </c>
      <c r="BM116" s="5">
        <f>IF(A116="","",N(INDEX(Projects[Systems Eng],115)))</f>
        <v/>
      </c>
      <c r="BN116" s="5">
        <f>IF(A116="","",N(INDEX(Projects[Mechanical Eng],115)))</f>
        <v/>
      </c>
      <c r="BO116" s="5">
        <f>IF(A116="","",N(INDEX(Projects[Structural Engineering],115)))</f>
        <v/>
      </c>
      <c r="BP116" s="5">
        <f>IF(A116="","",N(INDEX(Projects[Site Sup],115)))</f>
        <v/>
      </c>
      <c r="BQ116" s="5">
        <f>IF(A116="","",N(INDEX(Projects[Controls Commissioning],115)))</f>
        <v/>
      </c>
      <c r="BR116" s="5">
        <f>IF(A116="","",N(INDEX(Projects[Systems Commissioning],115)))</f>
        <v/>
      </c>
      <c r="BS116" s="5">
        <f>IF(A116="","",N(INDEX(Projects[Service Commissioning],115)))</f>
        <v/>
      </c>
      <c r="BT116" s="5">
        <f>IF(A116="","",N(INDEX(Projects[Controls Eng],115)))</f>
        <v/>
      </c>
      <c r="BU116" s="5">
        <f>IF(A116="","",N(INDEX(Projects[Controls Purchase],115)))</f>
        <v/>
      </c>
      <c r="BV116" s="5">
        <f>IF(A116="","",N(INDEX(Projects[Software Eng],115)))</f>
        <v/>
      </c>
      <c r="BW116" s="5">
        <f>IF(A116="","",N(INDEX(Projects[Misc],115)))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  <c r="BZ116" s="5">
        <f>INDEX(Projects[Solution Type],115)&amp;""</f>
        <v/>
      </c>
      <c r="CA116" s="5">
        <f>INDEX(Projects[Client / Region],115)&amp;""</f>
        <v/>
      </c>
      <c r="CB116" s="5">
        <f>INDEX(Projects[Year],115)</f>
        <v/>
      </c>
      <c r="CC116" s="5">
        <f>INDEX(Projects[Won?],115)&amp;""</f>
        <v/>
      </c>
      <c r="CD116" s="5">
        <f>INDEX(Projects[Value (USD M)],115)</f>
        <v/>
      </c>
      <c r="CE116" s="5">
        <f>INDEX(Projects[MH Data Status],115)&amp;""</f>
        <v/>
      </c>
    </row>
    <row r="117" ht="15" customHeight="1" s="74">
      <c r="A117" s="66">
        <f>INDEX(Projects[Project ID *],116)&amp;""</f>
        <v/>
      </c>
      <c r="B117" s="66">
        <f>INDEX(Projects[Project Name *],116)&amp;""</f>
        <v/>
      </c>
      <c r="C117" s="66">
        <f>INDEX(Projects[MS Shuttles],116)</f>
        <v/>
      </c>
      <c r="D117" s="66">
        <f>INDEX(Projects[MS Tote Locations],116)</f>
        <v/>
      </c>
      <c r="E117" s="66">
        <f>INDEX(Projects[AS Robots],116)</f>
        <v/>
      </c>
      <c r="F117" s="66">
        <f>INDEX(Projects[AS Tote Locations],116)</f>
        <v/>
      </c>
      <c r="G117" s="66">
        <f>INDEX(Projects[PS Shuttles],116)</f>
        <v/>
      </c>
      <c r="H117" s="66">
        <f>INDEX(Projects[PS Pallet Locations],116)</f>
        <v/>
      </c>
      <c r="I117" s="66">
        <f>INDEX(Projects[SRM Cranes],116)</f>
        <v/>
      </c>
      <c r="J117" s="66">
        <f>INDEX(Projects[SRM Pallet Locations],116)</f>
        <v/>
      </c>
      <c r="K117" s="66">
        <f>INDEX(Projects[Case Conv (m)],116)</f>
        <v/>
      </c>
      <c r="L117" s="66">
        <f>INDEX(Projects[Pallet Conv (m)],116)</f>
        <v/>
      </c>
      <c r="M117" s="66">
        <f>INDEX(Projects[Mech Eng (wks)],116)</f>
        <v/>
      </c>
      <c r="N117" s="66">
        <f>INDEX(Projects[Controls Eng (wks)],116)</f>
        <v/>
      </c>
      <c r="O117" s="66">
        <f>INDEX(Projects[Systems Eng (wks)],116)</f>
        <v/>
      </c>
      <c r="P117" s="66">
        <f>INDEX(Projects[Software Eng (wks)],116)</f>
        <v/>
      </c>
      <c r="Q117" s="66">
        <f>INDEX(Projects[M&amp;E Installation (wks)],116)</f>
        <v/>
      </c>
      <c r="R117" s="66">
        <f>INDEX(Projects[Commissioning (wks)],116)</f>
        <v/>
      </c>
      <c r="S117" s="66">
        <f>INDEX(Projects[Total Timeline (wks)],116)</f>
        <v/>
      </c>
      <c r="T117" s="66">
        <f>INDEX(Projects[Currency],116)&amp;""</f>
        <v/>
      </c>
      <c r="U117" s="67">
        <f>INDEX(Projects[Value (M)],116)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INDEX(Projects[Automation Equipment],116)&amp;""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IF(AND(A117&lt;&gt;"",OR('Smart Search'!$L$5="",'Smart Search'!$L$5="All",TRIM(BZ117)=TRIM('Smart Search'!$L$5)),OR(TRIM('Smart Search'!$L$6)="",TRIM('Smart Search'!$L$6)="All",ISNUMBER(SEARCH(SUBSTITUTE(SUBSTITUTE(SUBSTITUTE(TRIM('Smart Search'!$L$6),"~","~~"),"*","~*"),"?","~?"),CA117))),OR('Smart Search'!$L$7="",AND(CB117&lt;&gt;0,CB117='Smart Search'!$L$7)),OR('Smart Search'!$L$8="",'Smart Search'!$L$8="All",TRIM(CC117)=TRIM('Smart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IF(A117="","",N(INDEX(Projects[Mech Inst],116)))</f>
        <v/>
      </c>
      <c r="BK117" s="5">
        <f>IF(A117="","",N(INDEX(Projects[Elec Inst],116)))</f>
        <v/>
      </c>
      <c r="BL117" s="5">
        <f>IF(A117="","",N(INDEX(Projects[Project Management],116)))</f>
        <v/>
      </c>
      <c r="BM117" s="5">
        <f>IF(A117="","",N(INDEX(Projects[Systems Eng],116)))</f>
        <v/>
      </c>
      <c r="BN117" s="5">
        <f>IF(A117="","",N(INDEX(Projects[Mechanical Eng],116)))</f>
        <v/>
      </c>
      <c r="BO117" s="5">
        <f>IF(A117="","",N(INDEX(Projects[Structural Engineering],116)))</f>
        <v/>
      </c>
      <c r="BP117" s="5">
        <f>IF(A117="","",N(INDEX(Projects[Site Sup],116)))</f>
        <v/>
      </c>
      <c r="BQ117" s="5">
        <f>IF(A117="","",N(INDEX(Projects[Controls Commissioning],116)))</f>
        <v/>
      </c>
      <c r="BR117" s="5">
        <f>IF(A117="","",N(INDEX(Projects[Systems Commissioning],116)))</f>
        <v/>
      </c>
      <c r="BS117" s="5">
        <f>IF(A117="","",N(INDEX(Projects[Service Commissioning],116)))</f>
        <v/>
      </c>
      <c r="BT117" s="5">
        <f>IF(A117="","",N(INDEX(Projects[Controls Eng],116)))</f>
        <v/>
      </c>
      <c r="BU117" s="5">
        <f>IF(A117="","",N(INDEX(Projects[Controls Purchase],116)))</f>
        <v/>
      </c>
      <c r="BV117" s="5">
        <f>IF(A117="","",N(INDEX(Projects[Software Eng],116)))</f>
        <v/>
      </c>
      <c r="BW117" s="5">
        <f>IF(A117="","",N(INDEX(Projects[Misc],116)))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  <c r="BZ117" s="5">
        <f>INDEX(Projects[Solution Type],116)&amp;""</f>
        <v/>
      </c>
      <c r="CA117" s="5">
        <f>INDEX(Projects[Client / Region],116)&amp;""</f>
        <v/>
      </c>
      <c r="CB117" s="5">
        <f>INDEX(Projects[Year],116)</f>
        <v/>
      </c>
      <c r="CC117" s="5">
        <f>INDEX(Projects[Won?],116)&amp;""</f>
        <v/>
      </c>
      <c r="CD117" s="5">
        <f>INDEX(Projects[Value (USD M)],116)</f>
        <v/>
      </c>
      <c r="CE117" s="5">
        <f>INDEX(Projects[MH Data Status],116)&amp;""</f>
        <v/>
      </c>
    </row>
    <row r="118" ht="15" customHeight="1" s="74">
      <c r="A118" s="66">
        <f>INDEX(Projects[Project ID *],117)&amp;""</f>
        <v/>
      </c>
      <c r="B118" s="66">
        <f>INDEX(Projects[Project Name *],117)&amp;""</f>
        <v/>
      </c>
      <c r="C118" s="66">
        <f>INDEX(Projects[MS Shuttles],117)</f>
        <v/>
      </c>
      <c r="D118" s="66">
        <f>INDEX(Projects[MS Tote Locations],117)</f>
        <v/>
      </c>
      <c r="E118" s="66">
        <f>INDEX(Projects[AS Robots],117)</f>
        <v/>
      </c>
      <c r="F118" s="66">
        <f>INDEX(Projects[AS Tote Locations],117)</f>
        <v/>
      </c>
      <c r="G118" s="66">
        <f>INDEX(Projects[PS Shuttles],117)</f>
        <v/>
      </c>
      <c r="H118" s="66">
        <f>INDEX(Projects[PS Pallet Locations],117)</f>
        <v/>
      </c>
      <c r="I118" s="66">
        <f>INDEX(Projects[SRM Cranes],117)</f>
        <v/>
      </c>
      <c r="J118" s="66">
        <f>INDEX(Projects[SRM Pallet Locations],117)</f>
        <v/>
      </c>
      <c r="K118" s="66">
        <f>INDEX(Projects[Case Conv (m)],117)</f>
        <v/>
      </c>
      <c r="L118" s="66">
        <f>INDEX(Projects[Pallet Conv (m)],117)</f>
        <v/>
      </c>
      <c r="M118" s="66">
        <f>INDEX(Projects[Mech Eng (wks)],117)</f>
        <v/>
      </c>
      <c r="N118" s="66">
        <f>INDEX(Projects[Controls Eng (wks)],117)</f>
        <v/>
      </c>
      <c r="O118" s="66">
        <f>INDEX(Projects[Systems Eng (wks)],117)</f>
        <v/>
      </c>
      <c r="P118" s="66">
        <f>INDEX(Projects[Software Eng (wks)],117)</f>
        <v/>
      </c>
      <c r="Q118" s="66">
        <f>INDEX(Projects[M&amp;E Installation (wks)],117)</f>
        <v/>
      </c>
      <c r="R118" s="66">
        <f>INDEX(Projects[Commissioning (wks)],117)</f>
        <v/>
      </c>
      <c r="S118" s="66">
        <f>INDEX(Projects[Total Timeline (wks)],117)</f>
        <v/>
      </c>
      <c r="T118" s="66">
        <f>INDEX(Projects[Currency],117)&amp;""</f>
        <v/>
      </c>
      <c r="U118" s="67">
        <f>INDEX(Projects[Value (M)],117)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INDEX(Projects[Automation Equipment],117)&amp;""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IF(AND(A118&lt;&gt;"",OR('Smart Search'!$L$5="",'Smart Search'!$L$5="All",TRIM(BZ118)=TRIM('Smart Search'!$L$5)),OR(TRIM('Smart Search'!$L$6)="",TRIM('Smart Search'!$L$6)="All",ISNUMBER(SEARCH(SUBSTITUTE(SUBSTITUTE(SUBSTITUTE(TRIM('Smart Search'!$L$6),"~","~~"),"*","~*"),"?","~?"),CA118))),OR('Smart Search'!$L$7="",AND(CB118&lt;&gt;0,CB118='Smart Search'!$L$7)),OR('Smart Search'!$L$8="",'Smart Search'!$L$8="All",TRIM(CC118)=TRIM('Smart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IF(A118="","",N(INDEX(Projects[Mech Inst],117)))</f>
        <v/>
      </c>
      <c r="BK118" s="5">
        <f>IF(A118="","",N(INDEX(Projects[Elec Inst],117)))</f>
        <v/>
      </c>
      <c r="BL118" s="5">
        <f>IF(A118="","",N(INDEX(Projects[Project Management],117)))</f>
        <v/>
      </c>
      <c r="BM118" s="5">
        <f>IF(A118="","",N(INDEX(Projects[Systems Eng],117)))</f>
        <v/>
      </c>
      <c r="BN118" s="5">
        <f>IF(A118="","",N(INDEX(Projects[Mechanical Eng],117)))</f>
        <v/>
      </c>
      <c r="BO118" s="5">
        <f>IF(A118="","",N(INDEX(Projects[Structural Engineering],117)))</f>
        <v/>
      </c>
      <c r="BP118" s="5">
        <f>IF(A118="","",N(INDEX(Projects[Site Sup],117)))</f>
        <v/>
      </c>
      <c r="BQ118" s="5">
        <f>IF(A118="","",N(INDEX(Projects[Controls Commissioning],117)))</f>
        <v/>
      </c>
      <c r="BR118" s="5">
        <f>IF(A118="","",N(INDEX(Projects[Systems Commissioning],117)))</f>
        <v/>
      </c>
      <c r="BS118" s="5">
        <f>IF(A118="","",N(INDEX(Projects[Service Commissioning],117)))</f>
        <v/>
      </c>
      <c r="BT118" s="5">
        <f>IF(A118="","",N(INDEX(Projects[Controls Eng],117)))</f>
        <v/>
      </c>
      <c r="BU118" s="5">
        <f>IF(A118="","",N(INDEX(Projects[Controls Purchase],117)))</f>
        <v/>
      </c>
      <c r="BV118" s="5">
        <f>IF(A118="","",N(INDEX(Projects[Software Eng],117)))</f>
        <v/>
      </c>
      <c r="BW118" s="5">
        <f>IF(A118="","",N(INDEX(Projects[Misc],117)))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  <c r="BZ118" s="5">
        <f>INDEX(Projects[Solution Type],117)&amp;""</f>
        <v/>
      </c>
      <c r="CA118" s="5">
        <f>INDEX(Projects[Client / Region],117)&amp;""</f>
        <v/>
      </c>
      <c r="CB118" s="5">
        <f>INDEX(Projects[Year],117)</f>
        <v/>
      </c>
      <c r="CC118" s="5">
        <f>INDEX(Projects[Won?],117)&amp;""</f>
        <v/>
      </c>
      <c r="CD118" s="5">
        <f>INDEX(Projects[Value (USD M)],117)</f>
        <v/>
      </c>
      <c r="CE118" s="5">
        <f>INDEX(Projects[MH Data Status],117)&amp;""</f>
        <v/>
      </c>
    </row>
    <row r="119" ht="15" customHeight="1" s="74">
      <c r="A119" s="66">
        <f>INDEX(Projects[Project ID *],118)&amp;""</f>
        <v/>
      </c>
      <c r="B119" s="66">
        <f>INDEX(Projects[Project Name *],118)&amp;""</f>
        <v/>
      </c>
      <c r="C119" s="66">
        <f>INDEX(Projects[MS Shuttles],118)</f>
        <v/>
      </c>
      <c r="D119" s="66">
        <f>INDEX(Projects[MS Tote Locations],118)</f>
        <v/>
      </c>
      <c r="E119" s="66">
        <f>INDEX(Projects[AS Robots],118)</f>
        <v/>
      </c>
      <c r="F119" s="66">
        <f>INDEX(Projects[AS Tote Locations],118)</f>
        <v/>
      </c>
      <c r="G119" s="66">
        <f>INDEX(Projects[PS Shuttles],118)</f>
        <v/>
      </c>
      <c r="H119" s="66">
        <f>INDEX(Projects[PS Pallet Locations],118)</f>
        <v/>
      </c>
      <c r="I119" s="66">
        <f>INDEX(Projects[SRM Cranes],118)</f>
        <v/>
      </c>
      <c r="J119" s="66">
        <f>INDEX(Projects[SRM Pallet Locations],118)</f>
        <v/>
      </c>
      <c r="K119" s="66">
        <f>INDEX(Projects[Case Conv (m)],118)</f>
        <v/>
      </c>
      <c r="L119" s="66">
        <f>INDEX(Projects[Pallet Conv (m)],118)</f>
        <v/>
      </c>
      <c r="M119" s="66">
        <f>INDEX(Projects[Mech Eng (wks)],118)</f>
        <v/>
      </c>
      <c r="N119" s="66">
        <f>INDEX(Projects[Controls Eng (wks)],118)</f>
        <v/>
      </c>
      <c r="O119" s="66">
        <f>INDEX(Projects[Systems Eng (wks)],118)</f>
        <v/>
      </c>
      <c r="P119" s="66">
        <f>INDEX(Projects[Software Eng (wks)],118)</f>
        <v/>
      </c>
      <c r="Q119" s="66">
        <f>INDEX(Projects[M&amp;E Installation (wks)],118)</f>
        <v/>
      </c>
      <c r="R119" s="66">
        <f>INDEX(Projects[Commissioning (wks)],118)</f>
        <v/>
      </c>
      <c r="S119" s="66">
        <f>INDEX(Projects[Total Timeline (wks)],118)</f>
        <v/>
      </c>
      <c r="T119" s="66">
        <f>INDEX(Projects[Currency],118)&amp;""</f>
        <v/>
      </c>
      <c r="U119" s="67">
        <f>INDEX(Projects[Value (M)],118)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INDEX(Projects[Automation Equipment],118)&amp;""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IF(AND(A119&lt;&gt;"",OR('Smart Search'!$L$5="",'Smart Search'!$L$5="All",TRIM(BZ119)=TRIM('Smart Search'!$L$5)),OR(TRIM('Smart Search'!$L$6)="",TRIM('Smart Search'!$L$6)="All",ISNUMBER(SEARCH(SUBSTITUTE(SUBSTITUTE(SUBSTITUTE(TRIM('Smart Search'!$L$6),"~","~~"),"*","~*"),"?","~?"),CA119))),OR('Smart Search'!$L$7="",AND(CB119&lt;&gt;0,CB119='Smart Search'!$L$7)),OR('Smart Search'!$L$8="",'Smart Search'!$L$8="All",TRIM(CC119)=TRIM('Smart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IF(A119="","",N(INDEX(Projects[Mech Inst],118)))</f>
        <v/>
      </c>
      <c r="BK119" s="5">
        <f>IF(A119="","",N(INDEX(Projects[Elec Inst],118)))</f>
        <v/>
      </c>
      <c r="BL119" s="5">
        <f>IF(A119="","",N(INDEX(Projects[Project Management],118)))</f>
        <v/>
      </c>
      <c r="BM119" s="5">
        <f>IF(A119="","",N(INDEX(Projects[Systems Eng],118)))</f>
        <v/>
      </c>
      <c r="BN119" s="5">
        <f>IF(A119="","",N(INDEX(Projects[Mechanical Eng],118)))</f>
        <v/>
      </c>
      <c r="BO119" s="5">
        <f>IF(A119="","",N(INDEX(Projects[Structural Engineering],118)))</f>
        <v/>
      </c>
      <c r="BP119" s="5">
        <f>IF(A119="","",N(INDEX(Projects[Site Sup],118)))</f>
        <v/>
      </c>
      <c r="BQ119" s="5">
        <f>IF(A119="","",N(INDEX(Projects[Controls Commissioning],118)))</f>
        <v/>
      </c>
      <c r="BR119" s="5">
        <f>IF(A119="","",N(INDEX(Projects[Systems Commissioning],118)))</f>
        <v/>
      </c>
      <c r="BS119" s="5">
        <f>IF(A119="","",N(INDEX(Projects[Service Commissioning],118)))</f>
        <v/>
      </c>
      <c r="BT119" s="5">
        <f>IF(A119="","",N(INDEX(Projects[Controls Eng],118)))</f>
        <v/>
      </c>
      <c r="BU119" s="5">
        <f>IF(A119="","",N(INDEX(Projects[Controls Purchase],118)))</f>
        <v/>
      </c>
      <c r="BV119" s="5">
        <f>IF(A119="","",N(INDEX(Projects[Software Eng],118)))</f>
        <v/>
      </c>
      <c r="BW119" s="5">
        <f>IF(A119="","",N(INDEX(Projects[Misc],118)))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  <c r="BZ119" s="5">
        <f>INDEX(Projects[Solution Type],118)&amp;""</f>
        <v/>
      </c>
      <c r="CA119" s="5">
        <f>INDEX(Projects[Client / Region],118)&amp;""</f>
        <v/>
      </c>
      <c r="CB119" s="5">
        <f>INDEX(Projects[Year],118)</f>
        <v/>
      </c>
      <c r="CC119" s="5">
        <f>INDEX(Projects[Won?],118)&amp;""</f>
        <v/>
      </c>
      <c r="CD119" s="5">
        <f>INDEX(Projects[Value (USD M)],118)</f>
        <v/>
      </c>
      <c r="CE119" s="5">
        <f>INDEX(Projects[MH Data Status],118)&amp;""</f>
        <v/>
      </c>
    </row>
    <row r="120" ht="15" customHeight="1" s="74">
      <c r="A120" s="66">
        <f>INDEX(Projects[Project ID *],119)&amp;""</f>
        <v/>
      </c>
      <c r="B120" s="66">
        <f>INDEX(Projects[Project Name *],119)&amp;""</f>
        <v/>
      </c>
      <c r="C120" s="66">
        <f>INDEX(Projects[MS Shuttles],119)</f>
        <v/>
      </c>
      <c r="D120" s="66">
        <f>INDEX(Projects[MS Tote Locations],119)</f>
        <v/>
      </c>
      <c r="E120" s="66">
        <f>INDEX(Projects[AS Robots],119)</f>
        <v/>
      </c>
      <c r="F120" s="66">
        <f>INDEX(Projects[AS Tote Locations],119)</f>
        <v/>
      </c>
      <c r="G120" s="66">
        <f>INDEX(Projects[PS Shuttles],119)</f>
        <v/>
      </c>
      <c r="H120" s="66">
        <f>INDEX(Projects[PS Pallet Locations],119)</f>
        <v/>
      </c>
      <c r="I120" s="66">
        <f>INDEX(Projects[SRM Cranes],119)</f>
        <v/>
      </c>
      <c r="J120" s="66">
        <f>INDEX(Projects[SRM Pallet Locations],119)</f>
        <v/>
      </c>
      <c r="K120" s="66">
        <f>INDEX(Projects[Case Conv (m)],119)</f>
        <v/>
      </c>
      <c r="L120" s="66">
        <f>INDEX(Projects[Pallet Conv (m)],119)</f>
        <v/>
      </c>
      <c r="M120" s="66">
        <f>INDEX(Projects[Mech Eng (wks)],119)</f>
        <v/>
      </c>
      <c r="N120" s="66">
        <f>INDEX(Projects[Controls Eng (wks)],119)</f>
        <v/>
      </c>
      <c r="O120" s="66">
        <f>INDEX(Projects[Systems Eng (wks)],119)</f>
        <v/>
      </c>
      <c r="P120" s="66">
        <f>INDEX(Projects[Software Eng (wks)],119)</f>
        <v/>
      </c>
      <c r="Q120" s="66">
        <f>INDEX(Projects[M&amp;E Installation (wks)],119)</f>
        <v/>
      </c>
      <c r="R120" s="66">
        <f>INDEX(Projects[Commissioning (wks)],119)</f>
        <v/>
      </c>
      <c r="S120" s="66">
        <f>INDEX(Projects[Total Timeline (wks)],119)</f>
        <v/>
      </c>
      <c r="T120" s="66">
        <f>INDEX(Projects[Currency],119)&amp;""</f>
        <v/>
      </c>
      <c r="U120" s="67">
        <f>INDEX(Projects[Value (M)],119)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INDEX(Projects[Automation Equipment],119)&amp;""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IF(AND(A120&lt;&gt;"",OR('Smart Search'!$L$5="",'Smart Search'!$L$5="All",TRIM(BZ120)=TRIM('Smart Search'!$L$5)),OR(TRIM('Smart Search'!$L$6)="",TRIM('Smart Search'!$L$6)="All",ISNUMBER(SEARCH(SUBSTITUTE(SUBSTITUTE(SUBSTITUTE(TRIM('Smart Search'!$L$6),"~","~~"),"*","~*"),"?","~?"),CA120))),OR('Smart Search'!$L$7="",AND(CB120&lt;&gt;0,CB120='Smart Search'!$L$7)),OR('Smart Search'!$L$8="",'Smart Search'!$L$8="All",TRIM(CC120)=TRIM('Smart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IF(A120="","",N(INDEX(Projects[Mech Inst],119)))</f>
        <v/>
      </c>
      <c r="BK120" s="5">
        <f>IF(A120="","",N(INDEX(Projects[Elec Inst],119)))</f>
        <v/>
      </c>
      <c r="BL120" s="5">
        <f>IF(A120="","",N(INDEX(Projects[Project Management],119)))</f>
        <v/>
      </c>
      <c r="BM120" s="5">
        <f>IF(A120="","",N(INDEX(Projects[Systems Eng],119)))</f>
        <v/>
      </c>
      <c r="BN120" s="5">
        <f>IF(A120="","",N(INDEX(Projects[Mechanical Eng],119)))</f>
        <v/>
      </c>
      <c r="BO120" s="5">
        <f>IF(A120="","",N(INDEX(Projects[Structural Engineering],119)))</f>
        <v/>
      </c>
      <c r="BP120" s="5">
        <f>IF(A120="","",N(INDEX(Projects[Site Sup],119)))</f>
        <v/>
      </c>
      <c r="BQ120" s="5">
        <f>IF(A120="","",N(INDEX(Projects[Controls Commissioning],119)))</f>
        <v/>
      </c>
      <c r="BR120" s="5">
        <f>IF(A120="","",N(INDEX(Projects[Systems Commissioning],119)))</f>
        <v/>
      </c>
      <c r="BS120" s="5">
        <f>IF(A120="","",N(INDEX(Projects[Service Commissioning],119)))</f>
        <v/>
      </c>
      <c r="BT120" s="5">
        <f>IF(A120="","",N(INDEX(Projects[Controls Eng],119)))</f>
        <v/>
      </c>
      <c r="BU120" s="5">
        <f>IF(A120="","",N(INDEX(Projects[Controls Purchase],119)))</f>
        <v/>
      </c>
      <c r="BV120" s="5">
        <f>IF(A120="","",N(INDEX(Projects[Software Eng],119)))</f>
        <v/>
      </c>
      <c r="BW120" s="5">
        <f>IF(A120="","",N(INDEX(Projects[Misc],119)))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  <c r="BZ120" s="5">
        <f>INDEX(Projects[Solution Type],119)&amp;""</f>
        <v/>
      </c>
      <c r="CA120" s="5">
        <f>INDEX(Projects[Client / Region],119)&amp;""</f>
        <v/>
      </c>
      <c r="CB120" s="5">
        <f>INDEX(Projects[Year],119)</f>
        <v/>
      </c>
      <c r="CC120" s="5">
        <f>INDEX(Projects[Won?],119)&amp;""</f>
        <v/>
      </c>
      <c r="CD120" s="5">
        <f>INDEX(Projects[Value (USD M)],119)</f>
        <v/>
      </c>
      <c r="CE120" s="5">
        <f>INDEX(Projects[MH Data Status],119)&amp;""</f>
        <v/>
      </c>
    </row>
    <row r="121" ht="15" customHeight="1" s="74">
      <c r="A121" s="66">
        <f>INDEX(Projects[Project ID *],120)&amp;""</f>
        <v/>
      </c>
      <c r="B121" s="66">
        <f>INDEX(Projects[Project Name *],120)&amp;""</f>
        <v/>
      </c>
      <c r="C121" s="66">
        <f>INDEX(Projects[MS Shuttles],120)</f>
        <v/>
      </c>
      <c r="D121" s="66">
        <f>INDEX(Projects[MS Tote Locations],120)</f>
        <v/>
      </c>
      <c r="E121" s="66">
        <f>INDEX(Projects[AS Robots],120)</f>
        <v/>
      </c>
      <c r="F121" s="66">
        <f>INDEX(Projects[AS Tote Locations],120)</f>
        <v/>
      </c>
      <c r="G121" s="66">
        <f>INDEX(Projects[PS Shuttles],120)</f>
        <v/>
      </c>
      <c r="H121" s="66">
        <f>INDEX(Projects[PS Pallet Locations],120)</f>
        <v/>
      </c>
      <c r="I121" s="66">
        <f>INDEX(Projects[SRM Cranes],120)</f>
        <v/>
      </c>
      <c r="J121" s="66">
        <f>INDEX(Projects[SRM Pallet Locations],120)</f>
        <v/>
      </c>
      <c r="K121" s="66">
        <f>INDEX(Projects[Case Conv (m)],120)</f>
        <v/>
      </c>
      <c r="L121" s="66">
        <f>INDEX(Projects[Pallet Conv (m)],120)</f>
        <v/>
      </c>
      <c r="M121" s="66">
        <f>INDEX(Projects[Mech Eng (wks)],120)</f>
        <v/>
      </c>
      <c r="N121" s="66">
        <f>INDEX(Projects[Controls Eng (wks)],120)</f>
        <v/>
      </c>
      <c r="O121" s="66">
        <f>INDEX(Projects[Systems Eng (wks)],120)</f>
        <v/>
      </c>
      <c r="P121" s="66">
        <f>INDEX(Projects[Software Eng (wks)],120)</f>
        <v/>
      </c>
      <c r="Q121" s="66">
        <f>INDEX(Projects[M&amp;E Installation (wks)],120)</f>
        <v/>
      </c>
      <c r="R121" s="66">
        <f>INDEX(Projects[Commissioning (wks)],120)</f>
        <v/>
      </c>
      <c r="S121" s="66">
        <f>INDEX(Projects[Total Timeline (wks)],120)</f>
        <v/>
      </c>
      <c r="T121" s="66">
        <f>INDEX(Projects[Currency],120)&amp;""</f>
        <v/>
      </c>
      <c r="U121" s="67">
        <f>INDEX(Projects[Value (M)],120)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INDEX(Projects[Automation Equipment],120)&amp;""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IF(AND(A121&lt;&gt;"",OR('Smart Search'!$L$5="",'Smart Search'!$L$5="All",TRIM(BZ121)=TRIM('Smart Search'!$L$5)),OR(TRIM('Smart Search'!$L$6)="",TRIM('Smart Search'!$L$6)="All",ISNUMBER(SEARCH(SUBSTITUTE(SUBSTITUTE(SUBSTITUTE(TRIM('Smart Search'!$L$6),"~","~~"),"*","~*"),"?","~?"),CA121))),OR('Smart Search'!$L$7="",AND(CB121&lt;&gt;0,CB121='Smart Search'!$L$7)),OR('Smart Search'!$L$8="",'Smart Search'!$L$8="All",TRIM(CC121)=TRIM('Smart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IF(A121="","",N(INDEX(Projects[Mech Inst],120)))</f>
        <v/>
      </c>
      <c r="BK121" s="5">
        <f>IF(A121="","",N(INDEX(Projects[Elec Inst],120)))</f>
        <v/>
      </c>
      <c r="BL121" s="5">
        <f>IF(A121="","",N(INDEX(Projects[Project Management],120)))</f>
        <v/>
      </c>
      <c r="BM121" s="5">
        <f>IF(A121="","",N(INDEX(Projects[Systems Eng],120)))</f>
        <v/>
      </c>
      <c r="BN121" s="5">
        <f>IF(A121="","",N(INDEX(Projects[Mechanical Eng],120)))</f>
        <v/>
      </c>
      <c r="BO121" s="5">
        <f>IF(A121="","",N(INDEX(Projects[Structural Engineering],120)))</f>
        <v/>
      </c>
      <c r="BP121" s="5">
        <f>IF(A121="","",N(INDEX(Projects[Site Sup],120)))</f>
        <v/>
      </c>
      <c r="BQ121" s="5">
        <f>IF(A121="","",N(INDEX(Projects[Controls Commissioning],120)))</f>
        <v/>
      </c>
      <c r="BR121" s="5">
        <f>IF(A121="","",N(INDEX(Projects[Systems Commissioning],120)))</f>
        <v/>
      </c>
      <c r="BS121" s="5">
        <f>IF(A121="","",N(INDEX(Projects[Service Commissioning],120)))</f>
        <v/>
      </c>
      <c r="BT121" s="5">
        <f>IF(A121="","",N(INDEX(Projects[Controls Eng],120)))</f>
        <v/>
      </c>
      <c r="BU121" s="5">
        <f>IF(A121="","",N(INDEX(Projects[Controls Purchase],120)))</f>
        <v/>
      </c>
      <c r="BV121" s="5">
        <f>IF(A121="","",N(INDEX(Projects[Software Eng],120)))</f>
        <v/>
      </c>
      <c r="BW121" s="5">
        <f>IF(A121="","",N(INDEX(Projects[Misc],120)))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  <c r="BZ121" s="5">
        <f>INDEX(Projects[Solution Type],120)&amp;""</f>
        <v/>
      </c>
      <c r="CA121" s="5">
        <f>INDEX(Projects[Client / Region],120)&amp;""</f>
        <v/>
      </c>
      <c r="CB121" s="5">
        <f>INDEX(Projects[Year],120)</f>
        <v/>
      </c>
      <c r="CC121" s="5">
        <f>INDEX(Projects[Won?],120)&amp;""</f>
        <v/>
      </c>
      <c r="CD121" s="5">
        <f>INDEX(Projects[Value (USD M)],120)</f>
        <v/>
      </c>
      <c r="CE121" s="5">
        <f>INDEX(Projects[MH Data Status],120)&amp;""</f>
        <v/>
      </c>
    </row>
    <row r="122" ht="15" customHeight="1" s="74">
      <c r="A122" s="66">
        <f>INDEX(Projects[Project ID *],121)&amp;""</f>
        <v/>
      </c>
      <c r="B122" s="66">
        <f>INDEX(Projects[Project Name *],121)&amp;""</f>
        <v/>
      </c>
      <c r="C122" s="66">
        <f>INDEX(Projects[MS Shuttles],121)</f>
        <v/>
      </c>
      <c r="D122" s="66">
        <f>INDEX(Projects[MS Tote Locations],121)</f>
        <v/>
      </c>
      <c r="E122" s="66">
        <f>INDEX(Projects[AS Robots],121)</f>
        <v/>
      </c>
      <c r="F122" s="66">
        <f>INDEX(Projects[AS Tote Locations],121)</f>
        <v/>
      </c>
      <c r="G122" s="66">
        <f>INDEX(Projects[PS Shuttles],121)</f>
        <v/>
      </c>
      <c r="H122" s="66">
        <f>INDEX(Projects[PS Pallet Locations],121)</f>
        <v/>
      </c>
      <c r="I122" s="66">
        <f>INDEX(Projects[SRM Cranes],121)</f>
        <v/>
      </c>
      <c r="J122" s="66">
        <f>INDEX(Projects[SRM Pallet Locations],121)</f>
        <v/>
      </c>
      <c r="K122" s="66">
        <f>INDEX(Projects[Case Conv (m)],121)</f>
        <v/>
      </c>
      <c r="L122" s="66">
        <f>INDEX(Projects[Pallet Conv (m)],121)</f>
        <v/>
      </c>
      <c r="M122" s="66">
        <f>INDEX(Projects[Mech Eng (wks)],121)</f>
        <v/>
      </c>
      <c r="N122" s="66">
        <f>INDEX(Projects[Controls Eng (wks)],121)</f>
        <v/>
      </c>
      <c r="O122" s="66">
        <f>INDEX(Projects[Systems Eng (wks)],121)</f>
        <v/>
      </c>
      <c r="P122" s="66">
        <f>INDEX(Projects[Software Eng (wks)],121)</f>
        <v/>
      </c>
      <c r="Q122" s="66">
        <f>INDEX(Projects[M&amp;E Installation (wks)],121)</f>
        <v/>
      </c>
      <c r="R122" s="66">
        <f>INDEX(Projects[Commissioning (wks)],121)</f>
        <v/>
      </c>
      <c r="S122" s="66">
        <f>INDEX(Projects[Total Timeline (wks)],121)</f>
        <v/>
      </c>
      <c r="T122" s="66">
        <f>INDEX(Projects[Currency],121)&amp;""</f>
        <v/>
      </c>
      <c r="U122" s="67">
        <f>INDEX(Projects[Value (M)],121)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INDEX(Projects[Automation Equipment],121)&amp;""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IF(AND(A122&lt;&gt;"",OR('Smart Search'!$L$5="",'Smart Search'!$L$5="All",TRIM(BZ122)=TRIM('Smart Search'!$L$5)),OR(TRIM('Smart Search'!$L$6)="",TRIM('Smart Search'!$L$6)="All",ISNUMBER(SEARCH(SUBSTITUTE(SUBSTITUTE(SUBSTITUTE(TRIM('Smart Search'!$L$6),"~","~~"),"*","~*"),"?","~?"),CA122))),OR('Smart Search'!$L$7="",AND(CB122&lt;&gt;0,CB122='Smart Search'!$L$7)),OR('Smart Search'!$L$8="",'Smart Search'!$L$8="All",TRIM(CC122)=TRIM('Smart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IF(A122="","",N(INDEX(Projects[Mech Inst],121)))</f>
        <v/>
      </c>
      <c r="BK122" s="5">
        <f>IF(A122="","",N(INDEX(Projects[Elec Inst],121)))</f>
        <v/>
      </c>
      <c r="BL122" s="5">
        <f>IF(A122="","",N(INDEX(Projects[Project Management],121)))</f>
        <v/>
      </c>
      <c r="BM122" s="5">
        <f>IF(A122="","",N(INDEX(Projects[Systems Eng],121)))</f>
        <v/>
      </c>
      <c r="BN122" s="5">
        <f>IF(A122="","",N(INDEX(Projects[Mechanical Eng],121)))</f>
        <v/>
      </c>
      <c r="BO122" s="5">
        <f>IF(A122="","",N(INDEX(Projects[Structural Engineering],121)))</f>
        <v/>
      </c>
      <c r="BP122" s="5">
        <f>IF(A122="","",N(INDEX(Projects[Site Sup],121)))</f>
        <v/>
      </c>
      <c r="BQ122" s="5">
        <f>IF(A122="","",N(INDEX(Projects[Controls Commissioning],121)))</f>
        <v/>
      </c>
      <c r="BR122" s="5">
        <f>IF(A122="","",N(INDEX(Projects[Systems Commissioning],121)))</f>
        <v/>
      </c>
      <c r="BS122" s="5">
        <f>IF(A122="","",N(INDEX(Projects[Service Commissioning],121)))</f>
        <v/>
      </c>
      <c r="BT122" s="5">
        <f>IF(A122="","",N(INDEX(Projects[Controls Eng],121)))</f>
        <v/>
      </c>
      <c r="BU122" s="5">
        <f>IF(A122="","",N(INDEX(Projects[Controls Purchase],121)))</f>
        <v/>
      </c>
      <c r="BV122" s="5">
        <f>IF(A122="","",N(INDEX(Projects[Software Eng],121)))</f>
        <v/>
      </c>
      <c r="BW122" s="5">
        <f>IF(A122="","",N(INDEX(Projects[Misc],121)))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  <c r="BZ122" s="5">
        <f>INDEX(Projects[Solution Type],121)&amp;""</f>
        <v/>
      </c>
      <c r="CA122" s="5">
        <f>INDEX(Projects[Client / Region],121)&amp;""</f>
        <v/>
      </c>
      <c r="CB122" s="5">
        <f>INDEX(Projects[Year],121)</f>
        <v/>
      </c>
      <c r="CC122" s="5">
        <f>INDEX(Projects[Won?],121)&amp;""</f>
        <v/>
      </c>
      <c r="CD122" s="5">
        <f>INDEX(Projects[Value (USD M)],121)</f>
        <v/>
      </c>
      <c r="CE122" s="5">
        <f>INDEX(Projects[MH Data Status],121)&amp;""</f>
        <v/>
      </c>
    </row>
    <row r="123" ht="15" customHeight="1" s="74">
      <c r="A123" s="66">
        <f>INDEX(Projects[Project ID *],122)&amp;""</f>
        <v/>
      </c>
      <c r="B123" s="66">
        <f>INDEX(Projects[Project Name *],122)&amp;""</f>
        <v/>
      </c>
      <c r="C123" s="66">
        <f>INDEX(Projects[MS Shuttles],122)</f>
        <v/>
      </c>
      <c r="D123" s="66">
        <f>INDEX(Projects[MS Tote Locations],122)</f>
        <v/>
      </c>
      <c r="E123" s="66">
        <f>INDEX(Projects[AS Robots],122)</f>
        <v/>
      </c>
      <c r="F123" s="66">
        <f>INDEX(Projects[AS Tote Locations],122)</f>
        <v/>
      </c>
      <c r="G123" s="66">
        <f>INDEX(Projects[PS Shuttles],122)</f>
        <v/>
      </c>
      <c r="H123" s="66">
        <f>INDEX(Projects[PS Pallet Locations],122)</f>
        <v/>
      </c>
      <c r="I123" s="66">
        <f>INDEX(Projects[SRM Cranes],122)</f>
        <v/>
      </c>
      <c r="J123" s="66">
        <f>INDEX(Projects[SRM Pallet Locations],122)</f>
        <v/>
      </c>
      <c r="K123" s="66">
        <f>INDEX(Projects[Case Conv (m)],122)</f>
        <v/>
      </c>
      <c r="L123" s="66">
        <f>INDEX(Projects[Pallet Conv (m)],122)</f>
        <v/>
      </c>
      <c r="M123" s="66">
        <f>INDEX(Projects[Mech Eng (wks)],122)</f>
        <v/>
      </c>
      <c r="N123" s="66">
        <f>INDEX(Projects[Controls Eng (wks)],122)</f>
        <v/>
      </c>
      <c r="O123" s="66">
        <f>INDEX(Projects[Systems Eng (wks)],122)</f>
        <v/>
      </c>
      <c r="P123" s="66">
        <f>INDEX(Projects[Software Eng (wks)],122)</f>
        <v/>
      </c>
      <c r="Q123" s="66">
        <f>INDEX(Projects[M&amp;E Installation (wks)],122)</f>
        <v/>
      </c>
      <c r="R123" s="66">
        <f>INDEX(Projects[Commissioning (wks)],122)</f>
        <v/>
      </c>
      <c r="S123" s="66">
        <f>INDEX(Projects[Total Timeline (wks)],122)</f>
        <v/>
      </c>
      <c r="T123" s="66">
        <f>INDEX(Projects[Currency],122)&amp;""</f>
        <v/>
      </c>
      <c r="U123" s="67">
        <f>INDEX(Projects[Value (M)],122)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INDEX(Projects[Automation Equipment],122)&amp;""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IF(AND(A123&lt;&gt;"",OR('Smart Search'!$L$5="",'Smart Search'!$L$5="All",TRIM(BZ123)=TRIM('Smart Search'!$L$5)),OR(TRIM('Smart Search'!$L$6)="",TRIM('Smart Search'!$L$6)="All",ISNUMBER(SEARCH(SUBSTITUTE(SUBSTITUTE(SUBSTITUTE(TRIM('Smart Search'!$L$6),"~","~~"),"*","~*"),"?","~?"),CA123))),OR('Smart Search'!$L$7="",AND(CB123&lt;&gt;0,CB123='Smart Search'!$L$7)),OR('Smart Search'!$L$8="",'Smart Search'!$L$8="All",TRIM(CC123)=TRIM('Smart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IF(A123="","",N(INDEX(Projects[Mech Inst],122)))</f>
        <v/>
      </c>
      <c r="BK123" s="5">
        <f>IF(A123="","",N(INDEX(Projects[Elec Inst],122)))</f>
        <v/>
      </c>
      <c r="BL123" s="5">
        <f>IF(A123="","",N(INDEX(Projects[Project Management],122)))</f>
        <v/>
      </c>
      <c r="BM123" s="5">
        <f>IF(A123="","",N(INDEX(Projects[Systems Eng],122)))</f>
        <v/>
      </c>
      <c r="BN123" s="5">
        <f>IF(A123="","",N(INDEX(Projects[Mechanical Eng],122)))</f>
        <v/>
      </c>
      <c r="BO123" s="5">
        <f>IF(A123="","",N(INDEX(Projects[Structural Engineering],122)))</f>
        <v/>
      </c>
      <c r="BP123" s="5">
        <f>IF(A123="","",N(INDEX(Projects[Site Sup],122)))</f>
        <v/>
      </c>
      <c r="BQ123" s="5">
        <f>IF(A123="","",N(INDEX(Projects[Controls Commissioning],122)))</f>
        <v/>
      </c>
      <c r="BR123" s="5">
        <f>IF(A123="","",N(INDEX(Projects[Systems Commissioning],122)))</f>
        <v/>
      </c>
      <c r="BS123" s="5">
        <f>IF(A123="","",N(INDEX(Projects[Service Commissioning],122)))</f>
        <v/>
      </c>
      <c r="BT123" s="5">
        <f>IF(A123="","",N(INDEX(Projects[Controls Eng],122)))</f>
        <v/>
      </c>
      <c r="BU123" s="5">
        <f>IF(A123="","",N(INDEX(Projects[Controls Purchase],122)))</f>
        <v/>
      </c>
      <c r="BV123" s="5">
        <f>IF(A123="","",N(INDEX(Projects[Software Eng],122)))</f>
        <v/>
      </c>
      <c r="BW123" s="5">
        <f>IF(A123="","",N(INDEX(Projects[Misc],122)))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  <c r="BZ123" s="5">
        <f>INDEX(Projects[Solution Type],122)&amp;""</f>
        <v/>
      </c>
      <c r="CA123" s="5">
        <f>INDEX(Projects[Client / Region],122)&amp;""</f>
        <v/>
      </c>
      <c r="CB123" s="5">
        <f>INDEX(Projects[Year],122)</f>
        <v/>
      </c>
      <c r="CC123" s="5">
        <f>INDEX(Projects[Won?],122)&amp;""</f>
        <v/>
      </c>
      <c r="CD123" s="5">
        <f>INDEX(Projects[Value (USD M)],122)</f>
        <v/>
      </c>
      <c r="CE123" s="5">
        <f>INDEX(Projects[MH Data Status],122)&amp;""</f>
        <v/>
      </c>
    </row>
    <row r="124" ht="15" customHeight="1" s="74">
      <c r="A124" s="66">
        <f>INDEX(Projects[Project ID *],123)&amp;""</f>
        <v/>
      </c>
      <c r="B124" s="66">
        <f>INDEX(Projects[Project Name *],123)&amp;""</f>
        <v/>
      </c>
      <c r="C124" s="66">
        <f>INDEX(Projects[MS Shuttles],123)</f>
        <v/>
      </c>
      <c r="D124" s="66">
        <f>INDEX(Projects[MS Tote Locations],123)</f>
        <v/>
      </c>
      <c r="E124" s="66">
        <f>INDEX(Projects[AS Robots],123)</f>
        <v/>
      </c>
      <c r="F124" s="66">
        <f>INDEX(Projects[AS Tote Locations],123)</f>
        <v/>
      </c>
      <c r="G124" s="66">
        <f>INDEX(Projects[PS Shuttles],123)</f>
        <v/>
      </c>
      <c r="H124" s="66">
        <f>INDEX(Projects[PS Pallet Locations],123)</f>
        <v/>
      </c>
      <c r="I124" s="66">
        <f>INDEX(Projects[SRM Cranes],123)</f>
        <v/>
      </c>
      <c r="J124" s="66">
        <f>INDEX(Projects[SRM Pallet Locations],123)</f>
        <v/>
      </c>
      <c r="K124" s="66">
        <f>INDEX(Projects[Case Conv (m)],123)</f>
        <v/>
      </c>
      <c r="L124" s="66">
        <f>INDEX(Projects[Pallet Conv (m)],123)</f>
        <v/>
      </c>
      <c r="M124" s="66">
        <f>INDEX(Projects[Mech Eng (wks)],123)</f>
        <v/>
      </c>
      <c r="N124" s="66">
        <f>INDEX(Projects[Controls Eng (wks)],123)</f>
        <v/>
      </c>
      <c r="O124" s="66">
        <f>INDEX(Projects[Systems Eng (wks)],123)</f>
        <v/>
      </c>
      <c r="P124" s="66">
        <f>INDEX(Projects[Software Eng (wks)],123)</f>
        <v/>
      </c>
      <c r="Q124" s="66">
        <f>INDEX(Projects[M&amp;E Installation (wks)],123)</f>
        <v/>
      </c>
      <c r="R124" s="66">
        <f>INDEX(Projects[Commissioning (wks)],123)</f>
        <v/>
      </c>
      <c r="S124" s="66">
        <f>INDEX(Projects[Total Timeline (wks)],123)</f>
        <v/>
      </c>
      <c r="T124" s="66">
        <f>INDEX(Projects[Currency],123)&amp;""</f>
        <v/>
      </c>
      <c r="U124" s="67">
        <f>INDEX(Projects[Value (M)],123)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INDEX(Projects[Automation Equipment],123)&amp;""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IF(AND(A124&lt;&gt;"",OR('Smart Search'!$L$5="",'Smart Search'!$L$5="All",TRIM(BZ124)=TRIM('Smart Search'!$L$5)),OR(TRIM('Smart Search'!$L$6)="",TRIM('Smart Search'!$L$6)="All",ISNUMBER(SEARCH(SUBSTITUTE(SUBSTITUTE(SUBSTITUTE(TRIM('Smart Search'!$L$6),"~","~~"),"*","~*"),"?","~?"),CA124))),OR('Smart Search'!$L$7="",AND(CB124&lt;&gt;0,CB124='Smart Search'!$L$7)),OR('Smart Search'!$L$8="",'Smart Search'!$L$8="All",TRIM(CC124)=TRIM('Smart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IF(A124="","",N(INDEX(Projects[Mech Inst],123)))</f>
        <v/>
      </c>
      <c r="BK124" s="5">
        <f>IF(A124="","",N(INDEX(Projects[Elec Inst],123)))</f>
        <v/>
      </c>
      <c r="BL124" s="5">
        <f>IF(A124="","",N(INDEX(Projects[Project Management],123)))</f>
        <v/>
      </c>
      <c r="BM124" s="5">
        <f>IF(A124="","",N(INDEX(Projects[Systems Eng],123)))</f>
        <v/>
      </c>
      <c r="BN124" s="5">
        <f>IF(A124="","",N(INDEX(Projects[Mechanical Eng],123)))</f>
        <v/>
      </c>
      <c r="BO124" s="5">
        <f>IF(A124="","",N(INDEX(Projects[Structural Engineering],123)))</f>
        <v/>
      </c>
      <c r="BP124" s="5">
        <f>IF(A124="","",N(INDEX(Projects[Site Sup],123)))</f>
        <v/>
      </c>
      <c r="BQ124" s="5">
        <f>IF(A124="","",N(INDEX(Projects[Controls Commissioning],123)))</f>
        <v/>
      </c>
      <c r="BR124" s="5">
        <f>IF(A124="","",N(INDEX(Projects[Systems Commissioning],123)))</f>
        <v/>
      </c>
      <c r="BS124" s="5">
        <f>IF(A124="","",N(INDEX(Projects[Service Commissioning],123)))</f>
        <v/>
      </c>
      <c r="BT124" s="5">
        <f>IF(A124="","",N(INDEX(Projects[Controls Eng],123)))</f>
        <v/>
      </c>
      <c r="BU124" s="5">
        <f>IF(A124="","",N(INDEX(Projects[Controls Purchase],123)))</f>
        <v/>
      </c>
      <c r="BV124" s="5">
        <f>IF(A124="","",N(INDEX(Projects[Software Eng],123)))</f>
        <v/>
      </c>
      <c r="BW124" s="5">
        <f>IF(A124="","",N(INDEX(Projects[Misc],123)))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  <c r="BZ124" s="5">
        <f>INDEX(Projects[Solution Type],123)&amp;""</f>
        <v/>
      </c>
      <c r="CA124" s="5">
        <f>INDEX(Projects[Client / Region],123)&amp;""</f>
        <v/>
      </c>
      <c r="CB124" s="5">
        <f>INDEX(Projects[Year],123)</f>
        <v/>
      </c>
      <c r="CC124" s="5">
        <f>INDEX(Projects[Won?],123)&amp;""</f>
        <v/>
      </c>
      <c r="CD124" s="5">
        <f>INDEX(Projects[Value (USD M)],123)</f>
        <v/>
      </c>
      <c r="CE124" s="5">
        <f>INDEX(Projects[MH Data Status],123)&amp;""</f>
        <v/>
      </c>
    </row>
    <row r="125" ht="15" customHeight="1" s="74">
      <c r="A125" s="66">
        <f>INDEX(Projects[Project ID *],124)&amp;""</f>
        <v/>
      </c>
      <c r="B125" s="66">
        <f>INDEX(Projects[Project Name *],124)&amp;""</f>
        <v/>
      </c>
      <c r="C125" s="66">
        <f>INDEX(Projects[MS Shuttles],124)</f>
        <v/>
      </c>
      <c r="D125" s="66">
        <f>INDEX(Projects[MS Tote Locations],124)</f>
        <v/>
      </c>
      <c r="E125" s="66">
        <f>INDEX(Projects[AS Robots],124)</f>
        <v/>
      </c>
      <c r="F125" s="66">
        <f>INDEX(Projects[AS Tote Locations],124)</f>
        <v/>
      </c>
      <c r="G125" s="66">
        <f>INDEX(Projects[PS Shuttles],124)</f>
        <v/>
      </c>
      <c r="H125" s="66">
        <f>INDEX(Projects[PS Pallet Locations],124)</f>
        <v/>
      </c>
      <c r="I125" s="66">
        <f>INDEX(Projects[SRM Cranes],124)</f>
        <v/>
      </c>
      <c r="J125" s="66">
        <f>INDEX(Projects[SRM Pallet Locations],124)</f>
        <v/>
      </c>
      <c r="K125" s="66">
        <f>INDEX(Projects[Case Conv (m)],124)</f>
        <v/>
      </c>
      <c r="L125" s="66">
        <f>INDEX(Projects[Pallet Conv (m)],124)</f>
        <v/>
      </c>
      <c r="M125" s="66">
        <f>INDEX(Projects[Mech Eng (wks)],124)</f>
        <v/>
      </c>
      <c r="N125" s="66">
        <f>INDEX(Projects[Controls Eng (wks)],124)</f>
        <v/>
      </c>
      <c r="O125" s="66">
        <f>INDEX(Projects[Systems Eng (wks)],124)</f>
        <v/>
      </c>
      <c r="P125" s="66">
        <f>INDEX(Projects[Software Eng (wks)],124)</f>
        <v/>
      </c>
      <c r="Q125" s="66">
        <f>INDEX(Projects[M&amp;E Installation (wks)],124)</f>
        <v/>
      </c>
      <c r="R125" s="66">
        <f>INDEX(Projects[Commissioning (wks)],124)</f>
        <v/>
      </c>
      <c r="S125" s="66">
        <f>INDEX(Projects[Total Timeline (wks)],124)</f>
        <v/>
      </c>
      <c r="T125" s="66">
        <f>INDEX(Projects[Currency],124)&amp;""</f>
        <v/>
      </c>
      <c r="U125" s="67">
        <f>INDEX(Projects[Value (M)],124)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INDEX(Projects[Automation Equipment],124)&amp;""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IF(AND(A125&lt;&gt;"",OR('Smart Search'!$L$5="",'Smart Search'!$L$5="All",TRIM(BZ125)=TRIM('Smart Search'!$L$5)),OR(TRIM('Smart Search'!$L$6)="",TRIM('Smart Search'!$L$6)="All",ISNUMBER(SEARCH(SUBSTITUTE(SUBSTITUTE(SUBSTITUTE(TRIM('Smart Search'!$L$6),"~","~~"),"*","~*"),"?","~?"),CA125))),OR('Smart Search'!$L$7="",AND(CB125&lt;&gt;0,CB125='Smart Search'!$L$7)),OR('Smart Search'!$L$8="",'Smart Search'!$L$8="All",TRIM(CC125)=TRIM('Smart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IF(A125="","",N(INDEX(Projects[Mech Inst],124)))</f>
        <v/>
      </c>
      <c r="BK125" s="5">
        <f>IF(A125="","",N(INDEX(Projects[Elec Inst],124)))</f>
        <v/>
      </c>
      <c r="BL125" s="5">
        <f>IF(A125="","",N(INDEX(Projects[Project Management],124)))</f>
        <v/>
      </c>
      <c r="BM125" s="5">
        <f>IF(A125="","",N(INDEX(Projects[Systems Eng],124)))</f>
        <v/>
      </c>
      <c r="BN125" s="5">
        <f>IF(A125="","",N(INDEX(Projects[Mechanical Eng],124)))</f>
        <v/>
      </c>
      <c r="BO125" s="5">
        <f>IF(A125="","",N(INDEX(Projects[Structural Engineering],124)))</f>
        <v/>
      </c>
      <c r="BP125" s="5">
        <f>IF(A125="","",N(INDEX(Projects[Site Sup],124)))</f>
        <v/>
      </c>
      <c r="BQ125" s="5">
        <f>IF(A125="","",N(INDEX(Projects[Controls Commissioning],124)))</f>
        <v/>
      </c>
      <c r="BR125" s="5">
        <f>IF(A125="","",N(INDEX(Projects[Systems Commissioning],124)))</f>
        <v/>
      </c>
      <c r="BS125" s="5">
        <f>IF(A125="","",N(INDEX(Projects[Service Commissioning],124)))</f>
        <v/>
      </c>
      <c r="BT125" s="5">
        <f>IF(A125="","",N(INDEX(Projects[Controls Eng],124)))</f>
        <v/>
      </c>
      <c r="BU125" s="5">
        <f>IF(A125="","",N(INDEX(Projects[Controls Purchase],124)))</f>
        <v/>
      </c>
      <c r="BV125" s="5">
        <f>IF(A125="","",N(INDEX(Projects[Software Eng],124)))</f>
        <v/>
      </c>
      <c r="BW125" s="5">
        <f>IF(A125="","",N(INDEX(Projects[Misc],124)))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  <c r="BZ125" s="5">
        <f>INDEX(Projects[Solution Type],124)&amp;""</f>
        <v/>
      </c>
      <c r="CA125" s="5">
        <f>INDEX(Projects[Client / Region],124)&amp;""</f>
        <v/>
      </c>
      <c r="CB125" s="5">
        <f>INDEX(Projects[Year],124)</f>
        <v/>
      </c>
      <c r="CC125" s="5">
        <f>INDEX(Projects[Won?],124)&amp;""</f>
        <v/>
      </c>
      <c r="CD125" s="5">
        <f>INDEX(Projects[Value (USD M)],124)</f>
        <v/>
      </c>
      <c r="CE125" s="5">
        <f>INDEX(Projects[MH Data Status],124)&amp;""</f>
        <v/>
      </c>
    </row>
    <row r="126" ht="15" customHeight="1" s="74">
      <c r="A126" s="66">
        <f>INDEX(Projects[Project ID *],125)&amp;""</f>
        <v/>
      </c>
      <c r="B126" s="66">
        <f>INDEX(Projects[Project Name *],125)&amp;""</f>
        <v/>
      </c>
      <c r="C126" s="66">
        <f>INDEX(Projects[MS Shuttles],125)</f>
        <v/>
      </c>
      <c r="D126" s="66">
        <f>INDEX(Projects[MS Tote Locations],125)</f>
        <v/>
      </c>
      <c r="E126" s="66">
        <f>INDEX(Projects[AS Robots],125)</f>
        <v/>
      </c>
      <c r="F126" s="66">
        <f>INDEX(Projects[AS Tote Locations],125)</f>
        <v/>
      </c>
      <c r="G126" s="66">
        <f>INDEX(Projects[PS Shuttles],125)</f>
        <v/>
      </c>
      <c r="H126" s="66">
        <f>INDEX(Projects[PS Pallet Locations],125)</f>
        <v/>
      </c>
      <c r="I126" s="66">
        <f>INDEX(Projects[SRM Cranes],125)</f>
        <v/>
      </c>
      <c r="J126" s="66">
        <f>INDEX(Projects[SRM Pallet Locations],125)</f>
        <v/>
      </c>
      <c r="K126" s="66">
        <f>INDEX(Projects[Case Conv (m)],125)</f>
        <v/>
      </c>
      <c r="L126" s="66">
        <f>INDEX(Projects[Pallet Conv (m)],125)</f>
        <v/>
      </c>
      <c r="M126" s="66">
        <f>INDEX(Projects[Mech Eng (wks)],125)</f>
        <v/>
      </c>
      <c r="N126" s="66">
        <f>INDEX(Projects[Controls Eng (wks)],125)</f>
        <v/>
      </c>
      <c r="O126" s="66">
        <f>INDEX(Projects[Systems Eng (wks)],125)</f>
        <v/>
      </c>
      <c r="P126" s="66">
        <f>INDEX(Projects[Software Eng (wks)],125)</f>
        <v/>
      </c>
      <c r="Q126" s="66">
        <f>INDEX(Projects[M&amp;E Installation (wks)],125)</f>
        <v/>
      </c>
      <c r="R126" s="66">
        <f>INDEX(Projects[Commissioning (wks)],125)</f>
        <v/>
      </c>
      <c r="S126" s="66">
        <f>INDEX(Projects[Total Timeline (wks)],125)</f>
        <v/>
      </c>
      <c r="T126" s="66">
        <f>INDEX(Projects[Currency],125)&amp;""</f>
        <v/>
      </c>
      <c r="U126" s="67">
        <f>INDEX(Projects[Value (M)],125)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INDEX(Projects[Automation Equipment],125)&amp;""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IF(AND(A126&lt;&gt;"",OR('Smart Search'!$L$5="",'Smart Search'!$L$5="All",TRIM(BZ126)=TRIM('Smart Search'!$L$5)),OR(TRIM('Smart Search'!$L$6)="",TRIM('Smart Search'!$L$6)="All",ISNUMBER(SEARCH(SUBSTITUTE(SUBSTITUTE(SUBSTITUTE(TRIM('Smart Search'!$L$6),"~","~~"),"*","~*"),"?","~?"),CA126))),OR('Smart Search'!$L$7="",AND(CB126&lt;&gt;0,CB126='Smart Search'!$L$7)),OR('Smart Search'!$L$8="",'Smart Search'!$L$8="All",TRIM(CC126)=TRIM('Smart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IF(A126="","",N(INDEX(Projects[Mech Inst],125)))</f>
        <v/>
      </c>
      <c r="BK126" s="5">
        <f>IF(A126="","",N(INDEX(Projects[Elec Inst],125)))</f>
        <v/>
      </c>
      <c r="BL126" s="5">
        <f>IF(A126="","",N(INDEX(Projects[Project Management],125)))</f>
        <v/>
      </c>
      <c r="BM126" s="5">
        <f>IF(A126="","",N(INDEX(Projects[Systems Eng],125)))</f>
        <v/>
      </c>
      <c r="BN126" s="5">
        <f>IF(A126="","",N(INDEX(Projects[Mechanical Eng],125)))</f>
        <v/>
      </c>
      <c r="BO126" s="5">
        <f>IF(A126="","",N(INDEX(Projects[Structural Engineering],125)))</f>
        <v/>
      </c>
      <c r="BP126" s="5">
        <f>IF(A126="","",N(INDEX(Projects[Site Sup],125)))</f>
        <v/>
      </c>
      <c r="BQ126" s="5">
        <f>IF(A126="","",N(INDEX(Projects[Controls Commissioning],125)))</f>
        <v/>
      </c>
      <c r="BR126" s="5">
        <f>IF(A126="","",N(INDEX(Projects[Systems Commissioning],125)))</f>
        <v/>
      </c>
      <c r="BS126" s="5">
        <f>IF(A126="","",N(INDEX(Projects[Service Commissioning],125)))</f>
        <v/>
      </c>
      <c r="BT126" s="5">
        <f>IF(A126="","",N(INDEX(Projects[Controls Eng],125)))</f>
        <v/>
      </c>
      <c r="BU126" s="5">
        <f>IF(A126="","",N(INDEX(Projects[Controls Purchase],125)))</f>
        <v/>
      </c>
      <c r="BV126" s="5">
        <f>IF(A126="","",N(INDEX(Projects[Software Eng],125)))</f>
        <v/>
      </c>
      <c r="BW126" s="5">
        <f>IF(A126="","",N(INDEX(Projects[Misc],125)))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  <c r="BZ126" s="5">
        <f>INDEX(Projects[Solution Type],125)&amp;""</f>
        <v/>
      </c>
      <c r="CA126" s="5">
        <f>INDEX(Projects[Client / Region],125)&amp;""</f>
        <v/>
      </c>
      <c r="CB126" s="5">
        <f>INDEX(Projects[Year],125)</f>
        <v/>
      </c>
      <c r="CC126" s="5">
        <f>INDEX(Projects[Won?],125)&amp;""</f>
        <v/>
      </c>
      <c r="CD126" s="5">
        <f>INDEX(Projects[Value (USD M)],125)</f>
        <v/>
      </c>
      <c r="CE126" s="5">
        <f>INDEX(Projects[MH Data Status],125)&amp;""</f>
        <v/>
      </c>
    </row>
    <row r="127" ht="15" customHeight="1" s="74">
      <c r="A127" s="66">
        <f>INDEX(Projects[Project ID *],126)&amp;""</f>
        <v/>
      </c>
      <c r="B127" s="66">
        <f>INDEX(Projects[Project Name *],126)&amp;""</f>
        <v/>
      </c>
      <c r="C127" s="66">
        <f>INDEX(Projects[MS Shuttles],126)</f>
        <v/>
      </c>
      <c r="D127" s="66">
        <f>INDEX(Projects[MS Tote Locations],126)</f>
        <v/>
      </c>
      <c r="E127" s="66">
        <f>INDEX(Projects[AS Robots],126)</f>
        <v/>
      </c>
      <c r="F127" s="66">
        <f>INDEX(Projects[AS Tote Locations],126)</f>
        <v/>
      </c>
      <c r="G127" s="66">
        <f>INDEX(Projects[PS Shuttles],126)</f>
        <v/>
      </c>
      <c r="H127" s="66">
        <f>INDEX(Projects[PS Pallet Locations],126)</f>
        <v/>
      </c>
      <c r="I127" s="66">
        <f>INDEX(Projects[SRM Cranes],126)</f>
        <v/>
      </c>
      <c r="J127" s="66">
        <f>INDEX(Projects[SRM Pallet Locations],126)</f>
        <v/>
      </c>
      <c r="K127" s="66">
        <f>INDEX(Projects[Case Conv (m)],126)</f>
        <v/>
      </c>
      <c r="L127" s="66">
        <f>INDEX(Projects[Pallet Conv (m)],126)</f>
        <v/>
      </c>
      <c r="M127" s="66">
        <f>INDEX(Projects[Mech Eng (wks)],126)</f>
        <v/>
      </c>
      <c r="N127" s="66">
        <f>INDEX(Projects[Controls Eng (wks)],126)</f>
        <v/>
      </c>
      <c r="O127" s="66">
        <f>INDEX(Projects[Systems Eng (wks)],126)</f>
        <v/>
      </c>
      <c r="P127" s="66">
        <f>INDEX(Projects[Software Eng (wks)],126)</f>
        <v/>
      </c>
      <c r="Q127" s="66">
        <f>INDEX(Projects[M&amp;E Installation (wks)],126)</f>
        <v/>
      </c>
      <c r="R127" s="66">
        <f>INDEX(Projects[Commissioning (wks)],126)</f>
        <v/>
      </c>
      <c r="S127" s="66">
        <f>INDEX(Projects[Total Timeline (wks)],126)</f>
        <v/>
      </c>
      <c r="T127" s="66">
        <f>INDEX(Projects[Currency],126)&amp;""</f>
        <v/>
      </c>
      <c r="U127" s="67">
        <f>INDEX(Projects[Value (M)],126)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INDEX(Projects[Automation Equipment],126)&amp;""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IF(AND(A127&lt;&gt;"",OR('Smart Search'!$L$5="",'Smart Search'!$L$5="All",TRIM(BZ127)=TRIM('Smart Search'!$L$5)),OR(TRIM('Smart Search'!$L$6)="",TRIM('Smart Search'!$L$6)="All",ISNUMBER(SEARCH(SUBSTITUTE(SUBSTITUTE(SUBSTITUTE(TRIM('Smart Search'!$L$6),"~","~~"),"*","~*"),"?","~?"),CA127))),OR('Smart Search'!$L$7="",AND(CB127&lt;&gt;0,CB127='Smart Search'!$L$7)),OR('Smart Search'!$L$8="",'Smart Search'!$L$8="All",TRIM(CC127)=TRIM('Smart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IF(A127="","",N(INDEX(Projects[Mech Inst],126)))</f>
        <v/>
      </c>
      <c r="BK127" s="5">
        <f>IF(A127="","",N(INDEX(Projects[Elec Inst],126)))</f>
        <v/>
      </c>
      <c r="BL127" s="5">
        <f>IF(A127="","",N(INDEX(Projects[Project Management],126)))</f>
        <v/>
      </c>
      <c r="BM127" s="5">
        <f>IF(A127="","",N(INDEX(Projects[Systems Eng],126)))</f>
        <v/>
      </c>
      <c r="BN127" s="5">
        <f>IF(A127="","",N(INDEX(Projects[Mechanical Eng],126)))</f>
        <v/>
      </c>
      <c r="BO127" s="5">
        <f>IF(A127="","",N(INDEX(Projects[Structural Engineering],126)))</f>
        <v/>
      </c>
      <c r="BP127" s="5">
        <f>IF(A127="","",N(INDEX(Projects[Site Sup],126)))</f>
        <v/>
      </c>
      <c r="BQ127" s="5">
        <f>IF(A127="","",N(INDEX(Projects[Controls Commissioning],126)))</f>
        <v/>
      </c>
      <c r="BR127" s="5">
        <f>IF(A127="","",N(INDEX(Projects[Systems Commissioning],126)))</f>
        <v/>
      </c>
      <c r="BS127" s="5">
        <f>IF(A127="","",N(INDEX(Projects[Service Commissioning],126)))</f>
        <v/>
      </c>
      <c r="BT127" s="5">
        <f>IF(A127="","",N(INDEX(Projects[Controls Eng],126)))</f>
        <v/>
      </c>
      <c r="BU127" s="5">
        <f>IF(A127="","",N(INDEX(Projects[Controls Purchase],126)))</f>
        <v/>
      </c>
      <c r="BV127" s="5">
        <f>IF(A127="","",N(INDEX(Projects[Software Eng],126)))</f>
        <v/>
      </c>
      <c r="BW127" s="5">
        <f>IF(A127="","",N(INDEX(Projects[Misc],126)))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  <c r="BZ127" s="5">
        <f>INDEX(Projects[Solution Type],126)&amp;""</f>
        <v/>
      </c>
      <c r="CA127" s="5">
        <f>INDEX(Projects[Client / Region],126)&amp;""</f>
        <v/>
      </c>
      <c r="CB127" s="5">
        <f>INDEX(Projects[Year],126)</f>
        <v/>
      </c>
      <c r="CC127" s="5">
        <f>INDEX(Projects[Won?],126)&amp;""</f>
        <v/>
      </c>
      <c r="CD127" s="5">
        <f>INDEX(Projects[Value (USD M)],126)</f>
        <v/>
      </c>
      <c r="CE127" s="5">
        <f>INDEX(Projects[MH Data Status],126)&amp;""</f>
        <v/>
      </c>
    </row>
    <row r="128" ht="15" customHeight="1" s="74">
      <c r="A128" s="66">
        <f>INDEX(Projects[Project ID *],127)&amp;""</f>
        <v/>
      </c>
      <c r="B128" s="66">
        <f>INDEX(Projects[Project Name *],127)&amp;""</f>
        <v/>
      </c>
      <c r="C128" s="66">
        <f>INDEX(Projects[MS Shuttles],127)</f>
        <v/>
      </c>
      <c r="D128" s="66">
        <f>INDEX(Projects[MS Tote Locations],127)</f>
        <v/>
      </c>
      <c r="E128" s="66">
        <f>INDEX(Projects[AS Robots],127)</f>
        <v/>
      </c>
      <c r="F128" s="66">
        <f>INDEX(Projects[AS Tote Locations],127)</f>
        <v/>
      </c>
      <c r="G128" s="66">
        <f>INDEX(Projects[PS Shuttles],127)</f>
        <v/>
      </c>
      <c r="H128" s="66">
        <f>INDEX(Projects[PS Pallet Locations],127)</f>
        <v/>
      </c>
      <c r="I128" s="66">
        <f>INDEX(Projects[SRM Cranes],127)</f>
        <v/>
      </c>
      <c r="J128" s="66">
        <f>INDEX(Projects[SRM Pallet Locations],127)</f>
        <v/>
      </c>
      <c r="K128" s="66">
        <f>INDEX(Projects[Case Conv (m)],127)</f>
        <v/>
      </c>
      <c r="L128" s="66">
        <f>INDEX(Projects[Pallet Conv (m)],127)</f>
        <v/>
      </c>
      <c r="M128" s="66">
        <f>INDEX(Projects[Mech Eng (wks)],127)</f>
        <v/>
      </c>
      <c r="N128" s="66">
        <f>INDEX(Projects[Controls Eng (wks)],127)</f>
        <v/>
      </c>
      <c r="O128" s="66">
        <f>INDEX(Projects[Systems Eng (wks)],127)</f>
        <v/>
      </c>
      <c r="P128" s="66">
        <f>INDEX(Projects[Software Eng (wks)],127)</f>
        <v/>
      </c>
      <c r="Q128" s="66">
        <f>INDEX(Projects[M&amp;E Installation (wks)],127)</f>
        <v/>
      </c>
      <c r="R128" s="66">
        <f>INDEX(Projects[Commissioning (wks)],127)</f>
        <v/>
      </c>
      <c r="S128" s="66">
        <f>INDEX(Projects[Total Timeline (wks)],127)</f>
        <v/>
      </c>
      <c r="T128" s="66">
        <f>INDEX(Projects[Currency],127)&amp;""</f>
        <v/>
      </c>
      <c r="U128" s="67">
        <f>INDEX(Projects[Value (M)],127)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INDEX(Projects[Automation Equipment],127)&amp;""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IF(AND(A128&lt;&gt;"",OR('Smart Search'!$L$5="",'Smart Search'!$L$5="All",TRIM(BZ128)=TRIM('Smart Search'!$L$5)),OR(TRIM('Smart Search'!$L$6)="",TRIM('Smart Search'!$L$6)="All",ISNUMBER(SEARCH(SUBSTITUTE(SUBSTITUTE(SUBSTITUTE(TRIM('Smart Search'!$L$6),"~","~~"),"*","~*"),"?","~?"),CA128))),OR('Smart Search'!$L$7="",AND(CB128&lt;&gt;0,CB128='Smart Search'!$L$7)),OR('Smart Search'!$L$8="",'Smart Search'!$L$8="All",TRIM(CC128)=TRIM('Smart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IF(A128="","",N(INDEX(Projects[Mech Inst],127)))</f>
        <v/>
      </c>
      <c r="BK128" s="5">
        <f>IF(A128="","",N(INDEX(Projects[Elec Inst],127)))</f>
        <v/>
      </c>
      <c r="BL128" s="5">
        <f>IF(A128="","",N(INDEX(Projects[Project Management],127)))</f>
        <v/>
      </c>
      <c r="BM128" s="5">
        <f>IF(A128="","",N(INDEX(Projects[Systems Eng],127)))</f>
        <v/>
      </c>
      <c r="BN128" s="5">
        <f>IF(A128="","",N(INDEX(Projects[Mechanical Eng],127)))</f>
        <v/>
      </c>
      <c r="BO128" s="5">
        <f>IF(A128="","",N(INDEX(Projects[Structural Engineering],127)))</f>
        <v/>
      </c>
      <c r="BP128" s="5">
        <f>IF(A128="","",N(INDEX(Projects[Site Sup],127)))</f>
        <v/>
      </c>
      <c r="BQ128" s="5">
        <f>IF(A128="","",N(INDEX(Projects[Controls Commissioning],127)))</f>
        <v/>
      </c>
      <c r="BR128" s="5">
        <f>IF(A128="","",N(INDEX(Projects[Systems Commissioning],127)))</f>
        <v/>
      </c>
      <c r="BS128" s="5">
        <f>IF(A128="","",N(INDEX(Projects[Service Commissioning],127)))</f>
        <v/>
      </c>
      <c r="BT128" s="5">
        <f>IF(A128="","",N(INDEX(Projects[Controls Eng],127)))</f>
        <v/>
      </c>
      <c r="BU128" s="5">
        <f>IF(A128="","",N(INDEX(Projects[Controls Purchase],127)))</f>
        <v/>
      </c>
      <c r="BV128" s="5">
        <f>IF(A128="","",N(INDEX(Projects[Software Eng],127)))</f>
        <v/>
      </c>
      <c r="BW128" s="5">
        <f>IF(A128="","",N(INDEX(Projects[Misc],127)))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  <c r="BZ128" s="5">
        <f>INDEX(Projects[Solution Type],127)&amp;""</f>
        <v/>
      </c>
      <c r="CA128" s="5">
        <f>INDEX(Projects[Client / Region],127)&amp;""</f>
        <v/>
      </c>
      <c r="CB128" s="5">
        <f>INDEX(Projects[Year],127)</f>
        <v/>
      </c>
      <c r="CC128" s="5">
        <f>INDEX(Projects[Won?],127)&amp;""</f>
        <v/>
      </c>
      <c r="CD128" s="5">
        <f>INDEX(Projects[Value (USD M)],127)</f>
        <v/>
      </c>
      <c r="CE128" s="5">
        <f>INDEX(Projects[MH Data Status],127)&amp;""</f>
        <v/>
      </c>
    </row>
    <row r="129" ht="15" customHeight="1" s="74">
      <c r="A129" s="66">
        <f>INDEX(Projects[Project ID *],128)&amp;""</f>
        <v/>
      </c>
      <c r="B129" s="66">
        <f>INDEX(Projects[Project Name *],128)&amp;""</f>
        <v/>
      </c>
      <c r="C129" s="66">
        <f>INDEX(Projects[MS Shuttles],128)</f>
        <v/>
      </c>
      <c r="D129" s="66">
        <f>INDEX(Projects[MS Tote Locations],128)</f>
        <v/>
      </c>
      <c r="E129" s="66">
        <f>INDEX(Projects[AS Robots],128)</f>
        <v/>
      </c>
      <c r="F129" s="66">
        <f>INDEX(Projects[AS Tote Locations],128)</f>
        <v/>
      </c>
      <c r="G129" s="66">
        <f>INDEX(Projects[PS Shuttles],128)</f>
        <v/>
      </c>
      <c r="H129" s="66">
        <f>INDEX(Projects[PS Pallet Locations],128)</f>
        <v/>
      </c>
      <c r="I129" s="66">
        <f>INDEX(Projects[SRM Cranes],128)</f>
        <v/>
      </c>
      <c r="J129" s="66">
        <f>INDEX(Projects[SRM Pallet Locations],128)</f>
        <v/>
      </c>
      <c r="K129" s="66">
        <f>INDEX(Projects[Case Conv (m)],128)</f>
        <v/>
      </c>
      <c r="L129" s="66">
        <f>INDEX(Projects[Pallet Conv (m)],128)</f>
        <v/>
      </c>
      <c r="M129" s="66">
        <f>INDEX(Projects[Mech Eng (wks)],128)</f>
        <v/>
      </c>
      <c r="N129" s="66">
        <f>INDEX(Projects[Controls Eng (wks)],128)</f>
        <v/>
      </c>
      <c r="O129" s="66">
        <f>INDEX(Projects[Systems Eng (wks)],128)</f>
        <v/>
      </c>
      <c r="P129" s="66">
        <f>INDEX(Projects[Software Eng (wks)],128)</f>
        <v/>
      </c>
      <c r="Q129" s="66">
        <f>INDEX(Projects[M&amp;E Installation (wks)],128)</f>
        <v/>
      </c>
      <c r="R129" s="66">
        <f>INDEX(Projects[Commissioning (wks)],128)</f>
        <v/>
      </c>
      <c r="S129" s="66">
        <f>INDEX(Projects[Total Timeline (wks)],128)</f>
        <v/>
      </c>
      <c r="T129" s="66">
        <f>INDEX(Projects[Currency],128)&amp;""</f>
        <v/>
      </c>
      <c r="U129" s="67">
        <f>INDEX(Projects[Value (M)],128)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INDEX(Projects[Automation Equipment],128)&amp;""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IF(AND(A129&lt;&gt;"",OR('Smart Search'!$L$5="",'Smart Search'!$L$5="All",TRIM(BZ129)=TRIM('Smart Search'!$L$5)),OR(TRIM('Smart Search'!$L$6)="",TRIM('Smart Search'!$L$6)="All",ISNUMBER(SEARCH(SUBSTITUTE(SUBSTITUTE(SUBSTITUTE(TRIM('Smart Search'!$L$6),"~","~~"),"*","~*"),"?","~?"),CA129))),OR('Smart Search'!$L$7="",AND(CB129&lt;&gt;0,CB129='Smart Search'!$L$7)),OR('Smart Search'!$L$8="",'Smart Search'!$L$8="All",TRIM(CC129)=TRIM('Smart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IF(A129="","",N(INDEX(Projects[Mech Inst],128)))</f>
        <v/>
      </c>
      <c r="BK129" s="5">
        <f>IF(A129="","",N(INDEX(Projects[Elec Inst],128)))</f>
        <v/>
      </c>
      <c r="BL129" s="5">
        <f>IF(A129="","",N(INDEX(Projects[Project Management],128)))</f>
        <v/>
      </c>
      <c r="BM129" s="5">
        <f>IF(A129="","",N(INDEX(Projects[Systems Eng],128)))</f>
        <v/>
      </c>
      <c r="BN129" s="5">
        <f>IF(A129="","",N(INDEX(Projects[Mechanical Eng],128)))</f>
        <v/>
      </c>
      <c r="BO129" s="5">
        <f>IF(A129="","",N(INDEX(Projects[Structural Engineering],128)))</f>
        <v/>
      </c>
      <c r="BP129" s="5">
        <f>IF(A129="","",N(INDEX(Projects[Site Sup],128)))</f>
        <v/>
      </c>
      <c r="BQ129" s="5">
        <f>IF(A129="","",N(INDEX(Projects[Controls Commissioning],128)))</f>
        <v/>
      </c>
      <c r="BR129" s="5">
        <f>IF(A129="","",N(INDEX(Projects[Systems Commissioning],128)))</f>
        <v/>
      </c>
      <c r="BS129" s="5">
        <f>IF(A129="","",N(INDEX(Projects[Service Commissioning],128)))</f>
        <v/>
      </c>
      <c r="BT129" s="5">
        <f>IF(A129="","",N(INDEX(Projects[Controls Eng],128)))</f>
        <v/>
      </c>
      <c r="BU129" s="5">
        <f>IF(A129="","",N(INDEX(Projects[Controls Purchase],128)))</f>
        <v/>
      </c>
      <c r="BV129" s="5">
        <f>IF(A129="","",N(INDEX(Projects[Software Eng],128)))</f>
        <v/>
      </c>
      <c r="BW129" s="5">
        <f>IF(A129="","",N(INDEX(Projects[Misc],128)))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  <c r="BZ129" s="5">
        <f>INDEX(Projects[Solution Type],128)&amp;""</f>
        <v/>
      </c>
      <c r="CA129" s="5">
        <f>INDEX(Projects[Client / Region],128)&amp;""</f>
        <v/>
      </c>
      <c r="CB129" s="5">
        <f>INDEX(Projects[Year],128)</f>
        <v/>
      </c>
      <c r="CC129" s="5">
        <f>INDEX(Projects[Won?],128)&amp;""</f>
        <v/>
      </c>
      <c r="CD129" s="5">
        <f>INDEX(Projects[Value (USD M)],128)</f>
        <v/>
      </c>
      <c r="CE129" s="5">
        <f>INDEX(Projects[MH Data Status],128)&amp;""</f>
        <v/>
      </c>
    </row>
    <row r="130" ht="15" customHeight="1" s="74">
      <c r="A130" s="66">
        <f>INDEX(Projects[Project ID *],129)&amp;""</f>
        <v/>
      </c>
      <c r="B130" s="66">
        <f>INDEX(Projects[Project Name *],129)&amp;""</f>
        <v/>
      </c>
      <c r="C130" s="66">
        <f>INDEX(Projects[MS Shuttles],129)</f>
        <v/>
      </c>
      <c r="D130" s="66">
        <f>INDEX(Projects[MS Tote Locations],129)</f>
        <v/>
      </c>
      <c r="E130" s="66">
        <f>INDEX(Projects[AS Robots],129)</f>
        <v/>
      </c>
      <c r="F130" s="66">
        <f>INDEX(Projects[AS Tote Locations],129)</f>
        <v/>
      </c>
      <c r="G130" s="66">
        <f>INDEX(Projects[PS Shuttles],129)</f>
        <v/>
      </c>
      <c r="H130" s="66">
        <f>INDEX(Projects[PS Pallet Locations],129)</f>
        <v/>
      </c>
      <c r="I130" s="66">
        <f>INDEX(Projects[SRM Cranes],129)</f>
        <v/>
      </c>
      <c r="J130" s="66">
        <f>INDEX(Projects[SRM Pallet Locations],129)</f>
        <v/>
      </c>
      <c r="K130" s="66">
        <f>INDEX(Projects[Case Conv (m)],129)</f>
        <v/>
      </c>
      <c r="L130" s="66">
        <f>INDEX(Projects[Pallet Conv (m)],129)</f>
        <v/>
      </c>
      <c r="M130" s="66">
        <f>INDEX(Projects[Mech Eng (wks)],129)</f>
        <v/>
      </c>
      <c r="N130" s="66">
        <f>INDEX(Projects[Controls Eng (wks)],129)</f>
        <v/>
      </c>
      <c r="O130" s="66">
        <f>INDEX(Projects[Systems Eng (wks)],129)</f>
        <v/>
      </c>
      <c r="P130" s="66">
        <f>INDEX(Projects[Software Eng (wks)],129)</f>
        <v/>
      </c>
      <c r="Q130" s="66">
        <f>INDEX(Projects[M&amp;E Installation (wks)],129)</f>
        <v/>
      </c>
      <c r="R130" s="66">
        <f>INDEX(Projects[Commissioning (wks)],129)</f>
        <v/>
      </c>
      <c r="S130" s="66">
        <f>INDEX(Projects[Total Timeline (wks)],129)</f>
        <v/>
      </c>
      <c r="T130" s="66">
        <f>INDEX(Projects[Currency],129)&amp;""</f>
        <v/>
      </c>
      <c r="U130" s="67">
        <f>INDEX(Projects[Value (M)],129)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INDEX(Projects[Automation Equipment],129)&amp;""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IF(AND(A130&lt;&gt;"",OR('Smart Search'!$L$5="",'Smart Search'!$L$5="All",TRIM(BZ130)=TRIM('Smart Search'!$L$5)),OR(TRIM('Smart Search'!$L$6)="",TRIM('Smart Search'!$L$6)="All",ISNUMBER(SEARCH(SUBSTITUTE(SUBSTITUTE(SUBSTITUTE(TRIM('Smart Search'!$L$6),"~","~~"),"*","~*"),"?","~?"),CA130))),OR('Smart Search'!$L$7="",AND(CB130&lt;&gt;0,CB130='Smart Search'!$L$7)),OR('Smart Search'!$L$8="",'Smart Search'!$L$8="All",TRIM(CC130)=TRIM('Smart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IF(A130="","",N(INDEX(Projects[Mech Inst],129)))</f>
        <v/>
      </c>
      <c r="BK130" s="5">
        <f>IF(A130="","",N(INDEX(Projects[Elec Inst],129)))</f>
        <v/>
      </c>
      <c r="BL130" s="5">
        <f>IF(A130="","",N(INDEX(Projects[Project Management],129)))</f>
        <v/>
      </c>
      <c r="BM130" s="5">
        <f>IF(A130="","",N(INDEX(Projects[Systems Eng],129)))</f>
        <v/>
      </c>
      <c r="BN130" s="5">
        <f>IF(A130="","",N(INDEX(Projects[Mechanical Eng],129)))</f>
        <v/>
      </c>
      <c r="BO130" s="5">
        <f>IF(A130="","",N(INDEX(Projects[Structural Engineering],129)))</f>
        <v/>
      </c>
      <c r="BP130" s="5">
        <f>IF(A130="","",N(INDEX(Projects[Site Sup],129)))</f>
        <v/>
      </c>
      <c r="BQ130" s="5">
        <f>IF(A130="","",N(INDEX(Projects[Controls Commissioning],129)))</f>
        <v/>
      </c>
      <c r="BR130" s="5">
        <f>IF(A130="","",N(INDEX(Projects[Systems Commissioning],129)))</f>
        <v/>
      </c>
      <c r="BS130" s="5">
        <f>IF(A130="","",N(INDEX(Projects[Service Commissioning],129)))</f>
        <v/>
      </c>
      <c r="BT130" s="5">
        <f>IF(A130="","",N(INDEX(Projects[Controls Eng],129)))</f>
        <v/>
      </c>
      <c r="BU130" s="5">
        <f>IF(A130="","",N(INDEX(Projects[Controls Purchase],129)))</f>
        <v/>
      </c>
      <c r="BV130" s="5">
        <f>IF(A130="","",N(INDEX(Projects[Software Eng],129)))</f>
        <v/>
      </c>
      <c r="BW130" s="5">
        <f>IF(A130="","",N(INDEX(Projects[Misc],129)))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  <c r="BZ130" s="5">
        <f>INDEX(Projects[Solution Type],129)&amp;""</f>
        <v/>
      </c>
      <c r="CA130" s="5">
        <f>INDEX(Projects[Client / Region],129)&amp;""</f>
        <v/>
      </c>
      <c r="CB130" s="5">
        <f>INDEX(Projects[Year],129)</f>
        <v/>
      </c>
      <c r="CC130" s="5">
        <f>INDEX(Projects[Won?],129)&amp;""</f>
        <v/>
      </c>
      <c r="CD130" s="5">
        <f>INDEX(Projects[Value (USD M)],129)</f>
        <v/>
      </c>
      <c r="CE130" s="5">
        <f>INDEX(Projects[MH Data Status],129)&amp;""</f>
        <v/>
      </c>
    </row>
    <row r="131" ht="15" customHeight="1" s="74">
      <c r="A131" s="66">
        <f>INDEX(Projects[Project ID *],130)&amp;""</f>
        <v/>
      </c>
      <c r="B131" s="66">
        <f>INDEX(Projects[Project Name *],130)&amp;""</f>
        <v/>
      </c>
      <c r="C131" s="66">
        <f>INDEX(Projects[MS Shuttles],130)</f>
        <v/>
      </c>
      <c r="D131" s="66">
        <f>INDEX(Projects[MS Tote Locations],130)</f>
        <v/>
      </c>
      <c r="E131" s="66">
        <f>INDEX(Projects[AS Robots],130)</f>
        <v/>
      </c>
      <c r="F131" s="66">
        <f>INDEX(Projects[AS Tote Locations],130)</f>
        <v/>
      </c>
      <c r="G131" s="66">
        <f>INDEX(Projects[PS Shuttles],130)</f>
        <v/>
      </c>
      <c r="H131" s="66">
        <f>INDEX(Projects[PS Pallet Locations],130)</f>
        <v/>
      </c>
      <c r="I131" s="66">
        <f>INDEX(Projects[SRM Cranes],130)</f>
        <v/>
      </c>
      <c r="J131" s="66">
        <f>INDEX(Projects[SRM Pallet Locations],130)</f>
        <v/>
      </c>
      <c r="K131" s="66">
        <f>INDEX(Projects[Case Conv (m)],130)</f>
        <v/>
      </c>
      <c r="L131" s="66">
        <f>INDEX(Projects[Pallet Conv (m)],130)</f>
        <v/>
      </c>
      <c r="M131" s="66">
        <f>INDEX(Projects[Mech Eng (wks)],130)</f>
        <v/>
      </c>
      <c r="N131" s="66">
        <f>INDEX(Projects[Controls Eng (wks)],130)</f>
        <v/>
      </c>
      <c r="O131" s="66">
        <f>INDEX(Projects[Systems Eng (wks)],130)</f>
        <v/>
      </c>
      <c r="P131" s="66">
        <f>INDEX(Projects[Software Eng (wks)],130)</f>
        <v/>
      </c>
      <c r="Q131" s="66">
        <f>INDEX(Projects[M&amp;E Installation (wks)],130)</f>
        <v/>
      </c>
      <c r="R131" s="66">
        <f>INDEX(Projects[Commissioning (wks)],130)</f>
        <v/>
      </c>
      <c r="S131" s="66">
        <f>INDEX(Projects[Total Timeline (wks)],130)</f>
        <v/>
      </c>
      <c r="T131" s="66">
        <f>INDEX(Projects[Currency],130)&amp;""</f>
        <v/>
      </c>
      <c r="U131" s="67">
        <f>INDEX(Projects[Value (M)],130)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INDEX(Projects[Automation Equipment],130)&amp;""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IF(AND(A131&lt;&gt;"",OR('Smart Search'!$L$5="",'Smart Search'!$L$5="All",TRIM(BZ131)=TRIM('Smart Search'!$L$5)),OR(TRIM('Smart Search'!$L$6)="",TRIM('Smart Search'!$L$6)="All",ISNUMBER(SEARCH(SUBSTITUTE(SUBSTITUTE(SUBSTITUTE(TRIM('Smart Search'!$L$6),"~","~~"),"*","~*"),"?","~?"),CA131))),OR('Smart Search'!$L$7="",AND(CB131&lt;&gt;0,CB131='Smart Search'!$L$7)),OR('Smart Search'!$L$8="",'Smart Search'!$L$8="All",TRIM(CC131)=TRIM('Smart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IF(A131="","",N(INDEX(Projects[Mech Inst],130)))</f>
        <v/>
      </c>
      <c r="BK131" s="5">
        <f>IF(A131="","",N(INDEX(Projects[Elec Inst],130)))</f>
        <v/>
      </c>
      <c r="BL131" s="5">
        <f>IF(A131="","",N(INDEX(Projects[Project Management],130)))</f>
        <v/>
      </c>
      <c r="BM131" s="5">
        <f>IF(A131="","",N(INDEX(Projects[Systems Eng],130)))</f>
        <v/>
      </c>
      <c r="BN131" s="5">
        <f>IF(A131="","",N(INDEX(Projects[Mechanical Eng],130)))</f>
        <v/>
      </c>
      <c r="BO131" s="5">
        <f>IF(A131="","",N(INDEX(Projects[Structural Engineering],130)))</f>
        <v/>
      </c>
      <c r="BP131" s="5">
        <f>IF(A131="","",N(INDEX(Projects[Site Sup],130)))</f>
        <v/>
      </c>
      <c r="BQ131" s="5">
        <f>IF(A131="","",N(INDEX(Projects[Controls Commissioning],130)))</f>
        <v/>
      </c>
      <c r="BR131" s="5">
        <f>IF(A131="","",N(INDEX(Projects[Systems Commissioning],130)))</f>
        <v/>
      </c>
      <c r="BS131" s="5">
        <f>IF(A131="","",N(INDEX(Projects[Service Commissioning],130)))</f>
        <v/>
      </c>
      <c r="BT131" s="5">
        <f>IF(A131="","",N(INDEX(Projects[Controls Eng],130)))</f>
        <v/>
      </c>
      <c r="BU131" s="5">
        <f>IF(A131="","",N(INDEX(Projects[Controls Purchase],130)))</f>
        <v/>
      </c>
      <c r="BV131" s="5">
        <f>IF(A131="","",N(INDEX(Projects[Software Eng],130)))</f>
        <v/>
      </c>
      <c r="BW131" s="5">
        <f>IF(A131="","",N(INDEX(Projects[Misc],130)))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  <c r="BZ131" s="5">
        <f>INDEX(Projects[Solution Type],130)&amp;""</f>
        <v/>
      </c>
      <c r="CA131" s="5">
        <f>INDEX(Projects[Client / Region],130)&amp;""</f>
        <v/>
      </c>
      <c r="CB131" s="5">
        <f>INDEX(Projects[Year],130)</f>
        <v/>
      </c>
      <c r="CC131" s="5">
        <f>INDEX(Projects[Won?],130)&amp;""</f>
        <v/>
      </c>
      <c r="CD131" s="5">
        <f>INDEX(Projects[Value (USD M)],130)</f>
        <v/>
      </c>
      <c r="CE131" s="5">
        <f>INDEX(Projects[MH Data Status],130)&amp;""</f>
        <v/>
      </c>
    </row>
    <row r="132" ht="15" customHeight="1" s="74">
      <c r="A132" s="66">
        <f>INDEX(Projects[Project ID *],131)&amp;""</f>
        <v/>
      </c>
      <c r="B132" s="66">
        <f>INDEX(Projects[Project Name *],131)&amp;""</f>
        <v/>
      </c>
      <c r="C132" s="66">
        <f>INDEX(Projects[MS Shuttles],131)</f>
        <v/>
      </c>
      <c r="D132" s="66">
        <f>INDEX(Projects[MS Tote Locations],131)</f>
        <v/>
      </c>
      <c r="E132" s="66">
        <f>INDEX(Projects[AS Robots],131)</f>
        <v/>
      </c>
      <c r="F132" s="66">
        <f>INDEX(Projects[AS Tote Locations],131)</f>
        <v/>
      </c>
      <c r="G132" s="66">
        <f>INDEX(Projects[PS Shuttles],131)</f>
        <v/>
      </c>
      <c r="H132" s="66">
        <f>INDEX(Projects[PS Pallet Locations],131)</f>
        <v/>
      </c>
      <c r="I132" s="66">
        <f>INDEX(Projects[SRM Cranes],131)</f>
        <v/>
      </c>
      <c r="J132" s="66">
        <f>INDEX(Projects[SRM Pallet Locations],131)</f>
        <v/>
      </c>
      <c r="K132" s="66">
        <f>INDEX(Projects[Case Conv (m)],131)</f>
        <v/>
      </c>
      <c r="L132" s="66">
        <f>INDEX(Projects[Pallet Conv (m)],131)</f>
        <v/>
      </c>
      <c r="M132" s="66">
        <f>INDEX(Projects[Mech Eng (wks)],131)</f>
        <v/>
      </c>
      <c r="N132" s="66">
        <f>INDEX(Projects[Controls Eng (wks)],131)</f>
        <v/>
      </c>
      <c r="O132" s="66">
        <f>INDEX(Projects[Systems Eng (wks)],131)</f>
        <v/>
      </c>
      <c r="P132" s="66">
        <f>INDEX(Projects[Software Eng (wks)],131)</f>
        <v/>
      </c>
      <c r="Q132" s="66">
        <f>INDEX(Projects[M&amp;E Installation (wks)],131)</f>
        <v/>
      </c>
      <c r="R132" s="66">
        <f>INDEX(Projects[Commissioning (wks)],131)</f>
        <v/>
      </c>
      <c r="S132" s="66">
        <f>INDEX(Projects[Total Timeline (wks)],131)</f>
        <v/>
      </c>
      <c r="T132" s="66">
        <f>INDEX(Projects[Currency],131)&amp;""</f>
        <v/>
      </c>
      <c r="U132" s="67">
        <f>INDEX(Projects[Value (M)],131)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INDEX(Projects[Automation Equipment],131)&amp;""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IF(AND(A132&lt;&gt;"",OR('Smart Search'!$L$5="",'Smart Search'!$L$5="All",TRIM(BZ132)=TRIM('Smart Search'!$L$5)),OR(TRIM('Smart Search'!$L$6)="",TRIM('Smart Search'!$L$6)="All",ISNUMBER(SEARCH(SUBSTITUTE(SUBSTITUTE(SUBSTITUTE(TRIM('Smart Search'!$L$6),"~","~~"),"*","~*"),"?","~?"),CA132))),OR('Smart Search'!$L$7="",AND(CB132&lt;&gt;0,CB132='Smart Search'!$L$7)),OR('Smart Search'!$L$8="",'Smart Search'!$L$8="All",TRIM(CC132)=TRIM('Smart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IF(A132="","",N(INDEX(Projects[Mech Inst],131)))</f>
        <v/>
      </c>
      <c r="BK132" s="5">
        <f>IF(A132="","",N(INDEX(Projects[Elec Inst],131)))</f>
        <v/>
      </c>
      <c r="BL132" s="5">
        <f>IF(A132="","",N(INDEX(Projects[Project Management],131)))</f>
        <v/>
      </c>
      <c r="BM132" s="5">
        <f>IF(A132="","",N(INDEX(Projects[Systems Eng],131)))</f>
        <v/>
      </c>
      <c r="BN132" s="5">
        <f>IF(A132="","",N(INDEX(Projects[Mechanical Eng],131)))</f>
        <v/>
      </c>
      <c r="BO132" s="5">
        <f>IF(A132="","",N(INDEX(Projects[Structural Engineering],131)))</f>
        <v/>
      </c>
      <c r="BP132" s="5">
        <f>IF(A132="","",N(INDEX(Projects[Site Sup],131)))</f>
        <v/>
      </c>
      <c r="BQ132" s="5">
        <f>IF(A132="","",N(INDEX(Projects[Controls Commissioning],131)))</f>
        <v/>
      </c>
      <c r="BR132" s="5">
        <f>IF(A132="","",N(INDEX(Projects[Systems Commissioning],131)))</f>
        <v/>
      </c>
      <c r="BS132" s="5">
        <f>IF(A132="","",N(INDEX(Projects[Service Commissioning],131)))</f>
        <v/>
      </c>
      <c r="BT132" s="5">
        <f>IF(A132="","",N(INDEX(Projects[Controls Eng],131)))</f>
        <v/>
      </c>
      <c r="BU132" s="5">
        <f>IF(A132="","",N(INDEX(Projects[Controls Purchase],131)))</f>
        <v/>
      </c>
      <c r="BV132" s="5">
        <f>IF(A132="","",N(INDEX(Projects[Software Eng],131)))</f>
        <v/>
      </c>
      <c r="BW132" s="5">
        <f>IF(A132="","",N(INDEX(Projects[Misc],131)))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  <c r="BZ132" s="5">
        <f>INDEX(Projects[Solution Type],131)&amp;""</f>
        <v/>
      </c>
      <c r="CA132" s="5">
        <f>INDEX(Projects[Client / Region],131)&amp;""</f>
        <v/>
      </c>
      <c r="CB132" s="5">
        <f>INDEX(Projects[Year],131)</f>
        <v/>
      </c>
      <c r="CC132" s="5">
        <f>INDEX(Projects[Won?],131)&amp;""</f>
        <v/>
      </c>
      <c r="CD132" s="5">
        <f>INDEX(Projects[Value (USD M)],131)</f>
        <v/>
      </c>
      <c r="CE132" s="5">
        <f>INDEX(Projects[MH Data Status],131)&amp;""</f>
        <v/>
      </c>
    </row>
    <row r="133" ht="15" customHeight="1" s="74">
      <c r="A133" s="66">
        <f>INDEX(Projects[Project ID *],132)&amp;""</f>
        <v/>
      </c>
      <c r="B133" s="66">
        <f>INDEX(Projects[Project Name *],132)&amp;""</f>
        <v/>
      </c>
      <c r="C133" s="66">
        <f>INDEX(Projects[MS Shuttles],132)</f>
        <v/>
      </c>
      <c r="D133" s="66">
        <f>INDEX(Projects[MS Tote Locations],132)</f>
        <v/>
      </c>
      <c r="E133" s="66">
        <f>INDEX(Projects[AS Robots],132)</f>
        <v/>
      </c>
      <c r="F133" s="66">
        <f>INDEX(Projects[AS Tote Locations],132)</f>
        <v/>
      </c>
      <c r="G133" s="66">
        <f>INDEX(Projects[PS Shuttles],132)</f>
        <v/>
      </c>
      <c r="H133" s="66">
        <f>INDEX(Projects[PS Pallet Locations],132)</f>
        <v/>
      </c>
      <c r="I133" s="66">
        <f>INDEX(Projects[SRM Cranes],132)</f>
        <v/>
      </c>
      <c r="J133" s="66">
        <f>INDEX(Projects[SRM Pallet Locations],132)</f>
        <v/>
      </c>
      <c r="K133" s="66">
        <f>INDEX(Projects[Case Conv (m)],132)</f>
        <v/>
      </c>
      <c r="L133" s="66">
        <f>INDEX(Projects[Pallet Conv (m)],132)</f>
        <v/>
      </c>
      <c r="M133" s="66">
        <f>INDEX(Projects[Mech Eng (wks)],132)</f>
        <v/>
      </c>
      <c r="N133" s="66">
        <f>INDEX(Projects[Controls Eng (wks)],132)</f>
        <v/>
      </c>
      <c r="O133" s="66">
        <f>INDEX(Projects[Systems Eng (wks)],132)</f>
        <v/>
      </c>
      <c r="P133" s="66">
        <f>INDEX(Projects[Software Eng (wks)],132)</f>
        <v/>
      </c>
      <c r="Q133" s="66">
        <f>INDEX(Projects[M&amp;E Installation (wks)],132)</f>
        <v/>
      </c>
      <c r="R133" s="66">
        <f>INDEX(Projects[Commissioning (wks)],132)</f>
        <v/>
      </c>
      <c r="S133" s="66">
        <f>INDEX(Projects[Total Timeline (wks)],132)</f>
        <v/>
      </c>
      <c r="T133" s="66">
        <f>INDEX(Projects[Currency],132)&amp;""</f>
        <v/>
      </c>
      <c r="U133" s="67">
        <f>INDEX(Projects[Value (M)],132)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INDEX(Projects[Automation Equipment],132)&amp;""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IF(AND(A133&lt;&gt;"",OR('Smart Search'!$L$5="",'Smart Search'!$L$5="All",TRIM(BZ133)=TRIM('Smart Search'!$L$5)),OR(TRIM('Smart Search'!$L$6)="",TRIM('Smart Search'!$L$6)="All",ISNUMBER(SEARCH(SUBSTITUTE(SUBSTITUTE(SUBSTITUTE(TRIM('Smart Search'!$L$6),"~","~~"),"*","~*"),"?","~?"),CA133))),OR('Smart Search'!$L$7="",AND(CB133&lt;&gt;0,CB133='Smart Search'!$L$7)),OR('Smart Search'!$L$8="",'Smart Search'!$L$8="All",TRIM(CC133)=TRIM('Smart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IF(A133="","",N(INDEX(Projects[Mech Inst],132)))</f>
        <v/>
      </c>
      <c r="BK133" s="5">
        <f>IF(A133="","",N(INDEX(Projects[Elec Inst],132)))</f>
        <v/>
      </c>
      <c r="BL133" s="5">
        <f>IF(A133="","",N(INDEX(Projects[Project Management],132)))</f>
        <v/>
      </c>
      <c r="BM133" s="5">
        <f>IF(A133="","",N(INDEX(Projects[Systems Eng],132)))</f>
        <v/>
      </c>
      <c r="BN133" s="5">
        <f>IF(A133="","",N(INDEX(Projects[Mechanical Eng],132)))</f>
        <v/>
      </c>
      <c r="BO133" s="5">
        <f>IF(A133="","",N(INDEX(Projects[Structural Engineering],132)))</f>
        <v/>
      </c>
      <c r="BP133" s="5">
        <f>IF(A133="","",N(INDEX(Projects[Site Sup],132)))</f>
        <v/>
      </c>
      <c r="BQ133" s="5">
        <f>IF(A133="","",N(INDEX(Projects[Controls Commissioning],132)))</f>
        <v/>
      </c>
      <c r="BR133" s="5">
        <f>IF(A133="","",N(INDEX(Projects[Systems Commissioning],132)))</f>
        <v/>
      </c>
      <c r="BS133" s="5">
        <f>IF(A133="","",N(INDEX(Projects[Service Commissioning],132)))</f>
        <v/>
      </c>
      <c r="BT133" s="5">
        <f>IF(A133="","",N(INDEX(Projects[Controls Eng],132)))</f>
        <v/>
      </c>
      <c r="BU133" s="5">
        <f>IF(A133="","",N(INDEX(Projects[Controls Purchase],132)))</f>
        <v/>
      </c>
      <c r="BV133" s="5">
        <f>IF(A133="","",N(INDEX(Projects[Software Eng],132)))</f>
        <v/>
      </c>
      <c r="BW133" s="5">
        <f>IF(A133="","",N(INDEX(Projects[Misc],132)))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  <c r="BZ133" s="5">
        <f>INDEX(Projects[Solution Type],132)&amp;""</f>
        <v/>
      </c>
      <c r="CA133" s="5">
        <f>INDEX(Projects[Client / Region],132)&amp;""</f>
        <v/>
      </c>
      <c r="CB133" s="5">
        <f>INDEX(Projects[Year],132)</f>
        <v/>
      </c>
      <c r="CC133" s="5">
        <f>INDEX(Projects[Won?],132)&amp;""</f>
        <v/>
      </c>
      <c r="CD133" s="5">
        <f>INDEX(Projects[Value (USD M)],132)</f>
        <v/>
      </c>
      <c r="CE133" s="5">
        <f>INDEX(Projects[MH Data Status],132)&amp;""</f>
        <v/>
      </c>
    </row>
    <row r="134" ht="15" customHeight="1" s="74">
      <c r="A134" s="66">
        <f>INDEX(Projects[Project ID *],133)&amp;""</f>
        <v/>
      </c>
      <c r="B134" s="66">
        <f>INDEX(Projects[Project Name *],133)&amp;""</f>
        <v/>
      </c>
      <c r="C134" s="66">
        <f>INDEX(Projects[MS Shuttles],133)</f>
        <v/>
      </c>
      <c r="D134" s="66">
        <f>INDEX(Projects[MS Tote Locations],133)</f>
        <v/>
      </c>
      <c r="E134" s="66">
        <f>INDEX(Projects[AS Robots],133)</f>
        <v/>
      </c>
      <c r="F134" s="66">
        <f>INDEX(Projects[AS Tote Locations],133)</f>
        <v/>
      </c>
      <c r="G134" s="66">
        <f>INDEX(Projects[PS Shuttles],133)</f>
        <v/>
      </c>
      <c r="H134" s="66">
        <f>INDEX(Projects[PS Pallet Locations],133)</f>
        <v/>
      </c>
      <c r="I134" s="66">
        <f>INDEX(Projects[SRM Cranes],133)</f>
        <v/>
      </c>
      <c r="J134" s="66">
        <f>INDEX(Projects[SRM Pallet Locations],133)</f>
        <v/>
      </c>
      <c r="K134" s="66">
        <f>INDEX(Projects[Case Conv (m)],133)</f>
        <v/>
      </c>
      <c r="L134" s="66">
        <f>INDEX(Projects[Pallet Conv (m)],133)</f>
        <v/>
      </c>
      <c r="M134" s="66">
        <f>INDEX(Projects[Mech Eng (wks)],133)</f>
        <v/>
      </c>
      <c r="N134" s="66">
        <f>INDEX(Projects[Controls Eng (wks)],133)</f>
        <v/>
      </c>
      <c r="O134" s="66">
        <f>INDEX(Projects[Systems Eng (wks)],133)</f>
        <v/>
      </c>
      <c r="P134" s="66">
        <f>INDEX(Projects[Software Eng (wks)],133)</f>
        <v/>
      </c>
      <c r="Q134" s="66">
        <f>INDEX(Projects[M&amp;E Installation (wks)],133)</f>
        <v/>
      </c>
      <c r="R134" s="66">
        <f>INDEX(Projects[Commissioning (wks)],133)</f>
        <v/>
      </c>
      <c r="S134" s="66">
        <f>INDEX(Projects[Total Timeline (wks)],133)</f>
        <v/>
      </c>
      <c r="T134" s="66">
        <f>INDEX(Projects[Currency],133)&amp;""</f>
        <v/>
      </c>
      <c r="U134" s="67">
        <f>INDEX(Projects[Value (M)],133)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INDEX(Projects[Automation Equipment],133)&amp;""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IF(AND(A134&lt;&gt;"",OR('Smart Search'!$L$5="",'Smart Search'!$L$5="All",TRIM(BZ134)=TRIM('Smart Search'!$L$5)),OR(TRIM('Smart Search'!$L$6)="",TRIM('Smart Search'!$L$6)="All",ISNUMBER(SEARCH(SUBSTITUTE(SUBSTITUTE(SUBSTITUTE(TRIM('Smart Search'!$L$6),"~","~~"),"*","~*"),"?","~?"),CA134))),OR('Smart Search'!$L$7="",AND(CB134&lt;&gt;0,CB134='Smart Search'!$L$7)),OR('Smart Search'!$L$8="",'Smart Search'!$L$8="All",TRIM(CC134)=TRIM('Smart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IF(A134="","",N(INDEX(Projects[Mech Inst],133)))</f>
        <v/>
      </c>
      <c r="BK134" s="5">
        <f>IF(A134="","",N(INDEX(Projects[Elec Inst],133)))</f>
        <v/>
      </c>
      <c r="BL134" s="5">
        <f>IF(A134="","",N(INDEX(Projects[Project Management],133)))</f>
        <v/>
      </c>
      <c r="BM134" s="5">
        <f>IF(A134="","",N(INDEX(Projects[Systems Eng],133)))</f>
        <v/>
      </c>
      <c r="BN134" s="5">
        <f>IF(A134="","",N(INDEX(Projects[Mechanical Eng],133)))</f>
        <v/>
      </c>
      <c r="BO134" s="5">
        <f>IF(A134="","",N(INDEX(Projects[Structural Engineering],133)))</f>
        <v/>
      </c>
      <c r="BP134" s="5">
        <f>IF(A134="","",N(INDEX(Projects[Site Sup],133)))</f>
        <v/>
      </c>
      <c r="BQ134" s="5">
        <f>IF(A134="","",N(INDEX(Projects[Controls Commissioning],133)))</f>
        <v/>
      </c>
      <c r="BR134" s="5">
        <f>IF(A134="","",N(INDEX(Projects[Systems Commissioning],133)))</f>
        <v/>
      </c>
      <c r="BS134" s="5">
        <f>IF(A134="","",N(INDEX(Projects[Service Commissioning],133)))</f>
        <v/>
      </c>
      <c r="BT134" s="5">
        <f>IF(A134="","",N(INDEX(Projects[Controls Eng],133)))</f>
        <v/>
      </c>
      <c r="BU134" s="5">
        <f>IF(A134="","",N(INDEX(Projects[Controls Purchase],133)))</f>
        <v/>
      </c>
      <c r="BV134" s="5">
        <f>IF(A134="","",N(INDEX(Projects[Software Eng],133)))</f>
        <v/>
      </c>
      <c r="BW134" s="5">
        <f>IF(A134="","",N(INDEX(Projects[Misc],133)))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  <c r="BZ134" s="5">
        <f>INDEX(Projects[Solution Type],133)&amp;""</f>
        <v/>
      </c>
      <c r="CA134" s="5">
        <f>INDEX(Projects[Client / Region],133)&amp;""</f>
        <v/>
      </c>
      <c r="CB134" s="5">
        <f>INDEX(Projects[Year],133)</f>
        <v/>
      </c>
      <c r="CC134" s="5">
        <f>INDEX(Projects[Won?],133)&amp;""</f>
        <v/>
      </c>
      <c r="CD134" s="5">
        <f>INDEX(Projects[Value (USD M)],133)</f>
        <v/>
      </c>
      <c r="CE134" s="5">
        <f>INDEX(Projects[MH Data Status],133)&amp;""</f>
        <v/>
      </c>
    </row>
    <row r="135" ht="15" customHeight="1" s="74">
      <c r="A135" s="66">
        <f>INDEX(Projects[Project ID *],134)&amp;""</f>
        <v/>
      </c>
      <c r="B135" s="66">
        <f>INDEX(Projects[Project Name *],134)&amp;""</f>
        <v/>
      </c>
      <c r="C135" s="66">
        <f>INDEX(Projects[MS Shuttles],134)</f>
        <v/>
      </c>
      <c r="D135" s="66">
        <f>INDEX(Projects[MS Tote Locations],134)</f>
        <v/>
      </c>
      <c r="E135" s="66">
        <f>INDEX(Projects[AS Robots],134)</f>
        <v/>
      </c>
      <c r="F135" s="66">
        <f>INDEX(Projects[AS Tote Locations],134)</f>
        <v/>
      </c>
      <c r="G135" s="66">
        <f>INDEX(Projects[PS Shuttles],134)</f>
        <v/>
      </c>
      <c r="H135" s="66">
        <f>INDEX(Projects[PS Pallet Locations],134)</f>
        <v/>
      </c>
      <c r="I135" s="66">
        <f>INDEX(Projects[SRM Cranes],134)</f>
        <v/>
      </c>
      <c r="J135" s="66">
        <f>INDEX(Projects[SRM Pallet Locations],134)</f>
        <v/>
      </c>
      <c r="K135" s="66">
        <f>INDEX(Projects[Case Conv (m)],134)</f>
        <v/>
      </c>
      <c r="L135" s="66">
        <f>INDEX(Projects[Pallet Conv (m)],134)</f>
        <v/>
      </c>
      <c r="M135" s="66">
        <f>INDEX(Projects[Mech Eng (wks)],134)</f>
        <v/>
      </c>
      <c r="N135" s="66">
        <f>INDEX(Projects[Controls Eng (wks)],134)</f>
        <v/>
      </c>
      <c r="O135" s="66">
        <f>INDEX(Projects[Systems Eng (wks)],134)</f>
        <v/>
      </c>
      <c r="P135" s="66">
        <f>INDEX(Projects[Software Eng (wks)],134)</f>
        <v/>
      </c>
      <c r="Q135" s="66">
        <f>INDEX(Projects[M&amp;E Installation (wks)],134)</f>
        <v/>
      </c>
      <c r="R135" s="66">
        <f>INDEX(Projects[Commissioning (wks)],134)</f>
        <v/>
      </c>
      <c r="S135" s="66">
        <f>INDEX(Projects[Total Timeline (wks)],134)</f>
        <v/>
      </c>
      <c r="T135" s="66">
        <f>INDEX(Projects[Currency],134)&amp;""</f>
        <v/>
      </c>
      <c r="U135" s="67">
        <f>INDEX(Projects[Value (M)],134)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INDEX(Projects[Automation Equipment],134)&amp;""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IF(AND(A135&lt;&gt;"",OR('Smart Search'!$L$5="",'Smart Search'!$L$5="All",TRIM(BZ135)=TRIM('Smart Search'!$L$5)),OR(TRIM('Smart Search'!$L$6)="",TRIM('Smart Search'!$L$6)="All",ISNUMBER(SEARCH(SUBSTITUTE(SUBSTITUTE(SUBSTITUTE(TRIM('Smart Search'!$L$6),"~","~~"),"*","~*"),"?","~?"),CA135))),OR('Smart Search'!$L$7="",AND(CB135&lt;&gt;0,CB135='Smart Search'!$L$7)),OR('Smart Search'!$L$8="",'Smart Search'!$L$8="All",TRIM(CC135)=TRIM('Smart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IF(A135="","",N(INDEX(Projects[Mech Inst],134)))</f>
        <v/>
      </c>
      <c r="BK135" s="5">
        <f>IF(A135="","",N(INDEX(Projects[Elec Inst],134)))</f>
        <v/>
      </c>
      <c r="BL135" s="5">
        <f>IF(A135="","",N(INDEX(Projects[Project Management],134)))</f>
        <v/>
      </c>
      <c r="BM135" s="5">
        <f>IF(A135="","",N(INDEX(Projects[Systems Eng],134)))</f>
        <v/>
      </c>
      <c r="BN135" s="5">
        <f>IF(A135="","",N(INDEX(Projects[Mechanical Eng],134)))</f>
        <v/>
      </c>
      <c r="BO135" s="5">
        <f>IF(A135="","",N(INDEX(Projects[Structural Engineering],134)))</f>
        <v/>
      </c>
      <c r="BP135" s="5">
        <f>IF(A135="","",N(INDEX(Projects[Site Sup],134)))</f>
        <v/>
      </c>
      <c r="BQ135" s="5">
        <f>IF(A135="","",N(INDEX(Projects[Controls Commissioning],134)))</f>
        <v/>
      </c>
      <c r="BR135" s="5">
        <f>IF(A135="","",N(INDEX(Projects[Systems Commissioning],134)))</f>
        <v/>
      </c>
      <c r="BS135" s="5">
        <f>IF(A135="","",N(INDEX(Projects[Service Commissioning],134)))</f>
        <v/>
      </c>
      <c r="BT135" s="5">
        <f>IF(A135="","",N(INDEX(Projects[Controls Eng],134)))</f>
        <v/>
      </c>
      <c r="BU135" s="5">
        <f>IF(A135="","",N(INDEX(Projects[Controls Purchase],134)))</f>
        <v/>
      </c>
      <c r="BV135" s="5">
        <f>IF(A135="","",N(INDEX(Projects[Software Eng],134)))</f>
        <v/>
      </c>
      <c r="BW135" s="5">
        <f>IF(A135="","",N(INDEX(Projects[Misc],134)))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  <c r="BZ135" s="5">
        <f>INDEX(Projects[Solution Type],134)&amp;""</f>
        <v/>
      </c>
      <c r="CA135" s="5">
        <f>INDEX(Projects[Client / Region],134)&amp;""</f>
        <v/>
      </c>
      <c r="CB135" s="5">
        <f>INDEX(Projects[Year],134)</f>
        <v/>
      </c>
      <c r="CC135" s="5">
        <f>INDEX(Projects[Won?],134)&amp;""</f>
        <v/>
      </c>
      <c r="CD135" s="5">
        <f>INDEX(Projects[Value (USD M)],134)</f>
        <v/>
      </c>
      <c r="CE135" s="5">
        <f>INDEX(Projects[MH Data Status],134)&amp;""</f>
        <v/>
      </c>
    </row>
    <row r="136" ht="15" customHeight="1" s="74">
      <c r="A136" s="66">
        <f>INDEX(Projects[Project ID *],135)&amp;""</f>
        <v/>
      </c>
      <c r="B136" s="66">
        <f>INDEX(Projects[Project Name *],135)&amp;""</f>
        <v/>
      </c>
      <c r="C136" s="66">
        <f>INDEX(Projects[MS Shuttles],135)</f>
        <v/>
      </c>
      <c r="D136" s="66">
        <f>INDEX(Projects[MS Tote Locations],135)</f>
        <v/>
      </c>
      <c r="E136" s="66">
        <f>INDEX(Projects[AS Robots],135)</f>
        <v/>
      </c>
      <c r="F136" s="66">
        <f>INDEX(Projects[AS Tote Locations],135)</f>
        <v/>
      </c>
      <c r="G136" s="66">
        <f>INDEX(Projects[PS Shuttles],135)</f>
        <v/>
      </c>
      <c r="H136" s="66">
        <f>INDEX(Projects[PS Pallet Locations],135)</f>
        <v/>
      </c>
      <c r="I136" s="66">
        <f>INDEX(Projects[SRM Cranes],135)</f>
        <v/>
      </c>
      <c r="J136" s="66">
        <f>INDEX(Projects[SRM Pallet Locations],135)</f>
        <v/>
      </c>
      <c r="K136" s="66">
        <f>INDEX(Projects[Case Conv (m)],135)</f>
        <v/>
      </c>
      <c r="L136" s="66">
        <f>INDEX(Projects[Pallet Conv (m)],135)</f>
        <v/>
      </c>
      <c r="M136" s="66">
        <f>INDEX(Projects[Mech Eng (wks)],135)</f>
        <v/>
      </c>
      <c r="N136" s="66">
        <f>INDEX(Projects[Controls Eng (wks)],135)</f>
        <v/>
      </c>
      <c r="O136" s="66">
        <f>INDEX(Projects[Systems Eng (wks)],135)</f>
        <v/>
      </c>
      <c r="P136" s="66">
        <f>INDEX(Projects[Software Eng (wks)],135)</f>
        <v/>
      </c>
      <c r="Q136" s="66">
        <f>INDEX(Projects[M&amp;E Installation (wks)],135)</f>
        <v/>
      </c>
      <c r="R136" s="66">
        <f>INDEX(Projects[Commissioning (wks)],135)</f>
        <v/>
      </c>
      <c r="S136" s="66">
        <f>INDEX(Projects[Total Timeline (wks)],135)</f>
        <v/>
      </c>
      <c r="T136" s="66">
        <f>INDEX(Projects[Currency],135)&amp;""</f>
        <v/>
      </c>
      <c r="U136" s="67">
        <f>INDEX(Projects[Value (M)],135)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INDEX(Projects[Automation Equipment],135)&amp;""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IF(AND(A136&lt;&gt;"",OR('Smart Search'!$L$5="",'Smart Search'!$L$5="All",TRIM(BZ136)=TRIM('Smart Search'!$L$5)),OR(TRIM('Smart Search'!$L$6)="",TRIM('Smart Search'!$L$6)="All",ISNUMBER(SEARCH(SUBSTITUTE(SUBSTITUTE(SUBSTITUTE(TRIM('Smart Search'!$L$6),"~","~~"),"*","~*"),"?","~?"),CA136))),OR('Smart Search'!$L$7="",AND(CB136&lt;&gt;0,CB136='Smart Search'!$L$7)),OR('Smart Search'!$L$8="",'Smart Search'!$L$8="All",TRIM(CC136)=TRIM('Smart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IF(A136="","",N(INDEX(Projects[Mech Inst],135)))</f>
        <v/>
      </c>
      <c r="BK136" s="5">
        <f>IF(A136="","",N(INDEX(Projects[Elec Inst],135)))</f>
        <v/>
      </c>
      <c r="BL136" s="5">
        <f>IF(A136="","",N(INDEX(Projects[Project Management],135)))</f>
        <v/>
      </c>
      <c r="BM136" s="5">
        <f>IF(A136="","",N(INDEX(Projects[Systems Eng],135)))</f>
        <v/>
      </c>
      <c r="BN136" s="5">
        <f>IF(A136="","",N(INDEX(Projects[Mechanical Eng],135)))</f>
        <v/>
      </c>
      <c r="BO136" s="5">
        <f>IF(A136="","",N(INDEX(Projects[Structural Engineering],135)))</f>
        <v/>
      </c>
      <c r="BP136" s="5">
        <f>IF(A136="","",N(INDEX(Projects[Site Sup],135)))</f>
        <v/>
      </c>
      <c r="BQ136" s="5">
        <f>IF(A136="","",N(INDEX(Projects[Controls Commissioning],135)))</f>
        <v/>
      </c>
      <c r="BR136" s="5">
        <f>IF(A136="","",N(INDEX(Projects[Systems Commissioning],135)))</f>
        <v/>
      </c>
      <c r="BS136" s="5">
        <f>IF(A136="","",N(INDEX(Projects[Service Commissioning],135)))</f>
        <v/>
      </c>
      <c r="BT136" s="5">
        <f>IF(A136="","",N(INDEX(Projects[Controls Eng],135)))</f>
        <v/>
      </c>
      <c r="BU136" s="5">
        <f>IF(A136="","",N(INDEX(Projects[Controls Purchase],135)))</f>
        <v/>
      </c>
      <c r="BV136" s="5">
        <f>IF(A136="","",N(INDEX(Projects[Software Eng],135)))</f>
        <v/>
      </c>
      <c r="BW136" s="5">
        <f>IF(A136="","",N(INDEX(Projects[Misc],135)))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  <c r="BZ136" s="5">
        <f>INDEX(Projects[Solution Type],135)&amp;""</f>
        <v/>
      </c>
      <c r="CA136" s="5">
        <f>INDEX(Projects[Client / Region],135)&amp;""</f>
        <v/>
      </c>
      <c r="CB136" s="5">
        <f>INDEX(Projects[Year],135)</f>
        <v/>
      </c>
      <c r="CC136" s="5">
        <f>INDEX(Projects[Won?],135)&amp;""</f>
        <v/>
      </c>
      <c r="CD136" s="5">
        <f>INDEX(Projects[Value (USD M)],135)</f>
        <v/>
      </c>
      <c r="CE136" s="5">
        <f>INDEX(Projects[MH Data Status],135)&amp;""</f>
        <v/>
      </c>
    </row>
    <row r="137" ht="15" customHeight="1" s="74">
      <c r="A137" s="66">
        <f>INDEX(Projects[Project ID *],136)&amp;""</f>
        <v/>
      </c>
      <c r="B137" s="66">
        <f>INDEX(Projects[Project Name *],136)&amp;""</f>
        <v/>
      </c>
      <c r="C137" s="66">
        <f>INDEX(Projects[MS Shuttles],136)</f>
        <v/>
      </c>
      <c r="D137" s="66">
        <f>INDEX(Projects[MS Tote Locations],136)</f>
        <v/>
      </c>
      <c r="E137" s="66">
        <f>INDEX(Projects[AS Robots],136)</f>
        <v/>
      </c>
      <c r="F137" s="66">
        <f>INDEX(Projects[AS Tote Locations],136)</f>
        <v/>
      </c>
      <c r="G137" s="66">
        <f>INDEX(Projects[PS Shuttles],136)</f>
        <v/>
      </c>
      <c r="H137" s="66">
        <f>INDEX(Projects[PS Pallet Locations],136)</f>
        <v/>
      </c>
      <c r="I137" s="66">
        <f>INDEX(Projects[SRM Cranes],136)</f>
        <v/>
      </c>
      <c r="J137" s="66">
        <f>INDEX(Projects[SRM Pallet Locations],136)</f>
        <v/>
      </c>
      <c r="K137" s="66">
        <f>INDEX(Projects[Case Conv (m)],136)</f>
        <v/>
      </c>
      <c r="L137" s="66">
        <f>INDEX(Projects[Pallet Conv (m)],136)</f>
        <v/>
      </c>
      <c r="M137" s="66">
        <f>INDEX(Projects[Mech Eng (wks)],136)</f>
        <v/>
      </c>
      <c r="N137" s="66">
        <f>INDEX(Projects[Controls Eng (wks)],136)</f>
        <v/>
      </c>
      <c r="O137" s="66">
        <f>INDEX(Projects[Systems Eng (wks)],136)</f>
        <v/>
      </c>
      <c r="P137" s="66">
        <f>INDEX(Projects[Software Eng (wks)],136)</f>
        <v/>
      </c>
      <c r="Q137" s="66">
        <f>INDEX(Projects[M&amp;E Installation (wks)],136)</f>
        <v/>
      </c>
      <c r="R137" s="66">
        <f>INDEX(Projects[Commissioning (wks)],136)</f>
        <v/>
      </c>
      <c r="S137" s="66">
        <f>INDEX(Projects[Total Timeline (wks)],136)</f>
        <v/>
      </c>
      <c r="T137" s="66">
        <f>INDEX(Projects[Currency],136)&amp;""</f>
        <v/>
      </c>
      <c r="U137" s="67">
        <f>INDEX(Projects[Value (M)],136)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INDEX(Projects[Automation Equipment],136)&amp;""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IF(AND(A137&lt;&gt;"",OR('Smart Search'!$L$5="",'Smart Search'!$L$5="All",TRIM(BZ137)=TRIM('Smart Search'!$L$5)),OR(TRIM('Smart Search'!$L$6)="",TRIM('Smart Search'!$L$6)="All",ISNUMBER(SEARCH(SUBSTITUTE(SUBSTITUTE(SUBSTITUTE(TRIM('Smart Search'!$L$6),"~","~~"),"*","~*"),"?","~?"),CA137))),OR('Smart Search'!$L$7="",AND(CB137&lt;&gt;0,CB137='Smart Search'!$L$7)),OR('Smart Search'!$L$8="",'Smart Search'!$L$8="All",TRIM(CC137)=TRIM('Smart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IF(A137="","",N(INDEX(Projects[Mech Inst],136)))</f>
        <v/>
      </c>
      <c r="BK137" s="5">
        <f>IF(A137="","",N(INDEX(Projects[Elec Inst],136)))</f>
        <v/>
      </c>
      <c r="BL137" s="5">
        <f>IF(A137="","",N(INDEX(Projects[Project Management],136)))</f>
        <v/>
      </c>
      <c r="BM137" s="5">
        <f>IF(A137="","",N(INDEX(Projects[Systems Eng],136)))</f>
        <v/>
      </c>
      <c r="BN137" s="5">
        <f>IF(A137="","",N(INDEX(Projects[Mechanical Eng],136)))</f>
        <v/>
      </c>
      <c r="BO137" s="5">
        <f>IF(A137="","",N(INDEX(Projects[Structural Engineering],136)))</f>
        <v/>
      </c>
      <c r="BP137" s="5">
        <f>IF(A137="","",N(INDEX(Projects[Site Sup],136)))</f>
        <v/>
      </c>
      <c r="BQ137" s="5">
        <f>IF(A137="","",N(INDEX(Projects[Controls Commissioning],136)))</f>
        <v/>
      </c>
      <c r="BR137" s="5">
        <f>IF(A137="","",N(INDEX(Projects[Systems Commissioning],136)))</f>
        <v/>
      </c>
      <c r="BS137" s="5">
        <f>IF(A137="","",N(INDEX(Projects[Service Commissioning],136)))</f>
        <v/>
      </c>
      <c r="BT137" s="5">
        <f>IF(A137="","",N(INDEX(Projects[Controls Eng],136)))</f>
        <v/>
      </c>
      <c r="BU137" s="5">
        <f>IF(A137="","",N(INDEX(Projects[Controls Purchase],136)))</f>
        <v/>
      </c>
      <c r="BV137" s="5">
        <f>IF(A137="","",N(INDEX(Projects[Software Eng],136)))</f>
        <v/>
      </c>
      <c r="BW137" s="5">
        <f>IF(A137="","",N(INDEX(Projects[Misc],136)))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  <c r="BZ137" s="5">
        <f>INDEX(Projects[Solution Type],136)&amp;""</f>
        <v/>
      </c>
      <c r="CA137" s="5">
        <f>INDEX(Projects[Client / Region],136)&amp;""</f>
        <v/>
      </c>
      <c r="CB137" s="5">
        <f>INDEX(Projects[Year],136)</f>
        <v/>
      </c>
      <c r="CC137" s="5">
        <f>INDEX(Projects[Won?],136)&amp;""</f>
        <v/>
      </c>
      <c r="CD137" s="5">
        <f>INDEX(Projects[Value (USD M)],136)</f>
        <v/>
      </c>
      <c r="CE137" s="5">
        <f>INDEX(Projects[MH Data Status],136)&amp;""</f>
        <v/>
      </c>
    </row>
    <row r="138" ht="15" customHeight="1" s="74">
      <c r="A138" s="66">
        <f>INDEX(Projects[Project ID *],137)&amp;""</f>
        <v/>
      </c>
      <c r="B138" s="66">
        <f>INDEX(Projects[Project Name *],137)&amp;""</f>
        <v/>
      </c>
      <c r="C138" s="66">
        <f>INDEX(Projects[MS Shuttles],137)</f>
        <v/>
      </c>
      <c r="D138" s="66">
        <f>INDEX(Projects[MS Tote Locations],137)</f>
        <v/>
      </c>
      <c r="E138" s="66">
        <f>INDEX(Projects[AS Robots],137)</f>
        <v/>
      </c>
      <c r="F138" s="66">
        <f>INDEX(Projects[AS Tote Locations],137)</f>
        <v/>
      </c>
      <c r="G138" s="66">
        <f>INDEX(Projects[PS Shuttles],137)</f>
        <v/>
      </c>
      <c r="H138" s="66">
        <f>INDEX(Projects[PS Pallet Locations],137)</f>
        <v/>
      </c>
      <c r="I138" s="66">
        <f>INDEX(Projects[SRM Cranes],137)</f>
        <v/>
      </c>
      <c r="J138" s="66">
        <f>INDEX(Projects[SRM Pallet Locations],137)</f>
        <v/>
      </c>
      <c r="K138" s="66">
        <f>INDEX(Projects[Case Conv (m)],137)</f>
        <v/>
      </c>
      <c r="L138" s="66">
        <f>INDEX(Projects[Pallet Conv (m)],137)</f>
        <v/>
      </c>
      <c r="M138" s="66">
        <f>INDEX(Projects[Mech Eng (wks)],137)</f>
        <v/>
      </c>
      <c r="N138" s="66">
        <f>INDEX(Projects[Controls Eng (wks)],137)</f>
        <v/>
      </c>
      <c r="O138" s="66">
        <f>INDEX(Projects[Systems Eng (wks)],137)</f>
        <v/>
      </c>
      <c r="P138" s="66">
        <f>INDEX(Projects[Software Eng (wks)],137)</f>
        <v/>
      </c>
      <c r="Q138" s="66">
        <f>INDEX(Projects[M&amp;E Installation (wks)],137)</f>
        <v/>
      </c>
      <c r="R138" s="66">
        <f>INDEX(Projects[Commissioning (wks)],137)</f>
        <v/>
      </c>
      <c r="S138" s="66">
        <f>INDEX(Projects[Total Timeline (wks)],137)</f>
        <v/>
      </c>
      <c r="T138" s="66">
        <f>INDEX(Projects[Currency],137)&amp;""</f>
        <v/>
      </c>
      <c r="U138" s="67">
        <f>INDEX(Projects[Value (M)],137)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INDEX(Projects[Automation Equipment],137)&amp;""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IF(AND(A138&lt;&gt;"",OR('Smart Search'!$L$5="",'Smart Search'!$L$5="All",TRIM(BZ138)=TRIM('Smart Search'!$L$5)),OR(TRIM('Smart Search'!$L$6)="",TRIM('Smart Search'!$L$6)="All",ISNUMBER(SEARCH(SUBSTITUTE(SUBSTITUTE(SUBSTITUTE(TRIM('Smart Search'!$L$6),"~","~~"),"*","~*"),"?","~?"),CA138))),OR('Smart Search'!$L$7="",AND(CB138&lt;&gt;0,CB138='Smart Search'!$L$7)),OR('Smart Search'!$L$8="",'Smart Search'!$L$8="All",TRIM(CC138)=TRIM('Smart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IF(A138="","",N(INDEX(Projects[Mech Inst],137)))</f>
        <v/>
      </c>
      <c r="BK138" s="5">
        <f>IF(A138="","",N(INDEX(Projects[Elec Inst],137)))</f>
        <v/>
      </c>
      <c r="BL138" s="5">
        <f>IF(A138="","",N(INDEX(Projects[Project Management],137)))</f>
        <v/>
      </c>
      <c r="BM138" s="5">
        <f>IF(A138="","",N(INDEX(Projects[Systems Eng],137)))</f>
        <v/>
      </c>
      <c r="BN138" s="5">
        <f>IF(A138="","",N(INDEX(Projects[Mechanical Eng],137)))</f>
        <v/>
      </c>
      <c r="BO138" s="5">
        <f>IF(A138="","",N(INDEX(Projects[Structural Engineering],137)))</f>
        <v/>
      </c>
      <c r="BP138" s="5">
        <f>IF(A138="","",N(INDEX(Projects[Site Sup],137)))</f>
        <v/>
      </c>
      <c r="BQ138" s="5">
        <f>IF(A138="","",N(INDEX(Projects[Controls Commissioning],137)))</f>
        <v/>
      </c>
      <c r="BR138" s="5">
        <f>IF(A138="","",N(INDEX(Projects[Systems Commissioning],137)))</f>
        <v/>
      </c>
      <c r="BS138" s="5">
        <f>IF(A138="","",N(INDEX(Projects[Service Commissioning],137)))</f>
        <v/>
      </c>
      <c r="BT138" s="5">
        <f>IF(A138="","",N(INDEX(Projects[Controls Eng],137)))</f>
        <v/>
      </c>
      <c r="BU138" s="5">
        <f>IF(A138="","",N(INDEX(Projects[Controls Purchase],137)))</f>
        <v/>
      </c>
      <c r="BV138" s="5">
        <f>IF(A138="","",N(INDEX(Projects[Software Eng],137)))</f>
        <v/>
      </c>
      <c r="BW138" s="5">
        <f>IF(A138="","",N(INDEX(Projects[Misc],137)))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  <c r="BZ138" s="5">
        <f>INDEX(Projects[Solution Type],137)&amp;""</f>
        <v/>
      </c>
      <c r="CA138" s="5">
        <f>INDEX(Projects[Client / Region],137)&amp;""</f>
        <v/>
      </c>
      <c r="CB138" s="5">
        <f>INDEX(Projects[Year],137)</f>
        <v/>
      </c>
      <c r="CC138" s="5">
        <f>INDEX(Projects[Won?],137)&amp;""</f>
        <v/>
      </c>
      <c r="CD138" s="5">
        <f>INDEX(Projects[Value (USD M)],137)</f>
        <v/>
      </c>
      <c r="CE138" s="5">
        <f>INDEX(Projects[MH Data Status],137)&amp;""</f>
        <v/>
      </c>
    </row>
    <row r="139" ht="15" customHeight="1" s="74">
      <c r="A139" s="66">
        <f>INDEX(Projects[Project ID *],138)&amp;""</f>
        <v/>
      </c>
      <c r="B139" s="66">
        <f>INDEX(Projects[Project Name *],138)&amp;""</f>
        <v/>
      </c>
      <c r="C139" s="66">
        <f>INDEX(Projects[MS Shuttles],138)</f>
        <v/>
      </c>
      <c r="D139" s="66">
        <f>INDEX(Projects[MS Tote Locations],138)</f>
        <v/>
      </c>
      <c r="E139" s="66">
        <f>INDEX(Projects[AS Robots],138)</f>
        <v/>
      </c>
      <c r="F139" s="66">
        <f>INDEX(Projects[AS Tote Locations],138)</f>
        <v/>
      </c>
      <c r="G139" s="66">
        <f>INDEX(Projects[PS Shuttles],138)</f>
        <v/>
      </c>
      <c r="H139" s="66">
        <f>INDEX(Projects[PS Pallet Locations],138)</f>
        <v/>
      </c>
      <c r="I139" s="66">
        <f>INDEX(Projects[SRM Cranes],138)</f>
        <v/>
      </c>
      <c r="J139" s="66">
        <f>INDEX(Projects[SRM Pallet Locations],138)</f>
        <v/>
      </c>
      <c r="K139" s="66">
        <f>INDEX(Projects[Case Conv (m)],138)</f>
        <v/>
      </c>
      <c r="L139" s="66">
        <f>INDEX(Projects[Pallet Conv (m)],138)</f>
        <v/>
      </c>
      <c r="M139" s="66">
        <f>INDEX(Projects[Mech Eng (wks)],138)</f>
        <v/>
      </c>
      <c r="N139" s="66">
        <f>INDEX(Projects[Controls Eng (wks)],138)</f>
        <v/>
      </c>
      <c r="O139" s="66">
        <f>INDEX(Projects[Systems Eng (wks)],138)</f>
        <v/>
      </c>
      <c r="P139" s="66">
        <f>INDEX(Projects[Software Eng (wks)],138)</f>
        <v/>
      </c>
      <c r="Q139" s="66">
        <f>INDEX(Projects[M&amp;E Installation (wks)],138)</f>
        <v/>
      </c>
      <c r="R139" s="66">
        <f>INDEX(Projects[Commissioning (wks)],138)</f>
        <v/>
      </c>
      <c r="S139" s="66">
        <f>INDEX(Projects[Total Timeline (wks)],138)</f>
        <v/>
      </c>
      <c r="T139" s="66">
        <f>INDEX(Projects[Currency],138)&amp;""</f>
        <v/>
      </c>
      <c r="U139" s="67">
        <f>INDEX(Projects[Value (M)],138)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INDEX(Projects[Automation Equipment],138)&amp;""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IF(AND(A139&lt;&gt;"",OR('Smart Search'!$L$5="",'Smart Search'!$L$5="All",TRIM(BZ139)=TRIM('Smart Search'!$L$5)),OR(TRIM('Smart Search'!$L$6)="",TRIM('Smart Search'!$L$6)="All",ISNUMBER(SEARCH(SUBSTITUTE(SUBSTITUTE(SUBSTITUTE(TRIM('Smart Search'!$L$6),"~","~~"),"*","~*"),"?","~?"),CA139))),OR('Smart Search'!$L$7="",AND(CB139&lt;&gt;0,CB139='Smart Search'!$L$7)),OR('Smart Search'!$L$8="",'Smart Search'!$L$8="All",TRIM(CC139)=TRIM('Smart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IF(A139="","",N(INDEX(Projects[Mech Inst],138)))</f>
        <v/>
      </c>
      <c r="BK139" s="5">
        <f>IF(A139="","",N(INDEX(Projects[Elec Inst],138)))</f>
        <v/>
      </c>
      <c r="BL139" s="5">
        <f>IF(A139="","",N(INDEX(Projects[Project Management],138)))</f>
        <v/>
      </c>
      <c r="BM139" s="5">
        <f>IF(A139="","",N(INDEX(Projects[Systems Eng],138)))</f>
        <v/>
      </c>
      <c r="BN139" s="5">
        <f>IF(A139="","",N(INDEX(Projects[Mechanical Eng],138)))</f>
        <v/>
      </c>
      <c r="BO139" s="5">
        <f>IF(A139="","",N(INDEX(Projects[Structural Engineering],138)))</f>
        <v/>
      </c>
      <c r="BP139" s="5">
        <f>IF(A139="","",N(INDEX(Projects[Site Sup],138)))</f>
        <v/>
      </c>
      <c r="BQ139" s="5">
        <f>IF(A139="","",N(INDEX(Projects[Controls Commissioning],138)))</f>
        <v/>
      </c>
      <c r="BR139" s="5">
        <f>IF(A139="","",N(INDEX(Projects[Systems Commissioning],138)))</f>
        <v/>
      </c>
      <c r="BS139" s="5">
        <f>IF(A139="","",N(INDEX(Projects[Service Commissioning],138)))</f>
        <v/>
      </c>
      <c r="BT139" s="5">
        <f>IF(A139="","",N(INDEX(Projects[Controls Eng],138)))</f>
        <v/>
      </c>
      <c r="BU139" s="5">
        <f>IF(A139="","",N(INDEX(Projects[Controls Purchase],138)))</f>
        <v/>
      </c>
      <c r="BV139" s="5">
        <f>IF(A139="","",N(INDEX(Projects[Software Eng],138)))</f>
        <v/>
      </c>
      <c r="BW139" s="5">
        <f>IF(A139="","",N(INDEX(Projects[Misc],138)))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  <c r="BZ139" s="5">
        <f>INDEX(Projects[Solution Type],138)&amp;""</f>
        <v/>
      </c>
      <c r="CA139" s="5">
        <f>INDEX(Projects[Client / Region],138)&amp;""</f>
        <v/>
      </c>
      <c r="CB139" s="5">
        <f>INDEX(Projects[Year],138)</f>
        <v/>
      </c>
      <c r="CC139" s="5">
        <f>INDEX(Projects[Won?],138)&amp;""</f>
        <v/>
      </c>
      <c r="CD139" s="5">
        <f>INDEX(Projects[Value (USD M)],138)</f>
        <v/>
      </c>
      <c r="CE139" s="5">
        <f>INDEX(Projects[MH Data Status],138)&amp;""</f>
        <v/>
      </c>
    </row>
    <row r="140" ht="15" customHeight="1" s="74">
      <c r="A140" s="66">
        <f>INDEX(Projects[Project ID *],139)&amp;""</f>
        <v/>
      </c>
      <c r="B140" s="66">
        <f>INDEX(Projects[Project Name *],139)&amp;""</f>
        <v/>
      </c>
      <c r="C140" s="66">
        <f>INDEX(Projects[MS Shuttles],139)</f>
        <v/>
      </c>
      <c r="D140" s="66">
        <f>INDEX(Projects[MS Tote Locations],139)</f>
        <v/>
      </c>
      <c r="E140" s="66">
        <f>INDEX(Projects[AS Robots],139)</f>
        <v/>
      </c>
      <c r="F140" s="66">
        <f>INDEX(Projects[AS Tote Locations],139)</f>
        <v/>
      </c>
      <c r="G140" s="66">
        <f>INDEX(Projects[PS Shuttles],139)</f>
        <v/>
      </c>
      <c r="H140" s="66">
        <f>INDEX(Projects[PS Pallet Locations],139)</f>
        <v/>
      </c>
      <c r="I140" s="66">
        <f>INDEX(Projects[SRM Cranes],139)</f>
        <v/>
      </c>
      <c r="J140" s="66">
        <f>INDEX(Projects[SRM Pallet Locations],139)</f>
        <v/>
      </c>
      <c r="K140" s="66">
        <f>INDEX(Projects[Case Conv (m)],139)</f>
        <v/>
      </c>
      <c r="L140" s="66">
        <f>INDEX(Projects[Pallet Conv (m)],139)</f>
        <v/>
      </c>
      <c r="M140" s="66">
        <f>INDEX(Projects[Mech Eng (wks)],139)</f>
        <v/>
      </c>
      <c r="N140" s="66">
        <f>INDEX(Projects[Controls Eng (wks)],139)</f>
        <v/>
      </c>
      <c r="O140" s="66">
        <f>INDEX(Projects[Systems Eng (wks)],139)</f>
        <v/>
      </c>
      <c r="P140" s="66">
        <f>INDEX(Projects[Software Eng (wks)],139)</f>
        <v/>
      </c>
      <c r="Q140" s="66">
        <f>INDEX(Projects[M&amp;E Installation (wks)],139)</f>
        <v/>
      </c>
      <c r="R140" s="66">
        <f>INDEX(Projects[Commissioning (wks)],139)</f>
        <v/>
      </c>
      <c r="S140" s="66">
        <f>INDEX(Projects[Total Timeline (wks)],139)</f>
        <v/>
      </c>
      <c r="T140" s="66">
        <f>INDEX(Projects[Currency],139)&amp;""</f>
        <v/>
      </c>
      <c r="U140" s="67">
        <f>INDEX(Projects[Value (M)],139)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INDEX(Projects[Automation Equipment],139)&amp;""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IF(AND(A140&lt;&gt;"",OR('Smart Search'!$L$5="",'Smart Search'!$L$5="All",TRIM(BZ140)=TRIM('Smart Search'!$L$5)),OR(TRIM('Smart Search'!$L$6)="",TRIM('Smart Search'!$L$6)="All",ISNUMBER(SEARCH(SUBSTITUTE(SUBSTITUTE(SUBSTITUTE(TRIM('Smart Search'!$L$6),"~","~~"),"*","~*"),"?","~?"),CA140))),OR('Smart Search'!$L$7="",AND(CB140&lt;&gt;0,CB140='Smart Search'!$L$7)),OR('Smart Search'!$L$8="",'Smart Search'!$L$8="All",TRIM(CC140)=TRIM('Smart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IF(A140="","",N(INDEX(Projects[Mech Inst],139)))</f>
        <v/>
      </c>
      <c r="BK140" s="5">
        <f>IF(A140="","",N(INDEX(Projects[Elec Inst],139)))</f>
        <v/>
      </c>
      <c r="BL140" s="5">
        <f>IF(A140="","",N(INDEX(Projects[Project Management],139)))</f>
        <v/>
      </c>
      <c r="BM140" s="5">
        <f>IF(A140="","",N(INDEX(Projects[Systems Eng],139)))</f>
        <v/>
      </c>
      <c r="BN140" s="5">
        <f>IF(A140="","",N(INDEX(Projects[Mechanical Eng],139)))</f>
        <v/>
      </c>
      <c r="BO140" s="5">
        <f>IF(A140="","",N(INDEX(Projects[Structural Engineering],139)))</f>
        <v/>
      </c>
      <c r="BP140" s="5">
        <f>IF(A140="","",N(INDEX(Projects[Site Sup],139)))</f>
        <v/>
      </c>
      <c r="BQ140" s="5">
        <f>IF(A140="","",N(INDEX(Projects[Controls Commissioning],139)))</f>
        <v/>
      </c>
      <c r="BR140" s="5">
        <f>IF(A140="","",N(INDEX(Projects[Systems Commissioning],139)))</f>
        <v/>
      </c>
      <c r="BS140" s="5">
        <f>IF(A140="","",N(INDEX(Projects[Service Commissioning],139)))</f>
        <v/>
      </c>
      <c r="BT140" s="5">
        <f>IF(A140="","",N(INDEX(Projects[Controls Eng],139)))</f>
        <v/>
      </c>
      <c r="BU140" s="5">
        <f>IF(A140="","",N(INDEX(Projects[Controls Purchase],139)))</f>
        <v/>
      </c>
      <c r="BV140" s="5">
        <f>IF(A140="","",N(INDEX(Projects[Software Eng],139)))</f>
        <v/>
      </c>
      <c r="BW140" s="5">
        <f>IF(A140="","",N(INDEX(Projects[Misc],139)))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  <c r="BZ140" s="5">
        <f>INDEX(Projects[Solution Type],139)&amp;""</f>
        <v/>
      </c>
      <c r="CA140" s="5">
        <f>INDEX(Projects[Client / Region],139)&amp;""</f>
        <v/>
      </c>
      <c r="CB140" s="5">
        <f>INDEX(Projects[Year],139)</f>
        <v/>
      </c>
      <c r="CC140" s="5">
        <f>INDEX(Projects[Won?],139)&amp;""</f>
        <v/>
      </c>
      <c r="CD140" s="5">
        <f>INDEX(Projects[Value (USD M)],139)</f>
        <v/>
      </c>
      <c r="CE140" s="5">
        <f>INDEX(Projects[MH Data Status],139)&amp;""</f>
        <v/>
      </c>
    </row>
    <row r="141" ht="15" customHeight="1" s="74">
      <c r="A141" s="66">
        <f>INDEX(Projects[Project ID *],140)&amp;""</f>
        <v/>
      </c>
      <c r="B141" s="66">
        <f>INDEX(Projects[Project Name *],140)&amp;""</f>
        <v/>
      </c>
      <c r="C141" s="66">
        <f>INDEX(Projects[MS Shuttles],140)</f>
        <v/>
      </c>
      <c r="D141" s="66">
        <f>INDEX(Projects[MS Tote Locations],140)</f>
        <v/>
      </c>
      <c r="E141" s="66">
        <f>INDEX(Projects[AS Robots],140)</f>
        <v/>
      </c>
      <c r="F141" s="66">
        <f>INDEX(Projects[AS Tote Locations],140)</f>
        <v/>
      </c>
      <c r="G141" s="66">
        <f>INDEX(Projects[PS Shuttles],140)</f>
        <v/>
      </c>
      <c r="H141" s="66">
        <f>INDEX(Projects[PS Pallet Locations],140)</f>
        <v/>
      </c>
      <c r="I141" s="66">
        <f>INDEX(Projects[SRM Cranes],140)</f>
        <v/>
      </c>
      <c r="J141" s="66">
        <f>INDEX(Projects[SRM Pallet Locations],140)</f>
        <v/>
      </c>
      <c r="K141" s="66">
        <f>INDEX(Projects[Case Conv (m)],140)</f>
        <v/>
      </c>
      <c r="L141" s="66">
        <f>INDEX(Projects[Pallet Conv (m)],140)</f>
        <v/>
      </c>
      <c r="M141" s="66">
        <f>INDEX(Projects[Mech Eng (wks)],140)</f>
        <v/>
      </c>
      <c r="N141" s="66">
        <f>INDEX(Projects[Controls Eng (wks)],140)</f>
        <v/>
      </c>
      <c r="O141" s="66">
        <f>INDEX(Projects[Systems Eng (wks)],140)</f>
        <v/>
      </c>
      <c r="P141" s="66">
        <f>INDEX(Projects[Software Eng (wks)],140)</f>
        <v/>
      </c>
      <c r="Q141" s="66">
        <f>INDEX(Projects[M&amp;E Installation (wks)],140)</f>
        <v/>
      </c>
      <c r="R141" s="66">
        <f>INDEX(Projects[Commissioning (wks)],140)</f>
        <v/>
      </c>
      <c r="S141" s="66">
        <f>INDEX(Projects[Total Timeline (wks)],140)</f>
        <v/>
      </c>
      <c r="T141" s="66">
        <f>INDEX(Projects[Currency],140)&amp;""</f>
        <v/>
      </c>
      <c r="U141" s="67">
        <f>INDEX(Projects[Value (M)],140)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INDEX(Projects[Automation Equipment],140)&amp;""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IF(AND(A141&lt;&gt;"",OR('Smart Search'!$L$5="",'Smart Search'!$L$5="All",TRIM(BZ141)=TRIM('Smart Search'!$L$5)),OR(TRIM('Smart Search'!$L$6)="",TRIM('Smart Search'!$L$6)="All",ISNUMBER(SEARCH(SUBSTITUTE(SUBSTITUTE(SUBSTITUTE(TRIM('Smart Search'!$L$6),"~","~~"),"*","~*"),"?","~?"),CA141))),OR('Smart Search'!$L$7="",AND(CB141&lt;&gt;0,CB141='Smart Search'!$L$7)),OR('Smart Search'!$L$8="",'Smart Search'!$L$8="All",TRIM(CC141)=TRIM('Smart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IF(A141="","",N(INDEX(Projects[Mech Inst],140)))</f>
        <v/>
      </c>
      <c r="BK141" s="5">
        <f>IF(A141="","",N(INDEX(Projects[Elec Inst],140)))</f>
        <v/>
      </c>
      <c r="BL141" s="5">
        <f>IF(A141="","",N(INDEX(Projects[Project Management],140)))</f>
        <v/>
      </c>
      <c r="BM141" s="5">
        <f>IF(A141="","",N(INDEX(Projects[Systems Eng],140)))</f>
        <v/>
      </c>
      <c r="BN141" s="5">
        <f>IF(A141="","",N(INDEX(Projects[Mechanical Eng],140)))</f>
        <v/>
      </c>
      <c r="BO141" s="5">
        <f>IF(A141="","",N(INDEX(Projects[Structural Engineering],140)))</f>
        <v/>
      </c>
      <c r="BP141" s="5">
        <f>IF(A141="","",N(INDEX(Projects[Site Sup],140)))</f>
        <v/>
      </c>
      <c r="BQ141" s="5">
        <f>IF(A141="","",N(INDEX(Projects[Controls Commissioning],140)))</f>
        <v/>
      </c>
      <c r="BR141" s="5">
        <f>IF(A141="","",N(INDEX(Projects[Systems Commissioning],140)))</f>
        <v/>
      </c>
      <c r="BS141" s="5">
        <f>IF(A141="","",N(INDEX(Projects[Service Commissioning],140)))</f>
        <v/>
      </c>
      <c r="BT141" s="5">
        <f>IF(A141="","",N(INDEX(Projects[Controls Eng],140)))</f>
        <v/>
      </c>
      <c r="BU141" s="5">
        <f>IF(A141="","",N(INDEX(Projects[Controls Purchase],140)))</f>
        <v/>
      </c>
      <c r="BV141" s="5">
        <f>IF(A141="","",N(INDEX(Projects[Software Eng],140)))</f>
        <v/>
      </c>
      <c r="BW141" s="5">
        <f>IF(A141="","",N(INDEX(Projects[Misc],140)))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  <c r="BZ141" s="5">
        <f>INDEX(Projects[Solution Type],140)&amp;""</f>
        <v/>
      </c>
      <c r="CA141" s="5">
        <f>INDEX(Projects[Client / Region],140)&amp;""</f>
        <v/>
      </c>
      <c r="CB141" s="5">
        <f>INDEX(Projects[Year],140)</f>
        <v/>
      </c>
      <c r="CC141" s="5">
        <f>INDEX(Projects[Won?],140)&amp;""</f>
        <v/>
      </c>
      <c r="CD141" s="5">
        <f>INDEX(Projects[Value (USD M)],140)</f>
        <v/>
      </c>
      <c r="CE141" s="5">
        <f>INDEX(Projects[MH Data Status],140)&amp;""</f>
        <v/>
      </c>
    </row>
    <row r="142" ht="15" customHeight="1" s="74">
      <c r="A142" s="66">
        <f>INDEX(Projects[Project ID *],141)&amp;""</f>
        <v/>
      </c>
      <c r="B142" s="66">
        <f>INDEX(Projects[Project Name *],141)&amp;""</f>
        <v/>
      </c>
      <c r="C142" s="66">
        <f>INDEX(Projects[MS Shuttles],141)</f>
        <v/>
      </c>
      <c r="D142" s="66">
        <f>INDEX(Projects[MS Tote Locations],141)</f>
        <v/>
      </c>
      <c r="E142" s="66">
        <f>INDEX(Projects[AS Robots],141)</f>
        <v/>
      </c>
      <c r="F142" s="66">
        <f>INDEX(Projects[AS Tote Locations],141)</f>
        <v/>
      </c>
      <c r="G142" s="66">
        <f>INDEX(Projects[PS Shuttles],141)</f>
        <v/>
      </c>
      <c r="H142" s="66">
        <f>INDEX(Projects[PS Pallet Locations],141)</f>
        <v/>
      </c>
      <c r="I142" s="66">
        <f>INDEX(Projects[SRM Cranes],141)</f>
        <v/>
      </c>
      <c r="J142" s="66">
        <f>INDEX(Projects[SRM Pallet Locations],141)</f>
        <v/>
      </c>
      <c r="K142" s="66">
        <f>INDEX(Projects[Case Conv (m)],141)</f>
        <v/>
      </c>
      <c r="L142" s="66">
        <f>INDEX(Projects[Pallet Conv (m)],141)</f>
        <v/>
      </c>
      <c r="M142" s="66">
        <f>INDEX(Projects[Mech Eng (wks)],141)</f>
        <v/>
      </c>
      <c r="N142" s="66">
        <f>INDEX(Projects[Controls Eng (wks)],141)</f>
        <v/>
      </c>
      <c r="O142" s="66">
        <f>INDEX(Projects[Systems Eng (wks)],141)</f>
        <v/>
      </c>
      <c r="P142" s="66">
        <f>INDEX(Projects[Software Eng (wks)],141)</f>
        <v/>
      </c>
      <c r="Q142" s="66">
        <f>INDEX(Projects[M&amp;E Installation (wks)],141)</f>
        <v/>
      </c>
      <c r="R142" s="66">
        <f>INDEX(Projects[Commissioning (wks)],141)</f>
        <v/>
      </c>
      <c r="S142" s="66">
        <f>INDEX(Projects[Total Timeline (wks)],141)</f>
        <v/>
      </c>
      <c r="T142" s="66">
        <f>INDEX(Projects[Currency],141)&amp;""</f>
        <v/>
      </c>
      <c r="U142" s="67">
        <f>INDEX(Projects[Value (M)],141)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INDEX(Projects[Automation Equipment],141)&amp;""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IF(AND(A142&lt;&gt;"",OR('Smart Search'!$L$5="",'Smart Search'!$L$5="All",TRIM(BZ142)=TRIM('Smart Search'!$L$5)),OR(TRIM('Smart Search'!$L$6)="",TRIM('Smart Search'!$L$6)="All",ISNUMBER(SEARCH(SUBSTITUTE(SUBSTITUTE(SUBSTITUTE(TRIM('Smart Search'!$L$6),"~","~~"),"*","~*"),"?","~?"),CA142))),OR('Smart Search'!$L$7="",AND(CB142&lt;&gt;0,CB142='Smart Search'!$L$7)),OR('Smart Search'!$L$8="",'Smart Search'!$L$8="All",TRIM(CC142)=TRIM('Smart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IF(A142="","",N(INDEX(Projects[Mech Inst],141)))</f>
        <v/>
      </c>
      <c r="BK142" s="5">
        <f>IF(A142="","",N(INDEX(Projects[Elec Inst],141)))</f>
        <v/>
      </c>
      <c r="BL142" s="5">
        <f>IF(A142="","",N(INDEX(Projects[Project Management],141)))</f>
        <v/>
      </c>
      <c r="BM142" s="5">
        <f>IF(A142="","",N(INDEX(Projects[Systems Eng],141)))</f>
        <v/>
      </c>
      <c r="BN142" s="5">
        <f>IF(A142="","",N(INDEX(Projects[Mechanical Eng],141)))</f>
        <v/>
      </c>
      <c r="BO142" s="5">
        <f>IF(A142="","",N(INDEX(Projects[Structural Engineering],141)))</f>
        <v/>
      </c>
      <c r="BP142" s="5">
        <f>IF(A142="","",N(INDEX(Projects[Site Sup],141)))</f>
        <v/>
      </c>
      <c r="BQ142" s="5">
        <f>IF(A142="","",N(INDEX(Projects[Controls Commissioning],141)))</f>
        <v/>
      </c>
      <c r="BR142" s="5">
        <f>IF(A142="","",N(INDEX(Projects[Systems Commissioning],141)))</f>
        <v/>
      </c>
      <c r="BS142" s="5">
        <f>IF(A142="","",N(INDEX(Projects[Service Commissioning],141)))</f>
        <v/>
      </c>
      <c r="BT142" s="5">
        <f>IF(A142="","",N(INDEX(Projects[Controls Eng],141)))</f>
        <v/>
      </c>
      <c r="BU142" s="5">
        <f>IF(A142="","",N(INDEX(Projects[Controls Purchase],141)))</f>
        <v/>
      </c>
      <c r="BV142" s="5">
        <f>IF(A142="","",N(INDEX(Projects[Software Eng],141)))</f>
        <v/>
      </c>
      <c r="BW142" s="5">
        <f>IF(A142="","",N(INDEX(Projects[Misc],141)))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  <c r="BZ142" s="5">
        <f>INDEX(Projects[Solution Type],141)&amp;""</f>
        <v/>
      </c>
      <c r="CA142" s="5">
        <f>INDEX(Projects[Client / Region],141)&amp;""</f>
        <v/>
      </c>
      <c r="CB142" s="5">
        <f>INDEX(Projects[Year],141)</f>
        <v/>
      </c>
      <c r="CC142" s="5">
        <f>INDEX(Projects[Won?],141)&amp;""</f>
        <v/>
      </c>
      <c r="CD142" s="5">
        <f>INDEX(Projects[Value (USD M)],141)</f>
        <v/>
      </c>
      <c r="CE142" s="5">
        <f>INDEX(Projects[MH Data Status],141)&amp;""</f>
        <v/>
      </c>
    </row>
    <row r="143" ht="15" customHeight="1" s="74">
      <c r="A143" s="66">
        <f>INDEX(Projects[Project ID *],142)&amp;""</f>
        <v/>
      </c>
      <c r="B143" s="66">
        <f>INDEX(Projects[Project Name *],142)&amp;""</f>
        <v/>
      </c>
      <c r="C143" s="66">
        <f>INDEX(Projects[MS Shuttles],142)</f>
        <v/>
      </c>
      <c r="D143" s="66">
        <f>INDEX(Projects[MS Tote Locations],142)</f>
        <v/>
      </c>
      <c r="E143" s="66">
        <f>INDEX(Projects[AS Robots],142)</f>
        <v/>
      </c>
      <c r="F143" s="66">
        <f>INDEX(Projects[AS Tote Locations],142)</f>
        <v/>
      </c>
      <c r="G143" s="66">
        <f>INDEX(Projects[PS Shuttles],142)</f>
        <v/>
      </c>
      <c r="H143" s="66">
        <f>INDEX(Projects[PS Pallet Locations],142)</f>
        <v/>
      </c>
      <c r="I143" s="66">
        <f>INDEX(Projects[SRM Cranes],142)</f>
        <v/>
      </c>
      <c r="J143" s="66">
        <f>INDEX(Projects[SRM Pallet Locations],142)</f>
        <v/>
      </c>
      <c r="K143" s="66">
        <f>INDEX(Projects[Case Conv (m)],142)</f>
        <v/>
      </c>
      <c r="L143" s="66">
        <f>INDEX(Projects[Pallet Conv (m)],142)</f>
        <v/>
      </c>
      <c r="M143" s="66">
        <f>INDEX(Projects[Mech Eng (wks)],142)</f>
        <v/>
      </c>
      <c r="N143" s="66">
        <f>INDEX(Projects[Controls Eng (wks)],142)</f>
        <v/>
      </c>
      <c r="O143" s="66">
        <f>INDEX(Projects[Systems Eng (wks)],142)</f>
        <v/>
      </c>
      <c r="P143" s="66">
        <f>INDEX(Projects[Software Eng (wks)],142)</f>
        <v/>
      </c>
      <c r="Q143" s="66">
        <f>INDEX(Projects[M&amp;E Installation (wks)],142)</f>
        <v/>
      </c>
      <c r="R143" s="66">
        <f>INDEX(Projects[Commissioning (wks)],142)</f>
        <v/>
      </c>
      <c r="S143" s="66">
        <f>INDEX(Projects[Total Timeline (wks)],142)</f>
        <v/>
      </c>
      <c r="T143" s="66">
        <f>INDEX(Projects[Currency],142)&amp;""</f>
        <v/>
      </c>
      <c r="U143" s="67">
        <f>INDEX(Projects[Value (M)],142)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INDEX(Projects[Automation Equipment],142)&amp;""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IF(AND(A143&lt;&gt;"",OR('Smart Search'!$L$5="",'Smart Search'!$L$5="All",TRIM(BZ143)=TRIM('Smart Search'!$L$5)),OR(TRIM('Smart Search'!$L$6)="",TRIM('Smart Search'!$L$6)="All",ISNUMBER(SEARCH(SUBSTITUTE(SUBSTITUTE(SUBSTITUTE(TRIM('Smart Search'!$L$6),"~","~~"),"*","~*"),"?","~?"),CA143))),OR('Smart Search'!$L$7="",AND(CB143&lt;&gt;0,CB143='Smart Search'!$L$7)),OR('Smart Search'!$L$8="",'Smart Search'!$L$8="All",TRIM(CC143)=TRIM('Smart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IF(A143="","",N(INDEX(Projects[Mech Inst],142)))</f>
        <v/>
      </c>
      <c r="BK143" s="5">
        <f>IF(A143="","",N(INDEX(Projects[Elec Inst],142)))</f>
        <v/>
      </c>
      <c r="BL143" s="5">
        <f>IF(A143="","",N(INDEX(Projects[Project Management],142)))</f>
        <v/>
      </c>
      <c r="BM143" s="5">
        <f>IF(A143="","",N(INDEX(Projects[Systems Eng],142)))</f>
        <v/>
      </c>
      <c r="BN143" s="5">
        <f>IF(A143="","",N(INDEX(Projects[Mechanical Eng],142)))</f>
        <v/>
      </c>
      <c r="BO143" s="5">
        <f>IF(A143="","",N(INDEX(Projects[Structural Engineering],142)))</f>
        <v/>
      </c>
      <c r="BP143" s="5">
        <f>IF(A143="","",N(INDEX(Projects[Site Sup],142)))</f>
        <v/>
      </c>
      <c r="BQ143" s="5">
        <f>IF(A143="","",N(INDEX(Projects[Controls Commissioning],142)))</f>
        <v/>
      </c>
      <c r="BR143" s="5">
        <f>IF(A143="","",N(INDEX(Projects[Systems Commissioning],142)))</f>
        <v/>
      </c>
      <c r="BS143" s="5">
        <f>IF(A143="","",N(INDEX(Projects[Service Commissioning],142)))</f>
        <v/>
      </c>
      <c r="BT143" s="5">
        <f>IF(A143="","",N(INDEX(Projects[Controls Eng],142)))</f>
        <v/>
      </c>
      <c r="BU143" s="5">
        <f>IF(A143="","",N(INDEX(Projects[Controls Purchase],142)))</f>
        <v/>
      </c>
      <c r="BV143" s="5">
        <f>IF(A143="","",N(INDEX(Projects[Software Eng],142)))</f>
        <v/>
      </c>
      <c r="BW143" s="5">
        <f>IF(A143="","",N(INDEX(Projects[Misc],142)))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  <c r="BZ143" s="5">
        <f>INDEX(Projects[Solution Type],142)&amp;""</f>
        <v/>
      </c>
      <c r="CA143" s="5">
        <f>INDEX(Projects[Client / Region],142)&amp;""</f>
        <v/>
      </c>
      <c r="CB143" s="5">
        <f>INDEX(Projects[Year],142)</f>
        <v/>
      </c>
      <c r="CC143" s="5">
        <f>INDEX(Projects[Won?],142)&amp;""</f>
        <v/>
      </c>
      <c r="CD143" s="5">
        <f>INDEX(Projects[Value (USD M)],142)</f>
        <v/>
      </c>
      <c r="CE143" s="5">
        <f>INDEX(Projects[MH Data Status],142)&amp;""</f>
        <v/>
      </c>
    </row>
    <row r="144" ht="15" customHeight="1" s="74">
      <c r="A144" s="66">
        <f>INDEX(Projects[Project ID *],143)&amp;""</f>
        <v/>
      </c>
      <c r="B144" s="66">
        <f>INDEX(Projects[Project Name *],143)&amp;""</f>
        <v/>
      </c>
      <c r="C144" s="66">
        <f>INDEX(Projects[MS Shuttles],143)</f>
        <v/>
      </c>
      <c r="D144" s="66">
        <f>INDEX(Projects[MS Tote Locations],143)</f>
        <v/>
      </c>
      <c r="E144" s="66">
        <f>INDEX(Projects[AS Robots],143)</f>
        <v/>
      </c>
      <c r="F144" s="66">
        <f>INDEX(Projects[AS Tote Locations],143)</f>
        <v/>
      </c>
      <c r="G144" s="66">
        <f>INDEX(Projects[PS Shuttles],143)</f>
        <v/>
      </c>
      <c r="H144" s="66">
        <f>INDEX(Projects[PS Pallet Locations],143)</f>
        <v/>
      </c>
      <c r="I144" s="66">
        <f>INDEX(Projects[SRM Cranes],143)</f>
        <v/>
      </c>
      <c r="J144" s="66">
        <f>INDEX(Projects[SRM Pallet Locations],143)</f>
        <v/>
      </c>
      <c r="K144" s="66">
        <f>INDEX(Projects[Case Conv (m)],143)</f>
        <v/>
      </c>
      <c r="L144" s="66">
        <f>INDEX(Projects[Pallet Conv (m)],143)</f>
        <v/>
      </c>
      <c r="M144" s="66">
        <f>INDEX(Projects[Mech Eng (wks)],143)</f>
        <v/>
      </c>
      <c r="N144" s="66">
        <f>INDEX(Projects[Controls Eng (wks)],143)</f>
        <v/>
      </c>
      <c r="O144" s="66">
        <f>INDEX(Projects[Systems Eng (wks)],143)</f>
        <v/>
      </c>
      <c r="P144" s="66">
        <f>INDEX(Projects[Software Eng (wks)],143)</f>
        <v/>
      </c>
      <c r="Q144" s="66">
        <f>INDEX(Projects[M&amp;E Installation (wks)],143)</f>
        <v/>
      </c>
      <c r="R144" s="66">
        <f>INDEX(Projects[Commissioning (wks)],143)</f>
        <v/>
      </c>
      <c r="S144" s="66">
        <f>INDEX(Projects[Total Timeline (wks)],143)</f>
        <v/>
      </c>
      <c r="T144" s="66">
        <f>INDEX(Projects[Currency],143)&amp;""</f>
        <v/>
      </c>
      <c r="U144" s="67">
        <f>INDEX(Projects[Value (M)],143)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INDEX(Projects[Automation Equipment],143)&amp;""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IF(AND(A144&lt;&gt;"",OR('Smart Search'!$L$5="",'Smart Search'!$L$5="All",TRIM(BZ144)=TRIM('Smart Search'!$L$5)),OR(TRIM('Smart Search'!$L$6)="",TRIM('Smart Search'!$L$6)="All",ISNUMBER(SEARCH(SUBSTITUTE(SUBSTITUTE(SUBSTITUTE(TRIM('Smart Search'!$L$6),"~","~~"),"*","~*"),"?","~?"),CA144))),OR('Smart Search'!$L$7="",AND(CB144&lt;&gt;0,CB144='Smart Search'!$L$7)),OR('Smart Search'!$L$8="",'Smart Search'!$L$8="All",TRIM(CC144)=TRIM('Smart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IF(A144="","",N(INDEX(Projects[Mech Inst],143)))</f>
        <v/>
      </c>
      <c r="BK144" s="5">
        <f>IF(A144="","",N(INDEX(Projects[Elec Inst],143)))</f>
        <v/>
      </c>
      <c r="BL144" s="5">
        <f>IF(A144="","",N(INDEX(Projects[Project Management],143)))</f>
        <v/>
      </c>
      <c r="BM144" s="5">
        <f>IF(A144="","",N(INDEX(Projects[Systems Eng],143)))</f>
        <v/>
      </c>
      <c r="BN144" s="5">
        <f>IF(A144="","",N(INDEX(Projects[Mechanical Eng],143)))</f>
        <v/>
      </c>
      <c r="BO144" s="5">
        <f>IF(A144="","",N(INDEX(Projects[Structural Engineering],143)))</f>
        <v/>
      </c>
      <c r="BP144" s="5">
        <f>IF(A144="","",N(INDEX(Projects[Site Sup],143)))</f>
        <v/>
      </c>
      <c r="BQ144" s="5">
        <f>IF(A144="","",N(INDEX(Projects[Controls Commissioning],143)))</f>
        <v/>
      </c>
      <c r="BR144" s="5">
        <f>IF(A144="","",N(INDEX(Projects[Systems Commissioning],143)))</f>
        <v/>
      </c>
      <c r="BS144" s="5">
        <f>IF(A144="","",N(INDEX(Projects[Service Commissioning],143)))</f>
        <v/>
      </c>
      <c r="BT144" s="5">
        <f>IF(A144="","",N(INDEX(Projects[Controls Eng],143)))</f>
        <v/>
      </c>
      <c r="BU144" s="5">
        <f>IF(A144="","",N(INDEX(Projects[Controls Purchase],143)))</f>
        <v/>
      </c>
      <c r="BV144" s="5">
        <f>IF(A144="","",N(INDEX(Projects[Software Eng],143)))</f>
        <v/>
      </c>
      <c r="BW144" s="5">
        <f>IF(A144="","",N(INDEX(Projects[Misc],143)))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  <c r="BZ144" s="5">
        <f>INDEX(Projects[Solution Type],143)&amp;""</f>
        <v/>
      </c>
      <c r="CA144" s="5">
        <f>INDEX(Projects[Client / Region],143)&amp;""</f>
        <v/>
      </c>
      <c r="CB144" s="5">
        <f>INDEX(Projects[Year],143)</f>
        <v/>
      </c>
      <c r="CC144" s="5">
        <f>INDEX(Projects[Won?],143)&amp;""</f>
        <v/>
      </c>
      <c r="CD144" s="5">
        <f>INDEX(Projects[Value (USD M)],143)</f>
        <v/>
      </c>
      <c r="CE144" s="5">
        <f>INDEX(Projects[MH Data Status],143)&amp;""</f>
        <v/>
      </c>
    </row>
    <row r="145" ht="15" customHeight="1" s="74">
      <c r="A145" s="66">
        <f>INDEX(Projects[Project ID *],144)&amp;""</f>
        <v/>
      </c>
      <c r="B145" s="66">
        <f>INDEX(Projects[Project Name *],144)&amp;""</f>
        <v/>
      </c>
      <c r="C145" s="66">
        <f>INDEX(Projects[MS Shuttles],144)</f>
        <v/>
      </c>
      <c r="D145" s="66">
        <f>INDEX(Projects[MS Tote Locations],144)</f>
        <v/>
      </c>
      <c r="E145" s="66">
        <f>INDEX(Projects[AS Robots],144)</f>
        <v/>
      </c>
      <c r="F145" s="66">
        <f>INDEX(Projects[AS Tote Locations],144)</f>
        <v/>
      </c>
      <c r="G145" s="66">
        <f>INDEX(Projects[PS Shuttles],144)</f>
        <v/>
      </c>
      <c r="H145" s="66">
        <f>INDEX(Projects[PS Pallet Locations],144)</f>
        <v/>
      </c>
      <c r="I145" s="66">
        <f>INDEX(Projects[SRM Cranes],144)</f>
        <v/>
      </c>
      <c r="J145" s="66">
        <f>INDEX(Projects[SRM Pallet Locations],144)</f>
        <v/>
      </c>
      <c r="K145" s="66">
        <f>INDEX(Projects[Case Conv (m)],144)</f>
        <v/>
      </c>
      <c r="L145" s="66">
        <f>INDEX(Projects[Pallet Conv (m)],144)</f>
        <v/>
      </c>
      <c r="M145" s="66">
        <f>INDEX(Projects[Mech Eng (wks)],144)</f>
        <v/>
      </c>
      <c r="N145" s="66">
        <f>INDEX(Projects[Controls Eng (wks)],144)</f>
        <v/>
      </c>
      <c r="O145" s="66">
        <f>INDEX(Projects[Systems Eng (wks)],144)</f>
        <v/>
      </c>
      <c r="P145" s="66">
        <f>INDEX(Projects[Software Eng (wks)],144)</f>
        <v/>
      </c>
      <c r="Q145" s="66">
        <f>INDEX(Projects[M&amp;E Installation (wks)],144)</f>
        <v/>
      </c>
      <c r="R145" s="66">
        <f>INDEX(Projects[Commissioning (wks)],144)</f>
        <v/>
      </c>
      <c r="S145" s="66">
        <f>INDEX(Projects[Total Timeline (wks)],144)</f>
        <v/>
      </c>
      <c r="T145" s="66">
        <f>INDEX(Projects[Currency],144)&amp;""</f>
        <v/>
      </c>
      <c r="U145" s="67">
        <f>INDEX(Projects[Value (M)],144)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INDEX(Projects[Automation Equipment],144)&amp;""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IF(AND(A145&lt;&gt;"",OR('Smart Search'!$L$5="",'Smart Search'!$L$5="All",TRIM(BZ145)=TRIM('Smart Search'!$L$5)),OR(TRIM('Smart Search'!$L$6)="",TRIM('Smart Search'!$L$6)="All",ISNUMBER(SEARCH(SUBSTITUTE(SUBSTITUTE(SUBSTITUTE(TRIM('Smart Search'!$L$6),"~","~~"),"*","~*"),"?","~?"),CA145))),OR('Smart Search'!$L$7="",AND(CB145&lt;&gt;0,CB145='Smart Search'!$L$7)),OR('Smart Search'!$L$8="",'Smart Search'!$L$8="All",TRIM(CC145)=TRIM('Smart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IF(A145="","",N(INDEX(Projects[Mech Inst],144)))</f>
        <v/>
      </c>
      <c r="BK145" s="5">
        <f>IF(A145="","",N(INDEX(Projects[Elec Inst],144)))</f>
        <v/>
      </c>
      <c r="BL145" s="5">
        <f>IF(A145="","",N(INDEX(Projects[Project Management],144)))</f>
        <v/>
      </c>
      <c r="BM145" s="5">
        <f>IF(A145="","",N(INDEX(Projects[Systems Eng],144)))</f>
        <v/>
      </c>
      <c r="BN145" s="5">
        <f>IF(A145="","",N(INDEX(Projects[Mechanical Eng],144)))</f>
        <v/>
      </c>
      <c r="BO145" s="5">
        <f>IF(A145="","",N(INDEX(Projects[Structural Engineering],144)))</f>
        <v/>
      </c>
      <c r="BP145" s="5">
        <f>IF(A145="","",N(INDEX(Projects[Site Sup],144)))</f>
        <v/>
      </c>
      <c r="BQ145" s="5">
        <f>IF(A145="","",N(INDEX(Projects[Controls Commissioning],144)))</f>
        <v/>
      </c>
      <c r="BR145" s="5">
        <f>IF(A145="","",N(INDEX(Projects[Systems Commissioning],144)))</f>
        <v/>
      </c>
      <c r="BS145" s="5">
        <f>IF(A145="","",N(INDEX(Projects[Service Commissioning],144)))</f>
        <v/>
      </c>
      <c r="BT145" s="5">
        <f>IF(A145="","",N(INDEX(Projects[Controls Eng],144)))</f>
        <v/>
      </c>
      <c r="BU145" s="5">
        <f>IF(A145="","",N(INDEX(Projects[Controls Purchase],144)))</f>
        <v/>
      </c>
      <c r="BV145" s="5">
        <f>IF(A145="","",N(INDEX(Projects[Software Eng],144)))</f>
        <v/>
      </c>
      <c r="BW145" s="5">
        <f>IF(A145="","",N(INDEX(Projects[Misc],144)))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  <c r="BZ145" s="5">
        <f>INDEX(Projects[Solution Type],144)&amp;""</f>
        <v/>
      </c>
      <c r="CA145" s="5">
        <f>INDEX(Projects[Client / Region],144)&amp;""</f>
        <v/>
      </c>
      <c r="CB145" s="5">
        <f>INDEX(Projects[Year],144)</f>
        <v/>
      </c>
      <c r="CC145" s="5">
        <f>INDEX(Projects[Won?],144)&amp;""</f>
        <v/>
      </c>
      <c r="CD145" s="5">
        <f>INDEX(Projects[Value (USD M)],144)</f>
        <v/>
      </c>
      <c r="CE145" s="5">
        <f>INDEX(Projects[MH Data Status],144)&amp;""</f>
        <v/>
      </c>
    </row>
    <row r="146" ht="15" customHeight="1" s="74">
      <c r="A146" s="66">
        <f>INDEX(Projects[Project ID *],145)&amp;""</f>
        <v/>
      </c>
      <c r="B146" s="66">
        <f>INDEX(Projects[Project Name *],145)&amp;""</f>
        <v/>
      </c>
      <c r="C146" s="66">
        <f>INDEX(Projects[MS Shuttles],145)</f>
        <v/>
      </c>
      <c r="D146" s="66">
        <f>INDEX(Projects[MS Tote Locations],145)</f>
        <v/>
      </c>
      <c r="E146" s="66">
        <f>INDEX(Projects[AS Robots],145)</f>
        <v/>
      </c>
      <c r="F146" s="66">
        <f>INDEX(Projects[AS Tote Locations],145)</f>
        <v/>
      </c>
      <c r="G146" s="66">
        <f>INDEX(Projects[PS Shuttles],145)</f>
        <v/>
      </c>
      <c r="H146" s="66">
        <f>INDEX(Projects[PS Pallet Locations],145)</f>
        <v/>
      </c>
      <c r="I146" s="66">
        <f>INDEX(Projects[SRM Cranes],145)</f>
        <v/>
      </c>
      <c r="J146" s="66">
        <f>INDEX(Projects[SRM Pallet Locations],145)</f>
        <v/>
      </c>
      <c r="K146" s="66">
        <f>INDEX(Projects[Case Conv (m)],145)</f>
        <v/>
      </c>
      <c r="L146" s="66">
        <f>INDEX(Projects[Pallet Conv (m)],145)</f>
        <v/>
      </c>
      <c r="M146" s="66">
        <f>INDEX(Projects[Mech Eng (wks)],145)</f>
        <v/>
      </c>
      <c r="N146" s="66">
        <f>INDEX(Projects[Controls Eng (wks)],145)</f>
        <v/>
      </c>
      <c r="O146" s="66">
        <f>INDEX(Projects[Systems Eng (wks)],145)</f>
        <v/>
      </c>
      <c r="P146" s="66">
        <f>INDEX(Projects[Software Eng (wks)],145)</f>
        <v/>
      </c>
      <c r="Q146" s="66">
        <f>INDEX(Projects[M&amp;E Installation (wks)],145)</f>
        <v/>
      </c>
      <c r="R146" s="66">
        <f>INDEX(Projects[Commissioning (wks)],145)</f>
        <v/>
      </c>
      <c r="S146" s="66">
        <f>INDEX(Projects[Total Timeline (wks)],145)</f>
        <v/>
      </c>
      <c r="T146" s="66">
        <f>INDEX(Projects[Currency],145)&amp;""</f>
        <v/>
      </c>
      <c r="U146" s="67">
        <f>INDEX(Projects[Value (M)],145)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INDEX(Projects[Automation Equipment],145)&amp;""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IF(AND(A146&lt;&gt;"",OR('Smart Search'!$L$5="",'Smart Search'!$L$5="All",TRIM(BZ146)=TRIM('Smart Search'!$L$5)),OR(TRIM('Smart Search'!$L$6)="",TRIM('Smart Search'!$L$6)="All",ISNUMBER(SEARCH(SUBSTITUTE(SUBSTITUTE(SUBSTITUTE(TRIM('Smart Search'!$L$6),"~","~~"),"*","~*"),"?","~?"),CA146))),OR('Smart Search'!$L$7="",AND(CB146&lt;&gt;0,CB146='Smart Search'!$L$7)),OR('Smart Search'!$L$8="",'Smart Search'!$L$8="All",TRIM(CC146)=TRIM('Smart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IF(A146="","",N(INDEX(Projects[Mech Inst],145)))</f>
        <v/>
      </c>
      <c r="BK146" s="5">
        <f>IF(A146="","",N(INDEX(Projects[Elec Inst],145)))</f>
        <v/>
      </c>
      <c r="BL146" s="5">
        <f>IF(A146="","",N(INDEX(Projects[Project Management],145)))</f>
        <v/>
      </c>
      <c r="BM146" s="5">
        <f>IF(A146="","",N(INDEX(Projects[Systems Eng],145)))</f>
        <v/>
      </c>
      <c r="BN146" s="5">
        <f>IF(A146="","",N(INDEX(Projects[Mechanical Eng],145)))</f>
        <v/>
      </c>
      <c r="BO146" s="5">
        <f>IF(A146="","",N(INDEX(Projects[Structural Engineering],145)))</f>
        <v/>
      </c>
      <c r="BP146" s="5">
        <f>IF(A146="","",N(INDEX(Projects[Site Sup],145)))</f>
        <v/>
      </c>
      <c r="BQ146" s="5">
        <f>IF(A146="","",N(INDEX(Projects[Controls Commissioning],145)))</f>
        <v/>
      </c>
      <c r="BR146" s="5">
        <f>IF(A146="","",N(INDEX(Projects[Systems Commissioning],145)))</f>
        <v/>
      </c>
      <c r="BS146" s="5">
        <f>IF(A146="","",N(INDEX(Projects[Service Commissioning],145)))</f>
        <v/>
      </c>
      <c r="BT146" s="5">
        <f>IF(A146="","",N(INDEX(Projects[Controls Eng],145)))</f>
        <v/>
      </c>
      <c r="BU146" s="5">
        <f>IF(A146="","",N(INDEX(Projects[Controls Purchase],145)))</f>
        <v/>
      </c>
      <c r="BV146" s="5">
        <f>IF(A146="","",N(INDEX(Projects[Software Eng],145)))</f>
        <v/>
      </c>
      <c r="BW146" s="5">
        <f>IF(A146="","",N(INDEX(Projects[Misc],145)))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  <c r="BZ146" s="5">
        <f>INDEX(Projects[Solution Type],145)&amp;""</f>
        <v/>
      </c>
      <c r="CA146" s="5">
        <f>INDEX(Projects[Client / Region],145)&amp;""</f>
        <v/>
      </c>
      <c r="CB146" s="5">
        <f>INDEX(Projects[Year],145)</f>
        <v/>
      </c>
      <c r="CC146" s="5">
        <f>INDEX(Projects[Won?],145)&amp;""</f>
        <v/>
      </c>
      <c r="CD146" s="5">
        <f>INDEX(Projects[Value (USD M)],145)</f>
        <v/>
      </c>
      <c r="CE146" s="5">
        <f>INDEX(Projects[MH Data Status],145)&amp;""</f>
        <v/>
      </c>
    </row>
    <row r="147" ht="15" customHeight="1" s="74">
      <c r="A147" s="66">
        <f>INDEX(Projects[Project ID *],146)&amp;""</f>
        <v/>
      </c>
      <c r="B147" s="66">
        <f>INDEX(Projects[Project Name *],146)&amp;""</f>
        <v/>
      </c>
      <c r="C147" s="66">
        <f>INDEX(Projects[MS Shuttles],146)</f>
        <v/>
      </c>
      <c r="D147" s="66">
        <f>INDEX(Projects[MS Tote Locations],146)</f>
        <v/>
      </c>
      <c r="E147" s="66">
        <f>INDEX(Projects[AS Robots],146)</f>
        <v/>
      </c>
      <c r="F147" s="66">
        <f>INDEX(Projects[AS Tote Locations],146)</f>
        <v/>
      </c>
      <c r="G147" s="66">
        <f>INDEX(Projects[PS Shuttles],146)</f>
        <v/>
      </c>
      <c r="H147" s="66">
        <f>INDEX(Projects[PS Pallet Locations],146)</f>
        <v/>
      </c>
      <c r="I147" s="66">
        <f>INDEX(Projects[SRM Cranes],146)</f>
        <v/>
      </c>
      <c r="J147" s="66">
        <f>INDEX(Projects[SRM Pallet Locations],146)</f>
        <v/>
      </c>
      <c r="K147" s="66">
        <f>INDEX(Projects[Case Conv (m)],146)</f>
        <v/>
      </c>
      <c r="L147" s="66">
        <f>INDEX(Projects[Pallet Conv (m)],146)</f>
        <v/>
      </c>
      <c r="M147" s="66">
        <f>INDEX(Projects[Mech Eng (wks)],146)</f>
        <v/>
      </c>
      <c r="N147" s="66">
        <f>INDEX(Projects[Controls Eng (wks)],146)</f>
        <v/>
      </c>
      <c r="O147" s="66">
        <f>INDEX(Projects[Systems Eng (wks)],146)</f>
        <v/>
      </c>
      <c r="P147" s="66">
        <f>INDEX(Projects[Software Eng (wks)],146)</f>
        <v/>
      </c>
      <c r="Q147" s="66">
        <f>INDEX(Projects[M&amp;E Installation (wks)],146)</f>
        <v/>
      </c>
      <c r="R147" s="66">
        <f>INDEX(Projects[Commissioning (wks)],146)</f>
        <v/>
      </c>
      <c r="S147" s="66">
        <f>INDEX(Projects[Total Timeline (wks)],146)</f>
        <v/>
      </c>
      <c r="T147" s="66">
        <f>INDEX(Projects[Currency],146)&amp;""</f>
        <v/>
      </c>
      <c r="U147" s="67">
        <f>INDEX(Projects[Value (M)],146)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INDEX(Projects[Automation Equipment],146)&amp;""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IF(AND(A147&lt;&gt;"",OR('Smart Search'!$L$5="",'Smart Search'!$L$5="All",TRIM(BZ147)=TRIM('Smart Search'!$L$5)),OR(TRIM('Smart Search'!$L$6)="",TRIM('Smart Search'!$L$6)="All",ISNUMBER(SEARCH(SUBSTITUTE(SUBSTITUTE(SUBSTITUTE(TRIM('Smart Search'!$L$6),"~","~~"),"*","~*"),"?","~?"),CA147))),OR('Smart Search'!$L$7="",AND(CB147&lt;&gt;0,CB147='Smart Search'!$L$7)),OR('Smart Search'!$L$8="",'Smart Search'!$L$8="All",TRIM(CC147)=TRIM('Smart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IF(A147="","",N(INDEX(Projects[Mech Inst],146)))</f>
        <v/>
      </c>
      <c r="BK147" s="5">
        <f>IF(A147="","",N(INDEX(Projects[Elec Inst],146)))</f>
        <v/>
      </c>
      <c r="BL147" s="5">
        <f>IF(A147="","",N(INDEX(Projects[Project Management],146)))</f>
        <v/>
      </c>
      <c r="BM147" s="5">
        <f>IF(A147="","",N(INDEX(Projects[Systems Eng],146)))</f>
        <v/>
      </c>
      <c r="BN147" s="5">
        <f>IF(A147="","",N(INDEX(Projects[Mechanical Eng],146)))</f>
        <v/>
      </c>
      <c r="BO147" s="5">
        <f>IF(A147="","",N(INDEX(Projects[Structural Engineering],146)))</f>
        <v/>
      </c>
      <c r="BP147" s="5">
        <f>IF(A147="","",N(INDEX(Projects[Site Sup],146)))</f>
        <v/>
      </c>
      <c r="BQ147" s="5">
        <f>IF(A147="","",N(INDEX(Projects[Controls Commissioning],146)))</f>
        <v/>
      </c>
      <c r="BR147" s="5">
        <f>IF(A147="","",N(INDEX(Projects[Systems Commissioning],146)))</f>
        <v/>
      </c>
      <c r="BS147" s="5">
        <f>IF(A147="","",N(INDEX(Projects[Service Commissioning],146)))</f>
        <v/>
      </c>
      <c r="BT147" s="5">
        <f>IF(A147="","",N(INDEX(Projects[Controls Eng],146)))</f>
        <v/>
      </c>
      <c r="BU147" s="5">
        <f>IF(A147="","",N(INDEX(Projects[Controls Purchase],146)))</f>
        <v/>
      </c>
      <c r="BV147" s="5">
        <f>IF(A147="","",N(INDEX(Projects[Software Eng],146)))</f>
        <v/>
      </c>
      <c r="BW147" s="5">
        <f>IF(A147="","",N(INDEX(Projects[Misc],146)))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  <c r="BZ147" s="5">
        <f>INDEX(Projects[Solution Type],146)&amp;""</f>
        <v/>
      </c>
      <c r="CA147" s="5">
        <f>INDEX(Projects[Client / Region],146)&amp;""</f>
        <v/>
      </c>
      <c r="CB147" s="5">
        <f>INDEX(Projects[Year],146)</f>
        <v/>
      </c>
      <c r="CC147" s="5">
        <f>INDEX(Projects[Won?],146)&amp;""</f>
        <v/>
      </c>
      <c r="CD147" s="5">
        <f>INDEX(Projects[Value (USD M)],146)</f>
        <v/>
      </c>
      <c r="CE147" s="5">
        <f>INDEX(Projects[MH Data Status],146)&amp;""</f>
        <v/>
      </c>
    </row>
    <row r="148" ht="15" customHeight="1" s="74">
      <c r="A148" s="66">
        <f>INDEX(Projects[Project ID *],147)&amp;""</f>
        <v/>
      </c>
      <c r="B148" s="66">
        <f>INDEX(Projects[Project Name *],147)&amp;""</f>
        <v/>
      </c>
      <c r="C148" s="66">
        <f>INDEX(Projects[MS Shuttles],147)</f>
        <v/>
      </c>
      <c r="D148" s="66">
        <f>INDEX(Projects[MS Tote Locations],147)</f>
        <v/>
      </c>
      <c r="E148" s="66">
        <f>INDEX(Projects[AS Robots],147)</f>
        <v/>
      </c>
      <c r="F148" s="66">
        <f>INDEX(Projects[AS Tote Locations],147)</f>
        <v/>
      </c>
      <c r="G148" s="66">
        <f>INDEX(Projects[PS Shuttles],147)</f>
        <v/>
      </c>
      <c r="H148" s="66">
        <f>INDEX(Projects[PS Pallet Locations],147)</f>
        <v/>
      </c>
      <c r="I148" s="66">
        <f>INDEX(Projects[SRM Cranes],147)</f>
        <v/>
      </c>
      <c r="J148" s="66">
        <f>INDEX(Projects[SRM Pallet Locations],147)</f>
        <v/>
      </c>
      <c r="K148" s="66">
        <f>INDEX(Projects[Case Conv (m)],147)</f>
        <v/>
      </c>
      <c r="L148" s="66">
        <f>INDEX(Projects[Pallet Conv (m)],147)</f>
        <v/>
      </c>
      <c r="M148" s="66">
        <f>INDEX(Projects[Mech Eng (wks)],147)</f>
        <v/>
      </c>
      <c r="N148" s="66">
        <f>INDEX(Projects[Controls Eng (wks)],147)</f>
        <v/>
      </c>
      <c r="O148" s="66">
        <f>INDEX(Projects[Systems Eng (wks)],147)</f>
        <v/>
      </c>
      <c r="P148" s="66">
        <f>INDEX(Projects[Software Eng (wks)],147)</f>
        <v/>
      </c>
      <c r="Q148" s="66">
        <f>INDEX(Projects[M&amp;E Installation (wks)],147)</f>
        <v/>
      </c>
      <c r="R148" s="66">
        <f>INDEX(Projects[Commissioning (wks)],147)</f>
        <v/>
      </c>
      <c r="S148" s="66">
        <f>INDEX(Projects[Total Timeline (wks)],147)</f>
        <v/>
      </c>
      <c r="T148" s="66">
        <f>INDEX(Projects[Currency],147)&amp;""</f>
        <v/>
      </c>
      <c r="U148" s="67">
        <f>INDEX(Projects[Value (M)],147)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INDEX(Projects[Automation Equipment],147)&amp;""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IF(AND(A148&lt;&gt;"",OR('Smart Search'!$L$5="",'Smart Search'!$L$5="All",TRIM(BZ148)=TRIM('Smart Search'!$L$5)),OR(TRIM('Smart Search'!$L$6)="",TRIM('Smart Search'!$L$6)="All",ISNUMBER(SEARCH(SUBSTITUTE(SUBSTITUTE(SUBSTITUTE(TRIM('Smart Search'!$L$6),"~","~~"),"*","~*"),"?","~?"),CA148))),OR('Smart Search'!$L$7="",AND(CB148&lt;&gt;0,CB148='Smart Search'!$L$7)),OR('Smart Search'!$L$8="",'Smart Search'!$L$8="All",TRIM(CC148)=TRIM('Smart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IF(A148="","",N(INDEX(Projects[Mech Inst],147)))</f>
        <v/>
      </c>
      <c r="BK148" s="5">
        <f>IF(A148="","",N(INDEX(Projects[Elec Inst],147)))</f>
        <v/>
      </c>
      <c r="BL148" s="5">
        <f>IF(A148="","",N(INDEX(Projects[Project Management],147)))</f>
        <v/>
      </c>
      <c r="BM148" s="5">
        <f>IF(A148="","",N(INDEX(Projects[Systems Eng],147)))</f>
        <v/>
      </c>
      <c r="BN148" s="5">
        <f>IF(A148="","",N(INDEX(Projects[Mechanical Eng],147)))</f>
        <v/>
      </c>
      <c r="BO148" s="5">
        <f>IF(A148="","",N(INDEX(Projects[Structural Engineering],147)))</f>
        <v/>
      </c>
      <c r="BP148" s="5">
        <f>IF(A148="","",N(INDEX(Projects[Site Sup],147)))</f>
        <v/>
      </c>
      <c r="BQ148" s="5">
        <f>IF(A148="","",N(INDEX(Projects[Controls Commissioning],147)))</f>
        <v/>
      </c>
      <c r="BR148" s="5">
        <f>IF(A148="","",N(INDEX(Projects[Systems Commissioning],147)))</f>
        <v/>
      </c>
      <c r="BS148" s="5">
        <f>IF(A148="","",N(INDEX(Projects[Service Commissioning],147)))</f>
        <v/>
      </c>
      <c r="BT148" s="5">
        <f>IF(A148="","",N(INDEX(Projects[Controls Eng],147)))</f>
        <v/>
      </c>
      <c r="BU148" s="5">
        <f>IF(A148="","",N(INDEX(Projects[Controls Purchase],147)))</f>
        <v/>
      </c>
      <c r="BV148" s="5">
        <f>IF(A148="","",N(INDEX(Projects[Software Eng],147)))</f>
        <v/>
      </c>
      <c r="BW148" s="5">
        <f>IF(A148="","",N(INDEX(Projects[Misc],147)))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  <c r="BZ148" s="5">
        <f>INDEX(Projects[Solution Type],147)&amp;""</f>
        <v/>
      </c>
      <c r="CA148" s="5">
        <f>INDEX(Projects[Client / Region],147)&amp;""</f>
        <v/>
      </c>
      <c r="CB148" s="5">
        <f>INDEX(Projects[Year],147)</f>
        <v/>
      </c>
      <c r="CC148" s="5">
        <f>INDEX(Projects[Won?],147)&amp;""</f>
        <v/>
      </c>
      <c r="CD148" s="5">
        <f>INDEX(Projects[Value (USD M)],147)</f>
        <v/>
      </c>
      <c r="CE148" s="5">
        <f>INDEX(Projects[MH Data Status],147)&amp;""</f>
        <v/>
      </c>
    </row>
    <row r="149" ht="15" customHeight="1" s="74">
      <c r="A149" s="66">
        <f>INDEX(Projects[Project ID *],148)&amp;""</f>
        <v/>
      </c>
      <c r="B149" s="66">
        <f>INDEX(Projects[Project Name *],148)&amp;""</f>
        <v/>
      </c>
      <c r="C149" s="66">
        <f>INDEX(Projects[MS Shuttles],148)</f>
        <v/>
      </c>
      <c r="D149" s="66">
        <f>INDEX(Projects[MS Tote Locations],148)</f>
        <v/>
      </c>
      <c r="E149" s="66">
        <f>INDEX(Projects[AS Robots],148)</f>
        <v/>
      </c>
      <c r="F149" s="66">
        <f>INDEX(Projects[AS Tote Locations],148)</f>
        <v/>
      </c>
      <c r="G149" s="66">
        <f>INDEX(Projects[PS Shuttles],148)</f>
        <v/>
      </c>
      <c r="H149" s="66">
        <f>INDEX(Projects[PS Pallet Locations],148)</f>
        <v/>
      </c>
      <c r="I149" s="66">
        <f>INDEX(Projects[SRM Cranes],148)</f>
        <v/>
      </c>
      <c r="J149" s="66">
        <f>INDEX(Projects[SRM Pallet Locations],148)</f>
        <v/>
      </c>
      <c r="K149" s="66">
        <f>INDEX(Projects[Case Conv (m)],148)</f>
        <v/>
      </c>
      <c r="L149" s="66">
        <f>INDEX(Projects[Pallet Conv (m)],148)</f>
        <v/>
      </c>
      <c r="M149" s="66">
        <f>INDEX(Projects[Mech Eng (wks)],148)</f>
        <v/>
      </c>
      <c r="N149" s="66">
        <f>INDEX(Projects[Controls Eng (wks)],148)</f>
        <v/>
      </c>
      <c r="O149" s="66">
        <f>INDEX(Projects[Systems Eng (wks)],148)</f>
        <v/>
      </c>
      <c r="P149" s="66">
        <f>INDEX(Projects[Software Eng (wks)],148)</f>
        <v/>
      </c>
      <c r="Q149" s="66">
        <f>INDEX(Projects[M&amp;E Installation (wks)],148)</f>
        <v/>
      </c>
      <c r="R149" s="66">
        <f>INDEX(Projects[Commissioning (wks)],148)</f>
        <v/>
      </c>
      <c r="S149" s="66">
        <f>INDEX(Projects[Total Timeline (wks)],148)</f>
        <v/>
      </c>
      <c r="T149" s="66">
        <f>INDEX(Projects[Currency],148)&amp;""</f>
        <v/>
      </c>
      <c r="U149" s="67">
        <f>INDEX(Projects[Value (M)],148)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INDEX(Projects[Automation Equipment],148)&amp;""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IF(AND(A149&lt;&gt;"",OR('Smart Search'!$L$5="",'Smart Search'!$L$5="All",TRIM(BZ149)=TRIM('Smart Search'!$L$5)),OR(TRIM('Smart Search'!$L$6)="",TRIM('Smart Search'!$L$6)="All",ISNUMBER(SEARCH(SUBSTITUTE(SUBSTITUTE(SUBSTITUTE(TRIM('Smart Search'!$L$6),"~","~~"),"*","~*"),"?","~?"),CA149))),OR('Smart Search'!$L$7="",AND(CB149&lt;&gt;0,CB149='Smart Search'!$L$7)),OR('Smart Search'!$L$8="",'Smart Search'!$L$8="All",TRIM(CC149)=TRIM('Smart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IF(A149="","",N(INDEX(Projects[Mech Inst],148)))</f>
        <v/>
      </c>
      <c r="BK149" s="5">
        <f>IF(A149="","",N(INDEX(Projects[Elec Inst],148)))</f>
        <v/>
      </c>
      <c r="BL149" s="5">
        <f>IF(A149="","",N(INDEX(Projects[Project Management],148)))</f>
        <v/>
      </c>
      <c r="BM149" s="5">
        <f>IF(A149="","",N(INDEX(Projects[Systems Eng],148)))</f>
        <v/>
      </c>
      <c r="BN149" s="5">
        <f>IF(A149="","",N(INDEX(Projects[Mechanical Eng],148)))</f>
        <v/>
      </c>
      <c r="BO149" s="5">
        <f>IF(A149="","",N(INDEX(Projects[Structural Engineering],148)))</f>
        <v/>
      </c>
      <c r="BP149" s="5">
        <f>IF(A149="","",N(INDEX(Projects[Site Sup],148)))</f>
        <v/>
      </c>
      <c r="BQ149" s="5">
        <f>IF(A149="","",N(INDEX(Projects[Controls Commissioning],148)))</f>
        <v/>
      </c>
      <c r="BR149" s="5">
        <f>IF(A149="","",N(INDEX(Projects[Systems Commissioning],148)))</f>
        <v/>
      </c>
      <c r="BS149" s="5">
        <f>IF(A149="","",N(INDEX(Projects[Service Commissioning],148)))</f>
        <v/>
      </c>
      <c r="BT149" s="5">
        <f>IF(A149="","",N(INDEX(Projects[Controls Eng],148)))</f>
        <v/>
      </c>
      <c r="BU149" s="5">
        <f>IF(A149="","",N(INDEX(Projects[Controls Purchase],148)))</f>
        <v/>
      </c>
      <c r="BV149" s="5">
        <f>IF(A149="","",N(INDEX(Projects[Software Eng],148)))</f>
        <v/>
      </c>
      <c r="BW149" s="5">
        <f>IF(A149="","",N(INDEX(Projects[Misc],148)))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  <c r="BZ149" s="5">
        <f>INDEX(Projects[Solution Type],148)&amp;""</f>
        <v/>
      </c>
      <c r="CA149" s="5">
        <f>INDEX(Projects[Client / Region],148)&amp;""</f>
        <v/>
      </c>
      <c r="CB149" s="5">
        <f>INDEX(Projects[Year],148)</f>
        <v/>
      </c>
      <c r="CC149" s="5">
        <f>INDEX(Projects[Won?],148)&amp;""</f>
        <v/>
      </c>
      <c r="CD149" s="5">
        <f>INDEX(Projects[Value (USD M)],148)</f>
        <v/>
      </c>
      <c r="CE149" s="5">
        <f>INDEX(Projects[MH Data Status],148)&amp;""</f>
        <v/>
      </c>
    </row>
    <row r="150" ht="15" customHeight="1" s="74">
      <c r="A150" s="66">
        <f>INDEX(Projects[Project ID *],149)&amp;""</f>
        <v/>
      </c>
      <c r="B150" s="66">
        <f>INDEX(Projects[Project Name *],149)&amp;""</f>
        <v/>
      </c>
      <c r="C150" s="66">
        <f>INDEX(Projects[MS Shuttles],149)</f>
        <v/>
      </c>
      <c r="D150" s="66">
        <f>INDEX(Projects[MS Tote Locations],149)</f>
        <v/>
      </c>
      <c r="E150" s="66">
        <f>INDEX(Projects[AS Robots],149)</f>
        <v/>
      </c>
      <c r="F150" s="66">
        <f>INDEX(Projects[AS Tote Locations],149)</f>
        <v/>
      </c>
      <c r="G150" s="66">
        <f>INDEX(Projects[PS Shuttles],149)</f>
        <v/>
      </c>
      <c r="H150" s="66">
        <f>INDEX(Projects[PS Pallet Locations],149)</f>
        <v/>
      </c>
      <c r="I150" s="66">
        <f>INDEX(Projects[SRM Cranes],149)</f>
        <v/>
      </c>
      <c r="J150" s="66">
        <f>INDEX(Projects[SRM Pallet Locations],149)</f>
        <v/>
      </c>
      <c r="K150" s="66">
        <f>INDEX(Projects[Case Conv (m)],149)</f>
        <v/>
      </c>
      <c r="L150" s="66">
        <f>INDEX(Projects[Pallet Conv (m)],149)</f>
        <v/>
      </c>
      <c r="M150" s="66">
        <f>INDEX(Projects[Mech Eng (wks)],149)</f>
        <v/>
      </c>
      <c r="N150" s="66">
        <f>INDEX(Projects[Controls Eng (wks)],149)</f>
        <v/>
      </c>
      <c r="O150" s="66">
        <f>INDEX(Projects[Systems Eng (wks)],149)</f>
        <v/>
      </c>
      <c r="P150" s="66">
        <f>INDEX(Projects[Software Eng (wks)],149)</f>
        <v/>
      </c>
      <c r="Q150" s="66">
        <f>INDEX(Projects[M&amp;E Installation (wks)],149)</f>
        <v/>
      </c>
      <c r="R150" s="66">
        <f>INDEX(Projects[Commissioning (wks)],149)</f>
        <v/>
      </c>
      <c r="S150" s="66">
        <f>INDEX(Projects[Total Timeline (wks)],149)</f>
        <v/>
      </c>
      <c r="T150" s="66">
        <f>INDEX(Projects[Currency],149)&amp;""</f>
        <v/>
      </c>
      <c r="U150" s="67">
        <f>INDEX(Projects[Value (M)],149)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INDEX(Projects[Automation Equipment],149)&amp;""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IF(AND(A150&lt;&gt;"",OR('Smart Search'!$L$5="",'Smart Search'!$L$5="All",TRIM(BZ150)=TRIM('Smart Search'!$L$5)),OR(TRIM('Smart Search'!$L$6)="",TRIM('Smart Search'!$L$6)="All",ISNUMBER(SEARCH(SUBSTITUTE(SUBSTITUTE(SUBSTITUTE(TRIM('Smart Search'!$L$6),"~","~~"),"*","~*"),"?","~?"),CA150))),OR('Smart Search'!$L$7="",AND(CB150&lt;&gt;0,CB150='Smart Search'!$L$7)),OR('Smart Search'!$L$8="",'Smart Search'!$L$8="All",TRIM(CC150)=TRIM('Smart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IF(A150="","",N(INDEX(Projects[Mech Inst],149)))</f>
        <v/>
      </c>
      <c r="BK150" s="5">
        <f>IF(A150="","",N(INDEX(Projects[Elec Inst],149)))</f>
        <v/>
      </c>
      <c r="BL150" s="5">
        <f>IF(A150="","",N(INDEX(Projects[Project Management],149)))</f>
        <v/>
      </c>
      <c r="BM150" s="5">
        <f>IF(A150="","",N(INDEX(Projects[Systems Eng],149)))</f>
        <v/>
      </c>
      <c r="BN150" s="5">
        <f>IF(A150="","",N(INDEX(Projects[Mechanical Eng],149)))</f>
        <v/>
      </c>
      <c r="BO150" s="5">
        <f>IF(A150="","",N(INDEX(Projects[Structural Engineering],149)))</f>
        <v/>
      </c>
      <c r="BP150" s="5">
        <f>IF(A150="","",N(INDEX(Projects[Site Sup],149)))</f>
        <v/>
      </c>
      <c r="BQ150" s="5">
        <f>IF(A150="","",N(INDEX(Projects[Controls Commissioning],149)))</f>
        <v/>
      </c>
      <c r="BR150" s="5">
        <f>IF(A150="","",N(INDEX(Projects[Systems Commissioning],149)))</f>
        <v/>
      </c>
      <c r="BS150" s="5">
        <f>IF(A150="","",N(INDEX(Projects[Service Commissioning],149)))</f>
        <v/>
      </c>
      <c r="BT150" s="5">
        <f>IF(A150="","",N(INDEX(Projects[Controls Eng],149)))</f>
        <v/>
      </c>
      <c r="BU150" s="5">
        <f>IF(A150="","",N(INDEX(Projects[Controls Purchase],149)))</f>
        <v/>
      </c>
      <c r="BV150" s="5">
        <f>IF(A150="","",N(INDEX(Projects[Software Eng],149)))</f>
        <v/>
      </c>
      <c r="BW150" s="5">
        <f>IF(A150="","",N(INDEX(Projects[Misc],149)))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  <c r="BZ150" s="5">
        <f>INDEX(Projects[Solution Type],149)&amp;""</f>
        <v/>
      </c>
      <c r="CA150" s="5">
        <f>INDEX(Projects[Client / Region],149)&amp;""</f>
        <v/>
      </c>
      <c r="CB150" s="5">
        <f>INDEX(Projects[Year],149)</f>
        <v/>
      </c>
      <c r="CC150" s="5">
        <f>INDEX(Projects[Won?],149)&amp;""</f>
        <v/>
      </c>
      <c r="CD150" s="5">
        <f>INDEX(Projects[Value (USD M)],149)</f>
        <v/>
      </c>
      <c r="CE150" s="5">
        <f>INDEX(Projects[MH Data Status],149)&amp;""</f>
        <v/>
      </c>
    </row>
    <row r="151" ht="15" customHeight="1" s="74">
      <c r="A151" s="66">
        <f>INDEX(Projects[Project ID *],150)&amp;""</f>
        <v/>
      </c>
      <c r="B151" s="66">
        <f>INDEX(Projects[Project Name *],150)&amp;""</f>
        <v/>
      </c>
      <c r="C151" s="66">
        <f>INDEX(Projects[MS Shuttles],150)</f>
        <v/>
      </c>
      <c r="D151" s="66">
        <f>INDEX(Projects[MS Tote Locations],150)</f>
        <v/>
      </c>
      <c r="E151" s="66">
        <f>INDEX(Projects[AS Robots],150)</f>
        <v/>
      </c>
      <c r="F151" s="66">
        <f>INDEX(Projects[AS Tote Locations],150)</f>
        <v/>
      </c>
      <c r="G151" s="66">
        <f>INDEX(Projects[PS Shuttles],150)</f>
        <v/>
      </c>
      <c r="H151" s="66">
        <f>INDEX(Projects[PS Pallet Locations],150)</f>
        <v/>
      </c>
      <c r="I151" s="66">
        <f>INDEX(Projects[SRM Cranes],150)</f>
        <v/>
      </c>
      <c r="J151" s="66">
        <f>INDEX(Projects[SRM Pallet Locations],150)</f>
        <v/>
      </c>
      <c r="K151" s="66">
        <f>INDEX(Projects[Case Conv (m)],150)</f>
        <v/>
      </c>
      <c r="L151" s="66">
        <f>INDEX(Projects[Pallet Conv (m)],150)</f>
        <v/>
      </c>
      <c r="M151" s="66">
        <f>INDEX(Projects[Mech Eng (wks)],150)</f>
        <v/>
      </c>
      <c r="N151" s="66">
        <f>INDEX(Projects[Controls Eng (wks)],150)</f>
        <v/>
      </c>
      <c r="O151" s="66">
        <f>INDEX(Projects[Systems Eng (wks)],150)</f>
        <v/>
      </c>
      <c r="P151" s="66">
        <f>INDEX(Projects[Software Eng (wks)],150)</f>
        <v/>
      </c>
      <c r="Q151" s="66">
        <f>INDEX(Projects[M&amp;E Installation (wks)],150)</f>
        <v/>
      </c>
      <c r="R151" s="66">
        <f>INDEX(Projects[Commissioning (wks)],150)</f>
        <v/>
      </c>
      <c r="S151" s="66">
        <f>INDEX(Projects[Total Timeline (wks)],150)</f>
        <v/>
      </c>
      <c r="T151" s="66">
        <f>INDEX(Projects[Currency],150)&amp;""</f>
        <v/>
      </c>
      <c r="U151" s="67">
        <f>INDEX(Projects[Value (M)],150)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INDEX(Projects[Automation Equipment],150)&amp;""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IF(AND(A151&lt;&gt;"",OR('Smart Search'!$L$5="",'Smart Search'!$L$5="All",TRIM(BZ151)=TRIM('Smart Search'!$L$5)),OR(TRIM('Smart Search'!$L$6)="",TRIM('Smart Search'!$L$6)="All",ISNUMBER(SEARCH(SUBSTITUTE(SUBSTITUTE(SUBSTITUTE(TRIM('Smart Search'!$L$6),"~","~~"),"*","~*"),"?","~?"),CA151))),OR('Smart Search'!$L$7="",AND(CB151&lt;&gt;0,CB151='Smart Search'!$L$7)),OR('Smart Search'!$L$8="",'Smart Search'!$L$8="All",TRIM(CC151)=TRIM('Smart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IF(A151="","",N(INDEX(Projects[Mech Inst],150)))</f>
        <v/>
      </c>
      <c r="BK151" s="5">
        <f>IF(A151="","",N(INDEX(Projects[Elec Inst],150)))</f>
        <v/>
      </c>
      <c r="BL151" s="5">
        <f>IF(A151="","",N(INDEX(Projects[Project Management],150)))</f>
        <v/>
      </c>
      <c r="BM151" s="5">
        <f>IF(A151="","",N(INDEX(Projects[Systems Eng],150)))</f>
        <v/>
      </c>
      <c r="BN151" s="5">
        <f>IF(A151="","",N(INDEX(Projects[Mechanical Eng],150)))</f>
        <v/>
      </c>
      <c r="BO151" s="5">
        <f>IF(A151="","",N(INDEX(Projects[Structural Engineering],150)))</f>
        <v/>
      </c>
      <c r="BP151" s="5">
        <f>IF(A151="","",N(INDEX(Projects[Site Sup],150)))</f>
        <v/>
      </c>
      <c r="BQ151" s="5">
        <f>IF(A151="","",N(INDEX(Projects[Controls Commissioning],150)))</f>
        <v/>
      </c>
      <c r="BR151" s="5">
        <f>IF(A151="","",N(INDEX(Projects[Systems Commissioning],150)))</f>
        <v/>
      </c>
      <c r="BS151" s="5">
        <f>IF(A151="","",N(INDEX(Projects[Service Commissioning],150)))</f>
        <v/>
      </c>
      <c r="BT151" s="5">
        <f>IF(A151="","",N(INDEX(Projects[Controls Eng],150)))</f>
        <v/>
      </c>
      <c r="BU151" s="5">
        <f>IF(A151="","",N(INDEX(Projects[Controls Purchase],150)))</f>
        <v/>
      </c>
      <c r="BV151" s="5">
        <f>IF(A151="","",N(INDEX(Projects[Software Eng],150)))</f>
        <v/>
      </c>
      <c r="BW151" s="5">
        <f>IF(A151="","",N(INDEX(Projects[Misc],150)))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  <c r="BZ151" s="5">
        <f>INDEX(Projects[Solution Type],150)&amp;""</f>
        <v/>
      </c>
      <c r="CA151" s="5">
        <f>INDEX(Projects[Client / Region],150)&amp;""</f>
        <v/>
      </c>
      <c r="CB151" s="5">
        <f>INDEX(Projects[Year],150)</f>
        <v/>
      </c>
      <c r="CC151" s="5">
        <f>INDEX(Projects[Won?],150)&amp;""</f>
        <v/>
      </c>
      <c r="CD151" s="5">
        <f>INDEX(Projects[Value (USD M)],150)</f>
        <v/>
      </c>
      <c r="CE151" s="5">
        <f>INDEX(Projects[MH Data Status],150)&amp;""</f>
        <v/>
      </c>
    </row>
    <row r="152" ht="15" customHeight="1" s="74">
      <c r="A152" s="66">
        <f>INDEX(Projects[Project ID *],151)&amp;""</f>
        <v/>
      </c>
      <c r="B152" s="66">
        <f>INDEX(Projects[Project Name *],151)&amp;""</f>
        <v/>
      </c>
      <c r="C152" s="66">
        <f>INDEX(Projects[MS Shuttles],151)</f>
        <v/>
      </c>
      <c r="D152" s="66">
        <f>INDEX(Projects[MS Tote Locations],151)</f>
        <v/>
      </c>
      <c r="E152" s="66">
        <f>INDEX(Projects[AS Robots],151)</f>
        <v/>
      </c>
      <c r="F152" s="66">
        <f>INDEX(Projects[AS Tote Locations],151)</f>
        <v/>
      </c>
      <c r="G152" s="66">
        <f>INDEX(Projects[PS Shuttles],151)</f>
        <v/>
      </c>
      <c r="H152" s="66">
        <f>INDEX(Projects[PS Pallet Locations],151)</f>
        <v/>
      </c>
      <c r="I152" s="66">
        <f>INDEX(Projects[SRM Cranes],151)</f>
        <v/>
      </c>
      <c r="J152" s="66">
        <f>INDEX(Projects[SRM Pallet Locations],151)</f>
        <v/>
      </c>
      <c r="K152" s="66">
        <f>INDEX(Projects[Case Conv (m)],151)</f>
        <v/>
      </c>
      <c r="L152" s="66">
        <f>INDEX(Projects[Pallet Conv (m)],151)</f>
        <v/>
      </c>
      <c r="M152" s="66">
        <f>INDEX(Projects[Mech Eng (wks)],151)</f>
        <v/>
      </c>
      <c r="N152" s="66">
        <f>INDEX(Projects[Controls Eng (wks)],151)</f>
        <v/>
      </c>
      <c r="O152" s="66">
        <f>INDEX(Projects[Systems Eng (wks)],151)</f>
        <v/>
      </c>
      <c r="P152" s="66">
        <f>INDEX(Projects[Software Eng (wks)],151)</f>
        <v/>
      </c>
      <c r="Q152" s="66">
        <f>INDEX(Projects[M&amp;E Installation (wks)],151)</f>
        <v/>
      </c>
      <c r="R152" s="66">
        <f>INDEX(Projects[Commissioning (wks)],151)</f>
        <v/>
      </c>
      <c r="S152" s="66">
        <f>INDEX(Projects[Total Timeline (wks)],151)</f>
        <v/>
      </c>
      <c r="T152" s="66">
        <f>INDEX(Projects[Currency],151)&amp;""</f>
        <v/>
      </c>
      <c r="U152" s="67">
        <f>INDEX(Projects[Value (M)],151)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INDEX(Projects[Automation Equipment],151)&amp;""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IF(AND(A152&lt;&gt;"",OR('Smart Search'!$L$5="",'Smart Search'!$L$5="All",TRIM(BZ152)=TRIM('Smart Search'!$L$5)),OR(TRIM('Smart Search'!$L$6)="",TRIM('Smart Search'!$L$6)="All",ISNUMBER(SEARCH(SUBSTITUTE(SUBSTITUTE(SUBSTITUTE(TRIM('Smart Search'!$L$6),"~","~~"),"*","~*"),"?","~?"),CA152))),OR('Smart Search'!$L$7="",AND(CB152&lt;&gt;0,CB152='Smart Search'!$L$7)),OR('Smart Search'!$L$8="",'Smart Search'!$L$8="All",TRIM(CC152)=TRIM('Smart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IF(A152="","",N(INDEX(Projects[Mech Inst],151)))</f>
        <v/>
      </c>
      <c r="BK152" s="5">
        <f>IF(A152="","",N(INDEX(Projects[Elec Inst],151)))</f>
        <v/>
      </c>
      <c r="BL152" s="5">
        <f>IF(A152="","",N(INDEX(Projects[Project Management],151)))</f>
        <v/>
      </c>
      <c r="BM152" s="5">
        <f>IF(A152="","",N(INDEX(Projects[Systems Eng],151)))</f>
        <v/>
      </c>
      <c r="BN152" s="5">
        <f>IF(A152="","",N(INDEX(Projects[Mechanical Eng],151)))</f>
        <v/>
      </c>
      <c r="BO152" s="5">
        <f>IF(A152="","",N(INDEX(Projects[Structural Engineering],151)))</f>
        <v/>
      </c>
      <c r="BP152" s="5">
        <f>IF(A152="","",N(INDEX(Projects[Site Sup],151)))</f>
        <v/>
      </c>
      <c r="BQ152" s="5">
        <f>IF(A152="","",N(INDEX(Projects[Controls Commissioning],151)))</f>
        <v/>
      </c>
      <c r="BR152" s="5">
        <f>IF(A152="","",N(INDEX(Projects[Systems Commissioning],151)))</f>
        <v/>
      </c>
      <c r="BS152" s="5">
        <f>IF(A152="","",N(INDEX(Projects[Service Commissioning],151)))</f>
        <v/>
      </c>
      <c r="BT152" s="5">
        <f>IF(A152="","",N(INDEX(Projects[Controls Eng],151)))</f>
        <v/>
      </c>
      <c r="BU152" s="5">
        <f>IF(A152="","",N(INDEX(Projects[Controls Purchase],151)))</f>
        <v/>
      </c>
      <c r="BV152" s="5">
        <f>IF(A152="","",N(INDEX(Projects[Software Eng],151)))</f>
        <v/>
      </c>
      <c r="BW152" s="5">
        <f>IF(A152="","",N(INDEX(Projects[Misc],151)))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  <c r="BZ152" s="5">
        <f>INDEX(Projects[Solution Type],151)&amp;""</f>
        <v/>
      </c>
      <c r="CA152" s="5">
        <f>INDEX(Projects[Client / Region],151)&amp;""</f>
        <v/>
      </c>
      <c r="CB152" s="5">
        <f>INDEX(Projects[Year],151)</f>
        <v/>
      </c>
      <c r="CC152" s="5">
        <f>INDEX(Projects[Won?],151)&amp;""</f>
        <v/>
      </c>
      <c r="CD152" s="5">
        <f>INDEX(Projects[Value (USD M)],151)</f>
        <v/>
      </c>
      <c r="CE152" s="5">
        <f>INDEX(Projects[MH Data Status],151)&amp;""</f>
        <v/>
      </c>
    </row>
    <row r="153" ht="15" customHeight="1" s="74">
      <c r="A153" s="66">
        <f>INDEX(Projects[Project ID *],152)&amp;""</f>
        <v/>
      </c>
      <c r="B153" s="66">
        <f>INDEX(Projects[Project Name *],152)&amp;""</f>
        <v/>
      </c>
      <c r="C153" s="66">
        <f>INDEX(Projects[MS Shuttles],152)</f>
        <v/>
      </c>
      <c r="D153" s="66">
        <f>INDEX(Projects[MS Tote Locations],152)</f>
        <v/>
      </c>
      <c r="E153" s="66">
        <f>INDEX(Projects[AS Robots],152)</f>
        <v/>
      </c>
      <c r="F153" s="66">
        <f>INDEX(Projects[AS Tote Locations],152)</f>
        <v/>
      </c>
      <c r="G153" s="66">
        <f>INDEX(Projects[PS Shuttles],152)</f>
        <v/>
      </c>
      <c r="H153" s="66">
        <f>INDEX(Projects[PS Pallet Locations],152)</f>
        <v/>
      </c>
      <c r="I153" s="66">
        <f>INDEX(Projects[SRM Cranes],152)</f>
        <v/>
      </c>
      <c r="J153" s="66">
        <f>INDEX(Projects[SRM Pallet Locations],152)</f>
        <v/>
      </c>
      <c r="K153" s="66">
        <f>INDEX(Projects[Case Conv (m)],152)</f>
        <v/>
      </c>
      <c r="L153" s="66">
        <f>INDEX(Projects[Pallet Conv (m)],152)</f>
        <v/>
      </c>
      <c r="M153" s="66">
        <f>INDEX(Projects[Mech Eng (wks)],152)</f>
        <v/>
      </c>
      <c r="N153" s="66">
        <f>INDEX(Projects[Controls Eng (wks)],152)</f>
        <v/>
      </c>
      <c r="O153" s="66">
        <f>INDEX(Projects[Systems Eng (wks)],152)</f>
        <v/>
      </c>
      <c r="P153" s="66">
        <f>INDEX(Projects[Software Eng (wks)],152)</f>
        <v/>
      </c>
      <c r="Q153" s="66">
        <f>INDEX(Projects[M&amp;E Installation (wks)],152)</f>
        <v/>
      </c>
      <c r="R153" s="66">
        <f>INDEX(Projects[Commissioning (wks)],152)</f>
        <v/>
      </c>
      <c r="S153" s="66">
        <f>INDEX(Projects[Total Timeline (wks)],152)</f>
        <v/>
      </c>
      <c r="T153" s="66">
        <f>INDEX(Projects[Currency],152)&amp;""</f>
        <v/>
      </c>
      <c r="U153" s="67">
        <f>INDEX(Projects[Value (M)],152)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INDEX(Projects[Automation Equipment],152)&amp;""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IF(AND(A153&lt;&gt;"",OR('Smart Search'!$L$5="",'Smart Search'!$L$5="All",TRIM(BZ153)=TRIM('Smart Search'!$L$5)),OR(TRIM('Smart Search'!$L$6)="",TRIM('Smart Search'!$L$6)="All",ISNUMBER(SEARCH(SUBSTITUTE(SUBSTITUTE(SUBSTITUTE(TRIM('Smart Search'!$L$6),"~","~~"),"*","~*"),"?","~?"),CA153))),OR('Smart Search'!$L$7="",AND(CB153&lt;&gt;0,CB153='Smart Search'!$L$7)),OR('Smart Search'!$L$8="",'Smart Search'!$L$8="All",TRIM(CC153)=TRIM('Smart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IF(A153="","",N(INDEX(Projects[Mech Inst],152)))</f>
        <v/>
      </c>
      <c r="BK153" s="5">
        <f>IF(A153="","",N(INDEX(Projects[Elec Inst],152)))</f>
        <v/>
      </c>
      <c r="BL153" s="5">
        <f>IF(A153="","",N(INDEX(Projects[Project Management],152)))</f>
        <v/>
      </c>
      <c r="BM153" s="5">
        <f>IF(A153="","",N(INDEX(Projects[Systems Eng],152)))</f>
        <v/>
      </c>
      <c r="BN153" s="5">
        <f>IF(A153="","",N(INDEX(Projects[Mechanical Eng],152)))</f>
        <v/>
      </c>
      <c r="BO153" s="5">
        <f>IF(A153="","",N(INDEX(Projects[Structural Engineering],152)))</f>
        <v/>
      </c>
      <c r="BP153" s="5">
        <f>IF(A153="","",N(INDEX(Projects[Site Sup],152)))</f>
        <v/>
      </c>
      <c r="BQ153" s="5">
        <f>IF(A153="","",N(INDEX(Projects[Controls Commissioning],152)))</f>
        <v/>
      </c>
      <c r="BR153" s="5">
        <f>IF(A153="","",N(INDEX(Projects[Systems Commissioning],152)))</f>
        <v/>
      </c>
      <c r="BS153" s="5">
        <f>IF(A153="","",N(INDEX(Projects[Service Commissioning],152)))</f>
        <v/>
      </c>
      <c r="BT153" s="5">
        <f>IF(A153="","",N(INDEX(Projects[Controls Eng],152)))</f>
        <v/>
      </c>
      <c r="BU153" s="5">
        <f>IF(A153="","",N(INDEX(Projects[Controls Purchase],152)))</f>
        <v/>
      </c>
      <c r="BV153" s="5">
        <f>IF(A153="","",N(INDEX(Projects[Software Eng],152)))</f>
        <v/>
      </c>
      <c r="BW153" s="5">
        <f>IF(A153="","",N(INDEX(Projects[Misc],152)))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  <c r="BZ153" s="5">
        <f>INDEX(Projects[Solution Type],152)&amp;""</f>
        <v/>
      </c>
      <c r="CA153" s="5">
        <f>INDEX(Projects[Client / Region],152)&amp;""</f>
        <v/>
      </c>
      <c r="CB153" s="5">
        <f>INDEX(Projects[Year],152)</f>
        <v/>
      </c>
      <c r="CC153" s="5">
        <f>INDEX(Projects[Won?],152)&amp;""</f>
        <v/>
      </c>
      <c r="CD153" s="5">
        <f>INDEX(Projects[Value (USD M)],152)</f>
        <v/>
      </c>
      <c r="CE153" s="5">
        <f>INDEX(Projects[MH Data Status],152)&amp;""</f>
        <v/>
      </c>
    </row>
    <row r="154" ht="15" customHeight="1" s="74">
      <c r="A154" s="66">
        <f>INDEX(Projects[Project ID *],153)&amp;""</f>
        <v/>
      </c>
      <c r="B154" s="66">
        <f>INDEX(Projects[Project Name *],153)&amp;""</f>
        <v/>
      </c>
      <c r="C154" s="66">
        <f>INDEX(Projects[MS Shuttles],153)</f>
        <v/>
      </c>
      <c r="D154" s="66">
        <f>INDEX(Projects[MS Tote Locations],153)</f>
        <v/>
      </c>
      <c r="E154" s="66">
        <f>INDEX(Projects[AS Robots],153)</f>
        <v/>
      </c>
      <c r="F154" s="66">
        <f>INDEX(Projects[AS Tote Locations],153)</f>
        <v/>
      </c>
      <c r="G154" s="66">
        <f>INDEX(Projects[PS Shuttles],153)</f>
        <v/>
      </c>
      <c r="H154" s="66">
        <f>INDEX(Projects[PS Pallet Locations],153)</f>
        <v/>
      </c>
      <c r="I154" s="66">
        <f>INDEX(Projects[SRM Cranes],153)</f>
        <v/>
      </c>
      <c r="J154" s="66">
        <f>INDEX(Projects[SRM Pallet Locations],153)</f>
        <v/>
      </c>
      <c r="K154" s="66">
        <f>INDEX(Projects[Case Conv (m)],153)</f>
        <v/>
      </c>
      <c r="L154" s="66">
        <f>INDEX(Projects[Pallet Conv (m)],153)</f>
        <v/>
      </c>
      <c r="M154" s="66">
        <f>INDEX(Projects[Mech Eng (wks)],153)</f>
        <v/>
      </c>
      <c r="N154" s="66">
        <f>INDEX(Projects[Controls Eng (wks)],153)</f>
        <v/>
      </c>
      <c r="O154" s="66">
        <f>INDEX(Projects[Systems Eng (wks)],153)</f>
        <v/>
      </c>
      <c r="P154" s="66">
        <f>INDEX(Projects[Software Eng (wks)],153)</f>
        <v/>
      </c>
      <c r="Q154" s="66">
        <f>INDEX(Projects[M&amp;E Installation (wks)],153)</f>
        <v/>
      </c>
      <c r="R154" s="66">
        <f>INDEX(Projects[Commissioning (wks)],153)</f>
        <v/>
      </c>
      <c r="S154" s="66">
        <f>INDEX(Projects[Total Timeline (wks)],153)</f>
        <v/>
      </c>
      <c r="T154" s="66">
        <f>INDEX(Projects[Currency],153)&amp;""</f>
        <v/>
      </c>
      <c r="U154" s="67">
        <f>INDEX(Projects[Value (M)],153)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INDEX(Projects[Automation Equipment],153)&amp;""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IF(AND(A154&lt;&gt;"",OR('Smart Search'!$L$5="",'Smart Search'!$L$5="All",TRIM(BZ154)=TRIM('Smart Search'!$L$5)),OR(TRIM('Smart Search'!$L$6)="",TRIM('Smart Search'!$L$6)="All",ISNUMBER(SEARCH(SUBSTITUTE(SUBSTITUTE(SUBSTITUTE(TRIM('Smart Search'!$L$6),"~","~~"),"*","~*"),"?","~?"),CA154))),OR('Smart Search'!$L$7="",AND(CB154&lt;&gt;0,CB154='Smart Search'!$L$7)),OR('Smart Search'!$L$8="",'Smart Search'!$L$8="All",TRIM(CC154)=TRIM('Smart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IF(A154="","",N(INDEX(Projects[Mech Inst],153)))</f>
        <v/>
      </c>
      <c r="BK154" s="5">
        <f>IF(A154="","",N(INDEX(Projects[Elec Inst],153)))</f>
        <v/>
      </c>
      <c r="BL154" s="5">
        <f>IF(A154="","",N(INDEX(Projects[Project Management],153)))</f>
        <v/>
      </c>
      <c r="BM154" s="5">
        <f>IF(A154="","",N(INDEX(Projects[Systems Eng],153)))</f>
        <v/>
      </c>
      <c r="BN154" s="5">
        <f>IF(A154="","",N(INDEX(Projects[Mechanical Eng],153)))</f>
        <v/>
      </c>
      <c r="BO154" s="5">
        <f>IF(A154="","",N(INDEX(Projects[Structural Engineering],153)))</f>
        <v/>
      </c>
      <c r="BP154" s="5">
        <f>IF(A154="","",N(INDEX(Projects[Site Sup],153)))</f>
        <v/>
      </c>
      <c r="BQ154" s="5">
        <f>IF(A154="","",N(INDEX(Projects[Controls Commissioning],153)))</f>
        <v/>
      </c>
      <c r="BR154" s="5">
        <f>IF(A154="","",N(INDEX(Projects[Systems Commissioning],153)))</f>
        <v/>
      </c>
      <c r="BS154" s="5">
        <f>IF(A154="","",N(INDEX(Projects[Service Commissioning],153)))</f>
        <v/>
      </c>
      <c r="BT154" s="5">
        <f>IF(A154="","",N(INDEX(Projects[Controls Eng],153)))</f>
        <v/>
      </c>
      <c r="BU154" s="5">
        <f>IF(A154="","",N(INDEX(Projects[Controls Purchase],153)))</f>
        <v/>
      </c>
      <c r="BV154" s="5">
        <f>IF(A154="","",N(INDEX(Projects[Software Eng],153)))</f>
        <v/>
      </c>
      <c r="BW154" s="5">
        <f>IF(A154="","",N(INDEX(Projects[Misc],153)))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  <c r="BZ154" s="5">
        <f>INDEX(Projects[Solution Type],153)&amp;""</f>
        <v/>
      </c>
      <c r="CA154" s="5">
        <f>INDEX(Projects[Client / Region],153)&amp;""</f>
        <v/>
      </c>
      <c r="CB154" s="5">
        <f>INDEX(Projects[Year],153)</f>
        <v/>
      </c>
      <c r="CC154" s="5">
        <f>INDEX(Projects[Won?],153)&amp;""</f>
        <v/>
      </c>
      <c r="CD154" s="5">
        <f>INDEX(Projects[Value (USD M)],153)</f>
        <v/>
      </c>
      <c r="CE154" s="5">
        <f>INDEX(Projects[MH Data Status],153)&amp;""</f>
        <v/>
      </c>
    </row>
    <row r="155" ht="15" customHeight="1" s="74">
      <c r="A155" s="66">
        <f>INDEX(Projects[Project ID *],154)&amp;""</f>
        <v/>
      </c>
      <c r="B155" s="66">
        <f>INDEX(Projects[Project Name *],154)&amp;""</f>
        <v/>
      </c>
      <c r="C155" s="66">
        <f>INDEX(Projects[MS Shuttles],154)</f>
        <v/>
      </c>
      <c r="D155" s="66">
        <f>INDEX(Projects[MS Tote Locations],154)</f>
        <v/>
      </c>
      <c r="E155" s="66">
        <f>INDEX(Projects[AS Robots],154)</f>
        <v/>
      </c>
      <c r="F155" s="66">
        <f>INDEX(Projects[AS Tote Locations],154)</f>
        <v/>
      </c>
      <c r="G155" s="66">
        <f>INDEX(Projects[PS Shuttles],154)</f>
        <v/>
      </c>
      <c r="H155" s="66">
        <f>INDEX(Projects[PS Pallet Locations],154)</f>
        <v/>
      </c>
      <c r="I155" s="66">
        <f>INDEX(Projects[SRM Cranes],154)</f>
        <v/>
      </c>
      <c r="J155" s="66">
        <f>INDEX(Projects[SRM Pallet Locations],154)</f>
        <v/>
      </c>
      <c r="K155" s="66">
        <f>INDEX(Projects[Case Conv (m)],154)</f>
        <v/>
      </c>
      <c r="L155" s="66">
        <f>INDEX(Projects[Pallet Conv (m)],154)</f>
        <v/>
      </c>
      <c r="M155" s="66">
        <f>INDEX(Projects[Mech Eng (wks)],154)</f>
        <v/>
      </c>
      <c r="N155" s="66">
        <f>INDEX(Projects[Controls Eng (wks)],154)</f>
        <v/>
      </c>
      <c r="O155" s="66">
        <f>INDEX(Projects[Systems Eng (wks)],154)</f>
        <v/>
      </c>
      <c r="P155" s="66">
        <f>INDEX(Projects[Software Eng (wks)],154)</f>
        <v/>
      </c>
      <c r="Q155" s="66">
        <f>INDEX(Projects[M&amp;E Installation (wks)],154)</f>
        <v/>
      </c>
      <c r="R155" s="66">
        <f>INDEX(Projects[Commissioning (wks)],154)</f>
        <v/>
      </c>
      <c r="S155" s="66">
        <f>INDEX(Projects[Total Timeline (wks)],154)</f>
        <v/>
      </c>
      <c r="T155" s="66">
        <f>INDEX(Projects[Currency],154)&amp;""</f>
        <v/>
      </c>
      <c r="U155" s="67">
        <f>INDEX(Projects[Value (M)],154)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INDEX(Projects[Automation Equipment],154)&amp;""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IF(AND(A155&lt;&gt;"",OR('Smart Search'!$L$5="",'Smart Search'!$L$5="All",TRIM(BZ155)=TRIM('Smart Search'!$L$5)),OR(TRIM('Smart Search'!$L$6)="",TRIM('Smart Search'!$L$6)="All",ISNUMBER(SEARCH(SUBSTITUTE(SUBSTITUTE(SUBSTITUTE(TRIM('Smart Search'!$L$6),"~","~~"),"*","~*"),"?","~?"),CA155))),OR('Smart Search'!$L$7="",AND(CB155&lt;&gt;0,CB155='Smart Search'!$L$7)),OR('Smart Search'!$L$8="",'Smart Search'!$L$8="All",TRIM(CC155)=TRIM('Smart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IF(A155="","",N(INDEX(Projects[Mech Inst],154)))</f>
        <v/>
      </c>
      <c r="BK155" s="5">
        <f>IF(A155="","",N(INDEX(Projects[Elec Inst],154)))</f>
        <v/>
      </c>
      <c r="BL155" s="5">
        <f>IF(A155="","",N(INDEX(Projects[Project Management],154)))</f>
        <v/>
      </c>
      <c r="BM155" s="5">
        <f>IF(A155="","",N(INDEX(Projects[Systems Eng],154)))</f>
        <v/>
      </c>
      <c r="BN155" s="5">
        <f>IF(A155="","",N(INDEX(Projects[Mechanical Eng],154)))</f>
        <v/>
      </c>
      <c r="BO155" s="5">
        <f>IF(A155="","",N(INDEX(Projects[Structural Engineering],154)))</f>
        <v/>
      </c>
      <c r="BP155" s="5">
        <f>IF(A155="","",N(INDEX(Projects[Site Sup],154)))</f>
        <v/>
      </c>
      <c r="BQ155" s="5">
        <f>IF(A155="","",N(INDEX(Projects[Controls Commissioning],154)))</f>
        <v/>
      </c>
      <c r="BR155" s="5">
        <f>IF(A155="","",N(INDEX(Projects[Systems Commissioning],154)))</f>
        <v/>
      </c>
      <c r="BS155" s="5">
        <f>IF(A155="","",N(INDEX(Projects[Service Commissioning],154)))</f>
        <v/>
      </c>
      <c r="BT155" s="5">
        <f>IF(A155="","",N(INDEX(Projects[Controls Eng],154)))</f>
        <v/>
      </c>
      <c r="BU155" s="5">
        <f>IF(A155="","",N(INDEX(Projects[Controls Purchase],154)))</f>
        <v/>
      </c>
      <c r="BV155" s="5">
        <f>IF(A155="","",N(INDEX(Projects[Software Eng],154)))</f>
        <v/>
      </c>
      <c r="BW155" s="5">
        <f>IF(A155="","",N(INDEX(Projects[Misc],154)))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  <c r="BZ155" s="5">
        <f>INDEX(Projects[Solution Type],154)&amp;""</f>
        <v/>
      </c>
      <c r="CA155" s="5">
        <f>INDEX(Projects[Client / Region],154)&amp;""</f>
        <v/>
      </c>
      <c r="CB155" s="5">
        <f>INDEX(Projects[Year],154)</f>
        <v/>
      </c>
      <c r="CC155" s="5">
        <f>INDEX(Projects[Won?],154)&amp;""</f>
        <v/>
      </c>
      <c r="CD155" s="5">
        <f>INDEX(Projects[Value (USD M)],154)</f>
        <v/>
      </c>
      <c r="CE155" s="5">
        <f>INDEX(Projects[MH Data Status],154)&amp;""</f>
        <v/>
      </c>
    </row>
    <row r="156" ht="15" customHeight="1" s="74">
      <c r="A156" s="66">
        <f>INDEX(Projects[Project ID *],155)&amp;""</f>
        <v/>
      </c>
      <c r="B156" s="66">
        <f>INDEX(Projects[Project Name *],155)&amp;""</f>
        <v/>
      </c>
      <c r="C156" s="66">
        <f>INDEX(Projects[MS Shuttles],155)</f>
        <v/>
      </c>
      <c r="D156" s="66">
        <f>INDEX(Projects[MS Tote Locations],155)</f>
        <v/>
      </c>
      <c r="E156" s="66">
        <f>INDEX(Projects[AS Robots],155)</f>
        <v/>
      </c>
      <c r="F156" s="66">
        <f>INDEX(Projects[AS Tote Locations],155)</f>
        <v/>
      </c>
      <c r="G156" s="66">
        <f>INDEX(Projects[PS Shuttles],155)</f>
        <v/>
      </c>
      <c r="H156" s="66">
        <f>INDEX(Projects[PS Pallet Locations],155)</f>
        <v/>
      </c>
      <c r="I156" s="66">
        <f>INDEX(Projects[SRM Cranes],155)</f>
        <v/>
      </c>
      <c r="J156" s="66">
        <f>INDEX(Projects[SRM Pallet Locations],155)</f>
        <v/>
      </c>
      <c r="K156" s="66">
        <f>INDEX(Projects[Case Conv (m)],155)</f>
        <v/>
      </c>
      <c r="L156" s="66">
        <f>INDEX(Projects[Pallet Conv (m)],155)</f>
        <v/>
      </c>
      <c r="M156" s="66">
        <f>INDEX(Projects[Mech Eng (wks)],155)</f>
        <v/>
      </c>
      <c r="N156" s="66">
        <f>INDEX(Projects[Controls Eng (wks)],155)</f>
        <v/>
      </c>
      <c r="O156" s="66">
        <f>INDEX(Projects[Systems Eng (wks)],155)</f>
        <v/>
      </c>
      <c r="P156" s="66">
        <f>INDEX(Projects[Software Eng (wks)],155)</f>
        <v/>
      </c>
      <c r="Q156" s="66">
        <f>INDEX(Projects[M&amp;E Installation (wks)],155)</f>
        <v/>
      </c>
      <c r="R156" s="66">
        <f>INDEX(Projects[Commissioning (wks)],155)</f>
        <v/>
      </c>
      <c r="S156" s="66">
        <f>INDEX(Projects[Total Timeline (wks)],155)</f>
        <v/>
      </c>
      <c r="T156" s="66">
        <f>INDEX(Projects[Currency],155)&amp;""</f>
        <v/>
      </c>
      <c r="U156" s="67">
        <f>INDEX(Projects[Value (M)],155)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INDEX(Projects[Automation Equipment],155)&amp;""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IF(AND(A156&lt;&gt;"",OR('Smart Search'!$L$5="",'Smart Search'!$L$5="All",TRIM(BZ156)=TRIM('Smart Search'!$L$5)),OR(TRIM('Smart Search'!$L$6)="",TRIM('Smart Search'!$L$6)="All",ISNUMBER(SEARCH(SUBSTITUTE(SUBSTITUTE(SUBSTITUTE(TRIM('Smart Search'!$L$6),"~","~~"),"*","~*"),"?","~?"),CA156))),OR('Smart Search'!$L$7="",AND(CB156&lt;&gt;0,CB156='Smart Search'!$L$7)),OR('Smart Search'!$L$8="",'Smart Search'!$L$8="All",TRIM(CC156)=TRIM('Smart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IF(A156="","",N(INDEX(Projects[Mech Inst],155)))</f>
        <v/>
      </c>
      <c r="BK156" s="5">
        <f>IF(A156="","",N(INDEX(Projects[Elec Inst],155)))</f>
        <v/>
      </c>
      <c r="BL156" s="5">
        <f>IF(A156="","",N(INDEX(Projects[Project Management],155)))</f>
        <v/>
      </c>
      <c r="BM156" s="5">
        <f>IF(A156="","",N(INDEX(Projects[Systems Eng],155)))</f>
        <v/>
      </c>
      <c r="BN156" s="5">
        <f>IF(A156="","",N(INDEX(Projects[Mechanical Eng],155)))</f>
        <v/>
      </c>
      <c r="BO156" s="5">
        <f>IF(A156="","",N(INDEX(Projects[Structural Engineering],155)))</f>
        <v/>
      </c>
      <c r="BP156" s="5">
        <f>IF(A156="","",N(INDEX(Projects[Site Sup],155)))</f>
        <v/>
      </c>
      <c r="BQ156" s="5">
        <f>IF(A156="","",N(INDEX(Projects[Controls Commissioning],155)))</f>
        <v/>
      </c>
      <c r="BR156" s="5">
        <f>IF(A156="","",N(INDEX(Projects[Systems Commissioning],155)))</f>
        <v/>
      </c>
      <c r="BS156" s="5">
        <f>IF(A156="","",N(INDEX(Projects[Service Commissioning],155)))</f>
        <v/>
      </c>
      <c r="BT156" s="5">
        <f>IF(A156="","",N(INDEX(Projects[Controls Eng],155)))</f>
        <v/>
      </c>
      <c r="BU156" s="5">
        <f>IF(A156="","",N(INDEX(Projects[Controls Purchase],155)))</f>
        <v/>
      </c>
      <c r="BV156" s="5">
        <f>IF(A156="","",N(INDEX(Projects[Software Eng],155)))</f>
        <v/>
      </c>
      <c r="BW156" s="5">
        <f>IF(A156="","",N(INDEX(Projects[Misc],155)))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  <c r="BZ156" s="5">
        <f>INDEX(Projects[Solution Type],155)&amp;""</f>
        <v/>
      </c>
      <c r="CA156" s="5">
        <f>INDEX(Projects[Client / Region],155)&amp;""</f>
        <v/>
      </c>
      <c r="CB156" s="5">
        <f>INDEX(Projects[Year],155)</f>
        <v/>
      </c>
      <c r="CC156" s="5">
        <f>INDEX(Projects[Won?],155)&amp;""</f>
        <v/>
      </c>
      <c r="CD156" s="5">
        <f>INDEX(Projects[Value (USD M)],155)</f>
        <v/>
      </c>
      <c r="CE156" s="5">
        <f>INDEX(Projects[MH Data Status],155)&amp;""</f>
        <v/>
      </c>
    </row>
    <row r="157" ht="15" customHeight="1" s="74">
      <c r="A157" s="66">
        <f>INDEX(Projects[Project ID *],156)&amp;""</f>
        <v/>
      </c>
      <c r="B157" s="66">
        <f>INDEX(Projects[Project Name *],156)&amp;""</f>
        <v/>
      </c>
      <c r="C157" s="66">
        <f>INDEX(Projects[MS Shuttles],156)</f>
        <v/>
      </c>
      <c r="D157" s="66">
        <f>INDEX(Projects[MS Tote Locations],156)</f>
        <v/>
      </c>
      <c r="E157" s="66">
        <f>INDEX(Projects[AS Robots],156)</f>
        <v/>
      </c>
      <c r="F157" s="66">
        <f>INDEX(Projects[AS Tote Locations],156)</f>
        <v/>
      </c>
      <c r="G157" s="66">
        <f>INDEX(Projects[PS Shuttles],156)</f>
        <v/>
      </c>
      <c r="H157" s="66">
        <f>INDEX(Projects[PS Pallet Locations],156)</f>
        <v/>
      </c>
      <c r="I157" s="66">
        <f>INDEX(Projects[SRM Cranes],156)</f>
        <v/>
      </c>
      <c r="J157" s="66">
        <f>INDEX(Projects[SRM Pallet Locations],156)</f>
        <v/>
      </c>
      <c r="K157" s="66">
        <f>INDEX(Projects[Case Conv (m)],156)</f>
        <v/>
      </c>
      <c r="L157" s="66">
        <f>INDEX(Projects[Pallet Conv (m)],156)</f>
        <v/>
      </c>
      <c r="M157" s="66">
        <f>INDEX(Projects[Mech Eng (wks)],156)</f>
        <v/>
      </c>
      <c r="N157" s="66">
        <f>INDEX(Projects[Controls Eng (wks)],156)</f>
        <v/>
      </c>
      <c r="O157" s="66">
        <f>INDEX(Projects[Systems Eng (wks)],156)</f>
        <v/>
      </c>
      <c r="P157" s="66">
        <f>INDEX(Projects[Software Eng (wks)],156)</f>
        <v/>
      </c>
      <c r="Q157" s="66">
        <f>INDEX(Projects[M&amp;E Installation (wks)],156)</f>
        <v/>
      </c>
      <c r="R157" s="66">
        <f>INDEX(Projects[Commissioning (wks)],156)</f>
        <v/>
      </c>
      <c r="S157" s="66">
        <f>INDEX(Projects[Total Timeline (wks)],156)</f>
        <v/>
      </c>
      <c r="T157" s="66">
        <f>INDEX(Projects[Currency],156)&amp;""</f>
        <v/>
      </c>
      <c r="U157" s="67">
        <f>INDEX(Projects[Value (M)],156)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INDEX(Projects[Automation Equipment],156)&amp;""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IF(AND(A157&lt;&gt;"",OR('Smart Search'!$L$5="",'Smart Search'!$L$5="All",TRIM(BZ157)=TRIM('Smart Search'!$L$5)),OR(TRIM('Smart Search'!$L$6)="",TRIM('Smart Search'!$L$6)="All",ISNUMBER(SEARCH(SUBSTITUTE(SUBSTITUTE(SUBSTITUTE(TRIM('Smart Search'!$L$6),"~","~~"),"*","~*"),"?","~?"),CA157))),OR('Smart Search'!$L$7="",AND(CB157&lt;&gt;0,CB157='Smart Search'!$L$7)),OR('Smart Search'!$L$8="",'Smart Search'!$L$8="All",TRIM(CC157)=TRIM('Smart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IF(A157="","",N(INDEX(Projects[Mech Inst],156)))</f>
        <v/>
      </c>
      <c r="BK157" s="5">
        <f>IF(A157="","",N(INDEX(Projects[Elec Inst],156)))</f>
        <v/>
      </c>
      <c r="BL157" s="5">
        <f>IF(A157="","",N(INDEX(Projects[Project Management],156)))</f>
        <v/>
      </c>
      <c r="BM157" s="5">
        <f>IF(A157="","",N(INDEX(Projects[Systems Eng],156)))</f>
        <v/>
      </c>
      <c r="BN157" s="5">
        <f>IF(A157="","",N(INDEX(Projects[Mechanical Eng],156)))</f>
        <v/>
      </c>
      <c r="BO157" s="5">
        <f>IF(A157="","",N(INDEX(Projects[Structural Engineering],156)))</f>
        <v/>
      </c>
      <c r="BP157" s="5">
        <f>IF(A157="","",N(INDEX(Projects[Site Sup],156)))</f>
        <v/>
      </c>
      <c r="BQ157" s="5">
        <f>IF(A157="","",N(INDEX(Projects[Controls Commissioning],156)))</f>
        <v/>
      </c>
      <c r="BR157" s="5">
        <f>IF(A157="","",N(INDEX(Projects[Systems Commissioning],156)))</f>
        <v/>
      </c>
      <c r="BS157" s="5">
        <f>IF(A157="","",N(INDEX(Projects[Service Commissioning],156)))</f>
        <v/>
      </c>
      <c r="BT157" s="5">
        <f>IF(A157="","",N(INDEX(Projects[Controls Eng],156)))</f>
        <v/>
      </c>
      <c r="BU157" s="5">
        <f>IF(A157="","",N(INDEX(Projects[Controls Purchase],156)))</f>
        <v/>
      </c>
      <c r="BV157" s="5">
        <f>IF(A157="","",N(INDEX(Projects[Software Eng],156)))</f>
        <v/>
      </c>
      <c r="BW157" s="5">
        <f>IF(A157="","",N(INDEX(Projects[Misc],156)))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  <c r="BZ157" s="5">
        <f>INDEX(Projects[Solution Type],156)&amp;""</f>
        <v/>
      </c>
      <c r="CA157" s="5">
        <f>INDEX(Projects[Client / Region],156)&amp;""</f>
        <v/>
      </c>
      <c r="CB157" s="5">
        <f>INDEX(Projects[Year],156)</f>
        <v/>
      </c>
      <c r="CC157" s="5">
        <f>INDEX(Projects[Won?],156)&amp;""</f>
        <v/>
      </c>
      <c r="CD157" s="5">
        <f>INDEX(Projects[Value (USD M)],156)</f>
        <v/>
      </c>
      <c r="CE157" s="5">
        <f>INDEX(Projects[MH Data Status],156)&amp;""</f>
        <v/>
      </c>
    </row>
    <row r="158" ht="15" customHeight="1" s="74">
      <c r="A158" s="66">
        <f>INDEX(Projects[Project ID *],157)&amp;""</f>
        <v/>
      </c>
      <c r="B158" s="66">
        <f>INDEX(Projects[Project Name *],157)&amp;""</f>
        <v/>
      </c>
      <c r="C158" s="66">
        <f>INDEX(Projects[MS Shuttles],157)</f>
        <v/>
      </c>
      <c r="D158" s="66">
        <f>INDEX(Projects[MS Tote Locations],157)</f>
        <v/>
      </c>
      <c r="E158" s="66">
        <f>INDEX(Projects[AS Robots],157)</f>
        <v/>
      </c>
      <c r="F158" s="66">
        <f>INDEX(Projects[AS Tote Locations],157)</f>
        <v/>
      </c>
      <c r="G158" s="66">
        <f>INDEX(Projects[PS Shuttles],157)</f>
        <v/>
      </c>
      <c r="H158" s="66">
        <f>INDEX(Projects[PS Pallet Locations],157)</f>
        <v/>
      </c>
      <c r="I158" s="66">
        <f>INDEX(Projects[SRM Cranes],157)</f>
        <v/>
      </c>
      <c r="J158" s="66">
        <f>INDEX(Projects[SRM Pallet Locations],157)</f>
        <v/>
      </c>
      <c r="K158" s="66">
        <f>INDEX(Projects[Case Conv (m)],157)</f>
        <v/>
      </c>
      <c r="L158" s="66">
        <f>INDEX(Projects[Pallet Conv (m)],157)</f>
        <v/>
      </c>
      <c r="M158" s="66">
        <f>INDEX(Projects[Mech Eng (wks)],157)</f>
        <v/>
      </c>
      <c r="N158" s="66">
        <f>INDEX(Projects[Controls Eng (wks)],157)</f>
        <v/>
      </c>
      <c r="O158" s="66">
        <f>INDEX(Projects[Systems Eng (wks)],157)</f>
        <v/>
      </c>
      <c r="P158" s="66">
        <f>INDEX(Projects[Software Eng (wks)],157)</f>
        <v/>
      </c>
      <c r="Q158" s="66">
        <f>INDEX(Projects[M&amp;E Installation (wks)],157)</f>
        <v/>
      </c>
      <c r="R158" s="66">
        <f>INDEX(Projects[Commissioning (wks)],157)</f>
        <v/>
      </c>
      <c r="S158" s="66">
        <f>INDEX(Projects[Total Timeline (wks)],157)</f>
        <v/>
      </c>
      <c r="T158" s="66">
        <f>INDEX(Projects[Currency],157)&amp;""</f>
        <v/>
      </c>
      <c r="U158" s="67">
        <f>INDEX(Projects[Value (M)],157)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INDEX(Projects[Automation Equipment],157)&amp;""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IF(AND(A158&lt;&gt;"",OR('Smart Search'!$L$5="",'Smart Search'!$L$5="All",TRIM(BZ158)=TRIM('Smart Search'!$L$5)),OR(TRIM('Smart Search'!$L$6)="",TRIM('Smart Search'!$L$6)="All",ISNUMBER(SEARCH(SUBSTITUTE(SUBSTITUTE(SUBSTITUTE(TRIM('Smart Search'!$L$6),"~","~~"),"*","~*"),"?","~?"),CA158))),OR('Smart Search'!$L$7="",AND(CB158&lt;&gt;0,CB158='Smart Search'!$L$7)),OR('Smart Search'!$L$8="",'Smart Search'!$L$8="All",TRIM(CC158)=TRIM('Smart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IF(A158="","",N(INDEX(Projects[Mech Inst],157)))</f>
        <v/>
      </c>
      <c r="BK158" s="5">
        <f>IF(A158="","",N(INDEX(Projects[Elec Inst],157)))</f>
        <v/>
      </c>
      <c r="BL158" s="5">
        <f>IF(A158="","",N(INDEX(Projects[Project Management],157)))</f>
        <v/>
      </c>
      <c r="BM158" s="5">
        <f>IF(A158="","",N(INDEX(Projects[Systems Eng],157)))</f>
        <v/>
      </c>
      <c r="BN158" s="5">
        <f>IF(A158="","",N(INDEX(Projects[Mechanical Eng],157)))</f>
        <v/>
      </c>
      <c r="BO158" s="5">
        <f>IF(A158="","",N(INDEX(Projects[Structural Engineering],157)))</f>
        <v/>
      </c>
      <c r="BP158" s="5">
        <f>IF(A158="","",N(INDEX(Projects[Site Sup],157)))</f>
        <v/>
      </c>
      <c r="BQ158" s="5">
        <f>IF(A158="","",N(INDEX(Projects[Controls Commissioning],157)))</f>
        <v/>
      </c>
      <c r="BR158" s="5">
        <f>IF(A158="","",N(INDEX(Projects[Systems Commissioning],157)))</f>
        <v/>
      </c>
      <c r="BS158" s="5">
        <f>IF(A158="","",N(INDEX(Projects[Service Commissioning],157)))</f>
        <v/>
      </c>
      <c r="BT158" s="5">
        <f>IF(A158="","",N(INDEX(Projects[Controls Eng],157)))</f>
        <v/>
      </c>
      <c r="BU158" s="5">
        <f>IF(A158="","",N(INDEX(Projects[Controls Purchase],157)))</f>
        <v/>
      </c>
      <c r="BV158" s="5">
        <f>IF(A158="","",N(INDEX(Projects[Software Eng],157)))</f>
        <v/>
      </c>
      <c r="BW158" s="5">
        <f>IF(A158="","",N(INDEX(Projects[Misc],157)))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  <c r="BZ158" s="5">
        <f>INDEX(Projects[Solution Type],157)&amp;""</f>
        <v/>
      </c>
      <c r="CA158" s="5">
        <f>INDEX(Projects[Client / Region],157)&amp;""</f>
        <v/>
      </c>
      <c r="CB158" s="5">
        <f>INDEX(Projects[Year],157)</f>
        <v/>
      </c>
      <c r="CC158" s="5">
        <f>INDEX(Projects[Won?],157)&amp;""</f>
        <v/>
      </c>
      <c r="CD158" s="5">
        <f>INDEX(Projects[Value (USD M)],157)</f>
        <v/>
      </c>
      <c r="CE158" s="5">
        <f>INDEX(Projects[MH Data Status],157)&amp;""</f>
        <v/>
      </c>
    </row>
    <row r="159" ht="15" customHeight="1" s="74">
      <c r="A159" s="66">
        <f>INDEX(Projects[Project ID *],158)&amp;""</f>
        <v/>
      </c>
      <c r="B159" s="66">
        <f>INDEX(Projects[Project Name *],158)&amp;""</f>
        <v/>
      </c>
      <c r="C159" s="66">
        <f>INDEX(Projects[MS Shuttles],158)</f>
        <v/>
      </c>
      <c r="D159" s="66">
        <f>INDEX(Projects[MS Tote Locations],158)</f>
        <v/>
      </c>
      <c r="E159" s="66">
        <f>INDEX(Projects[AS Robots],158)</f>
        <v/>
      </c>
      <c r="F159" s="66">
        <f>INDEX(Projects[AS Tote Locations],158)</f>
        <v/>
      </c>
      <c r="G159" s="66">
        <f>INDEX(Projects[PS Shuttles],158)</f>
        <v/>
      </c>
      <c r="H159" s="66">
        <f>INDEX(Projects[PS Pallet Locations],158)</f>
        <v/>
      </c>
      <c r="I159" s="66">
        <f>INDEX(Projects[SRM Cranes],158)</f>
        <v/>
      </c>
      <c r="J159" s="66">
        <f>INDEX(Projects[SRM Pallet Locations],158)</f>
        <v/>
      </c>
      <c r="K159" s="66">
        <f>INDEX(Projects[Case Conv (m)],158)</f>
        <v/>
      </c>
      <c r="L159" s="66">
        <f>INDEX(Projects[Pallet Conv (m)],158)</f>
        <v/>
      </c>
      <c r="M159" s="66">
        <f>INDEX(Projects[Mech Eng (wks)],158)</f>
        <v/>
      </c>
      <c r="N159" s="66">
        <f>INDEX(Projects[Controls Eng (wks)],158)</f>
        <v/>
      </c>
      <c r="O159" s="66">
        <f>INDEX(Projects[Systems Eng (wks)],158)</f>
        <v/>
      </c>
      <c r="P159" s="66">
        <f>INDEX(Projects[Software Eng (wks)],158)</f>
        <v/>
      </c>
      <c r="Q159" s="66">
        <f>INDEX(Projects[M&amp;E Installation (wks)],158)</f>
        <v/>
      </c>
      <c r="R159" s="66">
        <f>INDEX(Projects[Commissioning (wks)],158)</f>
        <v/>
      </c>
      <c r="S159" s="66">
        <f>INDEX(Projects[Total Timeline (wks)],158)</f>
        <v/>
      </c>
      <c r="T159" s="66">
        <f>INDEX(Projects[Currency],158)&amp;""</f>
        <v/>
      </c>
      <c r="U159" s="67">
        <f>INDEX(Projects[Value (M)],158)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INDEX(Projects[Automation Equipment],158)&amp;""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IF(AND(A159&lt;&gt;"",OR('Smart Search'!$L$5="",'Smart Search'!$L$5="All",TRIM(BZ159)=TRIM('Smart Search'!$L$5)),OR(TRIM('Smart Search'!$L$6)="",TRIM('Smart Search'!$L$6)="All",ISNUMBER(SEARCH(SUBSTITUTE(SUBSTITUTE(SUBSTITUTE(TRIM('Smart Search'!$L$6),"~","~~"),"*","~*"),"?","~?"),CA159))),OR('Smart Search'!$L$7="",AND(CB159&lt;&gt;0,CB159='Smart Search'!$L$7)),OR('Smart Search'!$L$8="",'Smart Search'!$L$8="All",TRIM(CC159)=TRIM('Smart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IF(A159="","",N(INDEX(Projects[Mech Inst],158)))</f>
        <v/>
      </c>
      <c r="BK159" s="5">
        <f>IF(A159="","",N(INDEX(Projects[Elec Inst],158)))</f>
        <v/>
      </c>
      <c r="BL159" s="5">
        <f>IF(A159="","",N(INDEX(Projects[Project Management],158)))</f>
        <v/>
      </c>
      <c r="BM159" s="5">
        <f>IF(A159="","",N(INDEX(Projects[Systems Eng],158)))</f>
        <v/>
      </c>
      <c r="BN159" s="5">
        <f>IF(A159="","",N(INDEX(Projects[Mechanical Eng],158)))</f>
        <v/>
      </c>
      <c r="BO159" s="5">
        <f>IF(A159="","",N(INDEX(Projects[Structural Engineering],158)))</f>
        <v/>
      </c>
      <c r="BP159" s="5">
        <f>IF(A159="","",N(INDEX(Projects[Site Sup],158)))</f>
        <v/>
      </c>
      <c r="BQ159" s="5">
        <f>IF(A159="","",N(INDEX(Projects[Controls Commissioning],158)))</f>
        <v/>
      </c>
      <c r="BR159" s="5">
        <f>IF(A159="","",N(INDEX(Projects[Systems Commissioning],158)))</f>
        <v/>
      </c>
      <c r="BS159" s="5">
        <f>IF(A159="","",N(INDEX(Projects[Service Commissioning],158)))</f>
        <v/>
      </c>
      <c r="BT159" s="5">
        <f>IF(A159="","",N(INDEX(Projects[Controls Eng],158)))</f>
        <v/>
      </c>
      <c r="BU159" s="5">
        <f>IF(A159="","",N(INDEX(Projects[Controls Purchase],158)))</f>
        <v/>
      </c>
      <c r="BV159" s="5">
        <f>IF(A159="","",N(INDEX(Projects[Software Eng],158)))</f>
        <v/>
      </c>
      <c r="BW159" s="5">
        <f>IF(A159="","",N(INDEX(Projects[Misc],158)))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  <c r="BZ159" s="5">
        <f>INDEX(Projects[Solution Type],158)&amp;""</f>
        <v/>
      </c>
      <c r="CA159" s="5">
        <f>INDEX(Projects[Client / Region],158)&amp;""</f>
        <v/>
      </c>
      <c r="CB159" s="5">
        <f>INDEX(Projects[Year],158)</f>
        <v/>
      </c>
      <c r="CC159" s="5">
        <f>INDEX(Projects[Won?],158)&amp;""</f>
        <v/>
      </c>
      <c r="CD159" s="5">
        <f>INDEX(Projects[Value (USD M)],158)</f>
        <v/>
      </c>
      <c r="CE159" s="5">
        <f>INDEX(Projects[MH Data Status],158)&amp;""</f>
        <v/>
      </c>
    </row>
    <row r="160" ht="15" customHeight="1" s="74">
      <c r="A160" s="66">
        <f>INDEX(Projects[Project ID *],159)&amp;""</f>
        <v/>
      </c>
      <c r="B160" s="66">
        <f>INDEX(Projects[Project Name *],159)&amp;""</f>
        <v/>
      </c>
      <c r="C160" s="66">
        <f>INDEX(Projects[MS Shuttles],159)</f>
        <v/>
      </c>
      <c r="D160" s="66">
        <f>INDEX(Projects[MS Tote Locations],159)</f>
        <v/>
      </c>
      <c r="E160" s="66">
        <f>INDEX(Projects[AS Robots],159)</f>
        <v/>
      </c>
      <c r="F160" s="66">
        <f>INDEX(Projects[AS Tote Locations],159)</f>
        <v/>
      </c>
      <c r="G160" s="66">
        <f>INDEX(Projects[PS Shuttles],159)</f>
        <v/>
      </c>
      <c r="H160" s="66">
        <f>INDEX(Projects[PS Pallet Locations],159)</f>
        <v/>
      </c>
      <c r="I160" s="66">
        <f>INDEX(Projects[SRM Cranes],159)</f>
        <v/>
      </c>
      <c r="J160" s="66">
        <f>INDEX(Projects[SRM Pallet Locations],159)</f>
        <v/>
      </c>
      <c r="K160" s="66">
        <f>INDEX(Projects[Case Conv (m)],159)</f>
        <v/>
      </c>
      <c r="L160" s="66">
        <f>INDEX(Projects[Pallet Conv (m)],159)</f>
        <v/>
      </c>
      <c r="M160" s="66">
        <f>INDEX(Projects[Mech Eng (wks)],159)</f>
        <v/>
      </c>
      <c r="N160" s="66">
        <f>INDEX(Projects[Controls Eng (wks)],159)</f>
        <v/>
      </c>
      <c r="O160" s="66">
        <f>INDEX(Projects[Systems Eng (wks)],159)</f>
        <v/>
      </c>
      <c r="P160" s="66">
        <f>INDEX(Projects[Software Eng (wks)],159)</f>
        <v/>
      </c>
      <c r="Q160" s="66">
        <f>INDEX(Projects[M&amp;E Installation (wks)],159)</f>
        <v/>
      </c>
      <c r="R160" s="66">
        <f>INDEX(Projects[Commissioning (wks)],159)</f>
        <v/>
      </c>
      <c r="S160" s="66">
        <f>INDEX(Projects[Total Timeline (wks)],159)</f>
        <v/>
      </c>
      <c r="T160" s="66">
        <f>INDEX(Projects[Currency],159)&amp;""</f>
        <v/>
      </c>
      <c r="U160" s="67">
        <f>INDEX(Projects[Value (M)],159)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INDEX(Projects[Automation Equipment],159)&amp;""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IF(AND(A160&lt;&gt;"",OR('Smart Search'!$L$5="",'Smart Search'!$L$5="All",TRIM(BZ160)=TRIM('Smart Search'!$L$5)),OR(TRIM('Smart Search'!$L$6)="",TRIM('Smart Search'!$L$6)="All",ISNUMBER(SEARCH(SUBSTITUTE(SUBSTITUTE(SUBSTITUTE(TRIM('Smart Search'!$L$6),"~","~~"),"*","~*"),"?","~?"),CA160))),OR('Smart Search'!$L$7="",AND(CB160&lt;&gt;0,CB160='Smart Search'!$L$7)),OR('Smart Search'!$L$8="",'Smart Search'!$L$8="All",TRIM(CC160)=TRIM('Smart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IF(A160="","",N(INDEX(Projects[Mech Inst],159)))</f>
        <v/>
      </c>
      <c r="BK160" s="5">
        <f>IF(A160="","",N(INDEX(Projects[Elec Inst],159)))</f>
        <v/>
      </c>
      <c r="BL160" s="5">
        <f>IF(A160="","",N(INDEX(Projects[Project Management],159)))</f>
        <v/>
      </c>
      <c r="BM160" s="5">
        <f>IF(A160="","",N(INDEX(Projects[Systems Eng],159)))</f>
        <v/>
      </c>
      <c r="BN160" s="5">
        <f>IF(A160="","",N(INDEX(Projects[Mechanical Eng],159)))</f>
        <v/>
      </c>
      <c r="BO160" s="5">
        <f>IF(A160="","",N(INDEX(Projects[Structural Engineering],159)))</f>
        <v/>
      </c>
      <c r="BP160" s="5">
        <f>IF(A160="","",N(INDEX(Projects[Site Sup],159)))</f>
        <v/>
      </c>
      <c r="BQ160" s="5">
        <f>IF(A160="","",N(INDEX(Projects[Controls Commissioning],159)))</f>
        <v/>
      </c>
      <c r="BR160" s="5">
        <f>IF(A160="","",N(INDEX(Projects[Systems Commissioning],159)))</f>
        <v/>
      </c>
      <c r="BS160" s="5">
        <f>IF(A160="","",N(INDEX(Projects[Service Commissioning],159)))</f>
        <v/>
      </c>
      <c r="BT160" s="5">
        <f>IF(A160="","",N(INDEX(Projects[Controls Eng],159)))</f>
        <v/>
      </c>
      <c r="BU160" s="5">
        <f>IF(A160="","",N(INDEX(Projects[Controls Purchase],159)))</f>
        <v/>
      </c>
      <c r="BV160" s="5">
        <f>IF(A160="","",N(INDEX(Projects[Software Eng],159)))</f>
        <v/>
      </c>
      <c r="BW160" s="5">
        <f>IF(A160="","",N(INDEX(Projects[Misc],159)))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  <c r="BZ160" s="5">
        <f>INDEX(Projects[Solution Type],159)&amp;""</f>
        <v/>
      </c>
      <c r="CA160" s="5">
        <f>INDEX(Projects[Client / Region],159)&amp;""</f>
        <v/>
      </c>
      <c r="CB160" s="5">
        <f>INDEX(Projects[Year],159)</f>
        <v/>
      </c>
      <c r="CC160" s="5">
        <f>INDEX(Projects[Won?],159)&amp;""</f>
        <v/>
      </c>
      <c r="CD160" s="5">
        <f>INDEX(Projects[Value (USD M)],159)</f>
        <v/>
      </c>
      <c r="CE160" s="5">
        <f>INDEX(Projects[MH Data Status],159)&amp;""</f>
        <v/>
      </c>
    </row>
    <row r="161" ht="15" customHeight="1" s="74">
      <c r="A161" s="66">
        <f>INDEX(Projects[Project ID *],160)&amp;""</f>
        <v/>
      </c>
      <c r="B161" s="66">
        <f>INDEX(Projects[Project Name *],160)&amp;""</f>
        <v/>
      </c>
      <c r="C161" s="66">
        <f>INDEX(Projects[MS Shuttles],160)</f>
        <v/>
      </c>
      <c r="D161" s="66">
        <f>INDEX(Projects[MS Tote Locations],160)</f>
        <v/>
      </c>
      <c r="E161" s="66">
        <f>INDEX(Projects[AS Robots],160)</f>
        <v/>
      </c>
      <c r="F161" s="66">
        <f>INDEX(Projects[AS Tote Locations],160)</f>
        <v/>
      </c>
      <c r="G161" s="66">
        <f>INDEX(Projects[PS Shuttles],160)</f>
        <v/>
      </c>
      <c r="H161" s="66">
        <f>INDEX(Projects[PS Pallet Locations],160)</f>
        <v/>
      </c>
      <c r="I161" s="66">
        <f>INDEX(Projects[SRM Cranes],160)</f>
        <v/>
      </c>
      <c r="J161" s="66">
        <f>INDEX(Projects[SRM Pallet Locations],160)</f>
        <v/>
      </c>
      <c r="K161" s="66">
        <f>INDEX(Projects[Case Conv (m)],160)</f>
        <v/>
      </c>
      <c r="L161" s="66">
        <f>INDEX(Projects[Pallet Conv (m)],160)</f>
        <v/>
      </c>
      <c r="M161" s="66">
        <f>INDEX(Projects[Mech Eng (wks)],160)</f>
        <v/>
      </c>
      <c r="N161" s="66">
        <f>INDEX(Projects[Controls Eng (wks)],160)</f>
        <v/>
      </c>
      <c r="O161" s="66">
        <f>INDEX(Projects[Systems Eng (wks)],160)</f>
        <v/>
      </c>
      <c r="P161" s="66">
        <f>INDEX(Projects[Software Eng (wks)],160)</f>
        <v/>
      </c>
      <c r="Q161" s="66">
        <f>INDEX(Projects[M&amp;E Installation (wks)],160)</f>
        <v/>
      </c>
      <c r="R161" s="66">
        <f>INDEX(Projects[Commissioning (wks)],160)</f>
        <v/>
      </c>
      <c r="S161" s="66">
        <f>INDEX(Projects[Total Timeline (wks)],160)</f>
        <v/>
      </c>
      <c r="T161" s="66">
        <f>INDEX(Projects[Currency],160)&amp;""</f>
        <v/>
      </c>
      <c r="U161" s="67">
        <f>INDEX(Projects[Value (M)],160)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INDEX(Projects[Automation Equipment],160)&amp;""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IF(AND(A161&lt;&gt;"",OR('Smart Search'!$L$5="",'Smart Search'!$L$5="All",TRIM(BZ161)=TRIM('Smart Search'!$L$5)),OR(TRIM('Smart Search'!$L$6)="",TRIM('Smart Search'!$L$6)="All",ISNUMBER(SEARCH(SUBSTITUTE(SUBSTITUTE(SUBSTITUTE(TRIM('Smart Search'!$L$6),"~","~~"),"*","~*"),"?","~?"),CA161))),OR('Smart Search'!$L$7="",AND(CB161&lt;&gt;0,CB161='Smart Search'!$L$7)),OR('Smart Search'!$L$8="",'Smart Search'!$L$8="All",TRIM(CC161)=TRIM('Smart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IF(A161="","",N(INDEX(Projects[Mech Inst],160)))</f>
        <v/>
      </c>
      <c r="BK161" s="5">
        <f>IF(A161="","",N(INDEX(Projects[Elec Inst],160)))</f>
        <v/>
      </c>
      <c r="BL161" s="5">
        <f>IF(A161="","",N(INDEX(Projects[Project Management],160)))</f>
        <v/>
      </c>
      <c r="BM161" s="5">
        <f>IF(A161="","",N(INDEX(Projects[Systems Eng],160)))</f>
        <v/>
      </c>
      <c r="BN161" s="5">
        <f>IF(A161="","",N(INDEX(Projects[Mechanical Eng],160)))</f>
        <v/>
      </c>
      <c r="BO161" s="5">
        <f>IF(A161="","",N(INDEX(Projects[Structural Engineering],160)))</f>
        <v/>
      </c>
      <c r="BP161" s="5">
        <f>IF(A161="","",N(INDEX(Projects[Site Sup],160)))</f>
        <v/>
      </c>
      <c r="BQ161" s="5">
        <f>IF(A161="","",N(INDEX(Projects[Controls Commissioning],160)))</f>
        <v/>
      </c>
      <c r="BR161" s="5">
        <f>IF(A161="","",N(INDEX(Projects[Systems Commissioning],160)))</f>
        <v/>
      </c>
      <c r="BS161" s="5">
        <f>IF(A161="","",N(INDEX(Projects[Service Commissioning],160)))</f>
        <v/>
      </c>
      <c r="BT161" s="5">
        <f>IF(A161="","",N(INDEX(Projects[Controls Eng],160)))</f>
        <v/>
      </c>
      <c r="BU161" s="5">
        <f>IF(A161="","",N(INDEX(Projects[Controls Purchase],160)))</f>
        <v/>
      </c>
      <c r="BV161" s="5">
        <f>IF(A161="","",N(INDEX(Projects[Software Eng],160)))</f>
        <v/>
      </c>
      <c r="BW161" s="5">
        <f>IF(A161="","",N(INDEX(Projects[Misc],160)))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  <c r="BZ161" s="5">
        <f>INDEX(Projects[Solution Type],160)&amp;""</f>
        <v/>
      </c>
      <c r="CA161" s="5">
        <f>INDEX(Projects[Client / Region],160)&amp;""</f>
        <v/>
      </c>
      <c r="CB161" s="5">
        <f>INDEX(Projects[Year],160)</f>
        <v/>
      </c>
      <c r="CC161" s="5">
        <f>INDEX(Projects[Won?],160)&amp;""</f>
        <v/>
      </c>
      <c r="CD161" s="5">
        <f>INDEX(Projects[Value (USD M)],160)</f>
        <v/>
      </c>
      <c r="CE161" s="5">
        <f>INDEX(Projects[MH Data Status],160)&amp;""</f>
        <v/>
      </c>
    </row>
    <row r="162" ht="15" customHeight="1" s="74">
      <c r="A162" s="66">
        <f>INDEX(Projects[Project ID *],161)&amp;""</f>
        <v/>
      </c>
      <c r="B162" s="66">
        <f>INDEX(Projects[Project Name *],161)&amp;""</f>
        <v/>
      </c>
      <c r="C162" s="66">
        <f>INDEX(Projects[MS Shuttles],161)</f>
        <v/>
      </c>
      <c r="D162" s="66">
        <f>INDEX(Projects[MS Tote Locations],161)</f>
        <v/>
      </c>
      <c r="E162" s="66">
        <f>INDEX(Projects[AS Robots],161)</f>
        <v/>
      </c>
      <c r="F162" s="66">
        <f>INDEX(Projects[AS Tote Locations],161)</f>
        <v/>
      </c>
      <c r="G162" s="66">
        <f>INDEX(Projects[PS Shuttles],161)</f>
        <v/>
      </c>
      <c r="H162" s="66">
        <f>INDEX(Projects[PS Pallet Locations],161)</f>
        <v/>
      </c>
      <c r="I162" s="66">
        <f>INDEX(Projects[SRM Cranes],161)</f>
        <v/>
      </c>
      <c r="J162" s="66">
        <f>INDEX(Projects[SRM Pallet Locations],161)</f>
        <v/>
      </c>
      <c r="K162" s="66">
        <f>INDEX(Projects[Case Conv (m)],161)</f>
        <v/>
      </c>
      <c r="L162" s="66">
        <f>INDEX(Projects[Pallet Conv (m)],161)</f>
        <v/>
      </c>
      <c r="M162" s="66">
        <f>INDEX(Projects[Mech Eng (wks)],161)</f>
        <v/>
      </c>
      <c r="N162" s="66">
        <f>INDEX(Projects[Controls Eng (wks)],161)</f>
        <v/>
      </c>
      <c r="O162" s="66">
        <f>INDEX(Projects[Systems Eng (wks)],161)</f>
        <v/>
      </c>
      <c r="P162" s="66">
        <f>INDEX(Projects[Software Eng (wks)],161)</f>
        <v/>
      </c>
      <c r="Q162" s="66">
        <f>INDEX(Projects[M&amp;E Installation (wks)],161)</f>
        <v/>
      </c>
      <c r="R162" s="66">
        <f>INDEX(Projects[Commissioning (wks)],161)</f>
        <v/>
      </c>
      <c r="S162" s="66">
        <f>INDEX(Projects[Total Timeline (wks)],161)</f>
        <v/>
      </c>
      <c r="T162" s="66">
        <f>INDEX(Projects[Currency],161)&amp;""</f>
        <v/>
      </c>
      <c r="U162" s="67">
        <f>INDEX(Projects[Value (M)],161)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INDEX(Projects[Automation Equipment],161)&amp;""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IF(AND(A162&lt;&gt;"",OR('Smart Search'!$L$5="",'Smart Search'!$L$5="All",TRIM(BZ162)=TRIM('Smart Search'!$L$5)),OR(TRIM('Smart Search'!$L$6)="",TRIM('Smart Search'!$L$6)="All",ISNUMBER(SEARCH(SUBSTITUTE(SUBSTITUTE(SUBSTITUTE(TRIM('Smart Search'!$L$6),"~","~~"),"*","~*"),"?","~?"),CA162))),OR('Smart Search'!$L$7="",AND(CB162&lt;&gt;0,CB162='Smart Search'!$L$7)),OR('Smart Search'!$L$8="",'Smart Search'!$L$8="All",TRIM(CC162)=TRIM('Smart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IF(A162="","",N(INDEX(Projects[Mech Inst],161)))</f>
        <v/>
      </c>
      <c r="BK162" s="5">
        <f>IF(A162="","",N(INDEX(Projects[Elec Inst],161)))</f>
        <v/>
      </c>
      <c r="BL162" s="5">
        <f>IF(A162="","",N(INDEX(Projects[Project Management],161)))</f>
        <v/>
      </c>
      <c r="BM162" s="5">
        <f>IF(A162="","",N(INDEX(Projects[Systems Eng],161)))</f>
        <v/>
      </c>
      <c r="BN162" s="5">
        <f>IF(A162="","",N(INDEX(Projects[Mechanical Eng],161)))</f>
        <v/>
      </c>
      <c r="BO162" s="5">
        <f>IF(A162="","",N(INDEX(Projects[Structural Engineering],161)))</f>
        <v/>
      </c>
      <c r="BP162" s="5">
        <f>IF(A162="","",N(INDEX(Projects[Site Sup],161)))</f>
        <v/>
      </c>
      <c r="BQ162" s="5">
        <f>IF(A162="","",N(INDEX(Projects[Controls Commissioning],161)))</f>
        <v/>
      </c>
      <c r="BR162" s="5">
        <f>IF(A162="","",N(INDEX(Projects[Systems Commissioning],161)))</f>
        <v/>
      </c>
      <c r="BS162" s="5">
        <f>IF(A162="","",N(INDEX(Projects[Service Commissioning],161)))</f>
        <v/>
      </c>
      <c r="BT162" s="5">
        <f>IF(A162="","",N(INDEX(Projects[Controls Eng],161)))</f>
        <v/>
      </c>
      <c r="BU162" s="5">
        <f>IF(A162="","",N(INDEX(Projects[Controls Purchase],161)))</f>
        <v/>
      </c>
      <c r="BV162" s="5">
        <f>IF(A162="","",N(INDEX(Projects[Software Eng],161)))</f>
        <v/>
      </c>
      <c r="BW162" s="5">
        <f>IF(A162="","",N(INDEX(Projects[Misc],161)))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  <c r="BZ162" s="5">
        <f>INDEX(Projects[Solution Type],161)&amp;""</f>
        <v/>
      </c>
      <c r="CA162" s="5">
        <f>INDEX(Projects[Client / Region],161)&amp;""</f>
        <v/>
      </c>
      <c r="CB162" s="5">
        <f>INDEX(Projects[Year],161)</f>
        <v/>
      </c>
      <c r="CC162" s="5">
        <f>INDEX(Projects[Won?],161)&amp;""</f>
        <v/>
      </c>
      <c r="CD162" s="5">
        <f>INDEX(Projects[Value (USD M)],161)</f>
        <v/>
      </c>
      <c r="CE162" s="5">
        <f>INDEX(Projects[MH Data Status],161)&amp;""</f>
        <v/>
      </c>
    </row>
    <row r="163" ht="15" customHeight="1" s="74">
      <c r="A163" s="66">
        <f>INDEX(Projects[Project ID *],162)&amp;""</f>
        <v/>
      </c>
      <c r="B163" s="66">
        <f>INDEX(Projects[Project Name *],162)&amp;""</f>
        <v/>
      </c>
      <c r="C163" s="66">
        <f>INDEX(Projects[MS Shuttles],162)</f>
        <v/>
      </c>
      <c r="D163" s="66">
        <f>INDEX(Projects[MS Tote Locations],162)</f>
        <v/>
      </c>
      <c r="E163" s="66">
        <f>INDEX(Projects[AS Robots],162)</f>
        <v/>
      </c>
      <c r="F163" s="66">
        <f>INDEX(Projects[AS Tote Locations],162)</f>
        <v/>
      </c>
      <c r="G163" s="66">
        <f>INDEX(Projects[PS Shuttles],162)</f>
        <v/>
      </c>
      <c r="H163" s="66">
        <f>INDEX(Projects[PS Pallet Locations],162)</f>
        <v/>
      </c>
      <c r="I163" s="66">
        <f>INDEX(Projects[SRM Cranes],162)</f>
        <v/>
      </c>
      <c r="J163" s="66">
        <f>INDEX(Projects[SRM Pallet Locations],162)</f>
        <v/>
      </c>
      <c r="K163" s="66">
        <f>INDEX(Projects[Case Conv (m)],162)</f>
        <v/>
      </c>
      <c r="L163" s="66">
        <f>INDEX(Projects[Pallet Conv (m)],162)</f>
        <v/>
      </c>
      <c r="M163" s="66">
        <f>INDEX(Projects[Mech Eng (wks)],162)</f>
        <v/>
      </c>
      <c r="N163" s="66">
        <f>INDEX(Projects[Controls Eng (wks)],162)</f>
        <v/>
      </c>
      <c r="O163" s="66">
        <f>INDEX(Projects[Systems Eng (wks)],162)</f>
        <v/>
      </c>
      <c r="P163" s="66">
        <f>INDEX(Projects[Software Eng (wks)],162)</f>
        <v/>
      </c>
      <c r="Q163" s="66">
        <f>INDEX(Projects[M&amp;E Installation (wks)],162)</f>
        <v/>
      </c>
      <c r="R163" s="66">
        <f>INDEX(Projects[Commissioning (wks)],162)</f>
        <v/>
      </c>
      <c r="S163" s="66">
        <f>INDEX(Projects[Total Timeline (wks)],162)</f>
        <v/>
      </c>
      <c r="T163" s="66">
        <f>INDEX(Projects[Currency],162)&amp;""</f>
        <v/>
      </c>
      <c r="U163" s="67">
        <f>INDEX(Projects[Value (M)],162)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INDEX(Projects[Automation Equipment],162)&amp;""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IF(AND(A163&lt;&gt;"",OR('Smart Search'!$L$5="",'Smart Search'!$L$5="All",TRIM(BZ163)=TRIM('Smart Search'!$L$5)),OR(TRIM('Smart Search'!$L$6)="",TRIM('Smart Search'!$L$6)="All",ISNUMBER(SEARCH(SUBSTITUTE(SUBSTITUTE(SUBSTITUTE(TRIM('Smart Search'!$L$6),"~","~~"),"*","~*"),"?","~?"),CA163))),OR('Smart Search'!$L$7="",AND(CB163&lt;&gt;0,CB163='Smart Search'!$L$7)),OR('Smart Search'!$L$8="",'Smart Search'!$L$8="All",TRIM(CC163)=TRIM('Smart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IF(A163="","",N(INDEX(Projects[Mech Inst],162)))</f>
        <v/>
      </c>
      <c r="BK163" s="5">
        <f>IF(A163="","",N(INDEX(Projects[Elec Inst],162)))</f>
        <v/>
      </c>
      <c r="BL163" s="5">
        <f>IF(A163="","",N(INDEX(Projects[Project Management],162)))</f>
        <v/>
      </c>
      <c r="BM163" s="5">
        <f>IF(A163="","",N(INDEX(Projects[Systems Eng],162)))</f>
        <v/>
      </c>
      <c r="BN163" s="5">
        <f>IF(A163="","",N(INDEX(Projects[Mechanical Eng],162)))</f>
        <v/>
      </c>
      <c r="BO163" s="5">
        <f>IF(A163="","",N(INDEX(Projects[Structural Engineering],162)))</f>
        <v/>
      </c>
      <c r="BP163" s="5">
        <f>IF(A163="","",N(INDEX(Projects[Site Sup],162)))</f>
        <v/>
      </c>
      <c r="BQ163" s="5">
        <f>IF(A163="","",N(INDEX(Projects[Controls Commissioning],162)))</f>
        <v/>
      </c>
      <c r="BR163" s="5">
        <f>IF(A163="","",N(INDEX(Projects[Systems Commissioning],162)))</f>
        <v/>
      </c>
      <c r="BS163" s="5">
        <f>IF(A163="","",N(INDEX(Projects[Service Commissioning],162)))</f>
        <v/>
      </c>
      <c r="BT163" s="5">
        <f>IF(A163="","",N(INDEX(Projects[Controls Eng],162)))</f>
        <v/>
      </c>
      <c r="BU163" s="5">
        <f>IF(A163="","",N(INDEX(Projects[Controls Purchase],162)))</f>
        <v/>
      </c>
      <c r="BV163" s="5">
        <f>IF(A163="","",N(INDEX(Projects[Software Eng],162)))</f>
        <v/>
      </c>
      <c r="BW163" s="5">
        <f>IF(A163="","",N(INDEX(Projects[Misc],162)))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  <c r="BZ163" s="5">
        <f>INDEX(Projects[Solution Type],162)&amp;""</f>
        <v/>
      </c>
      <c r="CA163" s="5">
        <f>INDEX(Projects[Client / Region],162)&amp;""</f>
        <v/>
      </c>
      <c r="CB163" s="5">
        <f>INDEX(Projects[Year],162)</f>
        <v/>
      </c>
      <c r="CC163" s="5">
        <f>INDEX(Projects[Won?],162)&amp;""</f>
        <v/>
      </c>
      <c r="CD163" s="5">
        <f>INDEX(Projects[Value (USD M)],162)</f>
        <v/>
      </c>
      <c r="CE163" s="5">
        <f>INDEX(Projects[MH Data Status],162)&amp;""</f>
        <v/>
      </c>
    </row>
    <row r="164" ht="15" customHeight="1" s="74">
      <c r="A164" s="66">
        <f>INDEX(Projects[Project ID *],163)&amp;""</f>
        <v/>
      </c>
      <c r="B164" s="66">
        <f>INDEX(Projects[Project Name *],163)&amp;""</f>
        <v/>
      </c>
      <c r="C164" s="66">
        <f>INDEX(Projects[MS Shuttles],163)</f>
        <v/>
      </c>
      <c r="D164" s="66">
        <f>INDEX(Projects[MS Tote Locations],163)</f>
        <v/>
      </c>
      <c r="E164" s="66">
        <f>INDEX(Projects[AS Robots],163)</f>
        <v/>
      </c>
      <c r="F164" s="66">
        <f>INDEX(Projects[AS Tote Locations],163)</f>
        <v/>
      </c>
      <c r="G164" s="66">
        <f>INDEX(Projects[PS Shuttles],163)</f>
        <v/>
      </c>
      <c r="H164" s="66">
        <f>INDEX(Projects[PS Pallet Locations],163)</f>
        <v/>
      </c>
      <c r="I164" s="66">
        <f>INDEX(Projects[SRM Cranes],163)</f>
        <v/>
      </c>
      <c r="J164" s="66">
        <f>INDEX(Projects[SRM Pallet Locations],163)</f>
        <v/>
      </c>
      <c r="K164" s="66">
        <f>INDEX(Projects[Case Conv (m)],163)</f>
        <v/>
      </c>
      <c r="L164" s="66">
        <f>INDEX(Projects[Pallet Conv (m)],163)</f>
        <v/>
      </c>
      <c r="M164" s="66">
        <f>INDEX(Projects[Mech Eng (wks)],163)</f>
        <v/>
      </c>
      <c r="N164" s="66">
        <f>INDEX(Projects[Controls Eng (wks)],163)</f>
        <v/>
      </c>
      <c r="O164" s="66">
        <f>INDEX(Projects[Systems Eng (wks)],163)</f>
        <v/>
      </c>
      <c r="P164" s="66">
        <f>INDEX(Projects[Software Eng (wks)],163)</f>
        <v/>
      </c>
      <c r="Q164" s="66">
        <f>INDEX(Projects[M&amp;E Installation (wks)],163)</f>
        <v/>
      </c>
      <c r="R164" s="66">
        <f>INDEX(Projects[Commissioning (wks)],163)</f>
        <v/>
      </c>
      <c r="S164" s="66">
        <f>INDEX(Projects[Total Timeline (wks)],163)</f>
        <v/>
      </c>
      <c r="T164" s="66">
        <f>INDEX(Projects[Currency],163)&amp;""</f>
        <v/>
      </c>
      <c r="U164" s="67">
        <f>INDEX(Projects[Value (M)],163)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INDEX(Projects[Automation Equipment],163)&amp;""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IF(AND(A164&lt;&gt;"",OR('Smart Search'!$L$5="",'Smart Search'!$L$5="All",TRIM(BZ164)=TRIM('Smart Search'!$L$5)),OR(TRIM('Smart Search'!$L$6)="",TRIM('Smart Search'!$L$6)="All",ISNUMBER(SEARCH(SUBSTITUTE(SUBSTITUTE(SUBSTITUTE(TRIM('Smart Search'!$L$6),"~","~~"),"*","~*"),"?","~?"),CA164))),OR('Smart Search'!$L$7="",AND(CB164&lt;&gt;0,CB164='Smart Search'!$L$7)),OR('Smart Search'!$L$8="",'Smart Search'!$L$8="All",TRIM(CC164)=TRIM('Smart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IF(A164="","",N(INDEX(Projects[Mech Inst],163)))</f>
        <v/>
      </c>
      <c r="BK164" s="5">
        <f>IF(A164="","",N(INDEX(Projects[Elec Inst],163)))</f>
        <v/>
      </c>
      <c r="BL164" s="5">
        <f>IF(A164="","",N(INDEX(Projects[Project Management],163)))</f>
        <v/>
      </c>
      <c r="BM164" s="5">
        <f>IF(A164="","",N(INDEX(Projects[Systems Eng],163)))</f>
        <v/>
      </c>
      <c r="BN164" s="5">
        <f>IF(A164="","",N(INDEX(Projects[Mechanical Eng],163)))</f>
        <v/>
      </c>
      <c r="BO164" s="5">
        <f>IF(A164="","",N(INDEX(Projects[Structural Engineering],163)))</f>
        <v/>
      </c>
      <c r="BP164" s="5">
        <f>IF(A164="","",N(INDEX(Projects[Site Sup],163)))</f>
        <v/>
      </c>
      <c r="BQ164" s="5">
        <f>IF(A164="","",N(INDEX(Projects[Controls Commissioning],163)))</f>
        <v/>
      </c>
      <c r="BR164" s="5">
        <f>IF(A164="","",N(INDEX(Projects[Systems Commissioning],163)))</f>
        <v/>
      </c>
      <c r="BS164" s="5">
        <f>IF(A164="","",N(INDEX(Projects[Service Commissioning],163)))</f>
        <v/>
      </c>
      <c r="BT164" s="5">
        <f>IF(A164="","",N(INDEX(Projects[Controls Eng],163)))</f>
        <v/>
      </c>
      <c r="BU164" s="5">
        <f>IF(A164="","",N(INDEX(Projects[Controls Purchase],163)))</f>
        <v/>
      </c>
      <c r="BV164" s="5">
        <f>IF(A164="","",N(INDEX(Projects[Software Eng],163)))</f>
        <v/>
      </c>
      <c r="BW164" s="5">
        <f>IF(A164="","",N(INDEX(Projects[Misc],163)))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  <c r="BZ164" s="5">
        <f>INDEX(Projects[Solution Type],163)&amp;""</f>
        <v/>
      </c>
      <c r="CA164" s="5">
        <f>INDEX(Projects[Client / Region],163)&amp;""</f>
        <v/>
      </c>
      <c r="CB164" s="5">
        <f>INDEX(Projects[Year],163)</f>
        <v/>
      </c>
      <c r="CC164" s="5">
        <f>INDEX(Projects[Won?],163)&amp;""</f>
        <v/>
      </c>
      <c r="CD164" s="5">
        <f>INDEX(Projects[Value (USD M)],163)</f>
        <v/>
      </c>
      <c r="CE164" s="5">
        <f>INDEX(Projects[MH Data Status],163)&amp;""</f>
        <v/>
      </c>
    </row>
    <row r="165" ht="15" customHeight="1" s="74">
      <c r="A165" s="66">
        <f>INDEX(Projects[Project ID *],164)&amp;""</f>
        <v/>
      </c>
      <c r="B165" s="66">
        <f>INDEX(Projects[Project Name *],164)&amp;""</f>
        <v/>
      </c>
      <c r="C165" s="66">
        <f>INDEX(Projects[MS Shuttles],164)</f>
        <v/>
      </c>
      <c r="D165" s="66">
        <f>INDEX(Projects[MS Tote Locations],164)</f>
        <v/>
      </c>
      <c r="E165" s="66">
        <f>INDEX(Projects[AS Robots],164)</f>
        <v/>
      </c>
      <c r="F165" s="66">
        <f>INDEX(Projects[AS Tote Locations],164)</f>
        <v/>
      </c>
      <c r="G165" s="66">
        <f>INDEX(Projects[PS Shuttles],164)</f>
        <v/>
      </c>
      <c r="H165" s="66">
        <f>INDEX(Projects[PS Pallet Locations],164)</f>
        <v/>
      </c>
      <c r="I165" s="66">
        <f>INDEX(Projects[SRM Cranes],164)</f>
        <v/>
      </c>
      <c r="J165" s="66">
        <f>INDEX(Projects[SRM Pallet Locations],164)</f>
        <v/>
      </c>
      <c r="K165" s="66">
        <f>INDEX(Projects[Case Conv (m)],164)</f>
        <v/>
      </c>
      <c r="L165" s="66">
        <f>INDEX(Projects[Pallet Conv (m)],164)</f>
        <v/>
      </c>
      <c r="M165" s="66">
        <f>INDEX(Projects[Mech Eng (wks)],164)</f>
        <v/>
      </c>
      <c r="N165" s="66">
        <f>INDEX(Projects[Controls Eng (wks)],164)</f>
        <v/>
      </c>
      <c r="O165" s="66">
        <f>INDEX(Projects[Systems Eng (wks)],164)</f>
        <v/>
      </c>
      <c r="P165" s="66">
        <f>INDEX(Projects[Software Eng (wks)],164)</f>
        <v/>
      </c>
      <c r="Q165" s="66">
        <f>INDEX(Projects[M&amp;E Installation (wks)],164)</f>
        <v/>
      </c>
      <c r="R165" s="66">
        <f>INDEX(Projects[Commissioning (wks)],164)</f>
        <v/>
      </c>
      <c r="S165" s="66">
        <f>INDEX(Projects[Total Timeline (wks)],164)</f>
        <v/>
      </c>
      <c r="T165" s="66">
        <f>INDEX(Projects[Currency],164)&amp;""</f>
        <v/>
      </c>
      <c r="U165" s="67">
        <f>INDEX(Projects[Value (M)],164)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INDEX(Projects[Automation Equipment],164)&amp;""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IF(AND(A165&lt;&gt;"",OR('Smart Search'!$L$5="",'Smart Search'!$L$5="All",TRIM(BZ165)=TRIM('Smart Search'!$L$5)),OR(TRIM('Smart Search'!$L$6)="",TRIM('Smart Search'!$L$6)="All",ISNUMBER(SEARCH(SUBSTITUTE(SUBSTITUTE(SUBSTITUTE(TRIM('Smart Search'!$L$6),"~","~~"),"*","~*"),"?","~?"),CA165))),OR('Smart Search'!$L$7="",AND(CB165&lt;&gt;0,CB165='Smart Search'!$L$7)),OR('Smart Search'!$L$8="",'Smart Search'!$L$8="All",TRIM(CC165)=TRIM('Smart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IF(A165="","",N(INDEX(Projects[Mech Inst],164)))</f>
        <v/>
      </c>
      <c r="BK165" s="5">
        <f>IF(A165="","",N(INDEX(Projects[Elec Inst],164)))</f>
        <v/>
      </c>
      <c r="BL165" s="5">
        <f>IF(A165="","",N(INDEX(Projects[Project Management],164)))</f>
        <v/>
      </c>
      <c r="BM165" s="5">
        <f>IF(A165="","",N(INDEX(Projects[Systems Eng],164)))</f>
        <v/>
      </c>
      <c r="BN165" s="5">
        <f>IF(A165="","",N(INDEX(Projects[Mechanical Eng],164)))</f>
        <v/>
      </c>
      <c r="BO165" s="5">
        <f>IF(A165="","",N(INDEX(Projects[Structural Engineering],164)))</f>
        <v/>
      </c>
      <c r="BP165" s="5">
        <f>IF(A165="","",N(INDEX(Projects[Site Sup],164)))</f>
        <v/>
      </c>
      <c r="BQ165" s="5">
        <f>IF(A165="","",N(INDEX(Projects[Controls Commissioning],164)))</f>
        <v/>
      </c>
      <c r="BR165" s="5">
        <f>IF(A165="","",N(INDEX(Projects[Systems Commissioning],164)))</f>
        <v/>
      </c>
      <c r="BS165" s="5">
        <f>IF(A165="","",N(INDEX(Projects[Service Commissioning],164)))</f>
        <v/>
      </c>
      <c r="BT165" s="5">
        <f>IF(A165="","",N(INDEX(Projects[Controls Eng],164)))</f>
        <v/>
      </c>
      <c r="BU165" s="5">
        <f>IF(A165="","",N(INDEX(Projects[Controls Purchase],164)))</f>
        <v/>
      </c>
      <c r="BV165" s="5">
        <f>IF(A165="","",N(INDEX(Projects[Software Eng],164)))</f>
        <v/>
      </c>
      <c r="BW165" s="5">
        <f>IF(A165="","",N(INDEX(Projects[Misc],164)))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  <c r="BZ165" s="5">
        <f>INDEX(Projects[Solution Type],164)&amp;""</f>
        <v/>
      </c>
      <c r="CA165" s="5">
        <f>INDEX(Projects[Client / Region],164)&amp;""</f>
        <v/>
      </c>
      <c r="CB165" s="5">
        <f>INDEX(Projects[Year],164)</f>
        <v/>
      </c>
      <c r="CC165" s="5">
        <f>INDEX(Projects[Won?],164)&amp;""</f>
        <v/>
      </c>
      <c r="CD165" s="5">
        <f>INDEX(Projects[Value (USD M)],164)</f>
        <v/>
      </c>
      <c r="CE165" s="5">
        <f>INDEX(Projects[MH Data Status],164)&amp;""</f>
        <v/>
      </c>
    </row>
    <row r="166" ht="15" customHeight="1" s="74">
      <c r="A166" s="66">
        <f>INDEX(Projects[Project ID *],165)&amp;""</f>
        <v/>
      </c>
      <c r="B166" s="66">
        <f>INDEX(Projects[Project Name *],165)&amp;""</f>
        <v/>
      </c>
      <c r="C166" s="66">
        <f>INDEX(Projects[MS Shuttles],165)</f>
        <v/>
      </c>
      <c r="D166" s="66">
        <f>INDEX(Projects[MS Tote Locations],165)</f>
        <v/>
      </c>
      <c r="E166" s="66">
        <f>INDEX(Projects[AS Robots],165)</f>
        <v/>
      </c>
      <c r="F166" s="66">
        <f>INDEX(Projects[AS Tote Locations],165)</f>
        <v/>
      </c>
      <c r="G166" s="66">
        <f>INDEX(Projects[PS Shuttles],165)</f>
        <v/>
      </c>
      <c r="H166" s="66">
        <f>INDEX(Projects[PS Pallet Locations],165)</f>
        <v/>
      </c>
      <c r="I166" s="66">
        <f>INDEX(Projects[SRM Cranes],165)</f>
        <v/>
      </c>
      <c r="J166" s="66">
        <f>INDEX(Projects[SRM Pallet Locations],165)</f>
        <v/>
      </c>
      <c r="K166" s="66">
        <f>INDEX(Projects[Case Conv (m)],165)</f>
        <v/>
      </c>
      <c r="L166" s="66">
        <f>INDEX(Projects[Pallet Conv (m)],165)</f>
        <v/>
      </c>
      <c r="M166" s="66">
        <f>INDEX(Projects[Mech Eng (wks)],165)</f>
        <v/>
      </c>
      <c r="N166" s="66">
        <f>INDEX(Projects[Controls Eng (wks)],165)</f>
        <v/>
      </c>
      <c r="O166" s="66">
        <f>INDEX(Projects[Systems Eng (wks)],165)</f>
        <v/>
      </c>
      <c r="P166" s="66">
        <f>INDEX(Projects[Software Eng (wks)],165)</f>
        <v/>
      </c>
      <c r="Q166" s="66">
        <f>INDEX(Projects[M&amp;E Installation (wks)],165)</f>
        <v/>
      </c>
      <c r="R166" s="66">
        <f>INDEX(Projects[Commissioning (wks)],165)</f>
        <v/>
      </c>
      <c r="S166" s="66">
        <f>INDEX(Projects[Total Timeline (wks)],165)</f>
        <v/>
      </c>
      <c r="T166" s="66">
        <f>INDEX(Projects[Currency],165)&amp;""</f>
        <v/>
      </c>
      <c r="U166" s="67">
        <f>INDEX(Projects[Value (M)],165)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INDEX(Projects[Automation Equipment],165)&amp;""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IF(AND(A166&lt;&gt;"",OR('Smart Search'!$L$5="",'Smart Search'!$L$5="All",TRIM(BZ166)=TRIM('Smart Search'!$L$5)),OR(TRIM('Smart Search'!$L$6)="",TRIM('Smart Search'!$L$6)="All",ISNUMBER(SEARCH(SUBSTITUTE(SUBSTITUTE(SUBSTITUTE(TRIM('Smart Search'!$L$6),"~","~~"),"*","~*"),"?","~?"),CA166))),OR('Smart Search'!$L$7="",AND(CB166&lt;&gt;0,CB166='Smart Search'!$L$7)),OR('Smart Search'!$L$8="",'Smart Search'!$L$8="All",TRIM(CC166)=TRIM('Smart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IF(A166="","",N(INDEX(Projects[Mech Inst],165)))</f>
        <v/>
      </c>
      <c r="BK166" s="5">
        <f>IF(A166="","",N(INDEX(Projects[Elec Inst],165)))</f>
        <v/>
      </c>
      <c r="BL166" s="5">
        <f>IF(A166="","",N(INDEX(Projects[Project Management],165)))</f>
        <v/>
      </c>
      <c r="BM166" s="5">
        <f>IF(A166="","",N(INDEX(Projects[Systems Eng],165)))</f>
        <v/>
      </c>
      <c r="BN166" s="5">
        <f>IF(A166="","",N(INDEX(Projects[Mechanical Eng],165)))</f>
        <v/>
      </c>
      <c r="BO166" s="5">
        <f>IF(A166="","",N(INDEX(Projects[Structural Engineering],165)))</f>
        <v/>
      </c>
      <c r="BP166" s="5">
        <f>IF(A166="","",N(INDEX(Projects[Site Sup],165)))</f>
        <v/>
      </c>
      <c r="BQ166" s="5">
        <f>IF(A166="","",N(INDEX(Projects[Controls Commissioning],165)))</f>
        <v/>
      </c>
      <c r="BR166" s="5">
        <f>IF(A166="","",N(INDEX(Projects[Systems Commissioning],165)))</f>
        <v/>
      </c>
      <c r="BS166" s="5">
        <f>IF(A166="","",N(INDEX(Projects[Service Commissioning],165)))</f>
        <v/>
      </c>
      <c r="BT166" s="5">
        <f>IF(A166="","",N(INDEX(Projects[Controls Eng],165)))</f>
        <v/>
      </c>
      <c r="BU166" s="5">
        <f>IF(A166="","",N(INDEX(Projects[Controls Purchase],165)))</f>
        <v/>
      </c>
      <c r="BV166" s="5">
        <f>IF(A166="","",N(INDEX(Projects[Software Eng],165)))</f>
        <v/>
      </c>
      <c r="BW166" s="5">
        <f>IF(A166="","",N(INDEX(Projects[Misc],165)))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  <c r="BZ166" s="5">
        <f>INDEX(Projects[Solution Type],165)&amp;""</f>
        <v/>
      </c>
      <c r="CA166" s="5">
        <f>INDEX(Projects[Client / Region],165)&amp;""</f>
        <v/>
      </c>
      <c r="CB166" s="5">
        <f>INDEX(Projects[Year],165)</f>
        <v/>
      </c>
      <c r="CC166" s="5">
        <f>INDEX(Projects[Won?],165)&amp;""</f>
        <v/>
      </c>
      <c r="CD166" s="5">
        <f>INDEX(Projects[Value (USD M)],165)</f>
        <v/>
      </c>
      <c r="CE166" s="5">
        <f>INDEX(Projects[MH Data Status],165)&amp;""</f>
        <v/>
      </c>
    </row>
    <row r="167" ht="15" customHeight="1" s="74">
      <c r="A167" s="66">
        <f>INDEX(Projects[Project ID *],166)&amp;""</f>
        <v/>
      </c>
      <c r="B167" s="66">
        <f>INDEX(Projects[Project Name *],166)&amp;""</f>
        <v/>
      </c>
      <c r="C167" s="66">
        <f>INDEX(Projects[MS Shuttles],166)</f>
        <v/>
      </c>
      <c r="D167" s="66">
        <f>INDEX(Projects[MS Tote Locations],166)</f>
        <v/>
      </c>
      <c r="E167" s="66">
        <f>INDEX(Projects[AS Robots],166)</f>
        <v/>
      </c>
      <c r="F167" s="66">
        <f>INDEX(Projects[AS Tote Locations],166)</f>
        <v/>
      </c>
      <c r="G167" s="66">
        <f>INDEX(Projects[PS Shuttles],166)</f>
        <v/>
      </c>
      <c r="H167" s="66">
        <f>INDEX(Projects[PS Pallet Locations],166)</f>
        <v/>
      </c>
      <c r="I167" s="66">
        <f>INDEX(Projects[SRM Cranes],166)</f>
        <v/>
      </c>
      <c r="J167" s="66">
        <f>INDEX(Projects[SRM Pallet Locations],166)</f>
        <v/>
      </c>
      <c r="K167" s="66">
        <f>INDEX(Projects[Case Conv (m)],166)</f>
        <v/>
      </c>
      <c r="L167" s="66">
        <f>INDEX(Projects[Pallet Conv (m)],166)</f>
        <v/>
      </c>
      <c r="M167" s="66">
        <f>INDEX(Projects[Mech Eng (wks)],166)</f>
        <v/>
      </c>
      <c r="N167" s="66">
        <f>INDEX(Projects[Controls Eng (wks)],166)</f>
        <v/>
      </c>
      <c r="O167" s="66">
        <f>INDEX(Projects[Systems Eng (wks)],166)</f>
        <v/>
      </c>
      <c r="P167" s="66">
        <f>INDEX(Projects[Software Eng (wks)],166)</f>
        <v/>
      </c>
      <c r="Q167" s="66">
        <f>INDEX(Projects[M&amp;E Installation (wks)],166)</f>
        <v/>
      </c>
      <c r="R167" s="66">
        <f>INDEX(Projects[Commissioning (wks)],166)</f>
        <v/>
      </c>
      <c r="S167" s="66">
        <f>INDEX(Projects[Total Timeline (wks)],166)</f>
        <v/>
      </c>
      <c r="T167" s="66">
        <f>INDEX(Projects[Currency],166)&amp;""</f>
        <v/>
      </c>
      <c r="U167" s="67">
        <f>INDEX(Projects[Value (M)],166)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INDEX(Projects[Automation Equipment],166)&amp;""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IF(AND(A167&lt;&gt;"",OR('Smart Search'!$L$5="",'Smart Search'!$L$5="All",TRIM(BZ167)=TRIM('Smart Search'!$L$5)),OR(TRIM('Smart Search'!$L$6)="",TRIM('Smart Search'!$L$6)="All",ISNUMBER(SEARCH(SUBSTITUTE(SUBSTITUTE(SUBSTITUTE(TRIM('Smart Search'!$L$6),"~","~~"),"*","~*"),"?","~?"),CA167))),OR('Smart Search'!$L$7="",AND(CB167&lt;&gt;0,CB167='Smart Search'!$L$7)),OR('Smart Search'!$L$8="",'Smart Search'!$L$8="All",TRIM(CC167)=TRIM('Smart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IF(A167="","",N(INDEX(Projects[Mech Inst],166)))</f>
        <v/>
      </c>
      <c r="BK167" s="5">
        <f>IF(A167="","",N(INDEX(Projects[Elec Inst],166)))</f>
        <v/>
      </c>
      <c r="BL167" s="5">
        <f>IF(A167="","",N(INDEX(Projects[Project Management],166)))</f>
        <v/>
      </c>
      <c r="BM167" s="5">
        <f>IF(A167="","",N(INDEX(Projects[Systems Eng],166)))</f>
        <v/>
      </c>
      <c r="BN167" s="5">
        <f>IF(A167="","",N(INDEX(Projects[Mechanical Eng],166)))</f>
        <v/>
      </c>
      <c r="BO167" s="5">
        <f>IF(A167="","",N(INDEX(Projects[Structural Engineering],166)))</f>
        <v/>
      </c>
      <c r="BP167" s="5">
        <f>IF(A167="","",N(INDEX(Projects[Site Sup],166)))</f>
        <v/>
      </c>
      <c r="BQ167" s="5">
        <f>IF(A167="","",N(INDEX(Projects[Controls Commissioning],166)))</f>
        <v/>
      </c>
      <c r="BR167" s="5">
        <f>IF(A167="","",N(INDEX(Projects[Systems Commissioning],166)))</f>
        <v/>
      </c>
      <c r="BS167" s="5">
        <f>IF(A167="","",N(INDEX(Projects[Service Commissioning],166)))</f>
        <v/>
      </c>
      <c r="BT167" s="5">
        <f>IF(A167="","",N(INDEX(Projects[Controls Eng],166)))</f>
        <v/>
      </c>
      <c r="BU167" s="5">
        <f>IF(A167="","",N(INDEX(Projects[Controls Purchase],166)))</f>
        <v/>
      </c>
      <c r="BV167" s="5">
        <f>IF(A167="","",N(INDEX(Projects[Software Eng],166)))</f>
        <v/>
      </c>
      <c r="BW167" s="5">
        <f>IF(A167="","",N(INDEX(Projects[Misc],166)))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  <c r="BZ167" s="5">
        <f>INDEX(Projects[Solution Type],166)&amp;""</f>
        <v/>
      </c>
      <c r="CA167" s="5">
        <f>INDEX(Projects[Client / Region],166)&amp;""</f>
        <v/>
      </c>
      <c r="CB167" s="5">
        <f>INDEX(Projects[Year],166)</f>
        <v/>
      </c>
      <c r="CC167" s="5">
        <f>INDEX(Projects[Won?],166)&amp;""</f>
        <v/>
      </c>
      <c r="CD167" s="5">
        <f>INDEX(Projects[Value (USD M)],166)</f>
        <v/>
      </c>
      <c r="CE167" s="5">
        <f>INDEX(Projects[MH Data Status],166)&amp;""</f>
        <v/>
      </c>
    </row>
    <row r="168" ht="15" customHeight="1" s="74">
      <c r="A168" s="66">
        <f>INDEX(Projects[Project ID *],167)&amp;""</f>
        <v/>
      </c>
      <c r="B168" s="66">
        <f>INDEX(Projects[Project Name *],167)&amp;""</f>
        <v/>
      </c>
      <c r="C168" s="66">
        <f>INDEX(Projects[MS Shuttles],167)</f>
        <v/>
      </c>
      <c r="D168" s="66">
        <f>INDEX(Projects[MS Tote Locations],167)</f>
        <v/>
      </c>
      <c r="E168" s="66">
        <f>INDEX(Projects[AS Robots],167)</f>
        <v/>
      </c>
      <c r="F168" s="66">
        <f>INDEX(Projects[AS Tote Locations],167)</f>
        <v/>
      </c>
      <c r="G168" s="66">
        <f>INDEX(Projects[PS Shuttles],167)</f>
        <v/>
      </c>
      <c r="H168" s="66">
        <f>INDEX(Projects[PS Pallet Locations],167)</f>
        <v/>
      </c>
      <c r="I168" s="66">
        <f>INDEX(Projects[SRM Cranes],167)</f>
        <v/>
      </c>
      <c r="J168" s="66">
        <f>INDEX(Projects[SRM Pallet Locations],167)</f>
        <v/>
      </c>
      <c r="K168" s="66">
        <f>INDEX(Projects[Case Conv (m)],167)</f>
        <v/>
      </c>
      <c r="L168" s="66">
        <f>INDEX(Projects[Pallet Conv (m)],167)</f>
        <v/>
      </c>
      <c r="M168" s="66">
        <f>INDEX(Projects[Mech Eng (wks)],167)</f>
        <v/>
      </c>
      <c r="N168" s="66">
        <f>INDEX(Projects[Controls Eng (wks)],167)</f>
        <v/>
      </c>
      <c r="O168" s="66">
        <f>INDEX(Projects[Systems Eng (wks)],167)</f>
        <v/>
      </c>
      <c r="P168" s="66">
        <f>INDEX(Projects[Software Eng (wks)],167)</f>
        <v/>
      </c>
      <c r="Q168" s="66">
        <f>INDEX(Projects[M&amp;E Installation (wks)],167)</f>
        <v/>
      </c>
      <c r="R168" s="66">
        <f>INDEX(Projects[Commissioning (wks)],167)</f>
        <v/>
      </c>
      <c r="S168" s="66">
        <f>INDEX(Projects[Total Timeline (wks)],167)</f>
        <v/>
      </c>
      <c r="T168" s="66">
        <f>INDEX(Projects[Currency],167)&amp;""</f>
        <v/>
      </c>
      <c r="U168" s="67">
        <f>INDEX(Projects[Value (M)],167)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INDEX(Projects[Automation Equipment],167)&amp;""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IF(AND(A168&lt;&gt;"",OR('Smart Search'!$L$5="",'Smart Search'!$L$5="All",TRIM(BZ168)=TRIM('Smart Search'!$L$5)),OR(TRIM('Smart Search'!$L$6)="",TRIM('Smart Search'!$L$6)="All",ISNUMBER(SEARCH(SUBSTITUTE(SUBSTITUTE(SUBSTITUTE(TRIM('Smart Search'!$L$6),"~","~~"),"*","~*"),"?","~?"),CA168))),OR('Smart Search'!$L$7="",AND(CB168&lt;&gt;0,CB168='Smart Search'!$L$7)),OR('Smart Search'!$L$8="",'Smart Search'!$L$8="All",TRIM(CC168)=TRIM('Smart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IF(A168="","",N(INDEX(Projects[Mech Inst],167)))</f>
        <v/>
      </c>
      <c r="BK168" s="5">
        <f>IF(A168="","",N(INDEX(Projects[Elec Inst],167)))</f>
        <v/>
      </c>
      <c r="BL168" s="5">
        <f>IF(A168="","",N(INDEX(Projects[Project Management],167)))</f>
        <v/>
      </c>
      <c r="BM168" s="5">
        <f>IF(A168="","",N(INDEX(Projects[Systems Eng],167)))</f>
        <v/>
      </c>
      <c r="BN168" s="5">
        <f>IF(A168="","",N(INDEX(Projects[Mechanical Eng],167)))</f>
        <v/>
      </c>
      <c r="BO168" s="5">
        <f>IF(A168="","",N(INDEX(Projects[Structural Engineering],167)))</f>
        <v/>
      </c>
      <c r="BP168" s="5">
        <f>IF(A168="","",N(INDEX(Projects[Site Sup],167)))</f>
        <v/>
      </c>
      <c r="BQ168" s="5">
        <f>IF(A168="","",N(INDEX(Projects[Controls Commissioning],167)))</f>
        <v/>
      </c>
      <c r="BR168" s="5">
        <f>IF(A168="","",N(INDEX(Projects[Systems Commissioning],167)))</f>
        <v/>
      </c>
      <c r="BS168" s="5">
        <f>IF(A168="","",N(INDEX(Projects[Service Commissioning],167)))</f>
        <v/>
      </c>
      <c r="BT168" s="5">
        <f>IF(A168="","",N(INDEX(Projects[Controls Eng],167)))</f>
        <v/>
      </c>
      <c r="BU168" s="5">
        <f>IF(A168="","",N(INDEX(Projects[Controls Purchase],167)))</f>
        <v/>
      </c>
      <c r="BV168" s="5">
        <f>IF(A168="","",N(INDEX(Projects[Software Eng],167)))</f>
        <v/>
      </c>
      <c r="BW168" s="5">
        <f>IF(A168="","",N(INDEX(Projects[Misc],167)))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  <c r="BZ168" s="5">
        <f>INDEX(Projects[Solution Type],167)&amp;""</f>
        <v/>
      </c>
      <c r="CA168" s="5">
        <f>INDEX(Projects[Client / Region],167)&amp;""</f>
        <v/>
      </c>
      <c r="CB168" s="5">
        <f>INDEX(Projects[Year],167)</f>
        <v/>
      </c>
      <c r="CC168" s="5">
        <f>INDEX(Projects[Won?],167)&amp;""</f>
        <v/>
      </c>
      <c r="CD168" s="5">
        <f>INDEX(Projects[Value (USD M)],167)</f>
        <v/>
      </c>
      <c r="CE168" s="5">
        <f>INDEX(Projects[MH Data Status],167)&amp;""</f>
        <v/>
      </c>
    </row>
    <row r="169" ht="15" customHeight="1" s="74">
      <c r="A169" s="66">
        <f>INDEX(Projects[Project ID *],168)&amp;""</f>
        <v/>
      </c>
      <c r="B169" s="66">
        <f>INDEX(Projects[Project Name *],168)&amp;""</f>
        <v/>
      </c>
      <c r="C169" s="66">
        <f>INDEX(Projects[MS Shuttles],168)</f>
        <v/>
      </c>
      <c r="D169" s="66">
        <f>INDEX(Projects[MS Tote Locations],168)</f>
        <v/>
      </c>
      <c r="E169" s="66">
        <f>INDEX(Projects[AS Robots],168)</f>
        <v/>
      </c>
      <c r="F169" s="66">
        <f>INDEX(Projects[AS Tote Locations],168)</f>
        <v/>
      </c>
      <c r="G169" s="66">
        <f>INDEX(Projects[PS Shuttles],168)</f>
        <v/>
      </c>
      <c r="H169" s="66">
        <f>INDEX(Projects[PS Pallet Locations],168)</f>
        <v/>
      </c>
      <c r="I169" s="66">
        <f>INDEX(Projects[SRM Cranes],168)</f>
        <v/>
      </c>
      <c r="J169" s="66">
        <f>INDEX(Projects[SRM Pallet Locations],168)</f>
        <v/>
      </c>
      <c r="K169" s="66">
        <f>INDEX(Projects[Case Conv (m)],168)</f>
        <v/>
      </c>
      <c r="L169" s="66">
        <f>INDEX(Projects[Pallet Conv (m)],168)</f>
        <v/>
      </c>
      <c r="M169" s="66">
        <f>INDEX(Projects[Mech Eng (wks)],168)</f>
        <v/>
      </c>
      <c r="N169" s="66">
        <f>INDEX(Projects[Controls Eng (wks)],168)</f>
        <v/>
      </c>
      <c r="O169" s="66">
        <f>INDEX(Projects[Systems Eng (wks)],168)</f>
        <v/>
      </c>
      <c r="P169" s="66">
        <f>INDEX(Projects[Software Eng (wks)],168)</f>
        <v/>
      </c>
      <c r="Q169" s="66">
        <f>INDEX(Projects[M&amp;E Installation (wks)],168)</f>
        <v/>
      </c>
      <c r="R169" s="66">
        <f>INDEX(Projects[Commissioning (wks)],168)</f>
        <v/>
      </c>
      <c r="S169" s="66">
        <f>INDEX(Projects[Total Timeline (wks)],168)</f>
        <v/>
      </c>
      <c r="T169" s="66">
        <f>INDEX(Projects[Currency],168)&amp;""</f>
        <v/>
      </c>
      <c r="U169" s="67">
        <f>INDEX(Projects[Value (M)],168)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INDEX(Projects[Automation Equipment],168)&amp;""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IF(AND(A169&lt;&gt;"",OR('Smart Search'!$L$5="",'Smart Search'!$L$5="All",TRIM(BZ169)=TRIM('Smart Search'!$L$5)),OR(TRIM('Smart Search'!$L$6)="",TRIM('Smart Search'!$L$6)="All",ISNUMBER(SEARCH(SUBSTITUTE(SUBSTITUTE(SUBSTITUTE(TRIM('Smart Search'!$L$6),"~","~~"),"*","~*"),"?","~?"),CA169))),OR('Smart Search'!$L$7="",AND(CB169&lt;&gt;0,CB169='Smart Search'!$L$7)),OR('Smart Search'!$L$8="",'Smart Search'!$L$8="All",TRIM(CC169)=TRIM('Smart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IF(A169="","",N(INDEX(Projects[Mech Inst],168)))</f>
        <v/>
      </c>
      <c r="BK169" s="5">
        <f>IF(A169="","",N(INDEX(Projects[Elec Inst],168)))</f>
        <v/>
      </c>
      <c r="BL169" s="5">
        <f>IF(A169="","",N(INDEX(Projects[Project Management],168)))</f>
        <v/>
      </c>
      <c r="BM169" s="5">
        <f>IF(A169="","",N(INDEX(Projects[Systems Eng],168)))</f>
        <v/>
      </c>
      <c r="BN169" s="5">
        <f>IF(A169="","",N(INDEX(Projects[Mechanical Eng],168)))</f>
        <v/>
      </c>
      <c r="BO169" s="5">
        <f>IF(A169="","",N(INDEX(Projects[Structural Engineering],168)))</f>
        <v/>
      </c>
      <c r="BP169" s="5">
        <f>IF(A169="","",N(INDEX(Projects[Site Sup],168)))</f>
        <v/>
      </c>
      <c r="BQ169" s="5">
        <f>IF(A169="","",N(INDEX(Projects[Controls Commissioning],168)))</f>
        <v/>
      </c>
      <c r="BR169" s="5">
        <f>IF(A169="","",N(INDEX(Projects[Systems Commissioning],168)))</f>
        <v/>
      </c>
      <c r="BS169" s="5">
        <f>IF(A169="","",N(INDEX(Projects[Service Commissioning],168)))</f>
        <v/>
      </c>
      <c r="BT169" s="5">
        <f>IF(A169="","",N(INDEX(Projects[Controls Eng],168)))</f>
        <v/>
      </c>
      <c r="BU169" s="5">
        <f>IF(A169="","",N(INDEX(Projects[Controls Purchase],168)))</f>
        <v/>
      </c>
      <c r="BV169" s="5">
        <f>IF(A169="","",N(INDEX(Projects[Software Eng],168)))</f>
        <v/>
      </c>
      <c r="BW169" s="5">
        <f>IF(A169="","",N(INDEX(Projects[Misc],168)))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  <c r="BZ169" s="5">
        <f>INDEX(Projects[Solution Type],168)&amp;""</f>
        <v/>
      </c>
      <c r="CA169" s="5">
        <f>INDEX(Projects[Client / Region],168)&amp;""</f>
        <v/>
      </c>
      <c r="CB169" s="5">
        <f>INDEX(Projects[Year],168)</f>
        <v/>
      </c>
      <c r="CC169" s="5">
        <f>INDEX(Projects[Won?],168)&amp;""</f>
        <v/>
      </c>
      <c r="CD169" s="5">
        <f>INDEX(Projects[Value (USD M)],168)</f>
        <v/>
      </c>
      <c r="CE169" s="5">
        <f>INDEX(Projects[MH Data Status],168)&amp;""</f>
        <v/>
      </c>
    </row>
    <row r="170" ht="15" customHeight="1" s="74">
      <c r="A170" s="66">
        <f>INDEX(Projects[Project ID *],169)&amp;""</f>
        <v/>
      </c>
      <c r="B170" s="66">
        <f>INDEX(Projects[Project Name *],169)&amp;""</f>
        <v/>
      </c>
      <c r="C170" s="66">
        <f>INDEX(Projects[MS Shuttles],169)</f>
        <v/>
      </c>
      <c r="D170" s="66">
        <f>INDEX(Projects[MS Tote Locations],169)</f>
        <v/>
      </c>
      <c r="E170" s="66">
        <f>INDEX(Projects[AS Robots],169)</f>
        <v/>
      </c>
      <c r="F170" s="66">
        <f>INDEX(Projects[AS Tote Locations],169)</f>
        <v/>
      </c>
      <c r="G170" s="66">
        <f>INDEX(Projects[PS Shuttles],169)</f>
        <v/>
      </c>
      <c r="H170" s="66">
        <f>INDEX(Projects[PS Pallet Locations],169)</f>
        <v/>
      </c>
      <c r="I170" s="66">
        <f>INDEX(Projects[SRM Cranes],169)</f>
        <v/>
      </c>
      <c r="J170" s="66">
        <f>INDEX(Projects[SRM Pallet Locations],169)</f>
        <v/>
      </c>
      <c r="K170" s="66">
        <f>INDEX(Projects[Case Conv (m)],169)</f>
        <v/>
      </c>
      <c r="L170" s="66">
        <f>INDEX(Projects[Pallet Conv (m)],169)</f>
        <v/>
      </c>
      <c r="M170" s="66">
        <f>INDEX(Projects[Mech Eng (wks)],169)</f>
        <v/>
      </c>
      <c r="N170" s="66">
        <f>INDEX(Projects[Controls Eng (wks)],169)</f>
        <v/>
      </c>
      <c r="O170" s="66">
        <f>INDEX(Projects[Systems Eng (wks)],169)</f>
        <v/>
      </c>
      <c r="P170" s="66">
        <f>INDEX(Projects[Software Eng (wks)],169)</f>
        <v/>
      </c>
      <c r="Q170" s="66">
        <f>INDEX(Projects[M&amp;E Installation (wks)],169)</f>
        <v/>
      </c>
      <c r="R170" s="66">
        <f>INDEX(Projects[Commissioning (wks)],169)</f>
        <v/>
      </c>
      <c r="S170" s="66">
        <f>INDEX(Projects[Total Timeline (wks)],169)</f>
        <v/>
      </c>
      <c r="T170" s="66">
        <f>INDEX(Projects[Currency],169)&amp;""</f>
        <v/>
      </c>
      <c r="U170" s="67">
        <f>INDEX(Projects[Value (M)],169)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INDEX(Projects[Automation Equipment],169)&amp;""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IF(AND(A170&lt;&gt;"",OR('Smart Search'!$L$5="",'Smart Search'!$L$5="All",TRIM(BZ170)=TRIM('Smart Search'!$L$5)),OR(TRIM('Smart Search'!$L$6)="",TRIM('Smart Search'!$L$6)="All",ISNUMBER(SEARCH(SUBSTITUTE(SUBSTITUTE(SUBSTITUTE(TRIM('Smart Search'!$L$6),"~","~~"),"*","~*"),"?","~?"),CA170))),OR('Smart Search'!$L$7="",AND(CB170&lt;&gt;0,CB170='Smart Search'!$L$7)),OR('Smart Search'!$L$8="",'Smart Search'!$L$8="All",TRIM(CC170)=TRIM('Smart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IF(A170="","",N(INDEX(Projects[Mech Inst],169)))</f>
        <v/>
      </c>
      <c r="BK170" s="5">
        <f>IF(A170="","",N(INDEX(Projects[Elec Inst],169)))</f>
        <v/>
      </c>
      <c r="BL170" s="5">
        <f>IF(A170="","",N(INDEX(Projects[Project Management],169)))</f>
        <v/>
      </c>
      <c r="BM170" s="5">
        <f>IF(A170="","",N(INDEX(Projects[Systems Eng],169)))</f>
        <v/>
      </c>
      <c r="BN170" s="5">
        <f>IF(A170="","",N(INDEX(Projects[Mechanical Eng],169)))</f>
        <v/>
      </c>
      <c r="BO170" s="5">
        <f>IF(A170="","",N(INDEX(Projects[Structural Engineering],169)))</f>
        <v/>
      </c>
      <c r="BP170" s="5">
        <f>IF(A170="","",N(INDEX(Projects[Site Sup],169)))</f>
        <v/>
      </c>
      <c r="BQ170" s="5">
        <f>IF(A170="","",N(INDEX(Projects[Controls Commissioning],169)))</f>
        <v/>
      </c>
      <c r="BR170" s="5">
        <f>IF(A170="","",N(INDEX(Projects[Systems Commissioning],169)))</f>
        <v/>
      </c>
      <c r="BS170" s="5">
        <f>IF(A170="","",N(INDEX(Projects[Service Commissioning],169)))</f>
        <v/>
      </c>
      <c r="BT170" s="5">
        <f>IF(A170="","",N(INDEX(Projects[Controls Eng],169)))</f>
        <v/>
      </c>
      <c r="BU170" s="5">
        <f>IF(A170="","",N(INDEX(Projects[Controls Purchase],169)))</f>
        <v/>
      </c>
      <c r="BV170" s="5">
        <f>IF(A170="","",N(INDEX(Projects[Software Eng],169)))</f>
        <v/>
      </c>
      <c r="BW170" s="5">
        <f>IF(A170="","",N(INDEX(Projects[Misc],169)))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  <c r="BZ170" s="5">
        <f>INDEX(Projects[Solution Type],169)&amp;""</f>
        <v/>
      </c>
      <c r="CA170" s="5">
        <f>INDEX(Projects[Client / Region],169)&amp;""</f>
        <v/>
      </c>
      <c r="CB170" s="5">
        <f>INDEX(Projects[Year],169)</f>
        <v/>
      </c>
      <c r="CC170" s="5">
        <f>INDEX(Projects[Won?],169)&amp;""</f>
        <v/>
      </c>
      <c r="CD170" s="5">
        <f>INDEX(Projects[Value (USD M)],169)</f>
        <v/>
      </c>
      <c r="CE170" s="5">
        <f>INDEX(Projects[MH Data Status],169)&amp;""</f>
        <v/>
      </c>
    </row>
    <row r="171" ht="15" customHeight="1" s="74">
      <c r="A171" s="66">
        <f>INDEX(Projects[Project ID *],170)&amp;""</f>
        <v/>
      </c>
      <c r="B171" s="66">
        <f>INDEX(Projects[Project Name *],170)&amp;""</f>
        <v/>
      </c>
      <c r="C171" s="66">
        <f>INDEX(Projects[MS Shuttles],170)</f>
        <v/>
      </c>
      <c r="D171" s="66">
        <f>INDEX(Projects[MS Tote Locations],170)</f>
        <v/>
      </c>
      <c r="E171" s="66">
        <f>INDEX(Projects[AS Robots],170)</f>
        <v/>
      </c>
      <c r="F171" s="66">
        <f>INDEX(Projects[AS Tote Locations],170)</f>
        <v/>
      </c>
      <c r="G171" s="66">
        <f>INDEX(Projects[PS Shuttles],170)</f>
        <v/>
      </c>
      <c r="H171" s="66">
        <f>INDEX(Projects[PS Pallet Locations],170)</f>
        <v/>
      </c>
      <c r="I171" s="66">
        <f>INDEX(Projects[SRM Cranes],170)</f>
        <v/>
      </c>
      <c r="J171" s="66">
        <f>INDEX(Projects[SRM Pallet Locations],170)</f>
        <v/>
      </c>
      <c r="K171" s="66">
        <f>INDEX(Projects[Case Conv (m)],170)</f>
        <v/>
      </c>
      <c r="L171" s="66">
        <f>INDEX(Projects[Pallet Conv (m)],170)</f>
        <v/>
      </c>
      <c r="M171" s="66">
        <f>INDEX(Projects[Mech Eng (wks)],170)</f>
        <v/>
      </c>
      <c r="N171" s="66">
        <f>INDEX(Projects[Controls Eng (wks)],170)</f>
        <v/>
      </c>
      <c r="O171" s="66">
        <f>INDEX(Projects[Systems Eng (wks)],170)</f>
        <v/>
      </c>
      <c r="P171" s="66">
        <f>INDEX(Projects[Software Eng (wks)],170)</f>
        <v/>
      </c>
      <c r="Q171" s="66">
        <f>INDEX(Projects[M&amp;E Installation (wks)],170)</f>
        <v/>
      </c>
      <c r="R171" s="66">
        <f>INDEX(Projects[Commissioning (wks)],170)</f>
        <v/>
      </c>
      <c r="S171" s="66">
        <f>INDEX(Projects[Total Timeline (wks)],170)</f>
        <v/>
      </c>
      <c r="T171" s="66">
        <f>INDEX(Projects[Currency],170)&amp;""</f>
        <v/>
      </c>
      <c r="U171" s="67">
        <f>INDEX(Projects[Value (M)],170)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INDEX(Projects[Automation Equipment],170)&amp;""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IF(AND(A171&lt;&gt;"",OR('Smart Search'!$L$5="",'Smart Search'!$L$5="All",TRIM(BZ171)=TRIM('Smart Search'!$L$5)),OR(TRIM('Smart Search'!$L$6)="",TRIM('Smart Search'!$L$6)="All",ISNUMBER(SEARCH(SUBSTITUTE(SUBSTITUTE(SUBSTITUTE(TRIM('Smart Search'!$L$6),"~","~~"),"*","~*"),"?","~?"),CA171))),OR('Smart Search'!$L$7="",AND(CB171&lt;&gt;0,CB171='Smart Search'!$L$7)),OR('Smart Search'!$L$8="",'Smart Search'!$L$8="All",TRIM(CC171)=TRIM('Smart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IF(A171="","",N(INDEX(Projects[Mech Inst],170)))</f>
        <v/>
      </c>
      <c r="BK171" s="5">
        <f>IF(A171="","",N(INDEX(Projects[Elec Inst],170)))</f>
        <v/>
      </c>
      <c r="BL171" s="5">
        <f>IF(A171="","",N(INDEX(Projects[Project Management],170)))</f>
        <v/>
      </c>
      <c r="BM171" s="5">
        <f>IF(A171="","",N(INDEX(Projects[Systems Eng],170)))</f>
        <v/>
      </c>
      <c r="BN171" s="5">
        <f>IF(A171="","",N(INDEX(Projects[Mechanical Eng],170)))</f>
        <v/>
      </c>
      <c r="BO171" s="5">
        <f>IF(A171="","",N(INDEX(Projects[Structural Engineering],170)))</f>
        <v/>
      </c>
      <c r="BP171" s="5">
        <f>IF(A171="","",N(INDEX(Projects[Site Sup],170)))</f>
        <v/>
      </c>
      <c r="BQ171" s="5">
        <f>IF(A171="","",N(INDEX(Projects[Controls Commissioning],170)))</f>
        <v/>
      </c>
      <c r="BR171" s="5">
        <f>IF(A171="","",N(INDEX(Projects[Systems Commissioning],170)))</f>
        <v/>
      </c>
      <c r="BS171" s="5">
        <f>IF(A171="","",N(INDEX(Projects[Service Commissioning],170)))</f>
        <v/>
      </c>
      <c r="BT171" s="5">
        <f>IF(A171="","",N(INDEX(Projects[Controls Eng],170)))</f>
        <v/>
      </c>
      <c r="BU171" s="5">
        <f>IF(A171="","",N(INDEX(Projects[Controls Purchase],170)))</f>
        <v/>
      </c>
      <c r="BV171" s="5">
        <f>IF(A171="","",N(INDEX(Projects[Software Eng],170)))</f>
        <v/>
      </c>
      <c r="BW171" s="5">
        <f>IF(A171="","",N(INDEX(Projects[Misc],170)))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  <c r="BZ171" s="5">
        <f>INDEX(Projects[Solution Type],170)&amp;""</f>
        <v/>
      </c>
      <c r="CA171" s="5">
        <f>INDEX(Projects[Client / Region],170)&amp;""</f>
        <v/>
      </c>
      <c r="CB171" s="5">
        <f>INDEX(Projects[Year],170)</f>
        <v/>
      </c>
      <c r="CC171" s="5">
        <f>INDEX(Projects[Won?],170)&amp;""</f>
        <v/>
      </c>
      <c r="CD171" s="5">
        <f>INDEX(Projects[Value (USD M)],170)</f>
        <v/>
      </c>
      <c r="CE171" s="5">
        <f>INDEX(Projects[MH Data Status],170)&amp;""</f>
        <v/>
      </c>
    </row>
    <row r="172" ht="15" customHeight="1" s="74">
      <c r="A172" s="66">
        <f>INDEX(Projects[Project ID *],171)&amp;""</f>
        <v/>
      </c>
      <c r="B172" s="66">
        <f>INDEX(Projects[Project Name *],171)&amp;""</f>
        <v/>
      </c>
      <c r="C172" s="66">
        <f>INDEX(Projects[MS Shuttles],171)</f>
        <v/>
      </c>
      <c r="D172" s="66">
        <f>INDEX(Projects[MS Tote Locations],171)</f>
        <v/>
      </c>
      <c r="E172" s="66">
        <f>INDEX(Projects[AS Robots],171)</f>
        <v/>
      </c>
      <c r="F172" s="66">
        <f>INDEX(Projects[AS Tote Locations],171)</f>
        <v/>
      </c>
      <c r="G172" s="66">
        <f>INDEX(Projects[PS Shuttles],171)</f>
        <v/>
      </c>
      <c r="H172" s="66">
        <f>INDEX(Projects[PS Pallet Locations],171)</f>
        <v/>
      </c>
      <c r="I172" s="66">
        <f>INDEX(Projects[SRM Cranes],171)</f>
        <v/>
      </c>
      <c r="J172" s="66">
        <f>INDEX(Projects[SRM Pallet Locations],171)</f>
        <v/>
      </c>
      <c r="K172" s="66">
        <f>INDEX(Projects[Case Conv (m)],171)</f>
        <v/>
      </c>
      <c r="L172" s="66">
        <f>INDEX(Projects[Pallet Conv (m)],171)</f>
        <v/>
      </c>
      <c r="M172" s="66">
        <f>INDEX(Projects[Mech Eng (wks)],171)</f>
        <v/>
      </c>
      <c r="N172" s="66">
        <f>INDEX(Projects[Controls Eng (wks)],171)</f>
        <v/>
      </c>
      <c r="O172" s="66">
        <f>INDEX(Projects[Systems Eng (wks)],171)</f>
        <v/>
      </c>
      <c r="P172" s="66">
        <f>INDEX(Projects[Software Eng (wks)],171)</f>
        <v/>
      </c>
      <c r="Q172" s="66">
        <f>INDEX(Projects[M&amp;E Installation (wks)],171)</f>
        <v/>
      </c>
      <c r="R172" s="66">
        <f>INDEX(Projects[Commissioning (wks)],171)</f>
        <v/>
      </c>
      <c r="S172" s="66">
        <f>INDEX(Projects[Total Timeline (wks)],171)</f>
        <v/>
      </c>
      <c r="T172" s="66">
        <f>INDEX(Projects[Currency],171)&amp;""</f>
        <v/>
      </c>
      <c r="U172" s="67">
        <f>INDEX(Projects[Value (M)],171)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INDEX(Projects[Automation Equipment],171)&amp;""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IF(AND(A172&lt;&gt;"",OR('Smart Search'!$L$5="",'Smart Search'!$L$5="All",TRIM(BZ172)=TRIM('Smart Search'!$L$5)),OR(TRIM('Smart Search'!$L$6)="",TRIM('Smart Search'!$L$6)="All",ISNUMBER(SEARCH(SUBSTITUTE(SUBSTITUTE(SUBSTITUTE(TRIM('Smart Search'!$L$6),"~","~~"),"*","~*"),"?","~?"),CA172))),OR('Smart Search'!$L$7="",AND(CB172&lt;&gt;0,CB172='Smart Search'!$L$7)),OR('Smart Search'!$L$8="",'Smart Search'!$L$8="All",TRIM(CC172)=TRIM('Smart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IF(A172="","",N(INDEX(Projects[Mech Inst],171)))</f>
        <v/>
      </c>
      <c r="BK172" s="5">
        <f>IF(A172="","",N(INDEX(Projects[Elec Inst],171)))</f>
        <v/>
      </c>
      <c r="BL172" s="5">
        <f>IF(A172="","",N(INDEX(Projects[Project Management],171)))</f>
        <v/>
      </c>
      <c r="BM172" s="5">
        <f>IF(A172="","",N(INDEX(Projects[Systems Eng],171)))</f>
        <v/>
      </c>
      <c r="BN172" s="5">
        <f>IF(A172="","",N(INDEX(Projects[Mechanical Eng],171)))</f>
        <v/>
      </c>
      <c r="BO172" s="5">
        <f>IF(A172="","",N(INDEX(Projects[Structural Engineering],171)))</f>
        <v/>
      </c>
      <c r="BP172" s="5">
        <f>IF(A172="","",N(INDEX(Projects[Site Sup],171)))</f>
        <v/>
      </c>
      <c r="BQ172" s="5">
        <f>IF(A172="","",N(INDEX(Projects[Controls Commissioning],171)))</f>
        <v/>
      </c>
      <c r="BR172" s="5">
        <f>IF(A172="","",N(INDEX(Projects[Systems Commissioning],171)))</f>
        <v/>
      </c>
      <c r="BS172" s="5">
        <f>IF(A172="","",N(INDEX(Projects[Service Commissioning],171)))</f>
        <v/>
      </c>
      <c r="BT172" s="5">
        <f>IF(A172="","",N(INDEX(Projects[Controls Eng],171)))</f>
        <v/>
      </c>
      <c r="BU172" s="5">
        <f>IF(A172="","",N(INDEX(Projects[Controls Purchase],171)))</f>
        <v/>
      </c>
      <c r="BV172" s="5">
        <f>IF(A172="","",N(INDEX(Projects[Software Eng],171)))</f>
        <v/>
      </c>
      <c r="BW172" s="5">
        <f>IF(A172="","",N(INDEX(Projects[Misc],171)))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  <c r="BZ172" s="5">
        <f>INDEX(Projects[Solution Type],171)&amp;""</f>
        <v/>
      </c>
      <c r="CA172" s="5">
        <f>INDEX(Projects[Client / Region],171)&amp;""</f>
        <v/>
      </c>
      <c r="CB172" s="5">
        <f>INDEX(Projects[Year],171)</f>
        <v/>
      </c>
      <c r="CC172" s="5">
        <f>INDEX(Projects[Won?],171)&amp;""</f>
        <v/>
      </c>
      <c r="CD172" s="5">
        <f>INDEX(Projects[Value (USD M)],171)</f>
        <v/>
      </c>
      <c r="CE172" s="5">
        <f>INDEX(Projects[MH Data Status],171)&amp;""</f>
        <v/>
      </c>
    </row>
    <row r="173" ht="15" customHeight="1" s="74">
      <c r="A173" s="66">
        <f>INDEX(Projects[Project ID *],172)&amp;""</f>
        <v/>
      </c>
      <c r="B173" s="66">
        <f>INDEX(Projects[Project Name *],172)&amp;""</f>
        <v/>
      </c>
      <c r="C173" s="66">
        <f>INDEX(Projects[MS Shuttles],172)</f>
        <v/>
      </c>
      <c r="D173" s="66">
        <f>INDEX(Projects[MS Tote Locations],172)</f>
        <v/>
      </c>
      <c r="E173" s="66">
        <f>INDEX(Projects[AS Robots],172)</f>
        <v/>
      </c>
      <c r="F173" s="66">
        <f>INDEX(Projects[AS Tote Locations],172)</f>
        <v/>
      </c>
      <c r="G173" s="66">
        <f>INDEX(Projects[PS Shuttles],172)</f>
        <v/>
      </c>
      <c r="H173" s="66">
        <f>INDEX(Projects[PS Pallet Locations],172)</f>
        <v/>
      </c>
      <c r="I173" s="66">
        <f>INDEX(Projects[SRM Cranes],172)</f>
        <v/>
      </c>
      <c r="J173" s="66">
        <f>INDEX(Projects[SRM Pallet Locations],172)</f>
        <v/>
      </c>
      <c r="K173" s="66">
        <f>INDEX(Projects[Case Conv (m)],172)</f>
        <v/>
      </c>
      <c r="L173" s="66">
        <f>INDEX(Projects[Pallet Conv (m)],172)</f>
        <v/>
      </c>
      <c r="M173" s="66">
        <f>INDEX(Projects[Mech Eng (wks)],172)</f>
        <v/>
      </c>
      <c r="N173" s="66">
        <f>INDEX(Projects[Controls Eng (wks)],172)</f>
        <v/>
      </c>
      <c r="O173" s="66">
        <f>INDEX(Projects[Systems Eng (wks)],172)</f>
        <v/>
      </c>
      <c r="P173" s="66">
        <f>INDEX(Projects[Software Eng (wks)],172)</f>
        <v/>
      </c>
      <c r="Q173" s="66">
        <f>INDEX(Projects[M&amp;E Installation (wks)],172)</f>
        <v/>
      </c>
      <c r="R173" s="66">
        <f>INDEX(Projects[Commissioning (wks)],172)</f>
        <v/>
      </c>
      <c r="S173" s="66">
        <f>INDEX(Projects[Total Timeline (wks)],172)</f>
        <v/>
      </c>
      <c r="T173" s="66">
        <f>INDEX(Projects[Currency],172)&amp;""</f>
        <v/>
      </c>
      <c r="U173" s="67">
        <f>INDEX(Projects[Value (M)],172)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INDEX(Projects[Automation Equipment],172)&amp;""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IF(AND(A173&lt;&gt;"",OR('Smart Search'!$L$5="",'Smart Search'!$L$5="All",TRIM(BZ173)=TRIM('Smart Search'!$L$5)),OR(TRIM('Smart Search'!$L$6)="",TRIM('Smart Search'!$L$6)="All",ISNUMBER(SEARCH(SUBSTITUTE(SUBSTITUTE(SUBSTITUTE(TRIM('Smart Search'!$L$6),"~","~~"),"*","~*"),"?","~?"),CA173))),OR('Smart Search'!$L$7="",AND(CB173&lt;&gt;0,CB173='Smart Search'!$L$7)),OR('Smart Search'!$L$8="",'Smart Search'!$L$8="All",TRIM(CC173)=TRIM('Smart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IF(A173="","",N(INDEX(Projects[Mech Inst],172)))</f>
        <v/>
      </c>
      <c r="BK173" s="5">
        <f>IF(A173="","",N(INDEX(Projects[Elec Inst],172)))</f>
        <v/>
      </c>
      <c r="BL173" s="5">
        <f>IF(A173="","",N(INDEX(Projects[Project Management],172)))</f>
        <v/>
      </c>
      <c r="BM173" s="5">
        <f>IF(A173="","",N(INDEX(Projects[Systems Eng],172)))</f>
        <v/>
      </c>
      <c r="BN173" s="5">
        <f>IF(A173="","",N(INDEX(Projects[Mechanical Eng],172)))</f>
        <v/>
      </c>
      <c r="BO173" s="5">
        <f>IF(A173="","",N(INDEX(Projects[Structural Engineering],172)))</f>
        <v/>
      </c>
      <c r="BP173" s="5">
        <f>IF(A173="","",N(INDEX(Projects[Site Sup],172)))</f>
        <v/>
      </c>
      <c r="BQ173" s="5">
        <f>IF(A173="","",N(INDEX(Projects[Controls Commissioning],172)))</f>
        <v/>
      </c>
      <c r="BR173" s="5">
        <f>IF(A173="","",N(INDEX(Projects[Systems Commissioning],172)))</f>
        <v/>
      </c>
      <c r="BS173" s="5">
        <f>IF(A173="","",N(INDEX(Projects[Service Commissioning],172)))</f>
        <v/>
      </c>
      <c r="BT173" s="5">
        <f>IF(A173="","",N(INDEX(Projects[Controls Eng],172)))</f>
        <v/>
      </c>
      <c r="BU173" s="5">
        <f>IF(A173="","",N(INDEX(Projects[Controls Purchase],172)))</f>
        <v/>
      </c>
      <c r="BV173" s="5">
        <f>IF(A173="","",N(INDEX(Projects[Software Eng],172)))</f>
        <v/>
      </c>
      <c r="BW173" s="5">
        <f>IF(A173="","",N(INDEX(Projects[Misc],172)))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  <c r="BZ173" s="5">
        <f>INDEX(Projects[Solution Type],172)&amp;""</f>
        <v/>
      </c>
      <c r="CA173" s="5">
        <f>INDEX(Projects[Client / Region],172)&amp;""</f>
        <v/>
      </c>
      <c r="CB173" s="5">
        <f>INDEX(Projects[Year],172)</f>
        <v/>
      </c>
      <c r="CC173" s="5">
        <f>INDEX(Projects[Won?],172)&amp;""</f>
        <v/>
      </c>
      <c r="CD173" s="5">
        <f>INDEX(Projects[Value (USD M)],172)</f>
        <v/>
      </c>
      <c r="CE173" s="5">
        <f>INDEX(Projects[MH Data Status],172)&amp;""</f>
        <v/>
      </c>
    </row>
    <row r="174" ht="15" customHeight="1" s="74">
      <c r="A174" s="66">
        <f>INDEX(Projects[Project ID *],173)&amp;""</f>
        <v/>
      </c>
      <c r="B174" s="66">
        <f>INDEX(Projects[Project Name *],173)&amp;""</f>
        <v/>
      </c>
      <c r="C174" s="66">
        <f>INDEX(Projects[MS Shuttles],173)</f>
        <v/>
      </c>
      <c r="D174" s="66">
        <f>INDEX(Projects[MS Tote Locations],173)</f>
        <v/>
      </c>
      <c r="E174" s="66">
        <f>INDEX(Projects[AS Robots],173)</f>
        <v/>
      </c>
      <c r="F174" s="66">
        <f>INDEX(Projects[AS Tote Locations],173)</f>
        <v/>
      </c>
      <c r="G174" s="66">
        <f>INDEX(Projects[PS Shuttles],173)</f>
        <v/>
      </c>
      <c r="H174" s="66">
        <f>INDEX(Projects[PS Pallet Locations],173)</f>
        <v/>
      </c>
      <c r="I174" s="66">
        <f>INDEX(Projects[SRM Cranes],173)</f>
        <v/>
      </c>
      <c r="J174" s="66">
        <f>INDEX(Projects[SRM Pallet Locations],173)</f>
        <v/>
      </c>
      <c r="K174" s="66">
        <f>INDEX(Projects[Case Conv (m)],173)</f>
        <v/>
      </c>
      <c r="L174" s="66">
        <f>INDEX(Projects[Pallet Conv (m)],173)</f>
        <v/>
      </c>
      <c r="M174" s="66">
        <f>INDEX(Projects[Mech Eng (wks)],173)</f>
        <v/>
      </c>
      <c r="N174" s="66">
        <f>INDEX(Projects[Controls Eng (wks)],173)</f>
        <v/>
      </c>
      <c r="O174" s="66">
        <f>INDEX(Projects[Systems Eng (wks)],173)</f>
        <v/>
      </c>
      <c r="P174" s="66">
        <f>INDEX(Projects[Software Eng (wks)],173)</f>
        <v/>
      </c>
      <c r="Q174" s="66">
        <f>INDEX(Projects[M&amp;E Installation (wks)],173)</f>
        <v/>
      </c>
      <c r="R174" s="66">
        <f>INDEX(Projects[Commissioning (wks)],173)</f>
        <v/>
      </c>
      <c r="S174" s="66">
        <f>INDEX(Projects[Total Timeline (wks)],173)</f>
        <v/>
      </c>
      <c r="T174" s="66">
        <f>INDEX(Projects[Currency],173)&amp;""</f>
        <v/>
      </c>
      <c r="U174" s="67">
        <f>INDEX(Projects[Value (M)],173)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INDEX(Projects[Automation Equipment],173)&amp;""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IF(AND(A174&lt;&gt;"",OR('Smart Search'!$L$5="",'Smart Search'!$L$5="All",TRIM(BZ174)=TRIM('Smart Search'!$L$5)),OR(TRIM('Smart Search'!$L$6)="",TRIM('Smart Search'!$L$6)="All",ISNUMBER(SEARCH(SUBSTITUTE(SUBSTITUTE(SUBSTITUTE(TRIM('Smart Search'!$L$6),"~","~~"),"*","~*"),"?","~?"),CA174))),OR('Smart Search'!$L$7="",AND(CB174&lt;&gt;0,CB174='Smart Search'!$L$7)),OR('Smart Search'!$L$8="",'Smart Search'!$L$8="All",TRIM(CC174)=TRIM('Smart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IF(A174="","",N(INDEX(Projects[Mech Inst],173)))</f>
        <v/>
      </c>
      <c r="BK174" s="5">
        <f>IF(A174="","",N(INDEX(Projects[Elec Inst],173)))</f>
        <v/>
      </c>
      <c r="BL174" s="5">
        <f>IF(A174="","",N(INDEX(Projects[Project Management],173)))</f>
        <v/>
      </c>
      <c r="BM174" s="5">
        <f>IF(A174="","",N(INDEX(Projects[Systems Eng],173)))</f>
        <v/>
      </c>
      <c r="BN174" s="5">
        <f>IF(A174="","",N(INDEX(Projects[Mechanical Eng],173)))</f>
        <v/>
      </c>
      <c r="BO174" s="5">
        <f>IF(A174="","",N(INDEX(Projects[Structural Engineering],173)))</f>
        <v/>
      </c>
      <c r="BP174" s="5">
        <f>IF(A174="","",N(INDEX(Projects[Site Sup],173)))</f>
        <v/>
      </c>
      <c r="BQ174" s="5">
        <f>IF(A174="","",N(INDEX(Projects[Controls Commissioning],173)))</f>
        <v/>
      </c>
      <c r="BR174" s="5">
        <f>IF(A174="","",N(INDEX(Projects[Systems Commissioning],173)))</f>
        <v/>
      </c>
      <c r="BS174" s="5">
        <f>IF(A174="","",N(INDEX(Projects[Service Commissioning],173)))</f>
        <v/>
      </c>
      <c r="BT174" s="5">
        <f>IF(A174="","",N(INDEX(Projects[Controls Eng],173)))</f>
        <v/>
      </c>
      <c r="BU174" s="5">
        <f>IF(A174="","",N(INDEX(Projects[Controls Purchase],173)))</f>
        <v/>
      </c>
      <c r="BV174" s="5">
        <f>IF(A174="","",N(INDEX(Projects[Software Eng],173)))</f>
        <v/>
      </c>
      <c r="BW174" s="5">
        <f>IF(A174="","",N(INDEX(Projects[Misc],173)))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  <c r="BZ174" s="5">
        <f>INDEX(Projects[Solution Type],173)&amp;""</f>
        <v/>
      </c>
      <c r="CA174" s="5">
        <f>INDEX(Projects[Client / Region],173)&amp;""</f>
        <v/>
      </c>
      <c r="CB174" s="5">
        <f>INDEX(Projects[Year],173)</f>
        <v/>
      </c>
      <c r="CC174" s="5">
        <f>INDEX(Projects[Won?],173)&amp;""</f>
        <v/>
      </c>
      <c r="CD174" s="5">
        <f>INDEX(Projects[Value (USD M)],173)</f>
        <v/>
      </c>
      <c r="CE174" s="5">
        <f>INDEX(Projects[MH Data Status],173)&amp;""</f>
        <v/>
      </c>
    </row>
    <row r="175" ht="15" customHeight="1" s="74">
      <c r="A175" s="66">
        <f>INDEX(Projects[Project ID *],174)&amp;""</f>
        <v/>
      </c>
      <c r="B175" s="66">
        <f>INDEX(Projects[Project Name *],174)&amp;""</f>
        <v/>
      </c>
      <c r="C175" s="66">
        <f>INDEX(Projects[MS Shuttles],174)</f>
        <v/>
      </c>
      <c r="D175" s="66">
        <f>INDEX(Projects[MS Tote Locations],174)</f>
        <v/>
      </c>
      <c r="E175" s="66">
        <f>INDEX(Projects[AS Robots],174)</f>
        <v/>
      </c>
      <c r="F175" s="66">
        <f>INDEX(Projects[AS Tote Locations],174)</f>
        <v/>
      </c>
      <c r="G175" s="66">
        <f>INDEX(Projects[PS Shuttles],174)</f>
        <v/>
      </c>
      <c r="H175" s="66">
        <f>INDEX(Projects[PS Pallet Locations],174)</f>
        <v/>
      </c>
      <c r="I175" s="66">
        <f>INDEX(Projects[SRM Cranes],174)</f>
        <v/>
      </c>
      <c r="J175" s="66">
        <f>INDEX(Projects[SRM Pallet Locations],174)</f>
        <v/>
      </c>
      <c r="K175" s="66">
        <f>INDEX(Projects[Case Conv (m)],174)</f>
        <v/>
      </c>
      <c r="L175" s="66">
        <f>INDEX(Projects[Pallet Conv (m)],174)</f>
        <v/>
      </c>
      <c r="M175" s="66">
        <f>INDEX(Projects[Mech Eng (wks)],174)</f>
        <v/>
      </c>
      <c r="N175" s="66">
        <f>INDEX(Projects[Controls Eng (wks)],174)</f>
        <v/>
      </c>
      <c r="O175" s="66">
        <f>INDEX(Projects[Systems Eng (wks)],174)</f>
        <v/>
      </c>
      <c r="P175" s="66">
        <f>INDEX(Projects[Software Eng (wks)],174)</f>
        <v/>
      </c>
      <c r="Q175" s="66">
        <f>INDEX(Projects[M&amp;E Installation (wks)],174)</f>
        <v/>
      </c>
      <c r="R175" s="66">
        <f>INDEX(Projects[Commissioning (wks)],174)</f>
        <v/>
      </c>
      <c r="S175" s="66">
        <f>INDEX(Projects[Total Timeline (wks)],174)</f>
        <v/>
      </c>
      <c r="T175" s="66">
        <f>INDEX(Projects[Currency],174)&amp;""</f>
        <v/>
      </c>
      <c r="U175" s="67">
        <f>INDEX(Projects[Value (M)],174)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INDEX(Projects[Automation Equipment],174)&amp;""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IF(AND(A175&lt;&gt;"",OR('Smart Search'!$L$5="",'Smart Search'!$L$5="All",TRIM(BZ175)=TRIM('Smart Search'!$L$5)),OR(TRIM('Smart Search'!$L$6)="",TRIM('Smart Search'!$L$6)="All",ISNUMBER(SEARCH(SUBSTITUTE(SUBSTITUTE(SUBSTITUTE(TRIM('Smart Search'!$L$6),"~","~~"),"*","~*"),"?","~?"),CA175))),OR('Smart Search'!$L$7="",AND(CB175&lt;&gt;0,CB175='Smart Search'!$L$7)),OR('Smart Search'!$L$8="",'Smart Search'!$L$8="All",TRIM(CC175)=TRIM('Smart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IF(A175="","",N(INDEX(Projects[Mech Inst],174)))</f>
        <v/>
      </c>
      <c r="BK175" s="5">
        <f>IF(A175="","",N(INDEX(Projects[Elec Inst],174)))</f>
        <v/>
      </c>
      <c r="BL175" s="5">
        <f>IF(A175="","",N(INDEX(Projects[Project Management],174)))</f>
        <v/>
      </c>
      <c r="BM175" s="5">
        <f>IF(A175="","",N(INDEX(Projects[Systems Eng],174)))</f>
        <v/>
      </c>
      <c r="BN175" s="5">
        <f>IF(A175="","",N(INDEX(Projects[Mechanical Eng],174)))</f>
        <v/>
      </c>
      <c r="BO175" s="5">
        <f>IF(A175="","",N(INDEX(Projects[Structural Engineering],174)))</f>
        <v/>
      </c>
      <c r="BP175" s="5">
        <f>IF(A175="","",N(INDEX(Projects[Site Sup],174)))</f>
        <v/>
      </c>
      <c r="BQ175" s="5">
        <f>IF(A175="","",N(INDEX(Projects[Controls Commissioning],174)))</f>
        <v/>
      </c>
      <c r="BR175" s="5">
        <f>IF(A175="","",N(INDEX(Projects[Systems Commissioning],174)))</f>
        <v/>
      </c>
      <c r="BS175" s="5">
        <f>IF(A175="","",N(INDEX(Projects[Service Commissioning],174)))</f>
        <v/>
      </c>
      <c r="BT175" s="5">
        <f>IF(A175="","",N(INDEX(Projects[Controls Eng],174)))</f>
        <v/>
      </c>
      <c r="BU175" s="5">
        <f>IF(A175="","",N(INDEX(Projects[Controls Purchase],174)))</f>
        <v/>
      </c>
      <c r="BV175" s="5">
        <f>IF(A175="","",N(INDEX(Projects[Software Eng],174)))</f>
        <v/>
      </c>
      <c r="BW175" s="5">
        <f>IF(A175="","",N(INDEX(Projects[Misc],174)))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  <c r="BZ175" s="5">
        <f>INDEX(Projects[Solution Type],174)&amp;""</f>
        <v/>
      </c>
      <c r="CA175" s="5">
        <f>INDEX(Projects[Client / Region],174)&amp;""</f>
        <v/>
      </c>
      <c r="CB175" s="5">
        <f>INDEX(Projects[Year],174)</f>
        <v/>
      </c>
      <c r="CC175" s="5">
        <f>INDEX(Projects[Won?],174)&amp;""</f>
        <v/>
      </c>
      <c r="CD175" s="5">
        <f>INDEX(Projects[Value (USD M)],174)</f>
        <v/>
      </c>
      <c r="CE175" s="5">
        <f>INDEX(Projects[MH Data Status],174)&amp;""</f>
        <v/>
      </c>
    </row>
    <row r="176" ht="15" customHeight="1" s="74">
      <c r="A176" s="66">
        <f>INDEX(Projects[Project ID *],175)&amp;""</f>
        <v/>
      </c>
      <c r="B176" s="66">
        <f>INDEX(Projects[Project Name *],175)&amp;""</f>
        <v/>
      </c>
      <c r="C176" s="66">
        <f>INDEX(Projects[MS Shuttles],175)</f>
        <v/>
      </c>
      <c r="D176" s="66">
        <f>INDEX(Projects[MS Tote Locations],175)</f>
        <v/>
      </c>
      <c r="E176" s="66">
        <f>INDEX(Projects[AS Robots],175)</f>
        <v/>
      </c>
      <c r="F176" s="66">
        <f>INDEX(Projects[AS Tote Locations],175)</f>
        <v/>
      </c>
      <c r="G176" s="66">
        <f>INDEX(Projects[PS Shuttles],175)</f>
        <v/>
      </c>
      <c r="H176" s="66">
        <f>INDEX(Projects[PS Pallet Locations],175)</f>
        <v/>
      </c>
      <c r="I176" s="66">
        <f>INDEX(Projects[SRM Cranes],175)</f>
        <v/>
      </c>
      <c r="J176" s="66">
        <f>INDEX(Projects[SRM Pallet Locations],175)</f>
        <v/>
      </c>
      <c r="K176" s="66">
        <f>INDEX(Projects[Case Conv (m)],175)</f>
        <v/>
      </c>
      <c r="L176" s="66">
        <f>INDEX(Projects[Pallet Conv (m)],175)</f>
        <v/>
      </c>
      <c r="M176" s="66">
        <f>INDEX(Projects[Mech Eng (wks)],175)</f>
        <v/>
      </c>
      <c r="N176" s="66">
        <f>INDEX(Projects[Controls Eng (wks)],175)</f>
        <v/>
      </c>
      <c r="O176" s="66">
        <f>INDEX(Projects[Systems Eng (wks)],175)</f>
        <v/>
      </c>
      <c r="P176" s="66">
        <f>INDEX(Projects[Software Eng (wks)],175)</f>
        <v/>
      </c>
      <c r="Q176" s="66">
        <f>INDEX(Projects[M&amp;E Installation (wks)],175)</f>
        <v/>
      </c>
      <c r="R176" s="66">
        <f>INDEX(Projects[Commissioning (wks)],175)</f>
        <v/>
      </c>
      <c r="S176" s="66">
        <f>INDEX(Projects[Total Timeline (wks)],175)</f>
        <v/>
      </c>
      <c r="T176" s="66">
        <f>INDEX(Projects[Currency],175)&amp;""</f>
        <v/>
      </c>
      <c r="U176" s="67">
        <f>INDEX(Projects[Value (M)],175)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INDEX(Projects[Automation Equipment],175)&amp;""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IF(AND(A176&lt;&gt;"",OR('Smart Search'!$L$5="",'Smart Search'!$L$5="All",TRIM(BZ176)=TRIM('Smart Search'!$L$5)),OR(TRIM('Smart Search'!$L$6)="",TRIM('Smart Search'!$L$6)="All",ISNUMBER(SEARCH(SUBSTITUTE(SUBSTITUTE(SUBSTITUTE(TRIM('Smart Search'!$L$6),"~","~~"),"*","~*"),"?","~?"),CA176))),OR('Smart Search'!$L$7="",AND(CB176&lt;&gt;0,CB176='Smart Search'!$L$7)),OR('Smart Search'!$L$8="",'Smart Search'!$L$8="All",TRIM(CC176)=TRIM('Smart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IF(A176="","",N(INDEX(Projects[Mech Inst],175)))</f>
        <v/>
      </c>
      <c r="BK176" s="5">
        <f>IF(A176="","",N(INDEX(Projects[Elec Inst],175)))</f>
        <v/>
      </c>
      <c r="BL176" s="5">
        <f>IF(A176="","",N(INDEX(Projects[Project Management],175)))</f>
        <v/>
      </c>
      <c r="BM176" s="5">
        <f>IF(A176="","",N(INDEX(Projects[Systems Eng],175)))</f>
        <v/>
      </c>
      <c r="BN176" s="5">
        <f>IF(A176="","",N(INDEX(Projects[Mechanical Eng],175)))</f>
        <v/>
      </c>
      <c r="BO176" s="5">
        <f>IF(A176="","",N(INDEX(Projects[Structural Engineering],175)))</f>
        <v/>
      </c>
      <c r="BP176" s="5">
        <f>IF(A176="","",N(INDEX(Projects[Site Sup],175)))</f>
        <v/>
      </c>
      <c r="BQ176" s="5">
        <f>IF(A176="","",N(INDEX(Projects[Controls Commissioning],175)))</f>
        <v/>
      </c>
      <c r="BR176" s="5">
        <f>IF(A176="","",N(INDEX(Projects[Systems Commissioning],175)))</f>
        <v/>
      </c>
      <c r="BS176" s="5">
        <f>IF(A176="","",N(INDEX(Projects[Service Commissioning],175)))</f>
        <v/>
      </c>
      <c r="BT176" s="5">
        <f>IF(A176="","",N(INDEX(Projects[Controls Eng],175)))</f>
        <v/>
      </c>
      <c r="BU176" s="5">
        <f>IF(A176="","",N(INDEX(Projects[Controls Purchase],175)))</f>
        <v/>
      </c>
      <c r="BV176" s="5">
        <f>IF(A176="","",N(INDEX(Projects[Software Eng],175)))</f>
        <v/>
      </c>
      <c r="BW176" s="5">
        <f>IF(A176="","",N(INDEX(Projects[Misc],175)))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  <c r="BZ176" s="5">
        <f>INDEX(Projects[Solution Type],175)&amp;""</f>
        <v/>
      </c>
      <c r="CA176" s="5">
        <f>INDEX(Projects[Client / Region],175)&amp;""</f>
        <v/>
      </c>
      <c r="CB176" s="5">
        <f>INDEX(Projects[Year],175)</f>
        <v/>
      </c>
      <c r="CC176" s="5">
        <f>INDEX(Projects[Won?],175)&amp;""</f>
        <v/>
      </c>
      <c r="CD176" s="5">
        <f>INDEX(Projects[Value (USD M)],175)</f>
        <v/>
      </c>
      <c r="CE176" s="5">
        <f>INDEX(Projects[MH Data Status],175)&amp;""</f>
        <v/>
      </c>
    </row>
    <row r="177" ht="15" customHeight="1" s="74">
      <c r="A177" s="66">
        <f>INDEX(Projects[Project ID *],176)&amp;""</f>
        <v/>
      </c>
      <c r="B177" s="66">
        <f>INDEX(Projects[Project Name *],176)&amp;""</f>
        <v/>
      </c>
      <c r="C177" s="66">
        <f>INDEX(Projects[MS Shuttles],176)</f>
        <v/>
      </c>
      <c r="D177" s="66">
        <f>INDEX(Projects[MS Tote Locations],176)</f>
        <v/>
      </c>
      <c r="E177" s="66">
        <f>INDEX(Projects[AS Robots],176)</f>
        <v/>
      </c>
      <c r="F177" s="66">
        <f>INDEX(Projects[AS Tote Locations],176)</f>
        <v/>
      </c>
      <c r="G177" s="66">
        <f>INDEX(Projects[PS Shuttles],176)</f>
        <v/>
      </c>
      <c r="H177" s="66">
        <f>INDEX(Projects[PS Pallet Locations],176)</f>
        <v/>
      </c>
      <c r="I177" s="66">
        <f>INDEX(Projects[SRM Cranes],176)</f>
        <v/>
      </c>
      <c r="J177" s="66">
        <f>INDEX(Projects[SRM Pallet Locations],176)</f>
        <v/>
      </c>
      <c r="K177" s="66">
        <f>INDEX(Projects[Case Conv (m)],176)</f>
        <v/>
      </c>
      <c r="L177" s="66">
        <f>INDEX(Projects[Pallet Conv (m)],176)</f>
        <v/>
      </c>
      <c r="M177" s="66">
        <f>INDEX(Projects[Mech Eng (wks)],176)</f>
        <v/>
      </c>
      <c r="N177" s="66">
        <f>INDEX(Projects[Controls Eng (wks)],176)</f>
        <v/>
      </c>
      <c r="O177" s="66">
        <f>INDEX(Projects[Systems Eng (wks)],176)</f>
        <v/>
      </c>
      <c r="P177" s="66">
        <f>INDEX(Projects[Software Eng (wks)],176)</f>
        <v/>
      </c>
      <c r="Q177" s="66">
        <f>INDEX(Projects[M&amp;E Installation (wks)],176)</f>
        <v/>
      </c>
      <c r="R177" s="66">
        <f>INDEX(Projects[Commissioning (wks)],176)</f>
        <v/>
      </c>
      <c r="S177" s="66">
        <f>INDEX(Projects[Total Timeline (wks)],176)</f>
        <v/>
      </c>
      <c r="T177" s="66">
        <f>INDEX(Projects[Currency],176)&amp;""</f>
        <v/>
      </c>
      <c r="U177" s="67">
        <f>INDEX(Projects[Value (M)],176)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INDEX(Projects[Automation Equipment],176)&amp;""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IF(AND(A177&lt;&gt;"",OR('Smart Search'!$L$5="",'Smart Search'!$L$5="All",TRIM(BZ177)=TRIM('Smart Search'!$L$5)),OR(TRIM('Smart Search'!$L$6)="",TRIM('Smart Search'!$L$6)="All",ISNUMBER(SEARCH(SUBSTITUTE(SUBSTITUTE(SUBSTITUTE(TRIM('Smart Search'!$L$6),"~","~~"),"*","~*"),"?","~?"),CA177))),OR('Smart Search'!$L$7="",AND(CB177&lt;&gt;0,CB177='Smart Search'!$L$7)),OR('Smart Search'!$L$8="",'Smart Search'!$L$8="All",TRIM(CC177)=TRIM('Smart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IF(A177="","",N(INDEX(Projects[Mech Inst],176)))</f>
        <v/>
      </c>
      <c r="BK177" s="5">
        <f>IF(A177="","",N(INDEX(Projects[Elec Inst],176)))</f>
        <v/>
      </c>
      <c r="BL177" s="5">
        <f>IF(A177="","",N(INDEX(Projects[Project Management],176)))</f>
        <v/>
      </c>
      <c r="BM177" s="5">
        <f>IF(A177="","",N(INDEX(Projects[Systems Eng],176)))</f>
        <v/>
      </c>
      <c r="BN177" s="5">
        <f>IF(A177="","",N(INDEX(Projects[Mechanical Eng],176)))</f>
        <v/>
      </c>
      <c r="BO177" s="5">
        <f>IF(A177="","",N(INDEX(Projects[Structural Engineering],176)))</f>
        <v/>
      </c>
      <c r="BP177" s="5">
        <f>IF(A177="","",N(INDEX(Projects[Site Sup],176)))</f>
        <v/>
      </c>
      <c r="BQ177" s="5">
        <f>IF(A177="","",N(INDEX(Projects[Controls Commissioning],176)))</f>
        <v/>
      </c>
      <c r="BR177" s="5">
        <f>IF(A177="","",N(INDEX(Projects[Systems Commissioning],176)))</f>
        <v/>
      </c>
      <c r="BS177" s="5">
        <f>IF(A177="","",N(INDEX(Projects[Service Commissioning],176)))</f>
        <v/>
      </c>
      <c r="BT177" s="5">
        <f>IF(A177="","",N(INDEX(Projects[Controls Eng],176)))</f>
        <v/>
      </c>
      <c r="BU177" s="5">
        <f>IF(A177="","",N(INDEX(Projects[Controls Purchase],176)))</f>
        <v/>
      </c>
      <c r="BV177" s="5">
        <f>IF(A177="","",N(INDEX(Projects[Software Eng],176)))</f>
        <v/>
      </c>
      <c r="BW177" s="5">
        <f>IF(A177="","",N(INDEX(Projects[Misc],176)))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  <c r="BZ177" s="5">
        <f>INDEX(Projects[Solution Type],176)&amp;""</f>
        <v/>
      </c>
      <c r="CA177" s="5">
        <f>INDEX(Projects[Client / Region],176)&amp;""</f>
        <v/>
      </c>
      <c r="CB177" s="5">
        <f>INDEX(Projects[Year],176)</f>
        <v/>
      </c>
      <c r="CC177" s="5">
        <f>INDEX(Projects[Won?],176)&amp;""</f>
        <v/>
      </c>
      <c r="CD177" s="5">
        <f>INDEX(Projects[Value (USD M)],176)</f>
        <v/>
      </c>
      <c r="CE177" s="5">
        <f>INDEX(Projects[MH Data Status],176)&amp;""</f>
        <v/>
      </c>
    </row>
    <row r="178" ht="15" customHeight="1" s="74">
      <c r="A178" s="66">
        <f>INDEX(Projects[Project ID *],177)&amp;""</f>
        <v/>
      </c>
      <c r="B178" s="66">
        <f>INDEX(Projects[Project Name *],177)&amp;""</f>
        <v/>
      </c>
      <c r="C178" s="66">
        <f>INDEX(Projects[MS Shuttles],177)</f>
        <v/>
      </c>
      <c r="D178" s="66">
        <f>INDEX(Projects[MS Tote Locations],177)</f>
        <v/>
      </c>
      <c r="E178" s="66">
        <f>INDEX(Projects[AS Robots],177)</f>
        <v/>
      </c>
      <c r="F178" s="66">
        <f>INDEX(Projects[AS Tote Locations],177)</f>
        <v/>
      </c>
      <c r="G178" s="66">
        <f>INDEX(Projects[PS Shuttles],177)</f>
        <v/>
      </c>
      <c r="H178" s="66">
        <f>INDEX(Projects[PS Pallet Locations],177)</f>
        <v/>
      </c>
      <c r="I178" s="66">
        <f>INDEX(Projects[SRM Cranes],177)</f>
        <v/>
      </c>
      <c r="J178" s="66">
        <f>INDEX(Projects[SRM Pallet Locations],177)</f>
        <v/>
      </c>
      <c r="K178" s="66">
        <f>INDEX(Projects[Case Conv (m)],177)</f>
        <v/>
      </c>
      <c r="L178" s="66">
        <f>INDEX(Projects[Pallet Conv (m)],177)</f>
        <v/>
      </c>
      <c r="M178" s="66">
        <f>INDEX(Projects[Mech Eng (wks)],177)</f>
        <v/>
      </c>
      <c r="N178" s="66">
        <f>INDEX(Projects[Controls Eng (wks)],177)</f>
        <v/>
      </c>
      <c r="O178" s="66">
        <f>INDEX(Projects[Systems Eng (wks)],177)</f>
        <v/>
      </c>
      <c r="P178" s="66">
        <f>INDEX(Projects[Software Eng (wks)],177)</f>
        <v/>
      </c>
      <c r="Q178" s="66">
        <f>INDEX(Projects[M&amp;E Installation (wks)],177)</f>
        <v/>
      </c>
      <c r="R178" s="66">
        <f>INDEX(Projects[Commissioning (wks)],177)</f>
        <v/>
      </c>
      <c r="S178" s="66">
        <f>INDEX(Projects[Total Timeline (wks)],177)</f>
        <v/>
      </c>
      <c r="T178" s="66">
        <f>INDEX(Projects[Currency],177)&amp;""</f>
        <v/>
      </c>
      <c r="U178" s="67">
        <f>INDEX(Projects[Value (M)],177)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INDEX(Projects[Automation Equipment],177)&amp;""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IF(AND(A178&lt;&gt;"",OR('Smart Search'!$L$5="",'Smart Search'!$L$5="All",TRIM(BZ178)=TRIM('Smart Search'!$L$5)),OR(TRIM('Smart Search'!$L$6)="",TRIM('Smart Search'!$L$6)="All",ISNUMBER(SEARCH(SUBSTITUTE(SUBSTITUTE(SUBSTITUTE(TRIM('Smart Search'!$L$6),"~","~~"),"*","~*"),"?","~?"),CA178))),OR('Smart Search'!$L$7="",AND(CB178&lt;&gt;0,CB178='Smart Search'!$L$7)),OR('Smart Search'!$L$8="",'Smart Search'!$L$8="All",TRIM(CC178)=TRIM('Smart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IF(A178="","",N(INDEX(Projects[Mech Inst],177)))</f>
        <v/>
      </c>
      <c r="BK178" s="5">
        <f>IF(A178="","",N(INDEX(Projects[Elec Inst],177)))</f>
        <v/>
      </c>
      <c r="BL178" s="5">
        <f>IF(A178="","",N(INDEX(Projects[Project Management],177)))</f>
        <v/>
      </c>
      <c r="BM178" s="5">
        <f>IF(A178="","",N(INDEX(Projects[Systems Eng],177)))</f>
        <v/>
      </c>
      <c r="BN178" s="5">
        <f>IF(A178="","",N(INDEX(Projects[Mechanical Eng],177)))</f>
        <v/>
      </c>
      <c r="BO178" s="5">
        <f>IF(A178="","",N(INDEX(Projects[Structural Engineering],177)))</f>
        <v/>
      </c>
      <c r="BP178" s="5">
        <f>IF(A178="","",N(INDEX(Projects[Site Sup],177)))</f>
        <v/>
      </c>
      <c r="BQ178" s="5">
        <f>IF(A178="","",N(INDEX(Projects[Controls Commissioning],177)))</f>
        <v/>
      </c>
      <c r="BR178" s="5">
        <f>IF(A178="","",N(INDEX(Projects[Systems Commissioning],177)))</f>
        <v/>
      </c>
      <c r="BS178" s="5">
        <f>IF(A178="","",N(INDEX(Projects[Service Commissioning],177)))</f>
        <v/>
      </c>
      <c r="BT178" s="5">
        <f>IF(A178="","",N(INDEX(Projects[Controls Eng],177)))</f>
        <v/>
      </c>
      <c r="BU178" s="5">
        <f>IF(A178="","",N(INDEX(Projects[Controls Purchase],177)))</f>
        <v/>
      </c>
      <c r="BV178" s="5">
        <f>IF(A178="","",N(INDEX(Projects[Software Eng],177)))</f>
        <v/>
      </c>
      <c r="BW178" s="5">
        <f>IF(A178="","",N(INDEX(Projects[Misc],177)))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  <c r="BZ178" s="5">
        <f>INDEX(Projects[Solution Type],177)&amp;""</f>
        <v/>
      </c>
      <c r="CA178" s="5">
        <f>INDEX(Projects[Client / Region],177)&amp;""</f>
        <v/>
      </c>
      <c r="CB178" s="5">
        <f>INDEX(Projects[Year],177)</f>
        <v/>
      </c>
      <c r="CC178" s="5">
        <f>INDEX(Projects[Won?],177)&amp;""</f>
        <v/>
      </c>
      <c r="CD178" s="5">
        <f>INDEX(Projects[Value (USD M)],177)</f>
        <v/>
      </c>
      <c r="CE178" s="5">
        <f>INDEX(Projects[MH Data Status],177)&amp;""</f>
        <v/>
      </c>
    </row>
    <row r="179" ht="15" customHeight="1" s="74">
      <c r="A179" s="66">
        <f>INDEX(Projects[Project ID *],178)&amp;""</f>
        <v/>
      </c>
      <c r="B179" s="66">
        <f>INDEX(Projects[Project Name *],178)&amp;""</f>
        <v/>
      </c>
      <c r="C179" s="66">
        <f>INDEX(Projects[MS Shuttles],178)</f>
        <v/>
      </c>
      <c r="D179" s="66">
        <f>INDEX(Projects[MS Tote Locations],178)</f>
        <v/>
      </c>
      <c r="E179" s="66">
        <f>INDEX(Projects[AS Robots],178)</f>
        <v/>
      </c>
      <c r="F179" s="66">
        <f>INDEX(Projects[AS Tote Locations],178)</f>
        <v/>
      </c>
      <c r="G179" s="66">
        <f>INDEX(Projects[PS Shuttles],178)</f>
        <v/>
      </c>
      <c r="H179" s="66">
        <f>INDEX(Projects[PS Pallet Locations],178)</f>
        <v/>
      </c>
      <c r="I179" s="66">
        <f>INDEX(Projects[SRM Cranes],178)</f>
        <v/>
      </c>
      <c r="J179" s="66">
        <f>INDEX(Projects[SRM Pallet Locations],178)</f>
        <v/>
      </c>
      <c r="K179" s="66">
        <f>INDEX(Projects[Case Conv (m)],178)</f>
        <v/>
      </c>
      <c r="L179" s="66">
        <f>INDEX(Projects[Pallet Conv (m)],178)</f>
        <v/>
      </c>
      <c r="M179" s="66">
        <f>INDEX(Projects[Mech Eng (wks)],178)</f>
        <v/>
      </c>
      <c r="N179" s="66">
        <f>INDEX(Projects[Controls Eng (wks)],178)</f>
        <v/>
      </c>
      <c r="O179" s="66">
        <f>INDEX(Projects[Systems Eng (wks)],178)</f>
        <v/>
      </c>
      <c r="P179" s="66">
        <f>INDEX(Projects[Software Eng (wks)],178)</f>
        <v/>
      </c>
      <c r="Q179" s="66">
        <f>INDEX(Projects[M&amp;E Installation (wks)],178)</f>
        <v/>
      </c>
      <c r="R179" s="66">
        <f>INDEX(Projects[Commissioning (wks)],178)</f>
        <v/>
      </c>
      <c r="S179" s="66">
        <f>INDEX(Projects[Total Timeline (wks)],178)</f>
        <v/>
      </c>
      <c r="T179" s="66">
        <f>INDEX(Projects[Currency],178)&amp;""</f>
        <v/>
      </c>
      <c r="U179" s="67">
        <f>INDEX(Projects[Value (M)],178)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INDEX(Projects[Automation Equipment],178)&amp;""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IF(AND(A179&lt;&gt;"",OR('Smart Search'!$L$5="",'Smart Search'!$L$5="All",TRIM(BZ179)=TRIM('Smart Search'!$L$5)),OR(TRIM('Smart Search'!$L$6)="",TRIM('Smart Search'!$L$6)="All",ISNUMBER(SEARCH(SUBSTITUTE(SUBSTITUTE(SUBSTITUTE(TRIM('Smart Search'!$L$6),"~","~~"),"*","~*"),"?","~?"),CA179))),OR('Smart Search'!$L$7="",AND(CB179&lt;&gt;0,CB179='Smart Search'!$L$7)),OR('Smart Search'!$L$8="",'Smart Search'!$L$8="All",TRIM(CC179)=TRIM('Smart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IF(A179="","",N(INDEX(Projects[Mech Inst],178)))</f>
        <v/>
      </c>
      <c r="BK179" s="5">
        <f>IF(A179="","",N(INDEX(Projects[Elec Inst],178)))</f>
        <v/>
      </c>
      <c r="BL179" s="5">
        <f>IF(A179="","",N(INDEX(Projects[Project Management],178)))</f>
        <v/>
      </c>
      <c r="BM179" s="5">
        <f>IF(A179="","",N(INDEX(Projects[Systems Eng],178)))</f>
        <v/>
      </c>
      <c r="BN179" s="5">
        <f>IF(A179="","",N(INDEX(Projects[Mechanical Eng],178)))</f>
        <v/>
      </c>
      <c r="BO179" s="5">
        <f>IF(A179="","",N(INDEX(Projects[Structural Engineering],178)))</f>
        <v/>
      </c>
      <c r="BP179" s="5">
        <f>IF(A179="","",N(INDEX(Projects[Site Sup],178)))</f>
        <v/>
      </c>
      <c r="BQ179" s="5">
        <f>IF(A179="","",N(INDEX(Projects[Controls Commissioning],178)))</f>
        <v/>
      </c>
      <c r="BR179" s="5">
        <f>IF(A179="","",N(INDEX(Projects[Systems Commissioning],178)))</f>
        <v/>
      </c>
      <c r="BS179" s="5">
        <f>IF(A179="","",N(INDEX(Projects[Service Commissioning],178)))</f>
        <v/>
      </c>
      <c r="BT179" s="5">
        <f>IF(A179="","",N(INDEX(Projects[Controls Eng],178)))</f>
        <v/>
      </c>
      <c r="BU179" s="5">
        <f>IF(A179="","",N(INDEX(Projects[Controls Purchase],178)))</f>
        <v/>
      </c>
      <c r="BV179" s="5">
        <f>IF(A179="","",N(INDEX(Projects[Software Eng],178)))</f>
        <v/>
      </c>
      <c r="BW179" s="5">
        <f>IF(A179="","",N(INDEX(Projects[Misc],178)))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  <c r="BZ179" s="5">
        <f>INDEX(Projects[Solution Type],178)&amp;""</f>
        <v/>
      </c>
      <c r="CA179" s="5">
        <f>INDEX(Projects[Client / Region],178)&amp;""</f>
        <v/>
      </c>
      <c r="CB179" s="5">
        <f>INDEX(Projects[Year],178)</f>
        <v/>
      </c>
      <c r="CC179" s="5">
        <f>INDEX(Projects[Won?],178)&amp;""</f>
        <v/>
      </c>
      <c r="CD179" s="5">
        <f>INDEX(Projects[Value (USD M)],178)</f>
        <v/>
      </c>
      <c r="CE179" s="5">
        <f>INDEX(Projects[MH Data Status],178)&amp;""</f>
        <v/>
      </c>
    </row>
    <row r="180" ht="15" customHeight="1" s="74">
      <c r="A180" s="66">
        <f>INDEX(Projects[Project ID *],179)&amp;""</f>
        <v/>
      </c>
      <c r="B180" s="66">
        <f>INDEX(Projects[Project Name *],179)&amp;""</f>
        <v/>
      </c>
      <c r="C180" s="66">
        <f>INDEX(Projects[MS Shuttles],179)</f>
        <v/>
      </c>
      <c r="D180" s="66">
        <f>INDEX(Projects[MS Tote Locations],179)</f>
        <v/>
      </c>
      <c r="E180" s="66">
        <f>INDEX(Projects[AS Robots],179)</f>
        <v/>
      </c>
      <c r="F180" s="66">
        <f>INDEX(Projects[AS Tote Locations],179)</f>
        <v/>
      </c>
      <c r="G180" s="66">
        <f>INDEX(Projects[PS Shuttles],179)</f>
        <v/>
      </c>
      <c r="H180" s="66">
        <f>INDEX(Projects[PS Pallet Locations],179)</f>
        <v/>
      </c>
      <c r="I180" s="66">
        <f>INDEX(Projects[SRM Cranes],179)</f>
        <v/>
      </c>
      <c r="J180" s="66">
        <f>INDEX(Projects[SRM Pallet Locations],179)</f>
        <v/>
      </c>
      <c r="K180" s="66">
        <f>INDEX(Projects[Case Conv (m)],179)</f>
        <v/>
      </c>
      <c r="L180" s="66">
        <f>INDEX(Projects[Pallet Conv (m)],179)</f>
        <v/>
      </c>
      <c r="M180" s="66">
        <f>INDEX(Projects[Mech Eng (wks)],179)</f>
        <v/>
      </c>
      <c r="N180" s="66">
        <f>INDEX(Projects[Controls Eng (wks)],179)</f>
        <v/>
      </c>
      <c r="O180" s="66">
        <f>INDEX(Projects[Systems Eng (wks)],179)</f>
        <v/>
      </c>
      <c r="P180" s="66">
        <f>INDEX(Projects[Software Eng (wks)],179)</f>
        <v/>
      </c>
      <c r="Q180" s="66">
        <f>INDEX(Projects[M&amp;E Installation (wks)],179)</f>
        <v/>
      </c>
      <c r="R180" s="66">
        <f>INDEX(Projects[Commissioning (wks)],179)</f>
        <v/>
      </c>
      <c r="S180" s="66">
        <f>INDEX(Projects[Total Timeline (wks)],179)</f>
        <v/>
      </c>
      <c r="T180" s="66">
        <f>INDEX(Projects[Currency],179)&amp;""</f>
        <v/>
      </c>
      <c r="U180" s="67">
        <f>INDEX(Projects[Value (M)],179)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INDEX(Projects[Automation Equipment],179)&amp;""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IF(AND(A180&lt;&gt;"",OR('Smart Search'!$L$5="",'Smart Search'!$L$5="All",TRIM(BZ180)=TRIM('Smart Search'!$L$5)),OR(TRIM('Smart Search'!$L$6)="",TRIM('Smart Search'!$L$6)="All",ISNUMBER(SEARCH(SUBSTITUTE(SUBSTITUTE(SUBSTITUTE(TRIM('Smart Search'!$L$6),"~","~~"),"*","~*"),"?","~?"),CA180))),OR('Smart Search'!$L$7="",AND(CB180&lt;&gt;0,CB180='Smart Search'!$L$7)),OR('Smart Search'!$L$8="",'Smart Search'!$L$8="All",TRIM(CC180)=TRIM('Smart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IF(A180="","",N(INDEX(Projects[Mech Inst],179)))</f>
        <v/>
      </c>
      <c r="BK180" s="5">
        <f>IF(A180="","",N(INDEX(Projects[Elec Inst],179)))</f>
        <v/>
      </c>
      <c r="BL180" s="5">
        <f>IF(A180="","",N(INDEX(Projects[Project Management],179)))</f>
        <v/>
      </c>
      <c r="BM180" s="5">
        <f>IF(A180="","",N(INDEX(Projects[Systems Eng],179)))</f>
        <v/>
      </c>
      <c r="BN180" s="5">
        <f>IF(A180="","",N(INDEX(Projects[Mechanical Eng],179)))</f>
        <v/>
      </c>
      <c r="BO180" s="5">
        <f>IF(A180="","",N(INDEX(Projects[Structural Engineering],179)))</f>
        <v/>
      </c>
      <c r="BP180" s="5">
        <f>IF(A180="","",N(INDEX(Projects[Site Sup],179)))</f>
        <v/>
      </c>
      <c r="BQ180" s="5">
        <f>IF(A180="","",N(INDEX(Projects[Controls Commissioning],179)))</f>
        <v/>
      </c>
      <c r="BR180" s="5">
        <f>IF(A180="","",N(INDEX(Projects[Systems Commissioning],179)))</f>
        <v/>
      </c>
      <c r="BS180" s="5">
        <f>IF(A180="","",N(INDEX(Projects[Service Commissioning],179)))</f>
        <v/>
      </c>
      <c r="BT180" s="5">
        <f>IF(A180="","",N(INDEX(Projects[Controls Eng],179)))</f>
        <v/>
      </c>
      <c r="BU180" s="5">
        <f>IF(A180="","",N(INDEX(Projects[Controls Purchase],179)))</f>
        <v/>
      </c>
      <c r="BV180" s="5">
        <f>IF(A180="","",N(INDEX(Projects[Software Eng],179)))</f>
        <v/>
      </c>
      <c r="BW180" s="5">
        <f>IF(A180="","",N(INDEX(Projects[Misc],179)))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  <c r="BZ180" s="5">
        <f>INDEX(Projects[Solution Type],179)&amp;""</f>
        <v/>
      </c>
      <c r="CA180" s="5">
        <f>INDEX(Projects[Client / Region],179)&amp;""</f>
        <v/>
      </c>
      <c r="CB180" s="5">
        <f>INDEX(Projects[Year],179)</f>
        <v/>
      </c>
      <c r="CC180" s="5">
        <f>INDEX(Projects[Won?],179)&amp;""</f>
        <v/>
      </c>
      <c r="CD180" s="5">
        <f>INDEX(Projects[Value (USD M)],179)</f>
        <v/>
      </c>
      <c r="CE180" s="5">
        <f>INDEX(Projects[MH Data Status],179)&amp;""</f>
        <v/>
      </c>
    </row>
    <row r="181" ht="15" customHeight="1" s="74">
      <c r="A181" s="66">
        <f>INDEX(Projects[Project ID *],180)&amp;""</f>
        <v/>
      </c>
      <c r="B181" s="66">
        <f>INDEX(Projects[Project Name *],180)&amp;""</f>
        <v/>
      </c>
      <c r="C181" s="66">
        <f>INDEX(Projects[MS Shuttles],180)</f>
        <v/>
      </c>
      <c r="D181" s="66">
        <f>INDEX(Projects[MS Tote Locations],180)</f>
        <v/>
      </c>
      <c r="E181" s="66">
        <f>INDEX(Projects[AS Robots],180)</f>
        <v/>
      </c>
      <c r="F181" s="66">
        <f>INDEX(Projects[AS Tote Locations],180)</f>
        <v/>
      </c>
      <c r="G181" s="66">
        <f>INDEX(Projects[PS Shuttles],180)</f>
        <v/>
      </c>
      <c r="H181" s="66">
        <f>INDEX(Projects[PS Pallet Locations],180)</f>
        <v/>
      </c>
      <c r="I181" s="66">
        <f>INDEX(Projects[SRM Cranes],180)</f>
        <v/>
      </c>
      <c r="J181" s="66">
        <f>INDEX(Projects[SRM Pallet Locations],180)</f>
        <v/>
      </c>
      <c r="K181" s="66">
        <f>INDEX(Projects[Case Conv (m)],180)</f>
        <v/>
      </c>
      <c r="L181" s="66">
        <f>INDEX(Projects[Pallet Conv (m)],180)</f>
        <v/>
      </c>
      <c r="M181" s="66">
        <f>INDEX(Projects[Mech Eng (wks)],180)</f>
        <v/>
      </c>
      <c r="N181" s="66">
        <f>INDEX(Projects[Controls Eng (wks)],180)</f>
        <v/>
      </c>
      <c r="O181" s="66">
        <f>INDEX(Projects[Systems Eng (wks)],180)</f>
        <v/>
      </c>
      <c r="P181" s="66">
        <f>INDEX(Projects[Software Eng (wks)],180)</f>
        <v/>
      </c>
      <c r="Q181" s="66">
        <f>INDEX(Projects[M&amp;E Installation (wks)],180)</f>
        <v/>
      </c>
      <c r="R181" s="66">
        <f>INDEX(Projects[Commissioning (wks)],180)</f>
        <v/>
      </c>
      <c r="S181" s="66">
        <f>INDEX(Projects[Total Timeline (wks)],180)</f>
        <v/>
      </c>
      <c r="T181" s="66">
        <f>INDEX(Projects[Currency],180)&amp;""</f>
        <v/>
      </c>
      <c r="U181" s="67">
        <f>INDEX(Projects[Value (M)],180)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INDEX(Projects[Automation Equipment],180)&amp;""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IF(AND(A181&lt;&gt;"",OR('Smart Search'!$L$5="",'Smart Search'!$L$5="All",TRIM(BZ181)=TRIM('Smart Search'!$L$5)),OR(TRIM('Smart Search'!$L$6)="",TRIM('Smart Search'!$L$6)="All",ISNUMBER(SEARCH(SUBSTITUTE(SUBSTITUTE(SUBSTITUTE(TRIM('Smart Search'!$L$6),"~","~~"),"*","~*"),"?","~?"),CA181))),OR('Smart Search'!$L$7="",AND(CB181&lt;&gt;0,CB181='Smart Search'!$L$7)),OR('Smart Search'!$L$8="",'Smart Search'!$L$8="All",TRIM(CC181)=TRIM('Smart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IF(A181="","",N(INDEX(Projects[Mech Inst],180)))</f>
        <v/>
      </c>
      <c r="BK181" s="5">
        <f>IF(A181="","",N(INDEX(Projects[Elec Inst],180)))</f>
        <v/>
      </c>
      <c r="BL181" s="5">
        <f>IF(A181="","",N(INDEX(Projects[Project Management],180)))</f>
        <v/>
      </c>
      <c r="BM181" s="5">
        <f>IF(A181="","",N(INDEX(Projects[Systems Eng],180)))</f>
        <v/>
      </c>
      <c r="BN181" s="5">
        <f>IF(A181="","",N(INDEX(Projects[Mechanical Eng],180)))</f>
        <v/>
      </c>
      <c r="BO181" s="5">
        <f>IF(A181="","",N(INDEX(Projects[Structural Engineering],180)))</f>
        <v/>
      </c>
      <c r="BP181" s="5">
        <f>IF(A181="","",N(INDEX(Projects[Site Sup],180)))</f>
        <v/>
      </c>
      <c r="BQ181" s="5">
        <f>IF(A181="","",N(INDEX(Projects[Controls Commissioning],180)))</f>
        <v/>
      </c>
      <c r="BR181" s="5">
        <f>IF(A181="","",N(INDEX(Projects[Systems Commissioning],180)))</f>
        <v/>
      </c>
      <c r="BS181" s="5">
        <f>IF(A181="","",N(INDEX(Projects[Service Commissioning],180)))</f>
        <v/>
      </c>
      <c r="BT181" s="5">
        <f>IF(A181="","",N(INDEX(Projects[Controls Eng],180)))</f>
        <v/>
      </c>
      <c r="BU181" s="5">
        <f>IF(A181="","",N(INDEX(Projects[Controls Purchase],180)))</f>
        <v/>
      </c>
      <c r="BV181" s="5">
        <f>IF(A181="","",N(INDEX(Projects[Software Eng],180)))</f>
        <v/>
      </c>
      <c r="BW181" s="5">
        <f>IF(A181="","",N(INDEX(Projects[Misc],180)))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  <c r="BZ181" s="5">
        <f>INDEX(Projects[Solution Type],180)&amp;""</f>
        <v/>
      </c>
      <c r="CA181" s="5">
        <f>INDEX(Projects[Client / Region],180)&amp;""</f>
        <v/>
      </c>
      <c r="CB181" s="5">
        <f>INDEX(Projects[Year],180)</f>
        <v/>
      </c>
      <c r="CC181" s="5">
        <f>INDEX(Projects[Won?],180)&amp;""</f>
        <v/>
      </c>
      <c r="CD181" s="5">
        <f>INDEX(Projects[Value (USD M)],180)</f>
        <v/>
      </c>
      <c r="CE181" s="5">
        <f>INDEX(Projects[MH Data Status],180)&amp;""</f>
        <v/>
      </c>
    </row>
    <row r="182" ht="15" customHeight="1" s="74">
      <c r="A182" s="66">
        <f>INDEX(Projects[Project ID *],181)&amp;""</f>
        <v/>
      </c>
      <c r="B182" s="66">
        <f>INDEX(Projects[Project Name *],181)&amp;""</f>
        <v/>
      </c>
      <c r="C182" s="66">
        <f>INDEX(Projects[MS Shuttles],181)</f>
        <v/>
      </c>
      <c r="D182" s="66">
        <f>INDEX(Projects[MS Tote Locations],181)</f>
        <v/>
      </c>
      <c r="E182" s="66">
        <f>INDEX(Projects[AS Robots],181)</f>
        <v/>
      </c>
      <c r="F182" s="66">
        <f>INDEX(Projects[AS Tote Locations],181)</f>
        <v/>
      </c>
      <c r="G182" s="66">
        <f>INDEX(Projects[PS Shuttles],181)</f>
        <v/>
      </c>
      <c r="H182" s="66">
        <f>INDEX(Projects[PS Pallet Locations],181)</f>
        <v/>
      </c>
      <c r="I182" s="66">
        <f>INDEX(Projects[SRM Cranes],181)</f>
        <v/>
      </c>
      <c r="J182" s="66">
        <f>INDEX(Projects[SRM Pallet Locations],181)</f>
        <v/>
      </c>
      <c r="K182" s="66">
        <f>INDEX(Projects[Case Conv (m)],181)</f>
        <v/>
      </c>
      <c r="L182" s="66">
        <f>INDEX(Projects[Pallet Conv (m)],181)</f>
        <v/>
      </c>
      <c r="M182" s="66">
        <f>INDEX(Projects[Mech Eng (wks)],181)</f>
        <v/>
      </c>
      <c r="N182" s="66">
        <f>INDEX(Projects[Controls Eng (wks)],181)</f>
        <v/>
      </c>
      <c r="O182" s="66">
        <f>INDEX(Projects[Systems Eng (wks)],181)</f>
        <v/>
      </c>
      <c r="P182" s="66">
        <f>INDEX(Projects[Software Eng (wks)],181)</f>
        <v/>
      </c>
      <c r="Q182" s="66">
        <f>INDEX(Projects[M&amp;E Installation (wks)],181)</f>
        <v/>
      </c>
      <c r="R182" s="66">
        <f>INDEX(Projects[Commissioning (wks)],181)</f>
        <v/>
      </c>
      <c r="S182" s="66">
        <f>INDEX(Projects[Total Timeline (wks)],181)</f>
        <v/>
      </c>
      <c r="T182" s="66">
        <f>INDEX(Projects[Currency],181)&amp;""</f>
        <v/>
      </c>
      <c r="U182" s="67">
        <f>INDEX(Projects[Value (M)],181)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INDEX(Projects[Automation Equipment],181)&amp;""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IF(AND(A182&lt;&gt;"",OR('Smart Search'!$L$5="",'Smart Search'!$L$5="All",TRIM(BZ182)=TRIM('Smart Search'!$L$5)),OR(TRIM('Smart Search'!$L$6)="",TRIM('Smart Search'!$L$6)="All",ISNUMBER(SEARCH(SUBSTITUTE(SUBSTITUTE(SUBSTITUTE(TRIM('Smart Search'!$L$6),"~","~~"),"*","~*"),"?","~?"),CA182))),OR('Smart Search'!$L$7="",AND(CB182&lt;&gt;0,CB182='Smart Search'!$L$7)),OR('Smart Search'!$L$8="",'Smart Search'!$L$8="All",TRIM(CC182)=TRIM('Smart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IF(A182="","",N(INDEX(Projects[Mech Inst],181)))</f>
        <v/>
      </c>
      <c r="BK182" s="5">
        <f>IF(A182="","",N(INDEX(Projects[Elec Inst],181)))</f>
        <v/>
      </c>
      <c r="BL182" s="5">
        <f>IF(A182="","",N(INDEX(Projects[Project Management],181)))</f>
        <v/>
      </c>
      <c r="BM182" s="5">
        <f>IF(A182="","",N(INDEX(Projects[Systems Eng],181)))</f>
        <v/>
      </c>
      <c r="BN182" s="5">
        <f>IF(A182="","",N(INDEX(Projects[Mechanical Eng],181)))</f>
        <v/>
      </c>
      <c r="BO182" s="5">
        <f>IF(A182="","",N(INDEX(Projects[Structural Engineering],181)))</f>
        <v/>
      </c>
      <c r="BP182" s="5">
        <f>IF(A182="","",N(INDEX(Projects[Site Sup],181)))</f>
        <v/>
      </c>
      <c r="BQ182" s="5">
        <f>IF(A182="","",N(INDEX(Projects[Controls Commissioning],181)))</f>
        <v/>
      </c>
      <c r="BR182" s="5">
        <f>IF(A182="","",N(INDEX(Projects[Systems Commissioning],181)))</f>
        <v/>
      </c>
      <c r="BS182" s="5">
        <f>IF(A182="","",N(INDEX(Projects[Service Commissioning],181)))</f>
        <v/>
      </c>
      <c r="BT182" s="5">
        <f>IF(A182="","",N(INDEX(Projects[Controls Eng],181)))</f>
        <v/>
      </c>
      <c r="BU182" s="5">
        <f>IF(A182="","",N(INDEX(Projects[Controls Purchase],181)))</f>
        <v/>
      </c>
      <c r="BV182" s="5">
        <f>IF(A182="","",N(INDEX(Projects[Software Eng],181)))</f>
        <v/>
      </c>
      <c r="BW182" s="5">
        <f>IF(A182="","",N(INDEX(Projects[Misc],181)))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  <c r="BZ182" s="5">
        <f>INDEX(Projects[Solution Type],181)&amp;""</f>
        <v/>
      </c>
      <c r="CA182" s="5">
        <f>INDEX(Projects[Client / Region],181)&amp;""</f>
        <v/>
      </c>
      <c r="CB182" s="5">
        <f>INDEX(Projects[Year],181)</f>
        <v/>
      </c>
      <c r="CC182" s="5">
        <f>INDEX(Projects[Won?],181)&amp;""</f>
        <v/>
      </c>
      <c r="CD182" s="5">
        <f>INDEX(Projects[Value (USD M)],181)</f>
        <v/>
      </c>
      <c r="CE182" s="5">
        <f>INDEX(Projects[MH Data Status],181)&amp;""</f>
        <v/>
      </c>
    </row>
    <row r="183" ht="15" customHeight="1" s="74">
      <c r="A183" s="66">
        <f>INDEX(Projects[Project ID *],182)&amp;""</f>
        <v/>
      </c>
      <c r="B183" s="66">
        <f>INDEX(Projects[Project Name *],182)&amp;""</f>
        <v/>
      </c>
      <c r="C183" s="66">
        <f>INDEX(Projects[MS Shuttles],182)</f>
        <v/>
      </c>
      <c r="D183" s="66">
        <f>INDEX(Projects[MS Tote Locations],182)</f>
        <v/>
      </c>
      <c r="E183" s="66">
        <f>INDEX(Projects[AS Robots],182)</f>
        <v/>
      </c>
      <c r="F183" s="66">
        <f>INDEX(Projects[AS Tote Locations],182)</f>
        <v/>
      </c>
      <c r="G183" s="66">
        <f>INDEX(Projects[PS Shuttles],182)</f>
        <v/>
      </c>
      <c r="H183" s="66">
        <f>INDEX(Projects[PS Pallet Locations],182)</f>
        <v/>
      </c>
      <c r="I183" s="66">
        <f>INDEX(Projects[SRM Cranes],182)</f>
        <v/>
      </c>
      <c r="J183" s="66">
        <f>INDEX(Projects[SRM Pallet Locations],182)</f>
        <v/>
      </c>
      <c r="K183" s="66">
        <f>INDEX(Projects[Case Conv (m)],182)</f>
        <v/>
      </c>
      <c r="L183" s="66">
        <f>INDEX(Projects[Pallet Conv (m)],182)</f>
        <v/>
      </c>
      <c r="M183" s="66">
        <f>INDEX(Projects[Mech Eng (wks)],182)</f>
        <v/>
      </c>
      <c r="N183" s="66">
        <f>INDEX(Projects[Controls Eng (wks)],182)</f>
        <v/>
      </c>
      <c r="O183" s="66">
        <f>INDEX(Projects[Systems Eng (wks)],182)</f>
        <v/>
      </c>
      <c r="P183" s="66">
        <f>INDEX(Projects[Software Eng (wks)],182)</f>
        <v/>
      </c>
      <c r="Q183" s="66">
        <f>INDEX(Projects[M&amp;E Installation (wks)],182)</f>
        <v/>
      </c>
      <c r="R183" s="66">
        <f>INDEX(Projects[Commissioning (wks)],182)</f>
        <v/>
      </c>
      <c r="S183" s="66">
        <f>INDEX(Projects[Total Timeline (wks)],182)</f>
        <v/>
      </c>
      <c r="T183" s="66">
        <f>INDEX(Projects[Currency],182)&amp;""</f>
        <v/>
      </c>
      <c r="U183" s="67">
        <f>INDEX(Projects[Value (M)],182)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INDEX(Projects[Automation Equipment],182)&amp;""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IF(AND(A183&lt;&gt;"",OR('Smart Search'!$L$5="",'Smart Search'!$L$5="All",TRIM(BZ183)=TRIM('Smart Search'!$L$5)),OR(TRIM('Smart Search'!$L$6)="",TRIM('Smart Search'!$L$6)="All",ISNUMBER(SEARCH(SUBSTITUTE(SUBSTITUTE(SUBSTITUTE(TRIM('Smart Search'!$L$6),"~","~~"),"*","~*"),"?","~?"),CA183))),OR('Smart Search'!$L$7="",AND(CB183&lt;&gt;0,CB183='Smart Search'!$L$7)),OR('Smart Search'!$L$8="",'Smart Search'!$L$8="All",TRIM(CC183)=TRIM('Smart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IF(A183="","",N(INDEX(Projects[Mech Inst],182)))</f>
        <v/>
      </c>
      <c r="BK183" s="5">
        <f>IF(A183="","",N(INDEX(Projects[Elec Inst],182)))</f>
        <v/>
      </c>
      <c r="BL183" s="5">
        <f>IF(A183="","",N(INDEX(Projects[Project Management],182)))</f>
        <v/>
      </c>
      <c r="BM183" s="5">
        <f>IF(A183="","",N(INDEX(Projects[Systems Eng],182)))</f>
        <v/>
      </c>
      <c r="BN183" s="5">
        <f>IF(A183="","",N(INDEX(Projects[Mechanical Eng],182)))</f>
        <v/>
      </c>
      <c r="BO183" s="5">
        <f>IF(A183="","",N(INDEX(Projects[Structural Engineering],182)))</f>
        <v/>
      </c>
      <c r="BP183" s="5">
        <f>IF(A183="","",N(INDEX(Projects[Site Sup],182)))</f>
        <v/>
      </c>
      <c r="BQ183" s="5">
        <f>IF(A183="","",N(INDEX(Projects[Controls Commissioning],182)))</f>
        <v/>
      </c>
      <c r="BR183" s="5">
        <f>IF(A183="","",N(INDEX(Projects[Systems Commissioning],182)))</f>
        <v/>
      </c>
      <c r="BS183" s="5">
        <f>IF(A183="","",N(INDEX(Projects[Service Commissioning],182)))</f>
        <v/>
      </c>
      <c r="BT183" s="5">
        <f>IF(A183="","",N(INDEX(Projects[Controls Eng],182)))</f>
        <v/>
      </c>
      <c r="BU183" s="5">
        <f>IF(A183="","",N(INDEX(Projects[Controls Purchase],182)))</f>
        <v/>
      </c>
      <c r="BV183" s="5">
        <f>IF(A183="","",N(INDEX(Projects[Software Eng],182)))</f>
        <v/>
      </c>
      <c r="BW183" s="5">
        <f>IF(A183="","",N(INDEX(Projects[Misc],182)))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  <c r="BZ183" s="5">
        <f>INDEX(Projects[Solution Type],182)&amp;""</f>
        <v/>
      </c>
      <c r="CA183" s="5">
        <f>INDEX(Projects[Client / Region],182)&amp;""</f>
        <v/>
      </c>
      <c r="CB183" s="5">
        <f>INDEX(Projects[Year],182)</f>
        <v/>
      </c>
      <c r="CC183" s="5">
        <f>INDEX(Projects[Won?],182)&amp;""</f>
        <v/>
      </c>
      <c r="CD183" s="5">
        <f>INDEX(Projects[Value (USD M)],182)</f>
        <v/>
      </c>
      <c r="CE183" s="5">
        <f>INDEX(Projects[MH Data Status],182)&amp;""</f>
        <v/>
      </c>
    </row>
    <row r="184" ht="15" customHeight="1" s="74">
      <c r="A184" s="66">
        <f>INDEX(Projects[Project ID *],183)&amp;""</f>
        <v/>
      </c>
      <c r="B184" s="66">
        <f>INDEX(Projects[Project Name *],183)&amp;""</f>
        <v/>
      </c>
      <c r="C184" s="66">
        <f>INDEX(Projects[MS Shuttles],183)</f>
        <v/>
      </c>
      <c r="D184" s="66">
        <f>INDEX(Projects[MS Tote Locations],183)</f>
        <v/>
      </c>
      <c r="E184" s="66">
        <f>INDEX(Projects[AS Robots],183)</f>
        <v/>
      </c>
      <c r="F184" s="66">
        <f>INDEX(Projects[AS Tote Locations],183)</f>
        <v/>
      </c>
      <c r="G184" s="66">
        <f>INDEX(Projects[PS Shuttles],183)</f>
        <v/>
      </c>
      <c r="H184" s="66">
        <f>INDEX(Projects[PS Pallet Locations],183)</f>
        <v/>
      </c>
      <c r="I184" s="66">
        <f>INDEX(Projects[SRM Cranes],183)</f>
        <v/>
      </c>
      <c r="J184" s="66">
        <f>INDEX(Projects[SRM Pallet Locations],183)</f>
        <v/>
      </c>
      <c r="K184" s="66">
        <f>INDEX(Projects[Case Conv (m)],183)</f>
        <v/>
      </c>
      <c r="L184" s="66">
        <f>INDEX(Projects[Pallet Conv (m)],183)</f>
        <v/>
      </c>
      <c r="M184" s="66">
        <f>INDEX(Projects[Mech Eng (wks)],183)</f>
        <v/>
      </c>
      <c r="N184" s="66">
        <f>INDEX(Projects[Controls Eng (wks)],183)</f>
        <v/>
      </c>
      <c r="O184" s="66">
        <f>INDEX(Projects[Systems Eng (wks)],183)</f>
        <v/>
      </c>
      <c r="P184" s="66">
        <f>INDEX(Projects[Software Eng (wks)],183)</f>
        <v/>
      </c>
      <c r="Q184" s="66">
        <f>INDEX(Projects[M&amp;E Installation (wks)],183)</f>
        <v/>
      </c>
      <c r="R184" s="66">
        <f>INDEX(Projects[Commissioning (wks)],183)</f>
        <v/>
      </c>
      <c r="S184" s="66">
        <f>INDEX(Projects[Total Timeline (wks)],183)</f>
        <v/>
      </c>
      <c r="T184" s="66">
        <f>INDEX(Projects[Currency],183)&amp;""</f>
        <v/>
      </c>
      <c r="U184" s="67">
        <f>INDEX(Projects[Value (M)],183)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INDEX(Projects[Automation Equipment],183)&amp;""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IF(AND(A184&lt;&gt;"",OR('Smart Search'!$L$5="",'Smart Search'!$L$5="All",TRIM(BZ184)=TRIM('Smart Search'!$L$5)),OR(TRIM('Smart Search'!$L$6)="",TRIM('Smart Search'!$L$6)="All",ISNUMBER(SEARCH(SUBSTITUTE(SUBSTITUTE(SUBSTITUTE(TRIM('Smart Search'!$L$6),"~","~~"),"*","~*"),"?","~?"),CA184))),OR('Smart Search'!$L$7="",AND(CB184&lt;&gt;0,CB184='Smart Search'!$L$7)),OR('Smart Search'!$L$8="",'Smart Search'!$L$8="All",TRIM(CC184)=TRIM('Smart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IF(A184="","",N(INDEX(Projects[Mech Inst],183)))</f>
        <v/>
      </c>
      <c r="BK184" s="5">
        <f>IF(A184="","",N(INDEX(Projects[Elec Inst],183)))</f>
        <v/>
      </c>
      <c r="BL184" s="5">
        <f>IF(A184="","",N(INDEX(Projects[Project Management],183)))</f>
        <v/>
      </c>
      <c r="BM184" s="5">
        <f>IF(A184="","",N(INDEX(Projects[Systems Eng],183)))</f>
        <v/>
      </c>
      <c r="BN184" s="5">
        <f>IF(A184="","",N(INDEX(Projects[Mechanical Eng],183)))</f>
        <v/>
      </c>
      <c r="BO184" s="5">
        <f>IF(A184="","",N(INDEX(Projects[Structural Engineering],183)))</f>
        <v/>
      </c>
      <c r="BP184" s="5">
        <f>IF(A184="","",N(INDEX(Projects[Site Sup],183)))</f>
        <v/>
      </c>
      <c r="BQ184" s="5">
        <f>IF(A184="","",N(INDEX(Projects[Controls Commissioning],183)))</f>
        <v/>
      </c>
      <c r="BR184" s="5">
        <f>IF(A184="","",N(INDEX(Projects[Systems Commissioning],183)))</f>
        <v/>
      </c>
      <c r="BS184" s="5">
        <f>IF(A184="","",N(INDEX(Projects[Service Commissioning],183)))</f>
        <v/>
      </c>
      <c r="BT184" s="5">
        <f>IF(A184="","",N(INDEX(Projects[Controls Eng],183)))</f>
        <v/>
      </c>
      <c r="BU184" s="5">
        <f>IF(A184="","",N(INDEX(Projects[Controls Purchase],183)))</f>
        <v/>
      </c>
      <c r="BV184" s="5">
        <f>IF(A184="","",N(INDEX(Projects[Software Eng],183)))</f>
        <v/>
      </c>
      <c r="BW184" s="5">
        <f>IF(A184="","",N(INDEX(Projects[Misc],183)))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  <c r="BZ184" s="5">
        <f>INDEX(Projects[Solution Type],183)&amp;""</f>
        <v/>
      </c>
      <c r="CA184" s="5">
        <f>INDEX(Projects[Client / Region],183)&amp;""</f>
        <v/>
      </c>
      <c r="CB184" s="5">
        <f>INDEX(Projects[Year],183)</f>
        <v/>
      </c>
      <c r="CC184" s="5">
        <f>INDEX(Projects[Won?],183)&amp;""</f>
        <v/>
      </c>
      <c r="CD184" s="5">
        <f>INDEX(Projects[Value (USD M)],183)</f>
        <v/>
      </c>
      <c r="CE184" s="5">
        <f>INDEX(Projects[MH Data Status],183)&amp;""</f>
        <v/>
      </c>
    </row>
    <row r="185" ht="15" customHeight="1" s="74">
      <c r="A185" s="66">
        <f>INDEX(Projects[Project ID *],184)&amp;""</f>
        <v/>
      </c>
      <c r="B185" s="66">
        <f>INDEX(Projects[Project Name *],184)&amp;""</f>
        <v/>
      </c>
      <c r="C185" s="66">
        <f>INDEX(Projects[MS Shuttles],184)</f>
        <v/>
      </c>
      <c r="D185" s="66">
        <f>INDEX(Projects[MS Tote Locations],184)</f>
        <v/>
      </c>
      <c r="E185" s="66">
        <f>INDEX(Projects[AS Robots],184)</f>
        <v/>
      </c>
      <c r="F185" s="66">
        <f>INDEX(Projects[AS Tote Locations],184)</f>
        <v/>
      </c>
      <c r="G185" s="66">
        <f>INDEX(Projects[PS Shuttles],184)</f>
        <v/>
      </c>
      <c r="H185" s="66">
        <f>INDEX(Projects[PS Pallet Locations],184)</f>
        <v/>
      </c>
      <c r="I185" s="66">
        <f>INDEX(Projects[SRM Cranes],184)</f>
        <v/>
      </c>
      <c r="J185" s="66">
        <f>INDEX(Projects[SRM Pallet Locations],184)</f>
        <v/>
      </c>
      <c r="K185" s="66">
        <f>INDEX(Projects[Case Conv (m)],184)</f>
        <v/>
      </c>
      <c r="L185" s="66">
        <f>INDEX(Projects[Pallet Conv (m)],184)</f>
        <v/>
      </c>
      <c r="M185" s="66">
        <f>INDEX(Projects[Mech Eng (wks)],184)</f>
        <v/>
      </c>
      <c r="N185" s="66">
        <f>INDEX(Projects[Controls Eng (wks)],184)</f>
        <v/>
      </c>
      <c r="O185" s="66">
        <f>INDEX(Projects[Systems Eng (wks)],184)</f>
        <v/>
      </c>
      <c r="P185" s="66">
        <f>INDEX(Projects[Software Eng (wks)],184)</f>
        <v/>
      </c>
      <c r="Q185" s="66">
        <f>INDEX(Projects[M&amp;E Installation (wks)],184)</f>
        <v/>
      </c>
      <c r="R185" s="66">
        <f>INDEX(Projects[Commissioning (wks)],184)</f>
        <v/>
      </c>
      <c r="S185" s="66">
        <f>INDEX(Projects[Total Timeline (wks)],184)</f>
        <v/>
      </c>
      <c r="T185" s="66">
        <f>INDEX(Projects[Currency],184)&amp;""</f>
        <v/>
      </c>
      <c r="U185" s="67">
        <f>INDEX(Projects[Value (M)],184)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INDEX(Projects[Automation Equipment],184)&amp;""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IF(AND(A185&lt;&gt;"",OR('Smart Search'!$L$5="",'Smart Search'!$L$5="All",TRIM(BZ185)=TRIM('Smart Search'!$L$5)),OR(TRIM('Smart Search'!$L$6)="",TRIM('Smart Search'!$L$6)="All",ISNUMBER(SEARCH(SUBSTITUTE(SUBSTITUTE(SUBSTITUTE(TRIM('Smart Search'!$L$6),"~","~~"),"*","~*"),"?","~?"),CA185))),OR('Smart Search'!$L$7="",AND(CB185&lt;&gt;0,CB185='Smart Search'!$L$7)),OR('Smart Search'!$L$8="",'Smart Search'!$L$8="All",TRIM(CC185)=TRIM('Smart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IF(A185="","",N(INDEX(Projects[Mech Inst],184)))</f>
        <v/>
      </c>
      <c r="BK185" s="5">
        <f>IF(A185="","",N(INDEX(Projects[Elec Inst],184)))</f>
        <v/>
      </c>
      <c r="BL185" s="5">
        <f>IF(A185="","",N(INDEX(Projects[Project Management],184)))</f>
        <v/>
      </c>
      <c r="BM185" s="5">
        <f>IF(A185="","",N(INDEX(Projects[Systems Eng],184)))</f>
        <v/>
      </c>
      <c r="BN185" s="5">
        <f>IF(A185="","",N(INDEX(Projects[Mechanical Eng],184)))</f>
        <v/>
      </c>
      <c r="BO185" s="5">
        <f>IF(A185="","",N(INDEX(Projects[Structural Engineering],184)))</f>
        <v/>
      </c>
      <c r="BP185" s="5">
        <f>IF(A185="","",N(INDEX(Projects[Site Sup],184)))</f>
        <v/>
      </c>
      <c r="BQ185" s="5">
        <f>IF(A185="","",N(INDEX(Projects[Controls Commissioning],184)))</f>
        <v/>
      </c>
      <c r="BR185" s="5">
        <f>IF(A185="","",N(INDEX(Projects[Systems Commissioning],184)))</f>
        <v/>
      </c>
      <c r="BS185" s="5">
        <f>IF(A185="","",N(INDEX(Projects[Service Commissioning],184)))</f>
        <v/>
      </c>
      <c r="BT185" s="5">
        <f>IF(A185="","",N(INDEX(Projects[Controls Eng],184)))</f>
        <v/>
      </c>
      <c r="BU185" s="5">
        <f>IF(A185="","",N(INDEX(Projects[Controls Purchase],184)))</f>
        <v/>
      </c>
      <c r="BV185" s="5">
        <f>IF(A185="","",N(INDEX(Projects[Software Eng],184)))</f>
        <v/>
      </c>
      <c r="BW185" s="5">
        <f>IF(A185="","",N(INDEX(Projects[Misc],184)))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  <c r="BZ185" s="5">
        <f>INDEX(Projects[Solution Type],184)&amp;""</f>
        <v/>
      </c>
      <c r="CA185" s="5">
        <f>INDEX(Projects[Client / Region],184)&amp;""</f>
        <v/>
      </c>
      <c r="CB185" s="5">
        <f>INDEX(Projects[Year],184)</f>
        <v/>
      </c>
      <c r="CC185" s="5">
        <f>INDEX(Projects[Won?],184)&amp;""</f>
        <v/>
      </c>
      <c r="CD185" s="5">
        <f>INDEX(Projects[Value (USD M)],184)</f>
        <v/>
      </c>
      <c r="CE185" s="5">
        <f>INDEX(Projects[MH Data Status],184)&amp;""</f>
        <v/>
      </c>
    </row>
    <row r="186" ht="15" customHeight="1" s="74">
      <c r="A186" s="66">
        <f>INDEX(Projects[Project ID *],185)&amp;""</f>
        <v/>
      </c>
      <c r="B186" s="66">
        <f>INDEX(Projects[Project Name *],185)&amp;""</f>
        <v/>
      </c>
      <c r="C186" s="66">
        <f>INDEX(Projects[MS Shuttles],185)</f>
        <v/>
      </c>
      <c r="D186" s="66">
        <f>INDEX(Projects[MS Tote Locations],185)</f>
        <v/>
      </c>
      <c r="E186" s="66">
        <f>INDEX(Projects[AS Robots],185)</f>
        <v/>
      </c>
      <c r="F186" s="66">
        <f>INDEX(Projects[AS Tote Locations],185)</f>
        <v/>
      </c>
      <c r="G186" s="66">
        <f>INDEX(Projects[PS Shuttles],185)</f>
        <v/>
      </c>
      <c r="H186" s="66">
        <f>INDEX(Projects[PS Pallet Locations],185)</f>
        <v/>
      </c>
      <c r="I186" s="66">
        <f>INDEX(Projects[SRM Cranes],185)</f>
        <v/>
      </c>
      <c r="J186" s="66">
        <f>INDEX(Projects[SRM Pallet Locations],185)</f>
        <v/>
      </c>
      <c r="K186" s="66">
        <f>INDEX(Projects[Case Conv (m)],185)</f>
        <v/>
      </c>
      <c r="L186" s="66">
        <f>INDEX(Projects[Pallet Conv (m)],185)</f>
        <v/>
      </c>
      <c r="M186" s="66">
        <f>INDEX(Projects[Mech Eng (wks)],185)</f>
        <v/>
      </c>
      <c r="N186" s="66">
        <f>INDEX(Projects[Controls Eng (wks)],185)</f>
        <v/>
      </c>
      <c r="O186" s="66">
        <f>INDEX(Projects[Systems Eng (wks)],185)</f>
        <v/>
      </c>
      <c r="P186" s="66">
        <f>INDEX(Projects[Software Eng (wks)],185)</f>
        <v/>
      </c>
      <c r="Q186" s="66">
        <f>INDEX(Projects[M&amp;E Installation (wks)],185)</f>
        <v/>
      </c>
      <c r="R186" s="66">
        <f>INDEX(Projects[Commissioning (wks)],185)</f>
        <v/>
      </c>
      <c r="S186" s="66">
        <f>INDEX(Projects[Total Timeline (wks)],185)</f>
        <v/>
      </c>
      <c r="T186" s="66">
        <f>INDEX(Projects[Currency],185)&amp;""</f>
        <v/>
      </c>
      <c r="U186" s="67">
        <f>INDEX(Projects[Value (M)],185)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INDEX(Projects[Automation Equipment],185)&amp;""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IF(AND(A186&lt;&gt;"",OR('Smart Search'!$L$5="",'Smart Search'!$L$5="All",TRIM(BZ186)=TRIM('Smart Search'!$L$5)),OR(TRIM('Smart Search'!$L$6)="",TRIM('Smart Search'!$L$6)="All",ISNUMBER(SEARCH(SUBSTITUTE(SUBSTITUTE(SUBSTITUTE(TRIM('Smart Search'!$L$6),"~","~~"),"*","~*"),"?","~?"),CA186))),OR('Smart Search'!$L$7="",AND(CB186&lt;&gt;0,CB186='Smart Search'!$L$7)),OR('Smart Search'!$L$8="",'Smart Search'!$L$8="All",TRIM(CC186)=TRIM('Smart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IF(A186="","",N(INDEX(Projects[Mech Inst],185)))</f>
        <v/>
      </c>
      <c r="BK186" s="5">
        <f>IF(A186="","",N(INDEX(Projects[Elec Inst],185)))</f>
        <v/>
      </c>
      <c r="BL186" s="5">
        <f>IF(A186="","",N(INDEX(Projects[Project Management],185)))</f>
        <v/>
      </c>
      <c r="BM186" s="5">
        <f>IF(A186="","",N(INDEX(Projects[Systems Eng],185)))</f>
        <v/>
      </c>
      <c r="BN186" s="5">
        <f>IF(A186="","",N(INDEX(Projects[Mechanical Eng],185)))</f>
        <v/>
      </c>
      <c r="BO186" s="5">
        <f>IF(A186="","",N(INDEX(Projects[Structural Engineering],185)))</f>
        <v/>
      </c>
      <c r="BP186" s="5">
        <f>IF(A186="","",N(INDEX(Projects[Site Sup],185)))</f>
        <v/>
      </c>
      <c r="BQ186" s="5">
        <f>IF(A186="","",N(INDEX(Projects[Controls Commissioning],185)))</f>
        <v/>
      </c>
      <c r="BR186" s="5">
        <f>IF(A186="","",N(INDEX(Projects[Systems Commissioning],185)))</f>
        <v/>
      </c>
      <c r="BS186" s="5">
        <f>IF(A186="","",N(INDEX(Projects[Service Commissioning],185)))</f>
        <v/>
      </c>
      <c r="BT186" s="5">
        <f>IF(A186="","",N(INDEX(Projects[Controls Eng],185)))</f>
        <v/>
      </c>
      <c r="BU186" s="5">
        <f>IF(A186="","",N(INDEX(Projects[Controls Purchase],185)))</f>
        <v/>
      </c>
      <c r="BV186" s="5">
        <f>IF(A186="","",N(INDEX(Projects[Software Eng],185)))</f>
        <v/>
      </c>
      <c r="BW186" s="5">
        <f>IF(A186="","",N(INDEX(Projects[Misc],185)))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  <c r="BZ186" s="5">
        <f>INDEX(Projects[Solution Type],185)&amp;""</f>
        <v/>
      </c>
      <c r="CA186" s="5">
        <f>INDEX(Projects[Client / Region],185)&amp;""</f>
        <v/>
      </c>
      <c r="CB186" s="5">
        <f>INDEX(Projects[Year],185)</f>
        <v/>
      </c>
      <c r="CC186" s="5">
        <f>INDEX(Projects[Won?],185)&amp;""</f>
        <v/>
      </c>
      <c r="CD186" s="5">
        <f>INDEX(Projects[Value (USD M)],185)</f>
        <v/>
      </c>
      <c r="CE186" s="5">
        <f>INDEX(Projects[MH Data Status],185)&amp;""</f>
        <v/>
      </c>
    </row>
    <row r="187" ht="15" customHeight="1" s="74">
      <c r="A187" s="66">
        <f>INDEX(Projects[Project ID *],186)&amp;""</f>
        <v/>
      </c>
      <c r="B187" s="66">
        <f>INDEX(Projects[Project Name *],186)&amp;""</f>
        <v/>
      </c>
      <c r="C187" s="66">
        <f>INDEX(Projects[MS Shuttles],186)</f>
        <v/>
      </c>
      <c r="D187" s="66">
        <f>INDEX(Projects[MS Tote Locations],186)</f>
        <v/>
      </c>
      <c r="E187" s="66">
        <f>INDEX(Projects[AS Robots],186)</f>
        <v/>
      </c>
      <c r="F187" s="66">
        <f>INDEX(Projects[AS Tote Locations],186)</f>
        <v/>
      </c>
      <c r="G187" s="66">
        <f>INDEX(Projects[PS Shuttles],186)</f>
        <v/>
      </c>
      <c r="H187" s="66">
        <f>INDEX(Projects[PS Pallet Locations],186)</f>
        <v/>
      </c>
      <c r="I187" s="66">
        <f>INDEX(Projects[SRM Cranes],186)</f>
        <v/>
      </c>
      <c r="J187" s="66">
        <f>INDEX(Projects[SRM Pallet Locations],186)</f>
        <v/>
      </c>
      <c r="K187" s="66">
        <f>INDEX(Projects[Case Conv (m)],186)</f>
        <v/>
      </c>
      <c r="L187" s="66">
        <f>INDEX(Projects[Pallet Conv (m)],186)</f>
        <v/>
      </c>
      <c r="M187" s="66">
        <f>INDEX(Projects[Mech Eng (wks)],186)</f>
        <v/>
      </c>
      <c r="N187" s="66">
        <f>INDEX(Projects[Controls Eng (wks)],186)</f>
        <v/>
      </c>
      <c r="O187" s="66">
        <f>INDEX(Projects[Systems Eng (wks)],186)</f>
        <v/>
      </c>
      <c r="P187" s="66">
        <f>INDEX(Projects[Software Eng (wks)],186)</f>
        <v/>
      </c>
      <c r="Q187" s="66">
        <f>INDEX(Projects[M&amp;E Installation (wks)],186)</f>
        <v/>
      </c>
      <c r="R187" s="66">
        <f>INDEX(Projects[Commissioning (wks)],186)</f>
        <v/>
      </c>
      <c r="S187" s="66">
        <f>INDEX(Projects[Total Timeline (wks)],186)</f>
        <v/>
      </c>
      <c r="T187" s="66">
        <f>INDEX(Projects[Currency],186)&amp;""</f>
        <v/>
      </c>
      <c r="U187" s="67">
        <f>INDEX(Projects[Value (M)],186)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INDEX(Projects[Automation Equipment],186)&amp;""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IF(AND(A187&lt;&gt;"",OR('Smart Search'!$L$5="",'Smart Search'!$L$5="All",TRIM(BZ187)=TRIM('Smart Search'!$L$5)),OR(TRIM('Smart Search'!$L$6)="",TRIM('Smart Search'!$L$6)="All",ISNUMBER(SEARCH(SUBSTITUTE(SUBSTITUTE(SUBSTITUTE(TRIM('Smart Search'!$L$6),"~","~~"),"*","~*"),"?","~?"),CA187))),OR('Smart Search'!$L$7="",AND(CB187&lt;&gt;0,CB187='Smart Search'!$L$7)),OR('Smart Search'!$L$8="",'Smart Search'!$L$8="All",TRIM(CC187)=TRIM('Smart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IF(A187="","",N(INDEX(Projects[Mech Inst],186)))</f>
        <v/>
      </c>
      <c r="BK187" s="5">
        <f>IF(A187="","",N(INDEX(Projects[Elec Inst],186)))</f>
        <v/>
      </c>
      <c r="BL187" s="5">
        <f>IF(A187="","",N(INDEX(Projects[Project Management],186)))</f>
        <v/>
      </c>
      <c r="BM187" s="5">
        <f>IF(A187="","",N(INDEX(Projects[Systems Eng],186)))</f>
        <v/>
      </c>
      <c r="BN187" s="5">
        <f>IF(A187="","",N(INDEX(Projects[Mechanical Eng],186)))</f>
        <v/>
      </c>
      <c r="BO187" s="5">
        <f>IF(A187="","",N(INDEX(Projects[Structural Engineering],186)))</f>
        <v/>
      </c>
      <c r="BP187" s="5">
        <f>IF(A187="","",N(INDEX(Projects[Site Sup],186)))</f>
        <v/>
      </c>
      <c r="BQ187" s="5">
        <f>IF(A187="","",N(INDEX(Projects[Controls Commissioning],186)))</f>
        <v/>
      </c>
      <c r="BR187" s="5">
        <f>IF(A187="","",N(INDEX(Projects[Systems Commissioning],186)))</f>
        <v/>
      </c>
      <c r="BS187" s="5">
        <f>IF(A187="","",N(INDEX(Projects[Service Commissioning],186)))</f>
        <v/>
      </c>
      <c r="BT187" s="5">
        <f>IF(A187="","",N(INDEX(Projects[Controls Eng],186)))</f>
        <v/>
      </c>
      <c r="BU187" s="5">
        <f>IF(A187="","",N(INDEX(Projects[Controls Purchase],186)))</f>
        <v/>
      </c>
      <c r="BV187" s="5">
        <f>IF(A187="","",N(INDEX(Projects[Software Eng],186)))</f>
        <v/>
      </c>
      <c r="BW187" s="5">
        <f>IF(A187="","",N(INDEX(Projects[Misc],186)))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  <c r="BZ187" s="5">
        <f>INDEX(Projects[Solution Type],186)&amp;""</f>
        <v/>
      </c>
      <c r="CA187" s="5">
        <f>INDEX(Projects[Client / Region],186)&amp;""</f>
        <v/>
      </c>
      <c r="CB187" s="5">
        <f>INDEX(Projects[Year],186)</f>
        <v/>
      </c>
      <c r="CC187" s="5">
        <f>INDEX(Projects[Won?],186)&amp;""</f>
        <v/>
      </c>
      <c r="CD187" s="5">
        <f>INDEX(Projects[Value (USD M)],186)</f>
        <v/>
      </c>
      <c r="CE187" s="5">
        <f>INDEX(Projects[MH Data Status],186)&amp;""</f>
        <v/>
      </c>
    </row>
    <row r="188" ht="15" customHeight="1" s="74">
      <c r="A188" s="66">
        <f>INDEX(Projects[Project ID *],187)&amp;""</f>
        <v/>
      </c>
      <c r="B188" s="66">
        <f>INDEX(Projects[Project Name *],187)&amp;""</f>
        <v/>
      </c>
      <c r="C188" s="66">
        <f>INDEX(Projects[MS Shuttles],187)</f>
        <v/>
      </c>
      <c r="D188" s="66">
        <f>INDEX(Projects[MS Tote Locations],187)</f>
        <v/>
      </c>
      <c r="E188" s="66">
        <f>INDEX(Projects[AS Robots],187)</f>
        <v/>
      </c>
      <c r="F188" s="66">
        <f>INDEX(Projects[AS Tote Locations],187)</f>
        <v/>
      </c>
      <c r="G188" s="66">
        <f>INDEX(Projects[PS Shuttles],187)</f>
        <v/>
      </c>
      <c r="H188" s="66">
        <f>INDEX(Projects[PS Pallet Locations],187)</f>
        <v/>
      </c>
      <c r="I188" s="66">
        <f>INDEX(Projects[SRM Cranes],187)</f>
        <v/>
      </c>
      <c r="J188" s="66">
        <f>INDEX(Projects[SRM Pallet Locations],187)</f>
        <v/>
      </c>
      <c r="K188" s="66">
        <f>INDEX(Projects[Case Conv (m)],187)</f>
        <v/>
      </c>
      <c r="L188" s="66">
        <f>INDEX(Projects[Pallet Conv (m)],187)</f>
        <v/>
      </c>
      <c r="M188" s="66">
        <f>INDEX(Projects[Mech Eng (wks)],187)</f>
        <v/>
      </c>
      <c r="N188" s="66">
        <f>INDEX(Projects[Controls Eng (wks)],187)</f>
        <v/>
      </c>
      <c r="O188" s="66">
        <f>INDEX(Projects[Systems Eng (wks)],187)</f>
        <v/>
      </c>
      <c r="P188" s="66">
        <f>INDEX(Projects[Software Eng (wks)],187)</f>
        <v/>
      </c>
      <c r="Q188" s="66">
        <f>INDEX(Projects[M&amp;E Installation (wks)],187)</f>
        <v/>
      </c>
      <c r="R188" s="66">
        <f>INDEX(Projects[Commissioning (wks)],187)</f>
        <v/>
      </c>
      <c r="S188" s="66">
        <f>INDEX(Projects[Total Timeline (wks)],187)</f>
        <v/>
      </c>
      <c r="T188" s="66">
        <f>INDEX(Projects[Currency],187)&amp;""</f>
        <v/>
      </c>
      <c r="U188" s="67">
        <f>INDEX(Projects[Value (M)],187)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INDEX(Projects[Automation Equipment],187)&amp;""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IF(AND(A188&lt;&gt;"",OR('Smart Search'!$L$5="",'Smart Search'!$L$5="All",TRIM(BZ188)=TRIM('Smart Search'!$L$5)),OR(TRIM('Smart Search'!$L$6)="",TRIM('Smart Search'!$L$6)="All",ISNUMBER(SEARCH(SUBSTITUTE(SUBSTITUTE(SUBSTITUTE(TRIM('Smart Search'!$L$6),"~","~~"),"*","~*"),"?","~?"),CA188))),OR('Smart Search'!$L$7="",AND(CB188&lt;&gt;0,CB188='Smart Search'!$L$7)),OR('Smart Search'!$L$8="",'Smart Search'!$L$8="All",TRIM(CC188)=TRIM('Smart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IF(A188="","",N(INDEX(Projects[Mech Inst],187)))</f>
        <v/>
      </c>
      <c r="BK188" s="5">
        <f>IF(A188="","",N(INDEX(Projects[Elec Inst],187)))</f>
        <v/>
      </c>
      <c r="BL188" s="5">
        <f>IF(A188="","",N(INDEX(Projects[Project Management],187)))</f>
        <v/>
      </c>
      <c r="BM188" s="5">
        <f>IF(A188="","",N(INDEX(Projects[Systems Eng],187)))</f>
        <v/>
      </c>
      <c r="BN188" s="5">
        <f>IF(A188="","",N(INDEX(Projects[Mechanical Eng],187)))</f>
        <v/>
      </c>
      <c r="BO188" s="5">
        <f>IF(A188="","",N(INDEX(Projects[Structural Engineering],187)))</f>
        <v/>
      </c>
      <c r="BP188" s="5">
        <f>IF(A188="","",N(INDEX(Projects[Site Sup],187)))</f>
        <v/>
      </c>
      <c r="BQ188" s="5">
        <f>IF(A188="","",N(INDEX(Projects[Controls Commissioning],187)))</f>
        <v/>
      </c>
      <c r="BR188" s="5">
        <f>IF(A188="","",N(INDEX(Projects[Systems Commissioning],187)))</f>
        <v/>
      </c>
      <c r="BS188" s="5">
        <f>IF(A188="","",N(INDEX(Projects[Service Commissioning],187)))</f>
        <v/>
      </c>
      <c r="BT188" s="5">
        <f>IF(A188="","",N(INDEX(Projects[Controls Eng],187)))</f>
        <v/>
      </c>
      <c r="BU188" s="5">
        <f>IF(A188="","",N(INDEX(Projects[Controls Purchase],187)))</f>
        <v/>
      </c>
      <c r="BV188" s="5">
        <f>IF(A188="","",N(INDEX(Projects[Software Eng],187)))</f>
        <v/>
      </c>
      <c r="BW188" s="5">
        <f>IF(A188="","",N(INDEX(Projects[Misc],187)))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  <c r="BZ188" s="5">
        <f>INDEX(Projects[Solution Type],187)&amp;""</f>
        <v/>
      </c>
      <c r="CA188" s="5">
        <f>INDEX(Projects[Client / Region],187)&amp;""</f>
        <v/>
      </c>
      <c r="CB188" s="5">
        <f>INDEX(Projects[Year],187)</f>
        <v/>
      </c>
      <c r="CC188" s="5">
        <f>INDEX(Projects[Won?],187)&amp;""</f>
        <v/>
      </c>
      <c r="CD188" s="5">
        <f>INDEX(Projects[Value (USD M)],187)</f>
        <v/>
      </c>
      <c r="CE188" s="5">
        <f>INDEX(Projects[MH Data Status],187)&amp;""</f>
        <v/>
      </c>
    </row>
    <row r="189" ht="15" customHeight="1" s="74">
      <c r="A189" s="66">
        <f>INDEX(Projects[Project ID *],188)&amp;""</f>
        <v/>
      </c>
      <c r="B189" s="66">
        <f>INDEX(Projects[Project Name *],188)&amp;""</f>
        <v/>
      </c>
      <c r="C189" s="66">
        <f>INDEX(Projects[MS Shuttles],188)</f>
        <v/>
      </c>
      <c r="D189" s="66">
        <f>INDEX(Projects[MS Tote Locations],188)</f>
        <v/>
      </c>
      <c r="E189" s="66">
        <f>INDEX(Projects[AS Robots],188)</f>
        <v/>
      </c>
      <c r="F189" s="66">
        <f>INDEX(Projects[AS Tote Locations],188)</f>
        <v/>
      </c>
      <c r="G189" s="66">
        <f>INDEX(Projects[PS Shuttles],188)</f>
        <v/>
      </c>
      <c r="H189" s="66">
        <f>INDEX(Projects[PS Pallet Locations],188)</f>
        <v/>
      </c>
      <c r="I189" s="66">
        <f>INDEX(Projects[SRM Cranes],188)</f>
        <v/>
      </c>
      <c r="J189" s="66">
        <f>INDEX(Projects[SRM Pallet Locations],188)</f>
        <v/>
      </c>
      <c r="K189" s="66">
        <f>INDEX(Projects[Case Conv (m)],188)</f>
        <v/>
      </c>
      <c r="L189" s="66">
        <f>INDEX(Projects[Pallet Conv (m)],188)</f>
        <v/>
      </c>
      <c r="M189" s="66">
        <f>INDEX(Projects[Mech Eng (wks)],188)</f>
        <v/>
      </c>
      <c r="N189" s="66">
        <f>INDEX(Projects[Controls Eng (wks)],188)</f>
        <v/>
      </c>
      <c r="O189" s="66">
        <f>INDEX(Projects[Systems Eng (wks)],188)</f>
        <v/>
      </c>
      <c r="P189" s="66">
        <f>INDEX(Projects[Software Eng (wks)],188)</f>
        <v/>
      </c>
      <c r="Q189" s="66">
        <f>INDEX(Projects[M&amp;E Installation (wks)],188)</f>
        <v/>
      </c>
      <c r="R189" s="66">
        <f>INDEX(Projects[Commissioning (wks)],188)</f>
        <v/>
      </c>
      <c r="S189" s="66">
        <f>INDEX(Projects[Total Timeline (wks)],188)</f>
        <v/>
      </c>
      <c r="T189" s="66">
        <f>INDEX(Projects[Currency],188)&amp;""</f>
        <v/>
      </c>
      <c r="U189" s="67">
        <f>INDEX(Projects[Value (M)],188)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INDEX(Projects[Automation Equipment],188)&amp;""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IF(AND(A189&lt;&gt;"",OR('Smart Search'!$L$5="",'Smart Search'!$L$5="All",TRIM(BZ189)=TRIM('Smart Search'!$L$5)),OR(TRIM('Smart Search'!$L$6)="",TRIM('Smart Search'!$L$6)="All",ISNUMBER(SEARCH(SUBSTITUTE(SUBSTITUTE(SUBSTITUTE(TRIM('Smart Search'!$L$6),"~","~~"),"*","~*"),"?","~?"),CA189))),OR('Smart Search'!$L$7="",AND(CB189&lt;&gt;0,CB189='Smart Search'!$L$7)),OR('Smart Search'!$L$8="",'Smart Search'!$L$8="All",TRIM(CC189)=TRIM('Smart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IF(A189="","",N(INDEX(Projects[Mech Inst],188)))</f>
        <v/>
      </c>
      <c r="BK189" s="5">
        <f>IF(A189="","",N(INDEX(Projects[Elec Inst],188)))</f>
        <v/>
      </c>
      <c r="BL189" s="5">
        <f>IF(A189="","",N(INDEX(Projects[Project Management],188)))</f>
        <v/>
      </c>
      <c r="BM189" s="5">
        <f>IF(A189="","",N(INDEX(Projects[Systems Eng],188)))</f>
        <v/>
      </c>
      <c r="BN189" s="5">
        <f>IF(A189="","",N(INDEX(Projects[Mechanical Eng],188)))</f>
        <v/>
      </c>
      <c r="BO189" s="5">
        <f>IF(A189="","",N(INDEX(Projects[Structural Engineering],188)))</f>
        <v/>
      </c>
      <c r="BP189" s="5">
        <f>IF(A189="","",N(INDEX(Projects[Site Sup],188)))</f>
        <v/>
      </c>
      <c r="BQ189" s="5">
        <f>IF(A189="","",N(INDEX(Projects[Controls Commissioning],188)))</f>
        <v/>
      </c>
      <c r="BR189" s="5">
        <f>IF(A189="","",N(INDEX(Projects[Systems Commissioning],188)))</f>
        <v/>
      </c>
      <c r="BS189" s="5">
        <f>IF(A189="","",N(INDEX(Projects[Service Commissioning],188)))</f>
        <v/>
      </c>
      <c r="BT189" s="5">
        <f>IF(A189="","",N(INDEX(Projects[Controls Eng],188)))</f>
        <v/>
      </c>
      <c r="BU189" s="5">
        <f>IF(A189="","",N(INDEX(Projects[Controls Purchase],188)))</f>
        <v/>
      </c>
      <c r="BV189" s="5">
        <f>IF(A189="","",N(INDEX(Projects[Software Eng],188)))</f>
        <v/>
      </c>
      <c r="BW189" s="5">
        <f>IF(A189="","",N(INDEX(Projects[Misc],188)))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  <c r="BZ189" s="5">
        <f>INDEX(Projects[Solution Type],188)&amp;""</f>
        <v/>
      </c>
      <c r="CA189" s="5">
        <f>INDEX(Projects[Client / Region],188)&amp;""</f>
        <v/>
      </c>
      <c r="CB189" s="5">
        <f>INDEX(Projects[Year],188)</f>
        <v/>
      </c>
      <c r="CC189" s="5">
        <f>INDEX(Projects[Won?],188)&amp;""</f>
        <v/>
      </c>
      <c r="CD189" s="5">
        <f>INDEX(Projects[Value (USD M)],188)</f>
        <v/>
      </c>
      <c r="CE189" s="5">
        <f>INDEX(Projects[MH Data Status],188)&amp;""</f>
        <v/>
      </c>
    </row>
    <row r="190" ht="15" customHeight="1" s="74">
      <c r="A190" s="66">
        <f>INDEX(Projects[Project ID *],189)&amp;""</f>
        <v/>
      </c>
      <c r="B190" s="66">
        <f>INDEX(Projects[Project Name *],189)&amp;""</f>
        <v/>
      </c>
      <c r="C190" s="66">
        <f>INDEX(Projects[MS Shuttles],189)</f>
        <v/>
      </c>
      <c r="D190" s="66">
        <f>INDEX(Projects[MS Tote Locations],189)</f>
        <v/>
      </c>
      <c r="E190" s="66">
        <f>INDEX(Projects[AS Robots],189)</f>
        <v/>
      </c>
      <c r="F190" s="66">
        <f>INDEX(Projects[AS Tote Locations],189)</f>
        <v/>
      </c>
      <c r="G190" s="66">
        <f>INDEX(Projects[PS Shuttles],189)</f>
        <v/>
      </c>
      <c r="H190" s="66">
        <f>INDEX(Projects[PS Pallet Locations],189)</f>
        <v/>
      </c>
      <c r="I190" s="66">
        <f>INDEX(Projects[SRM Cranes],189)</f>
        <v/>
      </c>
      <c r="J190" s="66">
        <f>INDEX(Projects[SRM Pallet Locations],189)</f>
        <v/>
      </c>
      <c r="K190" s="66">
        <f>INDEX(Projects[Case Conv (m)],189)</f>
        <v/>
      </c>
      <c r="L190" s="66">
        <f>INDEX(Projects[Pallet Conv (m)],189)</f>
        <v/>
      </c>
      <c r="M190" s="66">
        <f>INDEX(Projects[Mech Eng (wks)],189)</f>
        <v/>
      </c>
      <c r="N190" s="66">
        <f>INDEX(Projects[Controls Eng (wks)],189)</f>
        <v/>
      </c>
      <c r="O190" s="66">
        <f>INDEX(Projects[Systems Eng (wks)],189)</f>
        <v/>
      </c>
      <c r="P190" s="66">
        <f>INDEX(Projects[Software Eng (wks)],189)</f>
        <v/>
      </c>
      <c r="Q190" s="66">
        <f>INDEX(Projects[M&amp;E Installation (wks)],189)</f>
        <v/>
      </c>
      <c r="R190" s="66">
        <f>INDEX(Projects[Commissioning (wks)],189)</f>
        <v/>
      </c>
      <c r="S190" s="66">
        <f>INDEX(Projects[Total Timeline (wks)],189)</f>
        <v/>
      </c>
      <c r="T190" s="66">
        <f>INDEX(Projects[Currency],189)&amp;""</f>
        <v/>
      </c>
      <c r="U190" s="67">
        <f>INDEX(Projects[Value (M)],189)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INDEX(Projects[Automation Equipment],189)&amp;""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IF(AND(A190&lt;&gt;"",OR('Smart Search'!$L$5="",'Smart Search'!$L$5="All",TRIM(BZ190)=TRIM('Smart Search'!$L$5)),OR(TRIM('Smart Search'!$L$6)="",TRIM('Smart Search'!$L$6)="All",ISNUMBER(SEARCH(SUBSTITUTE(SUBSTITUTE(SUBSTITUTE(TRIM('Smart Search'!$L$6),"~","~~"),"*","~*"),"?","~?"),CA190))),OR('Smart Search'!$L$7="",AND(CB190&lt;&gt;0,CB190='Smart Search'!$L$7)),OR('Smart Search'!$L$8="",'Smart Search'!$L$8="All",TRIM(CC190)=TRIM('Smart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IF(A190="","",N(INDEX(Projects[Mech Inst],189)))</f>
        <v/>
      </c>
      <c r="BK190" s="5">
        <f>IF(A190="","",N(INDEX(Projects[Elec Inst],189)))</f>
        <v/>
      </c>
      <c r="BL190" s="5">
        <f>IF(A190="","",N(INDEX(Projects[Project Management],189)))</f>
        <v/>
      </c>
      <c r="BM190" s="5">
        <f>IF(A190="","",N(INDEX(Projects[Systems Eng],189)))</f>
        <v/>
      </c>
      <c r="BN190" s="5">
        <f>IF(A190="","",N(INDEX(Projects[Mechanical Eng],189)))</f>
        <v/>
      </c>
      <c r="BO190" s="5">
        <f>IF(A190="","",N(INDEX(Projects[Structural Engineering],189)))</f>
        <v/>
      </c>
      <c r="BP190" s="5">
        <f>IF(A190="","",N(INDEX(Projects[Site Sup],189)))</f>
        <v/>
      </c>
      <c r="BQ190" s="5">
        <f>IF(A190="","",N(INDEX(Projects[Controls Commissioning],189)))</f>
        <v/>
      </c>
      <c r="BR190" s="5">
        <f>IF(A190="","",N(INDEX(Projects[Systems Commissioning],189)))</f>
        <v/>
      </c>
      <c r="BS190" s="5">
        <f>IF(A190="","",N(INDEX(Projects[Service Commissioning],189)))</f>
        <v/>
      </c>
      <c r="BT190" s="5">
        <f>IF(A190="","",N(INDEX(Projects[Controls Eng],189)))</f>
        <v/>
      </c>
      <c r="BU190" s="5">
        <f>IF(A190="","",N(INDEX(Projects[Controls Purchase],189)))</f>
        <v/>
      </c>
      <c r="BV190" s="5">
        <f>IF(A190="","",N(INDEX(Projects[Software Eng],189)))</f>
        <v/>
      </c>
      <c r="BW190" s="5">
        <f>IF(A190="","",N(INDEX(Projects[Misc],189)))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  <c r="BZ190" s="5">
        <f>INDEX(Projects[Solution Type],189)&amp;""</f>
        <v/>
      </c>
      <c r="CA190" s="5">
        <f>INDEX(Projects[Client / Region],189)&amp;""</f>
        <v/>
      </c>
      <c r="CB190" s="5">
        <f>INDEX(Projects[Year],189)</f>
        <v/>
      </c>
      <c r="CC190" s="5">
        <f>INDEX(Projects[Won?],189)&amp;""</f>
        <v/>
      </c>
      <c r="CD190" s="5">
        <f>INDEX(Projects[Value (USD M)],189)</f>
        <v/>
      </c>
      <c r="CE190" s="5">
        <f>INDEX(Projects[MH Data Status],189)&amp;""</f>
        <v/>
      </c>
    </row>
    <row r="191" ht="15" customHeight="1" s="74">
      <c r="A191" s="66">
        <f>INDEX(Projects[Project ID *],190)&amp;""</f>
        <v/>
      </c>
      <c r="B191" s="66">
        <f>INDEX(Projects[Project Name *],190)&amp;""</f>
        <v/>
      </c>
      <c r="C191" s="66">
        <f>INDEX(Projects[MS Shuttles],190)</f>
        <v/>
      </c>
      <c r="D191" s="66">
        <f>INDEX(Projects[MS Tote Locations],190)</f>
        <v/>
      </c>
      <c r="E191" s="66">
        <f>INDEX(Projects[AS Robots],190)</f>
        <v/>
      </c>
      <c r="F191" s="66">
        <f>INDEX(Projects[AS Tote Locations],190)</f>
        <v/>
      </c>
      <c r="G191" s="66">
        <f>INDEX(Projects[PS Shuttles],190)</f>
        <v/>
      </c>
      <c r="H191" s="66">
        <f>INDEX(Projects[PS Pallet Locations],190)</f>
        <v/>
      </c>
      <c r="I191" s="66">
        <f>INDEX(Projects[SRM Cranes],190)</f>
        <v/>
      </c>
      <c r="J191" s="66">
        <f>INDEX(Projects[SRM Pallet Locations],190)</f>
        <v/>
      </c>
      <c r="K191" s="66">
        <f>INDEX(Projects[Case Conv (m)],190)</f>
        <v/>
      </c>
      <c r="L191" s="66">
        <f>INDEX(Projects[Pallet Conv (m)],190)</f>
        <v/>
      </c>
      <c r="M191" s="66">
        <f>INDEX(Projects[Mech Eng (wks)],190)</f>
        <v/>
      </c>
      <c r="N191" s="66">
        <f>INDEX(Projects[Controls Eng (wks)],190)</f>
        <v/>
      </c>
      <c r="O191" s="66">
        <f>INDEX(Projects[Systems Eng (wks)],190)</f>
        <v/>
      </c>
      <c r="P191" s="66">
        <f>INDEX(Projects[Software Eng (wks)],190)</f>
        <v/>
      </c>
      <c r="Q191" s="66">
        <f>INDEX(Projects[M&amp;E Installation (wks)],190)</f>
        <v/>
      </c>
      <c r="R191" s="66">
        <f>INDEX(Projects[Commissioning (wks)],190)</f>
        <v/>
      </c>
      <c r="S191" s="66">
        <f>INDEX(Projects[Total Timeline (wks)],190)</f>
        <v/>
      </c>
      <c r="T191" s="66">
        <f>INDEX(Projects[Currency],190)&amp;""</f>
        <v/>
      </c>
      <c r="U191" s="67">
        <f>INDEX(Projects[Value (M)],190)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INDEX(Projects[Automation Equipment],190)&amp;""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IF(AND(A191&lt;&gt;"",OR('Smart Search'!$L$5="",'Smart Search'!$L$5="All",TRIM(BZ191)=TRIM('Smart Search'!$L$5)),OR(TRIM('Smart Search'!$L$6)="",TRIM('Smart Search'!$L$6)="All",ISNUMBER(SEARCH(SUBSTITUTE(SUBSTITUTE(SUBSTITUTE(TRIM('Smart Search'!$L$6),"~","~~"),"*","~*"),"?","~?"),CA191))),OR('Smart Search'!$L$7="",AND(CB191&lt;&gt;0,CB191='Smart Search'!$L$7)),OR('Smart Search'!$L$8="",'Smart Search'!$L$8="All",TRIM(CC191)=TRIM('Smart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IF(A191="","",N(INDEX(Projects[Mech Inst],190)))</f>
        <v/>
      </c>
      <c r="BK191" s="5">
        <f>IF(A191="","",N(INDEX(Projects[Elec Inst],190)))</f>
        <v/>
      </c>
      <c r="BL191" s="5">
        <f>IF(A191="","",N(INDEX(Projects[Project Management],190)))</f>
        <v/>
      </c>
      <c r="BM191" s="5">
        <f>IF(A191="","",N(INDEX(Projects[Systems Eng],190)))</f>
        <v/>
      </c>
      <c r="BN191" s="5">
        <f>IF(A191="","",N(INDEX(Projects[Mechanical Eng],190)))</f>
        <v/>
      </c>
      <c r="BO191" s="5">
        <f>IF(A191="","",N(INDEX(Projects[Structural Engineering],190)))</f>
        <v/>
      </c>
      <c r="BP191" s="5">
        <f>IF(A191="","",N(INDEX(Projects[Site Sup],190)))</f>
        <v/>
      </c>
      <c r="BQ191" s="5">
        <f>IF(A191="","",N(INDEX(Projects[Controls Commissioning],190)))</f>
        <v/>
      </c>
      <c r="BR191" s="5">
        <f>IF(A191="","",N(INDEX(Projects[Systems Commissioning],190)))</f>
        <v/>
      </c>
      <c r="BS191" s="5">
        <f>IF(A191="","",N(INDEX(Projects[Service Commissioning],190)))</f>
        <v/>
      </c>
      <c r="BT191" s="5">
        <f>IF(A191="","",N(INDEX(Projects[Controls Eng],190)))</f>
        <v/>
      </c>
      <c r="BU191" s="5">
        <f>IF(A191="","",N(INDEX(Projects[Controls Purchase],190)))</f>
        <v/>
      </c>
      <c r="BV191" s="5">
        <f>IF(A191="","",N(INDEX(Projects[Software Eng],190)))</f>
        <v/>
      </c>
      <c r="BW191" s="5">
        <f>IF(A191="","",N(INDEX(Projects[Misc],190)))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  <c r="BZ191" s="5">
        <f>INDEX(Projects[Solution Type],190)&amp;""</f>
        <v/>
      </c>
      <c r="CA191" s="5">
        <f>INDEX(Projects[Client / Region],190)&amp;""</f>
        <v/>
      </c>
      <c r="CB191" s="5">
        <f>INDEX(Projects[Year],190)</f>
        <v/>
      </c>
      <c r="CC191" s="5">
        <f>INDEX(Projects[Won?],190)&amp;""</f>
        <v/>
      </c>
      <c r="CD191" s="5">
        <f>INDEX(Projects[Value (USD M)],190)</f>
        <v/>
      </c>
      <c r="CE191" s="5">
        <f>INDEX(Projects[MH Data Status],190)&amp;""</f>
        <v/>
      </c>
    </row>
    <row r="192" ht="15" customHeight="1" s="74">
      <c r="A192" s="66">
        <f>INDEX(Projects[Project ID *],191)&amp;""</f>
        <v/>
      </c>
      <c r="B192" s="66">
        <f>INDEX(Projects[Project Name *],191)&amp;""</f>
        <v/>
      </c>
      <c r="C192" s="66">
        <f>INDEX(Projects[MS Shuttles],191)</f>
        <v/>
      </c>
      <c r="D192" s="66">
        <f>INDEX(Projects[MS Tote Locations],191)</f>
        <v/>
      </c>
      <c r="E192" s="66">
        <f>INDEX(Projects[AS Robots],191)</f>
        <v/>
      </c>
      <c r="F192" s="66">
        <f>INDEX(Projects[AS Tote Locations],191)</f>
        <v/>
      </c>
      <c r="G192" s="66">
        <f>INDEX(Projects[PS Shuttles],191)</f>
        <v/>
      </c>
      <c r="H192" s="66">
        <f>INDEX(Projects[PS Pallet Locations],191)</f>
        <v/>
      </c>
      <c r="I192" s="66">
        <f>INDEX(Projects[SRM Cranes],191)</f>
        <v/>
      </c>
      <c r="J192" s="66">
        <f>INDEX(Projects[SRM Pallet Locations],191)</f>
        <v/>
      </c>
      <c r="K192" s="66">
        <f>INDEX(Projects[Case Conv (m)],191)</f>
        <v/>
      </c>
      <c r="L192" s="66">
        <f>INDEX(Projects[Pallet Conv (m)],191)</f>
        <v/>
      </c>
      <c r="M192" s="66">
        <f>INDEX(Projects[Mech Eng (wks)],191)</f>
        <v/>
      </c>
      <c r="N192" s="66">
        <f>INDEX(Projects[Controls Eng (wks)],191)</f>
        <v/>
      </c>
      <c r="O192" s="66">
        <f>INDEX(Projects[Systems Eng (wks)],191)</f>
        <v/>
      </c>
      <c r="P192" s="66">
        <f>INDEX(Projects[Software Eng (wks)],191)</f>
        <v/>
      </c>
      <c r="Q192" s="66">
        <f>INDEX(Projects[M&amp;E Installation (wks)],191)</f>
        <v/>
      </c>
      <c r="R192" s="66">
        <f>INDEX(Projects[Commissioning (wks)],191)</f>
        <v/>
      </c>
      <c r="S192" s="66">
        <f>INDEX(Projects[Total Timeline (wks)],191)</f>
        <v/>
      </c>
      <c r="T192" s="66">
        <f>INDEX(Projects[Currency],191)&amp;""</f>
        <v/>
      </c>
      <c r="U192" s="67">
        <f>INDEX(Projects[Value (M)],191)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INDEX(Projects[Automation Equipment],191)&amp;""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IF(AND(A192&lt;&gt;"",OR('Smart Search'!$L$5="",'Smart Search'!$L$5="All",TRIM(BZ192)=TRIM('Smart Search'!$L$5)),OR(TRIM('Smart Search'!$L$6)="",TRIM('Smart Search'!$L$6)="All",ISNUMBER(SEARCH(SUBSTITUTE(SUBSTITUTE(SUBSTITUTE(TRIM('Smart Search'!$L$6),"~","~~"),"*","~*"),"?","~?"),CA192))),OR('Smart Search'!$L$7="",AND(CB192&lt;&gt;0,CB192='Smart Search'!$L$7)),OR('Smart Search'!$L$8="",'Smart Search'!$L$8="All",TRIM(CC192)=TRIM('Smart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IF(A192="","",N(INDEX(Projects[Mech Inst],191)))</f>
        <v/>
      </c>
      <c r="BK192" s="5">
        <f>IF(A192="","",N(INDEX(Projects[Elec Inst],191)))</f>
        <v/>
      </c>
      <c r="BL192" s="5">
        <f>IF(A192="","",N(INDEX(Projects[Project Management],191)))</f>
        <v/>
      </c>
      <c r="BM192" s="5">
        <f>IF(A192="","",N(INDEX(Projects[Systems Eng],191)))</f>
        <v/>
      </c>
      <c r="BN192" s="5">
        <f>IF(A192="","",N(INDEX(Projects[Mechanical Eng],191)))</f>
        <v/>
      </c>
      <c r="BO192" s="5">
        <f>IF(A192="","",N(INDEX(Projects[Structural Engineering],191)))</f>
        <v/>
      </c>
      <c r="BP192" s="5">
        <f>IF(A192="","",N(INDEX(Projects[Site Sup],191)))</f>
        <v/>
      </c>
      <c r="BQ192" s="5">
        <f>IF(A192="","",N(INDEX(Projects[Controls Commissioning],191)))</f>
        <v/>
      </c>
      <c r="BR192" s="5">
        <f>IF(A192="","",N(INDEX(Projects[Systems Commissioning],191)))</f>
        <v/>
      </c>
      <c r="BS192" s="5">
        <f>IF(A192="","",N(INDEX(Projects[Service Commissioning],191)))</f>
        <v/>
      </c>
      <c r="BT192" s="5">
        <f>IF(A192="","",N(INDEX(Projects[Controls Eng],191)))</f>
        <v/>
      </c>
      <c r="BU192" s="5">
        <f>IF(A192="","",N(INDEX(Projects[Controls Purchase],191)))</f>
        <v/>
      </c>
      <c r="BV192" s="5">
        <f>IF(A192="","",N(INDEX(Projects[Software Eng],191)))</f>
        <v/>
      </c>
      <c r="BW192" s="5">
        <f>IF(A192="","",N(INDEX(Projects[Misc],191)))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  <c r="BZ192" s="5">
        <f>INDEX(Projects[Solution Type],191)&amp;""</f>
        <v/>
      </c>
      <c r="CA192" s="5">
        <f>INDEX(Projects[Client / Region],191)&amp;""</f>
        <v/>
      </c>
      <c r="CB192" s="5">
        <f>INDEX(Projects[Year],191)</f>
        <v/>
      </c>
      <c r="CC192" s="5">
        <f>INDEX(Projects[Won?],191)&amp;""</f>
        <v/>
      </c>
      <c r="CD192" s="5">
        <f>INDEX(Projects[Value (USD M)],191)</f>
        <v/>
      </c>
      <c r="CE192" s="5">
        <f>INDEX(Projects[MH Data Status],191)&amp;""</f>
        <v/>
      </c>
    </row>
    <row r="193" ht="15" customHeight="1" s="74">
      <c r="A193" s="66">
        <f>INDEX(Projects[Project ID *],192)&amp;""</f>
        <v/>
      </c>
      <c r="B193" s="66">
        <f>INDEX(Projects[Project Name *],192)&amp;""</f>
        <v/>
      </c>
      <c r="C193" s="66">
        <f>INDEX(Projects[MS Shuttles],192)</f>
        <v/>
      </c>
      <c r="D193" s="66">
        <f>INDEX(Projects[MS Tote Locations],192)</f>
        <v/>
      </c>
      <c r="E193" s="66">
        <f>INDEX(Projects[AS Robots],192)</f>
        <v/>
      </c>
      <c r="F193" s="66">
        <f>INDEX(Projects[AS Tote Locations],192)</f>
        <v/>
      </c>
      <c r="G193" s="66">
        <f>INDEX(Projects[PS Shuttles],192)</f>
        <v/>
      </c>
      <c r="H193" s="66">
        <f>INDEX(Projects[PS Pallet Locations],192)</f>
        <v/>
      </c>
      <c r="I193" s="66">
        <f>INDEX(Projects[SRM Cranes],192)</f>
        <v/>
      </c>
      <c r="J193" s="66">
        <f>INDEX(Projects[SRM Pallet Locations],192)</f>
        <v/>
      </c>
      <c r="K193" s="66">
        <f>INDEX(Projects[Case Conv (m)],192)</f>
        <v/>
      </c>
      <c r="L193" s="66">
        <f>INDEX(Projects[Pallet Conv (m)],192)</f>
        <v/>
      </c>
      <c r="M193" s="66">
        <f>INDEX(Projects[Mech Eng (wks)],192)</f>
        <v/>
      </c>
      <c r="N193" s="66">
        <f>INDEX(Projects[Controls Eng (wks)],192)</f>
        <v/>
      </c>
      <c r="O193" s="66">
        <f>INDEX(Projects[Systems Eng (wks)],192)</f>
        <v/>
      </c>
      <c r="P193" s="66">
        <f>INDEX(Projects[Software Eng (wks)],192)</f>
        <v/>
      </c>
      <c r="Q193" s="66">
        <f>INDEX(Projects[M&amp;E Installation (wks)],192)</f>
        <v/>
      </c>
      <c r="R193" s="66">
        <f>INDEX(Projects[Commissioning (wks)],192)</f>
        <v/>
      </c>
      <c r="S193" s="66">
        <f>INDEX(Projects[Total Timeline (wks)],192)</f>
        <v/>
      </c>
      <c r="T193" s="66">
        <f>INDEX(Projects[Currency],192)&amp;""</f>
        <v/>
      </c>
      <c r="U193" s="67">
        <f>INDEX(Projects[Value (M)],192)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INDEX(Projects[Automation Equipment],192)&amp;""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IF(AND(A193&lt;&gt;"",OR('Smart Search'!$L$5="",'Smart Search'!$L$5="All",TRIM(BZ193)=TRIM('Smart Search'!$L$5)),OR(TRIM('Smart Search'!$L$6)="",TRIM('Smart Search'!$L$6)="All",ISNUMBER(SEARCH(SUBSTITUTE(SUBSTITUTE(SUBSTITUTE(TRIM('Smart Search'!$L$6),"~","~~"),"*","~*"),"?","~?"),CA193))),OR('Smart Search'!$L$7="",AND(CB193&lt;&gt;0,CB193='Smart Search'!$L$7)),OR('Smart Search'!$L$8="",'Smart Search'!$L$8="All",TRIM(CC193)=TRIM('Smart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IF(A193="","",N(INDEX(Projects[Mech Inst],192)))</f>
        <v/>
      </c>
      <c r="BK193" s="5">
        <f>IF(A193="","",N(INDEX(Projects[Elec Inst],192)))</f>
        <v/>
      </c>
      <c r="BL193" s="5">
        <f>IF(A193="","",N(INDEX(Projects[Project Management],192)))</f>
        <v/>
      </c>
      <c r="BM193" s="5">
        <f>IF(A193="","",N(INDEX(Projects[Systems Eng],192)))</f>
        <v/>
      </c>
      <c r="BN193" s="5">
        <f>IF(A193="","",N(INDEX(Projects[Mechanical Eng],192)))</f>
        <v/>
      </c>
      <c r="BO193" s="5">
        <f>IF(A193="","",N(INDEX(Projects[Structural Engineering],192)))</f>
        <v/>
      </c>
      <c r="BP193" s="5">
        <f>IF(A193="","",N(INDEX(Projects[Site Sup],192)))</f>
        <v/>
      </c>
      <c r="BQ193" s="5">
        <f>IF(A193="","",N(INDEX(Projects[Controls Commissioning],192)))</f>
        <v/>
      </c>
      <c r="BR193" s="5">
        <f>IF(A193="","",N(INDEX(Projects[Systems Commissioning],192)))</f>
        <v/>
      </c>
      <c r="BS193" s="5">
        <f>IF(A193="","",N(INDEX(Projects[Service Commissioning],192)))</f>
        <v/>
      </c>
      <c r="BT193" s="5">
        <f>IF(A193="","",N(INDEX(Projects[Controls Eng],192)))</f>
        <v/>
      </c>
      <c r="BU193" s="5">
        <f>IF(A193="","",N(INDEX(Projects[Controls Purchase],192)))</f>
        <v/>
      </c>
      <c r="BV193" s="5">
        <f>IF(A193="","",N(INDEX(Projects[Software Eng],192)))</f>
        <v/>
      </c>
      <c r="BW193" s="5">
        <f>IF(A193="","",N(INDEX(Projects[Misc],192)))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  <c r="BZ193" s="5">
        <f>INDEX(Projects[Solution Type],192)&amp;""</f>
        <v/>
      </c>
      <c r="CA193" s="5">
        <f>INDEX(Projects[Client / Region],192)&amp;""</f>
        <v/>
      </c>
      <c r="CB193" s="5">
        <f>INDEX(Projects[Year],192)</f>
        <v/>
      </c>
      <c r="CC193" s="5">
        <f>INDEX(Projects[Won?],192)&amp;""</f>
        <v/>
      </c>
      <c r="CD193" s="5">
        <f>INDEX(Projects[Value (USD M)],192)</f>
        <v/>
      </c>
      <c r="CE193" s="5">
        <f>INDEX(Projects[MH Data Status],192)&amp;""</f>
        <v/>
      </c>
    </row>
    <row r="194" ht="15" customHeight="1" s="74">
      <c r="A194" s="66">
        <f>INDEX(Projects[Project ID *],193)&amp;""</f>
        <v/>
      </c>
      <c r="B194" s="66">
        <f>INDEX(Projects[Project Name *],193)&amp;""</f>
        <v/>
      </c>
      <c r="C194" s="66">
        <f>INDEX(Projects[MS Shuttles],193)</f>
        <v/>
      </c>
      <c r="D194" s="66">
        <f>INDEX(Projects[MS Tote Locations],193)</f>
        <v/>
      </c>
      <c r="E194" s="66">
        <f>INDEX(Projects[AS Robots],193)</f>
        <v/>
      </c>
      <c r="F194" s="66">
        <f>INDEX(Projects[AS Tote Locations],193)</f>
        <v/>
      </c>
      <c r="G194" s="66">
        <f>INDEX(Projects[PS Shuttles],193)</f>
        <v/>
      </c>
      <c r="H194" s="66">
        <f>INDEX(Projects[PS Pallet Locations],193)</f>
        <v/>
      </c>
      <c r="I194" s="66">
        <f>INDEX(Projects[SRM Cranes],193)</f>
        <v/>
      </c>
      <c r="J194" s="66">
        <f>INDEX(Projects[SRM Pallet Locations],193)</f>
        <v/>
      </c>
      <c r="K194" s="66">
        <f>INDEX(Projects[Case Conv (m)],193)</f>
        <v/>
      </c>
      <c r="L194" s="66">
        <f>INDEX(Projects[Pallet Conv (m)],193)</f>
        <v/>
      </c>
      <c r="M194" s="66">
        <f>INDEX(Projects[Mech Eng (wks)],193)</f>
        <v/>
      </c>
      <c r="N194" s="66">
        <f>INDEX(Projects[Controls Eng (wks)],193)</f>
        <v/>
      </c>
      <c r="O194" s="66">
        <f>INDEX(Projects[Systems Eng (wks)],193)</f>
        <v/>
      </c>
      <c r="P194" s="66">
        <f>INDEX(Projects[Software Eng (wks)],193)</f>
        <v/>
      </c>
      <c r="Q194" s="66">
        <f>INDEX(Projects[M&amp;E Installation (wks)],193)</f>
        <v/>
      </c>
      <c r="R194" s="66">
        <f>INDEX(Projects[Commissioning (wks)],193)</f>
        <v/>
      </c>
      <c r="S194" s="66">
        <f>INDEX(Projects[Total Timeline (wks)],193)</f>
        <v/>
      </c>
      <c r="T194" s="66">
        <f>INDEX(Projects[Currency],193)&amp;""</f>
        <v/>
      </c>
      <c r="U194" s="67">
        <f>INDEX(Projects[Value (M)],193)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INDEX(Projects[Automation Equipment],193)&amp;""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IF(AND(A194&lt;&gt;"",OR('Smart Search'!$L$5="",'Smart Search'!$L$5="All",TRIM(BZ194)=TRIM('Smart Search'!$L$5)),OR(TRIM('Smart Search'!$L$6)="",TRIM('Smart Search'!$L$6)="All",ISNUMBER(SEARCH(SUBSTITUTE(SUBSTITUTE(SUBSTITUTE(TRIM('Smart Search'!$L$6),"~","~~"),"*","~*"),"?","~?"),CA194))),OR('Smart Search'!$L$7="",AND(CB194&lt;&gt;0,CB194='Smart Search'!$L$7)),OR('Smart Search'!$L$8="",'Smart Search'!$L$8="All",TRIM(CC194)=TRIM('Smart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IF(A194="","",N(INDEX(Projects[Mech Inst],193)))</f>
        <v/>
      </c>
      <c r="BK194" s="5">
        <f>IF(A194="","",N(INDEX(Projects[Elec Inst],193)))</f>
        <v/>
      </c>
      <c r="BL194" s="5">
        <f>IF(A194="","",N(INDEX(Projects[Project Management],193)))</f>
        <v/>
      </c>
      <c r="BM194" s="5">
        <f>IF(A194="","",N(INDEX(Projects[Systems Eng],193)))</f>
        <v/>
      </c>
      <c r="BN194" s="5">
        <f>IF(A194="","",N(INDEX(Projects[Mechanical Eng],193)))</f>
        <v/>
      </c>
      <c r="BO194" s="5">
        <f>IF(A194="","",N(INDEX(Projects[Structural Engineering],193)))</f>
        <v/>
      </c>
      <c r="BP194" s="5">
        <f>IF(A194="","",N(INDEX(Projects[Site Sup],193)))</f>
        <v/>
      </c>
      <c r="BQ194" s="5">
        <f>IF(A194="","",N(INDEX(Projects[Controls Commissioning],193)))</f>
        <v/>
      </c>
      <c r="BR194" s="5">
        <f>IF(A194="","",N(INDEX(Projects[Systems Commissioning],193)))</f>
        <v/>
      </c>
      <c r="BS194" s="5">
        <f>IF(A194="","",N(INDEX(Projects[Service Commissioning],193)))</f>
        <v/>
      </c>
      <c r="BT194" s="5">
        <f>IF(A194="","",N(INDEX(Projects[Controls Eng],193)))</f>
        <v/>
      </c>
      <c r="BU194" s="5">
        <f>IF(A194="","",N(INDEX(Projects[Controls Purchase],193)))</f>
        <v/>
      </c>
      <c r="BV194" s="5">
        <f>IF(A194="","",N(INDEX(Projects[Software Eng],193)))</f>
        <v/>
      </c>
      <c r="BW194" s="5">
        <f>IF(A194="","",N(INDEX(Projects[Misc],193)))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  <c r="BZ194" s="5">
        <f>INDEX(Projects[Solution Type],193)&amp;""</f>
        <v/>
      </c>
      <c r="CA194" s="5">
        <f>INDEX(Projects[Client / Region],193)&amp;""</f>
        <v/>
      </c>
      <c r="CB194" s="5">
        <f>INDEX(Projects[Year],193)</f>
        <v/>
      </c>
      <c r="CC194" s="5">
        <f>INDEX(Projects[Won?],193)&amp;""</f>
        <v/>
      </c>
      <c r="CD194" s="5">
        <f>INDEX(Projects[Value (USD M)],193)</f>
        <v/>
      </c>
      <c r="CE194" s="5">
        <f>INDEX(Projects[MH Data Status],193)&amp;""</f>
        <v/>
      </c>
    </row>
    <row r="195" ht="15" customHeight="1" s="74">
      <c r="A195" s="66">
        <f>INDEX(Projects[Project ID *],194)&amp;""</f>
        <v/>
      </c>
      <c r="B195" s="66">
        <f>INDEX(Projects[Project Name *],194)&amp;""</f>
        <v/>
      </c>
      <c r="C195" s="66">
        <f>INDEX(Projects[MS Shuttles],194)</f>
        <v/>
      </c>
      <c r="D195" s="66">
        <f>INDEX(Projects[MS Tote Locations],194)</f>
        <v/>
      </c>
      <c r="E195" s="66">
        <f>INDEX(Projects[AS Robots],194)</f>
        <v/>
      </c>
      <c r="F195" s="66">
        <f>INDEX(Projects[AS Tote Locations],194)</f>
        <v/>
      </c>
      <c r="G195" s="66">
        <f>INDEX(Projects[PS Shuttles],194)</f>
        <v/>
      </c>
      <c r="H195" s="66">
        <f>INDEX(Projects[PS Pallet Locations],194)</f>
        <v/>
      </c>
      <c r="I195" s="66">
        <f>INDEX(Projects[SRM Cranes],194)</f>
        <v/>
      </c>
      <c r="J195" s="66">
        <f>INDEX(Projects[SRM Pallet Locations],194)</f>
        <v/>
      </c>
      <c r="K195" s="66">
        <f>INDEX(Projects[Case Conv (m)],194)</f>
        <v/>
      </c>
      <c r="L195" s="66">
        <f>INDEX(Projects[Pallet Conv (m)],194)</f>
        <v/>
      </c>
      <c r="M195" s="66">
        <f>INDEX(Projects[Mech Eng (wks)],194)</f>
        <v/>
      </c>
      <c r="N195" s="66">
        <f>INDEX(Projects[Controls Eng (wks)],194)</f>
        <v/>
      </c>
      <c r="O195" s="66">
        <f>INDEX(Projects[Systems Eng (wks)],194)</f>
        <v/>
      </c>
      <c r="P195" s="66">
        <f>INDEX(Projects[Software Eng (wks)],194)</f>
        <v/>
      </c>
      <c r="Q195" s="66">
        <f>INDEX(Projects[M&amp;E Installation (wks)],194)</f>
        <v/>
      </c>
      <c r="R195" s="66">
        <f>INDEX(Projects[Commissioning (wks)],194)</f>
        <v/>
      </c>
      <c r="S195" s="66">
        <f>INDEX(Projects[Total Timeline (wks)],194)</f>
        <v/>
      </c>
      <c r="T195" s="66">
        <f>INDEX(Projects[Currency],194)&amp;""</f>
        <v/>
      </c>
      <c r="U195" s="67">
        <f>INDEX(Projects[Value (M)],194)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INDEX(Projects[Automation Equipment],194)&amp;""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IF(AND(A195&lt;&gt;"",OR('Smart Search'!$L$5="",'Smart Search'!$L$5="All",TRIM(BZ195)=TRIM('Smart Search'!$L$5)),OR(TRIM('Smart Search'!$L$6)="",TRIM('Smart Search'!$L$6)="All",ISNUMBER(SEARCH(SUBSTITUTE(SUBSTITUTE(SUBSTITUTE(TRIM('Smart Search'!$L$6),"~","~~"),"*","~*"),"?","~?"),CA195))),OR('Smart Search'!$L$7="",AND(CB195&lt;&gt;0,CB195='Smart Search'!$L$7)),OR('Smart Search'!$L$8="",'Smart Search'!$L$8="All",TRIM(CC195)=TRIM('Smart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IF(A195="","",N(INDEX(Projects[Mech Inst],194)))</f>
        <v/>
      </c>
      <c r="BK195" s="5">
        <f>IF(A195="","",N(INDEX(Projects[Elec Inst],194)))</f>
        <v/>
      </c>
      <c r="BL195" s="5">
        <f>IF(A195="","",N(INDEX(Projects[Project Management],194)))</f>
        <v/>
      </c>
      <c r="BM195" s="5">
        <f>IF(A195="","",N(INDEX(Projects[Systems Eng],194)))</f>
        <v/>
      </c>
      <c r="BN195" s="5">
        <f>IF(A195="","",N(INDEX(Projects[Mechanical Eng],194)))</f>
        <v/>
      </c>
      <c r="BO195" s="5">
        <f>IF(A195="","",N(INDEX(Projects[Structural Engineering],194)))</f>
        <v/>
      </c>
      <c r="BP195" s="5">
        <f>IF(A195="","",N(INDEX(Projects[Site Sup],194)))</f>
        <v/>
      </c>
      <c r="BQ195" s="5">
        <f>IF(A195="","",N(INDEX(Projects[Controls Commissioning],194)))</f>
        <v/>
      </c>
      <c r="BR195" s="5">
        <f>IF(A195="","",N(INDEX(Projects[Systems Commissioning],194)))</f>
        <v/>
      </c>
      <c r="BS195" s="5">
        <f>IF(A195="","",N(INDEX(Projects[Service Commissioning],194)))</f>
        <v/>
      </c>
      <c r="BT195" s="5">
        <f>IF(A195="","",N(INDEX(Projects[Controls Eng],194)))</f>
        <v/>
      </c>
      <c r="BU195" s="5">
        <f>IF(A195="","",N(INDEX(Projects[Controls Purchase],194)))</f>
        <v/>
      </c>
      <c r="BV195" s="5">
        <f>IF(A195="","",N(INDEX(Projects[Software Eng],194)))</f>
        <v/>
      </c>
      <c r="BW195" s="5">
        <f>IF(A195="","",N(INDEX(Projects[Misc],194)))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  <c r="BZ195" s="5">
        <f>INDEX(Projects[Solution Type],194)&amp;""</f>
        <v/>
      </c>
      <c r="CA195" s="5">
        <f>INDEX(Projects[Client / Region],194)&amp;""</f>
        <v/>
      </c>
      <c r="CB195" s="5">
        <f>INDEX(Projects[Year],194)</f>
        <v/>
      </c>
      <c r="CC195" s="5">
        <f>INDEX(Projects[Won?],194)&amp;""</f>
        <v/>
      </c>
      <c r="CD195" s="5">
        <f>INDEX(Projects[Value (USD M)],194)</f>
        <v/>
      </c>
      <c r="CE195" s="5">
        <f>INDEX(Projects[MH Data Status],194)&amp;""</f>
        <v/>
      </c>
    </row>
    <row r="196" ht="15" customHeight="1" s="74">
      <c r="A196" s="66">
        <f>INDEX(Projects[Project ID *],195)&amp;""</f>
        <v/>
      </c>
      <c r="B196" s="66">
        <f>INDEX(Projects[Project Name *],195)&amp;""</f>
        <v/>
      </c>
      <c r="C196" s="66">
        <f>INDEX(Projects[MS Shuttles],195)</f>
        <v/>
      </c>
      <c r="D196" s="66">
        <f>INDEX(Projects[MS Tote Locations],195)</f>
        <v/>
      </c>
      <c r="E196" s="66">
        <f>INDEX(Projects[AS Robots],195)</f>
        <v/>
      </c>
      <c r="F196" s="66">
        <f>INDEX(Projects[AS Tote Locations],195)</f>
        <v/>
      </c>
      <c r="G196" s="66">
        <f>INDEX(Projects[PS Shuttles],195)</f>
        <v/>
      </c>
      <c r="H196" s="66">
        <f>INDEX(Projects[PS Pallet Locations],195)</f>
        <v/>
      </c>
      <c r="I196" s="66">
        <f>INDEX(Projects[SRM Cranes],195)</f>
        <v/>
      </c>
      <c r="J196" s="66">
        <f>INDEX(Projects[SRM Pallet Locations],195)</f>
        <v/>
      </c>
      <c r="K196" s="66">
        <f>INDEX(Projects[Case Conv (m)],195)</f>
        <v/>
      </c>
      <c r="L196" s="66">
        <f>INDEX(Projects[Pallet Conv (m)],195)</f>
        <v/>
      </c>
      <c r="M196" s="66">
        <f>INDEX(Projects[Mech Eng (wks)],195)</f>
        <v/>
      </c>
      <c r="N196" s="66">
        <f>INDEX(Projects[Controls Eng (wks)],195)</f>
        <v/>
      </c>
      <c r="O196" s="66">
        <f>INDEX(Projects[Systems Eng (wks)],195)</f>
        <v/>
      </c>
      <c r="P196" s="66">
        <f>INDEX(Projects[Software Eng (wks)],195)</f>
        <v/>
      </c>
      <c r="Q196" s="66">
        <f>INDEX(Projects[M&amp;E Installation (wks)],195)</f>
        <v/>
      </c>
      <c r="R196" s="66">
        <f>INDEX(Projects[Commissioning (wks)],195)</f>
        <v/>
      </c>
      <c r="S196" s="66">
        <f>INDEX(Projects[Total Timeline (wks)],195)</f>
        <v/>
      </c>
      <c r="T196" s="66">
        <f>INDEX(Projects[Currency],195)&amp;""</f>
        <v/>
      </c>
      <c r="U196" s="67">
        <f>INDEX(Projects[Value (M)],195)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INDEX(Projects[Automation Equipment],195)&amp;""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IF(AND(A196&lt;&gt;"",OR('Smart Search'!$L$5="",'Smart Search'!$L$5="All",TRIM(BZ196)=TRIM('Smart Search'!$L$5)),OR(TRIM('Smart Search'!$L$6)="",TRIM('Smart Search'!$L$6)="All",ISNUMBER(SEARCH(SUBSTITUTE(SUBSTITUTE(SUBSTITUTE(TRIM('Smart Search'!$L$6),"~","~~"),"*","~*"),"?","~?"),CA196))),OR('Smart Search'!$L$7="",AND(CB196&lt;&gt;0,CB196='Smart Search'!$L$7)),OR('Smart Search'!$L$8="",'Smart Search'!$L$8="All",TRIM(CC196)=TRIM('Smart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IF(A196="","",N(INDEX(Projects[Mech Inst],195)))</f>
        <v/>
      </c>
      <c r="BK196" s="5">
        <f>IF(A196="","",N(INDEX(Projects[Elec Inst],195)))</f>
        <v/>
      </c>
      <c r="BL196" s="5">
        <f>IF(A196="","",N(INDEX(Projects[Project Management],195)))</f>
        <v/>
      </c>
      <c r="BM196" s="5">
        <f>IF(A196="","",N(INDEX(Projects[Systems Eng],195)))</f>
        <v/>
      </c>
      <c r="BN196" s="5">
        <f>IF(A196="","",N(INDEX(Projects[Mechanical Eng],195)))</f>
        <v/>
      </c>
      <c r="BO196" s="5">
        <f>IF(A196="","",N(INDEX(Projects[Structural Engineering],195)))</f>
        <v/>
      </c>
      <c r="BP196" s="5">
        <f>IF(A196="","",N(INDEX(Projects[Site Sup],195)))</f>
        <v/>
      </c>
      <c r="BQ196" s="5">
        <f>IF(A196="","",N(INDEX(Projects[Controls Commissioning],195)))</f>
        <v/>
      </c>
      <c r="BR196" s="5">
        <f>IF(A196="","",N(INDEX(Projects[Systems Commissioning],195)))</f>
        <v/>
      </c>
      <c r="BS196" s="5">
        <f>IF(A196="","",N(INDEX(Projects[Service Commissioning],195)))</f>
        <v/>
      </c>
      <c r="BT196" s="5">
        <f>IF(A196="","",N(INDEX(Projects[Controls Eng],195)))</f>
        <v/>
      </c>
      <c r="BU196" s="5">
        <f>IF(A196="","",N(INDEX(Projects[Controls Purchase],195)))</f>
        <v/>
      </c>
      <c r="BV196" s="5">
        <f>IF(A196="","",N(INDEX(Projects[Software Eng],195)))</f>
        <v/>
      </c>
      <c r="BW196" s="5">
        <f>IF(A196="","",N(INDEX(Projects[Misc],195)))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  <c r="BZ196" s="5">
        <f>INDEX(Projects[Solution Type],195)&amp;""</f>
        <v/>
      </c>
      <c r="CA196" s="5">
        <f>INDEX(Projects[Client / Region],195)&amp;""</f>
        <v/>
      </c>
      <c r="CB196" s="5">
        <f>INDEX(Projects[Year],195)</f>
        <v/>
      </c>
      <c r="CC196" s="5">
        <f>INDEX(Projects[Won?],195)&amp;""</f>
        <v/>
      </c>
      <c r="CD196" s="5">
        <f>INDEX(Projects[Value (USD M)],195)</f>
        <v/>
      </c>
      <c r="CE196" s="5">
        <f>INDEX(Projects[MH Data Status],195)&amp;""</f>
        <v/>
      </c>
    </row>
    <row r="197" ht="15" customHeight="1" s="74">
      <c r="A197" s="66">
        <f>INDEX(Projects[Project ID *],196)&amp;""</f>
        <v/>
      </c>
      <c r="B197" s="66">
        <f>INDEX(Projects[Project Name *],196)&amp;""</f>
        <v/>
      </c>
      <c r="C197" s="66">
        <f>INDEX(Projects[MS Shuttles],196)</f>
        <v/>
      </c>
      <c r="D197" s="66">
        <f>INDEX(Projects[MS Tote Locations],196)</f>
        <v/>
      </c>
      <c r="E197" s="66">
        <f>INDEX(Projects[AS Robots],196)</f>
        <v/>
      </c>
      <c r="F197" s="66">
        <f>INDEX(Projects[AS Tote Locations],196)</f>
        <v/>
      </c>
      <c r="G197" s="66">
        <f>INDEX(Projects[PS Shuttles],196)</f>
        <v/>
      </c>
      <c r="H197" s="66">
        <f>INDEX(Projects[PS Pallet Locations],196)</f>
        <v/>
      </c>
      <c r="I197" s="66">
        <f>INDEX(Projects[SRM Cranes],196)</f>
        <v/>
      </c>
      <c r="J197" s="66">
        <f>INDEX(Projects[SRM Pallet Locations],196)</f>
        <v/>
      </c>
      <c r="K197" s="66">
        <f>INDEX(Projects[Case Conv (m)],196)</f>
        <v/>
      </c>
      <c r="L197" s="66">
        <f>INDEX(Projects[Pallet Conv (m)],196)</f>
        <v/>
      </c>
      <c r="M197" s="66">
        <f>INDEX(Projects[Mech Eng (wks)],196)</f>
        <v/>
      </c>
      <c r="N197" s="66">
        <f>INDEX(Projects[Controls Eng (wks)],196)</f>
        <v/>
      </c>
      <c r="O197" s="66">
        <f>INDEX(Projects[Systems Eng (wks)],196)</f>
        <v/>
      </c>
      <c r="P197" s="66">
        <f>INDEX(Projects[Software Eng (wks)],196)</f>
        <v/>
      </c>
      <c r="Q197" s="66">
        <f>INDEX(Projects[M&amp;E Installation (wks)],196)</f>
        <v/>
      </c>
      <c r="R197" s="66">
        <f>INDEX(Projects[Commissioning (wks)],196)</f>
        <v/>
      </c>
      <c r="S197" s="66">
        <f>INDEX(Projects[Total Timeline (wks)],196)</f>
        <v/>
      </c>
      <c r="T197" s="66">
        <f>INDEX(Projects[Currency],196)&amp;""</f>
        <v/>
      </c>
      <c r="U197" s="67">
        <f>INDEX(Projects[Value (M)],196)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INDEX(Projects[Automation Equipment],196)&amp;""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IF(AND(A197&lt;&gt;"",OR('Smart Search'!$L$5="",'Smart Search'!$L$5="All",TRIM(BZ197)=TRIM('Smart Search'!$L$5)),OR(TRIM('Smart Search'!$L$6)="",TRIM('Smart Search'!$L$6)="All",ISNUMBER(SEARCH(SUBSTITUTE(SUBSTITUTE(SUBSTITUTE(TRIM('Smart Search'!$L$6),"~","~~"),"*","~*"),"?","~?"),CA197))),OR('Smart Search'!$L$7="",AND(CB197&lt;&gt;0,CB197='Smart Search'!$L$7)),OR('Smart Search'!$L$8="",'Smart Search'!$L$8="All",TRIM(CC197)=TRIM('Smart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IF(A197="","",N(INDEX(Projects[Mech Inst],196)))</f>
        <v/>
      </c>
      <c r="BK197" s="5">
        <f>IF(A197="","",N(INDEX(Projects[Elec Inst],196)))</f>
        <v/>
      </c>
      <c r="BL197" s="5">
        <f>IF(A197="","",N(INDEX(Projects[Project Management],196)))</f>
        <v/>
      </c>
      <c r="BM197" s="5">
        <f>IF(A197="","",N(INDEX(Projects[Systems Eng],196)))</f>
        <v/>
      </c>
      <c r="BN197" s="5">
        <f>IF(A197="","",N(INDEX(Projects[Mechanical Eng],196)))</f>
        <v/>
      </c>
      <c r="BO197" s="5">
        <f>IF(A197="","",N(INDEX(Projects[Structural Engineering],196)))</f>
        <v/>
      </c>
      <c r="BP197" s="5">
        <f>IF(A197="","",N(INDEX(Projects[Site Sup],196)))</f>
        <v/>
      </c>
      <c r="BQ197" s="5">
        <f>IF(A197="","",N(INDEX(Projects[Controls Commissioning],196)))</f>
        <v/>
      </c>
      <c r="BR197" s="5">
        <f>IF(A197="","",N(INDEX(Projects[Systems Commissioning],196)))</f>
        <v/>
      </c>
      <c r="BS197" s="5">
        <f>IF(A197="","",N(INDEX(Projects[Service Commissioning],196)))</f>
        <v/>
      </c>
      <c r="BT197" s="5">
        <f>IF(A197="","",N(INDEX(Projects[Controls Eng],196)))</f>
        <v/>
      </c>
      <c r="BU197" s="5">
        <f>IF(A197="","",N(INDEX(Projects[Controls Purchase],196)))</f>
        <v/>
      </c>
      <c r="BV197" s="5">
        <f>IF(A197="","",N(INDEX(Projects[Software Eng],196)))</f>
        <v/>
      </c>
      <c r="BW197" s="5">
        <f>IF(A197="","",N(INDEX(Projects[Misc],196)))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  <c r="BZ197" s="5">
        <f>INDEX(Projects[Solution Type],196)&amp;""</f>
        <v/>
      </c>
      <c r="CA197" s="5">
        <f>INDEX(Projects[Client / Region],196)&amp;""</f>
        <v/>
      </c>
      <c r="CB197" s="5">
        <f>INDEX(Projects[Year],196)</f>
        <v/>
      </c>
      <c r="CC197" s="5">
        <f>INDEX(Projects[Won?],196)&amp;""</f>
        <v/>
      </c>
      <c r="CD197" s="5">
        <f>INDEX(Projects[Value (USD M)],196)</f>
        <v/>
      </c>
      <c r="CE197" s="5">
        <f>INDEX(Projects[MH Data Status],196)&amp;""</f>
        <v/>
      </c>
    </row>
    <row r="198" ht="15" customHeight="1" s="74">
      <c r="A198" s="66">
        <f>INDEX(Projects[Project ID *],197)&amp;""</f>
        <v/>
      </c>
      <c r="B198" s="66">
        <f>INDEX(Projects[Project Name *],197)&amp;""</f>
        <v/>
      </c>
      <c r="C198" s="66">
        <f>INDEX(Projects[MS Shuttles],197)</f>
        <v/>
      </c>
      <c r="D198" s="66">
        <f>INDEX(Projects[MS Tote Locations],197)</f>
        <v/>
      </c>
      <c r="E198" s="66">
        <f>INDEX(Projects[AS Robots],197)</f>
        <v/>
      </c>
      <c r="F198" s="66">
        <f>INDEX(Projects[AS Tote Locations],197)</f>
        <v/>
      </c>
      <c r="G198" s="66">
        <f>INDEX(Projects[PS Shuttles],197)</f>
        <v/>
      </c>
      <c r="H198" s="66">
        <f>INDEX(Projects[PS Pallet Locations],197)</f>
        <v/>
      </c>
      <c r="I198" s="66">
        <f>INDEX(Projects[SRM Cranes],197)</f>
        <v/>
      </c>
      <c r="J198" s="66">
        <f>INDEX(Projects[SRM Pallet Locations],197)</f>
        <v/>
      </c>
      <c r="K198" s="66">
        <f>INDEX(Projects[Case Conv (m)],197)</f>
        <v/>
      </c>
      <c r="L198" s="66">
        <f>INDEX(Projects[Pallet Conv (m)],197)</f>
        <v/>
      </c>
      <c r="M198" s="66">
        <f>INDEX(Projects[Mech Eng (wks)],197)</f>
        <v/>
      </c>
      <c r="N198" s="66">
        <f>INDEX(Projects[Controls Eng (wks)],197)</f>
        <v/>
      </c>
      <c r="O198" s="66">
        <f>INDEX(Projects[Systems Eng (wks)],197)</f>
        <v/>
      </c>
      <c r="P198" s="66">
        <f>INDEX(Projects[Software Eng (wks)],197)</f>
        <v/>
      </c>
      <c r="Q198" s="66">
        <f>INDEX(Projects[M&amp;E Installation (wks)],197)</f>
        <v/>
      </c>
      <c r="R198" s="66">
        <f>INDEX(Projects[Commissioning (wks)],197)</f>
        <v/>
      </c>
      <c r="S198" s="66">
        <f>INDEX(Projects[Total Timeline (wks)],197)</f>
        <v/>
      </c>
      <c r="T198" s="66">
        <f>INDEX(Projects[Currency],197)&amp;""</f>
        <v/>
      </c>
      <c r="U198" s="67">
        <f>INDEX(Projects[Value (M)],197)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INDEX(Projects[Automation Equipment],197)&amp;""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IF(AND(A198&lt;&gt;"",OR('Smart Search'!$L$5="",'Smart Search'!$L$5="All",TRIM(BZ198)=TRIM('Smart Search'!$L$5)),OR(TRIM('Smart Search'!$L$6)="",TRIM('Smart Search'!$L$6)="All",ISNUMBER(SEARCH(SUBSTITUTE(SUBSTITUTE(SUBSTITUTE(TRIM('Smart Search'!$L$6),"~","~~"),"*","~*"),"?","~?"),CA198))),OR('Smart Search'!$L$7="",AND(CB198&lt;&gt;0,CB198='Smart Search'!$L$7)),OR('Smart Search'!$L$8="",'Smart Search'!$L$8="All",TRIM(CC198)=TRIM('Smart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IF(A198="","",N(INDEX(Projects[Mech Inst],197)))</f>
        <v/>
      </c>
      <c r="BK198" s="5">
        <f>IF(A198="","",N(INDEX(Projects[Elec Inst],197)))</f>
        <v/>
      </c>
      <c r="BL198" s="5">
        <f>IF(A198="","",N(INDEX(Projects[Project Management],197)))</f>
        <v/>
      </c>
      <c r="BM198" s="5">
        <f>IF(A198="","",N(INDEX(Projects[Systems Eng],197)))</f>
        <v/>
      </c>
      <c r="BN198" s="5">
        <f>IF(A198="","",N(INDEX(Projects[Mechanical Eng],197)))</f>
        <v/>
      </c>
      <c r="BO198" s="5">
        <f>IF(A198="","",N(INDEX(Projects[Structural Engineering],197)))</f>
        <v/>
      </c>
      <c r="BP198" s="5">
        <f>IF(A198="","",N(INDEX(Projects[Site Sup],197)))</f>
        <v/>
      </c>
      <c r="BQ198" s="5">
        <f>IF(A198="","",N(INDEX(Projects[Controls Commissioning],197)))</f>
        <v/>
      </c>
      <c r="BR198" s="5">
        <f>IF(A198="","",N(INDEX(Projects[Systems Commissioning],197)))</f>
        <v/>
      </c>
      <c r="BS198" s="5">
        <f>IF(A198="","",N(INDEX(Projects[Service Commissioning],197)))</f>
        <v/>
      </c>
      <c r="BT198" s="5">
        <f>IF(A198="","",N(INDEX(Projects[Controls Eng],197)))</f>
        <v/>
      </c>
      <c r="BU198" s="5">
        <f>IF(A198="","",N(INDEX(Projects[Controls Purchase],197)))</f>
        <v/>
      </c>
      <c r="BV198" s="5">
        <f>IF(A198="","",N(INDEX(Projects[Software Eng],197)))</f>
        <v/>
      </c>
      <c r="BW198" s="5">
        <f>IF(A198="","",N(INDEX(Projects[Misc],197)))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  <c r="BZ198" s="5">
        <f>INDEX(Projects[Solution Type],197)&amp;""</f>
        <v/>
      </c>
      <c r="CA198" s="5">
        <f>INDEX(Projects[Client / Region],197)&amp;""</f>
        <v/>
      </c>
      <c r="CB198" s="5">
        <f>INDEX(Projects[Year],197)</f>
        <v/>
      </c>
      <c r="CC198" s="5">
        <f>INDEX(Projects[Won?],197)&amp;""</f>
        <v/>
      </c>
      <c r="CD198" s="5">
        <f>INDEX(Projects[Value (USD M)],197)</f>
        <v/>
      </c>
      <c r="CE198" s="5">
        <f>INDEX(Projects[MH Data Status],197)&amp;""</f>
        <v/>
      </c>
    </row>
    <row r="199" ht="15" customHeight="1" s="74">
      <c r="A199" s="66">
        <f>INDEX(Projects[Project ID *],198)&amp;""</f>
        <v/>
      </c>
      <c r="B199" s="66">
        <f>INDEX(Projects[Project Name *],198)&amp;""</f>
        <v/>
      </c>
      <c r="C199" s="66">
        <f>INDEX(Projects[MS Shuttles],198)</f>
        <v/>
      </c>
      <c r="D199" s="66">
        <f>INDEX(Projects[MS Tote Locations],198)</f>
        <v/>
      </c>
      <c r="E199" s="66">
        <f>INDEX(Projects[AS Robots],198)</f>
        <v/>
      </c>
      <c r="F199" s="66">
        <f>INDEX(Projects[AS Tote Locations],198)</f>
        <v/>
      </c>
      <c r="G199" s="66">
        <f>INDEX(Projects[PS Shuttles],198)</f>
        <v/>
      </c>
      <c r="H199" s="66">
        <f>INDEX(Projects[PS Pallet Locations],198)</f>
        <v/>
      </c>
      <c r="I199" s="66">
        <f>INDEX(Projects[SRM Cranes],198)</f>
        <v/>
      </c>
      <c r="J199" s="66">
        <f>INDEX(Projects[SRM Pallet Locations],198)</f>
        <v/>
      </c>
      <c r="K199" s="66">
        <f>INDEX(Projects[Case Conv (m)],198)</f>
        <v/>
      </c>
      <c r="L199" s="66">
        <f>INDEX(Projects[Pallet Conv (m)],198)</f>
        <v/>
      </c>
      <c r="M199" s="66">
        <f>INDEX(Projects[Mech Eng (wks)],198)</f>
        <v/>
      </c>
      <c r="N199" s="66">
        <f>INDEX(Projects[Controls Eng (wks)],198)</f>
        <v/>
      </c>
      <c r="O199" s="66">
        <f>INDEX(Projects[Systems Eng (wks)],198)</f>
        <v/>
      </c>
      <c r="P199" s="66">
        <f>INDEX(Projects[Software Eng (wks)],198)</f>
        <v/>
      </c>
      <c r="Q199" s="66">
        <f>INDEX(Projects[M&amp;E Installation (wks)],198)</f>
        <v/>
      </c>
      <c r="R199" s="66">
        <f>INDEX(Projects[Commissioning (wks)],198)</f>
        <v/>
      </c>
      <c r="S199" s="66">
        <f>INDEX(Projects[Total Timeline (wks)],198)</f>
        <v/>
      </c>
      <c r="T199" s="66">
        <f>INDEX(Projects[Currency],198)&amp;""</f>
        <v/>
      </c>
      <c r="U199" s="67">
        <f>INDEX(Projects[Value (M)],198)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INDEX(Projects[Automation Equipment],198)&amp;""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IF(AND(A199&lt;&gt;"",OR('Smart Search'!$L$5="",'Smart Search'!$L$5="All",TRIM(BZ199)=TRIM('Smart Search'!$L$5)),OR(TRIM('Smart Search'!$L$6)="",TRIM('Smart Search'!$L$6)="All",ISNUMBER(SEARCH(SUBSTITUTE(SUBSTITUTE(SUBSTITUTE(TRIM('Smart Search'!$L$6),"~","~~"),"*","~*"),"?","~?"),CA199))),OR('Smart Search'!$L$7="",AND(CB199&lt;&gt;0,CB199='Smart Search'!$L$7)),OR('Smart Search'!$L$8="",'Smart Search'!$L$8="All",TRIM(CC199)=TRIM('Smart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IF(A199="","",N(INDEX(Projects[Mech Inst],198)))</f>
        <v/>
      </c>
      <c r="BK199" s="5">
        <f>IF(A199="","",N(INDEX(Projects[Elec Inst],198)))</f>
        <v/>
      </c>
      <c r="BL199" s="5">
        <f>IF(A199="","",N(INDEX(Projects[Project Management],198)))</f>
        <v/>
      </c>
      <c r="BM199" s="5">
        <f>IF(A199="","",N(INDEX(Projects[Systems Eng],198)))</f>
        <v/>
      </c>
      <c r="BN199" s="5">
        <f>IF(A199="","",N(INDEX(Projects[Mechanical Eng],198)))</f>
        <v/>
      </c>
      <c r="BO199" s="5">
        <f>IF(A199="","",N(INDEX(Projects[Structural Engineering],198)))</f>
        <v/>
      </c>
      <c r="BP199" s="5">
        <f>IF(A199="","",N(INDEX(Projects[Site Sup],198)))</f>
        <v/>
      </c>
      <c r="BQ199" s="5">
        <f>IF(A199="","",N(INDEX(Projects[Controls Commissioning],198)))</f>
        <v/>
      </c>
      <c r="BR199" s="5">
        <f>IF(A199="","",N(INDEX(Projects[Systems Commissioning],198)))</f>
        <v/>
      </c>
      <c r="BS199" s="5">
        <f>IF(A199="","",N(INDEX(Projects[Service Commissioning],198)))</f>
        <v/>
      </c>
      <c r="BT199" s="5">
        <f>IF(A199="","",N(INDEX(Projects[Controls Eng],198)))</f>
        <v/>
      </c>
      <c r="BU199" s="5">
        <f>IF(A199="","",N(INDEX(Projects[Controls Purchase],198)))</f>
        <v/>
      </c>
      <c r="BV199" s="5">
        <f>IF(A199="","",N(INDEX(Projects[Software Eng],198)))</f>
        <v/>
      </c>
      <c r="BW199" s="5">
        <f>IF(A199="","",N(INDEX(Projects[Misc],198)))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  <c r="BZ199" s="5">
        <f>INDEX(Projects[Solution Type],198)&amp;""</f>
        <v/>
      </c>
      <c r="CA199" s="5">
        <f>INDEX(Projects[Client / Region],198)&amp;""</f>
        <v/>
      </c>
      <c r="CB199" s="5">
        <f>INDEX(Projects[Year],198)</f>
        <v/>
      </c>
      <c r="CC199" s="5">
        <f>INDEX(Projects[Won?],198)&amp;""</f>
        <v/>
      </c>
      <c r="CD199" s="5">
        <f>INDEX(Projects[Value (USD M)],198)</f>
        <v/>
      </c>
      <c r="CE199" s="5">
        <f>INDEX(Projects[MH Data Status],198)&amp;""</f>
        <v/>
      </c>
    </row>
    <row r="200" ht="15" customHeight="1" s="74">
      <c r="A200" s="66">
        <f>INDEX(Projects[Project ID *],199)&amp;""</f>
        <v/>
      </c>
      <c r="B200" s="66">
        <f>INDEX(Projects[Project Name *],199)&amp;""</f>
        <v/>
      </c>
      <c r="C200" s="66">
        <f>INDEX(Projects[MS Shuttles],199)</f>
        <v/>
      </c>
      <c r="D200" s="66">
        <f>INDEX(Projects[MS Tote Locations],199)</f>
        <v/>
      </c>
      <c r="E200" s="66">
        <f>INDEX(Projects[AS Robots],199)</f>
        <v/>
      </c>
      <c r="F200" s="66">
        <f>INDEX(Projects[AS Tote Locations],199)</f>
        <v/>
      </c>
      <c r="G200" s="66">
        <f>INDEX(Projects[PS Shuttles],199)</f>
        <v/>
      </c>
      <c r="H200" s="66">
        <f>INDEX(Projects[PS Pallet Locations],199)</f>
        <v/>
      </c>
      <c r="I200" s="66">
        <f>INDEX(Projects[SRM Cranes],199)</f>
        <v/>
      </c>
      <c r="J200" s="66">
        <f>INDEX(Projects[SRM Pallet Locations],199)</f>
        <v/>
      </c>
      <c r="K200" s="66">
        <f>INDEX(Projects[Case Conv (m)],199)</f>
        <v/>
      </c>
      <c r="L200" s="66">
        <f>INDEX(Projects[Pallet Conv (m)],199)</f>
        <v/>
      </c>
      <c r="M200" s="66">
        <f>INDEX(Projects[Mech Eng (wks)],199)</f>
        <v/>
      </c>
      <c r="N200" s="66">
        <f>INDEX(Projects[Controls Eng (wks)],199)</f>
        <v/>
      </c>
      <c r="O200" s="66">
        <f>INDEX(Projects[Systems Eng (wks)],199)</f>
        <v/>
      </c>
      <c r="P200" s="66">
        <f>INDEX(Projects[Software Eng (wks)],199)</f>
        <v/>
      </c>
      <c r="Q200" s="66">
        <f>INDEX(Projects[M&amp;E Installation (wks)],199)</f>
        <v/>
      </c>
      <c r="R200" s="66">
        <f>INDEX(Projects[Commissioning (wks)],199)</f>
        <v/>
      </c>
      <c r="S200" s="66">
        <f>INDEX(Projects[Total Timeline (wks)],199)</f>
        <v/>
      </c>
      <c r="T200" s="66">
        <f>INDEX(Projects[Currency],199)&amp;""</f>
        <v/>
      </c>
      <c r="U200" s="67">
        <f>INDEX(Projects[Value (M)],199)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INDEX(Projects[Automation Equipment],199)&amp;""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IF(AND(A200&lt;&gt;"",OR('Smart Search'!$L$5="",'Smart Search'!$L$5="All",TRIM(BZ200)=TRIM('Smart Search'!$L$5)),OR(TRIM('Smart Search'!$L$6)="",TRIM('Smart Search'!$L$6)="All",ISNUMBER(SEARCH(SUBSTITUTE(SUBSTITUTE(SUBSTITUTE(TRIM('Smart Search'!$L$6),"~","~~"),"*","~*"),"?","~?"),CA200))),OR('Smart Search'!$L$7="",AND(CB200&lt;&gt;0,CB200='Smart Search'!$L$7)),OR('Smart Search'!$L$8="",'Smart Search'!$L$8="All",TRIM(CC200)=TRIM('Smart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IF(A200="","",N(INDEX(Projects[Mech Inst],199)))</f>
        <v/>
      </c>
      <c r="BK200" s="5">
        <f>IF(A200="","",N(INDEX(Projects[Elec Inst],199)))</f>
        <v/>
      </c>
      <c r="BL200" s="5">
        <f>IF(A200="","",N(INDEX(Projects[Project Management],199)))</f>
        <v/>
      </c>
      <c r="BM200" s="5">
        <f>IF(A200="","",N(INDEX(Projects[Systems Eng],199)))</f>
        <v/>
      </c>
      <c r="BN200" s="5">
        <f>IF(A200="","",N(INDEX(Projects[Mechanical Eng],199)))</f>
        <v/>
      </c>
      <c r="BO200" s="5">
        <f>IF(A200="","",N(INDEX(Projects[Structural Engineering],199)))</f>
        <v/>
      </c>
      <c r="BP200" s="5">
        <f>IF(A200="","",N(INDEX(Projects[Site Sup],199)))</f>
        <v/>
      </c>
      <c r="BQ200" s="5">
        <f>IF(A200="","",N(INDEX(Projects[Controls Commissioning],199)))</f>
        <v/>
      </c>
      <c r="BR200" s="5">
        <f>IF(A200="","",N(INDEX(Projects[Systems Commissioning],199)))</f>
        <v/>
      </c>
      <c r="BS200" s="5">
        <f>IF(A200="","",N(INDEX(Projects[Service Commissioning],199)))</f>
        <v/>
      </c>
      <c r="BT200" s="5">
        <f>IF(A200="","",N(INDEX(Projects[Controls Eng],199)))</f>
        <v/>
      </c>
      <c r="BU200" s="5">
        <f>IF(A200="","",N(INDEX(Projects[Controls Purchase],199)))</f>
        <v/>
      </c>
      <c r="BV200" s="5">
        <f>IF(A200="","",N(INDEX(Projects[Software Eng],199)))</f>
        <v/>
      </c>
      <c r="BW200" s="5">
        <f>IF(A200="","",N(INDEX(Projects[Misc],199)))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  <c r="BZ200" s="5">
        <f>INDEX(Projects[Solution Type],199)&amp;""</f>
        <v/>
      </c>
      <c r="CA200" s="5">
        <f>INDEX(Projects[Client / Region],199)&amp;""</f>
        <v/>
      </c>
      <c r="CB200" s="5">
        <f>INDEX(Projects[Year],199)</f>
        <v/>
      </c>
      <c r="CC200" s="5">
        <f>INDEX(Projects[Won?],199)&amp;""</f>
        <v/>
      </c>
      <c r="CD200" s="5">
        <f>INDEX(Projects[Value (USD M)],199)</f>
        <v/>
      </c>
      <c r="CE200" s="5">
        <f>INDEX(Projects[MH Data Status],199)&amp;""</f>
        <v/>
      </c>
    </row>
    <row r="201" ht="15" customHeight="1" s="74">
      <c r="A201" s="66">
        <f>INDEX(Projects[Project ID *],200)&amp;""</f>
        <v/>
      </c>
      <c r="B201" s="66">
        <f>INDEX(Projects[Project Name *],200)&amp;""</f>
        <v/>
      </c>
      <c r="C201" s="66">
        <f>INDEX(Projects[MS Shuttles],200)</f>
        <v/>
      </c>
      <c r="D201" s="66">
        <f>INDEX(Projects[MS Tote Locations],200)</f>
        <v/>
      </c>
      <c r="E201" s="66">
        <f>INDEX(Projects[AS Robots],200)</f>
        <v/>
      </c>
      <c r="F201" s="66">
        <f>INDEX(Projects[AS Tote Locations],200)</f>
        <v/>
      </c>
      <c r="G201" s="66">
        <f>INDEX(Projects[PS Shuttles],200)</f>
        <v/>
      </c>
      <c r="H201" s="66">
        <f>INDEX(Projects[PS Pallet Locations],200)</f>
        <v/>
      </c>
      <c r="I201" s="66">
        <f>INDEX(Projects[SRM Cranes],200)</f>
        <v/>
      </c>
      <c r="J201" s="66">
        <f>INDEX(Projects[SRM Pallet Locations],200)</f>
        <v/>
      </c>
      <c r="K201" s="66">
        <f>INDEX(Projects[Case Conv (m)],200)</f>
        <v/>
      </c>
      <c r="L201" s="66">
        <f>INDEX(Projects[Pallet Conv (m)],200)</f>
        <v/>
      </c>
      <c r="M201" s="66">
        <f>INDEX(Projects[Mech Eng (wks)],200)</f>
        <v/>
      </c>
      <c r="N201" s="66">
        <f>INDEX(Projects[Controls Eng (wks)],200)</f>
        <v/>
      </c>
      <c r="O201" s="66">
        <f>INDEX(Projects[Systems Eng (wks)],200)</f>
        <v/>
      </c>
      <c r="P201" s="66">
        <f>INDEX(Projects[Software Eng (wks)],200)</f>
        <v/>
      </c>
      <c r="Q201" s="66">
        <f>INDEX(Projects[M&amp;E Installation (wks)],200)</f>
        <v/>
      </c>
      <c r="R201" s="66">
        <f>INDEX(Projects[Commissioning (wks)],200)</f>
        <v/>
      </c>
      <c r="S201" s="66">
        <f>INDEX(Projects[Total Timeline (wks)],200)</f>
        <v/>
      </c>
      <c r="T201" s="66">
        <f>INDEX(Projects[Currency],200)&amp;""</f>
        <v/>
      </c>
      <c r="U201" s="67">
        <f>INDEX(Projects[Value (M)],200)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INDEX(Projects[Automation Equipment],200)&amp;""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IF(AND(A201&lt;&gt;"",OR('Smart Search'!$L$5="",'Smart Search'!$L$5="All",TRIM(BZ201)=TRIM('Smart Search'!$L$5)),OR(TRIM('Smart Search'!$L$6)="",TRIM('Smart Search'!$L$6)="All",ISNUMBER(SEARCH(SUBSTITUTE(SUBSTITUTE(SUBSTITUTE(TRIM('Smart Search'!$L$6),"~","~~"),"*","~*"),"?","~?"),CA201))),OR('Smart Search'!$L$7="",AND(CB201&lt;&gt;0,CB201='Smart Search'!$L$7)),OR('Smart Search'!$L$8="",'Smart Search'!$L$8="All",TRIM(CC201)=TRIM('Smart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IF(A201="","",N(INDEX(Projects[Mech Inst],200)))</f>
        <v/>
      </c>
      <c r="BK201" s="5">
        <f>IF(A201="","",N(INDEX(Projects[Elec Inst],200)))</f>
        <v/>
      </c>
      <c r="BL201" s="5">
        <f>IF(A201="","",N(INDEX(Projects[Project Management],200)))</f>
        <v/>
      </c>
      <c r="BM201" s="5">
        <f>IF(A201="","",N(INDEX(Projects[Systems Eng],200)))</f>
        <v/>
      </c>
      <c r="BN201" s="5">
        <f>IF(A201="","",N(INDEX(Projects[Mechanical Eng],200)))</f>
        <v/>
      </c>
      <c r="BO201" s="5">
        <f>IF(A201="","",N(INDEX(Projects[Structural Engineering],200)))</f>
        <v/>
      </c>
      <c r="BP201" s="5">
        <f>IF(A201="","",N(INDEX(Projects[Site Sup],200)))</f>
        <v/>
      </c>
      <c r="BQ201" s="5">
        <f>IF(A201="","",N(INDEX(Projects[Controls Commissioning],200)))</f>
        <v/>
      </c>
      <c r="BR201" s="5">
        <f>IF(A201="","",N(INDEX(Projects[Systems Commissioning],200)))</f>
        <v/>
      </c>
      <c r="BS201" s="5">
        <f>IF(A201="","",N(INDEX(Projects[Service Commissioning],200)))</f>
        <v/>
      </c>
      <c r="BT201" s="5">
        <f>IF(A201="","",N(INDEX(Projects[Controls Eng],200)))</f>
        <v/>
      </c>
      <c r="BU201" s="5">
        <f>IF(A201="","",N(INDEX(Projects[Controls Purchase],200)))</f>
        <v/>
      </c>
      <c r="BV201" s="5">
        <f>IF(A201="","",N(INDEX(Projects[Software Eng],200)))</f>
        <v/>
      </c>
      <c r="BW201" s="5">
        <f>IF(A201="","",N(INDEX(Projects[Misc],200)))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  <c r="BZ201" s="5">
        <f>INDEX(Projects[Solution Type],200)&amp;""</f>
        <v/>
      </c>
      <c r="CA201" s="5">
        <f>INDEX(Projects[Client / Region],200)&amp;""</f>
        <v/>
      </c>
      <c r="CB201" s="5">
        <f>INDEX(Projects[Year],200)</f>
        <v/>
      </c>
      <c r="CC201" s="5">
        <f>INDEX(Projects[Won?],200)&amp;""</f>
        <v/>
      </c>
      <c r="CD201" s="5">
        <f>INDEX(Projects[Value (USD M)],200)</f>
        <v/>
      </c>
      <c r="CE201" s="5">
        <f>INDEX(Projects[MH Data Status],200)&amp;""</f>
        <v/>
      </c>
    </row>
    <row r="202" ht="15" customHeight="1" s="74">
      <c r="A202" s="66">
        <f>INDEX(Projects[Project ID *],201)&amp;""</f>
        <v/>
      </c>
      <c r="B202" s="66">
        <f>INDEX(Projects[Project Name *],201)&amp;""</f>
        <v/>
      </c>
      <c r="C202" s="66">
        <f>INDEX(Projects[MS Shuttles],201)</f>
        <v/>
      </c>
      <c r="D202" s="66">
        <f>INDEX(Projects[MS Tote Locations],201)</f>
        <v/>
      </c>
      <c r="E202" s="66">
        <f>INDEX(Projects[AS Robots],201)</f>
        <v/>
      </c>
      <c r="F202" s="66">
        <f>INDEX(Projects[AS Tote Locations],201)</f>
        <v/>
      </c>
      <c r="G202" s="66">
        <f>INDEX(Projects[PS Shuttles],201)</f>
        <v/>
      </c>
      <c r="H202" s="66">
        <f>INDEX(Projects[PS Pallet Locations],201)</f>
        <v/>
      </c>
      <c r="I202" s="66">
        <f>INDEX(Projects[SRM Cranes],201)</f>
        <v/>
      </c>
      <c r="J202" s="66">
        <f>INDEX(Projects[SRM Pallet Locations],201)</f>
        <v/>
      </c>
      <c r="K202" s="66">
        <f>INDEX(Projects[Case Conv (m)],201)</f>
        <v/>
      </c>
      <c r="L202" s="66">
        <f>INDEX(Projects[Pallet Conv (m)],201)</f>
        <v/>
      </c>
      <c r="M202" s="66">
        <f>INDEX(Projects[Mech Eng (wks)],201)</f>
        <v/>
      </c>
      <c r="N202" s="66">
        <f>INDEX(Projects[Controls Eng (wks)],201)</f>
        <v/>
      </c>
      <c r="O202" s="66">
        <f>INDEX(Projects[Systems Eng (wks)],201)</f>
        <v/>
      </c>
      <c r="P202" s="66">
        <f>INDEX(Projects[Software Eng (wks)],201)</f>
        <v/>
      </c>
      <c r="Q202" s="66">
        <f>INDEX(Projects[M&amp;E Installation (wks)],201)</f>
        <v/>
      </c>
      <c r="R202" s="66">
        <f>INDEX(Projects[Commissioning (wks)],201)</f>
        <v/>
      </c>
      <c r="S202" s="66">
        <f>INDEX(Projects[Total Timeline (wks)],201)</f>
        <v/>
      </c>
      <c r="T202" s="66">
        <f>INDEX(Projects[Currency],201)&amp;""</f>
        <v/>
      </c>
      <c r="U202" s="67">
        <f>INDEX(Projects[Value (M)],201)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INDEX(Projects[Automation Equipment],201)&amp;""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IF(AND(A202&lt;&gt;"",OR('Smart Search'!$L$5="",'Smart Search'!$L$5="All",TRIM(BZ202)=TRIM('Smart Search'!$L$5)),OR(TRIM('Smart Search'!$L$6)="",TRIM('Smart Search'!$L$6)="All",ISNUMBER(SEARCH(SUBSTITUTE(SUBSTITUTE(SUBSTITUTE(TRIM('Smart Search'!$L$6),"~","~~"),"*","~*"),"?","~?"),CA202))),OR('Smart Search'!$L$7="",AND(CB202&lt;&gt;0,CB202='Smart Search'!$L$7)),OR('Smart Search'!$L$8="",'Smart Search'!$L$8="All",TRIM(CC202)=TRIM('Smart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IF(A202="","",N(INDEX(Projects[Mech Inst],201)))</f>
        <v/>
      </c>
      <c r="BK202" s="5">
        <f>IF(A202="","",N(INDEX(Projects[Elec Inst],201)))</f>
        <v/>
      </c>
      <c r="BL202" s="5">
        <f>IF(A202="","",N(INDEX(Projects[Project Management],201)))</f>
        <v/>
      </c>
      <c r="BM202" s="5">
        <f>IF(A202="","",N(INDEX(Projects[Systems Eng],201)))</f>
        <v/>
      </c>
      <c r="BN202" s="5">
        <f>IF(A202="","",N(INDEX(Projects[Mechanical Eng],201)))</f>
        <v/>
      </c>
      <c r="BO202" s="5">
        <f>IF(A202="","",N(INDEX(Projects[Structural Engineering],201)))</f>
        <v/>
      </c>
      <c r="BP202" s="5">
        <f>IF(A202="","",N(INDEX(Projects[Site Sup],201)))</f>
        <v/>
      </c>
      <c r="BQ202" s="5">
        <f>IF(A202="","",N(INDEX(Projects[Controls Commissioning],201)))</f>
        <v/>
      </c>
      <c r="BR202" s="5">
        <f>IF(A202="","",N(INDEX(Projects[Systems Commissioning],201)))</f>
        <v/>
      </c>
      <c r="BS202" s="5">
        <f>IF(A202="","",N(INDEX(Projects[Service Commissioning],201)))</f>
        <v/>
      </c>
      <c r="BT202" s="5">
        <f>IF(A202="","",N(INDEX(Projects[Controls Eng],201)))</f>
        <v/>
      </c>
      <c r="BU202" s="5">
        <f>IF(A202="","",N(INDEX(Projects[Controls Purchase],201)))</f>
        <v/>
      </c>
      <c r="BV202" s="5">
        <f>IF(A202="","",N(INDEX(Projects[Software Eng],201)))</f>
        <v/>
      </c>
      <c r="BW202" s="5">
        <f>IF(A202="","",N(INDEX(Projects[Misc],201)))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  <c r="BZ202" s="5">
        <f>INDEX(Projects[Solution Type],201)&amp;""</f>
        <v/>
      </c>
      <c r="CA202" s="5">
        <f>INDEX(Projects[Client / Region],201)&amp;""</f>
        <v/>
      </c>
      <c r="CB202" s="5">
        <f>INDEX(Projects[Year],201)</f>
        <v/>
      </c>
      <c r="CC202" s="5">
        <f>INDEX(Projects[Won?],201)&amp;""</f>
        <v/>
      </c>
      <c r="CD202" s="5">
        <f>INDEX(Projects[Value (USD M)],201)</f>
        <v/>
      </c>
      <c r="CE202" s="5">
        <f>INDEX(Projects[MH Data Status],201)&amp;""</f>
        <v/>
      </c>
    </row>
    <row r="203" ht="15" customHeight="1" s="74">
      <c r="A203" s="66">
        <f>INDEX(Projects[Project ID *],202)&amp;""</f>
        <v/>
      </c>
      <c r="B203" s="66">
        <f>INDEX(Projects[Project Name *],202)&amp;""</f>
        <v/>
      </c>
      <c r="C203" s="66">
        <f>INDEX(Projects[MS Shuttles],202)</f>
        <v/>
      </c>
      <c r="D203" s="66">
        <f>INDEX(Projects[MS Tote Locations],202)</f>
        <v/>
      </c>
      <c r="E203" s="66">
        <f>INDEX(Projects[AS Robots],202)</f>
        <v/>
      </c>
      <c r="F203" s="66">
        <f>INDEX(Projects[AS Tote Locations],202)</f>
        <v/>
      </c>
      <c r="G203" s="66">
        <f>INDEX(Projects[PS Shuttles],202)</f>
        <v/>
      </c>
      <c r="H203" s="66">
        <f>INDEX(Projects[PS Pallet Locations],202)</f>
        <v/>
      </c>
      <c r="I203" s="66">
        <f>INDEX(Projects[SRM Cranes],202)</f>
        <v/>
      </c>
      <c r="J203" s="66">
        <f>INDEX(Projects[SRM Pallet Locations],202)</f>
        <v/>
      </c>
      <c r="K203" s="66">
        <f>INDEX(Projects[Case Conv (m)],202)</f>
        <v/>
      </c>
      <c r="L203" s="66">
        <f>INDEX(Projects[Pallet Conv (m)],202)</f>
        <v/>
      </c>
      <c r="M203" s="66">
        <f>INDEX(Projects[Mech Eng (wks)],202)</f>
        <v/>
      </c>
      <c r="N203" s="66">
        <f>INDEX(Projects[Controls Eng (wks)],202)</f>
        <v/>
      </c>
      <c r="O203" s="66">
        <f>INDEX(Projects[Systems Eng (wks)],202)</f>
        <v/>
      </c>
      <c r="P203" s="66">
        <f>INDEX(Projects[Software Eng (wks)],202)</f>
        <v/>
      </c>
      <c r="Q203" s="66">
        <f>INDEX(Projects[M&amp;E Installation (wks)],202)</f>
        <v/>
      </c>
      <c r="R203" s="66">
        <f>INDEX(Projects[Commissioning (wks)],202)</f>
        <v/>
      </c>
      <c r="S203" s="66">
        <f>INDEX(Projects[Total Timeline (wks)],202)</f>
        <v/>
      </c>
      <c r="T203" s="66">
        <f>INDEX(Projects[Currency],202)&amp;""</f>
        <v/>
      </c>
      <c r="U203" s="67">
        <f>INDEX(Projects[Value (M)],202)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INDEX(Projects[Automation Equipment],202)&amp;""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IF(AND(A203&lt;&gt;"",OR('Smart Search'!$L$5="",'Smart Search'!$L$5="All",TRIM(BZ203)=TRIM('Smart Search'!$L$5)),OR(TRIM('Smart Search'!$L$6)="",TRIM('Smart Search'!$L$6)="All",ISNUMBER(SEARCH(SUBSTITUTE(SUBSTITUTE(SUBSTITUTE(TRIM('Smart Search'!$L$6),"~","~~"),"*","~*"),"?","~?"),CA203))),OR('Smart Search'!$L$7="",AND(CB203&lt;&gt;0,CB203='Smart Search'!$L$7)),OR('Smart Search'!$L$8="",'Smart Search'!$L$8="All",TRIM(CC203)=TRIM('Smart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IF(A203="","",N(INDEX(Projects[Mech Inst],202)))</f>
        <v/>
      </c>
      <c r="BK203" s="5">
        <f>IF(A203="","",N(INDEX(Projects[Elec Inst],202)))</f>
        <v/>
      </c>
      <c r="BL203" s="5">
        <f>IF(A203="","",N(INDEX(Projects[Project Management],202)))</f>
        <v/>
      </c>
      <c r="BM203" s="5">
        <f>IF(A203="","",N(INDEX(Projects[Systems Eng],202)))</f>
        <v/>
      </c>
      <c r="BN203" s="5">
        <f>IF(A203="","",N(INDEX(Projects[Mechanical Eng],202)))</f>
        <v/>
      </c>
      <c r="BO203" s="5">
        <f>IF(A203="","",N(INDEX(Projects[Structural Engineering],202)))</f>
        <v/>
      </c>
      <c r="BP203" s="5">
        <f>IF(A203="","",N(INDEX(Projects[Site Sup],202)))</f>
        <v/>
      </c>
      <c r="BQ203" s="5">
        <f>IF(A203="","",N(INDEX(Projects[Controls Commissioning],202)))</f>
        <v/>
      </c>
      <c r="BR203" s="5">
        <f>IF(A203="","",N(INDEX(Projects[Systems Commissioning],202)))</f>
        <v/>
      </c>
      <c r="BS203" s="5">
        <f>IF(A203="","",N(INDEX(Projects[Service Commissioning],202)))</f>
        <v/>
      </c>
      <c r="BT203" s="5">
        <f>IF(A203="","",N(INDEX(Projects[Controls Eng],202)))</f>
        <v/>
      </c>
      <c r="BU203" s="5">
        <f>IF(A203="","",N(INDEX(Projects[Controls Purchase],202)))</f>
        <v/>
      </c>
      <c r="BV203" s="5">
        <f>IF(A203="","",N(INDEX(Projects[Software Eng],202)))</f>
        <v/>
      </c>
      <c r="BW203" s="5">
        <f>IF(A203="","",N(INDEX(Projects[Misc],202)))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  <c r="BZ203" s="5">
        <f>INDEX(Projects[Solution Type],202)&amp;""</f>
        <v/>
      </c>
      <c r="CA203" s="5">
        <f>INDEX(Projects[Client / Region],202)&amp;""</f>
        <v/>
      </c>
      <c r="CB203" s="5">
        <f>INDEX(Projects[Year],202)</f>
        <v/>
      </c>
      <c r="CC203" s="5">
        <f>INDEX(Projects[Won?],202)&amp;""</f>
        <v/>
      </c>
      <c r="CD203" s="5">
        <f>INDEX(Projects[Value (USD M)],202)</f>
        <v/>
      </c>
      <c r="CE203" s="5">
        <f>INDEX(Projects[MH Data Status],202)&amp;""</f>
        <v/>
      </c>
    </row>
    <row r="204" ht="15" customHeight="1" s="74">
      <c r="A204" s="66">
        <f>INDEX(Projects[Project ID *],203)&amp;""</f>
        <v/>
      </c>
      <c r="B204" s="66">
        <f>INDEX(Projects[Project Name *],203)&amp;""</f>
        <v/>
      </c>
      <c r="C204" s="66">
        <f>INDEX(Projects[MS Shuttles],203)</f>
        <v/>
      </c>
      <c r="D204" s="66">
        <f>INDEX(Projects[MS Tote Locations],203)</f>
        <v/>
      </c>
      <c r="E204" s="66">
        <f>INDEX(Projects[AS Robots],203)</f>
        <v/>
      </c>
      <c r="F204" s="66">
        <f>INDEX(Projects[AS Tote Locations],203)</f>
        <v/>
      </c>
      <c r="G204" s="66">
        <f>INDEX(Projects[PS Shuttles],203)</f>
        <v/>
      </c>
      <c r="H204" s="66">
        <f>INDEX(Projects[PS Pallet Locations],203)</f>
        <v/>
      </c>
      <c r="I204" s="66">
        <f>INDEX(Projects[SRM Cranes],203)</f>
        <v/>
      </c>
      <c r="J204" s="66">
        <f>INDEX(Projects[SRM Pallet Locations],203)</f>
        <v/>
      </c>
      <c r="K204" s="66">
        <f>INDEX(Projects[Case Conv (m)],203)</f>
        <v/>
      </c>
      <c r="L204" s="66">
        <f>INDEX(Projects[Pallet Conv (m)],203)</f>
        <v/>
      </c>
      <c r="M204" s="66">
        <f>INDEX(Projects[Mech Eng (wks)],203)</f>
        <v/>
      </c>
      <c r="N204" s="66">
        <f>INDEX(Projects[Controls Eng (wks)],203)</f>
        <v/>
      </c>
      <c r="O204" s="66">
        <f>INDEX(Projects[Systems Eng (wks)],203)</f>
        <v/>
      </c>
      <c r="P204" s="66">
        <f>INDEX(Projects[Software Eng (wks)],203)</f>
        <v/>
      </c>
      <c r="Q204" s="66">
        <f>INDEX(Projects[M&amp;E Installation (wks)],203)</f>
        <v/>
      </c>
      <c r="R204" s="66">
        <f>INDEX(Projects[Commissioning (wks)],203)</f>
        <v/>
      </c>
      <c r="S204" s="66">
        <f>INDEX(Projects[Total Timeline (wks)],203)</f>
        <v/>
      </c>
      <c r="T204" s="66">
        <f>INDEX(Projects[Currency],203)&amp;""</f>
        <v/>
      </c>
      <c r="U204" s="67">
        <f>INDEX(Projects[Value (M)],203)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INDEX(Projects[Automation Equipment],203)&amp;""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IF(AND(A204&lt;&gt;"",OR('Smart Search'!$L$5="",'Smart Search'!$L$5="All",TRIM(BZ204)=TRIM('Smart Search'!$L$5)),OR(TRIM('Smart Search'!$L$6)="",TRIM('Smart Search'!$L$6)="All",ISNUMBER(SEARCH(SUBSTITUTE(SUBSTITUTE(SUBSTITUTE(TRIM('Smart Search'!$L$6),"~","~~"),"*","~*"),"?","~?"),CA204))),OR('Smart Search'!$L$7="",AND(CB204&lt;&gt;0,CB204='Smart Search'!$L$7)),OR('Smart Search'!$L$8="",'Smart Search'!$L$8="All",TRIM(CC204)=TRIM('Smart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IF(A204="","",N(INDEX(Projects[Mech Inst],203)))</f>
        <v/>
      </c>
      <c r="BK204" s="5">
        <f>IF(A204="","",N(INDEX(Projects[Elec Inst],203)))</f>
        <v/>
      </c>
      <c r="BL204" s="5">
        <f>IF(A204="","",N(INDEX(Projects[Project Management],203)))</f>
        <v/>
      </c>
      <c r="BM204" s="5">
        <f>IF(A204="","",N(INDEX(Projects[Systems Eng],203)))</f>
        <v/>
      </c>
      <c r="BN204" s="5">
        <f>IF(A204="","",N(INDEX(Projects[Mechanical Eng],203)))</f>
        <v/>
      </c>
      <c r="BO204" s="5">
        <f>IF(A204="","",N(INDEX(Projects[Structural Engineering],203)))</f>
        <v/>
      </c>
      <c r="BP204" s="5">
        <f>IF(A204="","",N(INDEX(Projects[Site Sup],203)))</f>
        <v/>
      </c>
      <c r="BQ204" s="5">
        <f>IF(A204="","",N(INDEX(Projects[Controls Commissioning],203)))</f>
        <v/>
      </c>
      <c r="BR204" s="5">
        <f>IF(A204="","",N(INDEX(Projects[Systems Commissioning],203)))</f>
        <v/>
      </c>
      <c r="BS204" s="5">
        <f>IF(A204="","",N(INDEX(Projects[Service Commissioning],203)))</f>
        <v/>
      </c>
      <c r="BT204" s="5">
        <f>IF(A204="","",N(INDEX(Projects[Controls Eng],203)))</f>
        <v/>
      </c>
      <c r="BU204" s="5">
        <f>IF(A204="","",N(INDEX(Projects[Controls Purchase],203)))</f>
        <v/>
      </c>
      <c r="BV204" s="5">
        <f>IF(A204="","",N(INDEX(Projects[Software Eng],203)))</f>
        <v/>
      </c>
      <c r="BW204" s="5">
        <f>IF(A204="","",N(INDEX(Projects[Misc],203)))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  <c r="BZ204" s="5">
        <f>INDEX(Projects[Solution Type],203)&amp;""</f>
        <v/>
      </c>
      <c r="CA204" s="5">
        <f>INDEX(Projects[Client / Region],203)&amp;""</f>
        <v/>
      </c>
      <c r="CB204" s="5">
        <f>INDEX(Projects[Year],203)</f>
        <v/>
      </c>
      <c r="CC204" s="5">
        <f>INDEX(Projects[Won?],203)&amp;""</f>
        <v/>
      </c>
      <c r="CD204" s="5">
        <f>INDEX(Projects[Value (USD M)],203)</f>
        <v/>
      </c>
      <c r="CE204" s="5">
        <f>INDEX(Projects[MH Data Status],203)&amp;""</f>
        <v/>
      </c>
    </row>
    <row r="205" ht="15" customHeight="1" s="74">
      <c r="A205" s="66">
        <f>INDEX(Projects[Project ID *],204)&amp;""</f>
        <v/>
      </c>
      <c r="B205" s="66">
        <f>INDEX(Projects[Project Name *],204)&amp;""</f>
        <v/>
      </c>
      <c r="C205" s="66">
        <f>INDEX(Projects[MS Shuttles],204)</f>
        <v/>
      </c>
      <c r="D205" s="66">
        <f>INDEX(Projects[MS Tote Locations],204)</f>
        <v/>
      </c>
      <c r="E205" s="66">
        <f>INDEX(Projects[AS Robots],204)</f>
        <v/>
      </c>
      <c r="F205" s="66">
        <f>INDEX(Projects[AS Tote Locations],204)</f>
        <v/>
      </c>
      <c r="G205" s="66">
        <f>INDEX(Projects[PS Shuttles],204)</f>
        <v/>
      </c>
      <c r="H205" s="66">
        <f>INDEX(Projects[PS Pallet Locations],204)</f>
        <v/>
      </c>
      <c r="I205" s="66">
        <f>INDEX(Projects[SRM Cranes],204)</f>
        <v/>
      </c>
      <c r="J205" s="66">
        <f>INDEX(Projects[SRM Pallet Locations],204)</f>
        <v/>
      </c>
      <c r="K205" s="66">
        <f>INDEX(Projects[Case Conv (m)],204)</f>
        <v/>
      </c>
      <c r="L205" s="66">
        <f>INDEX(Projects[Pallet Conv (m)],204)</f>
        <v/>
      </c>
      <c r="M205" s="66">
        <f>INDEX(Projects[Mech Eng (wks)],204)</f>
        <v/>
      </c>
      <c r="N205" s="66">
        <f>INDEX(Projects[Controls Eng (wks)],204)</f>
        <v/>
      </c>
      <c r="O205" s="66">
        <f>INDEX(Projects[Systems Eng (wks)],204)</f>
        <v/>
      </c>
      <c r="P205" s="66">
        <f>INDEX(Projects[Software Eng (wks)],204)</f>
        <v/>
      </c>
      <c r="Q205" s="66">
        <f>INDEX(Projects[M&amp;E Installation (wks)],204)</f>
        <v/>
      </c>
      <c r="R205" s="66">
        <f>INDEX(Projects[Commissioning (wks)],204)</f>
        <v/>
      </c>
      <c r="S205" s="66">
        <f>INDEX(Projects[Total Timeline (wks)],204)</f>
        <v/>
      </c>
      <c r="T205" s="66">
        <f>INDEX(Projects[Currency],204)&amp;""</f>
        <v/>
      </c>
      <c r="U205" s="67">
        <f>INDEX(Projects[Value (M)],204)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INDEX(Projects[Automation Equipment],204)&amp;""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IF(AND(A205&lt;&gt;"",OR('Smart Search'!$L$5="",'Smart Search'!$L$5="All",TRIM(BZ205)=TRIM('Smart Search'!$L$5)),OR(TRIM('Smart Search'!$L$6)="",TRIM('Smart Search'!$L$6)="All",ISNUMBER(SEARCH(SUBSTITUTE(SUBSTITUTE(SUBSTITUTE(TRIM('Smart Search'!$L$6),"~","~~"),"*","~*"),"?","~?"),CA205))),OR('Smart Search'!$L$7="",AND(CB205&lt;&gt;0,CB205='Smart Search'!$L$7)),OR('Smart Search'!$L$8="",'Smart Search'!$L$8="All",TRIM(CC205)=TRIM('Smart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IF(A205="","",N(INDEX(Projects[Mech Inst],204)))</f>
        <v/>
      </c>
      <c r="BK205" s="5">
        <f>IF(A205="","",N(INDEX(Projects[Elec Inst],204)))</f>
        <v/>
      </c>
      <c r="BL205" s="5">
        <f>IF(A205="","",N(INDEX(Projects[Project Management],204)))</f>
        <v/>
      </c>
      <c r="BM205" s="5">
        <f>IF(A205="","",N(INDEX(Projects[Systems Eng],204)))</f>
        <v/>
      </c>
      <c r="BN205" s="5">
        <f>IF(A205="","",N(INDEX(Projects[Mechanical Eng],204)))</f>
        <v/>
      </c>
      <c r="BO205" s="5">
        <f>IF(A205="","",N(INDEX(Projects[Structural Engineering],204)))</f>
        <v/>
      </c>
      <c r="BP205" s="5">
        <f>IF(A205="","",N(INDEX(Projects[Site Sup],204)))</f>
        <v/>
      </c>
      <c r="BQ205" s="5">
        <f>IF(A205="","",N(INDEX(Projects[Controls Commissioning],204)))</f>
        <v/>
      </c>
      <c r="BR205" s="5">
        <f>IF(A205="","",N(INDEX(Projects[Systems Commissioning],204)))</f>
        <v/>
      </c>
      <c r="BS205" s="5">
        <f>IF(A205="","",N(INDEX(Projects[Service Commissioning],204)))</f>
        <v/>
      </c>
      <c r="BT205" s="5">
        <f>IF(A205="","",N(INDEX(Projects[Controls Eng],204)))</f>
        <v/>
      </c>
      <c r="BU205" s="5">
        <f>IF(A205="","",N(INDEX(Projects[Controls Purchase],204)))</f>
        <v/>
      </c>
      <c r="BV205" s="5">
        <f>IF(A205="","",N(INDEX(Projects[Software Eng],204)))</f>
        <v/>
      </c>
      <c r="BW205" s="5">
        <f>IF(A205="","",N(INDEX(Projects[Misc],204)))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  <c r="BZ205" s="5">
        <f>INDEX(Projects[Solution Type],204)&amp;""</f>
        <v/>
      </c>
      <c r="CA205" s="5">
        <f>INDEX(Projects[Client / Region],204)&amp;""</f>
        <v/>
      </c>
      <c r="CB205" s="5">
        <f>INDEX(Projects[Year],204)</f>
        <v/>
      </c>
      <c r="CC205" s="5">
        <f>INDEX(Projects[Won?],204)&amp;""</f>
        <v/>
      </c>
      <c r="CD205" s="5">
        <f>INDEX(Projects[Value (USD M)],204)</f>
        <v/>
      </c>
      <c r="CE205" s="5">
        <f>INDEX(Projects[MH Data Status],204)&amp;""</f>
        <v/>
      </c>
    </row>
    <row r="206" ht="15" customHeight="1" s="74">
      <c r="A206" s="66">
        <f>INDEX(Projects[Project ID *],205)&amp;""</f>
        <v/>
      </c>
      <c r="B206" s="66">
        <f>INDEX(Projects[Project Name *],205)&amp;""</f>
        <v/>
      </c>
      <c r="C206" s="66">
        <f>INDEX(Projects[MS Shuttles],205)</f>
        <v/>
      </c>
      <c r="D206" s="66">
        <f>INDEX(Projects[MS Tote Locations],205)</f>
        <v/>
      </c>
      <c r="E206" s="66">
        <f>INDEX(Projects[AS Robots],205)</f>
        <v/>
      </c>
      <c r="F206" s="66">
        <f>INDEX(Projects[AS Tote Locations],205)</f>
        <v/>
      </c>
      <c r="G206" s="66">
        <f>INDEX(Projects[PS Shuttles],205)</f>
        <v/>
      </c>
      <c r="H206" s="66">
        <f>INDEX(Projects[PS Pallet Locations],205)</f>
        <v/>
      </c>
      <c r="I206" s="66">
        <f>INDEX(Projects[SRM Cranes],205)</f>
        <v/>
      </c>
      <c r="J206" s="66">
        <f>INDEX(Projects[SRM Pallet Locations],205)</f>
        <v/>
      </c>
      <c r="K206" s="66">
        <f>INDEX(Projects[Case Conv (m)],205)</f>
        <v/>
      </c>
      <c r="L206" s="66">
        <f>INDEX(Projects[Pallet Conv (m)],205)</f>
        <v/>
      </c>
      <c r="M206" s="66">
        <f>INDEX(Projects[Mech Eng (wks)],205)</f>
        <v/>
      </c>
      <c r="N206" s="66">
        <f>INDEX(Projects[Controls Eng (wks)],205)</f>
        <v/>
      </c>
      <c r="O206" s="66">
        <f>INDEX(Projects[Systems Eng (wks)],205)</f>
        <v/>
      </c>
      <c r="P206" s="66">
        <f>INDEX(Projects[Software Eng (wks)],205)</f>
        <v/>
      </c>
      <c r="Q206" s="66">
        <f>INDEX(Projects[M&amp;E Installation (wks)],205)</f>
        <v/>
      </c>
      <c r="R206" s="66">
        <f>INDEX(Projects[Commissioning (wks)],205)</f>
        <v/>
      </c>
      <c r="S206" s="66">
        <f>INDEX(Projects[Total Timeline (wks)],205)</f>
        <v/>
      </c>
      <c r="T206" s="66">
        <f>INDEX(Projects[Currency],205)&amp;""</f>
        <v/>
      </c>
      <c r="U206" s="67">
        <f>INDEX(Projects[Value (M)],205)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INDEX(Projects[Automation Equipment],205)&amp;""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IF(AND(A206&lt;&gt;"",OR('Smart Search'!$L$5="",'Smart Search'!$L$5="All",TRIM(BZ206)=TRIM('Smart Search'!$L$5)),OR(TRIM('Smart Search'!$L$6)="",TRIM('Smart Search'!$L$6)="All",ISNUMBER(SEARCH(SUBSTITUTE(SUBSTITUTE(SUBSTITUTE(TRIM('Smart Search'!$L$6),"~","~~"),"*","~*"),"?","~?"),CA206))),OR('Smart Search'!$L$7="",AND(CB206&lt;&gt;0,CB206='Smart Search'!$L$7)),OR('Smart Search'!$L$8="",'Smart Search'!$L$8="All",TRIM(CC206)=TRIM('Smart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IF(A206="","",N(INDEX(Projects[Mech Inst],205)))</f>
        <v/>
      </c>
      <c r="BK206" s="5">
        <f>IF(A206="","",N(INDEX(Projects[Elec Inst],205)))</f>
        <v/>
      </c>
      <c r="BL206" s="5">
        <f>IF(A206="","",N(INDEX(Projects[Project Management],205)))</f>
        <v/>
      </c>
      <c r="BM206" s="5">
        <f>IF(A206="","",N(INDEX(Projects[Systems Eng],205)))</f>
        <v/>
      </c>
      <c r="BN206" s="5">
        <f>IF(A206="","",N(INDEX(Projects[Mechanical Eng],205)))</f>
        <v/>
      </c>
      <c r="BO206" s="5">
        <f>IF(A206="","",N(INDEX(Projects[Structural Engineering],205)))</f>
        <v/>
      </c>
      <c r="BP206" s="5">
        <f>IF(A206="","",N(INDEX(Projects[Site Sup],205)))</f>
        <v/>
      </c>
      <c r="BQ206" s="5">
        <f>IF(A206="","",N(INDEX(Projects[Controls Commissioning],205)))</f>
        <v/>
      </c>
      <c r="BR206" s="5">
        <f>IF(A206="","",N(INDEX(Projects[Systems Commissioning],205)))</f>
        <v/>
      </c>
      <c r="BS206" s="5">
        <f>IF(A206="","",N(INDEX(Projects[Service Commissioning],205)))</f>
        <v/>
      </c>
      <c r="BT206" s="5">
        <f>IF(A206="","",N(INDEX(Projects[Controls Eng],205)))</f>
        <v/>
      </c>
      <c r="BU206" s="5">
        <f>IF(A206="","",N(INDEX(Projects[Controls Purchase],205)))</f>
        <v/>
      </c>
      <c r="BV206" s="5">
        <f>IF(A206="","",N(INDEX(Projects[Software Eng],205)))</f>
        <v/>
      </c>
      <c r="BW206" s="5">
        <f>IF(A206="","",N(INDEX(Projects[Misc],205)))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  <c r="BZ206" s="5">
        <f>INDEX(Projects[Solution Type],205)&amp;""</f>
        <v/>
      </c>
      <c r="CA206" s="5">
        <f>INDEX(Projects[Client / Region],205)&amp;""</f>
        <v/>
      </c>
      <c r="CB206" s="5">
        <f>INDEX(Projects[Year],205)</f>
        <v/>
      </c>
      <c r="CC206" s="5">
        <f>INDEX(Projects[Won?],205)&amp;""</f>
        <v/>
      </c>
      <c r="CD206" s="5">
        <f>INDEX(Projects[Value (USD M)],205)</f>
        <v/>
      </c>
      <c r="CE206" s="5">
        <f>INDEX(Projects[MH Data Status],205)&amp;""</f>
        <v/>
      </c>
    </row>
    <row r="207" ht="15" customHeight="1" s="74">
      <c r="A207" s="66">
        <f>INDEX(Projects[Project ID *],206)&amp;""</f>
        <v/>
      </c>
      <c r="B207" s="66">
        <f>INDEX(Projects[Project Name *],206)&amp;""</f>
        <v/>
      </c>
      <c r="C207" s="66">
        <f>INDEX(Projects[MS Shuttles],206)</f>
        <v/>
      </c>
      <c r="D207" s="66">
        <f>INDEX(Projects[MS Tote Locations],206)</f>
        <v/>
      </c>
      <c r="E207" s="66">
        <f>INDEX(Projects[AS Robots],206)</f>
        <v/>
      </c>
      <c r="F207" s="66">
        <f>INDEX(Projects[AS Tote Locations],206)</f>
        <v/>
      </c>
      <c r="G207" s="66">
        <f>INDEX(Projects[PS Shuttles],206)</f>
        <v/>
      </c>
      <c r="H207" s="66">
        <f>INDEX(Projects[PS Pallet Locations],206)</f>
        <v/>
      </c>
      <c r="I207" s="66">
        <f>INDEX(Projects[SRM Cranes],206)</f>
        <v/>
      </c>
      <c r="J207" s="66">
        <f>INDEX(Projects[SRM Pallet Locations],206)</f>
        <v/>
      </c>
      <c r="K207" s="66">
        <f>INDEX(Projects[Case Conv (m)],206)</f>
        <v/>
      </c>
      <c r="L207" s="66">
        <f>INDEX(Projects[Pallet Conv (m)],206)</f>
        <v/>
      </c>
      <c r="M207" s="66">
        <f>INDEX(Projects[Mech Eng (wks)],206)</f>
        <v/>
      </c>
      <c r="N207" s="66">
        <f>INDEX(Projects[Controls Eng (wks)],206)</f>
        <v/>
      </c>
      <c r="O207" s="66">
        <f>INDEX(Projects[Systems Eng (wks)],206)</f>
        <v/>
      </c>
      <c r="P207" s="66">
        <f>INDEX(Projects[Software Eng (wks)],206)</f>
        <v/>
      </c>
      <c r="Q207" s="66">
        <f>INDEX(Projects[M&amp;E Installation (wks)],206)</f>
        <v/>
      </c>
      <c r="R207" s="66">
        <f>INDEX(Projects[Commissioning (wks)],206)</f>
        <v/>
      </c>
      <c r="S207" s="66">
        <f>INDEX(Projects[Total Timeline (wks)],206)</f>
        <v/>
      </c>
      <c r="T207" s="66">
        <f>INDEX(Projects[Currency],206)&amp;""</f>
        <v/>
      </c>
      <c r="U207" s="67">
        <f>INDEX(Projects[Value (M)],206)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INDEX(Projects[Automation Equipment],206)&amp;""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IF(AND(A207&lt;&gt;"",OR('Smart Search'!$L$5="",'Smart Search'!$L$5="All",TRIM(BZ207)=TRIM('Smart Search'!$L$5)),OR(TRIM('Smart Search'!$L$6)="",TRIM('Smart Search'!$L$6)="All",ISNUMBER(SEARCH(SUBSTITUTE(SUBSTITUTE(SUBSTITUTE(TRIM('Smart Search'!$L$6),"~","~~"),"*","~*"),"?","~?"),CA207))),OR('Smart Search'!$L$7="",AND(CB207&lt;&gt;0,CB207='Smart Search'!$L$7)),OR('Smart Search'!$L$8="",'Smart Search'!$L$8="All",TRIM(CC207)=TRIM('Smart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IF(A207="","",N(INDEX(Projects[Mech Inst],206)))</f>
        <v/>
      </c>
      <c r="BK207" s="5">
        <f>IF(A207="","",N(INDEX(Projects[Elec Inst],206)))</f>
        <v/>
      </c>
      <c r="BL207" s="5">
        <f>IF(A207="","",N(INDEX(Projects[Project Management],206)))</f>
        <v/>
      </c>
      <c r="BM207" s="5">
        <f>IF(A207="","",N(INDEX(Projects[Systems Eng],206)))</f>
        <v/>
      </c>
      <c r="BN207" s="5">
        <f>IF(A207="","",N(INDEX(Projects[Mechanical Eng],206)))</f>
        <v/>
      </c>
      <c r="BO207" s="5">
        <f>IF(A207="","",N(INDEX(Projects[Structural Engineering],206)))</f>
        <v/>
      </c>
      <c r="BP207" s="5">
        <f>IF(A207="","",N(INDEX(Projects[Site Sup],206)))</f>
        <v/>
      </c>
      <c r="BQ207" s="5">
        <f>IF(A207="","",N(INDEX(Projects[Controls Commissioning],206)))</f>
        <v/>
      </c>
      <c r="BR207" s="5">
        <f>IF(A207="","",N(INDEX(Projects[Systems Commissioning],206)))</f>
        <v/>
      </c>
      <c r="BS207" s="5">
        <f>IF(A207="","",N(INDEX(Projects[Service Commissioning],206)))</f>
        <v/>
      </c>
      <c r="BT207" s="5">
        <f>IF(A207="","",N(INDEX(Projects[Controls Eng],206)))</f>
        <v/>
      </c>
      <c r="BU207" s="5">
        <f>IF(A207="","",N(INDEX(Projects[Controls Purchase],206)))</f>
        <v/>
      </c>
      <c r="BV207" s="5">
        <f>IF(A207="","",N(INDEX(Projects[Software Eng],206)))</f>
        <v/>
      </c>
      <c r="BW207" s="5">
        <f>IF(A207="","",N(INDEX(Projects[Misc],206)))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  <c r="BZ207" s="5">
        <f>INDEX(Projects[Solution Type],206)&amp;""</f>
        <v/>
      </c>
      <c r="CA207" s="5">
        <f>INDEX(Projects[Client / Region],206)&amp;""</f>
        <v/>
      </c>
      <c r="CB207" s="5">
        <f>INDEX(Projects[Year],206)</f>
        <v/>
      </c>
      <c r="CC207" s="5">
        <f>INDEX(Projects[Won?],206)&amp;""</f>
        <v/>
      </c>
      <c r="CD207" s="5">
        <f>INDEX(Projects[Value (USD M)],206)</f>
        <v/>
      </c>
      <c r="CE207" s="5">
        <f>INDEX(Projects[MH Data Status],206)&amp;""</f>
        <v/>
      </c>
    </row>
    <row r="208" ht="15" customHeight="1" s="74">
      <c r="A208" s="66">
        <f>INDEX(Projects[Project ID *],207)&amp;""</f>
        <v/>
      </c>
      <c r="B208" s="66">
        <f>INDEX(Projects[Project Name *],207)&amp;""</f>
        <v/>
      </c>
      <c r="C208" s="66">
        <f>INDEX(Projects[MS Shuttles],207)</f>
        <v/>
      </c>
      <c r="D208" s="66">
        <f>INDEX(Projects[MS Tote Locations],207)</f>
        <v/>
      </c>
      <c r="E208" s="66">
        <f>INDEX(Projects[AS Robots],207)</f>
        <v/>
      </c>
      <c r="F208" s="66">
        <f>INDEX(Projects[AS Tote Locations],207)</f>
        <v/>
      </c>
      <c r="G208" s="66">
        <f>INDEX(Projects[PS Shuttles],207)</f>
        <v/>
      </c>
      <c r="H208" s="66">
        <f>INDEX(Projects[PS Pallet Locations],207)</f>
        <v/>
      </c>
      <c r="I208" s="66">
        <f>INDEX(Projects[SRM Cranes],207)</f>
        <v/>
      </c>
      <c r="J208" s="66">
        <f>INDEX(Projects[SRM Pallet Locations],207)</f>
        <v/>
      </c>
      <c r="K208" s="66">
        <f>INDEX(Projects[Case Conv (m)],207)</f>
        <v/>
      </c>
      <c r="L208" s="66">
        <f>INDEX(Projects[Pallet Conv (m)],207)</f>
        <v/>
      </c>
      <c r="M208" s="66">
        <f>INDEX(Projects[Mech Eng (wks)],207)</f>
        <v/>
      </c>
      <c r="N208" s="66">
        <f>INDEX(Projects[Controls Eng (wks)],207)</f>
        <v/>
      </c>
      <c r="O208" s="66">
        <f>INDEX(Projects[Systems Eng (wks)],207)</f>
        <v/>
      </c>
      <c r="P208" s="66">
        <f>INDEX(Projects[Software Eng (wks)],207)</f>
        <v/>
      </c>
      <c r="Q208" s="66">
        <f>INDEX(Projects[M&amp;E Installation (wks)],207)</f>
        <v/>
      </c>
      <c r="R208" s="66">
        <f>INDEX(Projects[Commissioning (wks)],207)</f>
        <v/>
      </c>
      <c r="S208" s="66">
        <f>INDEX(Projects[Total Timeline (wks)],207)</f>
        <v/>
      </c>
      <c r="T208" s="66">
        <f>INDEX(Projects[Currency],207)&amp;""</f>
        <v/>
      </c>
      <c r="U208" s="67">
        <f>INDEX(Projects[Value (M)],207)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INDEX(Projects[Automation Equipment],207)&amp;""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IF(AND(A208&lt;&gt;"",OR('Smart Search'!$L$5="",'Smart Search'!$L$5="All",TRIM(BZ208)=TRIM('Smart Search'!$L$5)),OR(TRIM('Smart Search'!$L$6)="",TRIM('Smart Search'!$L$6)="All",ISNUMBER(SEARCH(SUBSTITUTE(SUBSTITUTE(SUBSTITUTE(TRIM('Smart Search'!$L$6),"~","~~"),"*","~*"),"?","~?"),CA208))),OR('Smart Search'!$L$7="",AND(CB208&lt;&gt;0,CB208='Smart Search'!$L$7)),OR('Smart Search'!$L$8="",'Smart Search'!$L$8="All",TRIM(CC208)=TRIM('Smart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IF(A208="","",N(INDEX(Projects[Mech Inst],207)))</f>
        <v/>
      </c>
      <c r="BK208" s="5">
        <f>IF(A208="","",N(INDEX(Projects[Elec Inst],207)))</f>
        <v/>
      </c>
      <c r="BL208" s="5">
        <f>IF(A208="","",N(INDEX(Projects[Project Management],207)))</f>
        <v/>
      </c>
      <c r="BM208" s="5">
        <f>IF(A208="","",N(INDEX(Projects[Systems Eng],207)))</f>
        <v/>
      </c>
      <c r="BN208" s="5">
        <f>IF(A208="","",N(INDEX(Projects[Mechanical Eng],207)))</f>
        <v/>
      </c>
      <c r="BO208" s="5">
        <f>IF(A208="","",N(INDEX(Projects[Structural Engineering],207)))</f>
        <v/>
      </c>
      <c r="BP208" s="5">
        <f>IF(A208="","",N(INDEX(Projects[Site Sup],207)))</f>
        <v/>
      </c>
      <c r="BQ208" s="5">
        <f>IF(A208="","",N(INDEX(Projects[Controls Commissioning],207)))</f>
        <v/>
      </c>
      <c r="BR208" s="5">
        <f>IF(A208="","",N(INDEX(Projects[Systems Commissioning],207)))</f>
        <v/>
      </c>
      <c r="BS208" s="5">
        <f>IF(A208="","",N(INDEX(Projects[Service Commissioning],207)))</f>
        <v/>
      </c>
      <c r="BT208" s="5">
        <f>IF(A208="","",N(INDEX(Projects[Controls Eng],207)))</f>
        <v/>
      </c>
      <c r="BU208" s="5">
        <f>IF(A208="","",N(INDEX(Projects[Controls Purchase],207)))</f>
        <v/>
      </c>
      <c r="BV208" s="5">
        <f>IF(A208="","",N(INDEX(Projects[Software Eng],207)))</f>
        <v/>
      </c>
      <c r="BW208" s="5">
        <f>IF(A208="","",N(INDEX(Projects[Misc],207)))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  <c r="BZ208" s="5">
        <f>INDEX(Projects[Solution Type],207)&amp;""</f>
        <v/>
      </c>
      <c r="CA208" s="5">
        <f>INDEX(Projects[Client / Region],207)&amp;""</f>
        <v/>
      </c>
      <c r="CB208" s="5">
        <f>INDEX(Projects[Year],207)</f>
        <v/>
      </c>
      <c r="CC208" s="5">
        <f>INDEX(Projects[Won?],207)&amp;""</f>
        <v/>
      </c>
      <c r="CD208" s="5">
        <f>INDEX(Projects[Value (USD M)],207)</f>
        <v/>
      </c>
      <c r="CE208" s="5">
        <f>INDEX(Projects[MH Data Status],207)&amp;""</f>
        <v/>
      </c>
    </row>
    <row r="209" ht="15" customHeight="1" s="74">
      <c r="A209" s="66">
        <f>INDEX(Projects[Project ID *],208)&amp;""</f>
        <v/>
      </c>
      <c r="B209" s="66">
        <f>INDEX(Projects[Project Name *],208)&amp;""</f>
        <v/>
      </c>
      <c r="C209" s="66">
        <f>INDEX(Projects[MS Shuttles],208)</f>
        <v/>
      </c>
      <c r="D209" s="66">
        <f>INDEX(Projects[MS Tote Locations],208)</f>
        <v/>
      </c>
      <c r="E209" s="66">
        <f>INDEX(Projects[AS Robots],208)</f>
        <v/>
      </c>
      <c r="F209" s="66">
        <f>INDEX(Projects[AS Tote Locations],208)</f>
        <v/>
      </c>
      <c r="G209" s="66">
        <f>INDEX(Projects[PS Shuttles],208)</f>
        <v/>
      </c>
      <c r="H209" s="66">
        <f>INDEX(Projects[PS Pallet Locations],208)</f>
        <v/>
      </c>
      <c r="I209" s="66">
        <f>INDEX(Projects[SRM Cranes],208)</f>
        <v/>
      </c>
      <c r="J209" s="66">
        <f>INDEX(Projects[SRM Pallet Locations],208)</f>
        <v/>
      </c>
      <c r="K209" s="66">
        <f>INDEX(Projects[Case Conv (m)],208)</f>
        <v/>
      </c>
      <c r="L209" s="66">
        <f>INDEX(Projects[Pallet Conv (m)],208)</f>
        <v/>
      </c>
      <c r="M209" s="66">
        <f>INDEX(Projects[Mech Eng (wks)],208)</f>
        <v/>
      </c>
      <c r="N209" s="66">
        <f>INDEX(Projects[Controls Eng (wks)],208)</f>
        <v/>
      </c>
      <c r="O209" s="66">
        <f>INDEX(Projects[Systems Eng (wks)],208)</f>
        <v/>
      </c>
      <c r="P209" s="66">
        <f>INDEX(Projects[Software Eng (wks)],208)</f>
        <v/>
      </c>
      <c r="Q209" s="66">
        <f>INDEX(Projects[M&amp;E Installation (wks)],208)</f>
        <v/>
      </c>
      <c r="R209" s="66">
        <f>INDEX(Projects[Commissioning (wks)],208)</f>
        <v/>
      </c>
      <c r="S209" s="66">
        <f>INDEX(Projects[Total Timeline (wks)],208)</f>
        <v/>
      </c>
      <c r="T209" s="66">
        <f>INDEX(Projects[Currency],208)&amp;""</f>
        <v/>
      </c>
      <c r="U209" s="67">
        <f>INDEX(Projects[Value (M)],208)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INDEX(Projects[Automation Equipment],208)&amp;""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IF(AND(A209&lt;&gt;"",OR('Smart Search'!$L$5="",'Smart Search'!$L$5="All",TRIM(BZ209)=TRIM('Smart Search'!$L$5)),OR(TRIM('Smart Search'!$L$6)="",TRIM('Smart Search'!$L$6)="All",ISNUMBER(SEARCH(SUBSTITUTE(SUBSTITUTE(SUBSTITUTE(TRIM('Smart Search'!$L$6),"~","~~"),"*","~*"),"?","~?"),CA209))),OR('Smart Search'!$L$7="",AND(CB209&lt;&gt;0,CB209='Smart Search'!$L$7)),OR('Smart Search'!$L$8="",'Smart Search'!$L$8="All",TRIM(CC209)=TRIM('Smart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IF(A209="","",N(INDEX(Projects[Mech Inst],208)))</f>
        <v/>
      </c>
      <c r="BK209" s="5">
        <f>IF(A209="","",N(INDEX(Projects[Elec Inst],208)))</f>
        <v/>
      </c>
      <c r="BL209" s="5">
        <f>IF(A209="","",N(INDEX(Projects[Project Management],208)))</f>
        <v/>
      </c>
      <c r="BM209" s="5">
        <f>IF(A209="","",N(INDEX(Projects[Systems Eng],208)))</f>
        <v/>
      </c>
      <c r="BN209" s="5">
        <f>IF(A209="","",N(INDEX(Projects[Mechanical Eng],208)))</f>
        <v/>
      </c>
      <c r="BO209" s="5">
        <f>IF(A209="","",N(INDEX(Projects[Structural Engineering],208)))</f>
        <v/>
      </c>
      <c r="BP209" s="5">
        <f>IF(A209="","",N(INDEX(Projects[Site Sup],208)))</f>
        <v/>
      </c>
      <c r="BQ209" s="5">
        <f>IF(A209="","",N(INDEX(Projects[Controls Commissioning],208)))</f>
        <v/>
      </c>
      <c r="BR209" s="5">
        <f>IF(A209="","",N(INDEX(Projects[Systems Commissioning],208)))</f>
        <v/>
      </c>
      <c r="BS209" s="5">
        <f>IF(A209="","",N(INDEX(Projects[Service Commissioning],208)))</f>
        <v/>
      </c>
      <c r="BT209" s="5">
        <f>IF(A209="","",N(INDEX(Projects[Controls Eng],208)))</f>
        <v/>
      </c>
      <c r="BU209" s="5">
        <f>IF(A209="","",N(INDEX(Projects[Controls Purchase],208)))</f>
        <v/>
      </c>
      <c r="BV209" s="5">
        <f>IF(A209="","",N(INDEX(Projects[Software Eng],208)))</f>
        <v/>
      </c>
      <c r="BW209" s="5">
        <f>IF(A209="","",N(INDEX(Projects[Misc],208)))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  <c r="BZ209" s="5">
        <f>INDEX(Projects[Solution Type],208)&amp;""</f>
        <v/>
      </c>
      <c r="CA209" s="5">
        <f>INDEX(Projects[Client / Region],208)&amp;""</f>
        <v/>
      </c>
      <c r="CB209" s="5">
        <f>INDEX(Projects[Year],208)</f>
        <v/>
      </c>
      <c r="CC209" s="5">
        <f>INDEX(Projects[Won?],208)&amp;""</f>
        <v/>
      </c>
      <c r="CD209" s="5">
        <f>INDEX(Projects[Value (USD M)],208)</f>
        <v/>
      </c>
      <c r="CE209" s="5">
        <f>INDEX(Projects[MH Data Status],208)&amp;""</f>
        <v/>
      </c>
    </row>
    <row r="210" ht="15" customHeight="1" s="74">
      <c r="A210" s="66">
        <f>INDEX(Projects[Project ID *],209)&amp;""</f>
        <v/>
      </c>
      <c r="B210" s="66">
        <f>INDEX(Projects[Project Name *],209)&amp;""</f>
        <v/>
      </c>
      <c r="C210" s="66">
        <f>INDEX(Projects[MS Shuttles],209)</f>
        <v/>
      </c>
      <c r="D210" s="66">
        <f>INDEX(Projects[MS Tote Locations],209)</f>
        <v/>
      </c>
      <c r="E210" s="66">
        <f>INDEX(Projects[AS Robots],209)</f>
        <v/>
      </c>
      <c r="F210" s="66">
        <f>INDEX(Projects[AS Tote Locations],209)</f>
        <v/>
      </c>
      <c r="G210" s="66">
        <f>INDEX(Projects[PS Shuttles],209)</f>
        <v/>
      </c>
      <c r="H210" s="66">
        <f>INDEX(Projects[PS Pallet Locations],209)</f>
        <v/>
      </c>
      <c r="I210" s="66">
        <f>INDEX(Projects[SRM Cranes],209)</f>
        <v/>
      </c>
      <c r="J210" s="66">
        <f>INDEX(Projects[SRM Pallet Locations],209)</f>
        <v/>
      </c>
      <c r="K210" s="66">
        <f>INDEX(Projects[Case Conv (m)],209)</f>
        <v/>
      </c>
      <c r="L210" s="66">
        <f>INDEX(Projects[Pallet Conv (m)],209)</f>
        <v/>
      </c>
      <c r="M210" s="66">
        <f>INDEX(Projects[Mech Eng (wks)],209)</f>
        <v/>
      </c>
      <c r="N210" s="66">
        <f>INDEX(Projects[Controls Eng (wks)],209)</f>
        <v/>
      </c>
      <c r="O210" s="66">
        <f>INDEX(Projects[Systems Eng (wks)],209)</f>
        <v/>
      </c>
      <c r="P210" s="66">
        <f>INDEX(Projects[Software Eng (wks)],209)</f>
        <v/>
      </c>
      <c r="Q210" s="66">
        <f>INDEX(Projects[M&amp;E Installation (wks)],209)</f>
        <v/>
      </c>
      <c r="R210" s="66">
        <f>INDEX(Projects[Commissioning (wks)],209)</f>
        <v/>
      </c>
      <c r="S210" s="66">
        <f>INDEX(Projects[Total Timeline (wks)],209)</f>
        <v/>
      </c>
      <c r="T210" s="66">
        <f>INDEX(Projects[Currency],209)&amp;""</f>
        <v/>
      </c>
      <c r="U210" s="67">
        <f>INDEX(Projects[Value (M)],209)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INDEX(Projects[Automation Equipment],209)&amp;""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IF(AND(A210&lt;&gt;"",OR('Smart Search'!$L$5="",'Smart Search'!$L$5="All",TRIM(BZ210)=TRIM('Smart Search'!$L$5)),OR(TRIM('Smart Search'!$L$6)="",TRIM('Smart Search'!$L$6)="All",ISNUMBER(SEARCH(SUBSTITUTE(SUBSTITUTE(SUBSTITUTE(TRIM('Smart Search'!$L$6),"~","~~"),"*","~*"),"?","~?"),CA210))),OR('Smart Search'!$L$7="",AND(CB210&lt;&gt;0,CB210='Smart Search'!$L$7)),OR('Smart Search'!$L$8="",'Smart Search'!$L$8="All",TRIM(CC210)=TRIM('Smart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IF(A210="","",N(INDEX(Projects[Mech Inst],209)))</f>
        <v/>
      </c>
      <c r="BK210" s="5">
        <f>IF(A210="","",N(INDEX(Projects[Elec Inst],209)))</f>
        <v/>
      </c>
      <c r="BL210" s="5">
        <f>IF(A210="","",N(INDEX(Projects[Project Management],209)))</f>
        <v/>
      </c>
      <c r="BM210" s="5">
        <f>IF(A210="","",N(INDEX(Projects[Systems Eng],209)))</f>
        <v/>
      </c>
      <c r="BN210" s="5">
        <f>IF(A210="","",N(INDEX(Projects[Mechanical Eng],209)))</f>
        <v/>
      </c>
      <c r="BO210" s="5">
        <f>IF(A210="","",N(INDEX(Projects[Structural Engineering],209)))</f>
        <v/>
      </c>
      <c r="BP210" s="5">
        <f>IF(A210="","",N(INDEX(Projects[Site Sup],209)))</f>
        <v/>
      </c>
      <c r="BQ210" s="5">
        <f>IF(A210="","",N(INDEX(Projects[Controls Commissioning],209)))</f>
        <v/>
      </c>
      <c r="BR210" s="5">
        <f>IF(A210="","",N(INDEX(Projects[Systems Commissioning],209)))</f>
        <v/>
      </c>
      <c r="BS210" s="5">
        <f>IF(A210="","",N(INDEX(Projects[Service Commissioning],209)))</f>
        <v/>
      </c>
      <c r="BT210" s="5">
        <f>IF(A210="","",N(INDEX(Projects[Controls Eng],209)))</f>
        <v/>
      </c>
      <c r="BU210" s="5">
        <f>IF(A210="","",N(INDEX(Projects[Controls Purchase],209)))</f>
        <v/>
      </c>
      <c r="BV210" s="5">
        <f>IF(A210="","",N(INDEX(Projects[Software Eng],209)))</f>
        <v/>
      </c>
      <c r="BW210" s="5">
        <f>IF(A210="","",N(INDEX(Projects[Misc],209)))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  <c r="BZ210" s="5">
        <f>INDEX(Projects[Solution Type],209)&amp;""</f>
        <v/>
      </c>
      <c r="CA210" s="5">
        <f>INDEX(Projects[Client / Region],209)&amp;""</f>
        <v/>
      </c>
      <c r="CB210" s="5">
        <f>INDEX(Projects[Year],209)</f>
        <v/>
      </c>
      <c r="CC210" s="5">
        <f>INDEX(Projects[Won?],209)&amp;""</f>
        <v/>
      </c>
      <c r="CD210" s="5">
        <f>INDEX(Projects[Value (USD M)],209)</f>
        <v/>
      </c>
      <c r="CE210" s="5">
        <f>INDEX(Projects[MH Data Status],209)&amp;""</f>
        <v/>
      </c>
    </row>
    <row r="211" ht="15" customHeight="1" s="74">
      <c r="A211" s="66">
        <f>INDEX(Projects[Project ID *],210)&amp;""</f>
        <v/>
      </c>
      <c r="B211" s="66">
        <f>INDEX(Projects[Project Name *],210)&amp;""</f>
        <v/>
      </c>
      <c r="C211" s="66">
        <f>INDEX(Projects[MS Shuttles],210)</f>
        <v/>
      </c>
      <c r="D211" s="66">
        <f>INDEX(Projects[MS Tote Locations],210)</f>
        <v/>
      </c>
      <c r="E211" s="66">
        <f>INDEX(Projects[AS Robots],210)</f>
        <v/>
      </c>
      <c r="F211" s="66">
        <f>INDEX(Projects[AS Tote Locations],210)</f>
        <v/>
      </c>
      <c r="G211" s="66">
        <f>INDEX(Projects[PS Shuttles],210)</f>
        <v/>
      </c>
      <c r="H211" s="66">
        <f>INDEX(Projects[PS Pallet Locations],210)</f>
        <v/>
      </c>
      <c r="I211" s="66">
        <f>INDEX(Projects[SRM Cranes],210)</f>
        <v/>
      </c>
      <c r="J211" s="66">
        <f>INDEX(Projects[SRM Pallet Locations],210)</f>
        <v/>
      </c>
      <c r="K211" s="66">
        <f>INDEX(Projects[Case Conv (m)],210)</f>
        <v/>
      </c>
      <c r="L211" s="66">
        <f>INDEX(Projects[Pallet Conv (m)],210)</f>
        <v/>
      </c>
      <c r="M211" s="66">
        <f>INDEX(Projects[Mech Eng (wks)],210)</f>
        <v/>
      </c>
      <c r="N211" s="66">
        <f>INDEX(Projects[Controls Eng (wks)],210)</f>
        <v/>
      </c>
      <c r="O211" s="66">
        <f>INDEX(Projects[Systems Eng (wks)],210)</f>
        <v/>
      </c>
      <c r="P211" s="66">
        <f>INDEX(Projects[Software Eng (wks)],210)</f>
        <v/>
      </c>
      <c r="Q211" s="66">
        <f>INDEX(Projects[M&amp;E Installation (wks)],210)</f>
        <v/>
      </c>
      <c r="R211" s="66">
        <f>INDEX(Projects[Commissioning (wks)],210)</f>
        <v/>
      </c>
      <c r="S211" s="66">
        <f>INDEX(Projects[Total Timeline (wks)],210)</f>
        <v/>
      </c>
      <c r="T211" s="66">
        <f>INDEX(Projects[Currency],210)&amp;""</f>
        <v/>
      </c>
      <c r="U211" s="67">
        <f>INDEX(Projects[Value (M)],210)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INDEX(Projects[Automation Equipment],210)&amp;""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IF(AND(A211&lt;&gt;"",OR('Smart Search'!$L$5="",'Smart Search'!$L$5="All",TRIM(BZ211)=TRIM('Smart Search'!$L$5)),OR(TRIM('Smart Search'!$L$6)="",TRIM('Smart Search'!$L$6)="All",ISNUMBER(SEARCH(SUBSTITUTE(SUBSTITUTE(SUBSTITUTE(TRIM('Smart Search'!$L$6),"~","~~"),"*","~*"),"?","~?"),CA211))),OR('Smart Search'!$L$7="",AND(CB211&lt;&gt;0,CB211='Smart Search'!$L$7)),OR('Smart Search'!$L$8="",'Smart Search'!$L$8="All",TRIM(CC211)=TRIM('Smart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IF(A211="","",N(INDEX(Projects[Mech Inst],210)))</f>
        <v/>
      </c>
      <c r="BK211" s="5">
        <f>IF(A211="","",N(INDEX(Projects[Elec Inst],210)))</f>
        <v/>
      </c>
      <c r="BL211" s="5">
        <f>IF(A211="","",N(INDEX(Projects[Project Management],210)))</f>
        <v/>
      </c>
      <c r="BM211" s="5">
        <f>IF(A211="","",N(INDEX(Projects[Systems Eng],210)))</f>
        <v/>
      </c>
      <c r="BN211" s="5">
        <f>IF(A211="","",N(INDEX(Projects[Mechanical Eng],210)))</f>
        <v/>
      </c>
      <c r="BO211" s="5">
        <f>IF(A211="","",N(INDEX(Projects[Structural Engineering],210)))</f>
        <v/>
      </c>
      <c r="BP211" s="5">
        <f>IF(A211="","",N(INDEX(Projects[Site Sup],210)))</f>
        <v/>
      </c>
      <c r="BQ211" s="5">
        <f>IF(A211="","",N(INDEX(Projects[Controls Commissioning],210)))</f>
        <v/>
      </c>
      <c r="BR211" s="5">
        <f>IF(A211="","",N(INDEX(Projects[Systems Commissioning],210)))</f>
        <v/>
      </c>
      <c r="BS211" s="5">
        <f>IF(A211="","",N(INDEX(Projects[Service Commissioning],210)))</f>
        <v/>
      </c>
      <c r="BT211" s="5">
        <f>IF(A211="","",N(INDEX(Projects[Controls Eng],210)))</f>
        <v/>
      </c>
      <c r="BU211" s="5">
        <f>IF(A211="","",N(INDEX(Projects[Controls Purchase],210)))</f>
        <v/>
      </c>
      <c r="BV211" s="5">
        <f>IF(A211="","",N(INDEX(Projects[Software Eng],210)))</f>
        <v/>
      </c>
      <c r="BW211" s="5">
        <f>IF(A211="","",N(INDEX(Projects[Misc],210)))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  <c r="BZ211" s="5">
        <f>INDEX(Projects[Solution Type],210)&amp;""</f>
        <v/>
      </c>
      <c r="CA211" s="5">
        <f>INDEX(Projects[Client / Region],210)&amp;""</f>
        <v/>
      </c>
      <c r="CB211" s="5">
        <f>INDEX(Projects[Year],210)</f>
        <v/>
      </c>
      <c r="CC211" s="5">
        <f>INDEX(Projects[Won?],210)&amp;""</f>
        <v/>
      </c>
      <c r="CD211" s="5">
        <f>INDEX(Projects[Value (USD M)],210)</f>
        <v/>
      </c>
      <c r="CE211" s="5">
        <f>INDEX(Projects[MH Data Status],210)&amp;""</f>
        <v/>
      </c>
    </row>
    <row r="212" ht="15" customHeight="1" s="74">
      <c r="A212" s="66">
        <f>INDEX(Projects[Project ID *],211)&amp;""</f>
        <v/>
      </c>
      <c r="B212" s="66">
        <f>INDEX(Projects[Project Name *],211)&amp;""</f>
        <v/>
      </c>
      <c r="C212" s="66">
        <f>INDEX(Projects[MS Shuttles],211)</f>
        <v/>
      </c>
      <c r="D212" s="66">
        <f>INDEX(Projects[MS Tote Locations],211)</f>
        <v/>
      </c>
      <c r="E212" s="66">
        <f>INDEX(Projects[AS Robots],211)</f>
        <v/>
      </c>
      <c r="F212" s="66">
        <f>INDEX(Projects[AS Tote Locations],211)</f>
        <v/>
      </c>
      <c r="G212" s="66">
        <f>INDEX(Projects[PS Shuttles],211)</f>
        <v/>
      </c>
      <c r="H212" s="66">
        <f>INDEX(Projects[PS Pallet Locations],211)</f>
        <v/>
      </c>
      <c r="I212" s="66">
        <f>INDEX(Projects[SRM Cranes],211)</f>
        <v/>
      </c>
      <c r="J212" s="66">
        <f>INDEX(Projects[SRM Pallet Locations],211)</f>
        <v/>
      </c>
      <c r="K212" s="66">
        <f>INDEX(Projects[Case Conv (m)],211)</f>
        <v/>
      </c>
      <c r="L212" s="66">
        <f>INDEX(Projects[Pallet Conv (m)],211)</f>
        <v/>
      </c>
      <c r="M212" s="66">
        <f>INDEX(Projects[Mech Eng (wks)],211)</f>
        <v/>
      </c>
      <c r="N212" s="66">
        <f>INDEX(Projects[Controls Eng (wks)],211)</f>
        <v/>
      </c>
      <c r="O212" s="66">
        <f>INDEX(Projects[Systems Eng (wks)],211)</f>
        <v/>
      </c>
      <c r="P212" s="66">
        <f>INDEX(Projects[Software Eng (wks)],211)</f>
        <v/>
      </c>
      <c r="Q212" s="66">
        <f>INDEX(Projects[M&amp;E Installation (wks)],211)</f>
        <v/>
      </c>
      <c r="R212" s="66">
        <f>INDEX(Projects[Commissioning (wks)],211)</f>
        <v/>
      </c>
      <c r="S212" s="66">
        <f>INDEX(Projects[Total Timeline (wks)],211)</f>
        <v/>
      </c>
      <c r="T212" s="66">
        <f>INDEX(Projects[Currency],211)&amp;""</f>
        <v/>
      </c>
      <c r="U212" s="67">
        <f>INDEX(Projects[Value (M)],211)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INDEX(Projects[Automation Equipment],211)&amp;""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IF(AND(A212&lt;&gt;"",OR('Smart Search'!$L$5="",'Smart Search'!$L$5="All",TRIM(BZ212)=TRIM('Smart Search'!$L$5)),OR(TRIM('Smart Search'!$L$6)="",TRIM('Smart Search'!$L$6)="All",ISNUMBER(SEARCH(SUBSTITUTE(SUBSTITUTE(SUBSTITUTE(TRIM('Smart Search'!$L$6),"~","~~"),"*","~*"),"?","~?"),CA212))),OR('Smart Search'!$L$7="",AND(CB212&lt;&gt;0,CB212='Smart Search'!$L$7)),OR('Smart Search'!$L$8="",'Smart Search'!$L$8="All",TRIM(CC212)=TRIM('Smart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IF(A212="","",N(INDEX(Projects[Mech Inst],211)))</f>
        <v/>
      </c>
      <c r="BK212" s="5">
        <f>IF(A212="","",N(INDEX(Projects[Elec Inst],211)))</f>
        <v/>
      </c>
      <c r="BL212" s="5">
        <f>IF(A212="","",N(INDEX(Projects[Project Management],211)))</f>
        <v/>
      </c>
      <c r="BM212" s="5">
        <f>IF(A212="","",N(INDEX(Projects[Systems Eng],211)))</f>
        <v/>
      </c>
      <c r="BN212" s="5">
        <f>IF(A212="","",N(INDEX(Projects[Mechanical Eng],211)))</f>
        <v/>
      </c>
      <c r="BO212" s="5">
        <f>IF(A212="","",N(INDEX(Projects[Structural Engineering],211)))</f>
        <v/>
      </c>
      <c r="BP212" s="5">
        <f>IF(A212="","",N(INDEX(Projects[Site Sup],211)))</f>
        <v/>
      </c>
      <c r="BQ212" s="5">
        <f>IF(A212="","",N(INDEX(Projects[Controls Commissioning],211)))</f>
        <v/>
      </c>
      <c r="BR212" s="5">
        <f>IF(A212="","",N(INDEX(Projects[Systems Commissioning],211)))</f>
        <v/>
      </c>
      <c r="BS212" s="5">
        <f>IF(A212="","",N(INDEX(Projects[Service Commissioning],211)))</f>
        <v/>
      </c>
      <c r="BT212" s="5">
        <f>IF(A212="","",N(INDEX(Projects[Controls Eng],211)))</f>
        <v/>
      </c>
      <c r="BU212" s="5">
        <f>IF(A212="","",N(INDEX(Projects[Controls Purchase],211)))</f>
        <v/>
      </c>
      <c r="BV212" s="5">
        <f>IF(A212="","",N(INDEX(Projects[Software Eng],211)))</f>
        <v/>
      </c>
      <c r="BW212" s="5">
        <f>IF(A212="","",N(INDEX(Projects[Misc],211)))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  <c r="BZ212" s="5">
        <f>INDEX(Projects[Solution Type],211)&amp;""</f>
        <v/>
      </c>
      <c r="CA212" s="5">
        <f>INDEX(Projects[Client / Region],211)&amp;""</f>
        <v/>
      </c>
      <c r="CB212" s="5">
        <f>INDEX(Projects[Year],211)</f>
        <v/>
      </c>
      <c r="CC212" s="5">
        <f>INDEX(Projects[Won?],211)&amp;""</f>
        <v/>
      </c>
      <c r="CD212" s="5">
        <f>INDEX(Projects[Value (USD M)],211)</f>
        <v/>
      </c>
      <c r="CE212" s="5">
        <f>INDEX(Projects[MH Data Status],211)&amp;""</f>
        <v/>
      </c>
    </row>
    <row r="213" ht="15" customHeight="1" s="74">
      <c r="A213" s="66">
        <f>INDEX(Projects[Project ID *],212)&amp;""</f>
        <v/>
      </c>
      <c r="B213" s="66">
        <f>INDEX(Projects[Project Name *],212)&amp;""</f>
        <v/>
      </c>
      <c r="C213" s="66">
        <f>INDEX(Projects[MS Shuttles],212)</f>
        <v/>
      </c>
      <c r="D213" s="66">
        <f>INDEX(Projects[MS Tote Locations],212)</f>
        <v/>
      </c>
      <c r="E213" s="66">
        <f>INDEX(Projects[AS Robots],212)</f>
        <v/>
      </c>
      <c r="F213" s="66">
        <f>INDEX(Projects[AS Tote Locations],212)</f>
        <v/>
      </c>
      <c r="G213" s="66">
        <f>INDEX(Projects[PS Shuttles],212)</f>
        <v/>
      </c>
      <c r="H213" s="66">
        <f>INDEX(Projects[PS Pallet Locations],212)</f>
        <v/>
      </c>
      <c r="I213" s="66">
        <f>INDEX(Projects[SRM Cranes],212)</f>
        <v/>
      </c>
      <c r="J213" s="66">
        <f>INDEX(Projects[SRM Pallet Locations],212)</f>
        <v/>
      </c>
      <c r="K213" s="66">
        <f>INDEX(Projects[Case Conv (m)],212)</f>
        <v/>
      </c>
      <c r="L213" s="66">
        <f>INDEX(Projects[Pallet Conv (m)],212)</f>
        <v/>
      </c>
      <c r="M213" s="66">
        <f>INDEX(Projects[Mech Eng (wks)],212)</f>
        <v/>
      </c>
      <c r="N213" s="66">
        <f>INDEX(Projects[Controls Eng (wks)],212)</f>
        <v/>
      </c>
      <c r="O213" s="66">
        <f>INDEX(Projects[Systems Eng (wks)],212)</f>
        <v/>
      </c>
      <c r="P213" s="66">
        <f>INDEX(Projects[Software Eng (wks)],212)</f>
        <v/>
      </c>
      <c r="Q213" s="66">
        <f>INDEX(Projects[M&amp;E Installation (wks)],212)</f>
        <v/>
      </c>
      <c r="R213" s="66">
        <f>INDEX(Projects[Commissioning (wks)],212)</f>
        <v/>
      </c>
      <c r="S213" s="66">
        <f>INDEX(Projects[Total Timeline (wks)],212)</f>
        <v/>
      </c>
      <c r="T213" s="66">
        <f>INDEX(Projects[Currency],212)&amp;""</f>
        <v/>
      </c>
      <c r="U213" s="67">
        <f>INDEX(Projects[Value (M)],212)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INDEX(Projects[Automation Equipment],212)&amp;""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IF(AND(A213&lt;&gt;"",OR('Smart Search'!$L$5="",'Smart Search'!$L$5="All",TRIM(BZ213)=TRIM('Smart Search'!$L$5)),OR(TRIM('Smart Search'!$L$6)="",TRIM('Smart Search'!$L$6)="All",ISNUMBER(SEARCH(SUBSTITUTE(SUBSTITUTE(SUBSTITUTE(TRIM('Smart Search'!$L$6),"~","~~"),"*","~*"),"?","~?"),CA213))),OR('Smart Search'!$L$7="",AND(CB213&lt;&gt;0,CB213='Smart Search'!$L$7)),OR('Smart Search'!$L$8="",'Smart Search'!$L$8="All",TRIM(CC213)=TRIM('Smart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IF(A213="","",N(INDEX(Projects[Mech Inst],212)))</f>
        <v/>
      </c>
      <c r="BK213" s="5">
        <f>IF(A213="","",N(INDEX(Projects[Elec Inst],212)))</f>
        <v/>
      </c>
      <c r="BL213" s="5">
        <f>IF(A213="","",N(INDEX(Projects[Project Management],212)))</f>
        <v/>
      </c>
      <c r="BM213" s="5">
        <f>IF(A213="","",N(INDEX(Projects[Systems Eng],212)))</f>
        <v/>
      </c>
      <c r="BN213" s="5">
        <f>IF(A213="","",N(INDEX(Projects[Mechanical Eng],212)))</f>
        <v/>
      </c>
      <c r="BO213" s="5">
        <f>IF(A213="","",N(INDEX(Projects[Structural Engineering],212)))</f>
        <v/>
      </c>
      <c r="BP213" s="5">
        <f>IF(A213="","",N(INDEX(Projects[Site Sup],212)))</f>
        <v/>
      </c>
      <c r="BQ213" s="5">
        <f>IF(A213="","",N(INDEX(Projects[Controls Commissioning],212)))</f>
        <v/>
      </c>
      <c r="BR213" s="5">
        <f>IF(A213="","",N(INDEX(Projects[Systems Commissioning],212)))</f>
        <v/>
      </c>
      <c r="BS213" s="5">
        <f>IF(A213="","",N(INDEX(Projects[Service Commissioning],212)))</f>
        <v/>
      </c>
      <c r="BT213" s="5">
        <f>IF(A213="","",N(INDEX(Projects[Controls Eng],212)))</f>
        <v/>
      </c>
      <c r="BU213" s="5">
        <f>IF(A213="","",N(INDEX(Projects[Controls Purchase],212)))</f>
        <v/>
      </c>
      <c r="BV213" s="5">
        <f>IF(A213="","",N(INDEX(Projects[Software Eng],212)))</f>
        <v/>
      </c>
      <c r="BW213" s="5">
        <f>IF(A213="","",N(INDEX(Projects[Misc],212)))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  <c r="BZ213" s="5">
        <f>INDEX(Projects[Solution Type],212)&amp;""</f>
        <v/>
      </c>
      <c r="CA213" s="5">
        <f>INDEX(Projects[Client / Region],212)&amp;""</f>
        <v/>
      </c>
      <c r="CB213" s="5">
        <f>INDEX(Projects[Year],212)</f>
        <v/>
      </c>
      <c r="CC213" s="5">
        <f>INDEX(Projects[Won?],212)&amp;""</f>
        <v/>
      </c>
      <c r="CD213" s="5">
        <f>INDEX(Projects[Value (USD M)],212)</f>
        <v/>
      </c>
      <c r="CE213" s="5">
        <f>INDEX(Projects[MH Data Status],212)&amp;""</f>
        <v/>
      </c>
    </row>
    <row r="214" ht="15" customHeight="1" s="74">
      <c r="A214" s="66">
        <f>INDEX(Projects[Project ID *],213)&amp;""</f>
        <v/>
      </c>
      <c r="B214" s="66">
        <f>INDEX(Projects[Project Name *],213)&amp;""</f>
        <v/>
      </c>
      <c r="C214" s="66">
        <f>INDEX(Projects[MS Shuttles],213)</f>
        <v/>
      </c>
      <c r="D214" s="66">
        <f>INDEX(Projects[MS Tote Locations],213)</f>
        <v/>
      </c>
      <c r="E214" s="66">
        <f>INDEX(Projects[AS Robots],213)</f>
        <v/>
      </c>
      <c r="F214" s="66">
        <f>INDEX(Projects[AS Tote Locations],213)</f>
        <v/>
      </c>
      <c r="G214" s="66">
        <f>INDEX(Projects[PS Shuttles],213)</f>
        <v/>
      </c>
      <c r="H214" s="66">
        <f>INDEX(Projects[PS Pallet Locations],213)</f>
        <v/>
      </c>
      <c r="I214" s="66">
        <f>INDEX(Projects[SRM Cranes],213)</f>
        <v/>
      </c>
      <c r="J214" s="66">
        <f>INDEX(Projects[SRM Pallet Locations],213)</f>
        <v/>
      </c>
      <c r="K214" s="66">
        <f>INDEX(Projects[Case Conv (m)],213)</f>
        <v/>
      </c>
      <c r="L214" s="66">
        <f>INDEX(Projects[Pallet Conv (m)],213)</f>
        <v/>
      </c>
      <c r="M214" s="66">
        <f>INDEX(Projects[Mech Eng (wks)],213)</f>
        <v/>
      </c>
      <c r="N214" s="66">
        <f>INDEX(Projects[Controls Eng (wks)],213)</f>
        <v/>
      </c>
      <c r="O214" s="66">
        <f>INDEX(Projects[Systems Eng (wks)],213)</f>
        <v/>
      </c>
      <c r="P214" s="66">
        <f>INDEX(Projects[Software Eng (wks)],213)</f>
        <v/>
      </c>
      <c r="Q214" s="66">
        <f>INDEX(Projects[M&amp;E Installation (wks)],213)</f>
        <v/>
      </c>
      <c r="R214" s="66">
        <f>INDEX(Projects[Commissioning (wks)],213)</f>
        <v/>
      </c>
      <c r="S214" s="66">
        <f>INDEX(Projects[Total Timeline (wks)],213)</f>
        <v/>
      </c>
      <c r="T214" s="66">
        <f>INDEX(Projects[Currency],213)&amp;""</f>
        <v/>
      </c>
      <c r="U214" s="67">
        <f>INDEX(Projects[Value (M)],213)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INDEX(Projects[Automation Equipment],213)&amp;""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IF(AND(A214&lt;&gt;"",OR('Smart Search'!$L$5="",'Smart Search'!$L$5="All",TRIM(BZ214)=TRIM('Smart Search'!$L$5)),OR(TRIM('Smart Search'!$L$6)="",TRIM('Smart Search'!$L$6)="All",ISNUMBER(SEARCH(SUBSTITUTE(SUBSTITUTE(SUBSTITUTE(TRIM('Smart Search'!$L$6),"~","~~"),"*","~*"),"?","~?"),CA214))),OR('Smart Search'!$L$7="",AND(CB214&lt;&gt;0,CB214='Smart Search'!$L$7)),OR('Smart Search'!$L$8="",'Smart Search'!$L$8="All",TRIM(CC214)=TRIM('Smart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IF(A214="","",N(INDEX(Projects[Mech Inst],213)))</f>
        <v/>
      </c>
      <c r="BK214" s="5">
        <f>IF(A214="","",N(INDEX(Projects[Elec Inst],213)))</f>
        <v/>
      </c>
      <c r="BL214" s="5">
        <f>IF(A214="","",N(INDEX(Projects[Project Management],213)))</f>
        <v/>
      </c>
      <c r="BM214" s="5">
        <f>IF(A214="","",N(INDEX(Projects[Systems Eng],213)))</f>
        <v/>
      </c>
      <c r="BN214" s="5">
        <f>IF(A214="","",N(INDEX(Projects[Mechanical Eng],213)))</f>
        <v/>
      </c>
      <c r="BO214" s="5">
        <f>IF(A214="","",N(INDEX(Projects[Structural Engineering],213)))</f>
        <v/>
      </c>
      <c r="BP214" s="5">
        <f>IF(A214="","",N(INDEX(Projects[Site Sup],213)))</f>
        <v/>
      </c>
      <c r="BQ214" s="5">
        <f>IF(A214="","",N(INDEX(Projects[Controls Commissioning],213)))</f>
        <v/>
      </c>
      <c r="BR214" s="5">
        <f>IF(A214="","",N(INDEX(Projects[Systems Commissioning],213)))</f>
        <v/>
      </c>
      <c r="BS214" s="5">
        <f>IF(A214="","",N(INDEX(Projects[Service Commissioning],213)))</f>
        <v/>
      </c>
      <c r="BT214" s="5">
        <f>IF(A214="","",N(INDEX(Projects[Controls Eng],213)))</f>
        <v/>
      </c>
      <c r="BU214" s="5">
        <f>IF(A214="","",N(INDEX(Projects[Controls Purchase],213)))</f>
        <v/>
      </c>
      <c r="BV214" s="5">
        <f>IF(A214="","",N(INDEX(Projects[Software Eng],213)))</f>
        <v/>
      </c>
      <c r="BW214" s="5">
        <f>IF(A214="","",N(INDEX(Projects[Misc],213)))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  <c r="BZ214" s="5">
        <f>INDEX(Projects[Solution Type],213)&amp;""</f>
        <v/>
      </c>
      <c r="CA214" s="5">
        <f>INDEX(Projects[Client / Region],213)&amp;""</f>
        <v/>
      </c>
      <c r="CB214" s="5">
        <f>INDEX(Projects[Year],213)</f>
        <v/>
      </c>
      <c r="CC214" s="5">
        <f>INDEX(Projects[Won?],213)&amp;""</f>
        <v/>
      </c>
      <c r="CD214" s="5">
        <f>INDEX(Projects[Value (USD M)],213)</f>
        <v/>
      </c>
      <c r="CE214" s="5">
        <f>INDEX(Projects[MH Data Status],213)&amp;""</f>
        <v/>
      </c>
    </row>
    <row r="215" ht="15" customHeight="1" s="74">
      <c r="A215" s="66">
        <f>INDEX(Projects[Project ID *],214)&amp;""</f>
        <v/>
      </c>
      <c r="B215" s="66">
        <f>INDEX(Projects[Project Name *],214)&amp;""</f>
        <v/>
      </c>
      <c r="C215" s="66">
        <f>INDEX(Projects[MS Shuttles],214)</f>
        <v/>
      </c>
      <c r="D215" s="66">
        <f>INDEX(Projects[MS Tote Locations],214)</f>
        <v/>
      </c>
      <c r="E215" s="66">
        <f>INDEX(Projects[AS Robots],214)</f>
        <v/>
      </c>
      <c r="F215" s="66">
        <f>INDEX(Projects[AS Tote Locations],214)</f>
        <v/>
      </c>
      <c r="G215" s="66">
        <f>INDEX(Projects[PS Shuttles],214)</f>
        <v/>
      </c>
      <c r="H215" s="66">
        <f>INDEX(Projects[PS Pallet Locations],214)</f>
        <v/>
      </c>
      <c r="I215" s="66">
        <f>INDEX(Projects[SRM Cranes],214)</f>
        <v/>
      </c>
      <c r="J215" s="66">
        <f>INDEX(Projects[SRM Pallet Locations],214)</f>
        <v/>
      </c>
      <c r="K215" s="66">
        <f>INDEX(Projects[Case Conv (m)],214)</f>
        <v/>
      </c>
      <c r="L215" s="66">
        <f>INDEX(Projects[Pallet Conv (m)],214)</f>
        <v/>
      </c>
      <c r="M215" s="66">
        <f>INDEX(Projects[Mech Eng (wks)],214)</f>
        <v/>
      </c>
      <c r="N215" s="66">
        <f>INDEX(Projects[Controls Eng (wks)],214)</f>
        <v/>
      </c>
      <c r="O215" s="66">
        <f>INDEX(Projects[Systems Eng (wks)],214)</f>
        <v/>
      </c>
      <c r="P215" s="66">
        <f>INDEX(Projects[Software Eng (wks)],214)</f>
        <v/>
      </c>
      <c r="Q215" s="66">
        <f>INDEX(Projects[M&amp;E Installation (wks)],214)</f>
        <v/>
      </c>
      <c r="R215" s="66">
        <f>INDEX(Projects[Commissioning (wks)],214)</f>
        <v/>
      </c>
      <c r="S215" s="66">
        <f>INDEX(Projects[Total Timeline (wks)],214)</f>
        <v/>
      </c>
      <c r="T215" s="66">
        <f>INDEX(Projects[Currency],214)&amp;""</f>
        <v/>
      </c>
      <c r="U215" s="67">
        <f>INDEX(Projects[Value (M)],214)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INDEX(Projects[Automation Equipment],214)&amp;""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IF(AND(A215&lt;&gt;"",OR('Smart Search'!$L$5="",'Smart Search'!$L$5="All",TRIM(BZ215)=TRIM('Smart Search'!$L$5)),OR(TRIM('Smart Search'!$L$6)="",TRIM('Smart Search'!$L$6)="All",ISNUMBER(SEARCH(SUBSTITUTE(SUBSTITUTE(SUBSTITUTE(TRIM('Smart Search'!$L$6),"~","~~"),"*","~*"),"?","~?"),CA215))),OR('Smart Search'!$L$7="",AND(CB215&lt;&gt;0,CB215='Smart Search'!$L$7)),OR('Smart Search'!$L$8="",'Smart Search'!$L$8="All",TRIM(CC215)=TRIM('Smart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IF(A215="","",N(INDEX(Projects[Mech Inst],214)))</f>
        <v/>
      </c>
      <c r="BK215" s="5">
        <f>IF(A215="","",N(INDEX(Projects[Elec Inst],214)))</f>
        <v/>
      </c>
      <c r="BL215" s="5">
        <f>IF(A215="","",N(INDEX(Projects[Project Management],214)))</f>
        <v/>
      </c>
      <c r="BM215" s="5">
        <f>IF(A215="","",N(INDEX(Projects[Systems Eng],214)))</f>
        <v/>
      </c>
      <c r="BN215" s="5">
        <f>IF(A215="","",N(INDEX(Projects[Mechanical Eng],214)))</f>
        <v/>
      </c>
      <c r="BO215" s="5">
        <f>IF(A215="","",N(INDEX(Projects[Structural Engineering],214)))</f>
        <v/>
      </c>
      <c r="BP215" s="5">
        <f>IF(A215="","",N(INDEX(Projects[Site Sup],214)))</f>
        <v/>
      </c>
      <c r="BQ215" s="5">
        <f>IF(A215="","",N(INDEX(Projects[Controls Commissioning],214)))</f>
        <v/>
      </c>
      <c r="BR215" s="5">
        <f>IF(A215="","",N(INDEX(Projects[Systems Commissioning],214)))</f>
        <v/>
      </c>
      <c r="BS215" s="5">
        <f>IF(A215="","",N(INDEX(Projects[Service Commissioning],214)))</f>
        <v/>
      </c>
      <c r="BT215" s="5">
        <f>IF(A215="","",N(INDEX(Projects[Controls Eng],214)))</f>
        <v/>
      </c>
      <c r="BU215" s="5">
        <f>IF(A215="","",N(INDEX(Projects[Controls Purchase],214)))</f>
        <v/>
      </c>
      <c r="BV215" s="5">
        <f>IF(A215="","",N(INDEX(Projects[Software Eng],214)))</f>
        <v/>
      </c>
      <c r="BW215" s="5">
        <f>IF(A215="","",N(INDEX(Projects[Misc],214)))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  <c r="BZ215" s="5">
        <f>INDEX(Projects[Solution Type],214)&amp;""</f>
        <v/>
      </c>
      <c r="CA215" s="5">
        <f>INDEX(Projects[Client / Region],214)&amp;""</f>
        <v/>
      </c>
      <c r="CB215" s="5">
        <f>INDEX(Projects[Year],214)</f>
        <v/>
      </c>
      <c r="CC215" s="5">
        <f>INDEX(Projects[Won?],214)&amp;""</f>
        <v/>
      </c>
      <c r="CD215" s="5">
        <f>INDEX(Projects[Value (USD M)],214)</f>
        <v/>
      </c>
      <c r="CE215" s="5">
        <f>INDEX(Projects[MH Data Status],214)&amp;""</f>
        <v/>
      </c>
    </row>
    <row r="216" ht="15" customHeight="1" s="74">
      <c r="A216" s="66">
        <f>INDEX(Projects[Project ID *],215)&amp;""</f>
        <v/>
      </c>
      <c r="B216" s="66">
        <f>INDEX(Projects[Project Name *],215)&amp;""</f>
        <v/>
      </c>
      <c r="C216" s="66">
        <f>INDEX(Projects[MS Shuttles],215)</f>
        <v/>
      </c>
      <c r="D216" s="66">
        <f>INDEX(Projects[MS Tote Locations],215)</f>
        <v/>
      </c>
      <c r="E216" s="66">
        <f>INDEX(Projects[AS Robots],215)</f>
        <v/>
      </c>
      <c r="F216" s="66">
        <f>INDEX(Projects[AS Tote Locations],215)</f>
        <v/>
      </c>
      <c r="G216" s="66">
        <f>INDEX(Projects[PS Shuttles],215)</f>
        <v/>
      </c>
      <c r="H216" s="66">
        <f>INDEX(Projects[PS Pallet Locations],215)</f>
        <v/>
      </c>
      <c r="I216" s="66">
        <f>INDEX(Projects[SRM Cranes],215)</f>
        <v/>
      </c>
      <c r="J216" s="66">
        <f>INDEX(Projects[SRM Pallet Locations],215)</f>
        <v/>
      </c>
      <c r="K216" s="66">
        <f>INDEX(Projects[Case Conv (m)],215)</f>
        <v/>
      </c>
      <c r="L216" s="66">
        <f>INDEX(Projects[Pallet Conv (m)],215)</f>
        <v/>
      </c>
      <c r="M216" s="66">
        <f>INDEX(Projects[Mech Eng (wks)],215)</f>
        <v/>
      </c>
      <c r="N216" s="66">
        <f>INDEX(Projects[Controls Eng (wks)],215)</f>
        <v/>
      </c>
      <c r="O216" s="66">
        <f>INDEX(Projects[Systems Eng (wks)],215)</f>
        <v/>
      </c>
      <c r="P216" s="66">
        <f>INDEX(Projects[Software Eng (wks)],215)</f>
        <v/>
      </c>
      <c r="Q216" s="66">
        <f>INDEX(Projects[M&amp;E Installation (wks)],215)</f>
        <v/>
      </c>
      <c r="R216" s="66">
        <f>INDEX(Projects[Commissioning (wks)],215)</f>
        <v/>
      </c>
      <c r="S216" s="66">
        <f>INDEX(Projects[Total Timeline (wks)],215)</f>
        <v/>
      </c>
      <c r="T216" s="66">
        <f>INDEX(Projects[Currency],215)&amp;""</f>
        <v/>
      </c>
      <c r="U216" s="67">
        <f>INDEX(Projects[Value (M)],215)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INDEX(Projects[Automation Equipment],215)&amp;""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IF(AND(A216&lt;&gt;"",OR('Smart Search'!$L$5="",'Smart Search'!$L$5="All",TRIM(BZ216)=TRIM('Smart Search'!$L$5)),OR(TRIM('Smart Search'!$L$6)="",TRIM('Smart Search'!$L$6)="All",ISNUMBER(SEARCH(SUBSTITUTE(SUBSTITUTE(SUBSTITUTE(TRIM('Smart Search'!$L$6),"~","~~"),"*","~*"),"?","~?"),CA216))),OR('Smart Search'!$L$7="",AND(CB216&lt;&gt;0,CB216='Smart Search'!$L$7)),OR('Smart Search'!$L$8="",'Smart Search'!$L$8="All",TRIM(CC216)=TRIM('Smart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IF(A216="","",N(INDEX(Projects[Mech Inst],215)))</f>
        <v/>
      </c>
      <c r="BK216" s="5">
        <f>IF(A216="","",N(INDEX(Projects[Elec Inst],215)))</f>
        <v/>
      </c>
      <c r="BL216" s="5">
        <f>IF(A216="","",N(INDEX(Projects[Project Management],215)))</f>
        <v/>
      </c>
      <c r="BM216" s="5">
        <f>IF(A216="","",N(INDEX(Projects[Systems Eng],215)))</f>
        <v/>
      </c>
      <c r="BN216" s="5">
        <f>IF(A216="","",N(INDEX(Projects[Mechanical Eng],215)))</f>
        <v/>
      </c>
      <c r="BO216" s="5">
        <f>IF(A216="","",N(INDEX(Projects[Structural Engineering],215)))</f>
        <v/>
      </c>
      <c r="BP216" s="5">
        <f>IF(A216="","",N(INDEX(Projects[Site Sup],215)))</f>
        <v/>
      </c>
      <c r="BQ216" s="5">
        <f>IF(A216="","",N(INDEX(Projects[Controls Commissioning],215)))</f>
        <v/>
      </c>
      <c r="BR216" s="5">
        <f>IF(A216="","",N(INDEX(Projects[Systems Commissioning],215)))</f>
        <v/>
      </c>
      <c r="BS216" s="5">
        <f>IF(A216="","",N(INDEX(Projects[Service Commissioning],215)))</f>
        <v/>
      </c>
      <c r="BT216" s="5">
        <f>IF(A216="","",N(INDEX(Projects[Controls Eng],215)))</f>
        <v/>
      </c>
      <c r="BU216" s="5">
        <f>IF(A216="","",N(INDEX(Projects[Controls Purchase],215)))</f>
        <v/>
      </c>
      <c r="BV216" s="5">
        <f>IF(A216="","",N(INDEX(Projects[Software Eng],215)))</f>
        <v/>
      </c>
      <c r="BW216" s="5">
        <f>IF(A216="","",N(INDEX(Projects[Misc],215)))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  <c r="BZ216" s="5">
        <f>INDEX(Projects[Solution Type],215)&amp;""</f>
        <v/>
      </c>
      <c r="CA216" s="5">
        <f>INDEX(Projects[Client / Region],215)&amp;""</f>
        <v/>
      </c>
      <c r="CB216" s="5">
        <f>INDEX(Projects[Year],215)</f>
        <v/>
      </c>
      <c r="CC216" s="5">
        <f>INDEX(Projects[Won?],215)&amp;""</f>
        <v/>
      </c>
      <c r="CD216" s="5">
        <f>INDEX(Projects[Value (USD M)],215)</f>
        <v/>
      </c>
      <c r="CE216" s="5">
        <f>INDEX(Projects[MH Data Status],215)&amp;""</f>
        <v/>
      </c>
    </row>
    <row r="217" ht="15" customHeight="1" s="74">
      <c r="A217" s="66">
        <f>INDEX(Projects[Project ID *],216)&amp;""</f>
        <v/>
      </c>
      <c r="B217" s="66">
        <f>INDEX(Projects[Project Name *],216)&amp;""</f>
        <v/>
      </c>
      <c r="C217" s="66">
        <f>INDEX(Projects[MS Shuttles],216)</f>
        <v/>
      </c>
      <c r="D217" s="66">
        <f>INDEX(Projects[MS Tote Locations],216)</f>
        <v/>
      </c>
      <c r="E217" s="66">
        <f>INDEX(Projects[AS Robots],216)</f>
        <v/>
      </c>
      <c r="F217" s="66">
        <f>INDEX(Projects[AS Tote Locations],216)</f>
        <v/>
      </c>
      <c r="G217" s="66">
        <f>INDEX(Projects[PS Shuttles],216)</f>
        <v/>
      </c>
      <c r="H217" s="66">
        <f>INDEX(Projects[PS Pallet Locations],216)</f>
        <v/>
      </c>
      <c r="I217" s="66">
        <f>INDEX(Projects[SRM Cranes],216)</f>
        <v/>
      </c>
      <c r="J217" s="66">
        <f>INDEX(Projects[SRM Pallet Locations],216)</f>
        <v/>
      </c>
      <c r="K217" s="66">
        <f>INDEX(Projects[Case Conv (m)],216)</f>
        <v/>
      </c>
      <c r="L217" s="66">
        <f>INDEX(Projects[Pallet Conv (m)],216)</f>
        <v/>
      </c>
      <c r="M217" s="66">
        <f>INDEX(Projects[Mech Eng (wks)],216)</f>
        <v/>
      </c>
      <c r="N217" s="66">
        <f>INDEX(Projects[Controls Eng (wks)],216)</f>
        <v/>
      </c>
      <c r="O217" s="66">
        <f>INDEX(Projects[Systems Eng (wks)],216)</f>
        <v/>
      </c>
      <c r="P217" s="66">
        <f>INDEX(Projects[Software Eng (wks)],216)</f>
        <v/>
      </c>
      <c r="Q217" s="66">
        <f>INDEX(Projects[M&amp;E Installation (wks)],216)</f>
        <v/>
      </c>
      <c r="R217" s="66">
        <f>INDEX(Projects[Commissioning (wks)],216)</f>
        <v/>
      </c>
      <c r="S217" s="66">
        <f>INDEX(Projects[Total Timeline (wks)],216)</f>
        <v/>
      </c>
      <c r="T217" s="66">
        <f>INDEX(Projects[Currency],216)&amp;""</f>
        <v/>
      </c>
      <c r="U217" s="67">
        <f>INDEX(Projects[Value (M)],216)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INDEX(Projects[Automation Equipment],216)&amp;""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IF(AND(A217&lt;&gt;"",OR('Smart Search'!$L$5="",'Smart Search'!$L$5="All",TRIM(BZ217)=TRIM('Smart Search'!$L$5)),OR(TRIM('Smart Search'!$L$6)="",TRIM('Smart Search'!$L$6)="All",ISNUMBER(SEARCH(SUBSTITUTE(SUBSTITUTE(SUBSTITUTE(TRIM('Smart Search'!$L$6),"~","~~"),"*","~*"),"?","~?"),CA217))),OR('Smart Search'!$L$7="",AND(CB217&lt;&gt;0,CB217='Smart Search'!$L$7)),OR('Smart Search'!$L$8="",'Smart Search'!$L$8="All",TRIM(CC217)=TRIM('Smart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IF(A217="","",N(INDEX(Projects[Mech Inst],216)))</f>
        <v/>
      </c>
      <c r="BK217" s="5">
        <f>IF(A217="","",N(INDEX(Projects[Elec Inst],216)))</f>
        <v/>
      </c>
      <c r="BL217" s="5">
        <f>IF(A217="","",N(INDEX(Projects[Project Management],216)))</f>
        <v/>
      </c>
      <c r="BM217" s="5">
        <f>IF(A217="","",N(INDEX(Projects[Systems Eng],216)))</f>
        <v/>
      </c>
      <c r="BN217" s="5">
        <f>IF(A217="","",N(INDEX(Projects[Mechanical Eng],216)))</f>
        <v/>
      </c>
      <c r="BO217" s="5">
        <f>IF(A217="","",N(INDEX(Projects[Structural Engineering],216)))</f>
        <v/>
      </c>
      <c r="BP217" s="5">
        <f>IF(A217="","",N(INDEX(Projects[Site Sup],216)))</f>
        <v/>
      </c>
      <c r="BQ217" s="5">
        <f>IF(A217="","",N(INDEX(Projects[Controls Commissioning],216)))</f>
        <v/>
      </c>
      <c r="BR217" s="5">
        <f>IF(A217="","",N(INDEX(Projects[Systems Commissioning],216)))</f>
        <v/>
      </c>
      <c r="BS217" s="5">
        <f>IF(A217="","",N(INDEX(Projects[Service Commissioning],216)))</f>
        <v/>
      </c>
      <c r="BT217" s="5">
        <f>IF(A217="","",N(INDEX(Projects[Controls Eng],216)))</f>
        <v/>
      </c>
      <c r="BU217" s="5">
        <f>IF(A217="","",N(INDEX(Projects[Controls Purchase],216)))</f>
        <v/>
      </c>
      <c r="BV217" s="5">
        <f>IF(A217="","",N(INDEX(Projects[Software Eng],216)))</f>
        <v/>
      </c>
      <c r="BW217" s="5">
        <f>IF(A217="","",N(INDEX(Projects[Misc],216)))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  <c r="BZ217" s="5">
        <f>INDEX(Projects[Solution Type],216)&amp;""</f>
        <v/>
      </c>
      <c r="CA217" s="5">
        <f>INDEX(Projects[Client / Region],216)&amp;""</f>
        <v/>
      </c>
      <c r="CB217" s="5">
        <f>INDEX(Projects[Year],216)</f>
        <v/>
      </c>
      <c r="CC217" s="5">
        <f>INDEX(Projects[Won?],216)&amp;""</f>
        <v/>
      </c>
      <c r="CD217" s="5">
        <f>INDEX(Projects[Value (USD M)],216)</f>
        <v/>
      </c>
      <c r="CE217" s="5">
        <f>INDEX(Projects[MH Data Status],216)&amp;""</f>
        <v/>
      </c>
    </row>
    <row r="218" ht="15" customHeight="1" s="74">
      <c r="A218" s="66">
        <f>INDEX(Projects[Project ID *],217)&amp;""</f>
        <v/>
      </c>
      <c r="B218" s="66">
        <f>INDEX(Projects[Project Name *],217)&amp;""</f>
        <v/>
      </c>
      <c r="C218" s="66">
        <f>INDEX(Projects[MS Shuttles],217)</f>
        <v/>
      </c>
      <c r="D218" s="66">
        <f>INDEX(Projects[MS Tote Locations],217)</f>
        <v/>
      </c>
      <c r="E218" s="66">
        <f>INDEX(Projects[AS Robots],217)</f>
        <v/>
      </c>
      <c r="F218" s="66">
        <f>INDEX(Projects[AS Tote Locations],217)</f>
        <v/>
      </c>
      <c r="G218" s="66">
        <f>INDEX(Projects[PS Shuttles],217)</f>
        <v/>
      </c>
      <c r="H218" s="66">
        <f>INDEX(Projects[PS Pallet Locations],217)</f>
        <v/>
      </c>
      <c r="I218" s="66">
        <f>INDEX(Projects[SRM Cranes],217)</f>
        <v/>
      </c>
      <c r="J218" s="66">
        <f>INDEX(Projects[SRM Pallet Locations],217)</f>
        <v/>
      </c>
      <c r="K218" s="66">
        <f>INDEX(Projects[Case Conv (m)],217)</f>
        <v/>
      </c>
      <c r="L218" s="66">
        <f>INDEX(Projects[Pallet Conv (m)],217)</f>
        <v/>
      </c>
      <c r="M218" s="66">
        <f>INDEX(Projects[Mech Eng (wks)],217)</f>
        <v/>
      </c>
      <c r="N218" s="66">
        <f>INDEX(Projects[Controls Eng (wks)],217)</f>
        <v/>
      </c>
      <c r="O218" s="66">
        <f>INDEX(Projects[Systems Eng (wks)],217)</f>
        <v/>
      </c>
      <c r="P218" s="66">
        <f>INDEX(Projects[Software Eng (wks)],217)</f>
        <v/>
      </c>
      <c r="Q218" s="66">
        <f>INDEX(Projects[M&amp;E Installation (wks)],217)</f>
        <v/>
      </c>
      <c r="R218" s="66">
        <f>INDEX(Projects[Commissioning (wks)],217)</f>
        <v/>
      </c>
      <c r="S218" s="66">
        <f>INDEX(Projects[Total Timeline (wks)],217)</f>
        <v/>
      </c>
      <c r="T218" s="66">
        <f>INDEX(Projects[Currency],217)&amp;""</f>
        <v/>
      </c>
      <c r="U218" s="67">
        <f>INDEX(Projects[Value (M)],217)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INDEX(Projects[Automation Equipment],217)&amp;""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IF(AND(A218&lt;&gt;"",OR('Smart Search'!$L$5="",'Smart Search'!$L$5="All",TRIM(BZ218)=TRIM('Smart Search'!$L$5)),OR(TRIM('Smart Search'!$L$6)="",TRIM('Smart Search'!$L$6)="All",ISNUMBER(SEARCH(SUBSTITUTE(SUBSTITUTE(SUBSTITUTE(TRIM('Smart Search'!$L$6),"~","~~"),"*","~*"),"?","~?"),CA218))),OR('Smart Search'!$L$7="",AND(CB218&lt;&gt;0,CB218='Smart Search'!$L$7)),OR('Smart Search'!$L$8="",'Smart Search'!$L$8="All",TRIM(CC218)=TRIM('Smart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IF(A218="","",N(INDEX(Projects[Mech Inst],217)))</f>
        <v/>
      </c>
      <c r="BK218" s="5">
        <f>IF(A218="","",N(INDEX(Projects[Elec Inst],217)))</f>
        <v/>
      </c>
      <c r="BL218" s="5">
        <f>IF(A218="","",N(INDEX(Projects[Project Management],217)))</f>
        <v/>
      </c>
      <c r="BM218" s="5">
        <f>IF(A218="","",N(INDEX(Projects[Systems Eng],217)))</f>
        <v/>
      </c>
      <c r="BN218" s="5">
        <f>IF(A218="","",N(INDEX(Projects[Mechanical Eng],217)))</f>
        <v/>
      </c>
      <c r="BO218" s="5">
        <f>IF(A218="","",N(INDEX(Projects[Structural Engineering],217)))</f>
        <v/>
      </c>
      <c r="BP218" s="5">
        <f>IF(A218="","",N(INDEX(Projects[Site Sup],217)))</f>
        <v/>
      </c>
      <c r="BQ218" s="5">
        <f>IF(A218="","",N(INDEX(Projects[Controls Commissioning],217)))</f>
        <v/>
      </c>
      <c r="BR218" s="5">
        <f>IF(A218="","",N(INDEX(Projects[Systems Commissioning],217)))</f>
        <v/>
      </c>
      <c r="BS218" s="5">
        <f>IF(A218="","",N(INDEX(Projects[Service Commissioning],217)))</f>
        <v/>
      </c>
      <c r="BT218" s="5">
        <f>IF(A218="","",N(INDEX(Projects[Controls Eng],217)))</f>
        <v/>
      </c>
      <c r="BU218" s="5">
        <f>IF(A218="","",N(INDEX(Projects[Controls Purchase],217)))</f>
        <v/>
      </c>
      <c r="BV218" s="5">
        <f>IF(A218="","",N(INDEX(Projects[Software Eng],217)))</f>
        <v/>
      </c>
      <c r="BW218" s="5">
        <f>IF(A218="","",N(INDEX(Projects[Misc],217)))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  <c r="BZ218" s="5">
        <f>INDEX(Projects[Solution Type],217)&amp;""</f>
        <v/>
      </c>
      <c r="CA218" s="5">
        <f>INDEX(Projects[Client / Region],217)&amp;""</f>
        <v/>
      </c>
      <c r="CB218" s="5">
        <f>INDEX(Projects[Year],217)</f>
        <v/>
      </c>
      <c r="CC218" s="5">
        <f>INDEX(Projects[Won?],217)&amp;""</f>
        <v/>
      </c>
      <c r="CD218" s="5">
        <f>INDEX(Projects[Value (USD M)],217)</f>
        <v/>
      </c>
      <c r="CE218" s="5">
        <f>INDEX(Projects[MH Data Status],217)&amp;""</f>
        <v/>
      </c>
    </row>
    <row r="219" ht="15" customHeight="1" s="74">
      <c r="A219" s="66">
        <f>INDEX(Projects[Project ID *],218)&amp;""</f>
        <v/>
      </c>
      <c r="B219" s="66">
        <f>INDEX(Projects[Project Name *],218)&amp;""</f>
        <v/>
      </c>
      <c r="C219" s="66">
        <f>INDEX(Projects[MS Shuttles],218)</f>
        <v/>
      </c>
      <c r="D219" s="66">
        <f>INDEX(Projects[MS Tote Locations],218)</f>
        <v/>
      </c>
      <c r="E219" s="66">
        <f>INDEX(Projects[AS Robots],218)</f>
        <v/>
      </c>
      <c r="F219" s="66">
        <f>INDEX(Projects[AS Tote Locations],218)</f>
        <v/>
      </c>
      <c r="G219" s="66">
        <f>INDEX(Projects[PS Shuttles],218)</f>
        <v/>
      </c>
      <c r="H219" s="66">
        <f>INDEX(Projects[PS Pallet Locations],218)</f>
        <v/>
      </c>
      <c r="I219" s="66">
        <f>INDEX(Projects[SRM Cranes],218)</f>
        <v/>
      </c>
      <c r="J219" s="66">
        <f>INDEX(Projects[SRM Pallet Locations],218)</f>
        <v/>
      </c>
      <c r="K219" s="66">
        <f>INDEX(Projects[Case Conv (m)],218)</f>
        <v/>
      </c>
      <c r="L219" s="66">
        <f>INDEX(Projects[Pallet Conv (m)],218)</f>
        <v/>
      </c>
      <c r="M219" s="66">
        <f>INDEX(Projects[Mech Eng (wks)],218)</f>
        <v/>
      </c>
      <c r="N219" s="66">
        <f>INDEX(Projects[Controls Eng (wks)],218)</f>
        <v/>
      </c>
      <c r="O219" s="66">
        <f>INDEX(Projects[Systems Eng (wks)],218)</f>
        <v/>
      </c>
      <c r="P219" s="66">
        <f>INDEX(Projects[Software Eng (wks)],218)</f>
        <v/>
      </c>
      <c r="Q219" s="66">
        <f>INDEX(Projects[M&amp;E Installation (wks)],218)</f>
        <v/>
      </c>
      <c r="R219" s="66">
        <f>INDEX(Projects[Commissioning (wks)],218)</f>
        <v/>
      </c>
      <c r="S219" s="66">
        <f>INDEX(Projects[Total Timeline (wks)],218)</f>
        <v/>
      </c>
      <c r="T219" s="66">
        <f>INDEX(Projects[Currency],218)&amp;""</f>
        <v/>
      </c>
      <c r="U219" s="67">
        <f>INDEX(Projects[Value (M)],218)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INDEX(Projects[Automation Equipment],218)&amp;""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IF(AND(A219&lt;&gt;"",OR('Smart Search'!$L$5="",'Smart Search'!$L$5="All",TRIM(BZ219)=TRIM('Smart Search'!$L$5)),OR(TRIM('Smart Search'!$L$6)="",TRIM('Smart Search'!$L$6)="All",ISNUMBER(SEARCH(SUBSTITUTE(SUBSTITUTE(SUBSTITUTE(TRIM('Smart Search'!$L$6),"~","~~"),"*","~*"),"?","~?"),CA219))),OR('Smart Search'!$L$7="",AND(CB219&lt;&gt;0,CB219='Smart Search'!$L$7)),OR('Smart Search'!$L$8="",'Smart Search'!$L$8="All",TRIM(CC219)=TRIM('Smart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IF(A219="","",N(INDEX(Projects[Mech Inst],218)))</f>
        <v/>
      </c>
      <c r="BK219" s="5">
        <f>IF(A219="","",N(INDEX(Projects[Elec Inst],218)))</f>
        <v/>
      </c>
      <c r="BL219" s="5">
        <f>IF(A219="","",N(INDEX(Projects[Project Management],218)))</f>
        <v/>
      </c>
      <c r="BM219" s="5">
        <f>IF(A219="","",N(INDEX(Projects[Systems Eng],218)))</f>
        <v/>
      </c>
      <c r="BN219" s="5">
        <f>IF(A219="","",N(INDEX(Projects[Mechanical Eng],218)))</f>
        <v/>
      </c>
      <c r="BO219" s="5">
        <f>IF(A219="","",N(INDEX(Projects[Structural Engineering],218)))</f>
        <v/>
      </c>
      <c r="BP219" s="5">
        <f>IF(A219="","",N(INDEX(Projects[Site Sup],218)))</f>
        <v/>
      </c>
      <c r="BQ219" s="5">
        <f>IF(A219="","",N(INDEX(Projects[Controls Commissioning],218)))</f>
        <v/>
      </c>
      <c r="BR219" s="5">
        <f>IF(A219="","",N(INDEX(Projects[Systems Commissioning],218)))</f>
        <v/>
      </c>
      <c r="BS219" s="5">
        <f>IF(A219="","",N(INDEX(Projects[Service Commissioning],218)))</f>
        <v/>
      </c>
      <c r="BT219" s="5">
        <f>IF(A219="","",N(INDEX(Projects[Controls Eng],218)))</f>
        <v/>
      </c>
      <c r="BU219" s="5">
        <f>IF(A219="","",N(INDEX(Projects[Controls Purchase],218)))</f>
        <v/>
      </c>
      <c r="BV219" s="5">
        <f>IF(A219="","",N(INDEX(Projects[Software Eng],218)))</f>
        <v/>
      </c>
      <c r="BW219" s="5">
        <f>IF(A219="","",N(INDEX(Projects[Misc],218)))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  <c r="BZ219" s="5">
        <f>INDEX(Projects[Solution Type],218)&amp;""</f>
        <v/>
      </c>
      <c r="CA219" s="5">
        <f>INDEX(Projects[Client / Region],218)&amp;""</f>
        <v/>
      </c>
      <c r="CB219" s="5">
        <f>INDEX(Projects[Year],218)</f>
        <v/>
      </c>
      <c r="CC219" s="5">
        <f>INDEX(Projects[Won?],218)&amp;""</f>
        <v/>
      </c>
      <c r="CD219" s="5">
        <f>INDEX(Projects[Value (USD M)],218)</f>
        <v/>
      </c>
      <c r="CE219" s="5">
        <f>INDEX(Projects[MH Data Status],218)&amp;""</f>
        <v/>
      </c>
    </row>
    <row r="220" ht="15" customHeight="1" s="74">
      <c r="A220" s="66">
        <f>INDEX(Projects[Project ID *],219)&amp;""</f>
        <v/>
      </c>
      <c r="B220" s="66">
        <f>INDEX(Projects[Project Name *],219)&amp;""</f>
        <v/>
      </c>
      <c r="C220" s="66">
        <f>INDEX(Projects[MS Shuttles],219)</f>
        <v/>
      </c>
      <c r="D220" s="66">
        <f>INDEX(Projects[MS Tote Locations],219)</f>
        <v/>
      </c>
      <c r="E220" s="66">
        <f>INDEX(Projects[AS Robots],219)</f>
        <v/>
      </c>
      <c r="F220" s="66">
        <f>INDEX(Projects[AS Tote Locations],219)</f>
        <v/>
      </c>
      <c r="G220" s="66">
        <f>INDEX(Projects[PS Shuttles],219)</f>
        <v/>
      </c>
      <c r="H220" s="66">
        <f>INDEX(Projects[PS Pallet Locations],219)</f>
        <v/>
      </c>
      <c r="I220" s="66">
        <f>INDEX(Projects[SRM Cranes],219)</f>
        <v/>
      </c>
      <c r="J220" s="66">
        <f>INDEX(Projects[SRM Pallet Locations],219)</f>
        <v/>
      </c>
      <c r="K220" s="66">
        <f>INDEX(Projects[Case Conv (m)],219)</f>
        <v/>
      </c>
      <c r="L220" s="66">
        <f>INDEX(Projects[Pallet Conv (m)],219)</f>
        <v/>
      </c>
      <c r="M220" s="66">
        <f>INDEX(Projects[Mech Eng (wks)],219)</f>
        <v/>
      </c>
      <c r="N220" s="66">
        <f>INDEX(Projects[Controls Eng (wks)],219)</f>
        <v/>
      </c>
      <c r="O220" s="66">
        <f>INDEX(Projects[Systems Eng (wks)],219)</f>
        <v/>
      </c>
      <c r="P220" s="66">
        <f>INDEX(Projects[Software Eng (wks)],219)</f>
        <v/>
      </c>
      <c r="Q220" s="66">
        <f>INDEX(Projects[M&amp;E Installation (wks)],219)</f>
        <v/>
      </c>
      <c r="R220" s="66">
        <f>INDEX(Projects[Commissioning (wks)],219)</f>
        <v/>
      </c>
      <c r="S220" s="66">
        <f>INDEX(Projects[Total Timeline (wks)],219)</f>
        <v/>
      </c>
      <c r="T220" s="66">
        <f>INDEX(Projects[Currency],219)&amp;""</f>
        <v/>
      </c>
      <c r="U220" s="67">
        <f>INDEX(Projects[Value (M)],219)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INDEX(Projects[Automation Equipment],219)&amp;""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IF(AND(A220&lt;&gt;"",OR('Smart Search'!$L$5="",'Smart Search'!$L$5="All",TRIM(BZ220)=TRIM('Smart Search'!$L$5)),OR(TRIM('Smart Search'!$L$6)="",TRIM('Smart Search'!$L$6)="All",ISNUMBER(SEARCH(SUBSTITUTE(SUBSTITUTE(SUBSTITUTE(TRIM('Smart Search'!$L$6),"~","~~"),"*","~*"),"?","~?"),CA220))),OR('Smart Search'!$L$7="",AND(CB220&lt;&gt;0,CB220='Smart Search'!$L$7)),OR('Smart Search'!$L$8="",'Smart Search'!$L$8="All",TRIM(CC220)=TRIM('Smart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IF(A220="","",N(INDEX(Projects[Mech Inst],219)))</f>
        <v/>
      </c>
      <c r="BK220" s="5">
        <f>IF(A220="","",N(INDEX(Projects[Elec Inst],219)))</f>
        <v/>
      </c>
      <c r="BL220" s="5">
        <f>IF(A220="","",N(INDEX(Projects[Project Management],219)))</f>
        <v/>
      </c>
      <c r="BM220" s="5">
        <f>IF(A220="","",N(INDEX(Projects[Systems Eng],219)))</f>
        <v/>
      </c>
      <c r="BN220" s="5">
        <f>IF(A220="","",N(INDEX(Projects[Mechanical Eng],219)))</f>
        <v/>
      </c>
      <c r="BO220" s="5">
        <f>IF(A220="","",N(INDEX(Projects[Structural Engineering],219)))</f>
        <v/>
      </c>
      <c r="BP220" s="5">
        <f>IF(A220="","",N(INDEX(Projects[Site Sup],219)))</f>
        <v/>
      </c>
      <c r="BQ220" s="5">
        <f>IF(A220="","",N(INDEX(Projects[Controls Commissioning],219)))</f>
        <v/>
      </c>
      <c r="BR220" s="5">
        <f>IF(A220="","",N(INDEX(Projects[Systems Commissioning],219)))</f>
        <v/>
      </c>
      <c r="BS220" s="5">
        <f>IF(A220="","",N(INDEX(Projects[Service Commissioning],219)))</f>
        <v/>
      </c>
      <c r="BT220" s="5">
        <f>IF(A220="","",N(INDEX(Projects[Controls Eng],219)))</f>
        <v/>
      </c>
      <c r="BU220" s="5">
        <f>IF(A220="","",N(INDEX(Projects[Controls Purchase],219)))</f>
        <v/>
      </c>
      <c r="BV220" s="5">
        <f>IF(A220="","",N(INDEX(Projects[Software Eng],219)))</f>
        <v/>
      </c>
      <c r="BW220" s="5">
        <f>IF(A220="","",N(INDEX(Projects[Misc],219)))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  <c r="BZ220" s="5">
        <f>INDEX(Projects[Solution Type],219)&amp;""</f>
        <v/>
      </c>
      <c r="CA220" s="5">
        <f>INDEX(Projects[Client / Region],219)&amp;""</f>
        <v/>
      </c>
      <c r="CB220" s="5">
        <f>INDEX(Projects[Year],219)</f>
        <v/>
      </c>
      <c r="CC220" s="5">
        <f>INDEX(Projects[Won?],219)&amp;""</f>
        <v/>
      </c>
      <c r="CD220" s="5">
        <f>INDEX(Projects[Value (USD M)],219)</f>
        <v/>
      </c>
      <c r="CE220" s="5">
        <f>INDEX(Projects[MH Data Status],219)&amp;""</f>
        <v/>
      </c>
    </row>
    <row r="221" ht="15" customHeight="1" s="74">
      <c r="A221" s="66">
        <f>INDEX(Projects[Project ID *],220)&amp;""</f>
        <v/>
      </c>
      <c r="B221" s="66">
        <f>INDEX(Projects[Project Name *],220)&amp;""</f>
        <v/>
      </c>
      <c r="C221" s="66">
        <f>INDEX(Projects[MS Shuttles],220)</f>
        <v/>
      </c>
      <c r="D221" s="66">
        <f>INDEX(Projects[MS Tote Locations],220)</f>
        <v/>
      </c>
      <c r="E221" s="66">
        <f>INDEX(Projects[AS Robots],220)</f>
        <v/>
      </c>
      <c r="F221" s="66">
        <f>INDEX(Projects[AS Tote Locations],220)</f>
        <v/>
      </c>
      <c r="G221" s="66">
        <f>INDEX(Projects[PS Shuttles],220)</f>
        <v/>
      </c>
      <c r="H221" s="66">
        <f>INDEX(Projects[PS Pallet Locations],220)</f>
        <v/>
      </c>
      <c r="I221" s="66">
        <f>INDEX(Projects[SRM Cranes],220)</f>
        <v/>
      </c>
      <c r="J221" s="66">
        <f>INDEX(Projects[SRM Pallet Locations],220)</f>
        <v/>
      </c>
      <c r="K221" s="66">
        <f>INDEX(Projects[Case Conv (m)],220)</f>
        <v/>
      </c>
      <c r="L221" s="66">
        <f>INDEX(Projects[Pallet Conv (m)],220)</f>
        <v/>
      </c>
      <c r="M221" s="66">
        <f>INDEX(Projects[Mech Eng (wks)],220)</f>
        <v/>
      </c>
      <c r="N221" s="66">
        <f>INDEX(Projects[Controls Eng (wks)],220)</f>
        <v/>
      </c>
      <c r="O221" s="66">
        <f>INDEX(Projects[Systems Eng (wks)],220)</f>
        <v/>
      </c>
      <c r="P221" s="66">
        <f>INDEX(Projects[Software Eng (wks)],220)</f>
        <v/>
      </c>
      <c r="Q221" s="66">
        <f>INDEX(Projects[M&amp;E Installation (wks)],220)</f>
        <v/>
      </c>
      <c r="R221" s="66">
        <f>INDEX(Projects[Commissioning (wks)],220)</f>
        <v/>
      </c>
      <c r="S221" s="66">
        <f>INDEX(Projects[Total Timeline (wks)],220)</f>
        <v/>
      </c>
      <c r="T221" s="66">
        <f>INDEX(Projects[Currency],220)&amp;""</f>
        <v/>
      </c>
      <c r="U221" s="67">
        <f>INDEX(Projects[Value (M)],220)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INDEX(Projects[Automation Equipment],220)&amp;""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IF(AND(A221&lt;&gt;"",OR('Smart Search'!$L$5="",'Smart Search'!$L$5="All",TRIM(BZ221)=TRIM('Smart Search'!$L$5)),OR(TRIM('Smart Search'!$L$6)="",TRIM('Smart Search'!$L$6)="All",ISNUMBER(SEARCH(SUBSTITUTE(SUBSTITUTE(SUBSTITUTE(TRIM('Smart Search'!$L$6),"~","~~"),"*","~*"),"?","~?"),CA221))),OR('Smart Search'!$L$7="",AND(CB221&lt;&gt;0,CB221='Smart Search'!$L$7)),OR('Smart Search'!$L$8="",'Smart Search'!$L$8="All",TRIM(CC221)=TRIM('Smart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IF(A221="","",N(INDEX(Projects[Mech Inst],220)))</f>
        <v/>
      </c>
      <c r="BK221" s="5">
        <f>IF(A221="","",N(INDEX(Projects[Elec Inst],220)))</f>
        <v/>
      </c>
      <c r="BL221" s="5">
        <f>IF(A221="","",N(INDEX(Projects[Project Management],220)))</f>
        <v/>
      </c>
      <c r="BM221" s="5">
        <f>IF(A221="","",N(INDEX(Projects[Systems Eng],220)))</f>
        <v/>
      </c>
      <c r="BN221" s="5">
        <f>IF(A221="","",N(INDEX(Projects[Mechanical Eng],220)))</f>
        <v/>
      </c>
      <c r="BO221" s="5">
        <f>IF(A221="","",N(INDEX(Projects[Structural Engineering],220)))</f>
        <v/>
      </c>
      <c r="BP221" s="5">
        <f>IF(A221="","",N(INDEX(Projects[Site Sup],220)))</f>
        <v/>
      </c>
      <c r="BQ221" s="5">
        <f>IF(A221="","",N(INDEX(Projects[Controls Commissioning],220)))</f>
        <v/>
      </c>
      <c r="BR221" s="5">
        <f>IF(A221="","",N(INDEX(Projects[Systems Commissioning],220)))</f>
        <v/>
      </c>
      <c r="BS221" s="5">
        <f>IF(A221="","",N(INDEX(Projects[Service Commissioning],220)))</f>
        <v/>
      </c>
      <c r="BT221" s="5">
        <f>IF(A221="","",N(INDEX(Projects[Controls Eng],220)))</f>
        <v/>
      </c>
      <c r="BU221" s="5">
        <f>IF(A221="","",N(INDEX(Projects[Controls Purchase],220)))</f>
        <v/>
      </c>
      <c r="BV221" s="5">
        <f>IF(A221="","",N(INDEX(Projects[Software Eng],220)))</f>
        <v/>
      </c>
      <c r="BW221" s="5">
        <f>IF(A221="","",N(INDEX(Projects[Misc],220)))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  <c r="BZ221" s="5">
        <f>INDEX(Projects[Solution Type],220)&amp;""</f>
        <v/>
      </c>
      <c r="CA221" s="5">
        <f>INDEX(Projects[Client / Region],220)&amp;""</f>
        <v/>
      </c>
      <c r="CB221" s="5">
        <f>INDEX(Projects[Year],220)</f>
        <v/>
      </c>
      <c r="CC221" s="5">
        <f>INDEX(Projects[Won?],220)&amp;""</f>
        <v/>
      </c>
      <c r="CD221" s="5">
        <f>INDEX(Projects[Value (USD M)],220)</f>
        <v/>
      </c>
      <c r="CE221" s="5">
        <f>INDEX(Projects[MH Data Status],220)&amp;""</f>
        <v/>
      </c>
    </row>
    <row r="222" ht="15" customHeight="1" s="74">
      <c r="A222" s="66">
        <f>INDEX(Projects[Project ID *],221)&amp;""</f>
        <v/>
      </c>
      <c r="B222" s="66">
        <f>INDEX(Projects[Project Name *],221)&amp;""</f>
        <v/>
      </c>
      <c r="C222" s="66">
        <f>INDEX(Projects[MS Shuttles],221)</f>
        <v/>
      </c>
      <c r="D222" s="66">
        <f>INDEX(Projects[MS Tote Locations],221)</f>
        <v/>
      </c>
      <c r="E222" s="66">
        <f>INDEX(Projects[AS Robots],221)</f>
        <v/>
      </c>
      <c r="F222" s="66">
        <f>INDEX(Projects[AS Tote Locations],221)</f>
        <v/>
      </c>
      <c r="G222" s="66">
        <f>INDEX(Projects[PS Shuttles],221)</f>
        <v/>
      </c>
      <c r="H222" s="66">
        <f>INDEX(Projects[PS Pallet Locations],221)</f>
        <v/>
      </c>
      <c r="I222" s="66">
        <f>INDEX(Projects[SRM Cranes],221)</f>
        <v/>
      </c>
      <c r="J222" s="66">
        <f>INDEX(Projects[SRM Pallet Locations],221)</f>
        <v/>
      </c>
      <c r="K222" s="66">
        <f>INDEX(Projects[Case Conv (m)],221)</f>
        <v/>
      </c>
      <c r="L222" s="66">
        <f>INDEX(Projects[Pallet Conv (m)],221)</f>
        <v/>
      </c>
      <c r="M222" s="66">
        <f>INDEX(Projects[Mech Eng (wks)],221)</f>
        <v/>
      </c>
      <c r="N222" s="66">
        <f>INDEX(Projects[Controls Eng (wks)],221)</f>
        <v/>
      </c>
      <c r="O222" s="66">
        <f>INDEX(Projects[Systems Eng (wks)],221)</f>
        <v/>
      </c>
      <c r="P222" s="66">
        <f>INDEX(Projects[Software Eng (wks)],221)</f>
        <v/>
      </c>
      <c r="Q222" s="66">
        <f>INDEX(Projects[M&amp;E Installation (wks)],221)</f>
        <v/>
      </c>
      <c r="R222" s="66">
        <f>INDEX(Projects[Commissioning (wks)],221)</f>
        <v/>
      </c>
      <c r="S222" s="66">
        <f>INDEX(Projects[Total Timeline (wks)],221)</f>
        <v/>
      </c>
      <c r="T222" s="66">
        <f>INDEX(Projects[Currency],221)&amp;""</f>
        <v/>
      </c>
      <c r="U222" s="67">
        <f>INDEX(Projects[Value (M)],221)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INDEX(Projects[Automation Equipment],221)&amp;""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IF(AND(A222&lt;&gt;"",OR('Smart Search'!$L$5="",'Smart Search'!$L$5="All",TRIM(BZ222)=TRIM('Smart Search'!$L$5)),OR(TRIM('Smart Search'!$L$6)="",TRIM('Smart Search'!$L$6)="All",ISNUMBER(SEARCH(SUBSTITUTE(SUBSTITUTE(SUBSTITUTE(TRIM('Smart Search'!$L$6),"~","~~"),"*","~*"),"?","~?"),CA222))),OR('Smart Search'!$L$7="",AND(CB222&lt;&gt;0,CB222='Smart Search'!$L$7)),OR('Smart Search'!$L$8="",'Smart Search'!$L$8="All",TRIM(CC222)=TRIM('Smart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IF(A222="","",N(INDEX(Projects[Mech Inst],221)))</f>
        <v/>
      </c>
      <c r="BK222" s="5">
        <f>IF(A222="","",N(INDEX(Projects[Elec Inst],221)))</f>
        <v/>
      </c>
      <c r="BL222" s="5">
        <f>IF(A222="","",N(INDEX(Projects[Project Management],221)))</f>
        <v/>
      </c>
      <c r="BM222" s="5">
        <f>IF(A222="","",N(INDEX(Projects[Systems Eng],221)))</f>
        <v/>
      </c>
      <c r="BN222" s="5">
        <f>IF(A222="","",N(INDEX(Projects[Mechanical Eng],221)))</f>
        <v/>
      </c>
      <c r="BO222" s="5">
        <f>IF(A222="","",N(INDEX(Projects[Structural Engineering],221)))</f>
        <v/>
      </c>
      <c r="BP222" s="5">
        <f>IF(A222="","",N(INDEX(Projects[Site Sup],221)))</f>
        <v/>
      </c>
      <c r="BQ222" s="5">
        <f>IF(A222="","",N(INDEX(Projects[Controls Commissioning],221)))</f>
        <v/>
      </c>
      <c r="BR222" s="5">
        <f>IF(A222="","",N(INDEX(Projects[Systems Commissioning],221)))</f>
        <v/>
      </c>
      <c r="BS222" s="5">
        <f>IF(A222="","",N(INDEX(Projects[Service Commissioning],221)))</f>
        <v/>
      </c>
      <c r="BT222" s="5">
        <f>IF(A222="","",N(INDEX(Projects[Controls Eng],221)))</f>
        <v/>
      </c>
      <c r="BU222" s="5">
        <f>IF(A222="","",N(INDEX(Projects[Controls Purchase],221)))</f>
        <v/>
      </c>
      <c r="BV222" s="5">
        <f>IF(A222="","",N(INDEX(Projects[Software Eng],221)))</f>
        <v/>
      </c>
      <c r="BW222" s="5">
        <f>IF(A222="","",N(INDEX(Projects[Misc],221)))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  <c r="BZ222" s="5">
        <f>INDEX(Projects[Solution Type],221)&amp;""</f>
        <v/>
      </c>
      <c r="CA222" s="5">
        <f>INDEX(Projects[Client / Region],221)&amp;""</f>
        <v/>
      </c>
      <c r="CB222" s="5">
        <f>INDEX(Projects[Year],221)</f>
        <v/>
      </c>
      <c r="CC222" s="5">
        <f>INDEX(Projects[Won?],221)&amp;""</f>
        <v/>
      </c>
      <c r="CD222" s="5">
        <f>INDEX(Projects[Value (USD M)],221)</f>
        <v/>
      </c>
      <c r="CE222" s="5">
        <f>INDEX(Projects[MH Data Status],221)&amp;""</f>
        <v/>
      </c>
    </row>
    <row r="223" ht="15" customHeight="1" s="74">
      <c r="A223" s="66">
        <f>INDEX(Projects[Project ID *],222)&amp;""</f>
        <v/>
      </c>
      <c r="B223" s="66">
        <f>INDEX(Projects[Project Name *],222)&amp;""</f>
        <v/>
      </c>
      <c r="C223" s="66">
        <f>INDEX(Projects[MS Shuttles],222)</f>
        <v/>
      </c>
      <c r="D223" s="66">
        <f>INDEX(Projects[MS Tote Locations],222)</f>
        <v/>
      </c>
      <c r="E223" s="66">
        <f>INDEX(Projects[AS Robots],222)</f>
        <v/>
      </c>
      <c r="F223" s="66">
        <f>INDEX(Projects[AS Tote Locations],222)</f>
        <v/>
      </c>
      <c r="G223" s="66">
        <f>INDEX(Projects[PS Shuttles],222)</f>
        <v/>
      </c>
      <c r="H223" s="66">
        <f>INDEX(Projects[PS Pallet Locations],222)</f>
        <v/>
      </c>
      <c r="I223" s="66">
        <f>INDEX(Projects[SRM Cranes],222)</f>
        <v/>
      </c>
      <c r="J223" s="66">
        <f>INDEX(Projects[SRM Pallet Locations],222)</f>
        <v/>
      </c>
      <c r="K223" s="66">
        <f>INDEX(Projects[Case Conv (m)],222)</f>
        <v/>
      </c>
      <c r="L223" s="66">
        <f>INDEX(Projects[Pallet Conv (m)],222)</f>
        <v/>
      </c>
      <c r="M223" s="66">
        <f>INDEX(Projects[Mech Eng (wks)],222)</f>
        <v/>
      </c>
      <c r="N223" s="66">
        <f>INDEX(Projects[Controls Eng (wks)],222)</f>
        <v/>
      </c>
      <c r="O223" s="66">
        <f>INDEX(Projects[Systems Eng (wks)],222)</f>
        <v/>
      </c>
      <c r="P223" s="66">
        <f>INDEX(Projects[Software Eng (wks)],222)</f>
        <v/>
      </c>
      <c r="Q223" s="66">
        <f>INDEX(Projects[M&amp;E Installation (wks)],222)</f>
        <v/>
      </c>
      <c r="R223" s="66">
        <f>INDEX(Projects[Commissioning (wks)],222)</f>
        <v/>
      </c>
      <c r="S223" s="66">
        <f>INDEX(Projects[Total Timeline (wks)],222)</f>
        <v/>
      </c>
      <c r="T223" s="66">
        <f>INDEX(Projects[Currency],222)&amp;""</f>
        <v/>
      </c>
      <c r="U223" s="67">
        <f>INDEX(Projects[Value (M)],222)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INDEX(Projects[Automation Equipment],222)&amp;""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IF(AND(A223&lt;&gt;"",OR('Smart Search'!$L$5="",'Smart Search'!$L$5="All",TRIM(BZ223)=TRIM('Smart Search'!$L$5)),OR(TRIM('Smart Search'!$L$6)="",TRIM('Smart Search'!$L$6)="All",ISNUMBER(SEARCH(SUBSTITUTE(SUBSTITUTE(SUBSTITUTE(TRIM('Smart Search'!$L$6),"~","~~"),"*","~*"),"?","~?"),CA223))),OR('Smart Search'!$L$7="",AND(CB223&lt;&gt;0,CB223='Smart Search'!$L$7)),OR('Smart Search'!$L$8="",'Smart Search'!$L$8="All",TRIM(CC223)=TRIM('Smart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IF(A223="","",N(INDEX(Projects[Mech Inst],222)))</f>
        <v/>
      </c>
      <c r="BK223" s="5">
        <f>IF(A223="","",N(INDEX(Projects[Elec Inst],222)))</f>
        <v/>
      </c>
      <c r="BL223" s="5">
        <f>IF(A223="","",N(INDEX(Projects[Project Management],222)))</f>
        <v/>
      </c>
      <c r="BM223" s="5">
        <f>IF(A223="","",N(INDEX(Projects[Systems Eng],222)))</f>
        <v/>
      </c>
      <c r="BN223" s="5">
        <f>IF(A223="","",N(INDEX(Projects[Mechanical Eng],222)))</f>
        <v/>
      </c>
      <c r="BO223" s="5">
        <f>IF(A223="","",N(INDEX(Projects[Structural Engineering],222)))</f>
        <v/>
      </c>
      <c r="BP223" s="5">
        <f>IF(A223="","",N(INDEX(Projects[Site Sup],222)))</f>
        <v/>
      </c>
      <c r="BQ223" s="5">
        <f>IF(A223="","",N(INDEX(Projects[Controls Commissioning],222)))</f>
        <v/>
      </c>
      <c r="BR223" s="5">
        <f>IF(A223="","",N(INDEX(Projects[Systems Commissioning],222)))</f>
        <v/>
      </c>
      <c r="BS223" s="5">
        <f>IF(A223="","",N(INDEX(Projects[Service Commissioning],222)))</f>
        <v/>
      </c>
      <c r="BT223" s="5">
        <f>IF(A223="","",N(INDEX(Projects[Controls Eng],222)))</f>
        <v/>
      </c>
      <c r="BU223" s="5">
        <f>IF(A223="","",N(INDEX(Projects[Controls Purchase],222)))</f>
        <v/>
      </c>
      <c r="BV223" s="5">
        <f>IF(A223="","",N(INDEX(Projects[Software Eng],222)))</f>
        <v/>
      </c>
      <c r="BW223" s="5">
        <f>IF(A223="","",N(INDEX(Projects[Misc],222)))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  <c r="BZ223" s="5">
        <f>INDEX(Projects[Solution Type],222)&amp;""</f>
        <v/>
      </c>
      <c r="CA223" s="5">
        <f>INDEX(Projects[Client / Region],222)&amp;""</f>
        <v/>
      </c>
      <c r="CB223" s="5">
        <f>INDEX(Projects[Year],222)</f>
        <v/>
      </c>
      <c r="CC223" s="5">
        <f>INDEX(Projects[Won?],222)&amp;""</f>
        <v/>
      </c>
      <c r="CD223" s="5">
        <f>INDEX(Projects[Value (USD M)],222)</f>
        <v/>
      </c>
      <c r="CE223" s="5">
        <f>INDEX(Projects[MH Data Status],222)&amp;""</f>
        <v/>
      </c>
    </row>
    <row r="224" ht="15" customHeight="1" s="74">
      <c r="A224" s="66">
        <f>INDEX(Projects[Project ID *],223)&amp;""</f>
        <v/>
      </c>
      <c r="B224" s="66">
        <f>INDEX(Projects[Project Name *],223)&amp;""</f>
        <v/>
      </c>
      <c r="C224" s="66">
        <f>INDEX(Projects[MS Shuttles],223)</f>
        <v/>
      </c>
      <c r="D224" s="66">
        <f>INDEX(Projects[MS Tote Locations],223)</f>
        <v/>
      </c>
      <c r="E224" s="66">
        <f>INDEX(Projects[AS Robots],223)</f>
        <v/>
      </c>
      <c r="F224" s="66">
        <f>INDEX(Projects[AS Tote Locations],223)</f>
        <v/>
      </c>
      <c r="G224" s="66">
        <f>INDEX(Projects[PS Shuttles],223)</f>
        <v/>
      </c>
      <c r="H224" s="66">
        <f>INDEX(Projects[PS Pallet Locations],223)</f>
        <v/>
      </c>
      <c r="I224" s="66">
        <f>INDEX(Projects[SRM Cranes],223)</f>
        <v/>
      </c>
      <c r="J224" s="66">
        <f>INDEX(Projects[SRM Pallet Locations],223)</f>
        <v/>
      </c>
      <c r="K224" s="66">
        <f>INDEX(Projects[Case Conv (m)],223)</f>
        <v/>
      </c>
      <c r="L224" s="66">
        <f>INDEX(Projects[Pallet Conv (m)],223)</f>
        <v/>
      </c>
      <c r="M224" s="66">
        <f>INDEX(Projects[Mech Eng (wks)],223)</f>
        <v/>
      </c>
      <c r="N224" s="66">
        <f>INDEX(Projects[Controls Eng (wks)],223)</f>
        <v/>
      </c>
      <c r="O224" s="66">
        <f>INDEX(Projects[Systems Eng (wks)],223)</f>
        <v/>
      </c>
      <c r="P224" s="66">
        <f>INDEX(Projects[Software Eng (wks)],223)</f>
        <v/>
      </c>
      <c r="Q224" s="66">
        <f>INDEX(Projects[M&amp;E Installation (wks)],223)</f>
        <v/>
      </c>
      <c r="R224" s="66">
        <f>INDEX(Projects[Commissioning (wks)],223)</f>
        <v/>
      </c>
      <c r="S224" s="66">
        <f>INDEX(Projects[Total Timeline (wks)],223)</f>
        <v/>
      </c>
      <c r="T224" s="66">
        <f>INDEX(Projects[Currency],223)&amp;""</f>
        <v/>
      </c>
      <c r="U224" s="67">
        <f>INDEX(Projects[Value (M)],223)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INDEX(Projects[Automation Equipment],223)&amp;""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IF(AND(A224&lt;&gt;"",OR('Smart Search'!$L$5="",'Smart Search'!$L$5="All",TRIM(BZ224)=TRIM('Smart Search'!$L$5)),OR(TRIM('Smart Search'!$L$6)="",TRIM('Smart Search'!$L$6)="All",ISNUMBER(SEARCH(SUBSTITUTE(SUBSTITUTE(SUBSTITUTE(TRIM('Smart Search'!$L$6),"~","~~"),"*","~*"),"?","~?"),CA224))),OR('Smart Search'!$L$7="",AND(CB224&lt;&gt;0,CB224='Smart Search'!$L$7)),OR('Smart Search'!$L$8="",'Smart Search'!$L$8="All",TRIM(CC224)=TRIM('Smart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IF(A224="","",N(INDEX(Projects[Mech Inst],223)))</f>
        <v/>
      </c>
      <c r="BK224" s="5">
        <f>IF(A224="","",N(INDEX(Projects[Elec Inst],223)))</f>
        <v/>
      </c>
      <c r="BL224" s="5">
        <f>IF(A224="","",N(INDEX(Projects[Project Management],223)))</f>
        <v/>
      </c>
      <c r="BM224" s="5">
        <f>IF(A224="","",N(INDEX(Projects[Systems Eng],223)))</f>
        <v/>
      </c>
      <c r="BN224" s="5">
        <f>IF(A224="","",N(INDEX(Projects[Mechanical Eng],223)))</f>
        <v/>
      </c>
      <c r="BO224" s="5">
        <f>IF(A224="","",N(INDEX(Projects[Structural Engineering],223)))</f>
        <v/>
      </c>
      <c r="BP224" s="5">
        <f>IF(A224="","",N(INDEX(Projects[Site Sup],223)))</f>
        <v/>
      </c>
      <c r="BQ224" s="5">
        <f>IF(A224="","",N(INDEX(Projects[Controls Commissioning],223)))</f>
        <v/>
      </c>
      <c r="BR224" s="5">
        <f>IF(A224="","",N(INDEX(Projects[Systems Commissioning],223)))</f>
        <v/>
      </c>
      <c r="BS224" s="5">
        <f>IF(A224="","",N(INDEX(Projects[Service Commissioning],223)))</f>
        <v/>
      </c>
      <c r="BT224" s="5">
        <f>IF(A224="","",N(INDEX(Projects[Controls Eng],223)))</f>
        <v/>
      </c>
      <c r="BU224" s="5">
        <f>IF(A224="","",N(INDEX(Projects[Controls Purchase],223)))</f>
        <v/>
      </c>
      <c r="BV224" s="5">
        <f>IF(A224="","",N(INDEX(Projects[Software Eng],223)))</f>
        <v/>
      </c>
      <c r="BW224" s="5">
        <f>IF(A224="","",N(INDEX(Projects[Misc],223)))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  <c r="BZ224" s="5">
        <f>INDEX(Projects[Solution Type],223)&amp;""</f>
        <v/>
      </c>
      <c r="CA224" s="5">
        <f>INDEX(Projects[Client / Region],223)&amp;""</f>
        <v/>
      </c>
      <c r="CB224" s="5">
        <f>INDEX(Projects[Year],223)</f>
        <v/>
      </c>
      <c r="CC224" s="5">
        <f>INDEX(Projects[Won?],223)&amp;""</f>
        <v/>
      </c>
      <c r="CD224" s="5">
        <f>INDEX(Projects[Value (USD M)],223)</f>
        <v/>
      </c>
      <c r="CE224" s="5">
        <f>INDEX(Projects[MH Data Status],223)&amp;""</f>
        <v/>
      </c>
    </row>
    <row r="225" ht="15" customHeight="1" s="74">
      <c r="A225" s="66">
        <f>INDEX(Projects[Project ID *],224)&amp;""</f>
        <v/>
      </c>
      <c r="B225" s="66">
        <f>INDEX(Projects[Project Name *],224)&amp;""</f>
        <v/>
      </c>
      <c r="C225" s="66">
        <f>INDEX(Projects[MS Shuttles],224)</f>
        <v/>
      </c>
      <c r="D225" s="66">
        <f>INDEX(Projects[MS Tote Locations],224)</f>
        <v/>
      </c>
      <c r="E225" s="66">
        <f>INDEX(Projects[AS Robots],224)</f>
        <v/>
      </c>
      <c r="F225" s="66">
        <f>INDEX(Projects[AS Tote Locations],224)</f>
        <v/>
      </c>
      <c r="G225" s="66">
        <f>INDEX(Projects[PS Shuttles],224)</f>
        <v/>
      </c>
      <c r="H225" s="66">
        <f>INDEX(Projects[PS Pallet Locations],224)</f>
        <v/>
      </c>
      <c r="I225" s="66">
        <f>INDEX(Projects[SRM Cranes],224)</f>
        <v/>
      </c>
      <c r="J225" s="66">
        <f>INDEX(Projects[SRM Pallet Locations],224)</f>
        <v/>
      </c>
      <c r="K225" s="66">
        <f>INDEX(Projects[Case Conv (m)],224)</f>
        <v/>
      </c>
      <c r="L225" s="66">
        <f>INDEX(Projects[Pallet Conv (m)],224)</f>
        <v/>
      </c>
      <c r="M225" s="66">
        <f>INDEX(Projects[Mech Eng (wks)],224)</f>
        <v/>
      </c>
      <c r="N225" s="66">
        <f>INDEX(Projects[Controls Eng (wks)],224)</f>
        <v/>
      </c>
      <c r="O225" s="66">
        <f>INDEX(Projects[Systems Eng (wks)],224)</f>
        <v/>
      </c>
      <c r="P225" s="66">
        <f>INDEX(Projects[Software Eng (wks)],224)</f>
        <v/>
      </c>
      <c r="Q225" s="66">
        <f>INDEX(Projects[M&amp;E Installation (wks)],224)</f>
        <v/>
      </c>
      <c r="R225" s="66">
        <f>INDEX(Projects[Commissioning (wks)],224)</f>
        <v/>
      </c>
      <c r="S225" s="66">
        <f>INDEX(Projects[Total Timeline (wks)],224)</f>
        <v/>
      </c>
      <c r="T225" s="66">
        <f>INDEX(Projects[Currency],224)&amp;""</f>
        <v/>
      </c>
      <c r="U225" s="67">
        <f>INDEX(Projects[Value (M)],224)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INDEX(Projects[Automation Equipment],224)&amp;""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IF(AND(A225&lt;&gt;"",OR('Smart Search'!$L$5="",'Smart Search'!$L$5="All",TRIM(BZ225)=TRIM('Smart Search'!$L$5)),OR(TRIM('Smart Search'!$L$6)="",TRIM('Smart Search'!$L$6)="All",ISNUMBER(SEARCH(SUBSTITUTE(SUBSTITUTE(SUBSTITUTE(TRIM('Smart Search'!$L$6),"~","~~"),"*","~*"),"?","~?"),CA225))),OR('Smart Search'!$L$7="",AND(CB225&lt;&gt;0,CB225='Smart Search'!$L$7)),OR('Smart Search'!$L$8="",'Smart Search'!$L$8="All",TRIM(CC225)=TRIM('Smart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IF(A225="","",N(INDEX(Projects[Mech Inst],224)))</f>
        <v/>
      </c>
      <c r="BK225" s="5">
        <f>IF(A225="","",N(INDEX(Projects[Elec Inst],224)))</f>
        <v/>
      </c>
      <c r="BL225" s="5">
        <f>IF(A225="","",N(INDEX(Projects[Project Management],224)))</f>
        <v/>
      </c>
      <c r="BM225" s="5">
        <f>IF(A225="","",N(INDEX(Projects[Systems Eng],224)))</f>
        <v/>
      </c>
      <c r="BN225" s="5">
        <f>IF(A225="","",N(INDEX(Projects[Mechanical Eng],224)))</f>
        <v/>
      </c>
      <c r="BO225" s="5">
        <f>IF(A225="","",N(INDEX(Projects[Structural Engineering],224)))</f>
        <v/>
      </c>
      <c r="BP225" s="5">
        <f>IF(A225="","",N(INDEX(Projects[Site Sup],224)))</f>
        <v/>
      </c>
      <c r="BQ225" s="5">
        <f>IF(A225="","",N(INDEX(Projects[Controls Commissioning],224)))</f>
        <v/>
      </c>
      <c r="BR225" s="5">
        <f>IF(A225="","",N(INDEX(Projects[Systems Commissioning],224)))</f>
        <v/>
      </c>
      <c r="BS225" s="5">
        <f>IF(A225="","",N(INDEX(Projects[Service Commissioning],224)))</f>
        <v/>
      </c>
      <c r="BT225" s="5">
        <f>IF(A225="","",N(INDEX(Projects[Controls Eng],224)))</f>
        <v/>
      </c>
      <c r="BU225" s="5">
        <f>IF(A225="","",N(INDEX(Projects[Controls Purchase],224)))</f>
        <v/>
      </c>
      <c r="BV225" s="5">
        <f>IF(A225="","",N(INDEX(Projects[Software Eng],224)))</f>
        <v/>
      </c>
      <c r="BW225" s="5">
        <f>IF(A225="","",N(INDEX(Projects[Misc],224)))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  <c r="BZ225" s="5">
        <f>INDEX(Projects[Solution Type],224)&amp;""</f>
        <v/>
      </c>
      <c r="CA225" s="5">
        <f>INDEX(Projects[Client / Region],224)&amp;""</f>
        <v/>
      </c>
      <c r="CB225" s="5">
        <f>INDEX(Projects[Year],224)</f>
        <v/>
      </c>
      <c r="CC225" s="5">
        <f>INDEX(Projects[Won?],224)&amp;""</f>
        <v/>
      </c>
      <c r="CD225" s="5">
        <f>INDEX(Projects[Value (USD M)],224)</f>
        <v/>
      </c>
      <c r="CE225" s="5">
        <f>INDEX(Projects[MH Data Status],224)&amp;""</f>
        <v/>
      </c>
    </row>
    <row r="226" ht="15" customHeight="1" s="74">
      <c r="A226" s="66">
        <f>INDEX(Projects[Project ID *],225)&amp;""</f>
        <v/>
      </c>
      <c r="B226" s="66">
        <f>INDEX(Projects[Project Name *],225)&amp;""</f>
        <v/>
      </c>
      <c r="C226" s="66">
        <f>INDEX(Projects[MS Shuttles],225)</f>
        <v/>
      </c>
      <c r="D226" s="66">
        <f>INDEX(Projects[MS Tote Locations],225)</f>
        <v/>
      </c>
      <c r="E226" s="66">
        <f>INDEX(Projects[AS Robots],225)</f>
        <v/>
      </c>
      <c r="F226" s="66">
        <f>INDEX(Projects[AS Tote Locations],225)</f>
        <v/>
      </c>
      <c r="G226" s="66">
        <f>INDEX(Projects[PS Shuttles],225)</f>
        <v/>
      </c>
      <c r="H226" s="66">
        <f>INDEX(Projects[PS Pallet Locations],225)</f>
        <v/>
      </c>
      <c r="I226" s="66">
        <f>INDEX(Projects[SRM Cranes],225)</f>
        <v/>
      </c>
      <c r="J226" s="66">
        <f>INDEX(Projects[SRM Pallet Locations],225)</f>
        <v/>
      </c>
      <c r="K226" s="66">
        <f>INDEX(Projects[Case Conv (m)],225)</f>
        <v/>
      </c>
      <c r="L226" s="66">
        <f>INDEX(Projects[Pallet Conv (m)],225)</f>
        <v/>
      </c>
      <c r="M226" s="66">
        <f>INDEX(Projects[Mech Eng (wks)],225)</f>
        <v/>
      </c>
      <c r="N226" s="66">
        <f>INDEX(Projects[Controls Eng (wks)],225)</f>
        <v/>
      </c>
      <c r="O226" s="66">
        <f>INDEX(Projects[Systems Eng (wks)],225)</f>
        <v/>
      </c>
      <c r="P226" s="66">
        <f>INDEX(Projects[Software Eng (wks)],225)</f>
        <v/>
      </c>
      <c r="Q226" s="66">
        <f>INDEX(Projects[M&amp;E Installation (wks)],225)</f>
        <v/>
      </c>
      <c r="R226" s="66">
        <f>INDEX(Projects[Commissioning (wks)],225)</f>
        <v/>
      </c>
      <c r="S226" s="66">
        <f>INDEX(Projects[Total Timeline (wks)],225)</f>
        <v/>
      </c>
      <c r="T226" s="66">
        <f>INDEX(Projects[Currency],225)&amp;""</f>
        <v/>
      </c>
      <c r="U226" s="67">
        <f>INDEX(Projects[Value (M)],225)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INDEX(Projects[Automation Equipment],225)&amp;""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IF(AND(A226&lt;&gt;"",OR('Smart Search'!$L$5="",'Smart Search'!$L$5="All",TRIM(BZ226)=TRIM('Smart Search'!$L$5)),OR(TRIM('Smart Search'!$L$6)="",TRIM('Smart Search'!$L$6)="All",ISNUMBER(SEARCH(SUBSTITUTE(SUBSTITUTE(SUBSTITUTE(TRIM('Smart Search'!$L$6),"~","~~"),"*","~*"),"?","~?"),CA226))),OR('Smart Search'!$L$7="",AND(CB226&lt;&gt;0,CB226='Smart Search'!$L$7)),OR('Smart Search'!$L$8="",'Smart Search'!$L$8="All",TRIM(CC226)=TRIM('Smart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IF(A226="","",N(INDEX(Projects[Mech Inst],225)))</f>
        <v/>
      </c>
      <c r="BK226" s="5">
        <f>IF(A226="","",N(INDEX(Projects[Elec Inst],225)))</f>
        <v/>
      </c>
      <c r="BL226" s="5">
        <f>IF(A226="","",N(INDEX(Projects[Project Management],225)))</f>
        <v/>
      </c>
      <c r="BM226" s="5">
        <f>IF(A226="","",N(INDEX(Projects[Systems Eng],225)))</f>
        <v/>
      </c>
      <c r="BN226" s="5">
        <f>IF(A226="","",N(INDEX(Projects[Mechanical Eng],225)))</f>
        <v/>
      </c>
      <c r="BO226" s="5">
        <f>IF(A226="","",N(INDEX(Projects[Structural Engineering],225)))</f>
        <v/>
      </c>
      <c r="BP226" s="5">
        <f>IF(A226="","",N(INDEX(Projects[Site Sup],225)))</f>
        <v/>
      </c>
      <c r="BQ226" s="5">
        <f>IF(A226="","",N(INDEX(Projects[Controls Commissioning],225)))</f>
        <v/>
      </c>
      <c r="BR226" s="5">
        <f>IF(A226="","",N(INDEX(Projects[Systems Commissioning],225)))</f>
        <v/>
      </c>
      <c r="BS226" s="5">
        <f>IF(A226="","",N(INDEX(Projects[Service Commissioning],225)))</f>
        <v/>
      </c>
      <c r="BT226" s="5">
        <f>IF(A226="","",N(INDEX(Projects[Controls Eng],225)))</f>
        <v/>
      </c>
      <c r="BU226" s="5">
        <f>IF(A226="","",N(INDEX(Projects[Controls Purchase],225)))</f>
        <v/>
      </c>
      <c r="BV226" s="5">
        <f>IF(A226="","",N(INDEX(Projects[Software Eng],225)))</f>
        <v/>
      </c>
      <c r="BW226" s="5">
        <f>IF(A226="","",N(INDEX(Projects[Misc],225)))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  <c r="BZ226" s="5">
        <f>INDEX(Projects[Solution Type],225)&amp;""</f>
        <v/>
      </c>
      <c r="CA226" s="5">
        <f>INDEX(Projects[Client / Region],225)&amp;""</f>
        <v/>
      </c>
      <c r="CB226" s="5">
        <f>INDEX(Projects[Year],225)</f>
        <v/>
      </c>
      <c r="CC226" s="5">
        <f>INDEX(Projects[Won?],225)&amp;""</f>
        <v/>
      </c>
      <c r="CD226" s="5">
        <f>INDEX(Projects[Value (USD M)],225)</f>
        <v/>
      </c>
      <c r="CE226" s="5">
        <f>INDEX(Projects[MH Data Status],225)&amp;""</f>
        <v/>
      </c>
    </row>
    <row r="227" ht="15" customHeight="1" s="74">
      <c r="A227" s="66">
        <f>INDEX(Projects[Project ID *],226)&amp;""</f>
        <v/>
      </c>
      <c r="B227" s="66">
        <f>INDEX(Projects[Project Name *],226)&amp;""</f>
        <v/>
      </c>
      <c r="C227" s="66">
        <f>INDEX(Projects[MS Shuttles],226)</f>
        <v/>
      </c>
      <c r="D227" s="66">
        <f>INDEX(Projects[MS Tote Locations],226)</f>
        <v/>
      </c>
      <c r="E227" s="66">
        <f>INDEX(Projects[AS Robots],226)</f>
        <v/>
      </c>
      <c r="F227" s="66">
        <f>INDEX(Projects[AS Tote Locations],226)</f>
        <v/>
      </c>
      <c r="G227" s="66">
        <f>INDEX(Projects[PS Shuttles],226)</f>
        <v/>
      </c>
      <c r="H227" s="66">
        <f>INDEX(Projects[PS Pallet Locations],226)</f>
        <v/>
      </c>
      <c r="I227" s="66">
        <f>INDEX(Projects[SRM Cranes],226)</f>
        <v/>
      </c>
      <c r="J227" s="66">
        <f>INDEX(Projects[SRM Pallet Locations],226)</f>
        <v/>
      </c>
      <c r="K227" s="66">
        <f>INDEX(Projects[Case Conv (m)],226)</f>
        <v/>
      </c>
      <c r="L227" s="66">
        <f>INDEX(Projects[Pallet Conv (m)],226)</f>
        <v/>
      </c>
      <c r="M227" s="66">
        <f>INDEX(Projects[Mech Eng (wks)],226)</f>
        <v/>
      </c>
      <c r="N227" s="66">
        <f>INDEX(Projects[Controls Eng (wks)],226)</f>
        <v/>
      </c>
      <c r="O227" s="66">
        <f>INDEX(Projects[Systems Eng (wks)],226)</f>
        <v/>
      </c>
      <c r="P227" s="66">
        <f>INDEX(Projects[Software Eng (wks)],226)</f>
        <v/>
      </c>
      <c r="Q227" s="66">
        <f>INDEX(Projects[M&amp;E Installation (wks)],226)</f>
        <v/>
      </c>
      <c r="R227" s="66">
        <f>INDEX(Projects[Commissioning (wks)],226)</f>
        <v/>
      </c>
      <c r="S227" s="66">
        <f>INDEX(Projects[Total Timeline (wks)],226)</f>
        <v/>
      </c>
      <c r="T227" s="66">
        <f>INDEX(Projects[Currency],226)&amp;""</f>
        <v/>
      </c>
      <c r="U227" s="67">
        <f>INDEX(Projects[Value (M)],226)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INDEX(Projects[Automation Equipment],226)&amp;""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IF(AND(A227&lt;&gt;"",OR('Smart Search'!$L$5="",'Smart Search'!$L$5="All",TRIM(BZ227)=TRIM('Smart Search'!$L$5)),OR(TRIM('Smart Search'!$L$6)="",TRIM('Smart Search'!$L$6)="All",ISNUMBER(SEARCH(SUBSTITUTE(SUBSTITUTE(SUBSTITUTE(TRIM('Smart Search'!$L$6),"~","~~"),"*","~*"),"?","~?"),CA227))),OR('Smart Search'!$L$7="",AND(CB227&lt;&gt;0,CB227='Smart Search'!$L$7)),OR('Smart Search'!$L$8="",'Smart Search'!$L$8="All",TRIM(CC227)=TRIM('Smart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IF(A227="","",N(INDEX(Projects[Mech Inst],226)))</f>
        <v/>
      </c>
      <c r="BK227" s="5">
        <f>IF(A227="","",N(INDEX(Projects[Elec Inst],226)))</f>
        <v/>
      </c>
      <c r="BL227" s="5">
        <f>IF(A227="","",N(INDEX(Projects[Project Management],226)))</f>
        <v/>
      </c>
      <c r="BM227" s="5">
        <f>IF(A227="","",N(INDEX(Projects[Systems Eng],226)))</f>
        <v/>
      </c>
      <c r="BN227" s="5">
        <f>IF(A227="","",N(INDEX(Projects[Mechanical Eng],226)))</f>
        <v/>
      </c>
      <c r="BO227" s="5">
        <f>IF(A227="","",N(INDEX(Projects[Structural Engineering],226)))</f>
        <v/>
      </c>
      <c r="BP227" s="5">
        <f>IF(A227="","",N(INDEX(Projects[Site Sup],226)))</f>
        <v/>
      </c>
      <c r="BQ227" s="5">
        <f>IF(A227="","",N(INDEX(Projects[Controls Commissioning],226)))</f>
        <v/>
      </c>
      <c r="BR227" s="5">
        <f>IF(A227="","",N(INDEX(Projects[Systems Commissioning],226)))</f>
        <v/>
      </c>
      <c r="BS227" s="5">
        <f>IF(A227="","",N(INDEX(Projects[Service Commissioning],226)))</f>
        <v/>
      </c>
      <c r="BT227" s="5">
        <f>IF(A227="","",N(INDEX(Projects[Controls Eng],226)))</f>
        <v/>
      </c>
      <c r="BU227" s="5">
        <f>IF(A227="","",N(INDEX(Projects[Controls Purchase],226)))</f>
        <v/>
      </c>
      <c r="BV227" s="5">
        <f>IF(A227="","",N(INDEX(Projects[Software Eng],226)))</f>
        <v/>
      </c>
      <c r="BW227" s="5">
        <f>IF(A227="","",N(INDEX(Projects[Misc],226)))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  <c r="BZ227" s="5">
        <f>INDEX(Projects[Solution Type],226)&amp;""</f>
        <v/>
      </c>
      <c r="CA227" s="5">
        <f>INDEX(Projects[Client / Region],226)&amp;""</f>
        <v/>
      </c>
      <c r="CB227" s="5">
        <f>INDEX(Projects[Year],226)</f>
        <v/>
      </c>
      <c r="CC227" s="5">
        <f>INDEX(Projects[Won?],226)&amp;""</f>
        <v/>
      </c>
      <c r="CD227" s="5">
        <f>INDEX(Projects[Value (USD M)],226)</f>
        <v/>
      </c>
      <c r="CE227" s="5">
        <f>INDEX(Projects[MH Data Status],226)&amp;""</f>
        <v/>
      </c>
    </row>
    <row r="228" ht="15" customHeight="1" s="74">
      <c r="A228" s="66">
        <f>INDEX(Projects[Project ID *],227)&amp;""</f>
        <v/>
      </c>
      <c r="B228" s="66">
        <f>INDEX(Projects[Project Name *],227)&amp;""</f>
        <v/>
      </c>
      <c r="C228" s="66">
        <f>INDEX(Projects[MS Shuttles],227)</f>
        <v/>
      </c>
      <c r="D228" s="66">
        <f>INDEX(Projects[MS Tote Locations],227)</f>
        <v/>
      </c>
      <c r="E228" s="66">
        <f>INDEX(Projects[AS Robots],227)</f>
        <v/>
      </c>
      <c r="F228" s="66">
        <f>INDEX(Projects[AS Tote Locations],227)</f>
        <v/>
      </c>
      <c r="G228" s="66">
        <f>INDEX(Projects[PS Shuttles],227)</f>
        <v/>
      </c>
      <c r="H228" s="66">
        <f>INDEX(Projects[PS Pallet Locations],227)</f>
        <v/>
      </c>
      <c r="I228" s="66">
        <f>INDEX(Projects[SRM Cranes],227)</f>
        <v/>
      </c>
      <c r="J228" s="66">
        <f>INDEX(Projects[SRM Pallet Locations],227)</f>
        <v/>
      </c>
      <c r="K228" s="66">
        <f>INDEX(Projects[Case Conv (m)],227)</f>
        <v/>
      </c>
      <c r="L228" s="66">
        <f>INDEX(Projects[Pallet Conv (m)],227)</f>
        <v/>
      </c>
      <c r="M228" s="66">
        <f>INDEX(Projects[Mech Eng (wks)],227)</f>
        <v/>
      </c>
      <c r="N228" s="66">
        <f>INDEX(Projects[Controls Eng (wks)],227)</f>
        <v/>
      </c>
      <c r="O228" s="66">
        <f>INDEX(Projects[Systems Eng (wks)],227)</f>
        <v/>
      </c>
      <c r="P228" s="66">
        <f>INDEX(Projects[Software Eng (wks)],227)</f>
        <v/>
      </c>
      <c r="Q228" s="66">
        <f>INDEX(Projects[M&amp;E Installation (wks)],227)</f>
        <v/>
      </c>
      <c r="R228" s="66">
        <f>INDEX(Projects[Commissioning (wks)],227)</f>
        <v/>
      </c>
      <c r="S228" s="66">
        <f>INDEX(Projects[Total Timeline (wks)],227)</f>
        <v/>
      </c>
      <c r="T228" s="66">
        <f>INDEX(Projects[Currency],227)&amp;""</f>
        <v/>
      </c>
      <c r="U228" s="67">
        <f>INDEX(Projects[Value (M)],227)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INDEX(Projects[Automation Equipment],227)&amp;""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IF(AND(A228&lt;&gt;"",OR('Smart Search'!$L$5="",'Smart Search'!$L$5="All",TRIM(BZ228)=TRIM('Smart Search'!$L$5)),OR(TRIM('Smart Search'!$L$6)="",TRIM('Smart Search'!$L$6)="All",ISNUMBER(SEARCH(SUBSTITUTE(SUBSTITUTE(SUBSTITUTE(TRIM('Smart Search'!$L$6),"~","~~"),"*","~*"),"?","~?"),CA228))),OR('Smart Search'!$L$7="",AND(CB228&lt;&gt;0,CB228='Smart Search'!$L$7)),OR('Smart Search'!$L$8="",'Smart Search'!$L$8="All",TRIM(CC228)=TRIM('Smart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IF(A228="","",N(INDEX(Projects[Mech Inst],227)))</f>
        <v/>
      </c>
      <c r="BK228" s="5">
        <f>IF(A228="","",N(INDEX(Projects[Elec Inst],227)))</f>
        <v/>
      </c>
      <c r="BL228" s="5">
        <f>IF(A228="","",N(INDEX(Projects[Project Management],227)))</f>
        <v/>
      </c>
      <c r="BM228" s="5">
        <f>IF(A228="","",N(INDEX(Projects[Systems Eng],227)))</f>
        <v/>
      </c>
      <c r="BN228" s="5">
        <f>IF(A228="","",N(INDEX(Projects[Mechanical Eng],227)))</f>
        <v/>
      </c>
      <c r="BO228" s="5">
        <f>IF(A228="","",N(INDEX(Projects[Structural Engineering],227)))</f>
        <v/>
      </c>
      <c r="BP228" s="5">
        <f>IF(A228="","",N(INDEX(Projects[Site Sup],227)))</f>
        <v/>
      </c>
      <c r="BQ228" s="5">
        <f>IF(A228="","",N(INDEX(Projects[Controls Commissioning],227)))</f>
        <v/>
      </c>
      <c r="BR228" s="5">
        <f>IF(A228="","",N(INDEX(Projects[Systems Commissioning],227)))</f>
        <v/>
      </c>
      <c r="BS228" s="5">
        <f>IF(A228="","",N(INDEX(Projects[Service Commissioning],227)))</f>
        <v/>
      </c>
      <c r="BT228" s="5">
        <f>IF(A228="","",N(INDEX(Projects[Controls Eng],227)))</f>
        <v/>
      </c>
      <c r="BU228" s="5">
        <f>IF(A228="","",N(INDEX(Projects[Controls Purchase],227)))</f>
        <v/>
      </c>
      <c r="BV228" s="5">
        <f>IF(A228="","",N(INDEX(Projects[Software Eng],227)))</f>
        <v/>
      </c>
      <c r="BW228" s="5">
        <f>IF(A228="","",N(INDEX(Projects[Misc],227)))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  <c r="BZ228" s="5">
        <f>INDEX(Projects[Solution Type],227)&amp;""</f>
        <v/>
      </c>
      <c r="CA228" s="5">
        <f>INDEX(Projects[Client / Region],227)&amp;""</f>
        <v/>
      </c>
      <c r="CB228" s="5">
        <f>INDEX(Projects[Year],227)</f>
        <v/>
      </c>
      <c r="CC228" s="5">
        <f>INDEX(Projects[Won?],227)&amp;""</f>
        <v/>
      </c>
      <c r="CD228" s="5">
        <f>INDEX(Projects[Value (USD M)],227)</f>
        <v/>
      </c>
      <c r="CE228" s="5">
        <f>INDEX(Projects[MH Data Status],227)&amp;""</f>
        <v/>
      </c>
    </row>
    <row r="229" ht="15" customHeight="1" s="74">
      <c r="A229" s="66">
        <f>INDEX(Projects[Project ID *],228)&amp;""</f>
        <v/>
      </c>
      <c r="B229" s="66">
        <f>INDEX(Projects[Project Name *],228)&amp;""</f>
        <v/>
      </c>
      <c r="C229" s="66">
        <f>INDEX(Projects[MS Shuttles],228)</f>
        <v/>
      </c>
      <c r="D229" s="66">
        <f>INDEX(Projects[MS Tote Locations],228)</f>
        <v/>
      </c>
      <c r="E229" s="66">
        <f>INDEX(Projects[AS Robots],228)</f>
        <v/>
      </c>
      <c r="F229" s="66">
        <f>INDEX(Projects[AS Tote Locations],228)</f>
        <v/>
      </c>
      <c r="G229" s="66">
        <f>INDEX(Projects[PS Shuttles],228)</f>
        <v/>
      </c>
      <c r="H229" s="66">
        <f>INDEX(Projects[PS Pallet Locations],228)</f>
        <v/>
      </c>
      <c r="I229" s="66">
        <f>INDEX(Projects[SRM Cranes],228)</f>
        <v/>
      </c>
      <c r="J229" s="66">
        <f>INDEX(Projects[SRM Pallet Locations],228)</f>
        <v/>
      </c>
      <c r="K229" s="66">
        <f>INDEX(Projects[Case Conv (m)],228)</f>
        <v/>
      </c>
      <c r="L229" s="66">
        <f>INDEX(Projects[Pallet Conv (m)],228)</f>
        <v/>
      </c>
      <c r="M229" s="66">
        <f>INDEX(Projects[Mech Eng (wks)],228)</f>
        <v/>
      </c>
      <c r="N229" s="66">
        <f>INDEX(Projects[Controls Eng (wks)],228)</f>
        <v/>
      </c>
      <c r="O229" s="66">
        <f>INDEX(Projects[Systems Eng (wks)],228)</f>
        <v/>
      </c>
      <c r="P229" s="66">
        <f>INDEX(Projects[Software Eng (wks)],228)</f>
        <v/>
      </c>
      <c r="Q229" s="66">
        <f>INDEX(Projects[M&amp;E Installation (wks)],228)</f>
        <v/>
      </c>
      <c r="R229" s="66">
        <f>INDEX(Projects[Commissioning (wks)],228)</f>
        <v/>
      </c>
      <c r="S229" s="66">
        <f>INDEX(Projects[Total Timeline (wks)],228)</f>
        <v/>
      </c>
      <c r="T229" s="66">
        <f>INDEX(Projects[Currency],228)&amp;""</f>
        <v/>
      </c>
      <c r="U229" s="67">
        <f>INDEX(Projects[Value (M)],228)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INDEX(Projects[Automation Equipment],228)&amp;""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IF(AND(A229&lt;&gt;"",OR('Smart Search'!$L$5="",'Smart Search'!$L$5="All",TRIM(BZ229)=TRIM('Smart Search'!$L$5)),OR(TRIM('Smart Search'!$L$6)="",TRIM('Smart Search'!$L$6)="All",ISNUMBER(SEARCH(SUBSTITUTE(SUBSTITUTE(SUBSTITUTE(TRIM('Smart Search'!$L$6),"~","~~"),"*","~*"),"?","~?"),CA229))),OR('Smart Search'!$L$7="",AND(CB229&lt;&gt;0,CB229='Smart Search'!$L$7)),OR('Smart Search'!$L$8="",'Smart Search'!$L$8="All",TRIM(CC229)=TRIM('Smart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IF(A229="","",N(INDEX(Projects[Mech Inst],228)))</f>
        <v/>
      </c>
      <c r="BK229" s="5">
        <f>IF(A229="","",N(INDEX(Projects[Elec Inst],228)))</f>
        <v/>
      </c>
      <c r="BL229" s="5">
        <f>IF(A229="","",N(INDEX(Projects[Project Management],228)))</f>
        <v/>
      </c>
      <c r="BM229" s="5">
        <f>IF(A229="","",N(INDEX(Projects[Systems Eng],228)))</f>
        <v/>
      </c>
      <c r="BN229" s="5">
        <f>IF(A229="","",N(INDEX(Projects[Mechanical Eng],228)))</f>
        <v/>
      </c>
      <c r="BO229" s="5">
        <f>IF(A229="","",N(INDEX(Projects[Structural Engineering],228)))</f>
        <v/>
      </c>
      <c r="BP229" s="5">
        <f>IF(A229="","",N(INDEX(Projects[Site Sup],228)))</f>
        <v/>
      </c>
      <c r="BQ229" s="5">
        <f>IF(A229="","",N(INDEX(Projects[Controls Commissioning],228)))</f>
        <v/>
      </c>
      <c r="BR229" s="5">
        <f>IF(A229="","",N(INDEX(Projects[Systems Commissioning],228)))</f>
        <v/>
      </c>
      <c r="BS229" s="5">
        <f>IF(A229="","",N(INDEX(Projects[Service Commissioning],228)))</f>
        <v/>
      </c>
      <c r="BT229" s="5">
        <f>IF(A229="","",N(INDEX(Projects[Controls Eng],228)))</f>
        <v/>
      </c>
      <c r="BU229" s="5">
        <f>IF(A229="","",N(INDEX(Projects[Controls Purchase],228)))</f>
        <v/>
      </c>
      <c r="BV229" s="5">
        <f>IF(A229="","",N(INDEX(Projects[Software Eng],228)))</f>
        <v/>
      </c>
      <c r="BW229" s="5">
        <f>IF(A229="","",N(INDEX(Projects[Misc],228)))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  <c r="BZ229" s="5">
        <f>INDEX(Projects[Solution Type],228)&amp;""</f>
        <v/>
      </c>
      <c r="CA229" s="5">
        <f>INDEX(Projects[Client / Region],228)&amp;""</f>
        <v/>
      </c>
      <c r="CB229" s="5">
        <f>INDEX(Projects[Year],228)</f>
        <v/>
      </c>
      <c r="CC229" s="5">
        <f>INDEX(Projects[Won?],228)&amp;""</f>
        <v/>
      </c>
      <c r="CD229" s="5">
        <f>INDEX(Projects[Value (USD M)],228)</f>
        <v/>
      </c>
      <c r="CE229" s="5">
        <f>INDEX(Projects[MH Data Status],228)&amp;""</f>
        <v/>
      </c>
    </row>
    <row r="230" ht="15" customHeight="1" s="74">
      <c r="A230" s="66">
        <f>INDEX(Projects[Project ID *],229)&amp;""</f>
        <v/>
      </c>
      <c r="B230" s="66">
        <f>INDEX(Projects[Project Name *],229)&amp;""</f>
        <v/>
      </c>
      <c r="C230" s="66">
        <f>INDEX(Projects[MS Shuttles],229)</f>
        <v/>
      </c>
      <c r="D230" s="66">
        <f>INDEX(Projects[MS Tote Locations],229)</f>
        <v/>
      </c>
      <c r="E230" s="66">
        <f>INDEX(Projects[AS Robots],229)</f>
        <v/>
      </c>
      <c r="F230" s="66">
        <f>INDEX(Projects[AS Tote Locations],229)</f>
        <v/>
      </c>
      <c r="G230" s="66">
        <f>INDEX(Projects[PS Shuttles],229)</f>
        <v/>
      </c>
      <c r="H230" s="66">
        <f>INDEX(Projects[PS Pallet Locations],229)</f>
        <v/>
      </c>
      <c r="I230" s="66">
        <f>INDEX(Projects[SRM Cranes],229)</f>
        <v/>
      </c>
      <c r="J230" s="66">
        <f>INDEX(Projects[SRM Pallet Locations],229)</f>
        <v/>
      </c>
      <c r="K230" s="66">
        <f>INDEX(Projects[Case Conv (m)],229)</f>
        <v/>
      </c>
      <c r="L230" s="66">
        <f>INDEX(Projects[Pallet Conv (m)],229)</f>
        <v/>
      </c>
      <c r="M230" s="66">
        <f>INDEX(Projects[Mech Eng (wks)],229)</f>
        <v/>
      </c>
      <c r="N230" s="66">
        <f>INDEX(Projects[Controls Eng (wks)],229)</f>
        <v/>
      </c>
      <c r="O230" s="66">
        <f>INDEX(Projects[Systems Eng (wks)],229)</f>
        <v/>
      </c>
      <c r="P230" s="66">
        <f>INDEX(Projects[Software Eng (wks)],229)</f>
        <v/>
      </c>
      <c r="Q230" s="66">
        <f>INDEX(Projects[M&amp;E Installation (wks)],229)</f>
        <v/>
      </c>
      <c r="R230" s="66">
        <f>INDEX(Projects[Commissioning (wks)],229)</f>
        <v/>
      </c>
      <c r="S230" s="66">
        <f>INDEX(Projects[Total Timeline (wks)],229)</f>
        <v/>
      </c>
      <c r="T230" s="66">
        <f>INDEX(Projects[Currency],229)&amp;""</f>
        <v/>
      </c>
      <c r="U230" s="67">
        <f>INDEX(Projects[Value (M)],229)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INDEX(Projects[Automation Equipment],229)&amp;""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IF(AND(A230&lt;&gt;"",OR('Smart Search'!$L$5="",'Smart Search'!$L$5="All",TRIM(BZ230)=TRIM('Smart Search'!$L$5)),OR(TRIM('Smart Search'!$L$6)="",TRIM('Smart Search'!$L$6)="All",ISNUMBER(SEARCH(SUBSTITUTE(SUBSTITUTE(SUBSTITUTE(TRIM('Smart Search'!$L$6),"~","~~"),"*","~*"),"?","~?"),CA230))),OR('Smart Search'!$L$7="",AND(CB230&lt;&gt;0,CB230='Smart Search'!$L$7)),OR('Smart Search'!$L$8="",'Smart Search'!$L$8="All",TRIM(CC230)=TRIM('Smart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IF(A230="","",N(INDEX(Projects[Mech Inst],229)))</f>
        <v/>
      </c>
      <c r="BK230" s="5">
        <f>IF(A230="","",N(INDEX(Projects[Elec Inst],229)))</f>
        <v/>
      </c>
      <c r="BL230" s="5">
        <f>IF(A230="","",N(INDEX(Projects[Project Management],229)))</f>
        <v/>
      </c>
      <c r="BM230" s="5">
        <f>IF(A230="","",N(INDEX(Projects[Systems Eng],229)))</f>
        <v/>
      </c>
      <c r="BN230" s="5">
        <f>IF(A230="","",N(INDEX(Projects[Mechanical Eng],229)))</f>
        <v/>
      </c>
      <c r="BO230" s="5">
        <f>IF(A230="","",N(INDEX(Projects[Structural Engineering],229)))</f>
        <v/>
      </c>
      <c r="BP230" s="5">
        <f>IF(A230="","",N(INDEX(Projects[Site Sup],229)))</f>
        <v/>
      </c>
      <c r="BQ230" s="5">
        <f>IF(A230="","",N(INDEX(Projects[Controls Commissioning],229)))</f>
        <v/>
      </c>
      <c r="BR230" s="5">
        <f>IF(A230="","",N(INDEX(Projects[Systems Commissioning],229)))</f>
        <v/>
      </c>
      <c r="BS230" s="5">
        <f>IF(A230="","",N(INDEX(Projects[Service Commissioning],229)))</f>
        <v/>
      </c>
      <c r="BT230" s="5">
        <f>IF(A230="","",N(INDEX(Projects[Controls Eng],229)))</f>
        <v/>
      </c>
      <c r="BU230" s="5">
        <f>IF(A230="","",N(INDEX(Projects[Controls Purchase],229)))</f>
        <v/>
      </c>
      <c r="BV230" s="5">
        <f>IF(A230="","",N(INDEX(Projects[Software Eng],229)))</f>
        <v/>
      </c>
      <c r="BW230" s="5">
        <f>IF(A230="","",N(INDEX(Projects[Misc],229)))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  <c r="BZ230" s="5">
        <f>INDEX(Projects[Solution Type],229)&amp;""</f>
        <v/>
      </c>
      <c r="CA230" s="5">
        <f>INDEX(Projects[Client / Region],229)&amp;""</f>
        <v/>
      </c>
      <c r="CB230" s="5">
        <f>INDEX(Projects[Year],229)</f>
        <v/>
      </c>
      <c r="CC230" s="5">
        <f>INDEX(Projects[Won?],229)&amp;""</f>
        <v/>
      </c>
      <c r="CD230" s="5">
        <f>INDEX(Projects[Value (USD M)],229)</f>
        <v/>
      </c>
      <c r="CE230" s="5">
        <f>INDEX(Projects[MH Data Status],229)&amp;""</f>
        <v/>
      </c>
    </row>
    <row r="231" ht="15" customHeight="1" s="74">
      <c r="A231" s="66">
        <f>INDEX(Projects[Project ID *],230)&amp;""</f>
        <v/>
      </c>
      <c r="B231" s="66">
        <f>INDEX(Projects[Project Name *],230)&amp;""</f>
        <v/>
      </c>
      <c r="C231" s="66">
        <f>INDEX(Projects[MS Shuttles],230)</f>
        <v/>
      </c>
      <c r="D231" s="66">
        <f>INDEX(Projects[MS Tote Locations],230)</f>
        <v/>
      </c>
      <c r="E231" s="66">
        <f>INDEX(Projects[AS Robots],230)</f>
        <v/>
      </c>
      <c r="F231" s="66">
        <f>INDEX(Projects[AS Tote Locations],230)</f>
        <v/>
      </c>
      <c r="G231" s="66">
        <f>INDEX(Projects[PS Shuttles],230)</f>
        <v/>
      </c>
      <c r="H231" s="66">
        <f>INDEX(Projects[PS Pallet Locations],230)</f>
        <v/>
      </c>
      <c r="I231" s="66">
        <f>INDEX(Projects[SRM Cranes],230)</f>
        <v/>
      </c>
      <c r="J231" s="66">
        <f>INDEX(Projects[SRM Pallet Locations],230)</f>
        <v/>
      </c>
      <c r="K231" s="66">
        <f>INDEX(Projects[Case Conv (m)],230)</f>
        <v/>
      </c>
      <c r="L231" s="66">
        <f>INDEX(Projects[Pallet Conv (m)],230)</f>
        <v/>
      </c>
      <c r="M231" s="66">
        <f>INDEX(Projects[Mech Eng (wks)],230)</f>
        <v/>
      </c>
      <c r="N231" s="66">
        <f>INDEX(Projects[Controls Eng (wks)],230)</f>
        <v/>
      </c>
      <c r="O231" s="66">
        <f>INDEX(Projects[Systems Eng (wks)],230)</f>
        <v/>
      </c>
      <c r="P231" s="66">
        <f>INDEX(Projects[Software Eng (wks)],230)</f>
        <v/>
      </c>
      <c r="Q231" s="66">
        <f>INDEX(Projects[M&amp;E Installation (wks)],230)</f>
        <v/>
      </c>
      <c r="R231" s="66">
        <f>INDEX(Projects[Commissioning (wks)],230)</f>
        <v/>
      </c>
      <c r="S231" s="66">
        <f>INDEX(Projects[Total Timeline (wks)],230)</f>
        <v/>
      </c>
      <c r="T231" s="66">
        <f>INDEX(Projects[Currency],230)&amp;""</f>
        <v/>
      </c>
      <c r="U231" s="67">
        <f>INDEX(Projects[Value (M)],230)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INDEX(Projects[Automation Equipment],230)&amp;""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IF(AND(A231&lt;&gt;"",OR('Smart Search'!$L$5="",'Smart Search'!$L$5="All",TRIM(BZ231)=TRIM('Smart Search'!$L$5)),OR(TRIM('Smart Search'!$L$6)="",TRIM('Smart Search'!$L$6)="All",ISNUMBER(SEARCH(SUBSTITUTE(SUBSTITUTE(SUBSTITUTE(TRIM('Smart Search'!$L$6),"~","~~"),"*","~*"),"?","~?"),CA231))),OR('Smart Search'!$L$7="",AND(CB231&lt;&gt;0,CB231='Smart Search'!$L$7)),OR('Smart Search'!$L$8="",'Smart Search'!$L$8="All",TRIM(CC231)=TRIM('Smart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IF(A231="","",N(INDEX(Projects[Mech Inst],230)))</f>
        <v/>
      </c>
      <c r="BK231" s="5">
        <f>IF(A231="","",N(INDEX(Projects[Elec Inst],230)))</f>
        <v/>
      </c>
      <c r="BL231" s="5">
        <f>IF(A231="","",N(INDEX(Projects[Project Management],230)))</f>
        <v/>
      </c>
      <c r="BM231" s="5">
        <f>IF(A231="","",N(INDEX(Projects[Systems Eng],230)))</f>
        <v/>
      </c>
      <c r="BN231" s="5">
        <f>IF(A231="","",N(INDEX(Projects[Mechanical Eng],230)))</f>
        <v/>
      </c>
      <c r="BO231" s="5">
        <f>IF(A231="","",N(INDEX(Projects[Structural Engineering],230)))</f>
        <v/>
      </c>
      <c r="BP231" s="5">
        <f>IF(A231="","",N(INDEX(Projects[Site Sup],230)))</f>
        <v/>
      </c>
      <c r="BQ231" s="5">
        <f>IF(A231="","",N(INDEX(Projects[Controls Commissioning],230)))</f>
        <v/>
      </c>
      <c r="BR231" s="5">
        <f>IF(A231="","",N(INDEX(Projects[Systems Commissioning],230)))</f>
        <v/>
      </c>
      <c r="BS231" s="5">
        <f>IF(A231="","",N(INDEX(Projects[Service Commissioning],230)))</f>
        <v/>
      </c>
      <c r="BT231" s="5">
        <f>IF(A231="","",N(INDEX(Projects[Controls Eng],230)))</f>
        <v/>
      </c>
      <c r="BU231" s="5">
        <f>IF(A231="","",N(INDEX(Projects[Controls Purchase],230)))</f>
        <v/>
      </c>
      <c r="BV231" s="5">
        <f>IF(A231="","",N(INDEX(Projects[Software Eng],230)))</f>
        <v/>
      </c>
      <c r="BW231" s="5">
        <f>IF(A231="","",N(INDEX(Projects[Misc],230)))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  <c r="BZ231" s="5">
        <f>INDEX(Projects[Solution Type],230)&amp;""</f>
        <v/>
      </c>
      <c r="CA231" s="5">
        <f>INDEX(Projects[Client / Region],230)&amp;""</f>
        <v/>
      </c>
      <c r="CB231" s="5">
        <f>INDEX(Projects[Year],230)</f>
        <v/>
      </c>
      <c r="CC231" s="5">
        <f>INDEX(Projects[Won?],230)&amp;""</f>
        <v/>
      </c>
      <c r="CD231" s="5">
        <f>INDEX(Projects[Value (USD M)],230)</f>
        <v/>
      </c>
      <c r="CE231" s="5">
        <f>INDEX(Projects[MH Data Status],230)&amp;""</f>
        <v/>
      </c>
    </row>
    <row r="232" ht="15" customHeight="1" s="74">
      <c r="A232" s="66">
        <f>INDEX(Projects[Project ID *],231)&amp;""</f>
        <v/>
      </c>
      <c r="B232" s="66">
        <f>INDEX(Projects[Project Name *],231)&amp;""</f>
        <v/>
      </c>
      <c r="C232" s="66">
        <f>INDEX(Projects[MS Shuttles],231)</f>
        <v/>
      </c>
      <c r="D232" s="66">
        <f>INDEX(Projects[MS Tote Locations],231)</f>
        <v/>
      </c>
      <c r="E232" s="66">
        <f>INDEX(Projects[AS Robots],231)</f>
        <v/>
      </c>
      <c r="F232" s="66">
        <f>INDEX(Projects[AS Tote Locations],231)</f>
        <v/>
      </c>
      <c r="G232" s="66">
        <f>INDEX(Projects[PS Shuttles],231)</f>
        <v/>
      </c>
      <c r="H232" s="66">
        <f>INDEX(Projects[PS Pallet Locations],231)</f>
        <v/>
      </c>
      <c r="I232" s="66">
        <f>INDEX(Projects[SRM Cranes],231)</f>
        <v/>
      </c>
      <c r="J232" s="66">
        <f>INDEX(Projects[SRM Pallet Locations],231)</f>
        <v/>
      </c>
      <c r="K232" s="66">
        <f>INDEX(Projects[Case Conv (m)],231)</f>
        <v/>
      </c>
      <c r="L232" s="66">
        <f>INDEX(Projects[Pallet Conv (m)],231)</f>
        <v/>
      </c>
      <c r="M232" s="66">
        <f>INDEX(Projects[Mech Eng (wks)],231)</f>
        <v/>
      </c>
      <c r="N232" s="66">
        <f>INDEX(Projects[Controls Eng (wks)],231)</f>
        <v/>
      </c>
      <c r="O232" s="66">
        <f>INDEX(Projects[Systems Eng (wks)],231)</f>
        <v/>
      </c>
      <c r="P232" s="66">
        <f>INDEX(Projects[Software Eng (wks)],231)</f>
        <v/>
      </c>
      <c r="Q232" s="66">
        <f>INDEX(Projects[M&amp;E Installation (wks)],231)</f>
        <v/>
      </c>
      <c r="R232" s="66">
        <f>INDEX(Projects[Commissioning (wks)],231)</f>
        <v/>
      </c>
      <c r="S232" s="66">
        <f>INDEX(Projects[Total Timeline (wks)],231)</f>
        <v/>
      </c>
      <c r="T232" s="66">
        <f>INDEX(Projects[Currency],231)&amp;""</f>
        <v/>
      </c>
      <c r="U232" s="67">
        <f>INDEX(Projects[Value (M)],231)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INDEX(Projects[Automation Equipment],231)&amp;""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IF(AND(A232&lt;&gt;"",OR('Smart Search'!$L$5="",'Smart Search'!$L$5="All",TRIM(BZ232)=TRIM('Smart Search'!$L$5)),OR(TRIM('Smart Search'!$L$6)="",TRIM('Smart Search'!$L$6)="All",ISNUMBER(SEARCH(SUBSTITUTE(SUBSTITUTE(SUBSTITUTE(TRIM('Smart Search'!$L$6),"~","~~"),"*","~*"),"?","~?"),CA232))),OR('Smart Search'!$L$7="",AND(CB232&lt;&gt;0,CB232='Smart Search'!$L$7)),OR('Smart Search'!$L$8="",'Smart Search'!$L$8="All",TRIM(CC232)=TRIM('Smart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IF(A232="","",N(INDEX(Projects[Mech Inst],231)))</f>
        <v/>
      </c>
      <c r="BK232" s="5">
        <f>IF(A232="","",N(INDEX(Projects[Elec Inst],231)))</f>
        <v/>
      </c>
      <c r="BL232" s="5">
        <f>IF(A232="","",N(INDEX(Projects[Project Management],231)))</f>
        <v/>
      </c>
      <c r="BM232" s="5">
        <f>IF(A232="","",N(INDEX(Projects[Systems Eng],231)))</f>
        <v/>
      </c>
      <c r="BN232" s="5">
        <f>IF(A232="","",N(INDEX(Projects[Mechanical Eng],231)))</f>
        <v/>
      </c>
      <c r="BO232" s="5">
        <f>IF(A232="","",N(INDEX(Projects[Structural Engineering],231)))</f>
        <v/>
      </c>
      <c r="BP232" s="5">
        <f>IF(A232="","",N(INDEX(Projects[Site Sup],231)))</f>
        <v/>
      </c>
      <c r="BQ232" s="5">
        <f>IF(A232="","",N(INDEX(Projects[Controls Commissioning],231)))</f>
        <v/>
      </c>
      <c r="BR232" s="5">
        <f>IF(A232="","",N(INDEX(Projects[Systems Commissioning],231)))</f>
        <v/>
      </c>
      <c r="BS232" s="5">
        <f>IF(A232="","",N(INDEX(Projects[Service Commissioning],231)))</f>
        <v/>
      </c>
      <c r="BT232" s="5">
        <f>IF(A232="","",N(INDEX(Projects[Controls Eng],231)))</f>
        <v/>
      </c>
      <c r="BU232" s="5">
        <f>IF(A232="","",N(INDEX(Projects[Controls Purchase],231)))</f>
        <v/>
      </c>
      <c r="BV232" s="5">
        <f>IF(A232="","",N(INDEX(Projects[Software Eng],231)))</f>
        <v/>
      </c>
      <c r="BW232" s="5">
        <f>IF(A232="","",N(INDEX(Projects[Misc],231)))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  <c r="BZ232" s="5">
        <f>INDEX(Projects[Solution Type],231)&amp;""</f>
        <v/>
      </c>
      <c r="CA232" s="5">
        <f>INDEX(Projects[Client / Region],231)&amp;""</f>
        <v/>
      </c>
      <c r="CB232" s="5">
        <f>INDEX(Projects[Year],231)</f>
        <v/>
      </c>
      <c r="CC232" s="5">
        <f>INDEX(Projects[Won?],231)&amp;""</f>
        <v/>
      </c>
      <c r="CD232" s="5">
        <f>INDEX(Projects[Value (USD M)],231)</f>
        <v/>
      </c>
      <c r="CE232" s="5">
        <f>INDEX(Projects[MH Data Status],231)&amp;""</f>
        <v/>
      </c>
    </row>
    <row r="233" ht="15" customHeight="1" s="74">
      <c r="A233" s="66">
        <f>INDEX(Projects[Project ID *],232)&amp;""</f>
        <v/>
      </c>
      <c r="B233" s="66">
        <f>INDEX(Projects[Project Name *],232)&amp;""</f>
        <v/>
      </c>
      <c r="C233" s="66">
        <f>INDEX(Projects[MS Shuttles],232)</f>
        <v/>
      </c>
      <c r="D233" s="66">
        <f>INDEX(Projects[MS Tote Locations],232)</f>
        <v/>
      </c>
      <c r="E233" s="66">
        <f>INDEX(Projects[AS Robots],232)</f>
        <v/>
      </c>
      <c r="F233" s="66">
        <f>INDEX(Projects[AS Tote Locations],232)</f>
        <v/>
      </c>
      <c r="G233" s="66">
        <f>INDEX(Projects[PS Shuttles],232)</f>
        <v/>
      </c>
      <c r="H233" s="66">
        <f>INDEX(Projects[PS Pallet Locations],232)</f>
        <v/>
      </c>
      <c r="I233" s="66">
        <f>INDEX(Projects[SRM Cranes],232)</f>
        <v/>
      </c>
      <c r="J233" s="66">
        <f>INDEX(Projects[SRM Pallet Locations],232)</f>
        <v/>
      </c>
      <c r="K233" s="66">
        <f>INDEX(Projects[Case Conv (m)],232)</f>
        <v/>
      </c>
      <c r="L233" s="66">
        <f>INDEX(Projects[Pallet Conv (m)],232)</f>
        <v/>
      </c>
      <c r="M233" s="66">
        <f>INDEX(Projects[Mech Eng (wks)],232)</f>
        <v/>
      </c>
      <c r="N233" s="66">
        <f>INDEX(Projects[Controls Eng (wks)],232)</f>
        <v/>
      </c>
      <c r="O233" s="66">
        <f>INDEX(Projects[Systems Eng (wks)],232)</f>
        <v/>
      </c>
      <c r="P233" s="66">
        <f>INDEX(Projects[Software Eng (wks)],232)</f>
        <v/>
      </c>
      <c r="Q233" s="66">
        <f>INDEX(Projects[M&amp;E Installation (wks)],232)</f>
        <v/>
      </c>
      <c r="R233" s="66">
        <f>INDEX(Projects[Commissioning (wks)],232)</f>
        <v/>
      </c>
      <c r="S233" s="66">
        <f>INDEX(Projects[Total Timeline (wks)],232)</f>
        <v/>
      </c>
      <c r="T233" s="66">
        <f>INDEX(Projects[Currency],232)&amp;""</f>
        <v/>
      </c>
      <c r="U233" s="67">
        <f>INDEX(Projects[Value (M)],232)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INDEX(Projects[Automation Equipment],232)&amp;""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IF(AND(A233&lt;&gt;"",OR('Smart Search'!$L$5="",'Smart Search'!$L$5="All",TRIM(BZ233)=TRIM('Smart Search'!$L$5)),OR(TRIM('Smart Search'!$L$6)="",TRIM('Smart Search'!$L$6)="All",ISNUMBER(SEARCH(SUBSTITUTE(SUBSTITUTE(SUBSTITUTE(TRIM('Smart Search'!$L$6),"~","~~"),"*","~*"),"?","~?"),CA233))),OR('Smart Search'!$L$7="",AND(CB233&lt;&gt;0,CB233='Smart Search'!$L$7)),OR('Smart Search'!$L$8="",'Smart Search'!$L$8="All",TRIM(CC233)=TRIM('Smart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IF(A233="","",N(INDEX(Projects[Mech Inst],232)))</f>
        <v/>
      </c>
      <c r="BK233" s="5">
        <f>IF(A233="","",N(INDEX(Projects[Elec Inst],232)))</f>
        <v/>
      </c>
      <c r="BL233" s="5">
        <f>IF(A233="","",N(INDEX(Projects[Project Management],232)))</f>
        <v/>
      </c>
      <c r="BM233" s="5">
        <f>IF(A233="","",N(INDEX(Projects[Systems Eng],232)))</f>
        <v/>
      </c>
      <c r="BN233" s="5">
        <f>IF(A233="","",N(INDEX(Projects[Mechanical Eng],232)))</f>
        <v/>
      </c>
      <c r="BO233" s="5">
        <f>IF(A233="","",N(INDEX(Projects[Structural Engineering],232)))</f>
        <v/>
      </c>
      <c r="BP233" s="5">
        <f>IF(A233="","",N(INDEX(Projects[Site Sup],232)))</f>
        <v/>
      </c>
      <c r="BQ233" s="5">
        <f>IF(A233="","",N(INDEX(Projects[Controls Commissioning],232)))</f>
        <v/>
      </c>
      <c r="BR233" s="5">
        <f>IF(A233="","",N(INDEX(Projects[Systems Commissioning],232)))</f>
        <v/>
      </c>
      <c r="BS233" s="5">
        <f>IF(A233="","",N(INDEX(Projects[Service Commissioning],232)))</f>
        <v/>
      </c>
      <c r="BT233" s="5">
        <f>IF(A233="","",N(INDEX(Projects[Controls Eng],232)))</f>
        <v/>
      </c>
      <c r="BU233" s="5">
        <f>IF(A233="","",N(INDEX(Projects[Controls Purchase],232)))</f>
        <v/>
      </c>
      <c r="BV233" s="5">
        <f>IF(A233="","",N(INDEX(Projects[Software Eng],232)))</f>
        <v/>
      </c>
      <c r="BW233" s="5">
        <f>IF(A233="","",N(INDEX(Projects[Misc],232)))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  <c r="BZ233" s="5">
        <f>INDEX(Projects[Solution Type],232)&amp;""</f>
        <v/>
      </c>
      <c r="CA233" s="5">
        <f>INDEX(Projects[Client / Region],232)&amp;""</f>
        <v/>
      </c>
      <c r="CB233" s="5">
        <f>INDEX(Projects[Year],232)</f>
        <v/>
      </c>
      <c r="CC233" s="5">
        <f>INDEX(Projects[Won?],232)&amp;""</f>
        <v/>
      </c>
      <c r="CD233" s="5">
        <f>INDEX(Projects[Value (USD M)],232)</f>
        <v/>
      </c>
      <c r="CE233" s="5">
        <f>INDEX(Projects[MH Data Status],232)&amp;""</f>
        <v/>
      </c>
    </row>
    <row r="234" ht="15" customHeight="1" s="74">
      <c r="A234" s="66">
        <f>INDEX(Projects[Project ID *],233)&amp;""</f>
        <v/>
      </c>
      <c r="B234" s="66">
        <f>INDEX(Projects[Project Name *],233)&amp;""</f>
        <v/>
      </c>
      <c r="C234" s="66">
        <f>INDEX(Projects[MS Shuttles],233)</f>
        <v/>
      </c>
      <c r="D234" s="66">
        <f>INDEX(Projects[MS Tote Locations],233)</f>
        <v/>
      </c>
      <c r="E234" s="66">
        <f>INDEX(Projects[AS Robots],233)</f>
        <v/>
      </c>
      <c r="F234" s="66">
        <f>INDEX(Projects[AS Tote Locations],233)</f>
        <v/>
      </c>
      <c r="G234" s="66">
        <f>INDEX(Projects[PS Shuttles],233)</f>
        <v/>
      </c>
      <c r="H234" s="66">
        <f>INDEX(Projects[PS Pallet Locations],233)</f>
        <v/>
      </c>
      <c r="I234" s="66">
        <f>INDEX(Projects[SRM Cranes],233)</f>
        <v/>
      </c>
      <c r="J234" s="66">
        <f>INDEX(Projects[SRM Pallet Locations],233)</f>
        <v/>
      </c>
      <c r="K234" s="66">
        <f>INDEX(Projects[Case Conv (m)],233)</f>
        <v/>
      </c>
      <c r="L234" s="66">
        <f>INDEX(Projects[Pallet Conv (m)],233)</f>
        <v/>
      </c>
      <c r="M234" s="66">
        <f>INDEX(Projects[Mech Eng (wks)],233)</f>
        <v/>
      </c>
      <c r="N234" s="66">
        <f>INDEX(Projects[Controls Eng (wks)],233)</f>
        <v/>
      </c>
      <c r="O234" s="66">
        <f>INDEX(Projects[Systems Eng (wks)],233)</f>
        <v/>
      </c>
      <c r="P234" s="66">
        <f>INDEX(Projects[Software Eng (wks)],233)</f>
        <v/>
      </c>
      <c r="Q234" s="66">
        <f>INDEX(Projects[M&amp;E Installation (wks)],233)</f>
        <v/>
      </c>
      <c r="R234" s="66">
        <f>INDEX(Projects[Commissioning (wks)],233)</f>
        <v/>
      </c>
      <c r="S234" s="66">
        <f>INDEX(Projects[Total Timeline (wks)],233)</f>
        <v/>
      </c>
      <c r="T234" s="66">
        <f>INDEX(Projects[Currency],233)&amp;""</f>
        <v/>
      </c>
      <c r="U234" s="67">
        <f>INDEX(Projects[Value (M)],233)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INDEX(Projects[Automation Equipment],233)&amp;""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IF(AND(A234&lt;&gt;"",OR('Smart Search'!$L$5="",'Smart Search'!$L$5="All",TRIM(BZ234)=TRIM('Smart Search'!$L$5)),OR(TRIM('Smart Search'!$L$6)="",TRIM('Smart Search'!$L$6)="All",ISNUMBER(SEARCH(SUBSTITUTE(SUBSTITUTE(SUBSTITUTE(TRIM('Smart Search'!$L$6),"~","~~"),"*","~*"),"?","~?"),CA234))),OR('Smart Search'!$L$7="",AND(CB234&lt;&gt;0,CB234='Smart Search'!$L$7)),OR('Smart Search'!$L$8="",'Smart Search'!$L$8="All",TRIM(CC234)=TRIM('Smart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IF(A234="","",N(INDEX(Projects[Mech Inst],233)))</f>
        <v/>
      </c>
      <c r="BK234" s="5">
        <f>IF(A234="","",N(INDEX(Projects[Elec Inst],233)))</f>
        <v/>
      </c>
      <c r="BL234" s="5">
        <f>IF(A234="","",N(INDEX(Projects[Project Management],233)))</f>
        <v/>
      </c>
      <c r="BM234" s="5">
        <f>IF(A234="","",N(INDEX(Projects[Systems Eng],233)))</f>
        <v/>
      </c>
      <c r="BN234" s="5">
        <f>IF(A234="","",N(INDEX(Projects[Mechanical Eng],233)))</f>
        <v/>
      </c>
      <c r="BO234" s="5">
        <f>IF(A234="","",N(INDEX(Projects[Structural Engineering],233)))</f>
        <v/>
      </c>
      <c r="BP234" s="5">
        <f>IF(A234="","",N(INDEX(Projects[Site Sup],233)))</f>
        <v/>
      </c>
      <c r="BQ234" s="5">
        <f>IF(A234="","",N(INDEX(Projects[Controls Commissioning],233)))</f>
        <v/>
      </c>
      <c r="BR234" s="5">
        <f>IF(A234="","",N(INDEX(Projects[Systems Commissioning],233)))</f>
        <v/>
      </c>
      <c r="BS234" s="5">
        <f>IF(A234="","",N(INDEX(Projects[Service Commissioning],233)))</f>
        <v/>
      </c>
      <c r="BT234" s="5">
        <f>IF(A234="","",N(INDEX(Projects[Controls Eng],233)))</f>
        <v/>
      </c>
      <c r="BU234" s="5">
        <f>IF(A234="","",N(INDEX(Projects[Controls Purchase],233)))</f>
        <v/>
      </c>
      <c r="BV234" s="5">
        <f>IF(A234="","",N(INDEX(Projects[Software Eng],233)))</f>
        <v/>
      </c>
      <c r="BW234" s="5">
        <f>IF(A234="","",N(INDEX(Projects[Misc],233)))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  <c r="BZ234" s="5">
        <f>INDEX(Projects[Solution Type],233)&amp;""</f>
        <v/>
      </c>
      <c r="CA234" s="5">
        <f>INDEX(Projects[Client / Region],233)&amp;""</f>
        <v/>
      </c>
      <c r="CB234" s="5">
        <f>INDEX(Projects[Year],233)</f>
        <v/>
      </c>
      <c r="CC234" s="5">
        <f>INDEX(Projects[Won?],233)&amp;""</f>
        <v/>
      </c>
      <c r="CD234" s="5">
        <f>INDEX(Projects[Value (USD M)],233)</f>
        <v/>
      </c>
      <c r="CE234" s="5">
        <f>INDEX(Projects[MH Data Status],233)&amp;""</f>
        <v/>
      </c>
    </row>
    <row r="235" ht="15" customHeight="1" s="74">
      <c r="A235" s="66">
        <f>INDEX(Projects[Project ID *],234)&amp;""</f>
        <v/>
      </c>
      <c r="B235" s="66">
        <f>INDEX(Projects[Project Name *],234)&amp;""</f>
        <v/>
      </c>
      <c r="C235" s="66">
        <f>INDEX(Projects[MS Shuttles],234)</f>
        <v/>
      </c>
      <c r="D235" s="66">
        <f>INDEX(Projects[MS Tote Locations],234)</f>
        <v/>
      </c>
      <c r="E235" s="66">
        <f>INDEX(Projects[AS Robots],234)</f>
        <v/>
      </c>
      <c r="F235" s="66">
        <f>INDEX(Projects[AS Tote Locations],234)</f>
        <v/>
      </c>
      <c r="G235" s="66">
        <f>INDEX(Projects[PS Shuttles],234)</f>
        <v/>
      </c>
      <c r="H235" s="66">
        <f>INDEX(Projects[PS Pallet Locations],234)</f>
        <v/>
      </c>
      <c r="I235" s="66">
        <f>INDEX(Projects[SRM Cranes],234)</f>
        <v/>
      </c>
      <c r="J235" s="66">
        <f>INDEX(Projects[SRM Pallet Locations],234)</f>
        <v/>
      </c>
      <c r="K235" s="66">
        <f>INDEX(Projects[Case Conv (m)],234)</f>
        <v/>
      </c>
      <c r="L235" s="66">
        <f>INDEX(Projects[Pallet Conv (m)],234)</f>
        <v/>
      </c>
      <c r="M235" s="66">
        <f>INDEX(Projects[Mech Eng (wks)],234)</f>
        <v/>
      </c>
      <c r="N235" s="66">
        <f>INDEX(Projects[Controls Eng (wks)],234)</f>
        <v/>
      </c>
      <c r="O235" s="66">
        <f>INDEX(Projects[Systems Eng (wks)],234)</f>
        <v/>
      </c>
      <c r="P235" s="66">
        <f>INDEX(Projects[Software Eng (wks)],234)</f>
        <v/>
      </c>
      <c r="Q235" s="66">
        <f>INDEX(Projects[M&amp;E Installation (wks)],234)</f>
        <v/>
      </c>
      <c r="R235" s="66">
        <f>INDEX(Projects[Commissioning (wks)],234)</f>
        <v/>
      </c>
      <c r="S235" s="66">
        <f>INDEX(Projects[Total Timeline (wks)],234)</f>
        <v/>
      </c>
      <c r="T235" s="66">
        <f>INDEX(Projects[Currency],234)&amp;""</f>
        <v/>
      </c>
      <c r="U235" s="67">
        <f>INDEX(Projects[Value (M)],234)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INDEX(Projects[Automation Equipment],234)&amp;""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IF(AND(A235&lt;&gt;"",OR('Smart Search'!$L$5="",'Smart Search'!$L$5="All",TRIM(BZ235)=TRIM('Smart Search'!$L$5)),OR(TRIM('Smart Search'!$L$6)="",TRIM('Smart Search'!$L$6)="All",ISNUMBER(SEARCH(SUBSTITUTE(SUBSTITUTE(SUBSTITUTE(TRIM('Smart Search'!$L$6),"~","~~"),"*","~*"),"?","~?"),CA235))),OR('Smart Search'!$L$7="",AND(CB235&lt;&gt;0,CB235='Smart Search'!$L$7)),OR('Smart Search'!$L$8="",'Smart Search'!$L$8="All",TRIM(CC235)=TRIM('Smart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IF(A235="","",N(INDEX(Projects[Mech Inst],234)))</f>
        <v/>
      </c>
      <c r="BK235" s="5">
        <f>IF(A235="","",N(INDEX(Projects[Elec Inst],234)))</f>
        <v/>
      </c>
      <c r="BL235" s="5">
        <f>IF(A235="","",N(INDEX(Projects[Project Management],234)))</f>
        <v/>
      </c>
      <c r="BM235" s="5">
        <f>IF(A235="","",N(INDEX(Projects[Systems Eng],234)))</f>
        <v/>
      </c>
      <c r="BN235" s="5">
        <f>IF(A235="","",N(INDEX(Projects[Mechanical Eng],234)))</f>
        <v/>
      </c>
      <c r="BO235" s="5">
        <f>IF(A235="","",N(INDEX(Projects[Structural Engineering],234)))</f>
        <v/>
      </c>
      <c r="BP235" s="5">
        <f>IF(A235="","",N(INDEX(Projects[Site Sup],234)))</f>
        <v/>
      </c>
      <c r="BQ235" s="5">
        <f>IF(A235="","",N(INDEX(Projects[Controls Commissioning],234)))</f>
        <v/>
      </c>
      <c r="BR235" s="5">
        <f>IF(A235="","",N(INDEX(Projects[Systems Commissioning],234)))</f>
        <v/>
      </c>
      <c r="BS235" s="5">
        <f>IF(A235="","",N(INDEX(Projects[Service Commissioning],234)))</f>
        <v/>
      </c>
      <c r="BT235" s="5">
        <f>IF(A235="","",N(INDEX(Projects[Controls Eng],234)))</f>
        <v/>
      </c>
      <c r="BU235" s="5">
        <f>IF(A235="","",N(INDEX(Projects[Controls Purchase],234)))</f>
        <v/>
      </c>
      <c r="BV235" s="5">
        <f>IF(A235="","",N(INDEX(Projects[Software Eng],234)))</f>
        <v/>
      </c>
      <c r="BW235" s="5">
        <f>IF(A235="","",N(INDEX(Projects[Misc],234)))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  <c r="BZ235" s="5">
        <f>INDEX(Projects[Solution Type],234)&amp;""</f>
        <v/>
      </c>
      <c r="CA235" s="5">
        <f>INDEX(Projects[Client / Region],234)&amp;""</f>
        <v/>
      </c>
      <c r="CB235" s="5">
        <f>INDEX(Projects[Year],234)</f>
        <v/>
      </c>
      <c r="CC235" s="5">
        <f>INDEX(Projects[Won?],234)&amp;""</f>
        <v/>
      </c>
      <c r="CD235" s="5">
        <f>INDEX(Projects[Value (USD M)],234)</f>
        <v/>
      </c>
      <c r="CE235" s="5">
        <f>INDEX(Projects[MH Data Status],234)&amp;""</f>
        <v/>
      </c>
    </row>
    <row r="236" ht="15" customHeight="1" s="74">
      <c r="A236" s="66">
        <f>INDEX(Projects[Project ID *],235)&amp;""</f>
        <v/>
      </c>
      <c r="B236" s="66">
        <f>INDEX(Projects[Project Name *],235)&amp;""</f>
        <v/>
      </c>
      <c r="C236" s="66">
        <f>INDEX(Projects[MS Shuttles],235)</f>
        <v/>
      </c>
      <c r="D236" s="66">
        <f>INDEX(Projects[MS Tote Locations],235)</f>
        <v/>
      </c>
      <c r="E236" s="66">
        <f>INDEX(Projects[AS Robots],235)</f>
        <v/>
      </c>
      <c r="F236" s="66">
        <f>INDEX(Projects[AS Tote Locations],235)</f>
        <v/>
      </c>
      <c r="G236" s="66">
        <f>INDEX(Projects[PS Shuttles],235)</f>
        <v/>
      </c>
      <c r="H236" s="66">
        <f>INDEX(Projects[PS Pallet Locations],235)</f>
        <v/>
      </c>
      <c r="I236" s="66">
        <f>INDEX(Projects[SRM Cranes],235)</f>
        <v/>
      </c>
      <c r="J236" s="66">
        <f>INDEX(Projects[SRM Pallet Locations],235)</f>
        <v/>
      </c>
      <c r="K236" s="66">
        <f>INDEX(Projects[Case Conv (m)],235)</f>
        <v/>
      </c>
      <c r="L236" s="66">
        <f>INDEX(Projects[Pallet Conv (m)],235)</f>
        <v/>
      </c>
      <c r="M236" s="66">
        <f>INDEX(Projects[Mech Eng (wks)],235)</f>
        <v/>
      </c>
      <c r="N236" s="66">
        <f>INDEX(Projects[Controls Eng (wks)],235)</f>
        <v/>
      </c>
      <c r="O236" s="66">
        <f>INDEX(Projects[Systems Eng (wks)],235)</f>
        <v/>
      </c>
      <c r="P236" s="66">
        <f>INDEX(Projects[Software Eng (wks)],235)</f>
        <v/>
      </c>
      <c r="Q236" s="66">
        <f>INDEX(Projects[M&amp;E Installation (wks)],235)</f>
        <v/>
      </c>
      <c r="R236" s="66">
        <f>INDEX(Projects[Commissioning (wks)],235)</f>
        <v/>
      </c>
      <c r="S236" s="66">
        <f>INDEX(Projects[Total Timeline (wks)],235)</f>
        <v/>
      </c>
      <c r="T236" s="66">
        <f>INDEX(Projects[Currency],235)&amp;""</f>
        <v/>
      </c>
      <c r="U236" s="67">
        <f>INDEX(Projects[Value (M)],235)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INDEX(Projects[Automation Equipment],235)&amp;""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IF(AND(A236&lt;&gt;"",OR('Smart Search'!$L$5="",'Smart Search'!$L$5="All",TRIM(BZ236)=TRIM('Smart Search'!$L$5)),OR(TRIM('Smart Search'!$L$6)="",TRIM('Smart Search'!$L$6)="All",ISNUMBER(SEARCH(SUBSTITUTE(SUBSTITUTE(SUBSTITUTE(TRIM('Smart Search'!$L$6),"~","~~"),"*","~*"),"?","~?"),CA236))),OR('Smart Search'!$L$7="",AND(CB236&lt;&gt;0,CB236='Smart Search'!$L$7)),OR('Smart Search'!$L$8="",'Smart Search'!$L$8="All",TRIM(CC236)=TRIM('Smart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IF(A236="","",N(INDEX(Projects[Mech Inst],235)))</f>
        <v/>
      </c>
      <c r="BK236" s="5">
        <f>IF(A236="","",N(INDEX(Projects[Elec Inst],235)))</f>
        <v/>
      </c>
      <c r="BL236" s="5">
        <f>IF(A236="","",N(INDEX(Projects[Project Management],235)))</f>
        <v/>
      </c>
      <c r="BM236" s="5">
        <f>IF(A236="","",N(INDEX(Projects[Systems Eng],235)))</f>
        <v/>
      </c>
      <c r="BN236" s="5">
        <f>IF(A236="","",N(INDEX(Projects[Mechanical Eng],235)))</f>
        <v/>
      </c>
      <c r="BO236" s="5">
        <f>IF(A236="","",N(INDEX(Projects[Structural Engineering],235)))</f>
        <v/>
      </c>
      <c r="BP236" s="5">
        <f>IF(A236="","",N(INDEX(Projects[Site Sup],235)))</f>
        <v/>
      </c>
      <c r="BQ236" s="5">
        <f>IF(A236="","",N(INDEX(Projects[Controls Commissioning],235)))</f>
        <v/>
      </c>
      <c r="BR236" s="5">
        <f>IF(A236="","",N(INDEX(Projects[Systems Commissioning],235)))</f>
        <v/>
      </c>
      <c r="BS236" s="5">
        <f>IF(A236="","",N(INDEX(Projects[Service Commissioning],235)))</f>
        <v/>
      </c>
      <c r="BT236" s="5">
        <f>IF(A236="","",N(INDEX(Projects[Controls Eng],235)))</f>
        <v/>
      </c>
      <c r="BU236" s="5">
        <f>IF(A236="","",N(INDEX(Projects[Controls Purchase],235)))</f>
        <v/>
      </c>
      <c r="BV236" s="5">
        <f>IF(A236="","",N(INDEX(Projects[Software Eng],235)))</f>
        <v/>
      </c>
      <c r="BW236" s="5">
        <f>IF(A236="","",N(INDEX(Projects[Misc],235)))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  <c r="BZ236" s="5">
        <f>INDEX(Projects[Solution Type],235)&amp;""</f>
        <v/>
      </c>
      <c r="CA236" s="5">
        <f>INDEX(Projects[Client / Region],235)&amp;""</f>
        <v/>
      </c>
      <c r="CB236" s="5">
        <f>INDEX(Projects[Year],235)</f>
        <v/>
      </c>
      <c r="CC236" s="5">
        <f>INDEX(Projects[Won?],235)&amp;""</f>
        <v/>
      </c>
      <c r="CD236" s="5">
        <f>INDEX(Projects[Value (USD M)],235)</f>
        <v/>
      </c>
      <c r="CE236" s="5">
        <f>INDEX(Projects[MH Data Status],235)&amp;""</f>
        <v/>
      </c>
    </row>
    <row r="237" ht="15" customHeight="1" s="74">
      <c r="A237" s="66">
        <f>INDEX(Projects[Project ID *],236)&amp;""</f>
        <v/>
      </c>
      <c r="B237" s="66">
        <f>INDEX(Projects[Project Name *],236)&amp;""</f>
        <v/>
      </c>
      <c r="C237" s="66">
        <f>INDEX(Projects[MS Shuttles],236)</f>
        <v/>
      </c>
      <c r="D237" s="66">
        <f>INDEX(Projects[MS Tote Locations],236)</f>
        <v/>
      </c>
      <c r="E237" s="66">
        <f>INDEX(Projects[AS Robots],236)</f>
        <v/>
      </c>
      <c r="F237" s="66">
        <f>INDEX(Projects[AS Tote Locations],236)</f>
        <v/>
      </c>
      <c r="G237" s="66">
        <f>INDEX(Projects[PS Shuttles],236)</f>
        <v/>
      </c>
      <c r="H237" s="66">
        <f>INDEX(Projects[PS Pallet Locations],236)</f>
        <v/>
      </c>
      <c r="I237" s="66">
        <f>INDEX(Projects[SRM Cranes],236)</f>
        <v/>
      </c>
      <c r="J237" s="66">
        <f>INDEX(Projects[SRM Pallet Locations],236)</f>
        <v/>
      </c>
      <c r="K237" s="66">
        <f>INDEX(Projects[Case Conv (m)],236)</f>
        <v/>
      </c>
      <c r="L237" s="66">
        <f>INDEX(Projects[Pallet Conv (m)],236)</f>
        <v/>
      </c>
      <c r="M237" s="66">
        <f>INDEX(Projects[Mech Eng (wks)],236)</f>
        <v/>
      </c>
      <c r="N237" s="66">
        <f>INDEX(Projects[Controls Eng (wks)],236)</f>
        <v/>
      </c>
      <c r="O237" s="66">
        <f>INDEX(Projects[Systems Eng (wks)],236)</f>
        <v/>
      </c>
      <c r="P237" s="66">
        <f>INDEX(Projects[Software Eng (wks)],236)</f>
        <v/>
      </c>
      <c r="Q237" s="66">
        <f>INDEX(Projects[M&amp;E Installation (wks)],236)</f>
        <v/>
      </c>
      <c r="R237" s="66">
        <f>INDEX(Projects[Commissioning (wks)],236)</f>
        <v/>
      </c>
      <c r="S237" s="66">
        <f>INDEX(Projects[Total Timeline (wks)],236)</f>
        <v/>
      </c>
      <c r="T237" s="66">
        <f>INDEX(Projects[Currency],236)&amp;""</f>
        <v/>
      </c>
      <c r="U237" s="67">
        <f>INDEX(Projects[Value (M)],236)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INDEX(Projects[Automation Equipment],236)&amp;""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IF(AND(A237&lt;&gt;"",OR('Smart Search'!$L$5="",'Smart Search'!$L$5="All",TRIM(BZ237)=TRIM('Smart Search'!$L$5)),OR(TRIM('Smart Search'!$L$6)="",TRIM('Smart Search'!$L$6)="All",ISNUMBER(SEARCH(SUBSTITUTE(SUBSTITUTE(SUBSTITUTE(TRIM('Smart Search'!$L$6),"~","~~"),"*","~*"),"?","~?"),CA237))),OR('Smart Search'!$L$7="",AND(CB237&lt;&gt;0,CB237='Smart Search'!$L$7)),OR('Smart Search'!$L$8="",'Smart Search'!$L$8="All",TRIM(CC237)=TRIM('Smart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IF(A237="","",N(INDEX(Projects[Mech Inst],236)))</f>
        <v/>
      </c>
      <c r="BK237" s="5">
        <f>IF(A237="","",N(INDEX(Projects[Elec Inst],236)))</f>
        <v/>
      </c>
      <c r="BL237" s="5">
        <f>IF(A237="","",N(INDEX(Projects[Project Management],236)))</f>
        <v/>
      </c>
      <c r="BM237" s="5">
        <f>IF(A237="","",N(INDEX(Projects[Systems Eng],236)))</f>
        <v/>
      </c>
      <c r="BN237" s="5">
        <f>IF(A237="","",N(INDEX(Projects[Mechanical Eng],236)))</f>
        <v/>
      </c>
      <c r="BO237" s="5">
        <f>IF(A237="","",N(INDEX(Projects[Structural Engineering],236)))</f>
        <v/>
      </c>
      <c r="BP237" s="5">
        <f>IF(A237="","",N(INDEX(Projects[Site Sup],236)))</f>
        <v/>
      </c>
      <c r="BQ237" s="5">
        <f>IF(A237="","",N(INDEX(Projects[Controls Commissioning],236)))</f>
        <v/>
      </c>
      <c r="BR237" s="5">
        <f>IF(A237="","",N(INDEX(Projects[Systems Commissioning],236)))</f>
        <v/>
      </c>
      <c r="BS237" s="5">
        <f>IF(A237="","",N(INDEX(Projects[Service Commissioning],236)))</f>
        <v/>
      </c>
      <c r="BT237" s="5">
        <f>IF(A237="","",N(INDEX(Projects[Controls Eng],236)))</f>
        <v/>
      </c>
      <c r="BU237" s="5">
        <f>IF(A237="","",N(INDEX(Projects[Controls Purchase],236)))</f>
        <v/>
      </c>
      <c r="BV237" s="5">
        <f>IF(A237="","",N(INDEX(Projects[Software Eng],236)))</f>
        <v/>
      </c>
      <c r="BW237" s="5">
        <f>IF(A237="","",N(INDEX(Projects[Misc],236)))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  <c r="BZ237" s="5">
        <f>INDEX(Projects[Solution Type],236)&amp;""</f>
        <v/>
      </c>
      <c r="CA237" s="5">
        <f>INDEX(Projects[Client / Region],236)&amp;""</f>
        <v/>
      </c>
      <c r="CB237" s="5">
        <f>INDEX(Projects[Year],236)</f>
        <v/>
      </c>
      <c r="CC237" s="5">
        <f>INDEX(Projects[Won?],236)&amp;""</f>
        <v/>
      </c>
      <c r="CD237" s="5">
        <f>INDEX(Projects[Value (USD M)],236)</f>
        <v/>
      </c>
      <c r="CE237" s="5">
        <f>INDEX(Projects[MH Data Status],236)&amp;""</f>
        <v/>
      </c>
    </row>
    <row r="238" ht="15" customHeight="1" s="74">
      <c r="A238" s="66">
        <f>INDEX(Projects[Project ID *],237)&amp;""</f>
        <v/>
      </c>
      <c r="B238" s="66">
        <f>INDEX(Projects[Project Name *],237)&amp;""</f>
        <v/>
      </c>
      <c r="C238" s="66">
        <f>INDEX(Projects[MS Shuttles],237)</f>
        <v/>
      </c>
      <c r="D238" s="66">
        <f>INDEX(Projects[MS Tote Locations],237)</f>
        <v/>
      </c>
      <c r="E238" s="66">
        <f>INDEX(Projects[AS Robots],237)</f>
        <v/>
      </c>
      <c r="F238" s="66">
        <f>INDEX(Projects[AS Tote Locations],237)</f>
        <v/>
      </c>
      <c r="G238" s="66">
        <f>INDEX(Projects[PS Shuttles],237)</f>
        <v/>
      </c>
      <c r="H238" s="66">
        <f>INDEX(Projects[PS Pallet Locations],237)</f>
        <v/>
      </c>
      <c r="I238" s="66">
        <f>INDEX(Projects[SRM Cranes],237)</f>
        <v/>
      </c>
      <c r="J238" s="66">
        <f>INDEX(Projects[SRM Pallet Locations],237)</f>
        <v/>
      </c>
      <c r="K238" s="66">
        <f>INDEX(Projects[Case Conv (m)],237)</f>
        <v/>
      </c>
      <c r="L238" s="66">
        <f>INDEX(Projects[Pallet Conv (m)],237)</f>
        <v/>
      </c>
      <c r="M238" s="66">
        <f>INDEX(Projects[Mech Eng (wks)],237)</f>
        <v/>
      </c>
      <c r="N238" s="66">
        <f>INDEX(Projects[Controls Eng (wks)],237)</f>
        <v/>
      </c>
      <c r="O238" s="66">
        <f>INDEX(Projects[Systems Eng (wks)],237)</f>
        <v/>
      </c>
      <c r="P238" s="66">
        <f>INDEX(Projects[Software Eng (wks)],237)</f>
        <v/>
      </c>
      <c r="Q238" s="66">
        <f>INDEX(Projects[M&amp;E Installation (wks)],237)</f>
        <v/>
      </c>
      <c r="R238" s="66">
        <f>INDEX(Projects[Commissioning (wks)],237)</f>
        <v/>
      </c>
      <c r="S238" s="66">
        <f>INDEX(Projects[Total Timeline (wks)],237)</f>
        <v/>
      </c>
      <c r="T238" s="66">
        <f>INDEX(Projects[Currency],237)&amp;""</f>
        <v/>
      </c>
      <c r="U238" s="67">
        <f>INDEX(Projects[Value (M)],237)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INDEX(Projects[Automation Equipment],237)&amp;""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IF(AND(A238&lt;&gt;"",OR('Smart Search'!$L$5="",'Smart Search'!$L$5="All",TRIM(BZ238)=TRIM('Smart Search'!$L$5)),OR(TRIM('Smart Search'!$L$6)="",TRIM('Smart Search'!$L$6)="All",ISNUMBER(SEARCH(SUBSTITUTE(SUBSTITUTE(SUBSTITUTE(TRIM('Smart Search'!$L$6),"~","~~"),"*","~*"),"?","~?"),CA238))),OR('Smart Search'!$L$7="",AND(CB238&lt;&gt;0,CB238='Smart Search'!$L$7)),OR('Smart Search'!$L$8="",'Smart Search'!$L$8="All",TRIM(CC238)=TRIM('Smart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IF(A238="","",N(INDEX(Projects[Mech Inst],237)))</f>
        <v/>
      </c>
      <c r="BK238" s="5">
        <f>IF(A238="","",N(INDEX(Projects[Elec Inst],237)))</f>
        <v/>
      </c>
      <c r="BL238" s="5">
        <f>IF(A238="","",N(INDEX(Projects[Project Management],237)))</f>
        <v/>
      </c>
      <c r="BM238" s="5">
        <f>IF(A238="","",N(INDEX(Projects[Systems Eng],237)))</f>
        <v/>
      </c>
      <c r="BN238" s="5">
        <f>IF(A238="","",N(INDEX(Projects[Mechanical Eng],237)))</f>
        <v/>
      </c>
      <c r="BO238" s="5">
        <f>IF(A238="","",N(INDEX(Projects[Structural Engineering],237)))</f>
        <v/>
      </c>
      <c r="BP238" s="5">
        <f>IF(A238="","",N(INDEX(Projects[Site Sup],237)))</f>
        <v/>
      </c>
      <c r="BQ238" s="5">
        <f>IF(A238="","",N(INDEX(Projects[Controls Commissioning],237)))</f>
        <v/>
      </c>
      <c r="BR238" s="5">
        <f>IF(A238="","",N(INDEX(Projects[Systems Commissioning],237)))</f>
        <v/>
      </c>
      <c r="BS238" s="5">
        <f>IF(A238="","",N(INDEX(Projects[Service Commissioning],237)))</f>
        <v/>
      </c>
      <c r="BT238" s="5">
        <f>IF(A238="","",N(INDEX(Projects[Controls Eng],237)))</f>
        <v/>
      </c>
      <c r="BU238" s="5">
        <f>IF(A238="","",N(INDEX(Projects[Controls Purchase],237)))</f>
        <v/>
      </c>
      <c r="BV238" s="5">
        <f>IF(A238="","",N(INDEX(Projects[Software Eng],237)))</f>
        <v/>
      </c>
      <c r="BW238" s="5">
        <f>IF(A238="","",N(INDEX(Projects[Misc],237)))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  <c r="BZ238" s="5">
        <f>INDEX(Projects[Solution Type],237)&amp;""</f>
        <v/>
      </c>
      <c r="CA238" s="5">
        <f>INDEX(Projects[Client / Region],237)&amp;""</f>
        <v/>
      </c>
      <c r="CB238" s="5">
        <f>INDEX(Projects[Year],237)</f>
        <v/>
      </c>
      <c r="CC238" s="5">
        <f>INDEX(Projects[Won?],237)&amp;""</f>
        <v/>
      </c>
      <c r="CD238" s="5">
        <f>INDEX(Projects[Value (USD M)],237)</f>
        <v/>
      </c>
      <c r="CE238" s="5">
        <f>INDEX(Projects[MH Data Status],237)&amp;""</f>
        <v/>
      </c>
    </row>
    <row r="239" ht="15" customHeight="1" s="74">
      <c r="A239" s="66">
        <f>INDEX(Projects[Project ID *],238)&amp;""</f>
        <v/>
      </c>
      <c r="B239" s="66">
        <f>INDEX(Projects[Project Name *],238)&amp;""</f>
        <v/>
      </c>
      <c r="C239" s="66">
        <f>INDEX(Projects[MS Shuttles],238)</f>
        <v/>
      </c>
      <c r="D239" s="66">
        <f>INDEX(Projects[MS Tote Locations],238)</f>
        <v/>
      </c>
      <c r="E239" s="66">
        <f>INDEX(Projects[AS Robots],238)</f>
        <v/>
      </c>
      <c r="F239" s="66">
        <f>INDEX(Projects[AS Tote Locations],238)</f>
        <v/>
      </c>
      <c r="G239" s="66">
        <f>INDEX(Projects[PS Shuttles],238)</f>
        <v/>
      </c>
      <c r="H239" s="66">
        <f>INDEX(Projects[PS Pallet Locations],238)</f>
        <v/>
      </c>
      <c r="I239" s="66">
        <f>INDEX(Projects[SRM Cranes],238)</f>
        <v/>
      </c>
      <c r="J239" s="66">
        <f>INDEX(Projects[SRM Pallet Locations],238)</f>
        <v/>
      </c>
      <c r="K239" s="66">
        <f>INDEX(Projects[Case Conv (m)],238)</f>
        <v/>
      </c>
      <c r="L239" s="66">
        <f>INDEX(Projects[Pallet Conv (m)],238)</f>
        <v/>
      </c>
      <c r="M239" s="66">
        <f>INDEX(Projects[Mech Eng (wks)],238)</f>
        <v/>
      </c>
      <c r="N239" s="66">
        <f>INDEX(Projects[Controls Eng (wks)],238)</f>
        <v/>
      </c>
      <c r="O239" s="66">
        <f>INDEX(Projects[Systems Eng (wks)],238)</f>
        <v/>
      </c>
      <c r="P239" s="66">
        <f>INDEX(Projects[Software Eng (wks)],238)</f>
        <v/>
      </c>
      <c r="Q239" s="66">
        <f>INDEX(Projects[M&amp;E Installation (wks)],238)</f>
        <v/>
      </c>
      <c r="R239" s="66">
        <f>INDEX(Projects[Commissioning (wks)],238)</f>
        <v/>
      </c>
      <c r="S239" s="66">
        <f>INDEX(Projects[Total Timeline (wks)],238)</f>
        <v/>
      </c>
      <c r="T239" s="66">
        <f>INDEX(Projects[Currency],238)&amp;""</f>
        <v/>
      </c>
      <c r="U239" s="67">
        <f>INDEX(Projects[Value (M)],238)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INDEX(Projects[Automation Equipment],238)&amp;""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IF(AND(A239&lt;&gt;"",OR('Smart Search'!$L$5="",'Smart Search'!$L$5="All",TRIM(BZ239)=TRIM('Smart Search'!$L$5)),OR(TRIM('Smart Search'!$L$6)="",TRIM('Smart Search'!$L$6)="All",ISNUMBER(SEARCH(SUBSTITUTE(SUBSTITUTE(SUBSTITUTE(TRIM('Smart Search'!$L$6),"~","~~"),"*","~*"),"?","~?"),CA239))),OR('Smart Search'!$L$7="",AND(CB239&lt;&gt;0,CB239='Smart Search'!$L$7)),OR('Smart Search'!$L$8="",'Smart Search'!$L$8="All",TRIM(CC239)=TRIM('Smart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IF(A239="","",N(INDEX(Projects[Mech Inst],238)))</f>
        <v/>
      </c>
      <c r="BK239" s="5">
        <f>IF(A239="","",N(INDEX(Projects[Elec Inst],238)))</f>
        <v/>
      </c>
      <c r="BL239" s="5">
        <f>IF(A239="","",N(INDEX(Projects[Project Management],238)))</f>
        <v/>
      </c>
      <c r="BM239" s="5">
        <f>IF(A239="","",N(INDEX(Projects[Systems Eng],238)))</f>
        <v/>
      </c>
      <c r="BN239" s="5">
        <f>IF(A239="","",N(INDEX(Projects[Mechanical Eng],238)))</f>
        <v/>
      </c>
      <c r="BO239" s="5">
        <f>IF(A239="","",N(INDEX(Projects[Structural Engineering],238)))</f>
        <v/>
      </c>
      <c r="BP239" s="5">
        <f>IF(A239="","",N(INDEX(Projects[Site Sup],238)))</f>
        <v/>
      </c>
      <c r="BQ239" s="5">
        <f>IF(A239="","",N(INDEX(Projects[Controls Commissioning],238)))</f>
        <v/>
      </c>
      <c r="BR239" s="5">
        <f>IF(A239="","",N(INDEX(Projects[Systems Commissioning],238)))</f>
        <v/>
      </c>
      <c r="BS239" s="5">
        <f>IF(A239="","",N(INDEX(Projects[Service Commissioning],238)))</f>
        <v/>
      </c>
      <c r="BT239" s="5">
        <f>IF(A239="","",N(INDEX(Projects[Controls Eng],238)))</f>
        <v/>
      </c>
      <c r="BU239" s="5">
        <f>IF(A239="","",N(INDEX(Projects[Controls Purchase],238)))</f>
        <v/>
      </c>
      <c r="BV239" s="5">
        <f>IF(A239="","",N(INDEX(Projects[Software Eng],238)))</f>
        <v/>
      </c>
      <c r="BW239" s="5">
        <f>IF(A239="","",N(INDEX(Projects[Misc],238)))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  <c r="BZ239" s="5">
        <f>INDEX(Projects[Solution Type],238)&amp;""</f>
        <v/>
      </c>
      <c r="CA239" s="5">
        <f>INDEX(Projects[Client / Region],238)&amp;""</f>
        <v/>
      </c>
      <c r="CB239" s="5">
        <f>INDEX(Projects[Year],238)</f>
        <v/>
      </c>
      <c r="CC239" s="5">
        <f>INDEX(Projects[Won?],238)&amp;""</f>
        <v/>
      </c>
      <c r="CD239" s="5">
        <f>INDEX(Projects[Value (USD M)],238)</f>
        <v/>
      </c>
      <c r="CE239" s="5">
        <f>INDEX(Projects[MH Data Status],238)&amp;""</f>
        <v/>
      </c>
    </row>
    <row r="240" ht="15" customHeight="1" s="74">
      <c r="A240" s="66">
        <f>INDEX(Projects[Project ID *],239)&amp;""</f>
        <v/>
      </c>
      <c r="B240" s="66">
        <f>INDEX(Projects[Project Name *],239)&amp;""</f>
        <v/>
      </c>
      <c r="C240" s="66">
        <f>INDEX(Projects[MS Shuttles],239)</f>
        <v/>
      </c>
      <c r="D240" s="66">
        <f>INDEX(Projects[MS Tote Locations],239)</f>
        <v/>
      </c>
      <c r="E240" s="66">
        <f>INDEX(Projects[AS Robots],239)</f>
        <v/>
      </c>
      <c r="F240" s="66">
        <f>INDEX(Projects[AS Tote Locations],239)</f>
        <v/>
      </c>
      <c r="G240" s="66">
        <f>INDEX(Projects[PS Shuttles],239)</f>
        <v/>
      </c>
      <c r="H240" s="66">
        <f>INDEX(Projects[PS Pallet Locations],239)</f>
        <v/>
      </c>
      <c r="I240" s="66">
        <f>INDEX(Projects[SRM Cranes],239)</f>
        <v/>
      </c>
      <c r="J240" s="66">
        <f>INDEX(Projects[SRM Pallet Locations],239)</f>
        <v/>
      </c>
      <c r="K240" s="66">
        <f>INDEX(Projects[Case Conv (m)],239)</f>
        <v/>
      </c>
      <c r="L240" s="66">
        <f>INDEX(Projects[Pallet Conv (m)],239)</f>
        <v/>
      </c>
      <c r="M240" s="66">
        <f>INDEX(Projects[Mech Eng (wks)],239)</f>
        <v/>
      </c>
      <c r="N240" s="66">
        <f>INDEX(Projects[Controls Eng (wks)],239)</f>
        <v/>
      </c>
      <c r="O240" s="66">
        <f>INDEX(Projects[Systems Eng (wks)],239)</f>
        <v/>
      </c>
      <c r="P240" s="66">
        <f>INDEX(Projects[Software Eng (wks)],239)</f>
        <v/>
      </c>
      <c r="Q240" s="66">
        <f>INDEX(Projects[M&amp;E Installation (wks)],239)</f>
        <v/>
      </c>
      <c r="R240" s="66">
        <f>INDEX(Projects[Commissioning (wks)],239)</f>
        <v/>
      </c>
      <c r="S240" s="66">
        <f>INDEX(Projects[Total Timeline (wks)],239)</f>
        <v/>
      </c>
      <c r="T240" s="66">
        <f>INDEX(Projects[Currency],239)&amp;""</f>
        <v/>
      </c>
      <c r="U240" s="67">
        <f>INDEX(Projects[Value (M)],239)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INDEX(Projects[Automation Equipment],239)&amp;""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IF(AND(A240&lt;&gt;"",OR('Smart Search'!$L$5="",'Smart Search'!$L$5="All",TRIM(BZ240)=TRIM('Smart Search'!$L$5)),OR(TRIM('Smart Search'!$L$6)="",TRIM('Smart Search'!$L$6)="All",ISNUMBER(SEARCH(SUBSTITUTE(SUBSTITUTE(SUBSTITUTE(TRIM('Smart Search'!$L$6),"~","~~"),"*","~*"),"?","~?"),CA240))),OR('Smart Search'!$L$7="",AND(CB240&lt;&gt;0,CB240='Smart Search'!$L$7)),OR('Smart Search'!$L$8="",'Smart Search'!$L$8="All",TRIM(CC240)=TRIM('Smart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IF(A240="","",N(INDEX(Projects[Mech Inst],239)))</f>
        <v/>
      </c>
      <c r="BK240" s="5">
        <f>IF(A240="","",N(INDEX(Projects[Elec Inst],239)))</f>
        <v/>
      </c>
      <c r="BL240" s="5">
        <f>IF(A240="","",N(INDEX(Projects[Project Management],239)))</f>
        <v/>
      </c>
      <c r="BM240" s="5">
        <f>IF(A240="","",N(INDEX(Projects[Systems Eng],239)))</f>
        <v/>
      </c>
      <c r="BN240" s="5">
        <f>IF(A240="","",N(INDEX(Projects[Mechanical Eng],239)))</f>
        <v/>
      </c>
      <c r="BO240" s="5">
        <f>IF(A240="","",N(INDEX(Projects[Structural Engineering],239)))</f>
        <v/>
      </c>
      <c r="BP240" s="5">
        <f>IF(A240="","",N(INDEX(Projects[Site Sup],239)))</f>
        <v/>
      </c>
      <c r="BQ240" s="5">
        <f>IF(A240="","",N(INDEX(Projects[Controls Commissioning],239)))</f>
        <v/>
      </c>
      <c r="BR240" s="5">
        <f>IF(A240="","",N(INDEX(Projects[Systems Commissioning],239)))</f>
        <v/>
      </c>
      <c r="BS240" s="5">
        <f>IF(A240="","",N(INDEX(Projects[Service Commissioning],239)))</f>
        <v/>
      </c>
      <c r="BT240" s="5">
        <f>IF(A240="","",N(INDEX(Projects[Controls Eng],239)))</f>
        <v/>
      </c>
      <c r="BU240" s="5">
        <f>IF(A240="","",N(INDEX(Projects[Controls Purchase],239)))</f>
        <v/>
      </c>
      <c r="BV240" s="5">
        <f>IF(A240="","",N(INDEX(Projects[Software Eng],239)))</f>
        <v/>
      </c>
      <c r="BW240" s="5">
        <f>IF(A240="","",N(INDEX(Projects[Misc],239)))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  <c r="BZ240" s="5">
        <f>INDEX(Projects[Solution Type],239)&amp;""</f>
        <v/>
      </c>
      <c r="CA240" s="5">
        <f>INDEX(Projects[Client / Region],239)&amp;""</f>
        <v/>
      </c>
      <c r="CB240" s="5">
        <f>INDEX(Projects[Year],239)</f>
        <v/>
      </c>
      <c r="CC240" s="5">
        <f>INDEX(Projects[Won?],239)&amp;""</f>
        <v/>
      </c>
      <c r="CD240" s="5">
        <f>INDEX(Projects[Value (USD M)],239)</f>
        <v/>
      </c>
      <c r="CE240" s="5">
        <f>INDEX(Projects[MH Data Status],239)&amp;""</f>
        <v/>
      </c>
    </row>
    <row r="241" ht="15" customHeight="1" s="74">
      <c r="A241" s="66">
        <f>INDEX(Projects[Project ID *],240)&amp;""</f>
        <v/>
      </c>
      <c r="B241" s="66">
        <f>INDEX(Projects[Project Name *],240)&amp;""</f>
        <v/>
      </c>
      <c r="C241" s="66">
        <f>INDEX(Projects[MS Shuttles],240)</f>
        <v/>
      </c>
      <c r="D241" s="66">
        <f>INDEX(Projects[MS Tote Locations],240)</f>
        <v/>
      </c>
      <c r="E241" s="66">
        <f>INDEX(Projects[AS Robots],240)</f>
        <v/>
      </c>
      <c r="F241" s="66">
        <f>INDEX(Projects[AS Tote Locations],240)</f>
        <v/>
      </c>
      <c r="G241" s="66">
        <f>INDEX(Projects[PS Shuttles],240)</f>
        <v/>
      </c>
      <c r="H241" s="66">
        <f>INDEX(Projects[PS Pallet Locations],240)</f>
        <v/>
      </c>
      <c r="I241" s="66">
        <f>INDEX(Projects[SRM Cranes],240)</f>
        <v/>
      </c>
      <c r="J241" s="66">
        <f>INDEX(Projects[SRM Pallet Locations],240)</f>
        <v/>
      </c>
      <c r="K241" s="66">
        <f>INDEX(Projects[Case Conv (m)],240)</f>
        <v/>
      </c>
      <c r="L241" s="66">
        <f>INDEX(Projects[Pallet Conv (m)],240)</f>
        <v/>
      </c>
      <c r="M241" s="66">
        <f>INDEX(Projects[Mech Eng (wks)],240)</f>
        <v/>
      </c>
      <c r="N241" s="66">
        <f>INDEX(Projects[Controls Eng (wks)],240)</f>
        <v/>
      </c>
      <c r="O241" s="66">
        <f>INDEX(Projects[Systems Eng (wks)],240)</f>
        <v/>
      </c>
      <c r="P241" s="66">
        <f>INDEX(Projects[Software Eng (wks)],240)</f>
        <v/>
      </c>
      <c r="Q241" s="66">
        <f>INDEX(Projects[M&amp;E Installation (wks)],240)</f>
        <v/>
      </c>
      <c r="R241" s="66">
        <f>INDEX(Projects[Commissioning (wks)],240)</f>
        <v/>
      </c>
      <c r="S241" s="66">
        <f>INDEX(Projects[Total Timeline (wks)],240)</f>
        <v/>
      </c>
      <c r="T241" s="66">
        <f>INDEX(Projects[Currency],240)&amp;""</f>
        <v/>
      </c>
      <c r="U241" s="67">
        <f>INDEX(Projects[Value (M)],240)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INDEX(Projects[Automation Equipment],240)&amp;""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IF(AND(A241&lt;&gt;"",OR('Smart Search'!$L$5="",'Smart Search'!$L$5="All",TRIM(BZ241)=TRIM('Smart Search'!$L$5)),OR(TRIM('Smart Search'!$L$6)="",TRIM('Smart Search'!$L$6)="All",ISNUMBER(SEARCH(SUBSTITUTE(SUBSTITUTE(SUBSTITUTE(TRIM('Smart Search'!$L$6),"~","~~"),"*","~*"),"?","~?"),CA241))),OR('Smart Search'!$L$7="",AND(CB241&lt;&gt;0,CB241='Smart Search'!$L$7)),OR('Smart Search'!$L$8="",'Smart Search'!$L$8="All",TRIM(CC241)=TRIM('Smart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IF(A241="","",N(INDEX(Projects[Mech Inst],240)))</f>
        <v/>
      </c>
      <c r="BK241" s="5">
        <f>IF(A241="","",N(INDEX(Projects[Elec Inst],240)))</f>
        <v/>
      </c>
      <c r="BL241" s="5">
        <f>IF(A241="","",N(INDEX(Projects[Project Management],240)))</f>
        <v/>
      </c>
      <c r="BM241" s="5">
        <f>IF(A241="","",N(INDEX(Projects[Systems Eng],240)))</f>
        <v/>
      </c>
      <c r="BN241" s="5">
        <f>IF(A241="","",N(INDEX(Projects[Mechanical Eng],240)))</f>
        <v/>
      </c>
      <c r="BO241" s="5">
        <f>IF(A241="","",N(INDEX(Projects[Structural Engineering],240)))</f>
        <v/>
      </c>
      <c r="BP241" s="5">
        <f>IF(A241="","",N(INDEX(Projects[Site Sup],240)))</f>
        <v/>
      </c>
      <c r="BQ241" s="5">
        <f>IF(A241="","",N(INDEX(Projects[Controls Commissioning],240)))</f>
        <v/>
      </c>
      <c r="BR241" s="5">
        <f>IF(A241="","",N(INDEX(Projects[Systems Commissioning],240)))</f>
        <v/>
      </c>
      <c r="BS241" s="5">
        <f>IF(A241="","",N(INDEX(Projects[Service Commissioning],240)))</f>
        <v/>
      </c>
      <c r="BT241" s="5">
        <f>IF(A241="","",N(INDEX(Projects[Controls Eng],240)))</f>
        <v/>
      </c>
      <c r="BU241" s="5">
        <f>IF(A241="","",N(INDEX(Projects[Controls Purchase],240)))</f>
        <v/>
      </c>
      <c r="BV241" s="5">
        <f>IF(A241="","",N(INDEX(Projects[Software Eng],240)))</f>
        <v/>
      </c>
      <c r="BW241" s="5">
        <f>IF(A241="","",N(INDEX(Projects[Misc],240)))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  <c r="BZ241" s="5">
        <f>INDEX(Projects[Solution Type],240)&amp;""</f>
        <v/>
      </c>
      <c r="CA241" s="5">
        <f>INDEX(Projects[Client / Region],240)&amp;""</f>
        <v/>
      </c>
      <c r="CB241" s="5">
        <f>INDEX(Projects[Year],240)</f>
        <v/>
      </c>
      <c r="CC241" s="5">
        <f>INDEX(Projects[Won?],240)&amp;""</f>
        <v/>
      </c>
      <c r="CD241" s="5">
        <f>INDEX(Projects[Value (USD M)],240)</f>
        <v/>
      </c>
      <c r="CE241" s="5">
        <f>INDEX(Projects[MH Data Status],240)&amp;""</f>
        <v/>
      </c>
    </row>
    <row r="242" ht="15" customHeight="1" s="74">
      <c r="A242" s="66">
        <f>INDEX(Projects[Project ID *],241)&amp;""</f>
        <v/>
      </c>
      <c r="B242" s="66">
        <f>INDEX(Projects[Project Name *],241)&amp;""</f>
        <v/>
      </c>
      <c r="C242" s="66">
        <f>INDEX(Projects[MS Shuttles],241)</f>
        <v/>
      </c>
      <c r="D242" s="66">
        <f>INDEX(Projects[MS Tote Locations],241)</f>
        <v/>
      </c>
      <c r="E242" s="66">
        <f>INDEX(Projects[AS Robots],241)</f>
        <v/>
      </c>
      <c r="F242" s="66">
        <f>INDEX(Projects[AS Tote Locations],241)</f>
        <v/>
      </c>
      <c r="G242" s="66">
        <f>INDEX(Projects[PS Shuttles],241)</f>
        <v/>
      </c>
      <c r="H242" s="66">
        <f>INDEX(Projects[PS Pallet Locations],241)</f>
        <v/>
      </c>
      <c r="I242" s="66">
        <f>INDEX(Projects[SRM Cranes],241)</f>
        <v/>
      </c>
      <c r="J242" s="66">
        <f>INDEX(Projects[SRM Pallet Locations],241)</f>
        <v/>
      </c>
      <c r="K242" s="66">
        <f>INDEX(Projects[Case Conv (m)],241)</f>
        <v/>
      </c>
      <c r="L242" s="66">
        <f>INDEX(Projects[Pallet Conv (m)],241)</f>
        <v/>
      </c>
      <c r="M242" s="66">
        <f>INDEX(Projects[Mech Eng (wks)],241)</f>
        <v/>
      </c>
      <c r="N242" s="66">
        <f>INDEX(Projects[Controls Eng (wks)],241)</f>
        <v/>
      </c>
      <c r="O242" s="66">
        <f>INDEX(Projects[Systems Eng (wks)],241)</f>
        <v/>
      </c>
      <c r="P242" s="66">
        <f>INDEX(Projects[Software Eng (wks)],241)</f>
        <v/>
      </c>
      <c r="Q242" s="66">
        <f>INDEX(Projects[M&amp;E Installation (wks)],241)</f>
        <v/>
      </c>
      <c r="R242" s="66">
        <f>INDEX(Projects[Commissioning (wks)],241)</f>
        <v/>
      </c>
      <c r="S242" s="66">
        <f>INDEX(Projects[Total Timeline (wks)],241)</f>
        <v/>
      </c>
      <c r="T242" s="66">
        <f>INDEX(Projects[Currency],241)&amp;""</f>
        <v/>
      </c>
      <c r="U242" s="67">
        <f>INDEX(Projects[Value (M)],241)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INDEX(Projects[Automation Equipment],241)&amp;""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IF(AND(A242&lt;&gt;"",OR('Smart Search'!$L$5="",'Smart Search'!$L$5="All",TRIM(BZ242)=TRIM('Smart Search'!$L$5)),OR(TRIM('Smart Search'!$L$6)="",TRIM('Smart Search'!$L$6)="All",ISNUMBER(SEARCH(SUBSTITUTE(SUBSTITUTE(SUBSTITUTE(TRIM('Smart Search'!$L$6),"~","~~"),"*","~*"),"?","~?"),CA242))),OR('Smart Search'!$L$7="",AND(CB242&lt;&gt;0,CB242='Smart Search'!$L$7)),OR('Smart Search'!$L$8="",'Smart Search'!$L$8="All",TRIM(CC242)=TRIM('Smart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IF(A242="","",N(INDEX(Projects[Mech Inst],241)))</f>
        <v/>
      </c>
      <c r="BK242" s="5">
        <f>IF(A242="","",N(INDEX(Projects[Elec Inst],241)))</f>
        <v/>
      </c>
      <c r="BL242" s="5">
        <f>IF(A242="","",N(INDEX(Projects[Project Management],241)))</f>
        <v/>
      </c>
      <c r="BM242" s="5">
        <f>IF(A242="","",N(INDEX(Projects[Systems Eng],241)))</f>
        <v/>
      </c>
      <c r="BN242" s="5">
        <f>IF(A242="","",N(INDEX(Projects[Mechanical Eng],241)))</f>
        <v/>
      </c>
      <c r="BO242" s="5">
        <f>IF(A242="","",N(INDEX(Projects[Structural Engineering],241)))</f>
        <v/>
      </c>
      <c r="BP242" s="5">
        <f>IF(A242="","",N(INDEX(Projects[Site Sup],241)))</f>
        <v/>
      </c>
      <c r="BQ242" s="5">
        <f>IF(A242="","",N(INDEX(Projects[Controls Commissioning],241)))</f>
        <v/>
      </c>
      <c r="BR242" s="5">
        <f>IF(A242="","",N(INDEX(Projects[Systems Commissioning],241)))</f>
        <v/>
      </c>
      <c r="BS242" s="5">
        <f>IF(A242="","",N(INDEX(Projects[Service Commissioning],241)))</f>
        <v/>
      </c>
      <c r="BT242" s="5">
        <f>IF(A242="","",N(INDEX(Projects[Controls Eng],241)))</f>
        <v/>
      </c>
      <c r="BU242" s="5">
        <f>IF(A242="","",N(INDEX(Projects[Controls Purchase],241)))</f>
        <v/>
      </c>
      <c r="BV242" s="5">
        <f>IF(A242="","",N(INDEX(Projects[Software Eng],241)))</f>
        <v/>
      </c>
      <c r="BW242" s="5">
        <f>IF(A242="","",N(INDEX(Projects[Misc],241)))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  <c r="BZ242" s="5">
        <f>INDEX(Projects[Solution Type],241)&amp;""</f>
        <v/>
      </c>
      <c r="CA242" s="5">
        <f>INDEX(Projects[Client / Region],241)&amp;""</f>
        <v/>
      </c>
      <c r="CB242" s="5">
        <f>INDEX(Projects[Year],241)</f>
        <v/>
      </c>
      <c r="CC242" s="5">
        <f>INDEX(Projects[Won?],241)&amp;""</f>
        <v/>
      </c>
      <c r="CD242" s="5">
        <f>INDEX(Projects[Value (USD M)],241)</f>
        <v/>
      </c>
      <c r="CE242" s="5">
        <f>INDEX(Projects[MH Data Status],241)&amp;""</f>
        <v/>
      </c>
    </row>
    <row r="243" ht="15" customHeight="1" s="74">
      <c r="A243" s="66">
        <f>INDEX(Projects[Project ID *],242)&amp;""</f>
        <v/>
      </c>
      <c r="B243" s="66">
        <f>INDEX(Projects[Project Name *],242)&amp;""</f>
        <v/>
      </c>
      <c r="C243" s="66">
        <f>INDEX(Projects[MS Shuttles],242)</f>
        <v/>
      </c>
      <c r="D243" s="66">
        <f>INDEX(Projects[MS Tote Locations],242)</f>
        <v/>
      </c>
      <c r="E243" s="66">
        <f>INDEX(Projects[AS Robots],242)</f>
        <v/>
      </c>
      <c r="F243" s="66">
        <f>INDEX(Projects[AS Tote Locations],242)</f>
        <v/>
      </c>
      <c r="G243" s="66">
        <f>INDEX(Projects[PS Shuttles],242)</f>
        <v/>
      </c>
      <c r="H243" s="66">
        <f>INDEX(Projects[PS Pallet Locations],242)</f>
        <v/>
      </c>
      <c r="I243" s="66">
        <f>INDEX(Projects[SRM Cranes],242)</f>
        <v/>
      </c>
      <c r="J243" s="66">
        <f>INDEX(Projects[SRM Pallet Locations],242)</f>
        <v/>
      </c>
      <c r="K243" s="66">
        <f>INDEX(Projects[Case Conv (m)],242)</f>
        <v/>
      </c>
      <c r="L243" s="66">
        <f>INDEX(Projects[Pallet Conv (m)],242)</f>
        <v/>
      </c>
      <c r="M243" s="66">
        <f>INDEX(Projects[Mech Eng (wks)],242)</f>
        <v/>
      </c>
      <c r="N243" s="66">
        <f>INDEX(Projects[Controls Eng (wks)],242)</f>
        <v/>
      </c>
      <c r="O243" s="66">
        <f>INDEX(Projects[Systems Eng (wks)],242)</f>
        <v/>
      </c>
      <c r="P243" s="66">
        <f>INDEX(Projects[Software Eng (wks)],242)</f>
        <v/>
      </c>
      <c r="Q243" s="66">
        <f>INDEX(Projects[M&amp;E Installation (wks)],242)</f>
        <v/>
      </c>
      <c r="R243" s="66">
        <f>INDEX(Projects[Commissioning (wks)],242)</f>
        <v/>
      </c>
      <c r="S243" s="66">
        <f>INDEX(Projects[Total Timeline (wks)],242)</f>
        <v/>
      </c>
      <c r="T243" s="66">
        <f>INDEX(Projects[Currency],242)&amp;""</f>
        <v/>
      </c>
      <c r="U243" s="67">
        <f>INDEX(Projects[Value (M)],242)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INDEX(Projects[Automation Equipment],242)&amp;""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IF(AND(A243&lt;&gt;"",OR('Smart Search'!$L$5="",'Smart Search'!$L$5="All",TRIM(BZ243)=TRIM('Smart Search'!$L$5)),OR(TRIM('Smart Search'!$L$6)="",TRIM('Smart Search'!$L$6)="All",ISNUMBER(SEARCH(SUBSTITUTE(SUBSTITUTE(SUBSTITUTE(TRIM('Smart Search'!$L$6),"~","~~"),"*","~*"),"?","~?"),CA243))),OR('Smart Search'!$L$7="",AND(CB243&lt;&gt;0,CB243='Smart Search'!$L$7)),OR('Smart Search'!$L$8="",'Smart Search'!$L$8="All",TRIM(CC243)=TRIM('Smart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IF(A243="","",N(INDEX(Projects[Mech Inst],242)))</f>
        <v/>
      </c>
      <c r="BK243" s="5">
        <f>IF(A243="","",N(INDEX(Projects[Elec Inst],242)))</f>
        <v/>
      </c>
      <c r="BL243" s="5">
        <f>IF(A243="","",N(INDEX(Projects[Project Management],242)))</f>
        <v/>
      </c>
      <c r="BM243" s="5">
        <f>IF(A243="","",N(INDEX(Projects[Systems Eng],242)))</f>
        <v/>
      </c>
      <c r="BN243" s="5">
        <f>IF(A243="","",N(INDEX(Projects[Mechanical Eng],242)))</f>
        <v/>
      </c>
      <c r="BO243" s="5">
        <f>IF(A243="","",N(INDEX(Projects[Structural Engineering],242)))</f>
        <v/>
      </c>
      <c r="BP243" s="5">
        <f>IF(A243="","",N(INDEX(Projects[Site Sup],242)))</f>
        <v/>
      </c>
      <c r="BQ243" s="5">
        <f>IF(A243="","",N(INDEX(Projects[Controls Commissioning],242)))</f>
        <v/>
      </c>
      <c r="BR243" s="5">
        <f>IF(A243="","",N(INDEX(Projects[Systems Commissioning],242)))</f>
        <v/>
      </c>
      <c r="BS243" s="5">
        <f>IF(A243="","",N(INDEX(Projects[Service Commissioning],242)))</f>
        <v/>
      </c>
      <c r="BT243" s="5">
        <f>IF(A243="","",N(INDEX(Projects[Controls Eng],242)))</f>
        <v/>
      </c>
      <c r="BU243" s="5">
        <f>IF(A243="","",N(INDEX(Projects[Controls Purchase],242)))</f>
        <v/>
      </c>
      <c r="BV243" s="5">
        <f>IF(A243="","",N(INDEX(Projects[Software Eng],242)))</f>
        <v/>
      </c>
      <c r="BW243" s="5">
        <f>IF(A243="","",N(INDEX(Projects[Misc],242)))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  <c r="BZ243" s="5">
        <f>INDEX(Projects[Solution Type],242)&amp;""</f>
        <v/>
      </c>
      <c r="CA243" s="5">
        <f>INDEX(Projects[Client / Region],242)&amp;""</f>
        <v/>
      </c>
      <c r="CB243" s="5">
        <f>INDEX(Projects[Year],242)</f>
        <v/>
      </c>
      <c r="CC243" s="5">
        <f>INDEX(Projects[Won?],242)&amp;""</f>
        <v/>
      </c>
      <c r="CD243" s="5">
        <f>INDEX(Projects[Value (USD M)],242)</f>
        <v/>
      </c>
      <c r="CE243" s="5">
        <f>INDEX(Projects[MH Data Status],242)&amp;""</f>
        <v/>
      </c>
    </row>
    <row r="244" ht="15" customHeight="1" s="74">
      <c r="A244" s="66">
        <f>INDEX(Projects[Project ID *],243)&amp;""</f>
        <v/>
      </c>
      <c r="B244" s="66">
        <f>INDEX(Projects[Project Name *],243)&amp;""</f>
        <v/>
      </c>
      <c r="C244" s="66">
        <f>INDEX(Projects[MS Shuttles],243)</f>
        <v/>
      </c>
      <c r="D244" s="66">
        <f>INDEX(Projects[MS Tote Locations],243)</f>
        <v/>
      </c>
      <c r="E244" s="66">
        <f>INDEX(Projects[AS Robots],243)</f>
        <v/>
      </c>
      <c r="F244" s="66">
        <f>INDEX(Projects[AS Tote Locations],243)</f>
        <v/>
      </c>
      <c r="G244" s="66">
        <f>INDEX(Projects[PS Shuttles],243)</f>
        <v/>
      </c>
      <c r="H244" s="66">
        <f>INDEX(Projects[PS Pallet Locations],243)</f>
        <v/>
      </c>
      <c r="I244" s="66">
        <f>INDEX(Projects[SRM Cranes],243)</f>
        <v/>
      </c>
      <c r="J244" s="66">
        <f>INDEX(Projects[SRM Pallet Locations],243)</f>
        <v/>
      </c>
      <c r="K244" s="66">
        <f>INDEX(Projects[Case Conv (m)],243)</f>
        <v/>
      </c>
      <c r="L244" s="66">
        <f>INDEX(Projects[Pallet Conv (m)],243)</f>
        <v/>
      </c>
      <c r="M244" s="66">
        <f>INDEX(Projects[Mech Eng (wks)],243)</f>
        <v/>
      </c>
      <c r="N244" s="66">
        <f>INDEX(Projects[Controls Eng (wks)],243)</f>
        <v/>
      </c>
      <c r="O244" s="66">
        <f>INDEX(Projects[Systems Eng (wks)],243)</f>
        <v/>
      </c>
      <c r="P244" s="66">
        <f>INDEX(Projects[Software Eng (wks)],243)</f>
        <v/>
      </c>
      <c r="Q244" s="66">
        <f>INDEX(Projects[M&amp;E Installation (wks)],243)</f>
        <v/>
      </c>
      <c r="R244" s="66">
        <f>INDEX(Projects[Commissioning (wks)],243)</f>
        <v/>
      </c>
      <c r="S244" s="66">
        <f>INDEX(Projects[Total Timeline (wks)],243)</f>
        <v/>
      </c>
      <c r="T244" s="66">
        <f>INDEX(Projects[Currency],243)&amp;""</f>
        <v/>
      </c>
      <c r="U244" s="67">
        <f>INDEX(Projects[Value (M)],243)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INDEX(Projects[Automation Equipment],243)&amp;""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IF(AND(A244&lt;&gt;"",OR('Smart Search'!$L$5="",'Smart Search'!$L$5="All",TRIM(BZ244)=TRIM('Smart Search'!$L$5)),OR(TRIM('Smart Search'!$L$6)="",TRIM('Smart Search'!$L$6)="All",ISNUMBER(SEARCH(SUBSTITUTE(SUBSTITUTE(SUBSTITUTE(TRIM('Smart Search'!$L$6),"~","~~"),"*","~*"),"?","~?"),CA244))),OR('Smart Search'!$L$7="",AND(CB244&lt;&gt;0,CB244='Smart Search'!$L$7)),OR('Smart Search'!$L$8="",'Smart Search'!$L$8="All",TRIM(CC244)=TRIM('Smart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IF(A244="","",N(INDEX(Projects[Mech Inst],243)))</f>
        <v/>
      </c>
      <c r="BK244" s="5">
        <f>IF(A244="","",N(INDEX(Projects[Elec Inst],243)))</f>
        <v/>
      </c>
      <c r="BL244" s="5">
        <f>IF(A244="","",N(INDEX(Projects[Project Management],243)))</f>
        <v/>
      </c>
      <c r="BM244" s="5">
        <f>IF(A244="","",N(INDEX(Projects[Systems Eng],243)))</f>
        <v/>
      </c>
      <c r="BN244" s="5">
        <f>IF(A244="","",N(INDEX(Projects[Mechanical Eng],243)))</f>
        <v/>
      </c>
      <c r="BO244" s="5">
        <f>IF(A244="","",N(INDEX(Projects[Structural Engineering],243)))</f>
        <v/>
      </c>
      <c r="BP244" s="5">
        <f>IF(A244="","",N(INDEX(Projects[Site Sup],243)))</f>
        <v/>
      </c>
      <c r="BQ244" s="5">
        <f>IF(A244="","",N(INDEX(Projects[Controls Commissioning],243)))</f>
        <v/>
      </c>
      <c r="BR244" s="5">
        <f>IF(A244="","",N(INDEX(Projects[Systems Commissioning],243)))</f>
        <v/>
      </c>
      <c r="BS244" s="5">
        <f>IF(A244="","",N(INDEX(Projects[Service Commissioning],243)))</f>
        <v/>
      </c>
      <c r="BT244" s="5">
        <f>IF(A244="","",N(INDEX(Projects[Controls Eng],243)))</f>
        <v/>
      </c>
      <c r="BU244" s="5">
        <f>IF(A244="","",N(INDEX(Projects[Controls Purchase],243)))</f>
        <v/>
      </c>
      <c r="BV244" s="5">
        <f>IF(A244="","",N(INDEX(Projects[Software Eng],243)))</f>
        <v/>
      </c>
      <c r="BW244" s="5">
        <f>IF(A244="","",N(INDEX(Projects[Misc],243)))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  <c r="BZ244" s="5">
        <f>INDEX(Projects[Solution Type],243)&amp;""</f>
        <v/>
      </c>
      <c r="CA244" s="5">
        <f>INDEX(Projects[Client / Region],243)&amp;""</f>
        <v/>
      </c>
      <c r="CB244" s="5">
        <f>INDEX(Projects[Year],243)</f>
        <v/>
      </c>
      <c r="CC244" s="5">
        <f>INDEX(Projects[Won?],243)&amp;""</f>
        <v/>
      </c>
      <c r="CD244" s="5">
        <f>INDEX(Projects[Value (USD M)],243)</f>
        <v/>
      </c>
      <c r="CE244" s="5">
        <f>INDEX(Projects[MH Data Status],243)&amp;""</f>
        <v/>
      </c>
    </row>
    <row r="245" ht="15" customHeight="1" s="74">
      <c r="A245" s="66">
        <f>INDEX(Projects[Project ID *],244)&amp;""</f>
        <v/>
      </c>
      <c r="B245" s="66">
        <f>INDEX(Projects[Project Name *],244)&amp;""</f>
        <v/>
      </c>
      <c r="C245" s="66">
        <f>INDEX(Projects[MS Shuttles],244)</f>
        <v/>
      </c>
      <c r="D245" s="66">
        <f>INDEX(Projects[MS Tote Locations],244)</f>
        <v/>
      </c>
      <c r="E245" s="66">
        <f>INDEX(Projects[AS Robots],244)</f>
        <v/>
      </c>
      <c r="F245" s="66">
        <f>INDEX(Projects[AS Tote Locations],244)</f>
        <v/>
      </c>
      <c r="G245" s="66">
        <f>INDEX(Projects[PS Shuttles],244)</f>
        <v/>
      </c>
      <c r="H245" s="66">
        <f>INDEX(Projects[PS Pallet Locations],244)</f>
        <v/>
      </c>
      <c r="I245" s="66">
        <f>INDEX(Projects[SRM Cranes],244)</f>
        <v/>
      </c>
      <c r="J245" s="66">
        <f>INDEX(Projects[SRM Pallet Locations],244)</f>
        <v/>
      </c>
      <c r="K245" s="66">
        <f>INDEX(Projects[Case Conv (m)],244)</f>
        <v/>
      </c>
      <c r="L245" s="66">
        <f>INDEX(Projects[Pallet Conv (m)],244)</f>
        <v/>
      </c>
      <c r="M245" s="66">
        <f>INDEX(Projects[Mech Eng (wks)],244)</f>
        <v/>
      </c>
      <c r="N245" s="66">
        <f>INDEX(Projects[Controls Eng (wks)],244)</f>
        <v/>
      </c>
      <c r="O245" s="66">
        <f>INDEX(Projects[Systems Eng (wks)],244)</f>
        <v/>
      </c>
      <c r="P245" s="66">
        <f>INDEX(Projects[Software Eng (wks)],244)</f>
        <v/>
      </c>
      <c r="Q245" s="66">
        <f>INDEX(Projects[M&amp;E Installation (wks)],244)</f>
        <v/>
      </c>
      <c r="R245" s="66">
        <f>INDEX(Projects[Commissioning (wks)],244)</f>
        <v/>
      </c>
      <c r="S245" s="66">
        <f>INDEX(Projects[Total Timeline (wks)],244)</f>
        <v/>
      </c>
      <c r="T245" s="66">
        <f>INDEX(Projects[Currency],244)&amp;""</f>
        <v/>
      </c>
      <c r="U245" s="67">
        <f>INDEX(Projects[Value (M)],244)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INDEX(Projects[Automation Equipment],244)&amp;""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IF(AND(A245&lt;&gt;"",OR('Smart Search'!$L$5="",'Smart Search'!$L$5="All",TRIM(BZ245)=TRIM('Smart Search'!$L$5)),OR(TRIM('Smart Search'!$L$6)="",TRIM('Smart Search'!$L$6)="All",ISNUMBER(SEARCH(SUBSTITUTE(SUBSTITUTE(SUBSTITUTE(TRIM('Smart Search'!$L$6),"~","~~"),"*","~*"),"?","~?"),CA245))),OR('Smart Search'!$L$7="",AND(CB245&lt;&gt;0,CB245='Smart Search'!$L$7)),OR('Smart Search'!$L$8="",'Smart Search'!$L$8="All",TRIM(CC245)=TRIM('Smart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IF(A245="","",N(INDEX(Projects[Mech Inst],244)))</f>
        <v/>
      </c>
      <c r="BK245" s="5">
        <f>IF(A245="","",N(INDEX(Projects[Elec Inst],244)))</f>
        <v/>
      </c>
      <c r="BL245" s="5">
        <f>IF(A245="","",N(INDEX(Projects[Project Management],244)))</f>
        <v/>
      </c>
      <c r="BM245" s="5">
        <f>IF(A245="","",N(INDEX(Projects[Systems Eng],244)))</f>
        <v/>
      </c>
      <c r="BN245" s="5">
        <f>IF(A245="","",N(INDEX(Projects[Mechanical Eng],244)))</f>
        <v/>
      </c>
      <c r="BO245" s="5">
        <f>IF(A245="","",N(INDEX(Projects[Structural Engineering],244)))</f>
        <v/>
      </c>
      <c r="BP245" s="5">
        <f>IF(A245="","",N(INDEX(Projects[Site Sup],244)))</f>
        <v/>
      </c>
      <c r="BQ245" s="5">
        <f>IF(A245="","",N(INDEX(Projects[Controls Commissioning],244)))</f>
        <v/>
      </c>
      <c r="BR245" s="5">
        <f>IF(A245="","",N(INDEX(Projects[Systems Commissioning],244)))</f>
        <v/>
      </c>
      <c r="BS245" s="5">
        <f>IF(A245="","",N(INDEX(Projects[Service Commissioning],244)))</f>
        <v/>
      </c>
      <c r="BT245" s="5">
        <f>IF(A245="","",N(INDEX(Projects[Controls Eng],244)))</f>
        <v/>
      </c>
      <c r="BU245" s="5">
        <f>IF(A245="","",N(INDEX(Projects[Controls Purchase],244)))</f>
        <v/>
      </c>
      <c r="BV245" s="5">
        <f>IF(A245="","",N(INDEX(Projects[Software Eng],244)))</f>
        <v/>
      </c>
      <c r="BW245" s="5">
        <f>IF(A245="","",N(INDEX(Projects[Misc],244)))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  <c r="BZ245" s="5">
        <f>INDEX(Projects[Solution Type],244)&amp;""</f>
        <v/>
      </c>
      <c r="CA245" s="5">
        <f>INDEX(Projects[Client / Region],244)&amp;""</f>
        <v/>
      </c>
      <c r="CB245" s="5">
        <f>INDEX(Projects[Year],244)</f>
        <v/>
      </c>
      <c r="CC245" s="5">
        <f>INDEX(Projects[Won?],244)&amp;""</f>
        <v/>
      </c>
      <c r="CD245" s="5">
        <f>INDEX(Projects[Value (USD M)],244)</f>
        <v/>
      </c>
      <c r="CE245" s="5">
        <f>INDEX(Projects[MH Data Status],244)&amp;""</f>
        <v/>
      </c>
    </row>
    <row r="246" ht="15" customHeight="1" s="74">
      <c r="A246" s="66">
        <f>INDEX(Projects[Project ID *],245)&amp;""</f>
        <v/>
      </c>
      <c r="B246" s="66">
        <f>INDEX(Projects[Project Name *],245)&amp;""</f>
        <v/>
      </c>
      <c r="C246" s="66">
        <f>INDEX(Projects[MS Shuttles],245)</f>
        <v/>
      </c>
      <c r="D246" s="66">
        <f>INDEX(Projects[MS Tote Locations],245)</f>
        <v/>
      </c>
      <c r="E246" s="66">
        <f>INDEX(Projects[AS Robots],245)</f>
        <v/>
      </c>
      <c r="F246" s="66">
        <f>INDEX(Projects[AS Tote Locations],245)</f>
        <v/>
      </c>
      <c r="G246" s="66">
        <f>INDEX(Projects[PS Shuttles],245)</f>
        <v/>
      </c>
      <c r="H246" s="66">
        <f>INDEX(Projects[PS Pallet Locations],245)</f>
        <v/>
      </c>
      <c r="I246" s="66">
        <f>INDEX(Projects[SRM Cranes],245)</f>
        <v/>
      </c>
      <c r="J246" s="66">
        <f>INDEX(Projects[SRM Pallet Locations],245)</f>
        <v/>
      </c>
      <c r="K246" s="66">
        <f>INDEX(Projects[Case Conv (m)],245)</f>
        <v/>
      </c>
      <c r="L246" s="66">
        <f>INDEX(Projects[Pallet Conv (m)],245)</f>
        <v/>
      </c>
      <c r="M246" s="66">
        <f>INDEX(Projects[Mech Eng (wks)],245)</f>
        <v/>
      </c>
      <c r="N246" s="66">
        <f>INDEX(Projects[Controls Eng (wks)],245)</f>
        <v/>
      </c>
      <c r="O246" s="66">
        <f>INDEX(Projects[Systems Eng (wks)],245)</f>
        <v/>
      </c>
      <c r="P246" s="66">
        <f>INDEX(Projects[Software Eng (wks)],245)</f>
        <v/>
      </c>
      <c r="Q246" s="66">
        <f>INDEX(Projects[M&amp;E Installation (wks)],245)</f>
        <v/>
      </c>
      <c r="R246" s="66">
        <f>INDEX(Projects[Commissioning (wks)],245)</f>
        <v/>
      </c>
      <c r="S246" s="66">
        <f>INDEX(Projects[Total Timeline (wks)],245)</f>
        <v/>
      </c>
      <c r="T246" s="66">
        <f>INDEX(Projects[Currency],245)&amp;""</f>
        <v/>
      </c>
      <c r="U246" s="67">
        <f>INDEX(Projects[Value (M)],245)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INDEX(Projects[Automation Equipment],245)&amp;""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IF(AND(A246&lt;&gt;"",OR('Smart Search'!$L$5="",'Smart Search'!$L$5="All",TRIM(BZ246)=TRIM('Smart Search'!$L$5)),OR(TRIM('Smart Search'!$L$6)="",TRIM('Smart Search'!$L$6)="All",ISNUMBER(SEARCH(SUBSTITUTE(SUBSTITUTE(SUBSTITUTE(TRIM('Smart Search'!$L$6),"~","~~"),"*","~*"),"?","~?"),CA246))),OR('Smart Search'!$L$7="",AND(CB246&lt;&gt;0,CB246='Smart Search'!$L$7)),OR('Smart Search'!$L$8="",'Smart Search'!$L$8="All",TRIM(CC246)=TRIM('Smart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IF(A246="","",N(INDEX(Projects[Mech Inst],245)))</f>
        <v/>
      </c>
      <c r="BK246" s="5">
        <f>IF(A246="","",N(INDEX(Projects[Elec Inst],245)))</f>
        <v/>
      </c>
      <c r="BL246" s="5">
        <f>IF(A246="","",N(INDEX(Projects[Project Management],245)))</f>
        <v/>
      </c>
      <c r="BM246" s="5">
        <f>IF(A246="","",N(INDEX(Projects[Systems Eng],245)))</f>
        <v/>
      </c>
      <c r="BN246" s="5">
        <f>IF(A246="","",N(INDEX(Projects[Mechanical Eng],245)))</f>
        <v/>
      </c>
      <c r="BO246" s="5">
        <f>IF(A246="","",N(INDEX(Projects[Structural Engineering],245)))</f>
        <v/>
      </c>
      <c r="BP246" s="5">
        <f>IF(A246="","",N(INDEX(Projects[Site Sup],245)))</f>
        <v/>
      </c>
      <c r="BQ246" s="5">
        <f>IF(A246="","",N(INDEX(Projects[Controls Commissioning],245)))</f>
        <v/>
      </c>
      <c r="BR246" s="5">
        <f>IF(A246="","",N(INDEX(Projects[Systems Commissioning],245)))</f>
        <v/>
      </c>
      <c r="BS246" s="5">
        <f>IF(A246="","",N(INDEX(Projects[Service Commissioning],245)))</f>
        <v/>
      </c>
      <c r="BT246" s="5">
        <f>IF(A246="","",N(INDEX(Projects[Controls Eng],245)))</f>
        <v/>
      </c>
      <c r="BU246" s="5">
        <f>IF(A246="","",N(INDEX(Projects[Controls Purchase],245)))</f>
        <v/>
      </c>
      <c r="BV246" s="5">
        <f>IF(A246="","",N(INDEX(Projects[Software Eng],245)))</f>
        <v/>
      </c>
      <c r="BW246" s="5">
        <f>IF(A246="","",N(INDEX(Projects[Misc],245)))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  <c r="BZ246" s="5">
        <f>INDEX(Projects[Solution Type],245)&amp;""</f>
        <v/>
      </c>
      <c r="CA246" s="5">
        <f>INDEX(Projects[Client / Region],245)&amp;""</f>
        <v/>
      </c>
      <c r="CB246" s="5">
        <f>INDEX(Projects[Year],245)</f>
        <v/>
      </c>
      <c r="CC246" s="5">
        <f>INDEX(Projects[Won?],245)&amp;""</f>
        <v/>
      </c>
      <c r="CD246" s="5">
        <f>INDEX(Projects[Value (USD M)],245)</f>
        <v/>
      </c>
      <c r="CE246" s="5">
        <f>INDEX(Projects[MH Data Status],245)&amp;""</f>
        <v/>
      </c>
    </row>
    <row r="247" ht="15" customHeight="1" s="74">
      <c r="A247" s="66">
        <f>INDEX(Projects[Project ID *],246)&amp;""</f>
        <v/>
      </c>
      <c r="B247" s="66">
        <f>INDEX(Projects[Project Name *],246)&amp;""</f>
        <v/>
      </c>
      <c r="C247" s="66">
        <f>INDEX(Projects[MS Shuttles],246)</f>
        <v/>
      </c>
      <c r="D247" s="66">
        <f>INDEX(Projects[MS Tote Locations],246)</f>
        <v/>
      </c>
      <c r="E247" s="66">
        <f>INDEX(Projects[AS Robots],246)</f>
        <v/>
      </c>
      <c r="F247" s="66">
        <f>INDEX(Projects[AS Tote Locations],246)</f>
        <v/>
      </c>
      <c r="G247" s="66">
        <f>INDEX(Projects[PS Shuttles],246)</f>
        <v/>
      </c>
      <c r="H247" s="66">
        <f>INDEX(Projects[PS Pallet Locations],246)</f>
        <v/>
      </c>
      <c r="I247" s="66">
        <f>INDEX(Projects[SRM Cranes],246)</f>
        <v/>
      </c>
      <c r="J247" s="66">
        <f>INDEX(Projects[SRM Pallet Locations],246)</f>
        <v/>
      </c>
      <c r="K247" s="66">
        <f>INDEX(Projects[Case Conv (m)],246)</f>
        <v/>
      </c>
      <c r="L247" s="66">
        <f>INDEX(Projects[Pallet Conv (m)],246)</f>
        <v/>
      </c>
      <c r="M247" s="66">
        <f>INDEX(Projects[Mech Eng (wks)],246)</f>
        <v/>
      </c>
      <c r="N247" s="66">
        <f>INDEX(Projects[Controls Eng (wks)],246)</f>
        <v/>
      </c>
      <c r="O247" s="66">
        <f>INDEX(Projects[Systems Eng (wks)],246)</f>
        <v/>
      </c>
      <c r="P247" s="66">
        <f>INDEX(Projects[Software Eng (wks)],246)</f>
        <v/>
      </c>
      <c r="Q247" s="66">
        <f>INDEX(Projects[M&amp;E Installation (wks)],246)</f>
        <v/>
      </c>
      <c r="R247" s="66">
        <f>INDEX(Projects[Commissioning (wks)],246)</f>
        <v/>
      </c>
      <c r="S247" s="66">
        <f>INDEX(Projects[Total Timeline (wks)],246)</f>
        <v/>
      </c>
      <c r="T247" s="66">
        <f>INDEX(Projects[Currency],246)&amp;""</f>
        <v/>
      </c>
      <c r="U247" s="67">
        <f>INDEX(Projects[Value (M)],246)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INDEX(Projects[Automation Equipment],246)&amp;""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IF(AND(A247&lt;&gt;"",OR('Smart Search'!$L$5="",'Smart Search'!$L$5="All",TRIM(BZ247)=TRIM('Smart Search'!$L$5)),OR(TRIM('Smart Search'!$L$6)="",TRIM('Smart Search'!$L$6)="All",ISNUMBER(SEARCH(SUBSTITUTE(SUBSTITUTE(SUBSTITUTE(TRIM('Smart Search'!$L$6),"~","~~"),"*","~*"),"?","~?"),CA247))),OR('Smart Search'!$L$7="",AND(CB247&lt;&gt;0,CB247='Smart Search'!$L$7)),OR('Smart Search'!$L$8="",'Smart Search'!$L$8="All",TRIM(CC247)=TRIM('Smart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IF(A247="","",N(INDEX(Projects[Mech Inst],246)))</f>
        <v/>
      </c>
      <c r="BK247" s="5">
        <f>IF(A247="","",N(INDEX(Projects[Elec Inst],246)))</f>
        <v/>
      </c>
      <c r="BL247" s="5">
        <f>IF(A247="","",N(INDEX(Projects[Project Management],246)))</f>
        <v/>
      </c>
      <c r="BM247" s="5">
        <f>IF(A247="","",N(INDEX(Projects[Systems Eng],246)))</f>
        <v/>
      </c>
      <c r="BN247" s="5">
        <f>IF(A247="","",N(INDEX(Projects[Mechanical Eng],246)))</f>
        <v/>
      </c>
      <c r="BO247" s="5">
        <f>IF(A247="","",N(INDEX(Projects[Structural Engineering],246)))</f>
        <v/>
      </c>
      <c r="BP247" s="5">
        <f>IF(A247="","",N(INDEX(Projects[Site Sup],246)))</f>
        <v/>
      </c>
      <c r="BQ247" s="5">
        <f>IF(A247="","",N(INDEX(Projects[Controls Commissioning],246)))</f>
        <v/>
      </c>
      <c r="BR247" s="5">
        <f>IF(A247="","",N(INDEX(Projects[Systems Commissioning],246)))</f>
        <v/>
      </c>
      <c r="BS247" s="5">
        <f>IF(A247="","",N(INDEX(Projects[Service Commissioning],246)))</f>
        <v/>
      </c>
      <c r="BT247" s="5">
        <f>IF(A247="","",N(INDEX(Projects[Controls Eng],246)))</f>
        <v/>
      </c>
      <c r="BU247" s="5">
        <f>IF(A247="","",N(INDEX(Projects[Controls Purchase],246)))</f>
        <v/>
      </c>
      <c r="BV247" s="5">
        <f>IF(A247="","",N(INDEX(Projects[Software Eng],246)))</f>
        <v/>
      </c>
      <c r="BW247" s="5">
        <f>IF(A247="","",N(INDEX(Projects[Misc],246)))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  <c r="BZ247" s="5">
        <f>INDEX(Projects[Solution Type],246)&amp;""</f>
        <v/>
      </c>
      <c r="CA247" s="5">
        <f>INDEX(Projects[Client / Region],246)&amp;""</f>
        <v/>
      </c>
      <c r="CB247" s="5">
        <f>INDEX(Projects[Year],246)</f>
        <v/>
      </c>
      <c r="CC247" s="5">
        <f>INDEX(Projects[Won?],246)&amp;""</f>
        <v/>
      </c>
      <c r="CD247" s="5">
        <f>INDEX(Projects[Value (USD M)],246)</f>
        <v/>
      </c>
      <c r="CE247" s="5">
        <f>INDEX(Projects[MH Data Status],246)&amp;""</f>
        <v/>
      </c>
    </row>
    <row r="248" ht="15" customHeight="1" s="74">
      <c r="A248" s="66">
        <f>INDEX(Projects[Project ID *],247)&amp;""</f>
        <v/>
      </c>
      <c r="B248" s="66">
        <f>INDEX(Projects[Project Name *],247)&amp;""</f>
        <v/>
      </c>
      <c r="C248" s="66">
        <f>INDEX(Projects[MS Shuttles],247)</f>
        <v/>
      </c>
      <c r="D248" s="66">
        <f>INDEX(Projects[MS Tote Locations],247)</f>
        <v/>
      </c>
      <c r="E248" s="66">
        <f>INDEX(Projects[AS Robots],247)</f>
        <v/>
      </c>
      <c r="F248" s="66">
        <f>INDEX(Projects[AS Tote Locations],247)</f>
        <v/>
      </c>
      <c r="G248" s="66">
        <f>INDEX(Projects[PS Shuttles],247)</f>
        <v/>
      </c>
      <c r="H248" s="66">
        <f>INDEX(Projects[PS Pallet Locations],247)</f>
        <v/>
      </c>
      <c r="I248" s="66">
        <f>INDEX(Projects[SRM Cranes],247)</f>
        <v/>
      </c>
      <c r="J248" s="66">
        <f>INDEX(Projects[SRM Pallet Locations],247)</f>
        <v/>
      </c>
      <c r="K248" s="66">
        <f>INDEX(Projects[Case Conv (m)],247)</f>
        <v/>
      </c>
      <c r="L248" s="66">
        <f>INDEX(Projects[Pallet Conv (m)],247)</f>
        <v/>
      </c>
      <c r="M248" s="66">
        <f>INDEX(Projects[Mech Eng (wks)],247)</f>
        <v/>
      </c>
      <c r="N248" s="66">
        <f>INDEX(Projects[Controls Eng (wks)],247)</f>
        <v/>
      </c>
      <c r="O248" s="66">
        <f>INDEX(Projects[Systems Eng (wks)],247)</f>
        <v/>
      </c>
      <c r="P248" s="66">
        <f>INDEX(Projects[Software Eng (wks)],247)</f>
        <v/>
      </c>
      <c r="Q248" s="66">
        <f>INDEX(Projects[M&amp;E Installation (wks)],247)</f>
        <v/>
      </c>
      <c r="R248" s="66">
        <f>INDEX(Projects[Commissioning (wks)],247)</f>
        <v/>
      </c>
      <c r="S248" s="66">
        <f>INDEX(Projects[Total Timeline (wks)],247)</f>
        <v/>
      </c>
      <c r="T248" s="66">
        <f>INDEX(Projects[Currency],247)&amp;""</f>
        <v/>
      </c>
      <c r="U248" s="67">
        <f>INDEX(Projects[Value (M)],247)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INDEX(Projects[Automation Equipment],247)&amp;""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IF(AND(A248&lt;&gt;"",OR('Smart Search'!$L$5="",'Smart Search'!$L$5="All",TRIM(BZ248)=TRIM('Smart Search'!$L$5)),OR(TRIM('Smart Search'!$L$6)="",TRIM('Smart Search'!$L$6)="All",ISNUMBER(SEARCH(SUBSTITUTE(SUBSTITUTE(SUBSTITUTE(TRIM('Smart Search'!$L$6),"~","~~"),"*","~*"),"?","~?"),CA248))),OR('Smart Search'!$L$7="",AND(CB248&lt;&gt;0,CB248='Smart Search'!$L$7)),OR('Smart Search'!$L$8="",'Smart Search'!$L$8="All",TRIM(CC248)=TRIM('Smart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IF(A248="","",N(INDEX(Projects[Mech Inst],247)))</f>
        <v/>
      </c>
      <c r="BK248" s="5">
        <f>IF(A248="","",N(INDEX(Projects[Elec Inst],247)))</f>
        <v/>
      </c>
      <c r="BL248" s="5">
        <f>IF(A248="","",N(INDEX(Projects[Project Management],247)))</f>
        <v/>
      </c>
      <c r="BM248" s="5">
        <f>IF(A248="","",N(INDEX(Projects[Systems Eng],247)))</f>
        <v/>
      </c>
      <c r="BN248" s="5">
        <f>IF(A248="","",N(INDEX(Projects[Mechanical Eng],247)))</f>
        <v/>
      </c>
      <c r="BO248" s="5">
        <f>IF(A248="","",N(INDEX(Projects[Structural Engineering],247)))</f>
        <v/>
      </c>
      <c r="BP248" s="5">
        <f>IF(A248="","",N(INDEX(Projects[Site Sup],247)))</f>
        <v/>
      </c>
      <c r="BQ248" s="5">
        <f>IF(A248="","",N(INDEX(Projects[Controls Commissioning],247)))</f>
        <v/>
      </c>
      <c r="BR248" s="5">
        <f>IF(A248="","",N(INDEX(Projects[Systems Commissioning],247)))</f>
        <v/>
      </c>
      <c r="BS248" s="5">
        <f>IF(A248="","",N(INDEX(Projects[Service Commissioning],247)))</f>
        <v/>
      </c>
      <c r="BT248" s="5">
        <f>IF(A248="","",N(INDEX(Projects[Controls Eng],247)))</f>
        <v/>
      </c>
      <c r="BU248" s="5">
        <f>IF(A248="","",N(INDEX(Projects[Controls Purchase],247)))</f>
        <v/>
      </c>
      <c r="BV248" s="5">
        <f>IF(A248="","",N(INDEX(Projects[Software Eng],247)))</f>
        <v/>
      </c>
      <c r="BW248" s="5">
        <f>IF(A248="","",N(INDEX(Projects[Misc],247)))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  <c r="BZ248" s="5">
        <f>INDEX(Projects[Solution Type],247)&amp;""</f>
        <v/>
      </c>
      <c r="CA248" s="5">
        <f>INDEX(Projects[Client / Region],247)&amp;""</f>
        <v/>
      </c>
      <c r="CB248" s="5">
        <f>INDEX(Projects[Year],247)</f>
        <v/>
      </c>
      <c r="CC248" s="5">
        <f>INDEX(Projects[Won?],247)&amp;""</f>
        <v/>
      </c>
      <c r="CD248" s="5">
        <f>INDEX(Projects[Value (USD M)],247)</f>
        <v/>
      </c>
      <c r="CE248" s="5">
        <f>INDEX(Projects[MH Data Status],247)&amp;""</f>
        <v/>
      </c>
    </row>
    <row r="249" ht="15" customHeight="1" s="74">
      <c r="A249" s="66">
        <f>INDEX(Projects[Project ID *],248)&amp;""</f>
        <v/>
      </c>
      <c r="B249" s="66">
        <f>INDEX(Projects[Project Name *],248)&amp;""</f>
        <v/>
      </c>
      <c r="C249" s="66">
        <f>INDEX(Projects[MS Shuttles],248)</f>
        <v/>
      </c>
      <c r="D249" s="66">
        <f>INDEX(Projects[MS Tote Locations],248)</f>
        <v/>
      </c>
      <c r="E249" s="66">
        <f>INDEX(Projects[AS Robots],248)</f>
        <v/>
      </c>
      <c r="F249" s="66">
        <f>INDEX(Projects[AS Tote Locations],248)</f>
        <v/>
      </c>
      <c r="G249" s="66">
        <f>INDEX(Projects[PS Shuttles],248)</f>
        <v/>
      </c>
      <c r="H249" s="66">
        <f>INDEX(Projects[PS Pallet Locations],248)</f>
        <v/>
      </c>
      <c r="I249" s="66">
        <f>INDEX(Projects[SRM Cranes],248)</f>
        <v/>
      </c>
      <c r="J249" s="66">
        <f>INDEX(Projects[SRM Pallet Locations],248)</f>
        <v/>
      </c>
      <c r="K249" s="66">
        <f>INDEX(Projects[Case Conv (m)],248)</f>
        <v/>
      </c>
      <c r="L249" s="66">
        <f>INDEX(Projects[Pallet Conv (m)],248)</f>
        <v/>
      </c>
      <c r="M249" s="66">
        <f>INDEX(Projects[Mech Eng (wks)],248)</f>
        <v/>
      </c>
      <c r="N249" s="66">
        <f>INDEX(Projects[Controls Eng (wks)],248)</f>
        <v/>
      </c>
      <c r="O249" s="66">
        <f>INDEX(Projects[Systems Eng (wks)],248)</f>
        <v/>
      </c>
      <c r="P249" s="66">
        <f>INDEX(Projects[Software Eng (wks)],248)</f>
        <v/>
      </c>
      <c r="Q249" s="66">
        <f>INDEX(Projects[M&amp;E Installation (wks)],248)</f>
        <v/>
      </c>
      <c r="R249" s="66">
        <f>INDEX(Projects[Commissioning (wks)],248)</f>
        <v/>
      </c>
      <c r="S249" s="66">
        <f>INDEX(Projects[Total Timeline (wks)],248)</f>
        <v/>
      </c>
      <c r="T249" s="66">
        <f>INDEX(Projects[Currency],248)&amp;""</f>
        <v/>
      </c>
      <c r="U249" s="67">
        <f>INDEX(Projects[Value (M)],248)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INDEX(Projects[Automation Equipment],248)&amp;""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IF(AND(A249&lt;&gt;"",OR('Smart Search'!$L$5="",'Smart Search'!$L$5="All",TRIM(BZ249)=TRIM('Smart Search'!$L$5)),OR(TRIM('Smart Search'!$L$6)="",TRIM('Smart Search'!$L$6)="All",ISNUMBER(SEARCH(SUBSTITUTE(SUBSTITUTE(SUBSTITUTE(TRIM('Smart Search'!$L$6),"~","~~"),"*","~*"),"?","~?"),CA249))),OR('Smart Search'!$L$7="",AND(CB249&lt;&gt;0,CB249='Smart Search'!$L$7)),OR('Smart Search'!$L$8="",'Smart Search'!$L$8="All",TRIM(CC249)=TRIM('Smart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IF(A249="","",N(INDEX(Projects[Mech Inst],248)))</f>
        <v/>
      </c>
      <c r="BK249" s="5">
        <f>IF(A249="","",N(INDEX(Projects[Elec Inst],248)))</f>
        <v/>
      </c>
      <c r="BL249" s="5">
        <f>IF(A249="","",N(INDEX(Projects[Project Management],248)))</f>
        <v/>
      </c>
      <c r="BM249" s="5">
        <f>IF(A249="","",N(INDEX(Projects[Systems Eng],248)))</f>
        <v/>
      </c>
      <c r="BN249" s="5">
        <f>IF(A249="","",N(INDEX(Projects[Mechanical Eng],248)))</f>
        <v/>
      </c>
      <c r="BO249" s="5">
        <f>IF(A249="","",N(INDEX(Projects[Structural Engineering],248)))</f>
        <v/>
      </c>
      <c r="BP249" s="5">
        <f>IF(A249="","",N(INDEX(Projects[Site Sup],248)))</f>
        <v/>
      </c>
      <c r="BQ249" s="5">
        <f>IF(A249="","",N(INDEX(Projects[Controls Commissioning],248)))</f>
        <v/>
      </c>
      <c r="BR249" s="5">
        <f>IF(A249="","",N(INDEX(Projects[Systems Commissioning],248)))</f>
        <v/>
      </c>
      <c r="BS249" s="5">
        <f>IF(A249="","",N(INDEX(Projects[Service Commissioning],248)))</f>
        <v/>
      </c>
      <c r="BT249" s="5">
        <f>IF(A249="","",N(INDEX(Projects[Controls Eng],248)))</f>
        <v/>
      </c>
      <c r="BU249" s="5">
        <f>IF(A249="","",N(INDEX(Projects[Controls Purchase],248)))</f>
        <v/>
      </c>
      <c r="BV249" s="5">
        <f>IF(A249="","",N(INDEX(Projects[Software Eng],248)))</f>
        <v/>
      </c>
      <c r="BW249" s="5">
        <f>IF(A249="","",N(INDEX(Projects[Misc],248)))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  <c r="BZ249" s="5">
        <f>INDEX(Projects[Solution Type],248)&amp;""</f>
        <v/>
      </c>
      <c r="CA249" s="5">
        <f>INDEX(Projects[Client / Region],248)&amp;""</f>
        <v/>
      </c>
      <c r="CB249" s="5">
        <f>INDEX(Projects[Year],248)</f>
        <v/>
      </c>
      <c r="CC249" s="5">
        <f>INDEX(Projects[Won?],248)&amp;""</f>
        <v/>
      </c>
      <c r="CD249" s="5">
        <f>INDEX(Projects[Value (USD M)],248)</f>
        <v/>
      </c>
      <c r="CE249" s="5">
        <f>INDEX(Projects[MH Data Status],248)&amp;""</f>
        <v/>
      </c>
    </row>
    <row r="250" ht="15" customHeight="1" s="74">
      <c r="A250" s="66">
        <f>INDEX(Projects[Project ID *],249)&amp;""</f>
        <v/>
      </c>
      <c r="B250" s="66">
        <f>INDEX(Projects[Project Name *],249)&amp;""</f>
        <v/>
      </c>
      <c r="C250" s="66">
        <f>INDEX(Projects[MS Shuttles],249)</f>
        <v/>
      </c>
      <c r="D250" s="66">
        <f>INDEX(Projects[MS Tote Locations],249)</f>
        <v/>
      </c>
      <c r="E250" s="66">
        <f>INDEX(Projects[AS Robots],249)</f>
        <v/>
      </c>
      <c r="F250" s="66">
        <f>INDEX(Projects[AS Tote Locations],249)</f>
        <v/>
      </c>
      <c r="G250" s="66">
        <f>INDEX(Projects[PS Shuttles],249)</f>
        <v/>
      </c>
      <c r="H250" s="66">
        <f>INDEX(Projects[PS Pallet Locations],249)</f>
        <v/>
      </c>
      <c r="I250" s="66">
        <f>INDEX(Projects[SRM Cranes],249)</f>
        <v/>
      </c>
      <c r="J250" s="66">
        <f>INDEX(Projects[SRM Pallet Locations],249)</f>
        <v/>
      </c>
      <c r="K250" s="66">
        <f>INDEX(Projects[Case Conv (m)],249)</f>
        <v/>
      </c>
      <c r="L250" s="66">
        <f>INDEX(Projects[Pallet Conv (m)],249)</f>
        <v/>
      </c>
      <c r="M250" s="66">
        <f>INDEX(Projects[Mech Eng (wks)],249)</f>
        <v/>
      </c>
      <c r="N250" s="66">
        <f>INDEX(Projects[Controls Eng (wks)],249)</f>
        <v/>
      </c>
      <c r="O250" s="66">
        <f>INDEX(Projects[Systems Eng (wks)],249)</f>
        <v/>
      </c>
      <c r="P250" s="66">
        <f>INDEX(Projects[Software Eng (wks)],249)</f>
        <v/>
      </c>
      <c r="Q250" s="66">
        <f>INDEX(Projects[M&amp;E Installation (wks)],249)</f>
        <v/>
      </c>
      <c r="R250" s="66">
        <f>INDEX(Projects[Commissioning (wks)],249)</f>
        <v/>
      </c>
      <c r="S250" s="66">
        <f>INDEX(Projects[Total Timeline (wks)],249)</f>
        <v/>
      </c>
      <c r="T250" s="66">
        <f>INDEX(Projects[Currency],249)&amp;""</f>
        <v/>
      </c>
      <c r="U250" s="67">
        <f>INDEX(Projects[Value (M)],249)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INDEX(Projects[Automation Equipment],249)&amp;""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IF(AND(A250&lt;&gt;"",OR('Smart Search'!$L$5="",'Smart Search'!$L$5="All",TRIM(BZ250)=TRIM('Smart Search'!$L$5)),OR(TRIM('Smart Search'!$L$6)="",TRIM('Smart Search'!$L$6)="All",ISNUMBER(SEARCH(SUBSTITUTE(SUBSTITUTE(SUBSTITUTE(TRIM('Smart Search'!$L$6),"~","~~"),"*","~*"),"?","~?"),CA250))),OR('Smart Search'!$L$7="",AND(CB250&lt;&gt;0,CB250='Smart Search'!$L$7)),OR('Smart Search'!$L$8="",'Smart Search'!$L$8="All",TRIM(CC250)=TRIM('Smart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IF(A250="","",N(INDEX(Projects[Mech Inst],249)))</f>
        <v/>
      </c>
      <c r="BK250" s="5">
        <f>IF(A250="","",N(INDEX(Projects[Elec Inst],249)))</f>
        <v/>
      </c>
      <c r="BL250" s="5">
        <f>IF(A250="","",N(INDEX(Projects[Project Management],249)))</f>
        <v/>
      </c>
      <c r="BM250" s="5">
        <f>IF(A250="","",N(INDEX(Projects[Systems Eng],249)))</f>
        <v/>
      </c>
      <c r="BN250" s="5">
        <f>IF(A250="","",N(INDEX(Projects[Mechanical Eng],249)))</f>
        <v/>
      </c>
      <c r="BO250" s="5">
        <f>IF(A250="","",N(INDEX(Projects[Structural Engineering],249)))</f>
        <v/>
      </c>
      <c r="BP250" s="5">
        <f>IF(A250="","",N(INDEX(Projects[Site Sup],249)))</f>
        <v/>
      </c>
      <c r="BQ250" s="5">
        <f>IF(A250="","",N(INDEX(Projects[Controls Commissioning],249)))</f>
        <v/>
      </c>
      <c r="BR250" s="5">
        <f>IF(A250="","",N(INDEX(Projects[Systems Commissioning],249)))</f>
        <v/>
      </c>
      <c r="BS250" s="5">
        <f>IF(A250="","",N(INDEX(Projects[Service Commissioning],249)))</f>
        <v/>
      </c>
      <c r="BT250" s="5">
        <f>IF(A250="","",N(INDEX(Projects[Controls Eng],249)))</f>
        <v/>
      </c>
      <c r="BU250" s="5">
        <f>IF(A250="","",N(INDEX(Projects[Controls Purchase],249)))</f>
        <v/>
      </c>
      <c r="BV250" s="5">
        <f>IF(A250="","",N(INDEX(Projects[Software Eng],249)))</f>
        <v/>
      </c>
      <c r="BW250" s="5">
        <f>IF(A250="","",N(INDEX(Projects[Misc],249)))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  <c r="BZ250" s="5">
        <f>INDEX(Projects[Solution Type],249)&amp;""</f>
        <v/>
      </c>
      <c r="CA250" s="5">
        <f>INDEX(Projects[Client / Region],249)&amp;""</f>
        <v/>
      </c>
      <c r="CB250" s="5">
        <f>INDEX(Projects[Year],249)</f>
        <v/>
      </c>
      <c r="CC250" s="5">
        <f>INDEX(Projects[Won?],249)&amp;""</f>
        <v/>
      </c>
      <c r="CD250" s="5">
        <f>INDEX(Projects[Value (USD M)],249)</f>
        <v/>
      </c>
      <c r="CE250" s="5">
        <f>INDEX(Projects[MH Data Status],249)&amp;""</f>
        <v/>
      </c>
    </row>
    <row r="251" ht="15" customHeight="1" s="74">
      <c r="A251" s="66">
        <f>INDEX(Projects[Project ID *],250)&amp;""</f>
        <v/>
      </c>
      <c r="B251" s="66">
        <f>INDEX(Projects[Project Name *],250)&amp;""</f>
        <v/>
      </c>
      <c r="C251" s="66">
        <f>INDEX(Projects[MS Shuttles],250)</f>
        <v/>
      </c>
      <c r="D251" s="66">
        <f>INDEX(Projects[MS Tote Locations],250)</f>
        <v/>
      </c>
      <c r="E251" s="66">
        <f>INDEX(Projects[AS Robots],250)</f>
        <v/>
      </c>
      <c r="F251" s="66">
        <f>INDEX(Projects[AS Tote Locations],250)</f>
        <v/>
      </c>
      <c r="G251" s="66">
        <f>INDEX(Projects[PS Shuttles],250)</f>
        <v/>
      </c>
      <c r="H251" s="66">
        <f>INDEX(Projects[PS Pallet Locations],250)</f>
        <v/>
      </c>
      <c r="I251" s="66">
        <f>INDEX(Projects[SRM Cranes],250)</f>
        <v/>
      </c>
      <c r="J251" s="66">
        <f>INDEX(Projects[SRM Pallet Locations],250)</f>
        <v/>
      </c>
      <c r="K251" s="66">
        <f>INDEX(Projects[Case Conv (m)],250)</f>
        <v/>
      </c>
      <c r="L251" s="66">
        <f>INDEX(Projects[Pallet Conv (m)],250)</f>
        <v/>
      </c>
      <c r="M251" s="66">
        <f>INDEX(Projects[Mech Eng (wks)],250)</f>
        <v/>
      </c>
      <c r="N251" s="66">
        <f>INDEX(Projects[Controls Eng (wks)],250)</f>
        <v/>
      </c>
      <c r="O251" s="66">
        <f>INDEX(Projects[Systems Eng (wks)],250)</f>
        <v/>
      </c>
      <c r="P251" s="66">
        <f>INDEX(Projects[Software Eng (wks)],250)</f>
        <v/>
      </c>
      <c r="Q251" s="66">
        <f>INDEX(Projects[M&amp;E Installation (wks)],250)</f>
        <v/>
      </c>
      <c r="R251" s="66">
        <f>INDEX(Projects[Commissioning (wks)],250)</f>
        <v/>
      </c>
      <c r="S251" s="66">
        <f>INDEX(Projects[Total Timeline (wks)],250)</f>
        <v/>
      </c>
      <c r="T251" s="66">
        <f>INDEX(Projects[Currency],250)&amp;""</f>
        <v/>
      </c>
      <c r="U251" s="67">
        <f>INDEX(Projects[Value (M)],250)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INDEX(Projects[Automation Equipment],250)&amp;""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IF(AND(A251&lt;&gt;"",OR('Smart Search'!$L$5="",'Smart Search'!$L$5="All",TRIM(BZ251)=TRIM('Smart Search'!$L$5)),OR(TRIM('Smart Search'!$L$6)="",TRIM('Smart Search'!$L$6)="All",ISNUMBER(SEARCH(SUBSTITUTE(SUBSTITUTE(SUBSTITUTE(TRIM('Smart Search'!$L$6),"~","~~"),"*","~*"),"?","~?"),CA251))),OR('Smart Search'!$L$7="",AND(CB251&lt;&gt;0,CB251='Smart Search'!$L$7)),OR('Smart Search'!$L$8="",'Smart Search'!$L$8="All",TRIM(CC251)=TRIM('Smart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IF(A251="","",N(INDEX(Projects[Mech Inst],250)))</f>
        <v/>
      </c>
      <c r="BK251" s="5">
        <f>IF(A251="","",N(INDEX(Projects[Elec Inst],250)))</f>
        <v/>
      </c>
      <c r="BL251" s="5">
        <f>IF(A251="","",N(INDEX(Projects[Project Management],250)))</f>
        <v/>
      </c>
      <c r="BM251" s="5">
        <f>IF(A251="","",N(INDEX(Projects[Systems Eng],250)))</f>
        <v/>
      </c>
      <c r="BN251" s="5">
        <f>IF(A251="","",N(INDEX(Projects[Mechanical Eng],250)))</f>
        <v/>
      </c>
      <c r="BO251" s="5">
        <f>IF(A251="","",N(INDEX(Projects[Structural Engineering],250)))</f>
        <v/>
      </c>
      <c r="BP251" s="5">
        <f>IF(A251="","",N(INDEX(Projects[Site Sup],250)))</f>
        <v/>
      </c>
      <c r="BQ251" s="5">
        <f>IF(A251="","",N(INDEX(Projects[Controls Commissioning],250)))</f>
        <v/>
      </c>
      <c r="BR251" s="5">
        <f>IF(A251="","",N(INDEX(Projects[Systems Commissioning],250)))</f>
        <v/>
      </c>
      <c r="BS251" s="5">
        <f>IF(A251="","",N(INDEX(Projects[Service Commissioning],250)))</f>
        <v/>
      </c>
      <c r="BT251" s="5">
        <f>IF(A251="","",N(INDEX(Projects[Controls Eng],250)))</f>
        <v/>
      </c>
      <c r="BU251" s="5">
        <f>IF(A251="","",N(INDEX(Projects[Controls Purchase],250)))</f>
        <v/>
      </c>
      <c r="BV251" s="5">
        <f>IF(A251="","",N(INDEX(Projects[Software Eng],250)))</f>
        <v/>
      </c>
      <c r="BW251" s="5">
        <f>IF(A251="","",N(INDEX(Projects[Misc],250)))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  <c r="BZ251" s="5">
        <f>INDEX(Projects[Solution Type],250)&amp;""</f>
        <v/>
      </c>
      <c r="CA251" s="5">
        <f>INDEX(Projects[Client / Region],250)&amp;""</f>
        <v/>
      </c>
      <c r="CB251" s="5">
        <f>INDEX(Projects[Year],250)</f>
        <v/>
      </c>
      <c r="CC251" s="5">
        <f>INDEX(Projects[Won?],250)&amp;""</f>
        <v/>
      </c>
      <c r="CD251" s="5">
        <f>INDEX(Projects[Value (USD M)],250)</f>
        <v/>
      </c>
      <c r="CE251" s="5">
        <f>INDEX(Projects[MH Data Status],250)&amp;""</f>
        <v/>
      </c>
    </row>
    <row r="252" ht="15" customHeight="1" s="74">
      <c r="A252" s="66">
        <f>INDEX(Projects[Project ID *],251)&amp;""</f>
        <v/>
      </c>
      <c r="B252" s="66">
        <f>INDEX(Projects[Project Name *],251)&amp;""</f>
        <v/>
      </c>
      <c r="C252" s="66">
        <f>INDEX(Projects[MS Shuttles],251)</f>
        <v/>
      </c>
      <c r="D252" s="66">
        <f>INDEX(Projects[MS Tote Locations],251)</f>
        <v/>
      </c>
      <c r="E252" s="66">
        <f>INDEX(Projects[AS Robots],251)</f>
        <v/>
      </c>
      <c r="F252" s="66">
        <f>INDEX(Projects[AS Tote Locations],251)</f>
        <v/>
      </c>
      <c r="G252" s="66">
        <f>INDEX(Projects[PS Shuttles],251)</f>
        <v/>
      </c>
      <c r="H252" s="66">
        <f>INDEX(Projects[PS Pallet Locations],251)</f>
        <v/>
      </c>
      <c r="I252" s="66">
        <f>INDEX(Projects[SRM Cranes],251)</f>
        <v/>
      </c>
      <c r="J252" s="66">
        <f>INDEX(Projects[SRM Pallet Locations],251)</f>
        <v/>
      </c>
      <c r="K252" s="66">
        <f>INDEX(Projects[Case Conv (m)],251)</f>
        <v/>
      </c>
      <c r="L252" s="66">
        <f>INDEX(Projects[Pallet Conv (m)],251)</f>
        <v/>
      </c>
      <c r="M252" s="66">
        <f>INDEX(Projects[Mech Eng (wks)],251)</f>
        <v/>
      </c>
      <c r="N252" s="66">
        <f>INDEX(Projects[Controls Eng (wks)],251)</f>
        <v/>
      </c>
      <c r="O252" s="66">
        <f>INDEX(Projects[Systems Eng (wks)],251)</f>
        <v/>
      </c>
      <c r="P252" s="66">
        <f>INDEX(Projects[Software Eng (wks)],251)</f>
        <v/>
      </c>
      <c r="Q252" s="66">
        <f>INDEX(Projects[M&amp;E Installation (wks)],251)</f>
        <v/>
      </c>
      <c r="R252" s="66">
        <f>INDEX(Projects[Commissioning (wks)],251)</f>
        <v/>
      </c>
      <c r="S252" s="66">
        <f>INDEX(Projects[Total Timeline (wks)],251)</f>
        <v/>
      </c>
      <c r="T252" s="66">
        <f>INDEX(Projects[Currency],251)&amp;""</f>
        <v/>
      </c>
      <c r="U252" s="67">
        <f>INDEX(Projects[Value (M)],251)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INDEX(Projects[Automation Equipment],251)&amp;""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IF(AND(A252&lt;&gt;"",OR('Smart Search'!$L$5="",'Smart Search'!$L$5="All",TRIM(BZ252)=TRIM('Smart Search'!$L$5)),OR(TRIM('Smart Search'!$L$6)="",TRIM('Smart Search'!$L$6)="All",ISNUMBER(SEARCH(SUBSTITUTE(SUBSTITUTE(SUBSTITUTE(TRIM('Smart Search'!$L$6),"~","~~"),"*","~*"),"?","~?"),CA252))),OR('Smart Search'!$L$7="",AND(CB252&lt;&gt;0,CB252='Smart Search'!$L$7)),OR('Smart Search'!$L$8="",'Smart Search'!$L$8="All",TRIM(CC252)=TRIM('Smart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IF(A252="","",N(INDEX(Projects[Mech Inst],251)))</f>
        <v/>
      </c>
      <c r="BK252" s="5">
        <f>IF(A252="","",N(INDEX(Projects[Elec Inst],251)))</f>
        <v/>
      </c>
      <c r="BL252" s="5">
        <f>IF(A252="","",N(INDEX(Projects[Project Management],251)))</f>
        <v/>
      </c>
      <c r="BM252" s="5">
        <f>IF(A252="","",N(INDEX(Projects[Systems Eng],251)))</f>
        <v/>
      </c>
      <c r="BN252" s="5">
        <f>IF(A252="","",N(INDEX(Projects[Mechanical Eng],251)))</f>
        <v/>
      </c>
      <c r="BO252" s="5">
        <f>IF(A252="","",N(INDEX(Projects[Structural Engineering],251)))</f>
        <v/>
      </c>
      <c r="BP252" s="5">
        <f>IF(A252="","",N(INDEX(Projects[Site Sup],251)))</f>
        <v/>
      </c>
      <c r="BQ252" s="5">
        <f>IF(A252="","",N(INDEX(Projects[Controls Commissioning],251)))</f>
        <v/>
      </c>
      <c r="BR252" s="5">
        <f>IF(A252="","",N(INDEX(Projects[Systems Commissioning],251)))</f>
        <v/>
      </c>
      <c r="BS252" s="5">
        <f>IF(A252="","",N(INDEX(Projects[Service Commissioning],251)))</f>
        <v/>
      </c>
      <c r="BT252" s="5">
        <f>IF(A252="","",N(INDEX(Projects[Controls Eng],251)))</f>
        <v/>
      </c>
      <c r="BU252" s="5">
        <f>IF(A252="","",N(INDEX(Projects[Controls Purchase],251)))</f>
        <v/>
      </c>
      <c r="BV252" s="5">
        <f>IF(A252="","",N(INDEX(Projects[Software Eng],251)))</f>
        <v/>
      </c>
      <c r="BW252" s="5">
        <f>IF(A252="","",N(INDEX(Projects[Misc],251)))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  <c r="BZ252" s="5">
        <f>INDEX(Projects[Solution Type],251)&amp;""</f>
        <v/>
      </c>
      <c r="CA252" s="5">
        <f>INDEX(Projects[Client / Region],251)&amp;""</f>
        <v/>
      </c>
      <c r="CB252" s="5">
        <f>INDEX(Projects[Year],251)</f>
        <v/>
      </c>
      <c r="CC252" s="5">
        <f>INDEX(Projects[Won?],251)&amp;""</f>
        <v/>
      </c>
      <c r="CD252" s="5">
        <f>INDEX(Projects[Value (USD M)],251)</f>
        <v/>
      </c>
      <c r="CE252" s="5">
        <f>INDEX(Projects[MH Data Status],251)&amp;""</f>
        <v/>
      </c>
    </row>
    <row r="253" ht="15" customHeight="1" s="74">
      <c r="A253" s="66">
        <f>INDEX(Projects[Project ID *],252)&amp;""</f>
        <v/>
      </c>
      <c r="B253" s="66">
        <f>INDEX(Projects[Project Name *],252)&amp;""</f>
        <v/>
      </c>
      <c r="C253" s="66">
        <f>INDEX(Projects[MS Shuttles],252)</f>
        <v/>
      </c>
      <c r="D253" s="66">
        <f>INDEX(Projects[MS Tote Locations],252)</f>
        <v/>
      </c>
      <c r="E253" s="66">
        <f>INDEX(Projects[AS Robots],252)</f>
        <v/>
      </c>
      <c r="F253" s="66">
        <f>INDEX(Projects[AS Tote Locations],252)</f>
        <v/>
      </c>
      <c r="G253" s="66">
        <f>INDEX(Projects[PS Shuttles],252)</f>
        <v/>
      </c>
      <c r="H253" s="66">
        <f>INDEX(Projects[PS Pallet Locations],252)</f>
        <v/>
      </c>
      <c r="I253" s="66">
        <f>INDEX(Projects[SRM Cranes],252)</f>
        <v/>
      </c>
      <c r="J253" s="66">
        <f>INDEX(Projects[SRM Pallet Locations],252)</f>
        <v/>
      </c>
      <c r="K253" s="66">
        <f>INDEX(Projects[Case Conv (m)],252)</f>
        <v/>
      </c>
      <c r="L253" s="66">
        <f>INDEX(Projects[Pallet Conv (m)],252)</f>
        <v/>
      </c>
      <c r="M253" s="66">
        <f>INDEX(Projects[Mech Eng (wks)],252)</f>
        <v/>
      </c>
      <c r="N253" s="66">
        <f>INDEX(Projects[Controls Eng (wks)],252)</f>
        <v/>
      </c>
      <c r="O253" s="66">
        <f>INDEX(Projects[Systems Eng (wks)],252)</f>
        <v/>
      </c>
      <c r="P253" s="66">
        <f>INDEX(Projects[Software Eng (wks)],252)</f>
        <v/>
      </c>
      <c r="Q253" s="66">
        <f>INDEX(Projects[M&amp;E Installation (wks)],252)</f>
        <v/>
      </c>
      <c r="R253" s="66">
        <f>INDEX(Projects[Commissioning (wks)],252)</f>
        <v/>
      </c>
      <c r="S253" s="66">
        <f>INDEX(Projects[Total Timeline (wks)],252)</f>
        <v/>
      </c>
      <c r="T253" s="66">
        <f>INDEX(Projects[Currency],252)&amp;""</f>
        <v/>
      </c>
      <c r="U253" s="67">
        <f>INDEX(Projects[Value (M)],252)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INDEX(Projects[Automation Equipment],252)&amp;""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IF(AND(A253&lt;&gt;"",OR('Smart Search'!$L$5="",'Smart Search'!$L$5="All",TRIM(BZ253)=TRIM('Smart Search'!$L$5)),OR(TRIM('Smart Search'!$L$6)="",TRIM('Smart Search'!$L$6)="All",ISNUMBER(SEARCH(SUBSTITUTE(SUBSTITUTE(SUBSTITUTE(TRIM('Smart Search'!$L$6),"~","~~"),"*","~*"),"?","~?"),CA253))),OR('Smart Search'!$L$7="",AND(CB253&lt;&gt;0,CB253='Smart Search'!$L$7)),OR('Smart Search'!$L$8="",'Smart Search'!$L$8="All",TRIM(CC253)=TRIM('Smart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IF(A253="","",N(INDEX(Projects[Mech Inst],252)))</f>
        <v/>
      </c>
      <c r="BK253" s="5">
        <f>IF(A253="","",N(INDEX(Projects[Elec Inst],252)))</f>
        <v/>
      </c>
      <c r="BL253" s="5">
        <f>IF(A253="","",N(INDEX(Projects[Project Management],252)))</f>
        <v/>
      </c>
      <c r="BM253" s="5">
        <f>IF(A253="","",N(INDEX(Projects[Systems Eng],252)))</f>
        <v/>
      </c>
      <c r="BN253" s="5">
        <f>IF(A253="","",N(INDEX(Projects[Mechanical Eng],252)))</f>
        <v/>
      </c>
      <c r="BO253" s="5">
        <f>IF(A253="","",N(INDEX(Projects[Structural Engineering],252)))</f>
        <v/>
      </c>
      <c r="BP253" s="5">
        <f>IF(A253="","",N(INDEX(Projects[Site Sup],252)))</f>
        <v/>
      </c>
      <c r="BQ253" s="5">
        <f>IF(A253="","",N(INDEX(Projects[Controls Commissioning],252)))</f>
        <v/>
      </c>
      <c r="BR253" s="5">
        <f>IF(A253="","",N(INDEX(Projects[Systems Commissioning],252)))</f>
        <v/>
      </c>
      <c r="BS253" s="5">
        <f>IF(A253="","",N(INDEX(Projects[Service Commissioning],252)))</f>
        <v/>
      </c>
      <c r="BT253" s="5">
        <f>IF(A253="","",N(INDEX(Projects[Controls Eng],252)))</f>
        <v/>
      </c>
      <c r="BU253" s="5">
        <f>IF(A253="","",N(INDEX(Projects[Controls Purchase],252)))</f>
        <v/>
      </c>
      <c r="BV253" s="5">
        <f>IF(A253="","",N(INDEX(Projects[Software Eng],252)))</f>
        <v/>
      </c>
      <c r="BW253" s="5">
        <f>IF(A253="","",N(INDEX(Projects[Misc],252)))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  <c r="BZ253" s="5">
        <f>INDEX(Projects[Solution Type],252)&amp;""</f>
        <v/>
      </c>
      <c r="CA253" s="5">
        <f>INDEX(Projects[Client / Region],252)&amp;""</f>
        <v/>
      </c>
      <c r="CB253" s="5">
        <f>INDEX(Projects[Year],252)</f>
        <v/>
      </c>
      <c r="CC253" s="5">
        <f>INDEX(Projects[Won?],252)&amp;""</f>
        <v/>
      </c>
      <c r="CD253" s="5">
        <f>INDEX(Projects[Value (USD M)],252)</f>
        <v/>
      </c>
      <c r="CE253" s="5">
        <f>INDEX(Projects[MH Data Status],252)&amp;""</f>
        <v/>
      </c>
    </row>
    <row r="254" ht="15" customHeight="1" s="74">
      <c r="A254" s="66">
        <f>INDEX(Projects[Project ID *],253)&amp;""</f>
        <v/>
      </c>
      <c r="B254" s="66">
        <f>INDEX(Projects[Project Name *],253)&amp;""</f>
        <v/>
      </c>
      <c r="C254" s="66">
        <f>INDEX(Projects[MS Shuttles],253)</f>
        <v/>
      </c>
      <c r="D254" s="66">
        <f>INDEX(Projects[MS Tote Locations],253)</f>
        <v/>
      </c>
      <c r="E254" s="66">
        <f>INDEX(Projects[AS Robots],253)</f>
        <v/>
      </c>
      <c r="F254" s="66">
        <f>INDEX(Projects[AS Tote Locations],253)</f>
        <v/>
      </c>
      <c r="G254" s="66">
        <f>INDEX(Projects[PS Shuttles],253)</f>
        <v/>
      </c>
      <c r="H254" s="66">
        <f>INDEX(Projects[PS Pallet Locations],253)</f>
        <v/>
      </c>
      <c r="I254" s="66">
        <f>INDEX(Projects[SRM Cranes],253)</f>
        <v/>
      </c>
      <c r="J254" s="66">
        <f>INDEX(Projects[SRM Pallet Locations],253)</f>
        <v/>
      </c>
      <c r="K254" s="66">
        <f>INDEX(Projects[Case Conv (m)],253)</f>
        <v/>
      </c>
      <c r="L254" s="66">
        <f>INDEX(Projects[Pallet Conv (m)],253)</f>
        <v/>
      </c>
      <c r="M254" s="66">
        <f>INDEX(Projects[Mech Eng (wks)],253)</f>
        <v/>
      </c>
      <c r="N254" s="66">
        <f>INDEX(Projects[Controls Eng (wks)],253)</f>
        <v/>
      </c>
      <c r="O254" s="66">
        <f>INDEX(Projects[Systems Eng (wks)],253)</f>
        <v/>
      </c>
      <c r="P254" s="66">
        <f>INDEX(Projects[Software Eng (wks)],253)</f>
        <v/>
      </c>
      <c r="Q254" s="66">
        <f>INDEX(Projects[M&amp;E Installation (wks)],253)</f>
        <v/>
      </c>
      <c r="R254" s="66">
        <f>INDEX(Projects[Commissioning (wks)],253)</f>
        <v/>
      </c>
      <c r="S254" s="66">
        <f>INDEX(Projects[Total Timeline (wks)],253)</f>
        <v/>
      </c>
      <c r="T254" s="66">
        <f>INDEX(Projects[Currency],253)&amp;""</f>
        <v/>
      </c>
      <c r="U254" s="67">
        <f>INDEX(Projects[Value (M)],253)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INDEX(Projects[Automation Equipment],253)&amp;""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IF(AND(A254&lt;&gt;"",OR('Smart Search'!$L$5="",'Smart Search'!$L$5="All",TRIM(BZ254)=TRIM('Smart Search'!$L$5)),OR(TRIM('Smart Search'!$L$6)="",TRIM('Smart Search'!$L$6)="All",ISNUMBER(SEARCH(SUBSTITUTE(SUBSTITUTE(SUBSTITUTE(TRIM('Smart Search'!$L$6),"~","~~"),"*","~*"),"?","~?"),CA254))),OR('Smart Search'!$L$7="",AND(CB254&lt;&gt;0,CB254='Smart Search'!$L$7)),OR('Smart Search'!$L$8="",'Smart Search'!$L$8="All",TRIM(CC254)=TRIM('Smart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IF(A254="","",N(INDEX(Projects[Mech Inst],253)))</f>
        <v/>
      </c>
      <c r="BK254" s="5">
        <f>IF(A254="","",N(INDEX(Projects[Elec Inst],253)))</f>
        <v/>
      </c>
      <c r="BL254" s="5">
        <f>IF(A254="","",N(INDEX(Projects[Project Management],253)))</f>
        <v/>
      </c>
      <c r="BM254" s="5">
        <f>IF(A254="","",N(INDEX(Projects[Systems Eng],253)))</f>
        <v/>
      </c>
      <c r="BN254" s="5">
        <f>IF(A254="","",N(INDEX(Projects[Mechanical Eng],253)))</f>
        <v/>
      </c>
      <c r="BO254" s="5">
        <f>IF(A254="","",N(INDEX(Projects[Structural Engineering],253)))</f>
        <v/>
      </c>
      <c r="BP254" s="5">
        <f>IF(A254="","",N(INDEX(Projects[Site Sup],253)))</f>
        <v/>
      </c>
      <c r="BQ254" s="5">
        <f>IF(A254="","",N(INDEX(Projects[Controls Commissioning],253)))</f>
        <v/>
      </c>
      <c r="BR254" s="5">
        <f>IF(A254="","",N(INDEX(Projects[Systems Commissioning],253)))</f>
        <v/>
      </c>
      <c r="BS254" s="5">
        <f>IF(A254="","",N(INDEX(Projects[Service Commissioning],253)))</f>
        <v/>
      </c>
      <c r="BT254" s="5">
        <f>IF(A254="","",N(INDEX(Projects[Controls Eng],253)))</f>
        <v/>
      </c>
      <c r="BU254" s="5">
        <f>IF(A254="","",N(INDEX(Projects[Controls Purchase],253)))</f>
        <v/>
      </c>
      <c r="BV254" s="5">
        <f>IF(A254="","",N(INDEX(Projects[Software Eng],253)))</f>
        <v/>
      </c>
      <c r="BW254" s="5">
        <f>IF(A254="","",N(INDEX(Projects[Misc],253)))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  <c r="BZ254" s="5">
        <f>INDEX(Projects[Solution Type],253)&amp;""</f>
        <v/>
      </c>
      <c r="CA254" s="5">
        <f>INDEX(Projects[Client / Region],253)&amp;""</f>
        <v/>
      </c>
      <c r="CB254" s="5">
        <f>INDEX(Projects[Year],253)</f>
        <v/>
      </c>
      <c r="CC254" s="5">
        <f>INDEX(Projects[Won?],253)&amp;""</f>
        <v/>
      </c>
      <c r="CD254" s="5">
        <f>INDEX(Projects[Value (USD M)],253)</f>
        <v/>
      </c>
      <c r="CE254" s="5">
        <f>INDEX(Projects[MH Data Status],253)&amp;""</f>
        <v/>
      </c>
    </row>
    <row r="255" ht="15" customHeight="1" s="74">
      <c r="A255" s="66">
        <f>INDEX(Projects[Project ID *],254)&amp;""</f>
        <v/>
      </c>
      <c r="B255" s="66">
        <f>INDEX(Projects[Project Name *],254)&amp;""</f>
        <v/>
      </c>
      <c r="C255" s="66">
        <f>INDEX(Projects[MS Shuttles],254)</f>
        <v/>
      </c>
      <c r="D255" s="66">
        <f>INDEX(Projects[MS Tote Locations],254)</f>
        <v/>
      </c>
      <c r="E255" s="66">
        <f>INDEX(Projects[AS Robots],254)</f>
        <v/>
      </c>
      <c r="F255" s="66">
        <f>INDEX(Projects[AS Tote Locations],254)</f>
        <v/>
      </c>
      <c r="G255" s="66">
        <f>INDEX(Projects[PS Shuttles],254)</f>
        <v/>
      </c>
      <c r="H255" s="66">
        <f>INDEX(Projects[PS Pallet Locations],254)</f>
        <v/>
      </c>
      <c r="I255" s="66">
        <f>INDEX(Projects[SRM Cranes],254)</f>
        <v/>
      </c>
      <c r="J255" s="66">
        <f>INDEX(Projects[SRM Pallet Locations],254)</f>
        <v/>
      </c>
      <c r="K255" s="66">
        <f>INDEX(Projects[Case Conv (m)],254)</f>
        <v/>
      </c>
      <c r="L255" s="66">
        <f>INDEX(Projects[Pallet Conv (m)],254)</f>
        <v/>
      </c>
      <c r="M255" s="66">
        <f>INDEX(Projects[Mech Eng (wks)],254)</f>
        <v/>
      </c>
      <c r="N255" s="66">
        <f>INDEX(Projects[Controls Eng (wks)],254)</f>
        <v/>
      </c>
      <c r="O255" s="66">
        <f>INDEX(Projects[Systems Eng (wks)],254)</f>
        <v/>
      </c>
      <c r="P255" s="66">
        <f>INDEX(Projects[Software Eng (wks)],254)</f>
        <v/>
      </c>
      <c r="Q255" s="66">
        <f>INDEX(Projects[M&amp;E Installation (wks)],254)</f>
        <v/>
      </c>
      <c r="R255" s="66">
        <f>INDEX(Projects[Commissioning (wks)],254)</f>
        <v/>
      </c>
      <c r="S255" s="66">
        <f>INDEX(Projects[Total Timeline (wks)],254)</f>
        <v/>
      </c>
      <c r="T255" s="66">
        <f>INDEX(Projects[Currency],254)&amp;""</f>
        <v/>
      </c>
      <c r="U255" s="67">
        <f>INDEX(Projects[Value (M)],254)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INDEX(Projects[Automation Equipment],254)&amp;""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IF(AND(A255&lt;&gt;"",OR('Smart Search'!$L$5="",'Smart Search'!$L$5="All",TRIM(BZ255)=TRIM('Smart Search'!$L$5)),OR(TRIM('Smart Search'!$L$6)="",TRIM('Smart Search'!$L$6)="All",ISNUMBER(SEARCH(SUBSTITUTE(SUBSTITUTE(SUBSTITUTE(TRIM('Smart Search'!$L$6),"~","~~"),"*","~*"),"?","~?"),CA255))),OR('Smart Search'!$L$7="",AND(CB255&lt;&gt;0,CB255='Smart Search'!$L$7)),OR('Smart Search'!$L$8="",'Smart Search'!$L$8="All",TRIM(CC255)=TRIM('Smart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IF(A255="","",N(INDEX(Projects[Mech Inst],254)))</f>
        <v/>
      </c>
      <c r="BK255" s="5">
        <f>IF(A255="","",N(INDEX(Projects[Elec Inst],254)))</f>
        <v/>
      </c>
      <c r="BL255" s="5">
        <f>IF(A255="","",N(INDEX(Projects[Project Management],254)))</f>
        <v/>
      </c>
      <c r="BM255" s="5">
        <f>IF(A255="","",N(INDEX(Projects[Systems Eng],254)))</f>
        <v/>
      </c>
      <c r="BN255" s="5">
        <f>IF(A255="","",N(INDEX(Projects[Mechanical Eng],254)))</f>
        <v/>
      </c>
      <c r="BO255" s="5">
        <f>IF(A255="","",N(INDEX(Projects[Structural Engineering],254)))</f>
        <v/>
      </c>
      <c r="BP255" s="5">
        <f>IF(A255="","",N(INDEX(Projects[Site Sup],254)))</f>
        <v/>
      </c>
      <c r="BQ255" s="5">
        <f>IF(A255="","",N(INDEX(Projects[Controls Commissioning],254)))</f>
        <v/>
      </c>
      <c r="BR255" s="5">
        <f>IF(A255="","",N(INDEX(Projects[Systems Commissioning],254)))</f>
        <v/>
      </c>
      <c r="BS255" s="5">
        <f>IF(A255="","",N(INDEX(Projects[Service Commissioning],254)))</f>
        <v/>
      </c>
      <c r="BT255" s="5">
        <f>IF(A255="","",N(INDEX(Projects[Controls Eng],254)))</f>
        <v/>
      </c>
      <c r="BU255" s="5">
        <f>IF(A255="","",N(INDEX(Projects[Controls Purchase],254)))</f>
        <v/>
      </c>
      <c r="BV255" s="5">
        <f>IF(A255="","",N(INDEX(Projects[Software Eng],254)))</f>
        <v/>
      </c>
      <c r="BW255" s="5">
        <f>IF(A255="","",N(INDEX(Projects[Misc],254)))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  <c r="BZ255" s="5">
        <f>INDEX(Projects[Solution Type],254)&amp;""</f>
        <v/>
      </c>
      <c r="CA255" s="5">
        <f>INDEX(Projects[Client / Region],254)&amp;""</f>
        <v/>
      </c>
      <c r="CB255" s="5">
        <f>INDEX(Projects[Year],254)</f>
        <v/>
      </c>
      <c r="CC255" s="5">
        <f>INDEX(Projects[Won?],254)&amp;""</f>
        <v/>
      </c>
      <c r="CD255" s="5">
        <f>INDEX(Projects[Value (USD M)],254)</f>
        <v/>
      </c>
      <c r="CE255" s="5">
        <f>INDEX(Projects[MH Data Status],254)&amp;""</f>
        <v/>
      </c>
    </row>
    <row r="256" ht="15" customHeight="1" s="74">
      <c r="A256" s="66">
        <f>INDEX(Projects[Project ID *],255)&amp;""</f>
        <v/>
      </c>
      <c r="B256" s="66">
        <f>INDEX(Projects[Project Name *],255)&amp;""</f>
        <v/>
      </c>
      <c r="C256" s="66">
        <f>INDEX(Projects[MS Shuttles],255)</f>
        <v/>
      </c>
      <c r="D256" s="66">
        <f>INDEX(Projects[MS Tote Locations],255)</f>
        <v/>
      </c>
      <c r="E256" s="66">
        <f>INDEX(Projects[AS Robots],255)</f>
        <v/>
      </c>
      <c r="F256" s="66">
        <f>INDEX(Projects[AS Tote Locations],255)</f>
        <v/>
      </c>
      <c r="G256" s="66">
        <f>INDEX(Projects[PS Shuttles],255)</f>
        <v/>
      </c>
      <c r="H256" s="66">
        <f>INDEX(Projects[PS Pallet Locations],255)</f>
        <v/>
      </c>
      <c r="I256" s="66">
        <f>INDEX(Projects[SRM Cranes],255)</f>
        <v/>
      </c>
      <c r="J256" s="66">
        <f>INDEX(Projects[SRM Pallet Locations],255)</f>
        <v/>
      </c>
      <c r="K256" s="66">
        <f>INDEX(Projects[Case Conv (m)],255)</f>
        <v/>
      </c>
      <c r="L256" s="66">
        <f>INDEX(Projects[Pallet Conv (m)],255)</f>
        <v/>
      </c>
      <c r="M256" s="66">
        <f>INDEX(Projects[Mech Eng (wks)],255)</f>
        <v/>
      </c>
      <c r="N256" s="66">
        <f>INDEX(Projects[Controls Eng (wks)],255)</f>
        <v/>
      </c>
      <c r="O256" s="66">
        <f>INDEX(Projects[Systems Eng (wks)],255)</f>
        <v/>
      </c>
      <c r="P256" s="66">
        <f>INDEX(Projects[Software Eng (wks)],255)</f>
        <v/>
      </c>
      <c r="Q256" s="66">
        <f>INDEX(Projects[M&amp;E Installation (wks)],255)</f>
        <v/>
      </c>
      <c r="R256" s="66">
        <f>INDEX(Projects[Commissioning (wks)],255)</f>
        <v/>
      </c>
      <c r="S256" s="66">
        <f>INDEX(Projects[Total Timeline (wks)],255)</f>
        <v/>
      </c>
      <c r="T256" s="66">
        <f>INDEX(Projects[Currency],255)&amp;""</f>
        <v/>
      </c>
      <c r="U256" s="67">
        <f>INDEX(Projects[Value (M)],255)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INDEX(Projects[Automation Equipment],255)&amp;""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IF(AND(A256&lt;&gt;"",OR('Smart Search'!$L$5="",'Smart Search'!$L$5="All",TRIM(BZ256)=TRIM('Smart Search'!$L$5)),OR(TRIM('Smart Search'!$L$6)="",TRIM('Smart Search'!$L$6)="All",ISNUMBER(SEARCH(SUBSTITUTE(SUBSTITUTE(SUBSTITUTE(TRIM('Smart Search'!$L$6),"~","~~"),"*","~*"),"?","~?"),CA256))),OR('Smart Search'!$L$7="",AND(CB256&lt;&gt;0,CB256='Smart Search'!$L$7)),OR('Smart Search'!$L$8="",'Smart Search'!$L$8="All",TRIM(CC256)=TRIM('Smart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IF(A256="","",N(INDEX(Projects[Mech Inst],255)))</f>
        <v/>
      </c>
      <c r="BK256" s="5">
        <f>IF(A256="","",N(INDEX(Projects[Elec Inst],255)))</f>
        <v/>
      </c>
      <c r="BL256" s="5">
        <f>IF(A256="","",N(INDEX(Projects[Project Management],255)))</f>
        <v/>
      </c>
      <c r="BM256" s="5">
        <f>IF(A256="","",N(INDEX(Projects[Systems Eng],255)))</f>
        <v/>
      </c>
      <c r="BN256" s="5">
        <f>IF(A256="","",N(INDEX(Projects[Mechanical Eng],255)))</f>
        <v/>
      </c>
      <c r="BO256" s="5">
        <f>IF(A256="","",N(INDEX(Projects[Structural Engineering],255)))</f>
        <v/>
      </c>
      <c r="BP256" s="5">
        <f>IF(A256="","",N(INDEX(Projects[Site Sup],255)))</f>
        <v/>
      </c>
      <c r="BQ256" s="5">
        <f>IF(A256="","",N(INDEX(Projects[Controls Commissioning],255)))</f>
        <v/>
      </c>
      <c r="BR256" s="5">
        <f>IF(A256="","",N(INDEX(Projects[Systems Commissioning],255)))</f>
        <v/>
      </c>
      <c r="BS256" s="5">
        <f>IF(A256="","",N(INDEX(Projects[Service Commissioning],255)))</f>
        <v/>
      </c>
      <c r="BT256" s="5">
        <f>IF(A256="","",N(INDEX(Projects[Controls Eng],255)))</f>
        <v/>
      </c>
      <c r="BU256" s="5">
        <f>IF(A256="","",N(INDEX(Projects[Controls Purchase],255)))</f>
        <v/>
      </c>
      <c r="BV256" s="5">
        <f>IF(A256="","",N(INDEX(Projects[Software Eng],255)))</f>
        <v/>
      </c>
      <c r="BW256" s="5">
        <f>IF(A256="","",N(INDEX(Projects[Misc],255)))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  <c r="BZ256" s="5">
        <f>INDEX(Projects[Solution Type],255)&amp;""</f>
        <v/>
      </c>
      <c r="CA256" s="5">
        <f>INDEX(Projects[Client / Region],255)&amp;""</f>
        <v/>
      </c>
      <c r="CB256" s="5">
        <f>INDEX(Projects[Year],255)</f>
        <v/>
      </c>
      <c r="CC256" s="5">
        <f>INDEX(Projects[Won?],255)&amp;""</f>
        <v/>
      </c>
      <c r="CD256" s="5">
        <f>INDEX(Projects[Value (USD M)],255)</f>
        <v/>
      </c>
      <c r="CE256" s="5">
        <f>INDEX(Projects[MH Data Status],255)&amp;""</f>
        <v/>
      </c>
    </row>
    <row r="257" ht="15" customHeight="1" s="74">
      <c r="A257" s="66">
        <f>INDEX(Projects[Project ID *],256)&amp;""</f>
        <v/>
      </c>
      <c r="B257" s="66">
        <f>INDEX(Projects[Project Name *],256)&amp;""</f>
        <v/>
      </c>
      <c r="C257" s="66">
        <f>INDEX(Projects[MS Shuttles],256)</f>
        <v/>
      </c>
      <c r="D257" s="66">
        <f>INDEX(Projects[MS Tote Locations],256)</f>
        <v/>
      </c>
      <c r="E257" s="66">
        <f>INDEX(Projects[AS Robots],256)</f>
        <v/>
      </c>
      <c r="F257" s="66">
        <f>INDEX(Projects[AS Tote Locations],256)</f>
        <v/>
      </c>
      <c r="G257" s="66">
        <f>INDEX(Projects[PS Shuttles],256)</f>
        <v/>
      </c>
      <c r="H257" s="66">
        <f>INDEX(Projects[PS Pallet Locations],256)</f>
        <v/>
      </c>
      <c r="I257" s="66">
        <f>INDEX(Projects[SRM Cranes],256)</f>
        <v/>
      </c>
      <c r="J257" s="66">
        <f>INDEX(Projects[SRM Pallet Locations],256)</f>
        <v/>
      </c>
      <c r="K257" s="66">
        <f>INDEX(Projects[Case Conv (m)],256)</f>
        <v/>
      </c>
      <c r="L257" s="66">
        <f>INDEX(Projects[Pallet Conv (m)],256)</f>
        <v/>
      </c>
      <c r="M257" s="66">
        <f>INDEX(Projects[Mech Eng (wks)],256)</f>
        <v/>
      </c>
      <c r="N257" s="66">
        <f>INDEX(Projects[Controls Eng (wks)],256)</f>
        <v/>
      </c>
      <c r="O257" s="66">
        <f>INDEX(Projects[Systems Eng (wks)],256)</f>
        <v/>
      </c>
      <c r="P257" s="66">
        <f>INDEX(Projects[Software Eng (wks)],256)</f>
        <v/>
      </c>
      <c r="Q257" s="66">
        <f>INDEX(Projects[M&amp;E Installation (wks)],256)</f>
        <v/>
      </c>
      <c r="R257" s="66">
        <f>INDEX(Projects[Commissioning (wks)],256)</f>
        <v/>
      </c>
      <c r="S257" s="66">
        <f>INDEX(Projects[Total Timeline (wks)],256)</f>
        <v/>
      </c>
      <c r="T257" s="66">
        <f>INDEX(Projects[Currency],256)&amp;""</f>
        <v/>
      </c>
      <c r="U257" s="67">
        <f>INDEX(Projects[Value (M)],256)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INDEX(Projects[Automation Equipment],256)&amp;""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IF(AND(A257&lt;&gt;"",OR('Smart Search'!$L$5="",'Smart Search'!$L$5="All",TRIM(BZ257)=TRIM('Smart Search'!$L$5)),OR(TRIM('Smart Search'!$L$6)="",TRIM('Smart Search'!$L$6)="All",ISNUMBER(SEARCH(SUBSTITUTE(SUBSTITUTE(SUBSTITUTE(TRIM('Smart Search'!$L$6),"~","~~"),"*","~*"),"?","~?"),CA257))),OR('Smart Search'!$L$7="",AND(CB257&lt;&gt;0,CB257='Smart Search'!$L$7)),OR('Smart Search'!$L$8="",'Smart Search'!$L$8="All",TRIM(CC257)=TRIM('Smart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IF(A257="","",N(INDEX(Projects[Mech Inst],256)))</f>
        <v/>
      </c>
      <c r="BK257" s="5">
        <f>IF(A257="","",N(INDEX(Projects[Elec Inst],256)))</f>
        <v/>
      </c>
      <c r="BL257" s="5">
        <f>IF(A257="","",N(INDEX(Projects[Project Management],256)))</f>
        <v/>
      </c>
      <c r="BM257" s="5">
        <f>IF(A257="","",N(INDEX(Projects[Systems Eng],256)))</f>
        <v/>
      </c>
      <c r="BN257" s="5">
        <f>IF(A257="","",N(INDEX(Projects[Mechanical Eng],256)))</f>
        <v/>
      </c>
      <c r="BO257" s="5">
        <f>IF(A257="","",N(INDEX(Projects[Structural Engineering],256)))</f>
        <v/>
      </c>
      <c r="BP257" s="5">
        <f>IF(A257="","",N(INDEX(Projects[Site Sup],256)))</f>
        <v/>
      </c>
      <c r="BQ257" s="5">
        <f>IF(A257="","",N(INDEX(Projects[Controls Commissioning],256)))</f>
        <v/>
      </c>
      <c r="BR257" s="5">
        <f>IF(A257="","",N(INDEX(Projects[Systems Commissioning],256)))</f>
        <v/>
      </c>
      <c r="BS257" s="5">
        <f>IF(A257="","",N(INDEX(Projects[Service Commissioning],256)))</f>
        <v/>
      </c>
      <c r="BT257" s="5">
        <f>IF(A257="","",N(INDEX(Projects[Controls Eng],256)))</f>
        <v/>
      </c>
      <c r="BU257" s="5">
        <f>IF(A257="","",N(INDEX(Projects[Controls Purchase],256)))</f>
        <v/>
      </c>
      <c r="BV257" s="5">
        <f>IF(A257="","",N(INDEX(Projects[Software Eng],256)))</f>
        <v/>
      </c>
      <c r="BW257" s="5">
        <f>IF(A257="","",N(INDEX(Projects[Misc],256)))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  <c r="BZ257" s="5">
        <f>INDEX(Projects[Solution Type],256)&amp;""</f>
        <v/>
      </c>
      <c r="CA257" s="5">
        <f>INDEX(Projects[Client / Region],256)&amp;""</f>
        <v/>
      </c>
      <c r="CB257" s="5">
        <f>INDEX(Projects[Year],256)</f>
        <v/>
      </c>
      <c r="CC257" s="5">
        <f>INDEX(Projects[Won?],256)&amp;""</f>
        <v/>
      </c>
      <c r="CD257" s="5">
        <f>INDEX(Projects[Value (USD M)],256)</f>
        <v/>
      </c>
      <c r="CE257" s="5">
        <f>INDEX(Projects[MH Data Status],256)&amp;""</f>
        <v/>
      </c>
    </row>
    <row r="258" ht="15" customHeight="1" s="74">
      <c r="A258" s="66">
        <f>INDEX(Projects[Project ID *],257)&amp;""</f>
        <v/>
      </c>
      <c r="B258" s="66">
        <f>INDEX(Projects[Project Name *],257)&amp;""</f>
        <v/>
      </c>
      <c r="C258" s="66">
        <f>INDEX(Projects[MS Shuttles],257)</f>
        <v/>
      </c>
      <c r="D258" s="66">
        <f>INDEX(Projects[MS Tote Locations],257)</f>
        <v/>
      </c>
      <c r="E258" s="66">
        <f>INDEX(Projects[AS Robots],257)</f>
        <v/>
      </c>
      <c r="F258" s="66">
        <f>INDEX(Projects[AS Tote Locations],257)</f>
        <v/>
      </c>
      <c r="G258" s="66">
        <f>INDEX(Projects[PS Shuttles],257)</f>
        <v/>
      </c>
      <c r="H258" s="66">
        <f>INDEX(Projects[PS Pallet Locations],257)</f>
        <v/>
      </c>
      <c r="I258" s="66">
        <f>INDEX(Projects[SRM Cranes],257)</f>
        <v/>
      </c>
      <c r="J258" s="66">
        <f>INDEX(Projects[SRM Pallet Locations],257)</f>
        <v/>
      </c>
      <c r="K258" s="66">
        <f>INDEX(Projects[Case Conv (m)],257)</f>
        <v/>
      </c>
      <c r="L258" s="66">
        <f>INDEX(Projects[Pallet Conv (m)],257)</f>
        <v/>
      </c>
      <c r="M258" s="66">
        <f>INDEX(Projects[Mech Eng (wks)],257)</f>
        <v/>
      </c>
      <c r="N258" s="66">
        <f>INDEX(Projects[Controls Eng (wks)],257)</f>
        <v/>
      </c>
      <c r="O258" s="66">
        <f>INDEX(Projects[Systems Eng (wks)],257)</f>
        <v/>
      </c>
      <c r="P258" s="66">
        <f>INDEX(Projects[Software Eng (wks)],257)</f>
        <v/>
      </c>
      <c r="Q258" s="66">
        <f>INDEX(Projects[M&amp;E Installation (wks)],257)</f>
        <v/>
      </c>
      <c r="R258" s="66">
        <f>INDEX(Projects[Commissioning (wks)],257)</f>
        <v/>
      </c>
      <c r="S258" s="66">
        <f>INDEX(Projects[Total Timeline (wks)],257)</f>
        <v/>
      </c>
      <c r="T258" s="66">
        <f>INDEX(Projects[Currency],257)&amp;""</f>
        <v/>
      </c>
      <c r="U258" s="67">
        <f>INDEX(Projects[Value (M)],257)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INDEX(Projects[Automation Equipment],257)&amp;""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IF(AND(A258&lt;&gt;"",OR('Smart Search'!$L$5="",'Smart Search'!$L$5="All",TRIM(BZ258)=TRIM('Smart Search'!$L$5)),OR(TRIM('Smart Search'!$L$6)="",TRIM('Smart Search'!$L$6)="All",ISNUMBER(SEARCH(SUBSTITUTE(SUBSTITUTE(SUBSTITUTE(TRIM('Smart Search'!$L$6),"~","~~"),"*","~*"),"?","~?"),CA258))),OR('Smart Search'!$L$7="",AND(CB258&lt;&gt;0,CB258='Smart Search'!$L$7)),OR('Smart Search'!$L$8="",'Smart Search'!$L$8="All",TRIM(CC258)=TRIM('Smart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IF(A258="","",N(INDEX(Projects[Mech Inst],257)))</f>
        <v/>
      </c>
      <c r="BK258" s="5">
        <f>IF(A258="","",N(INDEX(Projects[Elec Inst],257)))</f>
        <v/>
      </c>
      <c r="BL258" s="5">
        <f>IF(A258="","",N(INDEX(Projects[Project Management],257)))</f>
        <v/>
      </c>
      <c r="BM258" s="5">
        <f>IF(A258="","",N(INDEX(Projects[Systems Eng],257)))</f>
        <v/>
      </c>
      <c r="BN258" s="5">
        <f>IF(A258="","",N(INDEX(Projects[Mechanical Eng],257)))</f>
        <v/>
      </c>
      <c r="BO258" s="5">
        <f>IF(A258="","",N(INDEX(Projects[Structural Engineering],257)))</f>
        <v/>
      </c>
      <c r="BP258" s="5">
        <f>IF(A258="","",N(INDEX(Projects[Site Sup],257)))</f>
        <v/>
      </c>
      <c r="BQ258" s="5">
        <f>IF(A258="","",N(INDEX(Projects[Controls Commissioning],257)))</f>
        <v/>
      </c>
      <c r="BR258" s="5">
        <f>IF(A258="","",N(INDEX(Projects[Systems Commissioning],257)))</f>
        <v/>
      </c>
      <c r="BS258" s="5">
        <f>IF(A258="","",N(INDEX(Projects[Service Commissioning],257)))</f>
        <v/>
      </c>
      <c r="BT258" s="5">
        <f>IF(A258="","",N(INDEX(Projects[Controls Eng],257)))</f>
        <v/>
      </c>
      <c r="BU258" s="5">
        <f>IF(A258="","",N(INDEX(Projects[Controls Purchase],257)))</f>
        <v/>
      </c>
      <c r="BV258" s="5">
        <f>IF(A258="","",N(INDEX(Projects[Software Eng],257)))</f>
        <v/>
      </c>
      <c r="BW258" s="5">
        <f>IF(A258="","",N(INDEX(Projects[Misc],257)))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  <c r="BZ258" s="5">
        <f>INDEX(Projects[Solution Type],257)&amp;""</f>
        <v/>
      </c>
      <c r="CA258" s="5">
        <f>INDEX(Projects[Client / Region],257)&amp;""</f>
        <v/>
      </c>
      <c r="CB258" s="5">
        <f>INDEX(Projects[Year],257)</f>
        <v/>
      </c>
      <c r="CC258" s="5">
        <f>INDEX(Projects[Won?],257)&amp;""</f>
        <v/>
      </c>
      <c r="CD258" s="5">
        <f>INDEX(Projects[Value (USD M)],257)</f>
        <v/>
      </c>
      <c r="CE258" s="5">
        <f>INDEX(Projects[MH Data Status],257)&amp;""</f>
        <v/>
      </c>
    </row>
    <row r="259" ht="15" customHeight="1" s="74">
      <c r="A259" s="66">
        <f>INDEX(Projects[Project ID *],258)&amp;""</f>
        <v/>
      </c>
      <c r="B259" s="66">
        <f>INDEX(Projects[Project Name *],258)&amp;""</f>
        <v/>
      </c>
      <c r="C259" s="66">
        <f>INDEX(Projects[MS Shuttles],258)</f>
        <v/>
      </c>
      <c r="D259" s="66">
        <f>INDEX(Projects[MS Tote Locations],258)</f>
        <v/>
      </c>
      <c r="E259" s="66">
        <f>INDEX(Projects[AS Robots],258)</f>
        <v/>
      </c>
      <c r="F259" s="66">
        <f>INDEX(Projects[AS Tote Locations],258)</f>
        <v/>
      </c>
      <c r="G259" s="66">
        <f>INDEX(Projects[PS Shuttles],258)</f>
        <v/>
      </c>
      <c r="H259" s="66">
        <f>INDEX(Projects[PS Pallet Locations],258)</f>
        <v/>
      </c>
      <c r="I259" s="66">
        <f>INDEX(Projects[SRM Cranes],258)</f>
        <v/>
      </c>
      <c r="J259" s="66">
        <f>INDEX(Projects[SRM Pallet Locations],258)</f>
        <v/>
      </c>
      <c r="K259" s="66">
        <f>INDEX(Projects[Case Conv (m)],258)</f>
        <v/>
      </c>
      <c r="L259" s="66">
        <f>INDEX(Projects[Pallet Conv (m)],258)</f>
        <v/>
      </c>
      <c r="M259" s="66">
        <f>INDEX(Projects[Mech Eng (wks)],258)</f>
        <v/>
      </c>
      <c r="N259" s="66">
        <f>INDEX(Projects[Controls Eng (wks)],258)</f>
        <v/>
      </c>
      <c r="O259" s="66">
        <f>INDEX(Projects[Systems Eng (wks)],258)</f>
        <v/>
      </c>
      <c r="P259" s="66">
        <f>INDEX(Projects[Software Eng (wks)],258)</f>
        <v/>
      </c>
      <c r="Q259" s="66">
        <f>INDEX(Projects[M&amp;E Installation (wks)],258)</f>
        <v/>
      </c>
      <c r="R259" s="66">
        <f>INDEX(Projects[Commissioning (wks)],258)</f>
        <v/>
      </c>
      <c r="S259" s="66">
        <f>INDEX(Projects[Total Timeline (wks)],258)</f>
        <v/>
      </c>
      <c r="T259" s="66">
        <f>INDEX(Projects[Currency],258)&amp;""</f>
        <v/>
      </c>
      <c r="U259" s="67">
        <f>INDEX(Projects[Value (M)],258)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INDEX(Projects[Automation Equipment],258)&amp;""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IF(AND(A259&lt;&gt;"",OR('Smart Search'!$L$5="",'Smart Search'!$L$5="All",TRIM(BZ259)=TRIM('Smart Search'!$L$5)),OR(TRIM('Smart Search'!$L$6)="",TRIM('Smart Search'!$L$6)="All",ISNUMBER(SEARCH(SUBSTITUTE(SUBSTITUTE(SUBSTITUTE(TRIM('Smart Search'!$L$6),"~","~~"),"*","~*"),"?","~?"),CA259))),OR('Smart Search'!$L$7="",AND(CB259&lt;&gt;0,CB259='Smart Search'!$L$7)),OR('Smart Search'!$L$8="",'Smart Search'!$L$8="All",TRIM(CC259)=TRIM('Smart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IF(A259="","",N(INDEX(Projects[Mech Inst],258)))</f>
        <v/>
      </c>
      <c r="BK259" s="5">
        <f>IF(A259="","",N(INDEX(Projects[Elec Inst],258)))</f>
        <v/>
      </c>
      <c r="BL259" s="5">
        <f>IF(A259="","",N(INDEX(Projects[Project Management],258)))</f>
        <v/>
      </c>
      <c r="BM259" s="5">
        <f>IF(A259="","",N(INDEX(Projects[Systems Eng],258)))</f>
        <v/>
      </c>
      <c r="BN259" s="5">
        <f>IF(A259="","",N(INDEX(Projects[Mechanical Eng],258)))</f>
        <v/>
      </c>
      <c r="BO259" s="5">
        <f>IF(A259="","",N(INDEX(Projects[Structural Engineering],258)))</f>
        <v/>
      </c>
      <c r="BP259" s="5">
        <f>IF(A259="","",N(INDEX(Projects[Site Sup],258)))</f>
        <v/>
      </c>
      <c r="BQ259" s="5">
        <f>IF(A259="","",N(INDEX(Projects[Controls Commissioning],258)))</f>
        <v/>
      </c>
      <c r="BR259" s="5">
        <f>IF(A259="","",N(INDEX(Projects[Systems Commissioning],258)))</f>
        <v/>
      </c>
      <c r="BS259" s="5">
        <f>IF(A259="","",N(INDEX(Projects[Service Commissioning],258)))</f>
        <v/>
      </c>
      <c r="BT259" s="5">
        <f>IF(A259="","",N(INDEX(Projects[Controls Eng],258)))</f>
        <v/>
      </c>
      <c r="BU259" s="5">
        <f>IF(A259="","",N(INDEX(Projects[Controls Purchase],258)))</f>
        <v/>
      </c>
      <c r="BV259" s="5">
        <f>IF(A259="","",N(INDEX(Projects[Software Eng],258)))</f>
        <v/>
      </c>
      <c r="BW259" s="5">
        <f>IF(A259="","",N(INDEX(Projects[Misc],258)))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  <c r="BZ259" s="5">
        <f>INDEX(Projects[Solution Type],258)&amp;""</f>
        <v/>
      </c>
      <c r="CA259" s="5">
        <f>INDEX(Projects[Client / Region],258)&amp;""</f>
        <v/>
      </c>
      <c r="CB259" s="5">
        <f>INDEX(Projects[Year],258)</f>
        <v/>
      </c>
      <c r="CC259" s="5">
        <f>INDEX(Projects[Won?],258)&amp;""</f>
        <v/>
      </c>
      <c r="CD259" s="5">
        <f>INDEX(Projects[Value (USD M)],258)</f>
        <v/>
      </c>
      <c r="CE259" s="5">
        <f>INDEX(Projects[MH Data Status],258)&amp;""</f>
        <v/>
      </c>
    </row>
    <row r="260" ht="15" customHeight="1" s="74">
      <c r="A260" s="66">
        <f>INDEX(Projects[Project ID *],259)&amp;""</f>
        <v/>
      </c>
      <c r="B260" s="66">
        <f>INDEX(Projects[Project Name *],259)&amp;""</f>
        <v/>
      </c>
      <c r="C260" s="66">
        <f>INDEX(Projects[MS Shuttles],259)</f>
        <v/>
      </c>
      <c r="D260" s="66">
        <f>INDEX(Projects[MS Tote Locations],259)</f>
        <v/>
      </c>
      <c r="E260" s="66">
        <f>INDEX(Projects[AS Robots],259)</f>
        <v/>
      </c>
      <c r="F260" s="66">
        <f>INDEX(Projects[AS Tote Locations],259)</f>
        <v/>
      </c>
      <c r="G260" s="66">
        <f>INDEX(Projects[PS Shuttles],259)</f>
        <v/>
      </c>
      <c r="H260" s="66">
        <f>INDEX(Projects[PS Pallet Locations],259)</f>
        <v/>
      </c>
      <c r="I260" s="66">
        <f>INDEX(Projects[SRM Cranes],259)</f>
        <v/>
      </c>
      <c r="J260" s="66">
        <f>INDEX(Projects[SRM Pallet Locations],259)</f>
        <v/>
      </c>
      <c r="K260" s="66">
        <f>INDEX(Projects[Case Conv (m)],259)</f>
        <v/>
      </c>
      <c r="L260" s="66">
        <f>INDEX(Projects[Pallet Conv (m)],259)</f>
        <v/>
      </c>
      <c r="M260" s="66">
        <f>INDEX(Projects[Mech Eng (wks)],259)</f>
        <v/>
      </c>
      <c r="N260" s="66">
        <f>INDEX(Projects[Controls Eng (wks)],259)</f>
        <v/>
      </c>
      <c r="O260" s="66">
        <f>INDEX(Projects[Systems Eng (wks)],259)</f>
        <v/>
      </c>
      <c r="P260" s="66">
        <f>INDEX(Projects[Software Eng (wks)],259)</f>
        <v/>
      </c>
      <c r="Q260" s="66">
        <f>INDEX(Projects[M&amp;E Installation (wks)],259)</f>
        <v/>
      </c>
      <c r="R260" s="66">
        <f>INDEX(Projects[Commissioning (wks)],259)</f>
        <v/>
      </c>
      <c r="S260" s="66">
        <f>INDEX(Projects[Total Timeline (wks)],259)</f>
        <v/>
      </c>
      <c r="T260" s="66">
        <f>INDEX(Projects[Currency],259)&amp;""</f>
        <v/>
      </c>
      <c r="U260" s="67">
        <f>INDEX(Projects[Value (M)],259)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INDEX(Projects[Automation Equipment],259)&amp;""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IF(AND(A260&lt;&gt;"",OR('Smart Search'!$L$5="",'Smart Search'!$L$5="All",TRIM(BZ260)=TRIM('Smart Search'!$L$5)),OR(TRIM('Smart Search'!$L$6)="",TRIM('Smart Search'!$L$6)="All",ISNUMBER(SEARCH(SUBSTITUTE(SUBSTITUTE(SUBSTITUTE(TRIM('Smart Search'!$L$6),"~","~~"),"*","~*"),"?","~?"),CA260))),OR('Smart Search'!$L$7="",AND(CB260&lt;&gt;0,CB260='Smart Search'!$L$7)),OR('Smart Search'!$L$8="",'Smart Search'!$L$8="All",TRIM(CC260)=TRIM('Smart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IF(A260="","",N(INDEX(Projects[Mech Inst],259)))</f>
        <v/>
      </c>
      <c r="BK260" s="5">
        <f>IF(A260="","",N(INDEX(Projects[Elec Inst],259)))</f>
        <v/>
      </c>
      <c r="BL260" s="5">
        <f>IF(A260="","",N(INDEX(Projects[Project Management],259)))</f>
        <v/>
      </c>
      <c r="BM260" s="5">
        <f>IF(A260="","",N(INDEX(Projects[Systems Eng],259)))</f>
        <v/>
      </c>
      <c r="BN260" s="5">
        <f>IF(A260="","",N(INDEX(Projects[Mechanical Eng],259)))</f>
        <v/>
      </c>
      <c r="BO260" s="5">
        <f>IF(A260="","",N(INDEX(Projects[Structural Engineering],259)))</f>
        <v/>
      </c>
      <c r="BP260" s="5">
        <f>IF(A260="","",N(INDEX(Projects[Site Sup],259)))</f>
        <v/>
      </c>
      <c r="BQ260" s="5">
        <f>IF(A260="","",N(INDEX(Projects[Controls Commissioning],259)))</f>
        <v/>
      </c>
      <c r="BR260" s="5">
        <f>IF(A260="","",N(INDEX(Projects[Systems Commissioning],259)))</f>
        <v/>
      </c>
      <c r="BS260" s="5">
        <f>IF(A260="","",N(INDEX(Projects[Service Commissioning],259)))</f>
        <v/>
      </c>
      <c r="BT260" s="5">
        <f>IF(A260="","",N(INDEX(Projects[Controls Eng],259)))</f>
        <v/>
      </c>
      <c r="BU260" s="5">
        <f>IF(A260="","",N(INDEX(Projects[Controls Purchase],259)))</f>
        <v/>
      </c>
      <c r="BV260" s="5">
        <f>IF(A260="","",N(INDEX(Projects[Software Eng],259)))</f>
        <v/>
      </c>
      <c r="BW260" s="5">
        <f>IF(A260="","",N(INDEX(Projects[Misc],259)))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  <c r="BZ260" s="5">
        <f>INDEX(Projects[Solution Type],259)&amp;""</f>
        <v/>
      </c>
      <c r="CA260" s="5">
        <f>INDEX(Projects[Client / Region],259)&amp;""</f>
        <v/>
      </c>
      <c r="CB260" s="5">
        <f>INDEX(Projects[Year],259)</f>
        <v/>
      </c>
      <c r="CC260" s="5">
        <f>INDEX(Projects[Won?],259)&amp;""</f>
        <v/>
      </c>
      <c r="CD260" s="5">
        <f>INDEX(Projects[Value (USD M)],259)</f>
        <v/>
      </c>
      <c r="CE260" s="5">
        <f>INDEX(Projects[MH Data Status],259)&amp;""</f>
        <v/>
      </c>
    </row>
    <row r="261" ht="15" customHeight="1" s="74">
      <c r="A261" s="66">
        <f>INDEX(Projects[Project ID *],260)&amp;""</f>
        <v/>
      </c>
      <c r="B261" s="66">
        <f>INDEX(Projects[Project Name *],260)&amp;""</f>
        <v/>
      </c>
      <c r="C261" s="66">
        <f>INDEX(Projects[MS Shuttles],260)</f>
        <v/>
      </c>
      <c r="D261" s="66">
        <f>INDEX(Projects[MS Tote Locations],260)</f>
        <v/>
      </c>
      <c r="E261" s="66">
        <f>INDEX(Projects[AS Robots],260)</f>
        <v/>
      </c>
      <c r="F261" s="66">
        <f>INDEX(Projects[AS Tote Locations],260)</f>
        <v/>
      </c>
      <c r="G261" s="66">
        <f>INDEX(Projects[PS Shuttles],260)</f>
        <v/>
      </c>
      <c r="H261" s="66">
        <f>INDEX(Projects[PS Pallet Locations],260)</f>
        <v/>
      </c>
      <c r="I261" s="66">
        <f>INDEX(Projects[SRM Cranes],260)</f>
        <v/>
      </c>
      <c r="J261" s="66">
        <f>INDEX(Projects[SRM Pallet Locations],260)</f>
        <v/>
      </c>
      <c r="K261" s="66">
        <f>INDEX(Projects[Case Conv (m)],260)</f>
        <v/>
      </c>
      <c r="L261" s="66">
        <f>INDEX(Projects[Pallet Conv (m)],260)</f>
        <v/>
      </c>
      <c r="M261" s="66">
        <f>INDEX(Projects[Mech Eng (wks)],260)</f>
        <v/>
      </c>
      <c r="N261" s="66">
        <f>INDEX(Projects[Controls Eng (wks)],260)</f>
        <v/>
      </c>
      <c r="O261" s="66">
        <f>INDEX(Projects[Systems Eng (wks)],260)</f>
        <v/>
      </c>
      <c r="P261" s="66">
        <f>INDEX(Projects[Software Eng (wks)],260)</f>
        <v/>
      </c>
      <c r="Q261" s="66">
        <f>INDEX(Projects[M&amp;E Installation (wks)],260)</f>
        <v/>
      </c>
      <c r="R261" s="66">
        <f>INDEX(Projects[Commissioning (wks)],260)</f>
        <v/>
      </c>
      <c r="S261" s="66">
        <f>INDEX(Projects[Total Timeline (wks)],260)</f>
        <v/>
      </c>
      <c r="T261" s="66">
        <f>INDEX(Projects[Currency],260)&amp;""</f>
        <v/>
      </c>
      <c r="U261" s="67">
        <f>INDEX(Projects[Value (M)],260)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INDEX(Projects[Automation Equipment],260)&amp;""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IF(AND(A261&lt;&gt;"",OR('Smart Search'!$L$5="",'Smart Search'!$L$5="All",TRIM(BZ261)=TRIM('Smart Search'!$L$5)),OR(TRIM('Smart Search'!$L$6)="",TRIM('Smart Search'!$L$6)="All",ISNUMBER(SEARCH(SUBSTITUTE(SUBSTITUTE(SUBSTITUTE(TRIM('Smart Search'!$L$6),"~","~~"),"*","~*"),"?","~?"),CA261))),OR('Smart Search'!$L$7="",AND(CB261&lt;&gt;0,CB261='Smart Search'!$L$7)),OR('Smart Search'!$L$8="",'Smart Search'!$L$8="All",TRIM(CC261)=TRIM('Smart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IF(A261="","",N(INDEX(Projects[Mech Inst],260)))</f>
        <v/>
      </c>
      <c r="BK261" s="5">
        <f>IF(A261="","",N(INDEX(Projects[Elec Inst],260)))</f>
        <v/>
      </c>
      <c r="BL261" s="5">
        <f>IF(A261="","",N(INDEX(Projects[Project Management],260)))</f>
        <v/>
      </c>
      <c r="BM261" s="5">
        <f>IF(A261="","",N(INDEX(Projects[Systems Eng],260)))</f>
        <v/>
      </c>
      <c r="BN261" s="5">
        <f>IF(A261="","",N(INDEX(Projects[Mechanical Eng],260)))</f>
        <v/>
      </c>
      <c r="BO261" s="5">
        <f>IF(A261="","",N(INDEX(Projects[Structural Engineering],260)))</f>
        <v/>
      </c>
      <c r="BP261" s="5">
        <f>IF(A261="","",N(INDEX(Projects[Site Sup],260)))</f>
        <v/>
      </c>
      <c r="BQ261" s="5">
        <f>IF(A261="","",N(INDEX(Projects[Controls Commissioning],260)))</f>
        <v/>
      </c>
      <c r="BR261" s="5">
        <f>IF(A261="","",N(INDEX(Projects[Systems Commissioning],260)))</f>
        <v/>
      </c>
      <c r="BS261" s="5">
        <f>IF(A261="","",N(INDEX(Projects[Service Commissioning],260)))</f>
        <v/>
      </c>
      <c r="BT261" s="5">
        <f>IF(A261="","",N(INDEX(Projects[Controls Eng],260)))</f>
        <v/>
      </c>
      <c r="BU261" s="5">
        <f>IF(A261="","",N(INDEX(Projects[Controls Purchase],260)))</f>
        <v/>
      </c>
      <c r="BV261" s="5">
        <f>IF(A261="","",N(INDEX(Projects[Software Eng],260)))</f>
        <v/>
      </c>
      <c r="BW261" s="5">
        <f>IF(A261="","",N(INDEX(Projects[Misc],260)))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  <c r="BZ261" s="5">
        <f>INDEX(Projects[Solution Type],260)&amp;""</f>
        <v/>
      </c>
      <c r="CA261" s="5">
        <f>INDEX(Projects[Client / Region],260)&amp;""</f>
        <v/>
      </c>
      <c r="CB261" s="5">
        <f>INDEX(Projects[Year],260)</f>
        <v/>
      </c>
      <c r="CC261" s="5">
        <f>INDEX(Projects[Won?],260)&amp;""</f>
        <v/>
      </c>
      <c r="CD261" s="5">
        <f>INDEX(Projects[Value (USD M)],260)</f>
        <v/>
      </c>
      <c r="CE261" s="5">
        <f>INDEX(Projects[MH Data Status],260)&amp;""</f>
        <v/>
      </c>
    </row>
    <row r="262" ht="15" customHeight="1" s="74">
      <c r="A262" s="66">
        <f>INDEX(Projects[Project ID *],261)&amp;""</f>
        <v/>
      </c>
      <c r="B262" s="66">
        <f>INDEX(Projects[Project Name *],261)&amp;""</f>
        <v/>
      </c>
      <c r="C262" s="66">
        <f>INDEX(Projects[MS Shuttles],261)</f>
        <v/>
      </c>
      <c r="D262" s="66">
        <f>INDEX(Projects[MS Tote Locations],261)</f>
        <v/>
      </c>
      <c r="E262" s="66">
        <f>INDEX(Projects[AS Robots],261)</f>
        <v/>
      </c>
      <c r="F262" s="66">
        <f>INDEX(Projects[AS Tote Locations],261)</f>
        <v/>
      </c>
      <c r="G262" s="66">
        <f>INDEX(Projects[PS Shuttles],261)</f>
        <v/>
      </c>
      <c r="H262" s="66">
        <f>INDEX(Projects[PS Pallet Locations],261)</f>
        <v/>
      </c>
      <c r="I262" s="66">
        <f>INDEX(Projects[SRM Cranes],261)</f>
        <v/>
      </c>
      <c r="J262" s="66">
        <f>INDEX(Projects[SRM Pallet Locations],261)</f>
        <v/>
      </c>
      <c r="K262" s="66">
        <f>INDEX(Projects[Case Conv (m)],261)</f>
        <v/>
      </c>
      <c r="L262" s="66">
        <f>INDEX(Projects[Pallet Conv (m)],261)</f>
        <v/>
      </c>
      <c r="M262" s="66">
        <f>INDEX(Projects[Mech Eng (wks)],261)</f>
        <v/>
      </c>
      <c r="N262" s="66">
        <f>INDEX(Projects[Controls Eng (wks)],261)</f>
        <v/>
      </c>
      <c r="O262" s="66">
        <f>INDEX(Projects[Systems Eng (wks)],261)</f>
        <v/>
      </c>
      <c r="P262" s="66">
        <f>INDEX(Projects[Software Eng (wks)],261)</f>
        <v/>
      </c>
      <c r="Q262" s="66">
        <f>INDEX(Projects[M&amp;E Installation (wks)],261)</f>
        <v/>
      </c>
      <c r="R262" s="66">
        <f>INDEX(Projects[Commissioning (wks)],261)</f>
        <v/>
      </c>
      <c r="S262" s="66">
        <f>INDEX(Projects[Total Timeline (wks)],261)</f>
        <v/>
      </c>
      <c r="T262" s="66">
        <f>INDEX(Projects[Currency],261)&amp;""</f>
        <v/>
      </c>
      <c r="U262" s="67">
        <f>INDEX(Projects[Value (M)],261)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INDEX(Projects[Automation Equipment],261)&amp;""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IF(AND(A262&lt;&gt;"",OR('Smart Search'!$L$5="",'Smart Search'!$L$5="All",TRIM(BZ262)=TRIM('Smart Search'!$L$5)),OR(TRIM('Smart Search'!$L$6)="",TRIM('Smart Search'!$L$6)="All",ISNUMBER(SEARCH(SUBSTITUTE(SUBSTITUTE(SUBSTITUTE(TRIM('Smart Search'!$L$6),"~","~~"),"*","~*"),"?","~?"),CA262))),OR('Smart Search'!$L$7="",AND(CB262&lt;&gt;0,CB262='Smart Search'!$L$7)),OR('Smart Search'!$L$8="",'Smart Search'!$L$8="All",TRIM(CC262)=TRIM('Smart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IF(A262="","",N(INDEX(Projects[Mech Inst],261)))</f>
        <v/>
      </c>
      <c r="BK262" s="5">
        <f>IF(A262="","",N(INDEX(Projects[Elec Inst],261)))</f>
        <v/>
      </c>
      <c r="BL262" s="5">
        <f>IF(A262="","",N(INDEX(Projects[Project Management],261)))</f>
        <v/>
      </c>
      <c r="BM262" s="5">
        <f>IF(A262="","",N(INDEX(Projects[Systems Eng],261)))</f>
        <v/>
      </c>
      <c r="BN262" s="5">
        <f>IF(A262="","",N(INDEX(Projects[Mechanical Eng],261)))</f>
        <v/>
      </c>
      <c r="BO262" s="5">
        <f>IF(A262="","",N(INDEX(Projects[Structural Engineering],261)))</f>
        <v/>
      </c>
      <c r="BP262" s="5">
        <f>IF(A262="","",N(INDEX(Projects[Site Sup],261)))</f>
        <v/>
      </c>
      <c r="BQ262" s="5">
        <f>IF(A262="","",N(INDEX(Projects[Controls Commissioning],261)))</f>
        <v/>
      </c>
      <c r="BR262" s="5">
        <f>IF(A262="","",N(INDEX(Projects[Systems Commissioning],261)))</f>
        <v/>
      </c>
      <c r="BS262" s="5">
        <f>IF(A262="","",N(INDEX(Projects[Service Commissioning],261)))</f>
        <v/>
      </c>
      <c r="BT262" s="5">
        <f>IF(A262="","",N(INDEX(Projects[Controls Eng],261)))</f>
        <v/>
      </c>
      <c r="BU262" s="5">
        <f>IF(A262="","",N(INDEX(Projects[Controls Purchase],261)))</f>
        <v/>
      </c>
      <c r="BV262" s="5">
        <f>IF(A262="","",N(INDEX(Projects[Software Eng],261)))</f>
        <v/>
      </c>
      <c r="BW262" s="5">
        <f>IF(A262="","",N(INDEX(Projects[Misc],261)))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  <c r="BZ262" s="5">
        <f>INDEX(Projects[Solution Type],261)&amp;""</f>
        <v/>
      </c>
      <c r="CA262" s="5">
        <f>INDEX(Projects[Client / Region],261)&amp;""</f>
        <v/>
      </c>
      <c r="CB262" s="5">
        <f>INDEX(Projects[Year],261)</f>
        <v/>
      </c>
      <c r="CC262" s="5">
        <f>INDEX(Projects[Won?],261)&amp;""</f>
        <v/>
      </c>
      <c r="CD262" s="5">
        <f>INDEX(Projects[Value (USD M)],261)</f>
        <v/>
      </c>
      <c r="CE262" s="5">
        <f>INDEX(Projects[MH Data Status],261)&amp;""</f>
        <v/>
      </c>
    </row>
    <row r="263" ht="15" customHeight="1" s="74">
      <c r="A263" s="66">
        <f>INDEX(Projects[Project ID *],262)&amp;""</f>
        <v/>
      </c>
      <c r="B263" s="66">
        <f>INDEX(Projects[Project Name *],262)&amp;""</f>
        <v/>
      </c>
      <c r="C263" s="66">
        <f>INDEX(Projects[MS Shuttles],262)</f>
        <v/>
      </c>
      <c r="D263" s="66">
        <f>INDEX(Projects[MS Tote Locations],262)</f>
        <v/>
      </c>
      <c r="E263" s="66">
        <f>INDEX(Projects[AS Robots],262)</f>
        <v/>
      </c>
      <c r="F263" s="66">
        <f>INDEX(Projects[AS Tote Locations],262)</f>
        <v/>
      </c>
      <c r="G263" s="66">
        <f>INDEX(Projects[PS Shuttles],262)</f>
        <v/>
      </c>
      <c r="H263" s="66">
        <f>INDEX(Projects[PS Pallet Locations],262)</f>
        <v/>
      </c>
      <c r="I263" s="66">
        <f>INDEX(Projects[SRM Cranes],262)</f>
        <v/>
      </c>
      <c r="J263" s="66">
        <f>INDEX(Projects[SRM Pallet Locations],262)</f>
        <v/>
      </c>
      <c r="K263" s="66">
        <f>INDEX(Projects[Case Conv (m)],262)</f>
        <v/>
      </c>
      <c r="L263" s="66">
        <f>INDEX(Projects[Pallet Conv (m)],262)</f>
        <v/>
      </c>
      <c r="M263" s="66">
        <f>INDEX(Projects[Mech Eng (wks)],262)</f>
        <v/>
      </c>
      <c r="N263" s="66">
        <f>INDEX(Projects[Controls Eng (wks)],262)</f>
        <v/>
      </c>
      <c r="O263" s="66">
        <f>INDEX(Projects[Systems Eng (wks)],262)</f>
        <v/>
      </c>
      <c r="P263" s="66">
        <f>INDEX(Projects[Software Eng (wks)],262)</f>
        <v/>
      </c>
      <c r="Q263" s="66">
        <f>INDEX(Projects[M&amp;E Installation (wks)],262)</f>
        <v/>
      </c>
      <c r="R263" s="66">
        <f>INDEX(Projects[Commissioning (wks)],262)</f>
        <v/>
      </c>
      <c r="S263" s="66">
        <f>INDEX(Projects[Total Timeline (wks)],262)</f>
        <v/>
      </c>
      <c r="T263" s="66">
        <f>INDEX(Projects[Currency],262)&amp;""</f>
        <v/>
      </c>
      <c r="U263" s="67">
        <f>INDEX(Projects[Value (M)],262)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INDEX(Projects[Automation Equipment],262)&amp;""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IF(AND(A263&lt;&gt;"",OR('Smart Search'!$L$5="",'Smart Search'!$L$5="All",TRIM(BZ263)=TRIM('Smart Search'!$L$5)),OR(TRIM('Smart Search'!$L$6)="",TRIM('Smart Search'!$L$6)="All",ISNUMBER(SEARCH(SUBSTITUTE(SUBSTITUTE(SUBSTITUTE(TRIM('Smart Search'!$L$6),"~","~~"),"*","~*"),"?","~?"),CA263))),OR('Smart Search'!$L$7="",AND(CB263&lt;&gt;0,CB263='Smart Search'!$L$7)),OR('Smart Search'!$L$8="",'Smart Search'!$L$8="All",TRIM(CC263)=TRIM('Smart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IF(A263="","",N(INDEX(Projects[Mech Inst],262)))</f>
        <v/>
      </c>
      <c r="BK263" s="5">
        <f>IF(A263="","",N(INDEX(Projects[Elec Inst],262)))</f>
        <v/>
      </c>
      <c r="BL263" s="5">
        <f>IF(A263="","",N(INDEX(Projects[Project Management],262)))</f>
        <v/>
      </c>
      <c r="BM263" s="5">
        <f>IF(A263="","",N(INDEX(Projects[Systems Eng],262)))</f>
        <v/>
      </c>
      <c r="BN263" s="5">
        <f>IF(A263="","",N(INDEX(Projects[Mechanical Eng],262)))</f>
        <v/>
      </c>
      <c r="BO263" s="5">
        <f>IF(A263="","",N(INDEX(Projects[Structural Engineering],262)))</f>
        <v/>
      </c>
      <c r="BP263" s="5">
        <f>IF(A263="","",N(INDEX(Projects[Site Sup],262)))</f>
        <v/>
      </c>
      <c r="BQ263" s="5">
        <f>IF(A263="","",N(INDEX(Projects[Controls Commissioning],262)))</f>
        <v/>
      </c>
      <c r="BR263" s="5">
        <f>IF(A263="","",N(INDEX(Projects[Systems Commissioning],262)))</f>
        <v/>
      </c>
      <c r="BS263" s="5">
        <f>IF(A263="","",N(INDEX(Projects[Service Commissioning],262)))</f>
        <v/>
      </c>
      <c r="BT263" s="5">
        <f>IF(A263="","",N(INDEX(Projects[Controls Eng],262)))</f>
        <v/>
      </c>
      <c r="BU263" s="5">
        <f>IF(A263="","",N(INDEX(Projects[Controls Purchase],262)))</f>
        <v/>
      </c>
      <c r="BV263" s="5">
        <f>IF(A263="","",N(INDEX(Projects[Software Eng],262)))</f>
        <v/>
      </c>
      <c r="BW263" s="5">
        <f>IF(A263="","",N(INDEX(Projects[Misc],262)))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  <c r="BZ263" s="5">
        <f>INDEX(Projects[Solution Type],262)&amp;""</f>
        <v/>
      </c>
      <c r="CA263" s="5">
        <f>INDEX(Projects[Client / Region],262)&amp;""</f>
        <v/>
      </c>
      <c r="CB263" s="5">
        <f>INDEX(Projects[Year],262)</f>
        <v/>
      </c>
      <c r="CC263" s="5">
        <f>INDEX(Projects[Won?],262)&amp;""</f>
        <v/>
      </c>
      <c r="CD263" s="5">
        <f>INDEX(Projects[Value (USD M)],262)</f>
        <v/>
      </c>
      <c r="CE263" s="5">
        <f>INDEX(Projects[MH Data Status],262)&amp;""</f>
        <v/>
      </c>
    </row>
    <row r="264" ht="15" customHeight="1" s="74">
      <c r="A264" s="66">
        <f>INDEX(Projects[Project ID *],263)&amp;""</f>
        <v/>
      </c>
      <c r="B264" s="66">
        <f>INDEX(Projects[Project Name *],263)&amp;""</f>
        <v/>
      </c>
      <c r="C264" s="66">
        <f>INDEX(Projects[MS Shuttles],263)</f>
        <v/>
      </c>
      <c r="D264" s="66">
        <f>INDEX(Projects[MS Tote Locations],263)</f>
        <v/>
      </c>
      <c r="E264" s="66">
        <f>INDEX(Projects[AS Robots],263)</f>
        <v/>
      </c>
      <c r="F264" s="66">
        <f>INDEX(Projects[AS Tote Locations],263)</f>
        <v/>
      </c>
      <c r="G264" s="66">
        <f>INDEX(Projects[PS Shuttles],263)</f>
        <v/>
      </c>
      <c r="H264" s="66">
        <f>INDEX(Projects[PS Pallet Locations],263)</f>
        <v/>
      </c>
      <c r="I264" s="66">
        <f>INDEX(Projects[SRM Cranes],263)</f>
        <v/>
      </c>
      <c r="J264" s="66">
        <f>INDEX(Projects[SRM Pallet Locations],263)</f>
        <v/>
      </c>
      <c r="K264" s="66">
        <f>INDEX(Projects[Case Conv (m)],263)</f>
        <v/>
      </c>
      <c r="L264" s="66">
        <f>INDEX(Projects[Pallet Conv (m)],263)</f>
        <v/>
      </c>
      <c r="M264" s="66">
        <f>INDEX(Projects[Mech Eng (wks)],263)</f>
        <v/>
      </c>
      <c r="N264" s="66">
        <f>INDEX(Projects[Controls Eng (wks)],263)</f>
        <v/>
      </c>
      <c r="O264" s="66">
        <f>INDEX(Projects[Systems Eng (wks)],263)</f>
        <v/>
      </c>
      <c r="P264" s="66">
        <f>INDEX(Projects[Software Eng (wks)],263)</f>
        <v/>
      </c>
      <c r="Q264" s="66">
        <f>INDEX(Projects[M&amp;E Installation (wks)],263)</f>
        <v/>
      </c>
      <c r="R264" s="66">
        <f>INDEX(Projects[Commissioning (wks)],263)</f>
        <v/>
      </c>
      <c r="S264" s="66">
        <f>INDEX(Projects[Total Timeline (wks)],263)</f>
        <v/>
      </c>
      <c r="T264" s="66">
        <f>INDEX(Projects[Currency],263)&amp;""</f>
        <v/>
      </c>
      <c r="U264" s="67">
        <f>INDEX(Projects[Value (M)],263)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INDEX(Projects[Automation Equipment],263)&amp;""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IF(AND(A264&lt;&gt;"",OR('Smart Search'!$L$5="",'Smart Search'!$L$5="All",TRIM(BZ264)=TRIM('Smart Search'!$L$5)),OR(TRIM('Smart Search'!$L$6)="",TRIM('Smart Search'!$L$6)="All",ISNUMBER(SEARCH(SUBSTITUTE(SUBSTITUTE(SUBSTITUTE(TRIM('Smart Search'!$L$6),"~","~~"),"*","~*"),"?","~?"),CA264))),OR('Smart Search'!$L$7="",AND(CB264&lt;&gt;0,CB264='Smart Search'!$L$7)),OR('Smart Search'!$L$8="",'Smart Search'!$L$8="All",TRIM(CC264)=TRIM('Smart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IF(A264="","",N(INDEX(Projects[Mech Inst],263)))</f>
        <v/>
      </c>
      <c r="BK264" s="5">
        <f>IF(A264="","",N(INDEX(Projects[Elec Inst],263)))</f>
        <v/>
      </c>
      <c r="BL264" s="5">
        <f>IF(A264="","",N(INDEX(Projects[Project Management],263)))</f>
        <v/>
      </c>
      <c r="BM264" s="5">
        <f>IF(A264="","",N(INDEX(Projects[Systems Eng],263)))</f>
        <v/>
      </c>
      <c r="BN264" s="5">
        <f>IF(A264="","",N(INDEX(Projects[Mechanical Eng],263)))</f>
        <v/>
      </c>
      <c r="BO264" s="5">
        <f>IF(A264="","",N(INDEX(Projects[Structural Engineering],263)))</f>
        <v/>
      </c>
      <c r="BP264" s="5">
        <f>IF(A264="","",N(INDEX(Projects[Site Sup],263)))</f>
        <v/>
      </c>
      <c r="BQ264" s="5">
        <f>IF(A264="","",N(INDEX(Projects[Controls Commissioning],263)))</f>
        <v/>
      </c>
      <c r="BR264" s="5">
        <f>IF(A264="","",N(INDEX(Projects[Systems Commissioning],263)))</f>
        <v/>
      </c>
      <c r="BS264" s="5">
        <f>IF(A264="","",N(INDEX(Projects[Service Commissioning],263)))</f>
        <v/>
      </c>
      <c r="BT264" s="5">
        <f>IF(A264="","",N(INDEX(Projects[Controls Eng],263)))</f>
        <v/>
      </c>
      <c r="BU264" s="5">
        <f>IF(A264="","",N(INDEX(Projects[Controls Purchase],263)))</f>
        <v/>
      </c>
      <c r="BV264" s="5">
        <f>IF(A264="","",N(INDEX(Projects[Software Eng],263)))</f>
        <v/>
      </c>
      <c r="BW264" s="5">
        <f>IF(A264="","",N(INDEX(Projects[Misc],263)))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  <c r="BZ264" s="5">
        <f>INDEX(Projects[Solution Type],263)&amp;""</f>
        <v/>
      </c>
      <c r="CA264" s="5">
        <f>INDEX(Projects[Client / Region],263)&amp;""</f>
        <v/>
      </c>
      <c r="CB264" s="5">
        <f>INDEX(Projects[Year],263)</f>
        <v/>
      </c>
      <c r="CC264" s="5">
        <f>INDEX(Projects[Won?],263)&amp;""</f>
        <v/>
      </c>
      <c r="CD264" s="5">
        <f>INDEX(Projects[Value (USD M)],263)</f>
        <v/>
      </c>
      <c r="CE264" s="5">
        <f>INDEX(Projects[MH Data Status],263)&amp;""</f>
        <v/>
      </c>
    </row>
    <row r="265" ht="15" customHeight="1" s="74">
      <c r="A265" s="66">
        <f>INDEX(Projects[Project ID *],264)&amp;""</f>
        <v/>
      </c>
      <c r="B265" s="66">
        <f>INDEX(Projects[Project Name *],264)&amp;""</f>
        <v/>
      </c>
      <c r="C265" s="66">
        <f>INDEX(Projects[MS Shuttles],264)</f>
        <v/>
      </c>
      <c r="D265" s="66">
        <f>INDEX(Projects[MS Tote Locations],264)</f>
        <v/>
      </c>
      <c r="E265" s="66">
        <f>INDEX(Projects[AS Robots],264)</f>
        <v/>
      </c>
      <c r="F265" s="66">
        <f>INDEX(Projects[AS Tote Locations],264)</f>
        <v/>
      </c>
      <c r="G265" s="66">
        <f>INDEX(Projects[PS Shuttles],264)</f>
        <v/>
      </c>
      <c r="H265" s="66">
        <f>INDEX(Projects[PS Pallet Locations],264)</f>
        <v/>
      </c>
      <c r="I265" s="66">
        <f>INDEX(Projects[SRM Cranes],264)</f>
        <v/>
      </c>
      <c r="J265" s="66">
        <f>INDEX(Projects[SRM Pallet Locations],264)</f>
        <v/>
      </c>
      <c r="K265" s="66">
        <f>INDEX(Projects[Case Conv (m)],264)</f>
        <v/>
      </c>
      <c r="L265" s="66">
        <f>INDEX(Projects[Pallet Conv (m)],264)</f>
        <v/>
      </c>
      <c r="M265" s="66">
        <f>INDEX(Projects[Mech Eng (wks)],264)</f>
        <v/>
      </c>
      <c r="N265" s="66">
        <f>INDEX(Projects[Controls Eng (wks)],264)</f>
        <v/>
      </c>
      <c r="O265" s="66">
        <f>INDEX(Projects[Systems Eng (wks)],264)</f>
        <v/>
      </c>
      <c r="P265" s="66">
        <f>INDEX(Projects[Software Eng (wks)],264)</f>
        <v/>
      </c>
      <c r="Q265" s="66">
        <f>INDEX(Projects[M&amp;E Installation (wks)],264)</f>
        <v/>
      </c>
      <c r="R265" s="66">
        <f>INDEX(Projects[Commissioning (wks)],264)</f>
        <v/>
      </c>
      <c r="S265" s="66">
        <f>INDEX(Projects[Total Timeline (wks)],264)</f>
        <v/>
      </c>
      <c r="T265" s="66">
        <f>INDEX(Projects[Currency],264)&amp;""</f>
        <v/>
      </c>
      <c r="U265" s="67">
        <f>INDEX(Projects[Value (M)],264)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INDEX(Projects[Automation Equipment],264)&amp;""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IF(AND(A265&lt;&gt;"",OR('Smart Search'!$L$5="",'Smart Search'!$L$5="All",TRIM(BZ265)=TRIM('Smart Search'!$L$5)),OR(TRIM('Smart Search'!$L$6)="",TRIM('Smart Search'!$L$6)="All",ISNUMBER(SEARCH(SUBSTITUTE(SUBSTITUTE(SUBSTITUTE(TRIM('Smart Search'!$L$6),"~","~~"),"*","~*"),"?","~?"),CA265))),OR('Smart Search'!$L$7="",AND(CB265&lt;&gt;0,CB265='Smart Search'!$L$7)),OR('Smart Search'!$L$8="",'Smart Search'!$L$8="All",TRIM(CC265)=TRIM('Smart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IF(A265="","",N(INDEX(Projects[Mech Inst],264)))</f>
        <v/>
      </c>
      <c r="BK265" s="5">
        <f>IF(A265="","",N(INDEX(Projects[Elec Inst],264)))</f>
        <v/>
      </c>
      <c r="BL265" s="5">
        <f>IF(A265="","",N(INDEX(Projects[Project Management],264)))</f>
        <v/>
      </c>
      <c r="BM265" s="5">
        <f>IF(A265="","",N(INDEX(Projects[Systems Eng],264)))</f>
        <v/>
      </c>
      <c r="BN265" s="5">
        <f>IF(A265="","",N(INDEX(Projects[Mechanical Eng],264)))</f>
        <v/>
      </c>
      <c r="BO265" s="5">
        <f>IF(A265="","",N(INDEX(Projects[Structural Engineering],264)))</f>
        <v/>
      </c>
      <c r="BP265" s="5">
        <f>IF(A265="","",N(INDEX(Projects[Site Sup],264)))</f>
        <v/>
      </c>
      <c r="BQ265" s="5">
        <f>IF(A265="","",N(INDEX(Projects[Controls Commissioning],264)))</f>
        <v/>
      </c>
      <c r="BR265" s="5">
        <f>IF(A265="","",N(INDEX(Projects[Systems Commissioning],264)))</f>
        <v/>
      </c>
      <c r="BS265" s="5">
        <f>IF(A265="","",N(INDEX(Projects[Service Commissioning],264)))</f>
        <v/>
      </c>
      <c r="BT265" s="5">
        <f>IF(A265="","",N(INDEX(Projects[Controls Eng],264)))</f>
        <v/>
      </c>
      <c r="BU265" s="5">
        <f>IF(A265="","",N(INDEX(Projects[Controls Purchase],264)))</f>
        <v/>
      </c>
      <c r="BV265" s="5">
        <f>IF(A265="","",N(INDEX(Projects[Software Eng],264)))</f>
        <v/>
      </c>
      <c r="BW265" s="5">
        <f>IF(A265="","",N(INDEX(Projects[Misc],264)))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  <c r="BZ265" s="5">
        <f>INDEX(Projects[Solution Type],264)&amp;""</f>
        <v/>
      </c>
      <c r="CA265" s="5">
        <f>INDEX(Projects[Client / Region],264)&amp;""</f>
        <v/>
      </c>
      <c r="CB265" s="5">
        <f>INDEX(Projects[Year],264)</f>
        <v/>
      </c>
      <c r="CC265" s="5">
        <f>INDEX(Projects[Won?],264)&amp;""</f>
        <v/>
      </c>
      <c r="CD265" s="5">
        <f>INDEX(Projects[Value (USD M)],264)</f>
        <v/>
      </c>
      <c r="CE265" s="5">
        <f>INDEX(Projects[MH Data Status],264)&amp;""</f>
        <v/>
      </c>
    </row>
    <row r="266" ht="15" customHeight="1" s="74">
      <c r="A266" s="66">
        <f>INDEX(Projects[Project ID *],265)&amp;""</f>
        <v/>
      </c>
      <c r="B266" s="66">
        <f>INDEX(Projects[Project Name *],265)&amp;""</f>
        <v/>
      </c>
      <c r="C266" s="66">
        <f>INDEX(Projects[MS Shuttles],265)</f>
        <v/>
      </c>
      <c r="D266" s="66">
        <f>INDEX(Projects[MS Tote Locations],265)</f>
        <v/>
      </c>
      <c r="E266" s="66">
        <f>INDEX(Projects[AS Robots],265)</f>
        <v/>
      </c>
      <c r="F266" s="66">
        <f>INDEX(Projects[AS Tote Locations],265)</f>
        <v/>
      </c>
      <c r="G266" s="66">
        <f>INDEX(Projects[PS Shuttles],265)</f>
        <v/>
      </c>
      <c r="H266" s="66">
        <f>INDEX(Projects[PS Pallet Locations],265)</f>
        <v/>
      </c>
      <c r="I266" s="66">
        <f>INDEX(Projects[SRM Cranes],265)</f>
        <v/>
      </c>
      <c r="J266" s="66">
        <f>INDEX(Projects[SRM Pallet Locations],265)</f>
        <v/>
      </c>
      <c r="K266" s="66">
        <f>INDEX(Projects[Case Conv (m)],265)</f>
        <v/>
      </c>
      <c r="L266" s="66">
        <f>INDEX(Projects[Pallet Conv (m)],265)</f>
        <v/>
      </c>
      <c r="M266" s="66">
        <f>INDEX(Projects[Mech Eng (wks)],265)</f>
        <v/>
      </c>
      <c r="N266" s="66">
        <f>INDEX(Projects[Controls Eng (wks)],265)</f>
        <v/>
      </c>
      <c r="O266" s="66">
        <f>INDEX(Projects[Systems Eng (wks)],265)</f>
        <v/>
      </c>
      <c r="P266" s="66">
        <f>INDEX(Projects[Software Eng (wks)],265)</f>
        <v/>
      </c>
      <c r="Q266" s="66">
        <f>INDEX(Projects[M&amp;E Installation (wks)],265)</f>
        <v/>
      </c>
      <c r="R266" s="66">
        <f>INDEX(Projects[Commissioning (wks)],265)</f>
        <v/>
      </c>
      <c r="S266" s="66">
        <f>INDEX(Projects[Total Timeline (wks)],265)</f>
        <v/>
      </c>
      <c r="T266" s="66">
        <f>INDEX(Projects[Currency],265)&amp;""</f>
        <v/>
      </c>
      <c r="U266" s="67">
        <f>INDEX(Projects[Value (M)],265)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INDEX(Projects[Automation Equipment],265)&amp;""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IF(AND(A266&lt;&gt;"",OR('Smart Search'!$L$5="",'Smart Search'!$L$5="All",TRIM(BZ266)=TRIM('Smart Search'!$L$5)),OR(TRIM('Smart Search'!$L$6)="",TRIM('Smart Search'!$L$6)="All",ISNUMBER(SEARCH(SUBSTITUTE(SUBSTITUTE(SUBSTITUTE(TRIM('Smart Search'!$L$6),"~","~~"),"*","~*"),"?","~?"),CA266))),OR('Smart Search'!$L$7="",AND(CB266&lt;&gt;0,CB266='Smart Search'!$L$7)),OR('Smart Search'!$L$8="",'Smart Search'!$L$8="All",TRIM(CC266)=TRIM('Smart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IF(A266="","",N(INDEX(Projects[Mech Inst],265)))</f>
        <v/>
      </c>
      <c r="BK266" s="5">
        <f>IF(A266="","",N(INDEX(Projects[Elec Inst],265)))</f>
        <v/>
      </c>
      <c r="BL266" s="5">
        <f>IF(A266="","",N(INDEX(Projects[Project Management],265)))</f>
        <v/>
      </c>
      <c r="BM266" s="5">
        <f>IF(A266="","",N(INDEX(Projects[Systems Eng],265)))</f>
        <v/>
      </c>
      <c r="BN266" s="5">
        <f>IF(A266="","",N(INDEX(Projects[Mechanical Eng],265)))</f>
        <v/>
      </c>
      <c r="BO266" s="5">
        <f>IF(A266="","",N(INDEX(Projects[Structural Engineering],265)))</f>
        <v/>
      </c>
      <c r="BP266" s="5">
        <f>IF(A266="","",N(INDEX(Projects[Site Sup],265)))</f>
        <v/>
      </c>
      <c r="BQ266" s="5">
        <f>IF(A266="","",N(INDEX(Projects[Controls Commissioning],265)))</f>
        <v/>
      </c>
      <c r="BR266" s="5">
        <f>IF(A266="","",N(INDEX(Projects[Systems Commissioning],265)))</f>
        <v/>
      </c>
      <c r="BS266" s="5">
        <f>IF(A266="","",N(INDEX(Projects[Service Commissioning],265)))</f>
        <v/>
      </c>
      <c r="BT266" s="5">
        <f>IF(A266="","",N(INDEX(Projects[Controls Eng],265)))</f>
        <v/>
      </c>
      <c r="BU266" s="5">
        <f>IF(A266="","",N(INDEX(Projects[Controls Purchase],265)))</f>
        <v/>
      </c>
      <c r="BV266" s="5">
        <f>IF(A266="","",N(INDEX(Projects[Software Eng],265)))</f>
        <v/>
      </c>
      <c r="BW266" s="5">
        <f>IF(A266="","",N(INDEX(Projects[Misc],265)))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  <c r="BZ266" s="5">
        <f>INDEX(Projects[Solution Type],265)&amp;""</f>
        <v/>
      </c>
      <c r="CA266" s="5">
        <f>INDEX(Projects[Client / Region],265)&amp;""</f>
        <v/>
      </c>
      <c r="CB266" s="5">
        <f>INDEX(Projects[Year],265)</f>
        <v/>
      </c>
      <c r="CC266" s="5">
        <f>INDEX(Projects[Won?],265)&amp;""</f>
        <v/>
      </c>
      <c r="CD266" s="5">
        <f>INDEX(Projects[Value (USD M)],265)</f>
        <v/>
      </c>
      <c r="CE266" s="5">
        <f>INDEX(Projects[MH Data Status],265)&amp;""</f>
        <v/>
      </c>
    </row>
    <row r="267" ht="15" customHeight="1" s="74">
      <c r="A267" s="66">
        <f>INDEX(Projects[Project ID *],266)&amp;""</f>
        <v/>
      </c>
      <c r="B267" s="66">
        <f>INDEX(Projects[Project Name *],266)&amp;""</f>
        <v/>
      </c>
      <c r="C267" s="66">
        <f>INDEX(Projects[MS Shuttles],266)</f>
        <v/>
      </c>
      <c r="D267" s="66">
        <f>INDEX(Projects[MS Tote Locations],266)</f>
        <v/>
      </c>
      <c r="E267" s="66">
        <f>INDEX(Projects[AS Robots],266)</f>
        <v/>
      </c>
      <c r="F267" s="66">
        <f>INDEX(Projects[AS Tote Locations],266)</f>
        <v/>
      </c>
      <c r="G267" s="66">
        <f>INDEX(Projects[PS Shuttles],266)</f>
        <v/>
      </c>
      <c r="H267" s="66">
        <f>INDEX(Projects[PS Pallet Locations],266)</f>
        <v/>
      </c>
      <c r="I267" s="66">
        <f>INDEX(Projects[SRM Cranes],266)</f>
        <v/>
      </c>
      <c r="J267" s="66">
        <f>INDEX(Projects[SRM Pallet Locations],266)</f>
        <v/>
      </c>
      <c r="K267" s="66">
        <f>INDEX(Projects[Case Conv (m)],266)</f>
        <v/>
      </c>
      <c r="L267" s="66">
        <f>INDEX(Projects[Pallet Conv (m)],266)</f>
        <v/>
      </c>
      <c r="M267" s="66">
        <f>INDEX(Projects[Mech Eng (wks)],266)</f>
        <v/>
      </c>
      <c r="N267" s="66">
        <f>INDEX(Projects[Controls Eng (wks)],266)</f>
        <v/>
      </c>
      <c r="O267" s="66">
        <f>INDEX(Projects[Systems Eng (wks)],266)</f>
        <v/>
      </c>
      <c r="P267" s="66">
        <f>INDEX(Projects[Software Eng (wks)],266)</f>
        <v/>
      </c>
      <c r="Q267" s="66">
        <f>INDEX(Projects[M&amp;E Installation (wks)],266)</f>
        <v/>
      </c>
      <c r="R267" s="66">
        <f>INDEX(Projects[Commissioning (wks)],266)</f>
        <v/>
      </c>
      <c r="S267" s="66">
        <f>INDEX(Projects[Total Timeline (wks)],266)</f>
        <v/>
      </c>
      <c r="T267" s="66">
        <f>INDEX(Projects[Currency],266)&amp;""</f>
        <v/>
      </c>
      <c r="U267" s="67">
        <f>INDEX(Projects[Value (M)],266)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INDEX(Projects[Automation Equipment],266)&amp;""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IF(AND(A267&lt;&gt;"",OR('Smart Search'!$L$5="",'Smart Search'!$L$5="All",TRIM(BZ267)=TRIM('Smart Search'!$L$5)),OR(TRIM('Smart Search'!$L$6)="",TRIM('Smart Search'!$L$6)="All",ISNUMBER(SEARCH(SUBSTITUTE(SUBSTITUTE(SUBSTITUTE(TRIM('Smart Search'!$L$6),"~","~~"),"*","~*"),"?","~?"),CA267))),OR('Smart Search'!$L$7="",AND(CB267&lt;&gt;0,CB267='Smart Search'!$L$7)),OR('Smart Search'!$L$8="",'Smart Search'!$L$8="All",TRIM(CC267)=TRIM('Smart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IF(A267="","",N(INDEX(Projects[Mech Inst],266)))</f>
        <v/>
      </c>
      <c r="BK267" s="5">
        <f>IF(A267="","",N(INDEX(Projects[Elec Inst],266)))</f>
        <v/>
      </c>
      <c r="BL267" s="5">
        <f>IF(A267="","",N(INDEX(Projects[Project Management],266)))</f>
        <v/>
      </c>
      <c r="BM267" s="5">
        <f>IF(A267="","",N(INDEX(Projects[Systems Eng],266)))</f>
        <v/>
      </c>
      <c r="BN267" s="5">
        <f>IF(A267="","",N(INDEX(Projects[Mechanical Eng],266)))</f>
        <v/>
      </c>
      <c r="BO267" s="5">
        <f>IF(A267="","",N(INDEX(Projects[Structural Engineering],266)))</f>
        <v/>
      </c>
      <c r="BP267" s="5">
        <f>IF(A267="","",N(INDEX(Projects[Site Sup],266)))</f>
        <v/>
      </c>
      <c r="BQ267" s="5">
        <f>IF(A267="","",N(INDEX(Projects[Controls Commissioning],266)))</f>
        <v/>
      </c>
      <c r="BR267" s="5">
        <f>IF(A267="","",N(INDEX(Projects[Systems Commissioning],266)))</f>
        <v/>
      </c>
      <c r="BS267" s="5">
        <f>IF(A267="","",N(INDEX(Projects[Service Commissioning],266)))</f>
        <v/>
      </c>
      <c r="BT267" s="5">
        <f>IF(A267="","",N(INDEX(Projects[Controls Eng],266)))</f>
        <v/>
      </c>
      <c r="BU267" s="5">
        <f>IF(A267="","",N(INDEX(Projects[Controls Purchase],266)))</f>
        <v/>
      </c>
      <c r="BV267" s="5">
        <f>IF(A267="","",N(INDEX(Projects[Software Eng],266)))</f>
        <v/>
      </c>
      <c r="BW267" s="5">
        <f>IF(A267="","",N(INDEX(Projects[Misc],266)))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  <c r="BZ267" s="5">
        <f>INDEX(Projects[Solution Type],266)&amp;""</f>
        <v/>
      </c>
      <c r="CA267" s="5">
        <f>INDEX(Projects[Client / Region],266)&amp;""</f>
        <v/>
      </c>
      <c r="CB267" s="5">
        <f>INDEX(Projects[Year],266)</f>
        <v/>
      </c>
      <c r="CC267" s="5">
        <f>INDEX(Projects[Won?],266)&amp;""</f>
        <v/>
      </c>
      <c r="CD267" s="5">
        <f>INDEX(Projects[Value (USD M)],266)</f>
        <v/>
      </c>
      <c r="CE267" s="5">
        <f>INDEX(Projects[MH Data Status],266)&amp;""</f>
        <v/>
      </c>
    </row>
    <row r="268" ht="15" customHeight="1" s="74">
      <c r="A268" s="66">
        <f>INDEX(Projects[Project ID *],267)&amp;""</f>
        <v/>
      </c>
      <c r="B268" s="66">
        <f>INDEX(Projects[Project Name *],267)&amp;""</f>
        <v/>
      </c>
      <c r="C268" s="66">
        <f>INDEX(Projects[MS Shuttles],267)</f>
        <v/>
      </c>
      <c r="D268" s="66">
        <f>INDEX(Projects[MS Tote Locations],267)</f>
        <v/>
      </c>
      <c r="E268" s="66">
        <f>INDEX(Projects[AS Robots],267)</f>
        <v/>
      </c>
      <c r="F268" s="66">
        <f>INDEX(Projects[AS Tote Locations],267)</f>
        <v/>
      </c>
      <c r="G268" s="66">
        <f>INDEX(Projects[PS Shuttles],267)</f>
        <v/>
      </c>
      <c r="H268" s="66">
        <f>INDEX(Projects[PS Pallet Locations],267)</f>
        <v/>
      </c>
      <c r="I268" s="66">
        <f>INDEX(Projects[SRM Cranes],267)</f>
        <v/>
      </c>
      <c r="J268" s="66">
        <f>INDEX(Projects[SRM Pallet Locations],267)</f>
        <v/>
      </c>
      <c r="K268" s="66">
        <f>INDEX(Projects[Case Conv (m)],267)</f>
        <v/>
      </c>
      <c r="L268" s="66">
        <f>INDEX(Projects[Pallet Conv (m)],267)</f>
        <v/>
      </c>
      <c r="M268" s="66">
        <f>INDEX(Projects[Mech Eng (wks)],267)</f>
        <v/>
      </c>
      <c r="N268" s="66">
        <f>INDEX(Projects[Controls Eng (wks)],267)</f>
        <v/>
      </c>
      <c r="O268" s="66">
        <f>INDEX(Projects[Systems Eng (wks)],267)</f>
        <v/>
      </c>
      <c r="P268" s="66">
        <f>INDEX(Projects[Software Eng (wks)],267)</f>
        <v/>
      </c>
      <c r="Q268" s="66">
        <f>INDEX(Projects[M&amp;E Installation (wks)],267)</f>
        <v/>
      </c>
      <c r="R268" s="66">
        <f>INDEX(Projects[Commissioning (wks)],267)</f>
        <v/>
      </c>
      <c r="S268" s="66">
        <f>INDEX(Projects[Total Timeline (wks)],267)</f>
        <v/>
      </c>
      <c r="T268" s="66">
        <f>INDEX(Projects[Currency],267)&amp;""</f>
        <v/>
      </c>
      <c r="U268" s="67">
        <f>INDEX(Projects[Value (M)],267)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INDEX(Projects[Automation Equipment],267)&amp;""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IF(AND(A268&lt;&gt;"",OR('Smart Search'!$L$5="",'Smart Search'!$L$5="All",TRIM(BZ268)=TRIM('Smart Search'!$L$5)),OR(TRIM('Smart Search'!$L$6)="",TRIM('Smart Search'!$L$6)="All",ISNUMBER(SEARCH(SUBSTITUTE(SUBSTITUTE(SUBSTITUTE(TRIM('Smart Search'!$L$6),"~","~~"),"*","~*"),"?","~?"),CA268))),OR('Smart Search'!$L$7="",AND(CB268&lt;&gt;0,CB268='Smart Search'!$L$7)),OR('Smart Search'!$L$8="",'Smart Search'!$L$8="All",TRIM(CC268)=TRIM('Smart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IF(A268="","",N(INDEX(Projects[Mech Inst],267)))</f>
        <v/>
      </c>
      <c r="BK268" s="5">
        <f>IF(A268="","",N(INDEX(Projects[Elec Inst],267)))</f>
        <v/>
      </c>
      <c r="BL268" s="5">
        <f>IF(A268="","",N(INDEX(Projects[Project Management],267)))</f>
        <v/>
      </c>
      <c r="BM268" s="5">
        <f>IF(A268="","",N(INDEX(Projects[Systems Eng],267)))</f>
        <v/>
      </c>
      <c r="BN268" s="5">
        <f>IF(A268="","",N(INDEX(Projects[Mechanical Eng],267)))</f>
        <v/>
      </c>
      <c r="BO268" s="5">
        <f>IF(A268="","",N(INDEX(Projects[Structural Engineering],267)))</f>
        <v/>
      </c>
      <c r="BP268" s="5">
        <f>IF(A268="","",N(INDEX(Projects[Site Sup],267)))</f>
        <v/>
      </c>
      <c r="BQ268" s="5">
        <f>IF(A268="","",N(INDEX(Projects[Controls Commissioning],267)))</f>
        <v/>
      </c>
      <c r="BR268" s="5">
        <f>IF(A268="","",N(INDEX(Projects[Systems Commissioning],267)))</f>
        <v/>
      </c>
      <c r="BS268" s="5">
        <f>IF(A268="","",N(INDEX(Projects[Service Commissioning],267)))</f>
        <v/>
      </c>
      <c r="BT268" s="5">
        <f>IF(A268="","",N(INDEX(Projects[Controls Eng],267)))</f>
        <v/>
      </c>
      <c r="BU268" s="5">
        <f>IF(A268="","",N(INDEX(Projects[Controls Purchase],267)))</f>
        <v/>
      </c>
      <c r="BV268" s="5">
        <f>IF(A268="","",N(INDEX(Projects[Software Eng],267)))</f>
        <v/>
      </c>
      <c r="BW268" s="5">
        <f>IF(A268="","",N(INDEX(Projects[Misc],267)))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  <c r="BZ268" s="5">
        <f>INDEX(Projects[Solution Type],267)&amp;""</f>
        <v/>
      </c>
      <c r="CA268" s="5">
        <f>INDEX(Projects[Client / Region],267)&amp;""</f>
        <v/>
      </c>
      <c r="CB268" s="5">
        <f>INDEX(Projects[Year],267)</f>
        <v/>
      </c>
      <c r="CC268" s="5">
        <f>INDEX(Projects[Won?],267)&amp;""</f>
        <v/>
      </c>
      <c r="CD268" s="5">
        <f>INDEX(Projects[Value (USD M)],267)</f>
        <v/>
      </c>
      <c r="CE268" s="5">
        <f>INDEX(Projects[MH Data Status],267)&amp;""</f>
        <v/>
      </c>
    </row>
    <row r="269" ht="15" customHeight="1" s="74">
      <c r="A269" s="66">
        <f>INDEX(Projects[Project ID *],268)&amp;""</f>
        <v/>
      </c>
      <c r="B269" s="66">
        <f>INDEX(Projects[Project Name *],268)&amp;""</f>
        <v/>
      </c>
      <c r="C269" s="66">
        <f>INDEX(Projects[MS Shuttles],268)</f>
        <v/>
      </c>
      <c r="D269" s="66">
        <f>INDEX(Projects[MS Tote Locations],268)</f>
        <v/>
      </c>
      <c r="E269" s="66">
        <f>INDEX(Projects[AS Robots],268)</f>
        <v/>
      </c>
      <c r="F269" s="66">
        <f>INDEX(Projects[AS Tote Locations],268)</f>
        <v/>
      </c>
      <c r="G269" s="66">
        <f>INDEX(Projects[PS Shuttles],268)</f>
        <v/>
      </c>
      <c r="H269" s="66">
        <f>INDEX(Projects[PS Pallet Locations],268)</f>
        <v/>
      </c>
      <c r="I269" s="66">
        <f>INDEX(Projects[SRM Cranes],268)</f>
        <v/>
      </c>
      <c r="J269" s="66">
        <f>INDEX(Projects[SRM Pallet Locations],268)</f>
        <v/>
      </c>
      <c r="K269" s="66">
        <f>INDEX(Projects[Case Conv (m)],268)</f>
        <v/>
      </c>
      <c r="L269" s="66">
        <f>INDEX(Projects[Pallet Conv (m)],268)</f>
        <v/>
      </c>
      <c r="M269" s="66">
        <f>INDEX(Projects[Mech Eng (wks)],268)</f>
        <v/>
      </c>
      <c r="N269" s="66">
        <f>INDEX(Projects[Controls Eng (wks)],268)</f>
        <v/>
      </c>
      <c r="O269" s="66">
        <f>INDEX(Projects[Systems Eng (wks)],268)</f>
        <v/>
      </c>
      <c r="P269" s="66">
        <f>INDEX(Projects[Software Eng (wks)],268)</f>
        <v/>
      </c>
      <c r="Q269" s="66">
        <f>INDEX(Projects[M&amp;E Installation (wks)],268)</f>
        <v/>
      </c>
      <c r="R269" s="66">
        <f>INDEX(Projects[Commissioning (wks)],268)</f>
        <v/>
      </c>
      <c r="S269" s="66">
        <f>INDEX(Projects[Total Timeline (wks)],268)</f>
        <v/>
      </c>
      <c r="T269" s="66">
        <f>INDEX(Projects[Currency],268)&amp;""</f>
        <v/>
      </c>
      <c r="U269" s="67">
        <f>INDEX(Projects[Value (M)],268)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INDEX(Projects[Automation Equipment],268)&amp;""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IF(AND(A269&lt;&gt;"",OR('Smart Search'!$L$5="",'Smart Search'!$L$5="All",TRIM(BZ269)=TRIM('Smart Search'!$L$5)),OR(TRIM('Smart Search'!$L$6)="",TRIM('Smart Search'!$L$6)="All",ISNUMBER(SEARCH(SUBSTITUTE(SUBSTITUTE(SUBSTITUTE(TRIM('Smart Search'!$L$6),"~","~~"),"*","~*"),"?","~?"),CA269))),OR('Smart Search'!$L$7="",AND(CB269&lt;&gt;0,CB269='Smart Search'!$L$7)),OR('Smart Search'!$L$8="",'Smart Search'!$L$8="All",TRIM(CC269)=TRIM('Smart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IF(A269="","",N(INDEX(Projects[Mech Inst],268)))</f>
        <v/>
      </c>
      <c r="BK269" s="5">
        <f>IF(A269="","",N(INDEX(Projects[Elec Inst],268)))</f>
        <v/>
      </c>
      <c r="BL269" s="5">
        <f>IF(A269="","",N(INDEX(Projects[Project Management],268)))</f>
        <v/>
      </c>
      <c r="BM269" s="5">
        <f>IF(A269="","",N(INDEX(Projects[Systems Eng],268)))</f>
        <v/>
      </c>
      <c r="BN269" s="5">
        <f>IF(A269="","",N(INDEX(Projects[Mechanical Eng],268)))</f>
        <v/>
      </c>
      <c r="BO269" s="5">
        <f>IF(A269="","",N(INDEX(Projects[Structural Engineering],268)))</f>
        <v/>
      </c>
      <c r="BP269" s="5">
        <f>IF(A269="","",N(INDEX(Projects[Site Sup],268)))</f>
        <v/>
      </c>
      <c r="BQ269" s="5">
        <f>IF(A269="","",N(INDEX(Projects[Controls Commissioning],268)))</f>
        <v/>
      </c>
      <c r="BR269" s="5">
        <f>IF(A269="","",N(INDEX(Projects[Systems Commissioning],268)))</f>
        <v/>
      </c>
      <c r="BS269" s="5">
        <f>IF(A269="","",N(INDEX(Projects[Service Commissioning],268)))</f>
        <v/>
      </c>
      <c r="BT269" s="5">
        <f>IF(A269="","",N(INDEX(Projects[Controls Eng],268)))</f>
        <v/>
      </c>
      <c r="BU269" s="5">
        <f>IF(A269="","",N(INDEX(Projects[Controls Purchase],268)))</f>
        <v/>
      </c>
      <c r="BV269" s="5">
        <f>IF(A269="","",N(INDEX(Projects[Software Eng],268)))</f>
        <v/>
      </c>
      <c r="BW269" s="5">
        <f>IF(A269="","",N(INDEX(Projects[Misc],268)))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  <c r="BZ269" s="5">
        <f>INDEX(Projects[Solution Type],268)&amp;""</f>
        <v/>
      </c>
      <c r="CA269" s="5">
        <f>INDEX(Projects[Client / Region],268)&amp;""</f>
        <v/>
      </c>
      <c r="CB269" s="5">
        <f>INDEX(Projects[Year],268)</f>
        <v/>
      </c>
      <c r="CC269" s="5">
        <f>INDEX(Projects[Won?],268)&amp;""</f>
        <v/>
      </c>
      <c r="CD269" s="5">
        <f>INDEX(Projects[Value (USD M)],268)</f>
        <v/>
      </c>
      <c r="CE269" s="5">
        <f>INDEX(Projects[MH Data Status],268)&amp;""</f>
        <v/>
      </c>
    </row>
    <row r="270" ht="15" customHeight="1" s="74">
      <c r="A270" s="66">
        <f>INDEX(Projects[Project ID *],269)&amp;""</f>
        <v/>
      </c>
      <c r="B270" s="66">
        <f>INDEX(Projects[Project Name *],269)&amp;""</f>
        <v/>
      </c>
      <c r="C270" s="66">
        <f>INDEX(Projects[MS Shuttles],269)</f>
        <v/>
      </c>
      <c r="D270" s="66">
        <f>INDEX(Projects[MS Tote Locations],269)</f>
        <v/>
      </c>
      <c r="E270" s="66">
        <f>INDEX(Projects[AS Robots],269)</f>
        <v/>
      </c>
      <c r="F270" s="66">
        <f>INDEX(Projects[AS Tote Locations],269)</f>
        <v/>
      </c>
      <c r="G270" s="66">
        <f>INDEX(Projects[PS Shuttles],269)</f>
        <v/>
      </c>
      <c r="H270" s="66">
        <f>INDEX(Projects[PS Pallet Locations],269)</f>
        <v/>
      </c>
      <c r="I270" s="66">
        <f>INDEX(Projects[SRM Cranes],269)</f>
        <v/>
      </c>
      <c r="J270" s="66">
        <f>INDEX(Projects[SRM Pallet Locations],269)</f>
        <v/>
      </c>
      <c r="K270" s="66">
        <f>INDEX(Projects[Case Conv (m)],269)</f>
        <v/>
      </c>
      <c r="L270" s="66">
        <f>INDEX(Projects[Pallet Conv (m)],269)</f>
        <v/>
      </c>
      <c r="M270" s="66">
        <f>INDEX(Projects[Mech Eng (wks)],269)</f>
        <v/>
      </c>
      <c r="N270" s="66">
        <f>INDEX(Projects[Controls Eng (wks)],269)</f>
        <v/>
      </c>
      <c r="O270" s="66">
        <f>INDEX(Projects[Systems Eng (wks)],269)</f>
        <v/>
      </c>
      <c r="P270" s="66">
        <f>INDEX(Projects[Software Eng (wks)],269)</f>
        <v/>
      </c>
      <c r="Q270" s="66">
        <f>INDEX(Projects[M&amp;E Installation (wks)],269)</f>
        <v/>
      </c>
      <c r="R270" s="66">
        <f>INDEX(Projects[Commissioning (wks)],269)</f>
        <v/>
      </c>
      <c r="S270" s="66">
        <f>INDEX(Projects[Total Timeline (wks)],269)</f>
        <v/>
      </c>
      <c r="T270" s="66">
        <f>INDEX(Projects[Currency],269)&amp;""</f>
        <v/>
      </c>
      <c r="U270" s="67">
        <f>INDEX(Projects[Value (M)],269)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INDEX(Projects[Automation Equipment],269)&amp;""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IF(AND(A270&lt;&gt;"",OR('Smart Search'!$L$5="",'Smart Search'!$L$5="All",TRIM(BZ270)=TRIM('Smart Search'!$L$5)),OR(TRIM('Smart Search'!$L$6)="",TRIM('Smart Search'!$L$6)="All",ISNUMBER(SEARCH(SUBSTITUTE(SUBSTITUTE(SUBSTITUTE(TRIM('Smart Search'!$L$6),"~","~~"),"*","~*"),"?","~?"),CA270))),OR('Smart Search'!$L$7="",AND(CB270&lt;&gt;0,CB270='Smart Search'!$L$7)),OR('Smart Search'!$L$8="",'Smart Search'!$L$8="All",TRIM(CC270)=TRIM('Smart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IF(A270="","",N(INDEX(Projects[Mech Inst],269)))</f>
        <v/>
      </c>
      <c r="BK270" s="5">
        <f>IF(A270="","",N(INDEX(Projects[Elec Inst],269)))</f>
        <v/>
      </c>
      <c r="BL270" s="5">
        <f>IF(A270="","",N(INDEX(Projects[Project Management],269)))</f>
        <v/>
      </c>
      <c r="BM270" s="5">
        <f>IF(A270="","",N(INDEX(Projects[Systems Eng],269)))</f>
        <v/>
      </c>
      <c r="BN270" s="5">
        <f>IF(A270="","",N(INDEX(Projects[Mechanical Eng],269)))</f>
        <v/>
      </c>
      <c r="BO270" s="5">
        <f>IF(A270="","",N(INDEX(Projects[Structural Engineering],269)))</f>
        <v/>
      </c>
      <c r="BP270" s="5">
        <f>IF(A270="","",N(INDEX(Projects[Site Sup],269)))</f>
        <v/>
      </c>
      <c r="BQ270" s="5">
        <f>IF(A270="","",N(INDEX(Projects[Controls Commissioning],269)))</f>
        <v/>
      </c>
      <c r="BR270" s="5">
        <f>IF(A270="","",N(INDEX(Projects[Systems Commissioning],269)))</f>
        <v/>
      </c>
      <c r="BS270" s="5">
        <f>IF(A270="","",N(INDEX(Projects[Service Commissioning],269)))</f>
        <v/>
      </c>
      <c r="BT270" s="5">
        <f>IF(A270="","",N(INDEX(Projects[Controls Eng],269)))</f>
        <v/>
      </c>
      <c r="BU270" s="5">
        <f>IF(A270="","",N(INDEX(Projects[Controls Purchase],269)))</f>
        <v/>
      </c>
      <c r="BV270" s="5">
        <f>IF(A270="","",N(INDEX(Projects[Software Eng],269)))</f>
        <v/>
      </c>
      <c r="BW270" s="5">
        <f>IF(A270="","",N(INDEX(Projects[Misc],269)))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  <c r="BZ270" s="5">
        <f>INDEX(Projects[Solution Type],269)&amp;""</f>
        <v/>
      </c>
      <c r="CA270" s="5">
        <f>INDEX(Projects[Client / Region],269)&amp;""</f>
        <v/>
      </c>
      <c r="CB270" s="5">
        <f>INDEX(Projects[Year],269)</f>
        <v/>
      </c>
      <c r="CC270" s="5">
        <f>INDEX(Projects[Won?],269)&amp;""</f>
        <v/>
      </c>
      <c r="CD270" s="5">
        <f>INDEX(Projects[Value (USD M)],269)</f>
        <v/>
      </c>
      <c r="CE270" s="5">
        <f>INDEX(Projects[MH Data Status],269)&amp;""</f>
        <v/>
      </c>
    </row>
    <row r="271" ht="15" customHeight="1" s="74">
      <c r="A271" s="66">
        <f>INDEX(Projects[Project ID *],270)&amp;""</f>
        <v/>
      </c>
      <c r="B271" s="66">
        <f>INDEX(Projects[Project Name *],270)&amp;""</f>
        <v/>
      </c>
      <c r="C271" s="66">
        <f>INDEX(Projects[MS Shuttles],270)</f>
        <v/>
      </c>
      <c r="D271" s="66">
        <f>INDEX(Projects[MS Tote Locations],270)</f>
        <v/>
      </c>
      <c r="E271" s="66">
        <f>INDEX(Projects[AS Robots],270)</f>
        <v/>
      </c>
      <c r="F271" s="66">
        <f>INDEX(Projects[AS Tote Locations],270)</f>
        <v/>
      </c>
      <c r="G271" s="66">
        <f>INDEX(Projects[PS Shuttles],270)</f>
        <v/>
      </c>
      <c r="H271" s="66">
        <f>INDEX(Projects[PS Pallet Locations],270)</f>
        <v/>
      </c>
      <c r="I271" s="66">
        <f>INDEX(Projects[SRM Cranes],270)</f>
        <v/>
      </c>
      <c r="J271" s="66">
        <f>INDEX(Projects[SRM Pallet Locations],270)</f>
        <v/>
      </c>
      <c r="K271" s="66">
        <f>INDEX(Projects[Case Conv (m)],270)</f>
        <v/>
      </c>
      <c r="L271" s="66">
        <f>INDEX(Projects[Pallet Conv (m)],270)</f>
        <v/>
      </c>
      <c r="M271" s="66">
        <f>INDEX(Projects[Mech Eng (wks)],270)</f>
        <v/>
      </c>
      <c r="N271" s="66">
        <f>INDEX(Projects[Controls Eng (wks)],270)</f>
        <v/>
      </c>
      <c r="O271" s="66">
        <f>INDEX(Projects[Systems Eng (wks)],270)</f>
        <v/>
      </c>
      <c r="P271" s="66">
        <f>INDEX(Projects[Software Eng (wks)],270)</f>
        <v/>
      </c>
      <c r="Q271" s="66">
        <f>INDEX(Projects[M&amp;E Installation (wks)],270)</f>
        <v/>
      </c>
      <c r="R271" s="66">
        <f>INDEX(Projects[Commissioning (wks)],270)</f>
        <v/>
      </c>
      <c r="S271" s="66">
        <f>INDEX(Projects[Total Timeline (wks)],270)</f>
        <v/>
      </c>
      <c r="T271" s="66">
        <f>INDEX(Projects[Currency],270)&amp;""</f>
        <v/>
      </c>
      <c r="U271" s="67">
        <f>INDEX(Projects[Value (M)],270)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INDEX(Projects[Automation Equipment],270)&amp;""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IF(AND(A271&lt;&gt;"",OR('Smart Search'!$L$5="",'Smart Search'!$L$5="All",TRIM(BZ271)=TRIM('Smart Search'!$L$5)),OR(TRIM('Smart Search'!$L$6)="",TRIM('Smart Search'!$L$6)="All",ISNUMBER(SEARCH(SUBSTITUTE(SUBSTITUTE(SUBSTITUTE(TRIM('Smart Search'!$L$6),"~","~~"),"*","~*"),"?","~?"),CA271))),OR('Smart Search'!$L$7="",AND(CB271&lt;&gt;0,CB271='Smart Search'!$L$7)),OR('Smart Search'!$L$8="",'Smart Search'!$L$8="All",TRIM(CC271)=TRIM('Smart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IF(A271="","",N(INDEX(Projects[Mech Inst],270)))</f>
        <v/>
      </c>
      <c r="BK271" s="5">
        <f>IF(A271="","",N(INDEX(Projects[Elec Inst],270)))</f>
        <v/>
      </c>
      <c r="BL271" s="5">
        <f>IF(A271="","",N(INDEX(Projects[Project Management],270)))</f>
        <v/>
      </c>
      <c r="BM271" s="5">
        <f>IF(A271="","",N(INDEX(Projects[Systems Eng],270)))</f>
        <v/>
      </c>
      <c r="BN271" s="5">
        <f>IF(A271="","",N(INDEX(Projects[Mechanical Eng],270)))</f>
        <v/>
      </c>
      <c r="BO271" s="5">
        <f>IF(A271="","",N(INDEX(Projects[Structural Engineering],270)))</f>
        <v/>
      </c>
      <c r="BP271" s="5">
        <f>IF(A271="","",N(INDEX(Projects[Site Sup],270)))</f>
        <v/>
      </c>
      <c r="BQ271" s="5">
        <f>IF(A271="","",N(INDEX(Projects[Controls Commissioning],270)))</f>
        <v/>
      </c>
      <c r="BR271" s="5">
        <f>IF(A271="","",N(INDEX(Projects[Systems Commissioning],270)))</f>
        <v/>
      </c>
      <c r="BS271" s="5">
        <f>IF(A271="","",N(INDEX(Projects[Service Commissioning],270)))</f>
        <v/>
      </c>
      <c r="BT271" s="5">
        <f>IF(A271="","",N(INDEX(Projects[Controls Eng],270)))</f>
        <v/>
      </c>
      <c r="BU271" s="5">
        <f>IF(A271="","",N(INDEX(Projects[Controls Purchase],270)))</f>
        <v/>
      </c>
      <c r="BV271" s="5">
        <f>IF(A271="","",N(INDEX(Projects[Software Eng],270)))</f>
        <v/>
      </c>
      <c r="BW271" s="5">
        <f>IF(A271="","",N(INDEX(Projects[Misc],270)))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  <c r="BZ271" s="5">
        <f>INDEX(Projects[Solution Type],270)&amp;""</f>
        <v/>
      </c>
      <c r="CA271" s="5">
        <f>INDEX(Projects[Client / Region],270)&amp;""</f>
        <v/>
      </c>
      <c r="CB271" s="5">
        <f>INDEX(Projects[Year],270)</f>
        <v/>
      </c>
      <c r="CC271" s="5">
        <f>INDEX(Projects[Won?],270)&amp;""</f>
        <v/>
      </c>
      <c r="CD271" s="5">
        <f>INDEX(Projects[Value (USD M)],270)</f>
        <v/>
      </c>
      <c r="CE271" s="5">
        <f>INDEX(Projects[MH Data Status],270)&amp;""</f>
        <v/>
      </c>
    </row>
    <row r="272" ht="15" customHeight="1" s="74">
      <c r="A272" s="66">
        <f>INDEX(Projects[Project ID *],271)&amp;""</f>
        <v/>
      </c>
      <c r="B272" s="66">
        <f>INDEX(Projects[Project Name *],271)&amp;""</f>
        <v/>
      </c>
      <c r="C272" s="66">
        <f>INDEX(Projects[MS Shuttles],271)</f>
        <v/>
      </c>
      <c r="D272" s="66">
        <f>INDEX(Projects[MS Tote Locations],271)</f>
        <v/>
      </c>
      <c r="E272" s="66">
        <f>INDEX(Projects[AS Robots],271)</f>
        <v/>
      </c>
      <c r="F272" s="66">
        <f>INDEX(Projects[AS Tote Locations],271)</f>
        <v/>
      </c>
      <c r="G272" s="66">
        <f>INDEX(Projects[PS Shuttles],271)</f>
        <v/>
      </c>
      <c r="H272" s="66">
        <f>INDEX(Projects[PS Pallet Locations],271)</f>
        <v/>
      </c>
      <c r="I272" s="66">
        <f>INDEX(Projects[SRM Cranes],271)</f>
        <v/>
      </c>
      <c r="J272" s="66">
        <f>INDEX(Projects[SRM Pallet Locations],271)</f>
        <v/>
      </c>
      <c r="K272" s="66">
        <f>INDEX(Projects[Case Conv (m)],271)</f>
        <v/>
      </c>
      <c r="L272" s="66">
        <f>INDEX(Projects[Pallet Conv (m)],271)</f>
        <v/>
      </c>
      <c r="M272" s="66">
        <f>INDEX(Projects[Mech Eng (wks)],271)</f>
        <v/>
      </c>
      <c r="N272" s="66">
        <f>INDEX(Projects[Controls Eng (wks)],271)</f>
        <v/>
      </c>
      <c r="O272" s="66">
        <f>INDEX(Projects[Systems Eng (wks)],271)</f>
        <v/>
      </c>
      <c r="P272" s="66">
        <f>INDEX(Projects[Software Eng (wks)],271)</f>
        <v/>
      </c>
      <c r="Q272" s="66">
        <f>INDEX(Projects[M&amp;E Installation (wks)],271)</f>
        <v/>
      </c>
      <c r="R272" s="66">
        <f>INDEX(Projects[Commissioning (wks)],271)</f>
        <v/>
      </c>
      <c r="S272" s="66">
        <f>INDEX(Projects[Total Timeline (wks)],271)</f>
        <v/>
      </c>
      <c r="T272" s="66">
        <f>INDEX(Projects[Currency],271)&amp;""</f>
        <v/>
      </c>
      <c r="U272" s="67">
        <f>INDEX(Projects[Value (M)],271)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INDEX(Projects[Automation Equipment],271)&amp;""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IF(AND(A272&lt;&gt;"",OR('Smart Search'!$L$5="",'Smart Search'!$L$5="All",TRIM(BZ272)=TRIM('Smart Search'!$L$5)),OR(TRIM('Smart Search'!$L$6)="",TRIM('Smart Search'!$L$6)="All",ISNUMBER(SEARCH(SUBSTITUTE(SUBSTITUTE(SUBSTITUTE(TRIM('Smart Search'!$L$6),"~","~~"),"*","~*"),"?","~?"),CA272))),OR('Smart Search'!$L$7="",AND(CB272&lt;&gt;0,CB272='Smart Search'!$L$7)),OR('Smart Search'!$L$8="",'Smart Search'!$L$8="All",TRIM(CC272)=TRIM('Smart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IF(A272="","",N(INDEX(Projects[Mech Inst],271)))</f>
        <v/>
      </c>
      <c r="BK272" s="5">
        <f>IF(A272="","",N(INDEX(Projects[Elec Inst],271)))</f>
        <v/>
      </c>
      <c r="BL272" s="5">
        <f>IF(A272="","",N(INDEX(Projects[Project Management],271)))</f>
        <v/>
      </c>
      <c r="BM272" s="5">
        <f>IF(A272="","",N(INDEX(Projects[Systems Eng],271)))</f>
        <v/>
      </c>
      <c r="BN272" s="5">
        <f>IF(A272="","",N(INDEX(Projects[Mechanical Eng],271)))</f>
        <v/>
      </c>
      <c r="BO272" s="5">
        <f>IF(A272="","",N(INDEX(Projects[Structural Engineering],271)))</f>
        <v/>
      </c>
      <c r="BP272" s="5">
        <f>IF(A272="","",N(INDEX(Projects[Site Sup],271)))</f>
        <v/>
      </c>
      <c r="BQ272" s="5">
        <f>IF(A272="","",N(INDEX(Projects[Controls Commissioning],271)))</f>
        <v/>
      </c>
      <c r="BR272" s="5">
        <f>IF(A272="","",N(INDEX(Projects[Systems Commissioning],271)))</f>
        <v/>
      </c>
      <c r="BS272" s="5">
        <f>IF(A272="","",N(INDEX(Projects[Service Commissioning],271)))</f>
        <v/>
      </c>
      <c r="BT272" s="5">
        <f>IF(A272="","",N(INDEX(Projects[Controls Eng],271)))</f>
        <v/>
      </c>
      <c r="BU272" s="5">
        <f>IF(A272="","",N(INDEX(Projects[Controls Purchase],271)))</f>
        <v/>
      </c>
      <c r="BV272" s="5">
        <f>IF(A272="","",N(INDEX(Projects[Software Eng],271)))</f>
        <v/>
      </c>
      <c r="BW272" s="5">
        <f>IF(A272="","",N(INDEX(Projects[Misc],271)))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  <c r="BZ272" s="5">
        <f>INDEX(Projects[Solution Type],271)&amp;""</f>
        <v/>
      </c>
      <c r="CA272" s="5">
        <f>INDEX(Projects[Client / Region],271)&amp;""</f>
        <v/>
      </c>
      <c r="CB272" s="5">
        <f>INDEX(Projects[Year],271)</f>
        <v/>
      </c>
      <c r="CC272" s="5">
        <f>INDEX(Projects[Won?],271)&amp;""</f>
        <v/>
      </c>
      <c r="CD272" s="5">
        <f>INDEX(Projects[Value (USD M)],271)</f>
        <v/>
      </c>
      <c r="CE272" s="5">
        <f>INDEX(Projects[MH Data Status],271)&amp;""</f>
        <v/>
      </c>
    </row>
    <row r="273" ht="15" customHeight="1" s="74">
      <c r="A273" s="66">
        <f>INDEX(Projects[Project ID *],272)&amp;""</f>
        <v/>
      </c>
      <c r="B273" s="66">
        <f>INDEX(Projects[Project Name *],272)&amp;""</f>
        <v/>
      </c>
      <c r="C273" s="66">
        <f>INDEX(Projects[MS Shuttles],272)</f>
        <v/>
      </c>
      <c r="D273" s="66">
        <f>INDEX(Projects[MS Tote Locations],272)</f>
        <v/>
      </c>
      <c r="E273" s="66">
        <f>INDEX(Projects[AS Robots],272)</f>
        <v/>
      </c>
      <c r="F273" s="66">
        <f>INDEX(Projects[AS Tote Locations],272)</f>
        <v/>
      </c>
      <c r="G273" s="66">
        <f>INDEX(Projects[PS Shuttles],272)</f>
        <v/>
      </c>
      <c r="H273" s="66">
        <f>INDEX(Projects[PS Pallet Locations],272)</f>
        <v/>
      </c>
      <c r="I273" s="66">
        <f>INDEX(Projects[SRM Cranes],272)</f>
        <v/>
      </c>
      <c r="J273" s="66">
        <f>INDEX(Projects[SRM Pallet Locations],272)</f>
        <v/>
      </c>
      <c r="K273" s="66">
        <f>INDEX(Projects[Case Conv (m)],272)</f>
        <v/>
      </c>
      <c r="L273" s="66">
        <f>INDEX(Projects[Pallet Conv (m)],272)</f>
        <v/>
      </c>
      <c r="M273" s="66">
        <f>INDEX(Projects[Mech Eng (wks)],272)</f>
        <v/>
      </c>
      <c r="N273" s="66">
        <f>INDEX(Projects[Controls Eng (wks)],272)</f>
        <v/>
      </c>
      <c r="O273" s="66">
        <f>INDEX(Projects[Systems Eng (wks)],272)</f>
        <v/>
      </c>
      <c r="P273" s="66">
        <f>INDEX(Projects[Software Eng (wks)],272)</f>
        <v/>
      </c>
      <c r="Q273" s="66">
        <f>INDEX(Projects[M&amp;E Installation (wks)],272)</f>
        <v/>
      </c>
      <c r="R273" s="66">
        <f>INDEX(Projects[Commissioning (wks)],272)</f>
        <v/>
      </c>
      <c r="S273" s="66">
        <f>INDEX(Projects[Total Timeline (wks)],272)</f>
        <v/>
      </c>
      <c r="T273" s="66">
        <f>INDEX(Projects[Currency],272)&amp;""</f>
        <v/>
      </c>
      <c r="U273" s="67">
        <f>INDEX(Projects[Value (M)],272)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INDEX(Projects[Automation Equipment],272)&amp;""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IF(AND(A273&lt;&gt;"",OR('Smart Search'!$L$5="",'Smart Search'!$L$5="All",TRIM(BZ273)=TRIM('Smart Search'!$L$5)),OR(TRIM('Smart Search'!$L$6)="",TRIM('Smart Search'!$L$6)="All",ISNUMBER(SEARCH(SUBSTITUTE(SUBSTITUTE(SUBSTITUTE(TRIM('Smart Search'!$L$6),"~","~~"),"*","~*"),"?","~?"),CA273))),OR('Smart Search'!$L$7="",AND(CB273&lt;&gt;0,CB273='Smart Search'!$L$7)),OR('Smart Search'!$L$8="",'Smart Search'!$L$8="All",TRIM(CC273)=TRIM('Smart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IF(A273="","",N(INDEX(Projects[Mech Inst],272)))</f>
        <v/>
      </c>
      <c r="BK273" s="5">
        <f>IF(A273="","",N(INDEX(Projects[Elec Inst],272)))</f>
        <v/>
      </c>
      <c r="BL273" s="5">
        <f>IF(A273="","",N(INDEX(Projects[Project Management],272)))</f>
        <v/>
      </c>
      <c r="BM273" s="5">
        <f>IF(A273="","",N(INDEX(Projects[Systems Eng],272)))</f>
        <v/>
      </c>
      <c r="BN273" s="5">
        <f>IF(A273="","",N(INDEX(Projects[Mechanical Eng],272)))</f>
        <v/>
      </c>
      <c r="BO273" s="5">
        <f>IF(A273="","",N(INDEX(Projects[Structural Engineering],272)))</f>
        <v/>
      </c>
      <c r="BP273" s="5">
        <f>IF(A273="","",N(INDEX(Projects[Site Sup],272)))</f>
        <v/>
      </c>
      <c r="BQ273" s="5">
        <f>IF(A273="","",N(INDEX(Projects[Controls Commissioning],272)))</f>
        <v/>
      </c>
      <c r="BR273" s="5">
        <f>IF(A273="","",N(INDEX(Projects[Systems Commissioning],272)))</f>
        <v/>
      </c>
      <c r="BS273" s="5">
        <f>IF(A273="","",N(INDEX(Projects[Service Commissioning],272)))</f>
        <v/>
      </c>
      <c r="BT273" s="5">
        <f>IF(A273="","",N(INDEX(Projects[Controls Eng],272)))</f>
        <v/>
      </c>
      <c r="BU273" s="5">
        <f>IF(A273="","",N(INDEX(Projects[Controls Purchase],272)))</f>
        <v/>
      </c>
      <c r="BV273" s="5">
        <f>IF(A273="","",N(INDEX(Projects[Software Eng],272)))</f>
        <v/>
      </c>
      <c r="BW273" s="5">
        <f>IF(A273="","",N(INDEX(Projects[Misc],272)))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  <c r="BZ273" s="5">
        <f>INDEX(Projects[Solution Type],272)&amp;""</f>
        <v/>
      </c>
      <c r="CA273" s="5">
        <f>INDEX(Projects[Client / Region],272)&amp;""</f>
        <v/>
      </c>
      <c r="CB273" s="5">
        <f>INDEX(Projects[Year],272)</f>
        <v/>
      </c>
      <c r="CC273" s="5">
        <f>INDEX(Projects[Won?],272)&amp;""</f>
        <v/>
      </c>
      <c r="CD273" s="5">
        <f>INDEX(Projects[Value (USD M)],272)</f>
        <v/>
      </c>
      <c r="CE273" s="5">
        <f>INDEX(Projects[MH Data Status],272)&amp;""</f>
        <v/>
      </c>
    </row>
    <row r="274" ht="15" customHeight="1" s="74">
      <c r="A274" s="66">
        <f>INDEX(Projects[Project ID *],273)&amp;""</f>
        <v/>
      </c>
      <c r="B274" s="66">
        <f>INDEX(Projects[Project Name *],273)&amp;""</f>
        <v/>
      </c>
      <c r="C274" s="66">
        <f>INDEX(Projects[MS Shuttles],273)</f>
        <v/>
      </c>
      <c r="D274" s="66">
        <f>INDEX(Projects[MS Tote Locations],273)</f>
        <v/>
      </c>
      <c r="E274" s="66">
        <f>INDEX(Projects[AS Robots],273)</f>
        <v/>
      </c>
      <c r="F274" s="66">
        <f>INDEX(Projects[AS Tote Locations],273)</f>
        <v/>
      </c>
      <c r="G274" s="66">
        <f>INDEX(Projects[PS Shuttles],273)</f>
        <v/>
      </c>
      <c r="H274" s="66">
        <f>INDEX(Projects[PS Pallet Locations],273)</f>
        <v/>
      </c>
      <c r="I274" s="66">
        <f>INDEX(Projects[SRM Cranes],273)</f>
        <v/>
      </c>
      <c r="J274" s="66">
        <f>INDEX(Projects[SRM Pallet Locations],273)</f>
        <v/>
      </c>
      <c r="K274" s="66">
        <f>INDEX(Projects[Case Conv (m)],273)</f>
        <v/>
      </c>
      <c r="L274" s="66">
        <f>INDEX(Projects[Pallet Conv (m)],273)</f>
        <v/>
      </c>
      <c r="M274" s="66">
        <f>INDEX(Projects[Mech Eng (wks)],273)</f>
        <v/>
      </c>
      <c r="N274" s="66">
        <f>INDEX(Projects[Controls Eng (wks)],273)</f>
        <v/>
      </c>
      <c r="O274" s="66">
        <f>INDEX(Projects[Systems Eng (wks)],273)</f>
        <v/>
      </c>
      <c r="P274" s="66">
        <f>INDEX(Projects[Software Eng (wks)],273)</f>
        <v/>
      </c>
      <c r="Q274" s="66">
        <f>INDEX(Projects[M&amp;E Installation (wks)],273)</f>
        <v/>
      </c>
      <c r="R274" s="66">
        <f>INDEX(Projects[Commissioning (wks)],273)</f>
        <v/>
      </c>
      <c r="S274" s="66">
        <f>INDEX(Projects[Total Timeline (wks)],273)</f>
        <v/>
      </c>
      <c r="T274" s="66">
        <f>INDEX(Projects[Currency],273)&amp;""</f>
        <v/>
      </c>
      <c r="U274" s="67">
        <f>INDEX(Projects[Value (M)],273)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INDEX(Projects[Automation Equipment],273)&amp;""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IF(AND(A274&lt;&gt;"",OR('Smart Search'!$L$5="",'Smart Search'!$L$5="All",TRIM(BZ274)=TRIM('Smart Search'!$L$5)),OR(TRIM('Smart Search'!$L$6)="",TRIM('Smart Search'!$L$6)="All",ISNUMBER(SEARCH(SUBSTITUTE(SUBSTITUTE(SUBSTITUTE(TRIM('Smart Search'!$L$6),"~","~~"),"*","~*"),"?","~?"),CA274))),OR('Smart Search'!$L$7="",AND(CB274&lt;&gt;0,CB274='Smart Search'!$L$7)),OR('Smart Search'!$L$8="",'Smart Search'!$L$8="All",TRIM(CC274)=TRIM('Smart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IF(A274="","",N(INDEX(Projects[Mech Inst],273)))</f>
        <v/>
      </c>
      <c r="BK274" s="5">
        <f>IF(A274="","",N(INDEX(Projects[Elec Inst],273)))</f>
        <v/>
      </c>
      <c r="BL274" s="5">
        <f>IF(A274="","",N(INDEX(Projects[Project Management],273)))</f>
        <v/>
      </c>
      <c r="BM274" s="5">
        <f>IF(A274="","",N(INDEX(Projects[Systems Eng],273)))</f>
        <v/>
      </c>
      <c r="BN274" s="5">
        <f>IF(A274="","",N(INDEX(Projects[Mechanical Eng],273)))</f>
        <v/>
      </c>
      <c r="BO274" s="5">
        <f>IF(A274="","",N(INDEX(Projects[Structural Engineering],273)))</f>
        <v/>
      </c>
      <c r="BP274" s="5">
        <f>IF(A274="","",N(INDEX(Projects[Site Sup],273)))</f>
        <v/>
      </c>
      <c r="BQ274" s="5">
        <f>IF(A274="","",N(INDEX(Projects[Controls Commissioning],273)))</f>
        <v/>
      </c>
      <c r="BR274" s="5">
        <f>IF(A274="","",N(INDEX(Projects[Systems Commissioning],273)))</f>
        <v/>
      </c>
      <c r="BS274" s="5">
        <f>IF(A274="","",N(INDEX(Projects[Service Commissioning],273)))</f>
        <v/>
      </c>
      <c r="BT274" s="5">
        <f>IF(A274="","",N(INDEX(Projects[Controls Eng],273)))</f>
        <v/>
      </c>
      <c r="BU274" s="5">
        <f>IF(A274="","",N(INDEX(Projects[Controls Purchase],273)))</f>
        <v/>
      </c>
      <c r="BV274" s="5">
        <f>IF(A274="","",N(INDEX(Projects[Software Eng],273)))</f>
        <v/>
      </c>
      <c r="BW274" s="5">
        <f>IF(A274="","",N(INDEX(Projects[Misc],273)))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  <c r="BZ274" s="5">
        <f>INDEX(Projects[Solution Type],273)&amp;""</f>
        <v/>
      </c>
      <c r="CA274" s="5">
        <f>INDEX(Projects[Client / Region],273)&amp;""</f>
        <v/>
      </c>
      <c r="CB274" s="5">
        <f>INDEX(Projects[Year],273)</f>
        <v/>
      </c>
      <c r="CC274" s="5">
        <f>INDEX(Projects[Won?],273)&amp;""</f>
        <v/>
      </c>
      <c r="CD274" s="5">
        <f>INDEX(Projects[Value (USD M)],273)</f>
        <v/>
      </c>
      <c r="CE274" s="5">
        <f>INDEX(Projects[MH Data Status],273)&amp;""</f>
        <v/>
      </c>
    </row>
    <row r="275" ht="15" customHeight="1" s="74">
      <c r="A275" s="66">
        <f>INDEX(Projects[Project ID *],274)&amp;""</f>
        <v/>
      </c>
      <c r="B275" s="66">
        <f>INDEX(Projects[Project Name *],274)&amp;""</f>
        <v/>
      </c>
      <c r="C275" s="66">
        <f>INDEX(Projects[MS Shuttles],274)</f>
        <v/>
      </c>
      <c r="D275" s="66">
        <f>INDEX(Projects[MS Tote Locations],274)</f>
        <v/>
      </c>
      <c r="E275" s="66">
        <f>INDEX(Projects[AS Robots],274)</f>
        <v/>
      </c>
      <c r="F275" s="66">
        <f>INDEX(Projects[AS Tote Locations],274)</f>
        <v/>
      </c>
      <c r="G275" s="66">
        <f>INDEX(Projects[PS Shuttles],274)</f>
        <v/>
      </c>
      <c r="H275" s="66">
        <f>INDEX(Projects[PS Pallet Locations],274)</f>
        <v/>
      </c>
      <c r="I275" s="66">
        <f>INDEX(Projects[SRM Cranes],274)</f>
        <v/>
      </c>
      <c r="J275" s="66">
        <f>INDEX(Projects[SRM Pallet Locations],274)</f>
        <v/>
      </c>
      <c r="K275" s="66">
        <f>INDEX(Projects[Case Conv (m)],274)</f>
        <v/>
      </c>
      <c r="L275" s="66">
        <f>INDEX(Projects[Pallet Conv (m)],274)</f>
        <v/>
      </c>
      <c r="M275" s="66">
        <f>INDEX(Projects[Mech Eng (wks)],274)</f>
        <v/>
      </c>
      <c r="N275" s="66">
        <f>INDEX(Projects[Controls Eng (wks)],274)</f>
        <v/>
      </c>
      <c r="O275" s="66">
        <f>INDEX(Projects[Systems Eng (wks)],274)</f>
        <v/>
      </c>
      <c r="P275" s="66">
        <f>INDEX(Projects[Software Eng (wks)],274)</f>
        <v/>
      </c>
      <c r="Q275" s="66">
        <f>INDEX(Projects[M&amp;E Installation (wks)],274)</f>
        <v/>
      </c>
      <c r="R275" s="66">
        <f>INDEX(Projects[Commissioning (wks)],274)</f>
        <v/>
      </c>
      <c r="S275" s="66">
        <f>INDEX(Projects[Total Timeline (wks)],274)</f>
        <v/>
      </c>
      <c r="T275" s="66">
        <f>INDEX(Projects[Currency],274)&amp;""</f>
        <v/>
      </c>
      <c r="U275" s="67">
        <f>INDEX(Projects[Value (M)],274)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INDEX(Projects[Automation Equipment],274)&amp;""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IF(AND(A275&lt;&gt;"",OR('Smart Search'!$L$5="",'Smart Search'!$L$5="All",TRIM(BZ275)=TRIM('Smart Search'!$L$5)),OR(TRIM('Smart Search'!$L$6)="",TRIM('Smart Search'!$L$6)="All",ISNUMBER(SEARCH(SUBSTITUTE(SUBSTITUTE(SUBSTITUTE(TRIM('Smart Search'!$L$6),"~","~~"),"*","~*"),"?","~?"),CA275))),OR('Smart Search'!$L$7="",AND(CB275&lt;&gt;0,CB275='Smart Search'!$L$7)),OR('Smart Search'!$L$8="",'Smart Search'!$L$8="All",TRIM(CC275)=TRIM('Smart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IF(A275="","",N(INDEX(Projects[Mech Inst],274)))</f>
        <v/>
      </c>
      <c r="BK275" s="5">
        <f>IF(A275="","",N(INDEX(Projects[Elec Inst],274)))</f>
        <v/>
      </c>
      <c r="BL275" s="5">
        <f>IF(A275="","",N(INDEX(Projects[Project Management],274)))</f>
        <v/>
      </c>
      <c r="BM275" s="5">
        <f>IF(A275="","",N(INDEX(Projects[Systems Eng],274)))</f>
        <v/>
      </c>
      <c r="BN275" s="5">
        <f>IF(A275="","",N(INDEX(Projects[Mechanical Eng],274)))</f>
        <v/>
      </c>
      <c r="BO275" s="5">
        <f>IF(A275="","",N(INDEX(Projects[Structural Engineering],274)))</f>
        <v/>
      </c>
      <c r="BP275" s="5">
        <f>IF(A275="","",N(INDEX(Projects[Site Sup],274)))</f>
        <v/>
      </c>
      <c r="BQ275" s="5">
        <f>IF(A275="","",N(INDEX(Projects[Controls Commissioning],274)))</f>
        <v/>
      </c>
      <c r="BR275" s="5">
        <f>IF(A275="","",N(INDEX(Projects[Systems Commissioning],274)))</f>
        <v/>
      </c>
      <c r="BS275" s="5">
        <f>IF(A275="","",N(INDEX(Projects[Service Commissioning],274)))</f>
        <v/>
      </c>
      <c r="BT275" s="5">
        <f>IF(A275="","",N(INDEX(Projects[Controls Eng],274)))</f>
        <v/>
      </c>
      <c r="BU275" s="5">
        <f>IF(A275="","",N(INDEX(Projects[Controls Purchase],274)))</f>
        <v/>
      </c>
      <c r="BV275" s="5">
        <f>IF(A275="","",N(INDEX(Projects[Software Eng],274)))</f>
        <v/>
      </c>
      <c r="BW275" s="5">
        <f>IF(A275="","",N(INDEX(Projects[Misc],274)))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  <c r="BZ275" s="5">
        <f>INDEX(Projects[Solution Type],274)&amp;""</f>
        <v/>
      </c>
      <c r="CA275" s="5">
        <f>INDEX(Projects[Client / Region],274)&amp;""</f>
        <v/>
      </c>
      <c r="CB275" s="5">
        <f>INDEX(Projects[Year],274)</f>
        <v/>
      </c>
      <c r="CC275" s="5">
        <f>INDEX(Projects[Won?],274)&amp;""</f>
        <v/>
      </c>
      <c r="CD275" s="5">
        <f>INDEX(Projects[Value (USD M)],274)</f>
        <v/>
      </c>
      <c r="CE275" s="5">
        <f>INDEX(Projects[MH Data Status],274)&amp;""</f>
        <v/>
      </c>
    </row>
    <row r="276" ht="15" customHeight="1" s="74">
      <c r="A276" s="66">
        <f>INDEX(Projects[Project ID *],275)&amp;""</f>
        <v/>
      </c>
      <c r="B276" s="66">
        <f>INDEX(Projects[Project Name *],275)&amp;""</f>
        <v/>
      </c>
      <c r="C276" s="66">
        <f>INDEX(Projects[MS Shuttles],275)</f>
        <v/>
      </c>
      <c r="D276" s="66">
        <f>INDEX(Projects[MS Tote Locations],275)</f>
        <v/>
      </c>
      <c r="E276" s="66">
        <f>INDEX(Projects[AS Robots],275)</f>
        <v/>
      </c>
      <c r="F276" s="66">
        <f>INDEX(Projects[AS Tote Locations],275)</f>
        <v/>
      </c>
      <c r="G276" s="66">
        <f>INDEX(Projects[PS Shuttles],275)</f>
        <v/>
      </c>
      <c r="H276" s="66">
        <f>INDEX(Projects[PS Pallet Locations],275)</f>
        <v/>
      </c>
      <c r="I276" s="66">
        <f>INDEX(Projects[SRM Cranes],275)</f>
        <v/>
      </c>
      <c r="J276" s="66">
        <f>INDEX(Projects[SRM Pallet Locations],275)</f>
        <v/>
      </c>
      <c r="K276" s="66">
        <f>INDEX(Projects[Case Conv (m)],275)</f>
        <v/>
      </c>
      <c r="L276" s="66">
        <f>INDEX(Projects[Pallet Conv (m)],275)</f>
        <v/>
      </c>
      <c r="M276" s="66">
        <f>INDEX(Projects[Mech Eng (wks)],275)</f>
        <v/>
      </c>
      <c r="N276" s="66">
        <f>INDEX(Projects[Controls Eng (wks)],275)</f>
        <v/>
      </c>
      <c r="O276" s="66">
        <f>INDEX(Projects[Systems Eng (wks)],275)</f>
        <v/>
      </c>
      <c r="P276" s="66">
        <f>INDEX(Projects[Software Eng (wks)],275)</f>
        <v/>
      </c>
      <c r="Q276" s="66">
        <f>INDEX(Projects[M&amp;E Installation (wks)],275)</f>
        <v/>
      </c>
      <c r="R276" s="66">
        <f>INDEX(Projects[Commissioning (wks)],275)</f>
        <v/>
      </c>
      <c r="S276" s="66">
        <f>INDEX(Projects[Total Timeline (wks)],275)</f>
        <v/>
      </c>
      <c r="T276" s="66">
        <f>INDEX(Projects[Currency],275)&amp;""</f>
        <v/>
      </c>
      <c r="U276" s="67">
        <f>INDEX(Projects[Value (M)],275)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INDEX(Projects[Automation Equipment],275)&amp;""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IF(AND(A276&lt;&gt;"",OR('Smart Search'!$L$5="",'Smart Search'!$L$5="All",TRIM(BZ276)=TRIM('Smart Search'!$L$5)),OR(TRIM('Smart Search'!$L$6)="",TRIM('Smart Search'!$L$6)="All",ISNUMBER(SEARCH(SUBSTITUTE(SUBSTITUTE(SUBSTITUTE(TRIM('Smart Search'!$L$6),"~","~~"),"*","~*"),"?","~?"),CA276))),OR('Smart Search'!$L$7="",AND(CB276&lt;&gt;0,CB276='Smart Search'!$L$7)),OR('Smart Search'!$L$8="",'Smart Search'!$L$8="All",TRIM(CC276)=TRIM('Smart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IF(A276="","",N(INDEX(Projects[Mech Inst],275)))</f>
        <v/>
      </c>
      <c r="BK276" s="5">
        <f>IF(A276="","",N(INDEX(Projects[Elec Inst],275)))</f>
        <v/>
      </c>
      <c r="BL276" s="5">
        <f>IF(A276="","",N(INDEX(Projects[Project Management],275)))</f>
        <v/>
      </c>
      <c r="BM276" s="5">
        <f>IF(A276="","",N(INDEX(Projects[Systems Eng],275)))</f>
        <v/>
      </c>
      <c r="BN276" s="5">
        <f>IF(A276="","",N(INDEX(Projects[Mechanical Eng],275)))</f>
        <v/>
      </c>
      <c r="BO276" s="5">
        <f>IF(A276="","",N(INDEX(Projects[Structural Engineering],275)))</f>
        <v/>
      </c>
      <c r="BP276" s="5">
        <f>IF(A276="","",N(INDEX(Projects[Site Sup],275)))</f>
        <v/>
      </c>
      <c r="BQ276" s="5">
        <f>IF(A276="","",N(INDEX(Projects[Controls Commissioning],275)))</f>
        <v/>
      </c>
      <c r="BR276" s="5">
        <f>IF(A276="","",N(INDEX(Projects[Systems Commissioning],275)))</f>
        <v/>
      </c>
      <c r="BS276" s="5">
        <f>IF(A276="","",N(INDEX(Projects[Service Commissioning],275)))</f>
        <v/>
      </c>
      <c r="BT276" s="5">
        <f>IF(A276="","",N(INDEX(Projects[Controls Eng],275)))</f>
        <v/>
      </c>
      <c r="BU276" s="5">
        <f>IF(A276="","",N(INDEX(Projects[Controls Purchase],275)))</f>
        <v/>
      </c>
      <c r="BV276" s="5">
        <f>IF(A276="","",N(INDEX(Projects[Software Eng],275)))</f>
        <v/>
      </c>
      <c r="BW276" s="5">
        <f>IF(A276="","",N(INDEX(Projects[Misc],275)))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  <c r="BZ276" s="5">
        <f>INDEX(Projects[Solution Type],275)&amp;""</f>
        <v/>
      </c>
      <c r="CA276" s="5">
        <f>INDEX(Projects[Client / Region],275)&amp;""</f>
        <v/>
      </c>
      <c r="CB276" s="5">
        <f>INDEX(Projects[Year],275)</f>
        <v/>
      </c>
      <c r="CC276" s="5">
        <f>INDEX(Projects[Won?],275)&amp;""</f>
        <v/>
      </c>
      <c r="CD276" s="5">
        <f>INDEX(Projects[Value (USD M)],275)</f>
        <v/>
      </c>
      <c r="CE276" s="5">
        <f>INDEX(Projects[MH Data Status],275)&amp;""</f>
        <v/>
      </c>
    </row>
    <row r="277" ht="15" customHeight="1" s="74">
      <c r="A277" s="66">
        <f>INDEX(Projects[Project ID *],276)&amp;""</f>
        <v/>
      </c>
      <c r="B277" s="66">
        <f>INDEX(Projects[Project Name *],276)&amp;""</f>
        <v/>
      </c>
      <c r="C277" s="66">
        <f>INDEX(Projects[MS Shuttles],276)</f>
        <v/>
      </c>
      <c r="D277" s="66">
        <f>INDEX(Projects[MS Tote Locations],276)</f>
        <v/>
      </c>
      <c r="E277" s="66">
        <f>INDEX(Projects[AS Robots],276)</f>
        <v/>
      </c>
      <c r="F277" s="66">
        <f>INDEX(Projects[AS Tote Locations],276)</f>
        <v/>
      </c>
      <c r="G277" s="66">
        <f>INDEX(Projects[PS Shuttles],276)</f>
        <v/>
      </c>
      <c r="H277" s="66">
        <f>INDEX(Projects[PS Pallet Locations],276)</f>
        <v/>
      </c>
      <c r="I277" s="66">
        <f>INDEX(Projects[SRM Cranes],276)</f>
        <v/>
      </c>
      <c r="J277" s="66">
        <f>INDEX(Projects[SRM Pallet Locations],276)</f>
        <v/>
      </c>
      <c r="K277" s="66">
        <f>INDEX(Projects[Case Conv (m)],276)</f>
        <v/>
      </c>
      <c r="L277" s="66">
        <f>INDEX(Projects[Pallet Conv (m)],276)</f>
        <v/>
      </c>
      <c r="M277" s="66">
        <f>INDEX(Projects[Mech Eng (wks)],276)</f>
        <v/>
      </c>
      <c r="N277" s="66">
        <f>INDEX(Projects[Controls Eng (wks)],276)</f>
        <v/>
      </c>
      <c r="O277" s="66">
        <f>INDEX(Projects[Systems Eng (wks)],276)</f>
        <v/>
      </c>
      <c r="P277" s="66">
        <f>INDEX(Projects[Software Eng (wks)],276)</f>
        <v/>
      </c>
      <c r="Q277" s="66">
        <f>INDEX(Projects[M&amp;E Installation (wks)],276)</f>
        <v/>
      </c>
      <c r="R277" s="66">
        <f>INDEX(Projects[Commissioning (wks)],276)</f>
        <v/>
      </c>
      <c r="S277" s="66">
        <f>INDEX(Projects[Total Timeline (wks)],276)</f>
        <v/>
      </c>
      <c r="T277" s="66">
        <f>INDEX(Projects[Currency],276)&amp;""</f>
        <v/>
      </c>
      <c r="U277" s="67">
        <f>INDEX(Projects[Value (M)],276)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INDEX(Projects[Automation Equipment],276)&amp;""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IF(AND(A277&lt;&gt;"",OR('Smart Search'!$L$5="",'Smart Search'!$L$5="All",TRIM(BZ277)=TRIM('Smart Search'!$L$5)),OR(TRIM('Smart Search'!$L$6)="",TRIM('Smart Search'!$L$6)="All",ISNUMBER(SEARCH(SUBSTITUTE(SUBSTITUTE(SUBSTITUTE(TRIM('Smart Search'!$L$6),"~","~~"),"*","~*"),"?","~?"),CA277))),OR('Smart Search'!$L$7="",AND(CB277&lt;&gt;0,CB277='Smart Search'!$L$7)),OR('Smart Search'!$L$8="",'Smart Search'!$L$8="All",TRIM(CC277)=TRIM('Smart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IF(A277="","",N(INDEX(Projects[Mech Inst],276)))</f>
        <v/>
      </c>
      <c r="BK277" s="5">
        <f>IF(A277="","",N(INDEX(Projects[Elec Inst],276)))</f>
        <v/>
      </c>
      <c r="BL277" s="5">
        <f>IF(A277="","",N(INDEX(Projects[Project Management],276)))</f>
        <v/>
      </c>
      <c r="BM277" s="5">
        <f>IF(A277="","",N(INDEX(Projects[Systems Eng],276)))</f>
        <v/>
      </c>
      <c r="BN277" s="5">
        <f>IF(A277="","",N(INDEX(Projects[Mechanical Eng],276)))</f>
        <v/>
      </c>
      <c r="BO277" s="5">
        <f>IF(A277="","",N(INDEX(Projects[Structural Engineering],276)))</f>
        <v/>
      </c>
      <c r="BP277" s="5">
        <f>IF(A277="","",N(INDEX(Projects[Site Sup],276)))</f>
        <v/>
      </c>
      <c r="BQ277" s="5">
        <f>IF(A277="","",N(INDEX(Projects[Controls Commissioning],276)))</f>
        <v/>
      </c>
      <c r="BR277" s="5">
        <f>IF(A277="","",N(INDEX(Projects[Systems Commissioning],276)))</f>
        <v/>
      </c>
      <c r="BS277" s="5">
        <f>IF(A277="","",N(INDEX(Projects[Service Commissioning],276)))</f>
        <v/>
      </c>
      <c r="BT277" s="5">
        <f>IF(A277="","",N(INDEX(Projects[Controls Eng],276)))</f>
        <v/>
      </c>
      <c r="BU277" s="5">
        <f>IF(A277="","",N(INDEX(Projects[Controls Purchase],276)))</f>
        <v/>
      </c>
      <c r="BV277" s="5">
        <f>IF(A277="","",N(INDEX(Projects[Software Eng],276)))</f>
        <v/>
      </c>
      <c r="BW277" s="5">
        <f>IF(A277="","",N(INDEX(Projects[Misc],276)))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  <c r="BZ277" s="5">
        <f>INDEX(Projects[Solution Type],276)&amp;""</f>
        <v/>
      </c>
      <c r="CA277" s="5">
        <f>INDEX(Projects[Client / Region],276)&amp;""</f>
        <v/>
      </c>
      <c r="CB277" s="5">
        <f>INDEX(Projects[Year],276)</f>
        <v/>
      </c>
      <c r="CC277" s="5">
        <f>INDEX(Projects[Won?],276)&amp;""</f>
        <v/>
      </c>
      <c r="CD277" s="5">
        <f>INDEX(Projects[Value (USD M)],276)</f>
        <v/>
      </c>
      <c r="CE277" s="5">
        <f>INDEX(Projects[MH Data Status],276)&amp;""</f>
        <v/>
      </c>
    </row>
    <row r="278" ht="15" customHeight="1" s="74">
      <c r="A278" s="66">
        <f>INDEX(Projects[Project ID *],277)&amp;""</f>
        <v/>
      </c>
      <c r="B278" s="66">
        <f>INDEX(Projects[Project Name *],277)&amp;""</f>
        <v/>
      </c>
      <c r="C278" s="66">
        <f>INDEX(Projects[MS Shuttles],277)</f>
        <v/>
      </c>
      <c r="D278" s="66">
        <f>INDEX(Projects[MS Tote Locations],277)</f>
        <v/>
      </c>
      <c r="E278" s="66">
        <f>INDEX(Projects[AS Robots],277)</f>
        <v/>
      </c>
      <c r="F278" s="66">
        <f>INDEX(Projects[AS Tote Locations],277)</f>
        <v/>
      </c>
      <c r="G278" s="66">
        <f>INDEX(Projects[PS Shuttles],277)</f>
        <v/>
      </c>
      <c r="H278" s="66">
        <f>INDEX(Projects[PS Pallet Locations],277)</f>
        <v/>
      </c>
      <c r="I278" s="66">
        <f>INDEX(Projects[SRM Cranes],277)</f>
        <v/>
      </c>
      <c r="J278" s="66">
        <f>INDEX(Projects[SRM Pallet Locations],277)</f>
        <v/>
      </c>
      <c r="K278" s="66">
        <f>INDEX(Projects[Case Conv (m)],277)</f>
        <v/>
      </c>
      <c r="L278" s="66">
        <f>INDEX(Projects[Pallet Conv (m)],277)</f>
        <v/>
      </c>
      <c r="M278" s="66">
        <f>INDEX(Projects[Mech Eng (wks)],277)</f>
        <v/>
      </c>
      <c r="N278" s="66">
        <f>INDEX(Projects[Controls Eng (wks)],277)</f>
        <v/>
      </c>
      <c r="O278" s="66">
        <f>INDEX(Projects[Systems Eng (wks)],277)</f>
        <v/>
      </c>
      <c r="P278" s="66">
        <f>INDEX(Projects[Software Eng (wks)],277)</f>
        <v/>
      </c>
      <c r="Q278" s="66">
        <f>INDEX(Projects[M&amp;E Installation (wks)],277)</f>
        <v/>
      </c>
      <c r="R278" s="66">
        <f>INDEX(Projects[Commissioning (wks)],277)</f>
        <v/>
      </c>
      <c r="S278" s="66">
        <f>INDEX(Projects[Total Timeline (wks)],277)</f>
        <v/>
      </c>
      <c r="T278" s="66">
        <f>INDEX(Projects[Currency],277)&amp;""</f>
        <v/>
      </c>
      <c r="U278" s="67">
        <f>INDEX(Projects[Value (M)],277)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INDEX(Projects[Automation Equipment],277)&amp;""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IF(AND(A278&lt;&gt;"",OR('Smart Search'!$L$5="",'Smart Search'!$L$5="All",TRIM(BZ278)=TRIM('Smart Search'!$L$5)),OR(TRIM('Smart Search'!$L$6)="",TRIM('Smart Search'!$L$6)="All",ISNUMBER(SEARCH(SUBSTITUTE(SUBSTITUTE(SUBSTITUTE(TRIM('Smart Search'!$L$6),"~","~~"),"*","~*"),"?","~?"),CA278))),OR('Smart Search'!$L$7="",AND(CB278&lt;&gt;0,CB278='Smart Search'!$L$7)),OR('Smart Search'!$L$8="",'Smart Search'!$L$8="All",TRIM(CC278)=TRIM('Smart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IF(A278="","",N(INDEX(Projects[Mech Inst],277)))</f>
        <v/>
      </c>
      <c r="BK278" s="5">
        <f>IF(A278="","",N(INDEX(Projects[Elec Inst],277)))</f>
        <v/>
      </c>
      <c r="BL278" s="5">
        <f>IF(A278="","",N(INDEX(Projects[Project Management],277)))</f>
        <v/>
      </c>
      <c r="BM278" s="5">
        <f>IF(A278="","",N(INDEX(Projects[Systems Eng],277)))</f>
        <v/>
      </c>
      <c r="BN278" s="5">
        <f>IF(A278="","",N(INDEX(Projects[Mechanical Eng],277)))</f>
        <v/>
      </c>
      <c r="BO278" s="5">
        <f>IF(A278="","",N(INDEX(Projects[Structural Engineering],277)))</f>
        <v/>
      </c>
      <c r="BP278" s="5">
        <f>IF(A278="","",N(INDEX(Projects[Site Sup],277)))</f>
        <v/>
      </c>
      <c r="BQ278" s="5">
        <f>IF(A278="","",N(INDEX(Projects[Controls Commissioning],277)))</f>
        <v/>
      </c>
      <c r="BR278" s="5">
        <f>IF(A278="","",N(INDEX(Projects[Systems Commissioning],277)))</f>
        <v/>
      </c>
      <c r="BS278" s="5">
        <f>IF(A278="","",N(INDEX(Projects[Service Commissioning],277)))</f>
        <v/>
      </c>
      <c r="BT278" s="5">
        <f>IF(A278="","",N(INDEX(Projects[Controls Eng],277)))</f>
        <v/>
      </c>
      <c r="BU278" s="5">
        <f>IF(A278="","",N(INDEX(Projects[Controls Purchase],277)))</f>
        <v/>
      </c>
      <c r="BV278" s="5">
        <f>IF(A278="","",N(INDEX(Projects[Software Eng],277)))</f>
        <v/>
      </c>
      <c r="BW278" s="5">
        <f>IF(A278="","",N(INDEX(Projects[Misc],277)))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  <c r="BZ278" s="5">
        <f>INDEX(Projects[Solution Type],277)&amp;""</f>
        <v/>
      </c>
      <c r="CA278" s="5">
        <f>INDEX(Projects[Client / Region],277)&amp;""</f>
        <v/>
      </c>
      <c r="CB278" s="5">
        <f>INDEX(Projects[Year],277)</f>
        <v/>
      </c>
      <c r="CC278" s="5">
        <f>INDEX(Projects[Won?],277)&amp;""</f>
        <v/>
      </c>
      <c r="CD278" s="5">
        <f>INDEX(Projects[Value (USD M)],277)</f>
        <v/>
      </c>
      <c r="CE278" s="5">
        <f>INDEX(Projects[MH Data Status],277)&amp;""</f>
        <v/>
      </c>
    </row>
    <row r="279" ht="15" customHeight="1" s="74">
      <c r="A279" s="66">
        <f>INDEX(Projects[Project ID *],278)&amp;""</f>
        <v/>
      </c>
      <c r="B279" s="66">
        <f>INDEX(Projects[Project Name *],278)&amp;""</f>
        <v/>
      </c>
      <c r="C279" s="66">
        <f>INDEX(Projects[MS Shuttles],278)</f>
        <v/>
      </c>
      <c r="D279" s="66">
        <f>INDEX(Projects[MS Tote Locations],278)</f>
        <v/>
      </c>
      <c r="E279" s="66">
        <f>INDEX(Projects[AS Robots],278)</f>
        <v/>
      </c>
      <c r="F279" s="66">
        <f>INDEX(Projects[AS Tote Locations],278)</f>
        <v/>
      </c>
      <c r="G279" s="66">
        <f>INDEX(Projects[PS Shuttles],278)</f>
        <v/>
      </c>
      <c r="H279" s="66">
        <f>INDEX(Projects[PS Pallet Locations],278)</f>
        <v/>
      </c>
      <c r="I279" s="66">
        <f>INDEX(Projects[SRM Cranes],278)</f>
        <v/>
      </c>
      <c r="J279" s="66">
        <f>INDEX(Projects[SRM Pallet Locations],278)</f>
        <v/>
      </c>
      <c r="K279" s="66">
        <f>INDEX(Projects[Case Conv (m)],278)</f>
        <v/>
      </c>
      <c r="L279" s="66">
        <f>INDEX(Projects[Pallet Conv (m)],278)</f>
        <v/>
      </c>
      <c r="M279" s="66">
        <f>INDEX(Projects[Mech Eng (wks)],278)</f>
        <v/>
      </c>
      <c r="N279" s="66">
        <f>INDEX(Projects[Controls Eng (wks)],278)</f>
        <v/>
      </c>
      <c r="O279" s="66">
        <f>INDEX(Projects[Systems Eng (wks)],278)</f>
        <v/>
      </c>
      <c r="P279" s="66">
        <f>INDEX(Projects[Software Eng (wks)],278)</f>
        <v/>
      </c>
      <c r="Q279" s="66">
        <f>INDEX(Projects[M&amp;E Installation (wks)],278)</f>
        <v/>
      </c>
      <c r="R279" s="66">
        <f>INDEX(Projects[Commissioning (wks)],278)</f>
        <v/>
      </c>
      <c r="S279" s="66">
        <f>INDEX(Projects[Total Timeline (wks)],278)</f>
        <v/>
      </c>
      <c r="T279" s="66">
        <f>INDEX(Projects[Currency],278)&amp;""</f>
        <v/>
      </c>
      <c r="U279" s="67">
        <f>INDEX(Projects[Value (M)],278)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INDEX(Projects[Automation Equipment],278)&amp;""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IF(AND(A279&lt;&gt;"",OR('Smart Search'!$L$5="",'Smart Search'!$L$5="All",TRIM(BZ279)=TRIM('Smart Search'!$L$5)),OR(TRIM('Smart Search'!$L$6)="",TRIM('Smart Search'!$L$6)="All",ISNUMBER(SEARCH(SUBSTITUTE(SUBSTITUTE(SUBSTITUTE(TRIM('Smart Search'!$L$6),"~","~~"),"*","~*"),"?","~?"),CA279))),OR('Smart Search'!$L$7="",AND(CB279&lt;&gt;0,CB279='Smart Search'!$L$7)),OR('Smart Search'!$L$8="",'Smart Search'!$L$8="All",TRIM(CC279)=TRIM('Smart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IF(A279="","",N(INDEX(Projects[Mech Inst],278)))</f>
        <v/>
      </c>
      <c r="BK279" s="5">
        <f>IF(A279="","",N(INDEX(Projects[Elec Inst],278)))</f>
        <v/>
      </c>
      <c r="BL279" s="5">
        <f>IF(A279="","",N(INDEX(Projects[Project Management],278)))</f>
        <v/>
      </c>
      <c r="BM279" s="5">
        <f>IF(A279="","",N(INDEX(Projects[Systems Eng],278)))</f>
        <v/>
      </c>
      <c r="BN279" s="5">
        <f>IF(A279="","",N(INDEX(Projects[Mechanical Eng],278)))</f>
        <v/>
      </c>
      <c r="BO279" s="5">
        <f>IF(A279="","",N(INDEX(Projects[Structural Engineering],278)))</f>
        <v/>
      </c>
      <c r="BP279" s="5">
        <f>IF(A279="","",N(INDEX(Projects[Site Sup],278)))</f>
        <v/>
      </c>
      <c r="BQ279" s="5">
        <f>IF(A279="","",N(INDEX(Projects[Controls Commissioning],278)))</f>
        <v/>
      </c>
      <c r="BR279" s="5">
        <f>IF(A279="","",N(INDEX(Projects[Systems Commissioning],278)))</f>
        <v/>
      </c>
      <c r="BS279" s="5">
        <f>IF(A279="","",N(INDEX(Projects[Service Commissioning],278)))</f>
        <v/>
      </c>
      <c r="BT279" s="5">
        <f>IF(A279="","",N(INDEX(Projects[Controls Eng],278)))</f>
        <v/>
      </c>
      <c r="BU279" s="5">
        <f>IF(A279="","",N(INDEX(Projects[Controls Purchase],278)))</f>
        <v/>
      </c>
      <c r="BV279" s="5">
        <f>IF(A279="","",N(INDEX(Projects[Software Eng],278)))</f>
        <v/>
      </c>
      <c r="BW279" s="5">
        <f>IF(A279="","",N(INDEX(Projects[Misc],278)))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  <c r="BZ279" s="5">
        <f>INDEX(Projects[Solution Type],278)&amp;""</f>
        <v/>
      </c>
      <c r="CA279" s="5">
        <f>INDEX(Projects[Client / Region],278)&amp;""</f>
        <v/>
      </c>
      <c r="CB279" s="5">
        <f>INDEX(Projects[Year],278)</f>
        <v/>
      </c>
      <c r="CC279" s="5">
        <f>INDEX(Projects[Won?],278)&amp;""</f>
        <v/>
      </c>
      <c r="CD279" s="5">
        <f>INDEX(Projects[Value (USD M)],278)</f>
        <v/>
      </c>
      <c r="CE279" s="5">
        <f>INDEX(Projects[MH Data Status],278)&amp;""</f>
        <v/>
      </c>
    </row>
    <row r="280" ht="15" customHeight="1" s="74">
      <c r="A280" s="66">
        <f>INDEX(Projects[Project ID *],279)&amp;""</f>
        <v/>
      </c>
      <c r="B280" s="66">
        <f>INDEX(Projects[Project Name *],279)&amp;""</f>
        <v/>
      </c>
      <c r="C280" s="66">
        <f>INDEX(Projects[MS Shuttles],279)</f>
        <v/>
      </c>
      <c r="D280" s="66">
        <f>INDEX(Projects[MS Tote Locations],279)</f>
        <v/>
      </c>
      <c r="E280" s="66">
        <f>INDEX(Projects[AS Robots],279)</f>
        <v/>
      </c>
      <c r="F280" s="66">
        <f>INDEX(Projects[AS Tote Locations],279)</f>
        <v/>
      </c>
      <c r="G280" s="66">
        <f>INDEX(Projects[PS Shuttles],279)</f>
        <v/>
      </c>
      <c r="H280" s="66">
        <f>INDEX(Projects[PS Pallet Locations],279)</f>
        <v/>
      </c>
      <c r="I280" s="66">
        <f>INDEX(Projects[SRM Cranes],279)</f>
        <v/>
      </c>
      <c r="J280" s="66">
        <f>INDEX(Projects[SRM Pallet Locations],279)</f>
        <v/>
      </c>
      <c r="K280" s="66">
        <f>INDEX(Projects[Case Conv (m)],279)</f>
        <v/>
      </c>
      <c r="L280" s="66">
        <f>INDEX(Projects[Pallet Conv (m)],279)</f>
        <v/>
      </c>
      <c r="M280" s="66">
        <f>INDEX(Projects[Mech Eng (wks)],279)</f>
        <v/>
      </c>
      <c r="N280" s="66">
        <f>INDEX(Projects[Controls Eng (wks)],279)</f>
        <v/>
      </c>
      <c r="O280" s="66">
        <f>INDEX(Projects[Systems Eng (wks)],279)</f>
        <v/>
      </c>
      <c r="P280" s="66">
        <f>INDEX(Projects[Software Eng (wks)],279)</f>
        <v/>
      </c>
      <c r="Q280" s="66">
        <f>INDEX(Projects[M&amp;E Installation (wks)],279)</f>
        <v/>
      </c>
      <c r="R280" s="66">
        <f>INDEX(Projects[Commissioning (wks)],279)</f>
        <v/>
      </c>
      <c r="S280" s="66">
        <f>INDEX(Projects[Total Timeline (wks)],279)</f>
        <v/>
      </c>
      <c r="T280" s="66">
        <f>INDEX(Projects[Currency],279)&amp;""</f>
        <v/>
      </c>
      <c r="U280" s="67">
        <f>INDEX(Projects[Value (M)],279)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INDEX(Projects[Automation Equipment],279)&amp;""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IF(AND(A280&lt;&gt;"",OR('Smart Search'!$L$5="",'Smart Search'!$L$5="All",TRIM(BZ280)=TRIM('Smart Search'!$L$5)),OR(TRIM('Smart Search'!$L$6)="",TRIM('Smart Search'!$L$6)="All",ISNUMBER(SEARCH(SUBSTITUTE(SUBSTITUTE(SUBSTITUTE(TRIM('Smart Search'!$L$6),"~","~~"),"*","~*"),"?","~?"),CA280))),OR('Smart Search'!$L$7="",AND(CB280&lt;&gt;0,CB280='Smart Search'!$L$7)),OR('Smart Search'!$L$8="",'Smart Search'!$L$8="All",TRIM(CC280)=TRIM('Smart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IF(A280="","",N(INDEX(Projects[Mech Inst],279)))</f>
        <v/>
      </c>
      <c r="BK280" s="5">
        <f>IF(A280="","",N(INDEX(Projects[Elec Inst],279)))</f>
        <v/>
      </c>
      <c r="BL280" s="5">
        <f>IF(A280="","",N(INDEX(Projects[Project Management],279)))</f>
        <v/>
      </c>
      <c r="BM280" s="5">
        <f>IF(A280="","",N(INDEX(Projects[Systems Eng],279)))</f>
        <v/>
      </c>
      <c r="BN280" s="5">
        <f>IF(A280="","",N(INDEX(Projects[Mechanical Eng],279)))</f>
        <v/>
      </c>
      <c r="BO280" s="5">
        <f>IF(A280="","",N(INDEX(Projects[Structural Engineering],279)))</f>
        <v/>
      </c>
      <c r="BP280" s="5">
        <f>IF(A280="","",N(INDEX(Projects[Site Sup],279)))</f>
        <v/>
      </c>
      <c r="BQ280" s="5">
        <f>IF(A280="","",N(INDEX(Projects[Controls Commissioning],279)))</f>
        <v/>
      </c>
      <c r="BR280" s="5">
        <f>IF(A280="","",N(INDEX(Projects[Systems Commissioning],279)))</f>
        <v/>
      </c>
      <c r="BS280" s="5">
        <f>IF(A280="","",N(INDEX(Projects[Service Commissioning],279)))</f>
        <v/>
      </c>
      <c r="BT280" s="5">
        <f>IF(A280="","",N(INDEX(Projects[Controls Eng],279)))</f>
        <v/>
      </c>
      <c r="BU280" s="5">
        <f>IF(A280="","",N(INDEX(Projects[Controls Purchase],279)))</f>
        <v/>
      </c>
      <c r="BV280" s="5">
        <f>IF(A280="","",N(INDEX(Projects[Software Eng],279)))</f>
        <v/>
      </c>
      <c r="BW280" s="5">
        <f>IF(A280="","",N(INDEX(Projects[Misc],279)))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  <c r="BZ280" s="5">
        <f>INDEX(Projects[Solution Type],279)&amp;""</f>
        <v/>
      </c>
      <c r="CA280" s="5">
        <f>INDEX(Projects[Client / Region],279)&amp;""</f>
        <v/>
      </c>
      <c r="CB280" s="5">
        <f>INDEX(Projects[Year],279)</f>
        <v/>
      </c>
      <c r="CC280" s="5">
        <f>INDEX(Projects[Won?],279)&amp;""</f>
        <v/>
      </c>
      <c r="CD280" s="5">
        <f>INDEX(Projects[Value (USD M)],279)</f>
        <v/>
      </c>
      <c r="CE280" s="5">
        <f>INDEX(Projects[MH Data Status],279)&amp;""</f>
        <v/>
      </c>
    </row>
    <row r="281" ht="15" customHeight="1" s="74">
      <c r="A281" s="66">
        <f>INDEX(Projects[Project ID *],280)&amp;""</f>
        <v/>
      </c>
      <c r="B281" s="66">
        <f>INDEX(Projects[Project Name *],280)&amp;""</f>
        <v/>
      </c>
      <c r="C281" s="66">
        <f>INDEX(Projects[MS Shuttles],280)</f>
        <v/>
      </c>
      <c r="D281" s="66">
        <f>INDEX(Projects[MS Tote Locations],280)</f>
        <v/>
      </c>
      <c r="E281" s="66">
        <f>INDEX(Projects[AS Robots],280)</f>
        <v/>
      </c>
      <c r="F281" s="66">
        <f>INDEX(Projects[AS Tote Locations],280)</f>
        <v/>
      </c>
      <c r="G281" s="66">
        <f>INDEX(Projects[PS Shuttles],280)</f>
        <v/>
      </c>
      <c r="H281" s="66">
        <f>INDEX(Projects[PS Pallet Locations],280)</f>
        <v/>
      </c>
      <c r="I281" s="66">
        <f>INDEX(Projects[SRM Cranes],280)</f>
        <v/>
      </c>
      <c r="J281" s="66">
        <f>INDEX(Projects[SRM Pallet Locations],280)</f>
        <v/>
      </c>
      <c r="K281" s="66">
        <f>INDEX(Projects[Case Conv (m)],280)</f>
        <v/>
      </c>
      <c r="L281" s="66">
        <f>INDEX(Projects[Pallet Conv (m)],280)</f>
        <v/>
      </c>
      <c r="M281" s="66">
        <f>INDEX(Projects[Mech Eng (wks)],280)</f>
        <v/>
      </c>
      <c r="N281" s="66">
        <f>INDEX(Projects[Controls Eng (wks)],280)</f>
        <v/>
      </c>
      <c r="O281" s="66">
        <f>INDEX(Projects[Systems Eng (wks)],280)</f>
        <v/>
      </c>
      <c r="P281" s="66">
        <f>INDEX(Projects[Software Eng (wks)],280)</f>
        <v/>
      </c>
      <c r="Q281" s="66">
        <f>INDEX(Projects[M&amp;E Installation (wks)],280)</f>
        <v/>
      </c>
      <c r="R281" s="66">
        <f>INDEX(Projects[Commissioning (wks)],280)</f>
        <v/>
      </c>
      <c r="S281" s="66">
        <f>INDEX(Projects[Total Timeline (wks)],280)</f>
        <v/>
      </c>
      <c r="T281" s="66">
        <f>INDEX(Projects[Currency],280)&amp;""</f>
        <v/>
      </c>
      <c r="U281" s="67">
        <f>INDEX(Projects[Value (M)],280)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INDEX(Projects[Automation Equipment],280)&amp;""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IF(AND(A281&lt;&gt;"",OR('Smart Search'!$L$5="",'Smart Search'!$L$5="All",TRIM(BZ281)=TRIM('Smart Search'!$L$5)),OR(TRIM('Smart Search'!$L$6)="",TRIM('Smart Search'!$L$6)="All",ISNUMBER(SEARCH(SUBSTITUTE(SUBSTITUTE(SUBSTITUTE(TRIM('Smart Search'!$L$6),"~","~~"),"*","~*"),"?","~?"),CA281))),OR('Smart Search'!$L$7="",AND(CB281&lt;&gt;0,CB281='Smart Search'!$L$7)),OR('Smart Search'!$L$8="",'Smart Search'!$L$8="All",TRIM(CC281)=TRIM('Smart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IF(A281="","",N(INDEX(Projects[Mech Inst],280)))</f>
        <v/>
      </c>
      <c r="BK281" s="5">
        <f>IF(A281="","",N(INDEX(Projects[Elec Inst],280)))</f>
        <v/>
      </c>
      <c r="BL281" s="5">
        <f>IF(A281="","",N(INDEX(Projects[Project Management],280)))</f>
        <v/>
      </c>
      <c r="BM281" s="5">
        <f>IF(A281="","",N(INDEX(Projects[Systems Eng],280)))</f>
        <v/>
      </c>
      <c r="BN281" s="5">
        <f>IF(A281="","",N(INDEX(Projects[Mechanical Eng],280)))</f>
        <v/>
      </c>
      <c r="BO281" s="5">
        <f>IF(A281="","",N(INDEX(Projects[Structural Engineering],280)))</f>
        <v/>
      </c>
      <c r="BP281" s="5">
        <f>IF(A281="","",N(INDEX(Projects[Site Sup],280)))</f>
        <v/>
      </c>
      <c r="BQ281" s="5">
        <f>IF(A281="","",N(INDEX(Projects[Controls Commissioning],280)))</f>
        <v/>
      </c>
      <c r="BR281" s="5">
        <f>IF(A281="","",N(INDEX(Projects[Systems Commissioning],280)))</f>
        <v/>
      </c>
      <c r="BS281" s="5">
        <f>IF(A281="","",N(INDEX(Projects[Service Commissioning],280)))</f>
        <v/>
      </c>
      <c r="BT281" s="5">
        <f>IF(A281="","",N(INDEX(Projects[Controls Eng],280)))</f>
        <v/>
      </c>
      <c r="BU281" s="5">
        <f>IF(A281="","",N(INDEX(Projects[Controls Purchase],280)))</f>
        <v/>
      </c>
      <c r="BV281" s="5">
        <f>IF(A281="","",N(INDEX(Projects[Software Eng],280)))</f>
        <v/>
      </c>
      <c r="BW281" s="5">
        <f>IF(A281="","",N(INDEX(Projects[Misc],280)))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  <c r="BZ281" s="5">
        <f>INDEX(Projects[Solution Type],280)&amp;""</f>
        <v/>
      </c>
      <c r="CA281" s="5">
        <f>INDEX(Projects[Client / Region],280)&amp;""</f>
        <v/>
      </c>
      <c r="CB281" s="5">
        <f>INDEX(Projects[Year],280)</f>
        <v/>
      </c>
      <c r="CC281" s="5">
        <f>INDEX(Projects[Won?],280)&amp;""</f>
        <v/>
      </c>
      <c r="CD281" s="5">
        <f>INDEX(Projects[Value (USD M)],280)</f>
        <v/>
      </c>
      <c r="CE281" s="5">
        <f>INDEX(Projects[MH Data Status],280)&amp;""</f>
        <v/>
      </c>
    </row>
    <row r="282" ht="15" customHeight="1" s="74">
      <c r="A282" s="66">
        <f>INDEX(Projects[Project ID *],281)&amp;""</f>
        <v/>
      </c>
      <c r="B282" s="66">
        <f>INDEX(Projects[Project Name *],281)&amp;""</f>
        <v/>
      </c>
      <c r="C282" s="66">
        <f>INDEX(Projects[MS Shuttles],281)</f>
        <v/>
      </c>
      <c r="D282" s="66">
        <f>INDEX(Projects[MS Tote Locations],281)</f>
        <v/>
      </c>
      <c r="E282" s="66">
        <f>INDEX(Projects[AS Robots],281)</f>
        <v/>
      </c>
      <c r="F282" s="66">
        <f>INDEX(Projects[AS Tote Locations],281)</f>
        <v/>
      </c>
      <c r="G282" s="66">
        <f>INDEX(Projects[PS Shuttles],281)</f>
        <v/>
      </c>
      <c r="H282" s="66">
        <f>INDEX(Projects[PS Pallet Locations],281)</f>
        <v/>
      </c>
      <c r="I282" s="66">
        <f>INDEX(Projects[SRM Cranes],281)</f>
        <v/>
      </c>
      <c r="J282" s="66">
        <f>INDEX(Projects[SRM Pallet Locations],281)</f>
        <v/>
      </c>
      <c r="K282" s="66">
        <f>INDEX(Projects[Case Conv (m)],281)</f>
        <v/>
      </c>
      <c r="L282" s="66">
        <f>INDEX(Projects[Pallet Conv (m)],281)</f>
        <v/>
      </c>
      <c r="M282" s="66">
        <f>INDEX(Projects[Mech Eng (wks)],281)</f>
        <v/>
      </c>
      <c r="N282" s="66">
        <f>INDEX(Projects[Controls Eng (wks)],281)</f>
        <v/>
      </c>
      <c r="O282" s="66">
        <f>INDEX(Projects[Systems Eng (wks)],281)</f>
        <v/>
      </c>
      <c r="P282" s="66">
        <f>INDEX(Projects[Software Eng (wks)],281)</f>
        <v/>
      </c>
      <c r="Q282" s="66">
        <f>INDEX(Projects[M&amp;E Installation (wks)],281)</f>
        <v/>
      </c>
      <c r="R282" s="66">
        <f>INDEX(Projects[Commissioning (wks)],281)</f>
        <v/>
      </c>
      <c r="S282" s="66">
        <f>INDEX(Projects[Total Timeline (wks)],281)</f>
        <v/>
      </c>
      <c r="T282" s="66">
        <f>INDEX(Projects[Currency],281)&amp;""</f>
        <v/>
      </c>
      <c r="U282" s="67">
        <f>INDEX(Projects[Value (M)],281)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INDEX(Projects[Automation Equipment],281)&amp;""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IF(AND(A282&lt;&gt;"",OR('Smart Search'!$L$5="",'Smart Search'!$L$5="All",TRIM(BZ282)=TRIM('Smart Search'!$L$5)),OR(TRIM('Smart Search'!$L$6)="",TRIM('Smart Search'!$L$6)="All",ISNUMBER(SEARCH(SUBSTITUTE(SUBSTITUTE(SUBSTITUTE(TRIM('Smart Search'!$L$6),"~","~~"),"*","~*"),"?","~?"),CA282))),OR('Smart Search'!$L$7="",AND(CB282&lt;&gt;0,CB282='Smart Search'!$L$7)),OR('Smart Search'!$L$8="",'Smart Search'!$L$8="All",TRIM(CC282)=TRIM('Smart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IF(A282="","",N(INDEX(Projects[Mech Inst],281)))</f>
        <v/>
      </c>
      <c r="BK282" s="5">
        <f>IF(A282="","",N(INDEX(Projects[Elec Inst],281)))</f>
        <v/>
      </c>
      <c r="BL282" s="5">
        <f>IF(A282="","",N(INDEX(Projects[Project Management],281)))</f>
        <v/>
      </c>
      <c r="BM282" s="5">
        <f>IF(A282="","",N(INDEX(Projects[Systems Eng],281)))</f>
        <v/>
      </c>
      <c r="BN282" s="5">
        <f>IF(A282="","",N(INDEX(Projects[Mechanical Eng],281)))</f>
        <v/>
      </c>
      <c r="BO282" s="5">
        <f>IF(A282="","",N(INDEX(Projects[Structural Engineering],281)))</f>
        <v/>
      </c>
      <c r="BP282" s="5">
        <f>IF(A282="","",N(INDEX(Projects[Site Sup],281)))</f>
        <v/>
      </c>
      <c r="BQ282" s="5">
        <f>IF(A282="","",N(INDEX(Projects[Controls Commissioning],281)))</f>
        <v/>
      </c>
      <c r="BR282" s="5">
        <f>IF(A282="","",N(INDEX(Projects[Systems Commissioning],281)))</f>
        <v/>
      </c>
      <c r="BS282" s="5">
        <f>IF(A282="","",N(INDEX(Projects[Service Commissioning],281)))</f>
        <v/>
      </c>
      <c r="BT282" s="5">
        <f>IF(A282="","",N(INDEX(Projects[Controls Eng],281)))</f>
        <v/>
      </c>
      <c r="BU282" s="5">
        <f>IF(A282="","",N(INDEX(Projects[Controls Purchase],281)))</f>
        <v/>
      </c>
      <c r="BV282" s="5">
        <f>IF(A282="","",N(INDEX(Projects[Software Eng],281)))</f>
        <v/>
      </c>
      <c r="BW282" s="5">
        <f>IF(A282="","",N(INDEX(Projects[Misc],281)))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  <c r="BZ282" s="5">
        <f>INDEX(Projects[Solution Type],281)&amp;""</f>
        <v/>
      </c>
      <c r="CA282" s="5">
        <f>INDEX(Projects[Client / Region],281)&amp;""</f>
        <v/>
      </c>
      <c r="CB282" s="5">
        <f>INDEX(Projects[Year],281)</f>
        <v/>
      </c>
      <c r="CC282" s="5">
        <f>INDEX(Projects[Won?],281)&amp;""</f>
        <v/>
      </c>
      <c r="CD282" s="5">
        <f>INDEX(Projects[Value (USD M)],281)</f>
        <v/>
      </c>
      <c r="CE282" s="5">
        <f>INDEX(Projects[MH Data Status],281)&amp;""</f>
        <v/>
      </c>
    </row>
    <row r="283" ht="15" customHeight="1" s="74">
      <c r="A283" s="66">
        <f>INDEX(Projects[Project ID *],282)&amp;""</f>
        <v/>
      </c>
      <c r="B283" s="66">
        <f>INDEX(Projects[Project Name *],282)&amp;""</f>
        <v/>
      </c>
      <c r="C283" s="66">
        <f>INDEX(Projects[MS Shuttles],282)</f>
        <v/>
      </c>
      <c r="D283" s="66">
        <f>INDEX(Projects[MS Tote Locations],282)</f>
        <v/>
      </c>
      <c r="E283" s="66">
        <f>INDEX(Projects[AS Robots],282)</f>
        <v/>
      </c>
      <c r="F283" s="66">
        <f>INDEX(Projects[AS Tote Locations],282)</f>
        <v/>
      </c>
      <c r="G283" s="66">
        <f>INDEX(Projects[PS Shuttles],282)</f>
        <v/>
      </c>
      <c r="H283" s="66">
        <f>INDEX(Projects[PS Pallet Locations],282)</f>
        <v/>
      </c>
      <c r="I283" s="66">
        <f>INDEX(Projects[SRM Cranes],282)</f>
        <v/>
      </c>
      <c r="J283" s="66">
        <f>INDEX(Projects[SRM Pallet Locations],282)</f>
        <v/>
      </c>
      <c r="K283" s="66">
        <f>INDEX(Projects[Case Conv (m)],282)</f>
        <v/>
      </c>
      <c r="L283" s="66">
        <f>INDEX(Projects[Pallet Conv (m)],282)</f>
        <v/>
      </c>
      <c r="M283" s="66">
        <f>INDEX(Projects[Mech Eng (wks)],282)</f>
        <v/>
      </c>
      <c r="N283" s="66">
        <f>INDEX(Projects[Controls Eng (wks)],282)</f>
        <v/>
      </c>
      <c r="O283" s="66">
        <f>INDEX(Projects[Systems Eng (wks)],282)</f>
        <v/>
      </c>
      <c r="P283" s="66">
        <f>INDEX(Projects[Software Eng (wks)],282)</f>
        <v/>
      </c>
      <c r="Q283" s="66">
        <f>INDEX(Projects[M&amp;E Installation (wks)],282)</f>
        <v/>
      </c>
      <c r="R283" s="66">
        <f>INDEX(Projects[Commissioning (wks)],282)</f>
        <v/>
      </c>
      <c r="S283" s="66">
        <f>INDEX(Projects[Total Timeline (wks)],282)</f>
        <v/>
      </c>
      <c r="T283" s="66">
        <f>INDEX(Projects[Currency],282)&amp;""</f>
        <v/>
      </c>
      <c r="U283" s="67">
        <f>INDEX(Projects[Value (M)],282)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INDEX(Projects[Automation Equipment],282)&amp;""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IF(AND(A283&lt;&gt;"",OR('Smart Search'!$L$5="",'Smart Search'!$L$5="All",TRIM(BZ283)=TRIM('Smart Search'!$L$5)),OR(TRIM('Smart Search'!$L$6)="",TRIM('Smart Search'!$L$6)="All",ISNUMBER(SEARCH(SUBSTITUTE(SUBSTITUTE(SUBSTITUTE(TRIM('Smart Search'!$L$6),"~","~~"),"*","~*"),"?","~?"),CA283))),OR('Smart Search'!$L$7="",AND(CB283&lt;&gt;0,CB283='Smart Search'!$L$7)),OR('Smart Search'!$L$8="",'Smart Search'!$L$8="All",TRIM(CC283)=TRIM('Smart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IF(A283="","",N(INDEX(Projects[Mech Inst],282)))</f>
        <v/>
      </c>
      <c r="BK283" s="5">
        <f>IF(A283="","",N(INDEX(Projects[Elec Inst],282)))</f>
        <v/>
      </c>
      <c r="BL283" s="5">
        <f>IF(A283="","",N(INDEX(Projects[Project Management],282)))</f>
        <v/>
      </c>
      <c r="BM283" s="5">
        <f>IF(A283="","",N(INDEX(Projects[Systems Eng],282)))</f>
        <v/>
      </c>
      <c r="BN283" s="5">
        <f>IF(A283="","",N(INDEX(Projects[Mechanical Eng],282)))</f>
        <v/>
      </c>
      <c r="BO283" s="5">
        <f>IF(A283="","",N(INDEX(Projects[Structural Engineering],282)))</f>
        <v/>
      </c>
      <c r="BP283" s="5">
        <f>IF(A283="","",N(INDEX(Projects[Site Sup],282)))</f>
        <v/>
      </c>
      <c r="BQ283" s="5">
        <f>IF(A283="","",N(INDEX(Projects[Controls Commissioning],282)))</f>
        <v/>
      </c>
      <c r="BR283" s="5">
        <f>IF(A283="","",N(INDEX(Projects[Systems Commissioning],282)))</f>
        <v/>
      </c>
      <c r="BS283" s="5">
        <f>IF(A283="","",N(INDEX(Projects[Service Commissioning],282)))</f>
        <v/>
      </c>
      <c r="BT283" s="5">
        <f>IF(A283="","",N(INDEX(Projects[Controls Eng],282)))</f>
        <v/>
      </c>
      <c r="BU283" s="5">
        <f>IF(A283="","",N(INDEX(Projects[Controls Purchase],282)))</f>
        <v/>
      </c>
      <c r="BV283" s="5">
        <f>IF(A283="","",N(INDEX(Projects[Software Eng],282)))</f>
        <v/>
      </c>
      <c r="BW283" s="5">
        <f>IF(A283="","",N(INDEX(Projects[Misc],282)))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  <c r="BZ283" s="5">
        <f>INDEX(Projects[Solution Type],282)&amp;""</f>
        <v/>
      </c>
      <c r="CA283" s="5">
        <f>INDEX(Projects[Client / Region],282)&amp;""</f>
        <v/>
      </c>
      <c r="CB283" s="5">
        <f>INDEX(Projects[Year],282)</f>
        <v/>
      </c>
      <c r="CC283" s="5">
        <f>INDEX(Projects[Won?],282)&amp;""</f>
        <v/>
      </c>
      <c r="CD283" s="5">
        <f>INDEX(Projects[Value (USD M)],282)</f>
        <v/>
      </c>
      <c r="CE283" s="5">
        <f>INDEX(Projects[MH Data Status],282)&amp;""</f>
        <v/>
      </c>
    </row>
    <row r="284" ht="15" customHeight="1" s="74">
      <c r="A284" s="66">
        <f>INDEX(Projects[Project ID *],283)&amp;""</f>
        <v/>
      </c>
      <c r="B284" s="66">
        <f>INDEX(Projects[Project Name *],283)&amp;""</f>
        <v/>
      </c>
      <c r="C284" s="66">
        <f>INDEX(Projects[MS Shuttles],283)</f>
        <v/>
      </c>
      <c r="D284" s="66">
        <f>INDEX(Projects[MS Tote Locations],283)</f>
        <v/>
      </c>
      <c r="E284" s="66">
        <f>INDEX(Projects[AS Robots],283)</f>
        <v/>
      </c>
      <c r="F284" s="66">
        <f>INDEX(Projects[AS Tote Locations],283)</f>
        <v/>
      </c>
      <c r="G284" s="66">
        <f>INDEX(Projects[PS Shuttles],283)</f>
        <v/>
      </c>
      <c r="H284" s="66">
        <f>INDEX(Projects[PS Pallet Locations],283)</f>
        <v/>
      </c>
      <c r="I284" s="66">
        <f>INDEX(Projects[SRM Cranes],283)</f>
        <v/>
      </c>
      <c r="J284" s="66">
        <f>INDEX(Projects[SRM Pallet Locations],283)</f>
        <v/>
      </c>
      <c r="K284" s="66">
        <f>INDEX(Projects[Case Conv (m)],283)</f>
        <v/>
      </c>
      <c r="L284" s="66">
        <f>INDEX(Projects[Pallet Conv (m)],283)</f>
        <v/>
      </c>
      <c r="M284" s="66">
        <f>INDEX(Projects[Mech Eng (wks)],283)</f>
        <v/>
      </c>
      <c r="N284" s="66">
        <f>INDEX(Projects[Controls Eng (wks)],283)</f>
        <v/>
      </c>
      <c r="O284" s="66">
        <f>INDEX(Projects[Systems Eng (wks)],283)</f>
        <v/>
      </c>
      <c r="P284" s="66">
        <f>INDEX(Projects[Software Eng (wks)],283)</f>
        <v/>
      </c>
      <c r="Q284" s="66">
        <f>INDEX(Projects[M&amp;E Installation (wks)],283)</f>
        <v/>
      </c>
      <c r="R284" s="66">
        <f>INDEX(Projects[Commissioning (wks)],283)</f>
        <v/>
      </c>
      <c r="S284" s="66">
        <f>INDEX(Projects[Total Timeline (wks)],283)</f>
        <v/>
      </c>
      <c r="T284" s="66">
        <f>INDEX(Projects[Currency],283)&amp;""</f>
        <v/>
      </c>
      <c r="U284" s="67">
        <f>INDEX(Projects[Value (M)],283)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INDEX(Projects[Automation Equipment],283)&amp;""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IF(AND(A284&lt;&gt;"",OR('Smart Search'!$L$5="",'Smart Search'!$L$5="All",TRIM(BZ284)=TRIM('Smart Search'!$L$5)),OR(TRIM('Smart Search'!$L$6)="",TRIM('Smart Search'!$L$6)="All",ISNUMBER(SEARCH(SUBSTITUTE(SUBSTITUTE(SUBSTITUTE(TRIM('Smart Search'!$L$6),"~","~~"),"*","~*"),"?","~?"),CA284))),OR('Smart Search'!$L$7="",AND(CB284&lt;&gt;0,CB284='Smart Search'!$L$7)),OR('Smart Search'!$L$8="",'Smart Search'!$L$8="All",TRIM(CC284)=TRIM('Smart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IF(A284="","",N(INDEX(Projects[Mech Inst],283)))</f>
        <v/>
      </c>
      <c r="BK284" s="5">
        <f>IF(A284="","",N(INDEX(Projects[Elec Inst],283)))</f>
        <v/>
      </c>
      <c r="BL284" s="5">
        <f>IF(A284="","",N(INDEX(Projects[Project Management],283)))</f>
        <v/>
      </c>
      <c r="BM284" s="5">
        <f>IF(A284="","",N(INDEX(Projects[Systems Eng],283)))</f>
        <v/>
      </c>
      <c r="BN284" s="5">
        <f>IF(A284="","",N(INDEX(Projects[Mechanical Eng],283)))</f>
        <v/>
      </c>
      <c r="BO284" s="5">
        <f>IF(A284="","",N(INDEX(Projects[Structural Engineering],283)))</f>
        <v/>
      </c>
      <c r="BP284" s="5">
        <f>IF(A284="","",N(INDEX(Projects[Site Sup],283)))</f>
        <v/>
      </c>
      <c r="BQ284" s="5">
        <f>IF(A284="","",N(INDEX(Projects[Controls Commissioning],283)))</f>
        <v/>
      </c>
      <c r="BR284" s="5">
        <f>IF(A284="","",N(INDEX(Projects[Systems Commissioning],283)))</f>
        <v/>
      </c>
      <c r="BS284" s="5">
        <f>IF(A284="","",N(INDEX(Projects[Service Commissioning],283)))</f>
        <v/>
      </c>
      <c r="BT284" s="5">
        <f>IF(A284="","",N(INDEX(Projects[Controls Eng],283)))</f>
        <v/>
      </c>
      <c r="BU284" s="5">
        <f>IF(A284="","",N(INDEX(Projects[Controls Purchase],283)))</f>
        <v/>
      </c>
      <c r="BV284" s="5">
        <f>IF(A284="","",N(INDEX(Projects[Software Eng],283)))</f>
        <v/>
      </c>
      <c r="BW284" s="5">
        <f>IF(A284="","",N(INDEX(Projects[Misc],283)))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  <c r="BZ284" s="5">
        <f>INDEX(Projects[Solution Type],283)&amp;""</f>
        <v/>
      </c>
      <c r="CA284" s="5">
        <f>INDEX(Projects[Client / Region],283)&amp;""</f>
        <v/>
      </c>
      <c r="CB284" s="5">
        <f>INDEX(Projects[Year],283)</f>
        <v/>
      </c>
      <c r="CC284" s="5">
        <f>INDEX(Projects[Won?],283)&amp;""</f>
        <v/>
      </c>
      <c r="CD284" s="5">
        <f>INDEX(Projects[Value (USD M)],283)</f>
        <v/>
      </c>
      <c r="CE284" s="5">
        <f>INDEX(Projects[MH Data Status],283)&amp;""</f>
        <v/>
      </c>
    </row>
    <row r="285" ht="15" customHeight="1" s="74">
      <c r="A285" s="66">
        <f>INDEX(Projects[Project ID *],284)&amp;""</f>
        <v/>
      </c>
      <c r="B285" s="66">
        <f>INDEX(Projects[Project Name *],284)&amp;""</f>
        <v/>
      </c>
      <c r="C285" s="66">
        <f>INDEX(Projects[MS Shuttles],284)</f>
        <v/>
      </c>
      <c r="D285" s="66">
        <f>INDEX(Projects[MS Tote Locations],284)</f>
        <v/>
      </c>
      <c r="E285" s="66">
        <f>INDEX(Projects[AS Robots],284)</f>
        <v/>
      </c>
      <c r="F285" s="66">
        <f>INDEX(Projects[AS Tote Locations],284)</f>
        <v/>
      </c>
      <c r="G285" s="66">
        <f>INDEX(Projects[PS Shuttles],284)</f>
        <v/>
      </c>
      <c r="H285" s="66">
        <f>INDEX(Projects[PS Pallet Locations],284)</f>
        <v/>
      </c>
      <c r="I285" s="66">
        <f>INDEX(Projects[SRM Cranes],284)</f>
        <v/>
      </c>
      <c r="J285" s="66">
        <f>INDEX(Projects[SRM Pallet Locations],284)</f>
        <v/>
      </c>
      <c r="K285" s="66">
        <f>INDEX(Projects[Case Conv (m)],284)</f>
        <v/>
      </c>
      <c r="L285" s="66">
        <f>INDEX(Projects[Pallet Conv (m)],284)</f>
        <v/>
      </c>
      <c r="M285" s="66">
        <f>INDEX(Projects[Mech Eng (wks)],284)</f>
        <v/>
      </c>
      <c r="N285" s="66">
        <f>INDEX(Projects[Controls Eng (wks)],284)</f>
        <v/>
      </c>
      <c r="O285" s="66">
        <f>INDEX(Projects[Systems Eng (wks)],284)</f>
        <v/>
      </c>
      <c r="P285" s="66">
        <f>INDEX(Projects[Software Eng (wks)],284)</f>
        <v/>
      </c>
      <c r="Q285" s="66">
        <f>INDEX(Projects[M&amp;E Installation (wks)],284)</f>
        <v/>
      </c>
      <c r="R285" s="66">
        <f>INDEX(Projects[Commissioning (wks)],284)</f>
        <v/>
      </c>
      <c r="S285" s="66">
        <f>INDEX(Projects[Total Timeline (wks)],284)</f>
        <v/>
      </c>
      <c r="T285" s="66">
        <f>INDEX(Projects[Currency],284)&amp;""</f>
        <v/>
      </c>
      <c r="U285" s="67">
        <f>INDEX(Projects[Value (M)],284)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INDEX(Projects[Automation Equipment],284)&amp;""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IF(AND(A285&lt;&gt;"",OR('Smart Search'!$L$5="",'Smart Search'!$L$5="All",TRIM(BZ285)=TRIM('Smart Search'!$L$5)),OR(TRIM('Smart Search'!$L$6)="",TRIM('Smart Search'!$L$6)="All",ISNUMBER(SEARCH(SUBSTITUTE(SUBSTITUTE(SUBSTITUTE(TRIM('Smart Search'!$L$6),"~","~~"),"*","~*"),"?","~?"),CA285))),OR('Smart Search'!$L$7="",AND(CB285&lt;&gt;0,CB285='Smart Search'!$L$7)),OR('Smart Search'!$L$8="",'Smart Search'!$L$8="All",TRIM(CC285)=TRIM('Smart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IF(A285="","",N(INDEX(Projects[Mech Inst],284)))</f>
        <v/>
      </c>
      <c r="BK285" s="5">
        <f>IF(A285="","",N(INDEX(Projects[Elec Inst],284)))</f>
        <v/>
      </c>
      <c r="BL285" s="5">
        <f>IF(A285="","",N(INDEX(Projects[Project Management],284)))</f>
        <v/>
      </c>
      <c r="BM285" s="5">
        <f>IF(A285="","",N(INDEX(Projects[Systems Eng],284)))</f>
        <v/>
      </c>
      <c r="BN285" s="5">
        <f>IF(A285="","",N(INDEX(Projects[Mechanical Eng],284)))</f>
        <v/>
      </c>
      <c r="BO285" s="5">
        <f>IF(A285="","",N(INDEX(Projects[Structural Engineering],284)))</f>
        <v/>
      </c>
      <c r="BP285" s="5">
        <f>IF(A285="","",N(INDEX(Projects[Site Sup],284)))</f>
        <v/>
      </c>
      <c r="BQ285" s="5">
        <f>IF(A285="","",N(INDEX(Projects[Controls Commissioning],284)))</f>
        <v/>
      </c>
      <c r="BR285" s="5">
        <f>IF(A285="","",N(INDEX(Projects[Systems Commissioning],284)))</f>
        <v/>
      </c>
      <c r="BS285" s="5">
        <f>IF(A285="","",N(INDEX(Projects[Service Commissioning],284)))</f>
        <v/>
      </c>
      <c r="BT285" s="5">
        <f>IF(A285="","",N(INDEX(Projects[Controls Eng],284)))</f>
        <v/>
      </c>
      <c r="BU285" s="5">
        <f>IF(A285="","",N(INDEX(Projects[Controls Purchase],284)))</f>
        <v/>
      </c>
      <c r="BV285" s="5">
        <f>IF(A285="","",N(INDEX(Projects[Software Eng],284)))</f>
        <v/>
      </c>
      <c r="BW285" s="5">
        <f>IF(A285="","",N(INDEX(Projects[Misc],284)))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  <c r="BZ285" s="5">
        <f>INDEX(Projects[Solution Type],284)&amp;""</f>
        <v/>
      </c>
      <c r="CA285" s="5">
        <f>INDEX(Projects[Client / Region],284)&amp;""</f>
        <v/>
      </c>
      <c r="CB285" s="5">
        <f>INDEX(Projects[Year],284)</f>
        <v/>
      </c>
      <c r="CC285" s="5">
        <f>INDEX(Projects[Won?],284)&amp;""</f>
        <v/>
      </c>
      <c r="CD285" s="5">
        <f>INDEX(Projects[Value (USD M)],284)</f>
        <v/>
      </c>
      <c r="CE285" s="5">
        <f>INDEX(Projects[MH Data Status],284)&amp;""</f>
        <v/>
      </c>
    </row>
    <row r="286" ht="15" customHeight="1" s="74">
      <c r="A286" s="66">
        <f>INDEX(Projects[Project ID *],285)&amp;""</f>
        <v/>
      </c>
      <c r="B286" s="66">
        <f>INDEX(Projects[Project Name *],285)&amp;""</f>
        <v/>
      </c>
      <c r="C286" s="66">
        <f>INDEX(Projects[MS Shuttles],285)</f>
        <v/>
      </c>
      <c r="D286" s="66">
        <f>INDEX(Projects[MS Tote Locations],285)</f>
        <v/>
      </c>
      <c r="E286" s="66">
        <f>INDEX(Projects[AS Robots],285)</f>
        <v/>
      </c>
      <c r="F286" s="66">
        <f>INDEX(Projects[AS Tote Locations],285)</f>
        <v/>
      </c>
      <c r="G286" s="66">
        <f>INDEX(Projects[PS Shuttles],285)</f>
        <v/>
      </c>
      <c r="H286" s="66">
        <f>INDEX(Projects[PS Pallet Locations],285)</f>
        <v/>
      </c>
      <c r="I286" s="66">
        <f>INDEX(Projects[SRM Cranes],285)</f>
        <v/>
      </c>
      <c r="J286" s="66">
        <f>INDEX(Projects[SRM Pallet Locations],285)</f>
        <v/>
      </c>
      <c r="K286" s="66">
        <f>INDEX(Projects[Case Conv (m)],285)</f>
        <v/>
      </c>
      <c r="L286" s="66">
        <f>INDEX(Projects[Pallet Conv (m)],285)</f>
        <v/>
      </c>
      <c r="M286" s="66">
        <f>INDEX(Projects[Mech Eng (wks)],285)</f>
        <v/>
      </c>
      <c r="N286" s="66">
        <f>INDEX(Projects[Controls Eng (wks)],285)</f>
        <v/>
      </c>
      <c r="O286" s="66">
        <f>INDEX(Projects[Systems Eng (wks)],285)</f>
        <v/>
      </c>
      <c r="P286" s="66">
        <f>INDEX(Projects[Software Eng (wks)],285)</f>
        <v/>
      </c>
      <c r="Q286" s="66">
        <f>INDEX(Projects[M&amp;E Installation (wks)],285)</f>
        <v/>
      </c>
      <c r="R286" s="66">
        <f>INDEX(Projects[Commissioning (wks)],285)</f>
        <v/>
      </c>
      <c r="S286" s="66">
        <f>INDEX(Projects[Total Timeline (wks)],285)</f>
        <v/>
      </c>
      <c r="T286" s="66">
        <f>INDEX(Projects[Currency],285)&amp;""</f>
        <v/>
      </c>
      <c r="U286" s="67">
        <f>INDEX(Projects[Value (M)],285)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INDEX(Projects[Automation Equipment],285)&amp;""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IF(AND(A286&lt;&gt;"",OR('Smart Search'!$L$5="",'Smart Search'!$L$5="All",TRIM(BZ286)=TRIM('Smart Search'!$L$5)),OR(TRIM('Smart Search'!$L$6)="",TRIM('Smart Search'!$L$6)="All",ISNUMBER(SEARCH(SUBSTITUTE(SUBSTITUTE(SUBSTITUTE(TRIM('Smart Search'!$L$6),"~","~~"),"*","~*"),"?","~?"),CA286))),OR('Smart Search'!$L$7="",AND(CB286&lt;&gt;0,CB286='Smart Search'!$L$7)),OR('Smart Search'!$L$8="",'Smart Search'!$L$8="All",TRIM(CC286)=TRIM('Smart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IF(A286="","",N(INDEX(Projects[Mech Inst],285)))</f>
        <v/>
      </c>
      <c r="BK286" s="5">
        <f>IF(A286="","",N(INDEX(Projects[Elec Inst],285)))</f>
        <v/>
      </c>
      <c r="BL286" s="5">
        <f>IF(A286="","",N(INDEX(Projects[Project Management],285)))</f>
        <v/>
      </c>
      <c r="BM286" s="5">
        <f>IF(A286="","",N(INDEX(Projects[Systems Eng],285)))</f>
        <v/>
      </c>
      <c r="BN286" s="5">
        <f>IF(A286="","",N(INDEX(Projects[Mechanical Eng],285)))</f>
        <v/>
      </c>
      <c r="BO286" s="5">
        <f>IF(A286="","",N(INDEX(Projects[Structural Engineering],285)))</f>
        <v/>
      </c>
      <c r="BP286" s="5">
        <f>IF(A286="","",N(INDEX(Projects[Site Sup],285)))</f>
        <v/>
      </c>
      <c r="BQ286" s="5">
        <f>IF(A286="","",N(INDEX(Projects[Controls Commissioning],285)))</f>
        <v/>
      </c>
      <c r="BR286" s="5">
        <f>IF(A286="","",N(INDEX(Projects[Systems Commissioning],285)))</f>
        <v/>
      </c>
      <c r="BS286" s="5">
        <f>IF(A286="","",N(INDEX(Projects[Service Commissioning],285)))</f>
        <v/>
      </c>
      <c r="BT286" s="5">
        <f>IF(A286="","",N(INDEX(Projects[Controls Eng],285)))</f>
        <v/>
      </c>
      <c r="BU286" s="5">
        <f>IF(A286="","",N(INDEX(Projects[Controls Purchase],285)))</f>
        <v/>
      </c>
      <c r="BV286" s="5">
        <f>IF(A286="","",N(INDEX(Projects[Software Eng],285)))</f>
        <v/>
      </c>
      <c r="BW286" s="5">
        <f>IF(A286="","",N(INDEX(Projects[Misc],285)))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  <c r="BZ286" s="5">
        <f>INDEX(Projects[Solution Type],285)&amp;""</f>
        <v/>
      </c>
      <c r="CA286" s="5">
        <f>INDEX(Projects[Client / Region],285)&amp;""</f>
        <v/>
      </c>
      <c r="CB286" s="5">
        <f>INDEX(Projects[Year],285)</f>
        <v/>
      </c>
      <c r="CC286" s="5">
        <f>INDEX(Projects[Won?],285)&amp;""</f>
        <v/>
      </c>
      <c r="CD286" s="5">
        <f>INDEX(Projects[Value (USD M)],285)</f>
        <v/>
      </c>
      <c r="CE286" s="5">
        <f>INDEX(Projects[MH Data Status],285)&amp;""</f>
        <v/>
      </c>
    </row>
    <row r="287" ht="15" customHeight="1" s="74">
      <c r="A287" s="66">
        <f>INDEX(Projects[Project ID *],286)&amp;""</f>
        <v/>
      </c>
      <c r="B287" s="66">
        <f>INDEX(Projects[Project Name *],286)&amp;""</f>
        <v/>
      </c>
      <c r="C287" s="66">
        <f>INDEX(Projects[MS Shuttles],286)</f>
        <v/>
      </c>
      <c r="D287" s="66">
        <f>INDEX(Projects[MS Tote Locations],286)</f>
        <v/>
      </c>
      <c r="E287" s="66">
        <f>INDEX(Projects[AS Robots],286)</f>
        <v/>
      </c>
      <c r="F287" s="66">
        <f>INDEX(Projects[AS Tote Locations],286)</f>
        <v/>
      </c>
      <c r="G287" s="66">
        <f>INDEX(Projects[PS Shuttles],286)</f>
        <v/>
      </c>
      <c r="H287" s="66">
        <f>INDEX(Projects[PS Pallet Locations],286)</f>
        <v/>
      </c>
      <c r="I287" s="66">
        <f>INDEX(Projects[SRM Cranes],286)</f>
        <v/>
      </c>
      <c r="J287" s="66">
        <f>INDEX(Projects[SRM Pallet Locations],286)</f>
        <v/>
      </c>
      <c r="K287" s="66">
        <f>INDEX(Projects[Case Conv (m)],286)</f>
        <v/>
      </c>
      <c r="L287" s="66">
        <f>INDEX(Projects[Pallet Conv (m)],286)</f>
        <v/>
      </c>
      <c r="M287" s="66">
        <f>INDEX(Projects[Mech Eng (wks)],286)</f>
        <v/>
      </c>
      <c r="N287" s="66">
        <f>INDEX(Projects[Controls Eng (wks)],286)</f>
        <v/>
      </c>
      <c r="O287" s="66">
        <f>INDEX(Projects[Systems Eng (wks)],286)</f>
        <v/>
      </c>
      <c r="P287" s="66">
        <f>INDEX(Projects[Software Eng (wks)],286)</f>
        <v/>
      </c>
      <c r="Q287" s="66">
        <f>INDEX(Projects[M&amp;E Installation (wks)],286)</f>
        <v/>
      </c>
      <c r="R287" s="66">
        <f>INDEX(Projects[Commissioning (wks)],286)</f>
        <v/>
      </c>
      <c r="S287" s="66">
        <f>INDEX(Projects[Total Timeline (wks)],286)</f>
        <v/>
      </c>
      <c r="T287" s="66">
        <f>INDEX(Projects[Currency],286)&amp;""</f>
        <v/>
      </c>
      <c r="U287" s="67">
        <f>INDEX(Projects[Value (M)],286)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INDEX(Projects[Automation Equipment],286)&amp;""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IF(AND(A287&lt;&gt;"",OR('Smart Search'!$L$5="",'Smart Search'!$L$5="All",TRIM(BZ287)=TRIM('Smart Search'!$L$5)),OR(TRIM('Smart Search'!$L$6)="",TRIM('Smart Search'!$L$6)="All",ISNUMBER(SEARCH(SUBSTITUTE(SUBSTITUTE(SUBSTITUTE(TRIM('Smart Search'!$L$6),"~","~~"),"*","~*"),"?","~?"),CA287))),OR('Smart Search'!$L$7="",AND(CB287&lt;&gt;0,CB287='Smart Search'!$L$7)),OR('Smart Search'!$L$8="",'Smart Search'!$L$8="All",TRIM(CC287)=TRIM('Smart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IF(A287="","",N(INDEX(Projects[Mech Inst],286)))</f>
        <v/>
      </c>
      <c r="BK287" s="5">
        <f>IF(A287="","",N(INDEX(Projects[Elec Inst],286)))</f>
        <v/>
      </c>
      <c r="BL287" s="5">
        <f>IF(A287="","",N(INDEX(Projects[Project Management],286)))</f>
        <v/>
      </c>
      <c r="BM287" s="5">
        <f>IF(A287="","",N(INDEX(Projects[Systems Eng],286)))</f>
        <v/>
      </c>
      <c r="BN287" s="5">
        <f>IF(A287="","",N(INDEX(Projects[Mechanical Eng],286)))</f>
        <v/>
      </c>
      <c r="BO287" s="5">
        <f>IF(A287="","",N(INDEX(Projects[Structural Engineering],286)))</f>
        <v/>
      </c>
      <c r="BP287" s="5">
        <f>IF(A287="","",N(INDEX(Projects[Site Sup],286)))</f>
        <v/>
      </c>
      <c r="BQ287" s="5">
        <f>IF(A287="","",N(INDEX(Projects[Controls Commissioning],286)))</f>
        <v/>
      </c>
      <c r="BR287" s="5">
        <f>IF(A287="","",N(INDEX(Projects[Systems Commissioning],286)))</f>
        <v/>
      </c>
      <c r="BS287" s="5">
        <f>IF(A287="","",N(INDEX(Projects[Service Commissioning],286)))</f>
        <v/>
      </c>
      <c r="BT287" s="5">
        <f>IF(A287="","",N(INDEX(Projects[Controls Eng],286)))</f>
        <v/>
      </c>
      <c r="BU287" s="5">
        <f>IF(A287="","",N(INDEX(Projects[Controls Purchase],286)))</f>
        <v/>
      </c>
      <c r="BV287" s="5">
        <f>IF(A287="","",N(INDEX(Projects[Software Eng],286)))</f>
        <v/>
      </c>
      <c r="BW287" s="5">
        <f>IF(A287="","",N(INDEX(Projects[Misc],286)))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  <c r="BZ287" s="5">
        <f>INDEX(Projects[Solution Type],286)&amp;""</f>
        <v/>
      </c>
      <c r="CA287" s="5">
        <f>INDEX(Projects[Client / Region],286)&amp;""</f>
        <v/>
      </c>
      <c r="CB287" s="5">
        <f>INDEX(Projects[Year],286)</f>
        <v/>
      </c>
      <c r="CC287" s="5">
        <f>INDEX(Projects[Won?],286)&amp;""</f>
        <v/>
      </c>
      <c r="CD287" s="5">
        <f>INDEX(Projects[Value (USD M)],286)</f>
        <v/>
      </c>
      <c r="CE287" s="5">
        <f>INDEX(Projects[MH Data Status],286)&amp;""</f>
        <v/>
      </c>
    </row>
    <row r="288" ht="15" customHeight="1" s="74">
      <c r="A288" s="66">
        <f>INDEX(Projects[Project ID *],287)&amp;""</f>
        <v/>
      </c>
      <c r="B288" s="66">
        <f>INDEX(Projects[Project Name *],287)&amp;""</f>
        <v/>
      </c>
      <c r="C288" s="66">
        <f>INDEX(Projects[MS Shuttles],287)</f>
        <v/>
      </c>
      <c r="D288" s="66">
        <f>INDEX(Projects[MS Tote Locations],287)</f>
        <v/>
      </c>
      <c r="E288" s="66">
        <f>INDEX(Projects[AS Robots],287)</f>
        <v/>
      </c>
      <c r="F288" s="66">
        <f>INDEX(Projects[AS Tote Locations],287)</f>
        <v/>
      </c>
      <c r="G288" s="66">
        <f>INDEX(Projects[PS Shuttles],287)</f>
        <v/>
      </c>
      <c r="H288" s="66">
        <f>INDEX(Projects[PS Pallet Locations],287)</f>
        <v/>
      </c>
      <c r="I288" s="66">
        <f>INDEX(Projects[SRM Cranes],287)</f>
        <v/>
      </c>
      <c r="J288" s="66">
        <f>INDEX(Projects[SRM Pallet Locations],287)</f>
        <v/>
      </c>
      <c r="K288" s="66">
        <f>INDEX(Projects[Case Conv (m)],287)</f>
        <v/>
      </c>
      <c r="L288" s="66">
        <f>INDEX(Projects[Pallet Conv (m)],287)</f>
        <v/>
      </c>
      <c r="M288" s="66">
        <f>INDEX(Projects[Mech Eng (wks)],287)</f>
        <v/>
      </c>
      <c r="N288" s="66">
        <f>INDEX(Projects[Controls Eng (wks)],287)</f>
        <v/>
      </c>
      <c r="O288" s="66">
        <f>INDEX(Projects[Systems Eng (wks)],287)</f>
        <v/>
      </c>
      <c r="P288" s="66">
        <f>INDEX(Projects[Software Eng (wks)],287)</f>
        <v/>
      </c>
      <c r="Q288" s="66">
        <f>INDEX(Projects[M&amp;E Installation (wks)],287)</f>
        <v/>
      </c>
      <c r="R288" s="66">
        <f>INDEX(Projects[Commissioning (wks)],287)</f>
        <v/>
      </c>
      <c r="S288" s="66">
        <f>INDEX(Projects[Total Timeline (wks)],287)</f>
        <v/>
      </c>
      <c r="T288" s="66">
        <f>INDEX(Projects[Currency],287)&amp;""</f>
        <v/>
      </c>
      <c r="U288" s="67">
        <f>INDEX(Projects[Value (M)],287)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INDEX(Projects[Automation Equipment],287)&amp;""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IF(AND(A288&lt;&gt;"",OR('Smart Search'!$L$5="",'Smart Search'!$L$5="All",TRIM(BZ288)=TRIM('Smart Search'!$L$5)),OR(TRIM('Smart Search'!$L$6)="",TRIM('Smart Search'!$L$6)="All",ISNUMBER(SEARCH(SUBSTITUTE(SUBSTITUTE(SUBSTITUTE(TRIM('Smart Search'!$L$6),"~","~~"),"*","~*"),"?","~?"),CA288))),OR('Smart Search'!$L$7="",AND(CB288&lt;&gt;0,CB288='Smart Search'!$L$7)),OR('Smart Search'!$L$8="",'Smart Search'!$L$8="All",TRIM(CC288)=TRIM('Smart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IF(A288="","",N(INDEX(Projects[Mech Inst],287)))</f>
        <v/>
      </c>
      <c r="BK288" s="5">
        <f>IF(A288="","",N(INDEX(Projects[Elec Inst],287)))</f>
        <v/>
      </c>
      <c r="BL288" s="5">
        <f>IF(A288="","",N(INDEX(Projects[Project Management],287)))</f>
        <v/>
      </c>
      <c r="BM288" s="5">
        <f>IF(A288="","",N(INDEX(Projects[Systems Eng],287)))</f>
        <v/>
      </c>
      <c r="BN288" s="5">
        <f>IF(A288="","",N(INDEX(Projects[Mechanical Eng],287)))</f>
        <v/>
      </c>
      <c r="BO288" s="5">
        <f>IF(A288="","",N(INDEX(Projects[Structural Engineering],287)))</f>
        <v/>
      </c>
      <c r="BP288" s="5">
        <f>IF(A288="","",N(INDEX(Projects[Site Sup],287)))</f>
        <v/>
      </c>
      <c r="BQ288" s="5">
        <f>IF(A288="","",N(INDEX(Projects[Controls Commissioning],287)))</f>
        <v/>
      </c>
      <c r="BR288" s="5">
        <f>IF(A288="","",N(INDEX(Projects[Systems Commissioning],287)))</f>
        <v/>
      </c>
      <c r="BS288" s="5">
        <f>IF(A288="","",N(INDEX(Projects[Service Commissioning],287)))</f>
        <v/>
      </c>
      <c r="BT288" s="5">
        <f>IF(A288="","",N(INDEX(Projects[Controls Eng],287)))</f>
        <v/>
      </c>
      <c r="BU288" s="5">
        <f>IF(A288="","",N(INDEX(Projects[Controls Purchase],287)))</f>
        <v/>
      </c>
      <c r="BV288" s="5">
        <f>IF(A288="","",N(INDEX(Projects[Software Eng],287)))</f>
        <v/>
      </c>
      <c r="BW288" s="5">
        <f>IF(A288="","",N(INDEX(Projects[Misc],287)))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  <c r="BZ288" s="5">
        <f>INDEX(Projects[Solution Type],287)&amp;""</f>
        <v/>
      </c>
      <c r="CA288" s="5">
        <f>INDEX(Projects[Client / Region],287)&amp;""</f>
        <v/>
      </c>
      <c r="CB288" s="5">
        <f>INDEX(Projects[Year],287)</f>
        <v/>
      </c>
      <c r="CC288" s="5">
        <f>INDEX(Projects[Won?],287)&amp;""</f>
        <v/>
      </c>
      <c r="CD288" s="5">
        <f>INDEX(Projects[Value (USD M)],287)</f>
        <v/>
      </c>
      <c r="CE288" s="5">
        <f>INDEX(Projects[MH Data Status],287)&amp;""</f>
        <v/>
      </c>
    </row>
    <row r="289" ht="15" customHeight="1" s="74">
      <c r="A289" s="66">
        <f>INDEX(Projects[Project ID *],288)&amp;""</f>
        <v/>
      </c>
      <c r="B289" s="66">
        <f>INDEX(Projects[Project Name *],288)&amp;""</f>
        <v/>
      </c>
      <c r="C289" s="66">
        <f>INDEX(Projects[MS Shuttles],288)</f>
        <v/>
      </c>
      <c r="D289" s="66">
        <f>INDEX(Projects[MS Tote Locations],288)</f>
        <v/>
      </c>
      <c r="E289" s="66">
        <f>INDEX(Projects[AS Robots],288)</f>
        <v/>
      </c>
      <c r="F289" s="66">
        <f>INDEX(Projects[AS Tote Locations],288)</f>
        <v/>
      </c>
      <c r="G289" s="66">
        <f>INDEX(Projects[PS Shuttles],288)</f>
        <v/>
      </c>
      <c r="H289" s="66">
        <f>INDEX(Projects[PS Pallet Locations],288)</f>
        <v/>
      </c>
      <c r="I289" s="66">
        <f>INDEX(Projects[SRM Cranes],288)</f>
        <v/>
      </c>
      <c r="J289" s="66">
        <f>INDEX(Projects[SRM Pallet Locations],288)</f>
        <v/>
      </c>
      <c r="K289" s="66">
        <f>INDEX(Projects[Case Conv (m)],288)</f>
        <v/>
      </c>
      <c r="L289" s="66">
        <f>INDEX(Projects[Pallet Conv (m)],288)</f>
        <v/>
      </c>
      <c r="M289" s="66">
        <f>INDEX(Projects[Mech Eng (wks)],288)</f>
        <v/>
      </c>
      <c r="N289" s="66">
        <f>INDEX(Projects[Controls Eng (wks)],288)</f>
        <v/>
      </c>
      <c r="O289" s="66">
        <f>INDEX(Projects[Systems Eng (wks)],288)</f>
        <v/>
      </c>
      <c r="P289" s="66">
        <f>INDEX(Projects[Software Eng (wks)],288)</f>
        <v/>
      </c>
      <c r="Q289" s="66">
        <f>INDEX(Projects[M&amp;E Installation (wks)],288)</f>
        <v/>
      </c>
      <c r="R289" s="66">
        <f>INDEX(Projects[Commissioning (wks)],288)</f>
        <v/>
      </c>
      <c r="S289" s="66">
        <f>INDEX(Projects[Total Timeline (wks)],288)</f>
        <v/>
      </c>
      <c r="T289" s="66">
        <f>INDEX(Projects[Currency],288)&amp;""</f>
        <v/>
      </c>
      <c r="U289" s="67">
        <f>INDEX(Projects[Value (M)],288)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INDEX(Projects[Automation Equipment],288)&amp;""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IF(AND(A289&lt;&gt;"",OR('Smart Search'!$L$5="",'Smart Search'!$L$5="All",TRIM(BZ289)=TRIM('Smart Search'!$L$5)),OR(TRIM('Smart Search'!$L$6)="",TRIM('Smart Search'!$L$6)="All",ISNUMBER(SEARCH(SUBSTITUTE(SUBSTITUTE(SUBSTITUTE(TRIM('Smart Search'!$L$6),"~","~~"),"*","~*"),"?","~?"),CA289))),OR('Smart Search'!$L$7="",AND(CB289&lt;&gt;0,CB289='Smart Search'!$L$7)),OR('Smart Search'!$L$8="",'Smart Search'!$L$8="All",TRIM(CC289)=TRIM('Smart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IF(A289="","",N(INDEX(Projects[Mech Inst],288)))</f>
        <v/>
      </c>
      <c r="BK289" s="5">
        <f>IF(A289="","",N(INDEX(Projects[Elec Inst],288)))</f>
        <v/>
      </c>
      <c r="BL289" s="5">
        <f>IF(A289="","",N(INDEX(Projects[Project Management],288)))</f>
        <v/>
      </c>
      <c r="BM289" s="5">
        <f>IF(A289="","",N(INDEX(Projects[Systems Eng],288)))</f>
        <v/>
      </c>
      <c r="BN289" s="5">
        <f>IF(A289="","",N(INDEX(Projects[Mechanical Eng],288)))</f>
        <v/>
      </c>
      <c r="BO289" s="5">
        <f>IF(A289="","",N(INDEX(Projects[Structural Engineering],288)))</f>
        <v/>
      </c>
      <c r="BP289" s="5">
        <f>IF(A289="","",N(INDEX(Projects[Site Sup],288)))</f>
        <v/>
      </c>
      <c r="BQ289" s="5">
        <f>IF(A289="","",N(INDEX(Projects[Controls Commissioning],288)))</f>
        <v/>
      </c>
      <c r="BR289" s="5">
        <f>IF(A289="","",N(INDEX(Projects[Systems Commissioning],288)))</f>
        <v/>
      </c>
      <c r="BS289" s="5">
        <f>IF(A289="","",N(INDEX(Projects[Service Commissioning],288)))</f>
        <v/>
      </c>
      <c r="BT289" s="5">
        <f>IF(A289="","",N(INDEX(Projects[Controls Eng],288)))</f>
        <v/>
      </c>
      <c r="BU289" s="5">
        <f>IF(A289="","",N(INDEX(Projects[Controls Purchase],288)))</f>
        <v/>
      </c>
      <c r="BV289" s="5">
        <f>IF(A289="","",N(INDEX(Projects[Software Eng],288)))</f>
        <v/>
      </c>
      <c r="BW289" s="5">
        <f>IF(A289="","",N(INDEX(Projects[Misc],288)))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  <c r="BZ289" s="5">
        <f>INDEX(Projects[Solution Type],288)&amp;""</f>
        <v/>
      </c>
      <c r="CA289" s="5">
        <f>INDEX(Projects[Client / Region],288)&amp;""</f>
        <v/>
      </c>
      <c r="CB289" s="5">
        <f>INDEX(Projects[Year],288)</f>
        <v/>
      </c>
      <c r="CC289" s="5">
        <f>INDEX(Projects[Won?],288)&amp;""</f>
        <v/>
      </c>
      <c r="CD289" s="5">
        <f>INDEX(Projects[Value (USD M)],288)</f>
        <v/>
      </c>
      <c r="CE289" s="5">
        <f>INDEX(Projects[MH Data Status],288)&amp;""</f>
        <v/>
      </c>
    </row>
    <row r="290" ht="15" customHeight="1" s="74">
      <c r="A290" s="66">
        <f>INDEX(Projects[Project ID *],289)&amp;""</f>
        <v/>
      </c>
      <c r="B290" s="66">
        <f>INDEX(Projects[Project Name *],289)&amp;""</f>
        <v/>
      </c>
      <c r="C290" s="66">
        <f>INDEX(Projects[MS Shuttles],289)</f>
        <v/>
      </c>
      <c r="D290" s="66">
        <f>INDEX(Projects[MS Tote Locations],289)</f>
        <v/>
      </c>
      <c r="E290" s="66">
        <f>INDEX(Projects[AS Robots],289)</f>
        <v/>
      </c>
      <c r="F290" s="66">
        <f>INDEX(Projects[AS Tote Locations],289)</f>
        <v/>
      </c>
      <c r="G290" s="66">
        <f>INDEX(Projects[PS Shuttles],289)</f>
        <v/>
      </c>
      <c r="H290" s="66">
        <f>INDEX(Projects[PS Pallet Locations],289)</f>
        <v/>
      </c>
      <c r="I290" s="66">
        <f>INDEX(Projects[SRM Cranes],289)</f>
        <v/>
      </c>
      <c r="J290" s="66">
        <f>INDEX(Projects[SRM Pallet Locations],289)</f>
        <v/>
      </c>
      <c r="K290" s="66">
        <f>INDEX(Projects[Case Conv (m)],289)</f>
        <v/>
      </c>
      <c r="L290" s="66">
        <f>INDEX(Projects[Pallet Conv (m)],289)</f>
        <v/>
      </c>
      <c r="M290" s="66">
        <f>INDEX(Projects[Mech Eng (wks)],289)</f>
        <v/>
      </c>
      <c r="N290" s="66">
        <f>INDEX(Projects[Controls Eng (wks)],289)</f>
        <v/>
      </c>
      <c r="O290" s="66">
        <f>INDEX(Projects[Systems Eng (wks)],289)</f>
        <v/>
      </c>
      <c r="P290" s="66">
        <f>INDEX(Projects[Software Eng (wks)],289)</f>
        <v/>
      </c>
      <c r="Q290" s="66">
        <f>INDEX(Projects[M&amp;E Installation (wks)],289)</f>
        <v/>
      </c>
      <c r="R290" s="66">
        <f>INDEX(Projects[Commissioning (wks)],289)</f>
        <v/>
      </c>
      <c r="S290" s="66">
        <f>INDEX(Projects[Total Timeline (wks)],289)</f>
        <v/>
      </c>
      <c r="T290" s="66">
        <f>INDEX(Projects[Currency],289)&amp;""</f>
        <v/>
      </c>
      <c r="U290" s="67">
        <f>INDEX(Projects[Value (M)],289)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INDEX(Projects[Automation Equipment],289)&amp;""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IF(AND(A290&lt;&gt;"",OR('Smart Search'!$L$5="",'Smart Search'!$L$5="All",TRIM(BZ290)=TRIM('Smart Search'!$L$5)),OR(TRIM('Smart Search'!$L$6)="",TRIM('Smart Search'!$L$6)="All",ISNUMBER(SEARCH(SUBSTITUTE(SUBSTITUTE(SUBSTITUTE(TRIM('Smart Search'!$L$6),"~","~~"),"*","~*"),"?","~?"),CA290))),OR('Smart Search'!$L$7="",AND(CB290&lt;&gt;0,CB290='Smart Search'!$L$7)),OR('Smart Search'!$L$8="",'Smart Search'!$L$8="All",TRIM(CC290)=TRIM('Smart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IF(A290="","",N(INDEX(Projects[Mech Inst],289)))</f>
        <v/>
      </c>
      <c r="BK290" s="5">
        <f>IF(A290="","",N(INDEX(Projects[Elec Inst],289)))</f>
        <v/>
      </c>
      <c r="BL290" s="5">
        <f>IF(A290="","",N(INDEX(Projects[Project Management],289)))</f>
        <v/>
      </c>
      <c r="BM290" s="5">
        <f>IF(A290="","",N(INDEX(Projects[Systems Eng],289)))</f>
        <v/>
      </c>
      <c r="BN290" s="5">
        <f>IF(A290="","",N(INDEX(Projects[Mechanical Eng],289)))</f>
        <v/>
      </c>
      <c r="BO290" s="5">
        <f>IF(A290="","",N(INDEX(Projects[Structural Engineering],289)))</f>
        <v/>
      </c>
      <c r="BP290" s="5">
        <f>IF(A290="","",N(INDEX(Projects[Site Sup],289)))</f>
        <v/>
      </c>
      <c r="BQ290" s="5">
        <f>IF(A290="","",N(INDEX(Projects[Controls Commissioning],289)))</f>
        <v/>
      </c>
      <c r="BR290" s="5">
        <f>IF(A290="","",N(INDEX(Projects[Systems Commissioning],289)))</f>
        <v/>
      </c>
      <c r="BS290" s="5">
        <f>IF(A290="","",N(INDEX(Projects[Service Commissioning],289)))</f>
        <v/>
      </c>
      <c r="BT290" s="5">
        <f>IF(A290="","",N(INDEX(Projects[Controls Eng],289)))</f>
        <v/>
      </c>
      <c r="BU290" s="5">
        <f>IF(A290="","",N(INDEX(Projects[Controls Purchase],289)))</f>
        <v/>
      </c>
      <c r="BV290" s="5">
        <f>IF(A290="","",N(INDEX(Projects[Software Eng],289)))</f>
        <v/>
      </c>
      <c r="BW290" s="5">
        <f>IF(A290="","",N(INDEX(Projects[Misc],289)))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  <c r="BZ290" s="5">
        <f>INDEX(Projects[Solution Type],289)&amp;""</f>
        <v/>
      </c>
      <c r="CA290" s="5">
        <f>INDEX(Projects[Client / Region],289)&amp;""</f>
        <v/>
      </c>
      <c r="CB290" s="5">
        <f>INDEX(Projects[Year],289)</f>
        <v/>
      </c>
      <c r="CC290" s="5">
        <f>INDEX(Projects[Won?],289)&amp;""</f>
        <v/>
      </c>
      <c r="CD290" s="5">
        <f>INDEX(Projects[Value (USD M)],289)</f>
        <v/>
      </c>
      <c r="CE290" s="5">
        <f>INDEX(Projects[MH Data Status],289)&amp;""</f>
        <v/>
      </c>
    </row>
    <row r="291" ht="15" customHeight="1" s="74">
      <c r="A291" s="66">
        <f>INDEX(Projects[Project ID *],290)&amp;""</f>
        <v/>
      </c>
      <c r="B291" s="66">
        <f>INDEX(Projects[Project Name *],290)&amp;""</f>
        <v/>
      </c>
      <c r="C291" s="66">
        <f>INDEX(Projects[MS Shuttles],290)</f>
        <v/>
      </c>
      <c r="D291" s="66">
        <f>INDEX(Projects[MS Tote Locations],290)</f>
        <v/>
      </c>
      <c r="E291" s="66">
        <f>INDEX(Projects[AS Robots],290)</f>
        <v/>
      </c>
      <c r="F291" s="66">
        <f>INDEX(Projects[AS Tote Locations],290)</f>
        <v/>
      </c>
      <c r="G291" s="66">
        <f>INDEX(Projects[PS Shuttles],290)</f>
        <v/>
      </c>
      <c r="H291" s="66">
        <f>INDEX(Projects[PS Pallet Locations],290)</f>
        <v/>
      </c>
      <c r="I291" s="66">
        <f>INDEX(Projects[SRM Cranes],290)</f>
        <v/>
      </c>
      <c r="J291" s="66">
        <f>INDEX(Projects[SRM Pallet Locations],290)</f>
        <v/>
      </c>
      <c r="K291" s="66">
        <f>INDEX(Projects[Case Conv (m)],290)</f>
        <v/>
      </c>
      <c r="L291" s="66">
        <f>INDEX(Projects[Pallet Conv (m)],290)</f>
        <v/>
      </c>
      <c r="M291" s="66">
        <f>INDEX(Projects[Mech Eng (wks)],290)</f>
        <v/>
      </c>
      <c r="N291" s="66">
        <f>INDEX(Projects[Controls Eng (wks)],290)</f>
        <v/>
      </c>
      <c r="O291" s="66">
        <f>INDEX(Projects[Systems Eng (wks)],290)</f>
        <v/>
      </c>
      <c r="P291" s="66">
        <f>INDEX(Projects[Software Eng (wks)],290)</f>
        <v/>
      </c>
      <c r="Q291" s="66">
        <f>INDEX(Projects[M&amp;E Installation (wks)],290)</f>
        <v/>
      </c>
      <c r="R291" s="66">
        <f>INDEX(Projects[Commissioning (wks)],290)</f>
        <v/>
      </c>
      <c r="S291" s="66">
        <f>INDEX(Projects[Total Timeline (wks)],290)</f>
        <v/>
      </c>
      <c r="T291" s="66">
        <f>INDEX(Projects[Currency],290)&amp;""</f>
        <v/>
      </c>
      <c r="U291" s="67">
        <f>INDEX(Projects[Value (M)],290)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INDEX(Projects[Automation Equipment],290)&amp;""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IF(AND(A291&lt;&gt;"",OR('Smart Search'!$L$5="",'Smart Search'!$L$5="All",TRIM(BZ291)=TRIM('Smart Search'!$L$5)),OR(TRIM('Smart Search'!$L$6)="",TRIM('Smart Search'!$L$6)="All",ISNUMBER(SEARCH(SUBSTITUTE(SUBSTITUTE(SUBSTITUTE(TRIM('Smart Search'!$L$6),"~","~~"),"*","~*"),"?","~?"),CA291))),OR('Smart Search'!$L$7="",AND(CB291&lt;&gt;0,CB291='Smart Search'!$L$7)),OR('Smart Search'!$L$8="",'Smart Search'!$L$8="All",TRIM(CC291)=TRIM('Smart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IF(A291="","",N(INDEX(Projects[Mech Inst],290)))</f>
        <v/>
      </c>
      <c r="BK291" s="5">
        <f>IF(A291="","",N(INDEX(Projects[Elec Inst],290)))</f>
        <v/>
      </c>
      <c r="BL291" s="5">
        <f>IF(A291="","",N(INDEX(Projects[Project Management],290)))</f>
        <v/>
      </c>
      <c r="BM291" s="5">
        <f>IF(A291="","",N(INDEX(Projects[Systems Eng],290)))</f>
        <v/>
      </c>
      <c r="BN291" s="5">
        <f>IF(A291="","",N(INDEX(Projects[Mechanical Eng],290)))</f>
        <v/>
      </c>
      <c r="BO291" s="5">
        <f>IF(A291="","",N(INDEX(Projects[Structural Engineering],290)))</f>
        <v/>
      </c>
      <c r="BP291" s="5">
        <f>IF(A291="","",N(INDEX(Projects[Site Sup],290)))</f>
        <v/>
      </c>
      <c r="BQ291" s="5">
        <f>IF(A291="","",N(INDEX(Projects[Controls Commissioning],290)))</f>
        <v/>
      </c>
      <c r="BR291" s="5">
        <f>IF(A291="","",N(INDEX(Projects[Systems Commissioning],290)))</f>
        <v/>
      </c>
      <c r="BS291" s="5">
        <f>IF(A291="","",N(INDEX(Projects[Service Commissioning],290)))</f>
        <v/>
      </c>
      <c r="BT291" s="5">
        <f>IF(A291="","",N(INDEX(Projects[Controls Eng],290)))</f>
        <v/>
      </c>
      <c r="BU291" s="5">
        <f>IF(A291="","",N(INDEX(Projects[Controls Purchase],290)))</f>
        <v/>
      </c>
      <c r="BV291" s="5">
        <f>IF(A291="","",N(INDEX(Projects[Software Eng],290)))</f>
        <v/>
      </c>
      <c r="BW291" s="5">
        <f>IF(A291="","",N(INDEX(Projects[Misc],290)))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  <c r="BZ291" s="5">
        <f>INDEX(Projects[Solution Type],290)&amp;""</f>
        <v/>
      </c>
      <c r="CA291" s="5">
        <f>INDEX(Projects[Client / Region],290)&amp;""</f>
        <v/>
      </c>
      <c r="CB291" s="5">
        <f>INDEX(Projects[Year],290)</f>
        <v/>
      </c>
      <c r="CC291" s="5">
        <f>INDEX(Projects[Won?],290)&amp;""</f>
        <v/>
      </c>
      <c r="CD291" s="5">
        <f>INDEX(Projects[Value (USD M)],290)</f>
        <v/>
      </c>
      <c r="CE291" s="5">
        <f>INDEX(Projects[MH Data Status],290)&amp;""</f>
        <v/>
      </c>
    </row>
    <row r="292" ht="15" customHeight="1" s="74">
      <c r="A292" s="66">
        <f>INDEX(Projects[Project ID *],291)&amp;""</f>
        <v/>
      </c>
      <c r="B292" s="66">
        <f>INDEX(Projects[Project Name *],291)&amp;""</f>
        <v/>
      </c>
      <c r="C292" s="66">
        <f>INDEX(Projects[MS Shuttles],291)</f>
        <v/>
      </c>
      <c r="D292" s="66">
        <f>INDEX(Projects[MS Tote Locations],291)</f>
        <v/>
      </c>
      <c r="E292" s="66">
        <f>INDEX(Projects[AS Robots],291)</f>
        <v/>
      </c>
      <c r="F292" s="66">
        <f>INDEX(Projects[AS Tote Locations],291)</f>
        <v/>
      </c>
      <c r="G292" s="66">
        <f>INDEX(Projects[PS Shuttles],291)</f>
        <v/>
      </c>
      <c r="H292" s="66">
        <f>INDEX(Projects[PS Pallet Locations],291)</f>
        <v/>
      </c>
      <c r="I292" s="66">
        <f>INDEX(Projects[SRM Cranes],291)</f>
        <v/>
      </c>
      <c r="J292" s="66">
        <f>INDEX(Projects[SRM Pallet Locations],291)</f>
        <v/>
      </c>
      <c r="K292" s="66">
        <f>INDEX(Projects[Case Conv (m)],291)</f>
        <v/>
      </c>
      <c r="L292" s="66">
        <f>INDEX(Projects[Pallet Conv (m)],291)</f>
        <v/>
      </c>
      <c r="M292" s="66">
        <f>INDEX(Projects[Mech Eng (wks)],291)</f>
        <v/>
      </c>
      <c r="N292" s="66">
        <f>INDEX(Projects[Controls Eng (wks)],291)</f>
        <v/>
      </c>
      <c r="O292" s="66">
        <f>INDEX(Projects[Systems Eng (wks)],291)</f>
        <v/>
      </c>
      <c r="P292" s="66">
        <f>INDEX(Projects[Software Eng (wks)],291)</f>
        <v/>
      </c>
      <c r="Q292" s="66">
        <f>INDEX(Projects[M&amp;E Installation (wks)],291)</f>
        <v/>
      </c>
      <c r="R292" s="66">
        <f>INDEX(Projects[Commissioning (wks)],291)</f>
        <v/>
      </c>
      <c r="S292" s="66">
        <f>INDEX(Projects[Total Timeline (wks)],291)</f>
        <v/>
      </c>
      <c r="T292" s="66">
        <f>INDEX(Projects[Currency],291)&amp;""</f>
        <v/>
      </c>
      <c r="U292" s="67">
        <f>INDEX(Projects[Value (M)],291)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INDEX(Projects[Automation Equipment],291)&amp;""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IF(AND(A292&lt;&gt;"",OR('Smart Search'!$L$5="",'Smart Search'!$L$5="All",TRIM(BZ292)=TRIM('Smart Search'!$L$5)),OR(TRIM('Smart Search'!$L$6)="",TRIM('Smart Search'!$L$6)="All",ISNUMBER(SEARCH(SUBSTITUTE(SUBSTITUTE(SUBSTITUTE(TRIM('Smart Search'!$L$6),"~","~~"),"*","~*"),"?","~?"),CA292))),OR('Smart Search'!$L$7="",AND(CB292&lt;&gt;0,CB292='Smart Search'!$L$7)),OR('Smart Search'!$L$8="",'Smart Search'!$L$8="All",TRIM(CC292)=TRIM('Smart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IF(A292="","",N(INDEX(Projects[Mech Inst],291)))</f>
        <v/>
      </c>
      <c r="BK292" s="5">
        <f>IF(A292="","",N(INDEX(Projects[Elec Inst],291)))</f>
        <v/>
      </c>
      <c r="BL292" s="5">
        <f>IF(A292="","",N(INDEX(Projects[Project Management],291)))</f>
        <v/>
      </c>
      <c r="BM292" s="5">
        <f>IF(A292="","",N(INDEX(Projects[Systems Eng],291)))</f>
        <v/>
      </c>
      <c r="BN292" s="5">
        <f>IF(A292="","",N(INDEX(Projects[Mechanical Eng],291)))</f>
        <v/>
      </c>
      <c r="BO292" s="5">
        <f>IF(A292="","",N(INDEX(Projects[Structural Engineering],291)))</f>
        <v/>
      </c>
      <c r="BP292" s="5">
        <f>IF(A292="","",N(INDEX(Projects[Site Sup],291)))</f>
        <v/>
      </c>
      <c r="BQ292" s="5">
        <f>IF(A292="","",N(INDEX(Projects[Controls Commissioning],291)))</f>
        <v/>
      </c>
      <c r="BR292" s="5">
        <f>IF(A292="","",N(INDEX(Projects[Systems Commissioning],291)))</f>
        <v/>
      </c>
      <c r="BS292" s="5">
        <f>IF(A292="","",N(INDEX(Projects[Service Commissioning],291)))</f>
        <v/>
      </c>
      <c r="BT292" s="5">
        <f>IF(A292="","",N(INDEX(Projects[Controls Eng],291)))</f>
        <v/>
      </c>
      <c r="BU292" s="5">
        <f>IF(A292="","",N(INDEX(Projects[Controls Purchase],291)))</f>
        <v/>
      </c>
      <c r="BV292" s="5">
        <f>IF(A292="","",N(INDEX(Projects[Software Eng],291)))</f>
        <v/>
      </c>
      <c r="BW292" s="5">
        <f>IF(A292="","",N(INDEX(Projects[Misc],291)))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  <c r="BZ292" s="5">
        <f>INDEX(Projects[Solution Type],291)&amp;""</f>
        <v/>
      </c>
      <c r="CA292" s="5">
        <f>INDEX(Projects[Client / Region],291)&amp;""</f>
        <v/>
      </c>
      <c r="CB292" s="5">
        <f>INDEX(Projects[Year],291)</f>
        <v/>
      </c>
      <c r="CC292" s="5">
        <f>INDEX(Projects[Won?],291)&amp;""</f>
        <v/>
      </c>
      <c r="CD292" s="5">
        <f>INDEX(Projects[Value (USD M)],291)</f>
        <v/>
      </c>
      <c r="CE292" s="5">
        <f>INDEX(Projects[MH Data Status],291)&amp;""</f>
        <v/>
      </c>
    </row>
    <row r="293" ht="15" customHeight="1" s="74">
      <c r="A293" s="66">
        <f>INDEX(Projects[Project ID *],292)&amp;""</f>
        <v/>
      </c>
      <c r="B293" s="66">
        <f>INDEX(Projects[Project Name *],292)&amp;""</f>
        <v/>
      </c>
      <c r="C293" s="66">
        <f>INDEX(Projects[MS Shuttles],292)</f>
        <v/>
      </c>
      <c r="D293" s="66">
        <f>INDEX(Projects[MS Tote Locations],292)</f>
        <v/>
      </c>
      <c r="E293" s="66">
        <f>INDEX(Projects[AS Robots],292)</f>
        <v/>
      </c>
      <c r="F293" s="66">
        <f>INDEX(Projects[AS Tote Locations],292)</f>
        <v/>
      </c>
      <c r="G293" s="66">
        <f>INDEX(Projects[PS Shuttles],292)</f>
        <v/>
      </c>
      <c r="H293" s="66">
        <f>INDEX(Projects[PS Pallet Locations],292)</f>
        <v/>
      </c>
      <c r="I293" s="66">
        <f>INDEX(Projects[SRM Cranes],292)</f>
        <v/>
      </c>
      <c r="J293" s="66">
        <f>INDEX(Projects[SRM Pallet Locations],292)</f>
        <v/>
      </c>
      <c r="K293" s="66">
        <f>INDEX(Projects[Case Conv (m)],292)</f>
        <v/>
      </c>
      <c r="L293" s="66">
        <f>INDEX(Projects[Pallet Conv (m)],292)</f>
        <v/>
      </c>
      <c r="M293" s="66">
        <f>INDEX(Projects[Mech Eng (wks)],292)</f>
        <v/>
      </c>
      <c r="N293" s="66">
        <f>INDEX(Projects[Controls Eng (wks)],292)</f>
        <v/>
      </c>
      <c r="O293" s="66">
        <f>INDEX(Projects[Systems Eng (wks)],292)</f>
        <v/>
      </c>
      <c r="P293" s="66">
        <f>INDEX(Projects[Software Eng (wks)],292)</f>
        <v/>
      </c>
      <c r="Q293" s="66">
        <f>INDEX(Projects[M&amp;E Installation (wks)],292)</f>
        <v/>
      </c>
      <c r="R293" s="66">
        <f>INDEX(Projects[Commissioning (wks)],292)</f>
        <v/>
      </c>
      <c r="S293" s="66">
        <f>INDEX(Projects[Total Timeline (wks)],292)</f>
        <v/>
      </c>
      <c r="T293" s="66">
        <f>INDEX(Projects[Currency],292)&amp;""</f>
        <v/>
      </c>
      <c r="U293" s="67">
        <f>INDEX(Projects[Value (M)],292)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INDEX(Projects[Automation Equipment],292)&amp;""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IF(AND(A293&lt;&gt;"",OR('Smart Search'!$L$5="",'Smart Search'!$L$5="All",TRIM(BZ293)=TRIM('Smart Search'!$L$5)),OR(TRIM('Smart Search'!$L$6)="",TRIM('Smart Search'!$L$6)="All",ISNUMBER(SEARCH(SUBSTITUTE(SUBSTITUTE(SUBSTITUTE(TRIM('Smart Search'!$L$6),"~","~~"),"*","~*"),"?","~?"),CA293))),OR('Smart Search'!$L$7="",AND(CB293&lt;&gt;0,CB293='Smart Search'!$L$7)),OR('Smart Search'!$L$8="",'Smart Search'!$L$8="All",TRIM(CC293)=TRIM('Smart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IF(A293="","",N(INDEX(Projects[Mech Inst],292)))</f>
        <v/>
      </c>
      <c r="BK293" s="5">
        <f>IF(A293="","",N(INDEX(Projects[Elec Inst],292)))</f>
        <v/>
      </c>
      <c r="BL293" s="5">
        <f>IF(A293="","",N(INDEX(Projects[Project Management],292)))</f>
        <v/>
      </c>
      <c r="BM293" s="5">
        <f>IF(A293="","",N(INDEX(Projects[Systems Eng],292)))</f>
        <v/>
      </c>
      <c r="BN293" s="5">
        <f>IF(A293="","",N(INDEX(Projects[Mechanical Eng],292)))</f>
        <v/>
      </c>
      <c r="BO293" s="5">
        <f>IF(A293="","",N(INDEX(Projects[Structural Engineering],292)))</f>
        <v/>
      </c>
      <c r="BP293" s="5">
        <f>IF(A293="","",N(INDEX(Projects[Site Sup],292)))</f>
        <v/>
      </c>
      <c r="BQ293" s="5">
        <f>IF(A293="","",N(INDEX(Projects[Controls Commissioning],292)))</f>
        <v/>
      </c>
      <c r="BR293" s="5">
        <f>IF(A293="","",N(INDEX(Projects[Systems Commissioning],292)))</f>
        <v/>
      </c>
      <c r="BS293" s="5">
        <f>IF(A293="","",N(INDEX(Projects[Service Commissioning],292)))</f>
        <v/>
      </c>
      <c r="BT293" s="5">
        <f>IF(A293="","",N(INDEX(Projects[Controls Eng],292)))</f>
        <v/>
      </c>
      <c r="BU293" s="5">
        <f>IF(A293="","",N(INDEX(Projects[Controls Purchase],292)))</f>
        <v/>
      </c>
      <c r="BV293" s="5">
        <f>IF(A293="","",N(INDEX(Projects[Software Eng],292)))</f>
        <v/>
      </c>
      <c r="BW293" s="5">
        <f>IF(A293="","",N(INDEX(Projects[Misc],292)))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  <c r="BZ293" s="5">
        <f>INDEX(Projects[Solution Type],292)&amp;""</f>
        <v/>
      </c>
      <c r="CA293" s="5">
        <f>INDEX(Projects[Client / Region],292)&amp;""</f>
        <v/>
      </c>
      <c r="CB293" s="5">
        <f>INDEX(Projects[Year],292)</f>
        <v/>
      </c>
      <c r="CC293" s="5">
        <f>INDEX(Projects[Won?],292)&amp;""</f>
        <v/>
      </c>
      <c r="CD293" s="5">
        <f>INDEX(Projects[Value (USD M)],292)</f>
        <v/>
      </c>
      <c r="CE293" s="5">
        <f>INDEX(Projects[MH Data Status],292)&amp;""</f>
        <v/>
      </c>
    </row>
    <row r="294" ht="15" customHeight="1" s="74">
      <c r="A294" s="66">
        <f>INDEX(Projects[Project ID *],293)&amp;""</f>
        <v/>
      </c>
      <c r="B294" s="66">
        <f>INDEX(Projects[Project Name *],293)&amp;""</f>
        <v/>
      </c>
      <c r="C294" s="66">
        <f>INDEX(Projects[MS Shuttles],293)</f>
        <v/>
      </c>
      <c r="D294" s="66">
        <f>INDEX(Projects[MS Tote Locations],293)</f>
        <v/>
      </c>
      <c r="E294" s="66">
        <f>INDEX(Projects[AS Robots],293)</f>
        <v/>
      </c>
      <c r="F294" s="66">
        <f>INDEX(Projects[AS Tote Locations],293)</f>
        <v/>
      </c>
      <c r="G294" s="66">
        <f>INDEX(Projects[PS Shuttles],293)</f>
        <v/>
      </c>
      <c r="H294" s="66">
        <f>INDEX(Projects[PS Pallet Locations],293)</f>
        <v/>
      </c>
      <c r="I294" s="66">
        <f>INDEX(Projects[SRM Cranes],293)</f>
        <v/>
      </c>
      <c r="J294" s="66">
        <f>INDEX(Projects[SRM Pallet Locations],293)</f>
        <v/>
      </c>
      <c r="K294" s="66">
        <f>INDEX(Projects[Case Conv (m)],293)</f>
        <v/>
      </c>
      <c r="L294" s="66">
        <f>INDEX(Projects[Pallet Conv (m)],293)</f>
        <v/>
      </c>
      <c r="M294" s="66">
        <f>INDEX(Projects[Mech Eng (wks)],293)</f>
        <v/>
      </c>
      <c r="N294" s="66">
        <f>INDEX(Projects[Controls Eng (wks)],293)</f>
        <v/>
      </c>
      <c r="O294" s="66">
        <f>INDEX(Projects[Systems Eng (wks)],293)</f>
        <v/>
      </c>
      <c r="P294" s="66">
        <f>INDEX(Projects[Software Eng (wks)],293)</f>
        <v/>
      </c>
      <c r="Q294" s="66">
        <f>INDEX(Projects[M&amp;E Installation (wks)],293)</f>
        <v/>
      </c>
      <c r="R294" s="66">
        <f>INDEX(Projects[Commissioning (wks)],293)</f>
        <v/>
      </c>
      <c r="S294" s="66">
        <f>INDEX(Projects[Total Timeline (wks)],293)</f>
        <v/>
      </c>
      <c r="T294" s="66">
        <f>INDEX(Projects[Currency],293)&amp;""</f>
        <v/>
      </c>
      <c r="U294" s="67">
        <f>INDEX(Projects[Value (M)],293)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INDEX(Projects[Automation Equipment],293)&amp;""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IF(AND(A294&lt;&gt;"",OR('Smart Search'!$L$5="",'Smart Search'!$L$5="All",TRIM(BZ294)=TRIM('Smart Search'!$L$5)),OR(TRIM('Smart Search'!$L$6)="",TRIM('Smart Search'!$L$6)="All",ISNUMBER(SEARCH(SUBSTITUTE(SUBSTITUTE(SUBSTITUTE(TRIM('Smart Search'!$L$6),"~","~~"),"*","~*"),"?","~?"),CA294))),OR('Smart Search'!$L$7="",AND(CB294&lt;&gt;0,CB294='Smart Search'!$L$7)),OR('Smart Search'!$L$8="",'Smart Search'!$L$8="All",TRIM(CC294)=TRIM('Smart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IF(A294="","",N(INDEX(Projects[Mech Inst],293)))</f>
        <v/>
      </c>
      <c r="BK294" s="5">
        <f>IF(A294="","",N(INDEX(Projects[Elec Inst],293)))</f>
        <v/>
      </c>
      <c r="BL294" s="5">
        <f>IF(A294="","",N(INDEX(Projects[Project Management],293)))</f>
        <v/>
      </c>
      <c r="BM294" s="5">
        <f>IF(A294="","",N(INDEX(Projects[Systems Eng],293)))</f>
        <v/>
      </c>
      <c r="BN294" s="5">
        <f>IF(A294="","",N(INDEX(Projects[Mechanical Eng],293)))</f>
        <v/>
      </c>
      <c r="BO294" s="5">
        <f>IF(A294="","",N(INDEX(Projects[Structural Engineering],293)))</f>
        <v/>
      </c>
      <c r="BP294" s="5">
        <f>IF(A294="","",N(INDEX(Projects[Site Sup],293)))</f>
        <v/>
      </c>
      <c r="BQ294" s="5">
        <f>IF(A294="","",N(INDEX(Projects[Controls Commissioning],293)))</f>
        <v/>
      </c>
      <c r="BR294" s="5">
        <f>IF(A294="","",N(INDEX(Projects[Systems Commissioning],293)))</f>
        <v/>
      </c>
      <c r="BS294" s="5">
        <f>IF(A294="","",N(INDEX(Projects[Service Commissioning],293)))</f>
        <v/>
      </c>
      <c r="BT294" s="5">
        <f>IF(A294="","",N(INDEX(Projects[Controls Eng],293)))</f>
        <v/>
      </c>
      <c r="BU294" s="5">
        <f>IF(A294="","",N(INDEX(Projects[Controls Purchase],293)))</f>
        <v/>
      </c>
      <c r="BV294" s="5">
        <f>IF(A294="","",N(INDEX(Projects[Software Eng],293)))</f>
        <v/>
      </c>
      <c r="BW294" s="5">
        <f>IF(A294="","",N(INDEX(Projects[Misc],293)))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  <c r="BZ294" s="5">
        <f>INDEX(Projects[Solution Type],293)&amp;""</f>
        <v/>
      </c>
      <c r="CA294" s="5">
        <f>INDEX(Projects[Client / Region],293)&amp;""</f>
        <v/>
      </c>
      <c r="CB294" s="5">
        <f>INDEX(Projects[Year],293)</f>
        <v/>
      </c>
      <c r="CC294" s="5">
        <f>INDEX(Projects[Won?],293)&amp;""</f>
        <v/>
      </c>
      <c r="CD294" s="5">
        <f>INDEX(Projects[Value (USD M)],293)</f>
        <v/>
      </c>
      <c r="CE294" s="5">
        <f>INDEX(Projects[MH Data Status],293)&amp;""</f>
        <v/>
      </c>
    </row>
    <row r="295" ht="15" customHeight="1" s="74">
      <c r="A295" s="66">
        <f>INDEX(Projects[Project ID *],294)&amp;""</f>
        <v/>
      </c>
      <c r="B295" s="66">
        <f>INDEX(Projects[Project Name *],294)&amp;""</f>
        <v/>
      </c>
      <c r="C295" s="66">
        <f>INDEX(Projects[MS Shuttles],294)</f>
        <v/>
      </c>
      <c r="D295" s="66">
        <f>INDEX(Projects[MS Tote Locations],294)</f>
        <v/>
      </c>
      <c r="E295" s="66">
        <f>INDEX(Projects[AS Robots],294)</f>
        <v/>
      </c>
      <c r="F295" s="66">
        <f>INDEX(Projects[AS Tote Locations],294)</f>
        <v/>
      </c>
      <c r="G295" s="66">
        <f>INDEX(Projects[PS Shuttles],294)</f>
        <v/>
      </c>
      <c r="H295" s="66">
        <f>INDEX(Projects[PS Pallet Locations],294)</f>
        <v/>
      </c>
      <c r="I295" s="66">
        <f>INDEX(Projects[SRM Cranes],294)</f>
        <v/>
      </c>
      <c r="J295" s="66">
        <f>INDEX(Projects[SRM Pallet Locations],294)</f>
        <v/>
      </c>
      <c r="K295" s="66">
        <f>INDEX(Projects[Case Conv (m)],294)</f>
        <v/>
      </c>
      <c r="L295" s="66">
        <f>INDEX(Projects[Pallet Conv (m)],294)</f>
        <v/>
      </c>
      <c r="M295" s="66">
        <f>INDEX(Projects[Mech Eng (wks)],294)</f>
        <v/>
      </c>
      <c r="N295" s="66">
        <f>INDEX(Projects[Controls Eng (wks)],294)</f>
        <v/>
      </c>
      <c r="O295" s="66">
        <f>INDEX(Projects[Systems Eng (wks)],294)</f>
        <v/>
      </c>
      <c r="P295" s="66">
        <f>INDEX(Projects[Software Eng (wks)],294)</f>
        <v/>
      </c>
      <c r="Q295" s="66">
        <f>INDEX(Projects[M&amp;E Installation (wks)],294)</f>
        <v/>
      </c>
      <c r="R295" s="66">
        <f>INDEX(Projects[Commissioning (wks)],294)</f>
        <v/>
      </c>
      <c r="S295" s="66">
        <f>INDEX(Projects[Total Timeline (wks)],294)</f>
        <v/>
      </c>
      <c r="T295" s="66">
        <f>INDEX(Projects[Currency],294)&amp;""</f>
        <v/>
      </c>
      <c r="U295" s="67">
        <f>INDEX(Projects[Value (M)],294)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INDEX(Projects[Automation Equipment],294)&amp;""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IF(AND(A295&lt;&gt;"",OR('Smart Search'!$L$5="",'Smart Search'!$L$5="All",TRIM(BZ295)=TRIM('Smart Search'!$L$5)),OR(TRIM('Smart Search'!$L$6)="",TRIM('Smart Search'!$L$6)="All",ISNUMBER(SEARCH(SUBSTITUTE(SUBSTITUTE(SUBSTITUTE(TRIM('Smart Search'!$L$6),"~","~~"),"*","~*"),"?","~?"),CA295))),OR('Smart Search'!$L$7="",AND(CB295&lt;&gt;0,CB295='Smart Search'!$L$7)),OR('Smart Search'!$L$8="",'Smart Search'!$L$8="All",TRIM(CC295)=TRIM('Smart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IF(A295="","",N(INDEX(Projects[Mech Inst],294)))</f>
        <v/>
      </c>
      <c r="BK295" s="5">
        <f>IF(A295="","",N(INDEX(Projects[Elec Inst],294)))</f>
        <v/>
      </c>
      <c r="BL295" s="5">
        <f>IF(A295="","",N(INDEX(Projects[Project Management],294)))</f>
        <v/>
      </c>
      <c r="BM295" s="5">
        <f>IF(A295="","",N(INDEX(Projects[Systems Eng],294)))</f>
        <v/>
      </c>
      <c r="BN295" s="5">
        <f>IF(A295="","",N(INDEX(Projects[Mechanical Eng],294)))</f>
        <v/>
      </c>
      <c r="BO295" s="5">
        <f>IF(A295="","",N(INDEX(Projects[Structural Engineering],294)))</f>
        <v/>
      </c>
      <c r="BP295" s="5">
        <f>IF(A295="","",N(INDEX(Projects[Site Sup],294)))</f>
        <v/>
      </c>
      <c r="BQ295" s="5">
        <f>IF(A295="","",N(INDEX(Projects[Controls Commissioning],294)))</f>
        <v/>
      </c>
      <c r="BR295" s="5">
        <f>IF(A295="","",N(INDEX(Projects[Systems Commissioning],294)))</f>
        <v/>
      </c>
      <c r="BS295" s="5">
        <f>IF(A295="","",N(INDEX(Projects[Service Commissioning],294)))</f>
        <v/>
      </c>
      <c r="BT295" s="5">
        <f>IF(A295="","",N(INDEX(Projects[Controls Eng],294)))</f>
        <v/>
      </c>
      <c r="BU295" s="5">
        <f>IF(A295="","",N(INDEX(Projects[Controls Purchase],294)))</f>
        <v/>
      </c>
      <c r="BV295" s="5">
        <f>IF(A295="","",N(INDEX(Projects[Software Eng],294)))</f>
        <v/>
      </c>
      <c r="BW295" s="5">
        <f>IF(A295="","",N(INDEX(Projects[Misc],294)))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  <c r="BZ295" s="5">
        <f>INDEX(Projects[Solution Type],294)&amp;""</f>
        <v/>
      </c>
      <c r="CA295" s="5">
        <f>INDEX(Projects[Client / Region],294)&amp;""</f>
        <v/>
      </c>
      <c r="CB295" s="5">
        <f>INDEX(Projects[Year],294)</f>
        <v/>
      </c>
      <c r="CC295" s="5">
        <f>INDEX(Projects[Won?],294)&amp;""</f>
        <v/>
      </c>
      <c r="CD295" s="5">
        <f>INDEX(Projects[Value (USD M)],294)</f>
        <v/>
      </c>
      <c r="CE295" s="5">
        <f>INDEX(Projects[MH Data Status],294)&amp;""</f>
        <v/>
      </c>
    </row>
    <row r="296" ht="15" customHeight="1" s="74">
      <c r="A296" s="66">
        <f>INDEX(Projects[Project ID *],295)&amp;""</f>
        <v/>
      </c>
      <c r="B296" s="66">
        <f>INDEX(Projects[Project Name *],295)&amp;""</f>
        <v/>
      </c>
      <c r="C296" s="66">
        <f>INDEX(Projects[MS Shuttles],295)</f>
        <v/>
      </c>
      <c r="D296" s="66">
        <f>INDEX(Projects[MS Tote Locations],295)</f>
        <v/>
      </c>
      <c r="E296" s="66">
        <f>INDEX(Projects[AS Robots],295)</f>
        <v/>
      </c>
      <c r="F296" s="66">
        <f>INDEX(Projects[AS Tote Locations],295)</f>
        <v/>
      </c>
      <c r="G296" s="66">
        <f>INDEX(Projects[PS Shuttles],295)</f>
        <v/>
      </c>
      <c r="H296" s="66">
        <f>INDEX(Projects[PS Pallet Locations],295)</f>
        <v/>
      </c>
      <c r="I296" s="66">
        <f>INDEX(Projects[SRM Cranes],295)</f>
        <v/>
      </c>
      <c r="J296" s="66">
        <f>INDEX(Projects[SRM Pallet Locations],295)</f>
        <v/>
      </c>
      <c r="K296" s="66">
        <f>INDEX(Projects[Case Conv (m)],295)</f>
        <v/>
      </c>
      <c r="L296" s="66">
        <f>INDEX(Projects[Pallet Conv (m)],295)</f>
        <v/>
      </c>
      <c r="M296" s="66">
        <f>INDEX(Projects[Mech Eng (wks)],295)</f>
        <v/>
      </c>
      <c r="N296" s="66">
        <f>INDEX(Projects[Controls Eng (wks)],295)</f>
        <v/>
      </c>
      <c r="O296" s="66">
        <f>INDEX(Projects[Systems Eng (wks)],295)</f>
        <v/>
      </c>
      <c r="P296" s="66">
        <f>INDEX(Projects[Software Eng (wks)],295)</f>
        <v/>
      </c>
      <c r="Q296" s="66">
        <f>INDEX(Projects[M&amp;E Installation (wks)],295)</f>
        <v/>
      </c>
      <c r="R296" s="66">
        <f>INDEX(Projects[Commissioning (wks)],295)</f>
        <v/>
      </c>
      <c r="S296" s="66">
        <f>INDEX(Projects[Total Timeline (wks)],295)</f>
        <v/>
      </c>
      <c r="T296" s="66">
        <f>INDEX(Projects[Currency],295)&amp;""</f>
        <v/>
      </c>
      <c r="U296" s="67">
        <f>INDEX(Projects[Value (M)],295)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INDEX(Projects[Automation Equipment],295)&amp;""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IF(AND(A296&lt;&gt;"",OR('Smart Search'!$L$5="",'Smart Search'!$L$5="All",TRIM(BZ296)=TRIM('Smart Search'!$L$5)),OR(TRIM('Smart Search'!$L$6)="",TRIM('Smart Search'!$L$6)="All",ISNUMBER(SEARCH(SUBSTITUTE(SUBSTITUTE(SUBSTITUTE(TRIM('Smart Search'!$L$6),"~","~~"),"*","~*"),"?","~?"),CA296))),OR('Smart Search'!$L$7="",AND(CB296&lt;&gt;0,CB296='Smart Search'!$L$7)),OR('Smart Search'!$L$8="",'Smart Search'!$L$8="All",TRIM(CC296)=TRIM('Smart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IF(A296="","",N(INDEX(Projects[Mech Inst],295)))</f>
        <v/>
      </c>
      <c r="BK296" s="5">
        <f>IF(A296="","",N(INDEX(Projects[Elec Inst],295)))</f>
        <v/>
      </c>
      <c r="BL296" s="5">
        <f>IF(A296="","",N(INDEX(Projects[Project Management],295)))</f>
        <v/>
      </c>
      <c r="BM296" s="5">
        <f>IF(A296="","",N(INDEX(Projects[Systems Eng],295)))</f>
        <v/>
      </c>
      <c r="BN296" s="5">
        <f>IF(A296="","",N(INDEX(Projects[Mechanical Eng],295)))</f>
        <v/>
      </c>
      <c r="BO296" s="5">
        <f>IF(A296="","",N(INDEX(Projects[Structural Engineering],295)))</f>
        <v/>
      </c>
      <c r="BP296" s="5">
        <f>IF(A296="","",N(INDEX(Projects[Site Sup],295)))</f>
        <v/>
      </c>
      <c r="BQ296" s="5">
        <f>IF(A296="","",N(INDEX(Projects[Controls Commissioning],295)))</f>
        <v/>
      </c>
      <c r="BR296" s="5">
        <f>IF(A296="","",N(INDEX(Projects[Systems Commissioning],295)))</f>
        <v/>
      </c>
      <c r="BS296" s="5">
        <f>IF(A296="","",N(INDEX(Projects[Service Commissioning],295)))</f>
        <v/>
      </c>
      <c r="BT296" s="5">
        <f>IF(A296="","",N(INDEX(Projects[Controls Eng],295)))</f>
        <v/>
      </c>
      <c r="BU296" s="5">
        <f>IF(A296="","",N(INDEX(Projects[Controls Purchase],295)))</f>
        <v/>
      </c>
      <c r="BV296" s="5">
        <f>IF(A296="","",N(INDEX(Projects[Software Eng],295)))</f>
        <v/>
      </c>
      <c r="BW296" s="5">
        <f>IF(A296="","",N(INDEX(Projects[Misc],295)))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  <c r="BZ296" s="5">
        <f>INDEX(Projects[Solution Type],295)&amp;""</f>
        <v/>
      </c>
      <c r="CA296" s="5">
        <f>INDEX(Projects[Client / Region],295)&amp;""</f>
        <v/>
      </c>
      <c r="CB296" s="5">
        <f>INDEX(Projects[Year],295)</f>
        <v/>
      </c>
      <c r="CC296" s="5">
        <f>INDEX(Projects[Won?],295)&amp;""</f>
        <v/>
      </c>
      <c r="CD296" s="5">
        <f>INDEX(Projects[Value (USD M)],295)</f>
        <v/>
      </c>
      <c r="CE296" s="5">
        <f>INDEX(Projects[MH Data Status],295)&amp;""</f>
        <v/>
      </c>
    </row>
    <row r="297" ht="15" customHeight="1" s="74">
      <c r="A297" s="66">
        <f>INDEX(Projects[Project ID *],296)&amp;""</f>
        <v/>
      </c>
      <c r="B297" s="66">
        <f>INDEX(Projects[Project Name *],296)&amp;""</f>
        <v/>
      </c>
      <c r="C297" s="66">
        <f>INDEX(Projects[MS Shuttles],296)</f>
        <v/>
      </c>
      <c r="D297" s="66">
        <f>INDEX(Projects[MS Tote Locations],296)</f>
        <v/>
      </c>
      <c r="E297" s="66">
        <f>INDEX(Projects[AS Robots],296)</f>
        <v/>
      </c>
      <c r="F297" s="66">
        <f>INDEX(Projects[AS Tote Locations],296)</f>
        <v/>
      </c>
      <c r="G297" s="66">
        <f>INDEX(Projects[PS Shuttles],296)</f>
        <v/>
      </c>
      <c r="H297" s="66">
        <f>INDEX(Projects[PS Pallet Locations],296)</f>
        <v/>
      </c>
      <c r="I297" s="66">
        <f>INDEX(Projects[SRM Cranes],296)</f>
        <v/>
      </c>
      <c r="J297" s="66">
        <f>INDEX(Projects[SRM Pallet Locations],296)</f>
        <v/>
      </c>
      <c r="K297" s="66">
        <f>INDEX(Projects[Case Conv (m)],296)</f>
        <v/>
      </c>
      <c r="L297" s="66">
        <f>INDEX(Projects[Pallet Conv (m)],296)</f>
        <v/>
      </c>
      <c r="M297" s="66">
        <f>INDEX(Projects[Mech Eng (wks)],296)</f>
        <v/>
      </c>
      <c r="N297" s="66">
        <f>INDEX(Projects[Controls Eng (wks)],296)</f>
        <v/>
      </c>
      <c r="O297" s="66">
        <f>INDEX(Projects[Systems Eng (wks)],296)</f>
        <v/>
      </c>
      <c r="P297" s="66">
        <f>INDEX(Projects[Software Eng (wks)],296)</f>
        <v/>
      </c>
      <c r="Q297" s="66">
        <f>INDEX(Projects[M&amp;E Installation (wks)],296)</f>
        <v/>
      </c>
      <c r="R297" s="66">
        <f>INDEX(Projects[Commissioning (wks)],296)</f>
        <v/>
      </c>
      <c r="S297" s="66">
        <f>INDEX(Projects[Total Timeline (wks)],296)</f>
        <v/>
      </c>
      <c r="T297" s="66">
        <f>INDEX(Projects[Currency],296)&amp;""</f>
        <v/>
      </c>
      <c r="U297" s="67">
        <f>INDEX(Projects[Value (M)],296)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INDEX(Projects[Automation Equipment],296)&amp;""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IF(AND(A297&lt;&gt;"",OR('Smart Search'!$L$5="",'Smart Search'!$L$5="All",TRIM(BZ297)=TRIM('Smart Search'!$L$5)),OR(TRIM('Smart Search'!$L$6)="",TRIM('Smart Search'!$L$6)="All",ISNUMBER(SEARCH(SUBSTITUTE(SUBSTITUTE(SUBSTITUTE(TRIM('Smart Search'!$L$6),"~","~~"),"*","~*"),"?","~?"),CA297))),OR('Smart Search'!$L$7="",AND(CB297&lt;&gt;0,CB297='Smart Search'!$L$7)),OR('Smart Search'!$L$8="",'Smart Search'!$L$8="All",TRIM(CC297)=TRIM('Smart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IF(A297="","",N(INDEX(Projects[Mech Inst],296)))</f>
        <v/>
      </c>
      <c r="BK297" s="5">
        <f>IF(A297="","",N(INDEX(Projects[Elec Inst],296)))</f>
        <v/>
      </c>
      <c r="BL297" s="5">
        <f>IF(A297="","",N(INDEX(Projects[Project Management],296)))</f>
        <v/>
      </c>
      <c r="BM297" s="5">
        <f>IF(A297="","",N(INDEX(Projects[Systems Eng],296)))</f>
        <v/>
      </c>
      <c r="BN297" s="5">
        <f>IF(A297="","",N(INDEX(Projects[Mechanical Eng],296)))</f>
        <v/>
      </c>
      <c r="BO297" s="5">
        <f>IF(A297="","",N(INDEX(Projects[Structural Engineering],296)))</f>
        <v/>
      </c>
      <c r="BP297" s="5">
        <f>IF(A297="","",N(INDEX(Projects[Site Sup],296)))</f>
        <v/>
      </c>
      <c r="BQ297" s="5">
        <f>IF(A297="","",N(INDEX(Projects[Controls Commissioning],296)))</f>
        <v/>
      </c>
      <c r="BR297" s="5">
        <f>IF(A297="","",N(INDEX(Projects[Systems Commissioning],296)))</f>
        <v/>
      </c>
      <c r="BS297" s="5">
        <f>IF(A297="","",N(INDEX(Projects[Service Commissioning],296)))</f>
        <v/>
      </c>
      <c r="BT297" s="5">
        <f>IF(A297="","",N(INDEX(Projects[Controls Eng],296)))</f>
        <v/>
      </c>
      <c r="BU297" s="5">
        <f>IF(A297="","",N(INDEX(Projects[Controls Purchase],296)))</f>
        <v/>
      </c>
      <c r="BV297" s="5">
        <f>IF(A297="","",N(INDEX(Projects[Software Eng],296)))</f>
        <v/>
      </c>
      <c r="BW297" s="5">
        <f>IF(A297="","",N(INDEX(Projects[Misc],296)))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  <c r="BZ297" s="5">
        <f>INDEX(Projects[Solution Type],296)&amp;""</f>
        <v/>
      </c>
      <c r="CA297" s="5">
        <f>INDEX(Projects[Client / Region],296)&amp;""</f>
        <v/>
      </c>
      <c r="CB297" s="5">
        <f>INDEX(Projects[Year],296)</f>
        <v/>
      </c>
      <c r="CC297" s="5">
        <f>INDEX(Projects[Won?],296)&amp;""</f>
        <v/>
      </c>
      <c r="CD297" s="5">
        <f>INDEX(Projects[Value (USD M)],296)</f>
        <v/>
      </c>
      <c r="CE297" s="5">
        <f>INDEX(Projects[MH Data Status],296)&amp;""</f>
        <v/>
      </c>
    </row>
    <row r="298" ht="15" customHeight="1" s="74">
      <c r="A298" s="66">
        <f>INDEX(Projects[Project ID *],297)&amp;""</f>
        <v/>
      </c>
      <c r="B298" s="66">
        <f>INDEX(Projects[Project Name *],297)&amp;""</f>
        <v/>
      </c>
      <c r="C298" s="66">
        <f>INDEX(Projects[MS Shuttles],297)</f>
        <v/>
      </c>
      <c r="D298" s="66">
        <f>INDEX(Projects[MS Tote Locations],297)</f>
        <v/>
      </c>
      <c r="E298" s="66">
        <f>INDEX(Projects[AS Robots],297)</f>
        <v/>
      </c>
      <c r="F298" s="66">
        <f>INDEX(Projects[AS Tote Locations],297)</f>
        <v/>
      </c>
      <c r="G298" s="66">
        <f>INDEX(Projects[PS Shuttles],297)</f>
        <v/>
      </c>
      <c r="H298" s="66">
        <f>INDEX(Projects[PS Pallet Locations],297)</f>
        <v/>
      </c>
      <c r="I298" s="66">
        <f>INDEX(Projects[SRM Cranes],297)</f>
        <v/>
      </c>
      <c r="J298" s="66">
        <f>INDEX(Projects[SRM Pallet Locations],297)</f>
        <v/>
      </c>
      <c r="K298" s="66">
        <f>INDEX(Projects[Case Conv (m)],297)</f>
        <v/>
      </c>
      <c r="L298" s="66">
        <f>INDEX(Projects[Pallet Conv (m)],297)</f>
        <v/>
      </c>
      <c r="M298" s="66">
        <f>INDEX(Projects[Mech Eng (wks)],297)</f>
        <v/>
      </c>
      <c r="N298" s="66">
        <f>INDEX(Projects[Controls Eng (wks)],297)</f>
        <v/>
      </c>
      <c r="O298" s="66">
        <f>INDEX(Projects[Systems Eng (wks)],297)</f>
        <v/>
      </c>
      <c r="P298" s="66">
        <f>INDEX(Projects[Software Eng (wks)],297)</f>
        <v/>
      </c>
      <c r="Q298" s="66">
        <f>INDEX(Projects[M&amp;E Installation (wks)],297)</f>
        <v/>
      </c>
      <c r="R298" s="66">
        <f>INDEX(Projects[Commissioning (wks)],297)</f>
        <v/>
      </c>
      <c r="S298" s="66">
        <f>INDEX(Projects[Total Timeline (wks)],297)</f>
        <v/>
      </c>
      <c r="T298" s="66">
        <f>INDEX(Projects[Currency],297)&amp;""</f>
        <v/>
      </c>
      <c r="U298" s="67">
        <f>INDEX(Projects[Value (M)],297)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INDEX(Projects[Automation Equipment],297)&amp;""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IF(AND(A298&lt;&gt;"",OR('Smart Search'!$L$5="",'Smart Search'!$L$5="All",TRIM(BZ298)=TRIM('Smart Search'!$L$5)),OR(TRIM('Smart Search'!$L$6)="",TRIM('Smart Search'!$L$6)="All",ISNUMBER(SEARCH(SUBSTITUTE(SUBSTITUTE(SUBSTITUTE(TRIM('Smart Search'!$L$6),"~","~~"),"*","~*"),"?","~?"),CA298))),OR('Smart Search'!$L$7="",AND(CB298&lt;&gt;0,CB298='Smart Search'!$L$7)),OR('Smart Search'!$L$8="",'Smart Search'!$L$8="All",TRIM(CC298)=TRIM('Smart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IF(A298="","",N(INDEX(Projects[Mech Inst],297)))</f>
        <v/>
      </c>
      <c r="BK298" s="5">
        <f>IF(A298="","",N(INDEX(Projects[Elec Inst],297)))</f>
        <v/>
      </c>
      <c r="BL298" s="5">
        <f>IF(A298="","",N(INDEX(Projects[Project Management],297)))</f>
        <v/>
      </c>
      <c r="BM298" s="5">
        <f>IF(A298="","",N(INDEX(Projects[Systems Eng],297)))</f>
        <v/>
      </c>
      <c r="BN298" s="5">
        <f>IF(A298="","",N(INDEX(Projects[Mechanical Eng],297)))</f>
        <v/>
      </c>
      <c r="BO298" s="5">
        <f>IF(A298="","",N(INDEX(Projects[Structural Engineering],297)))</f>
        <v/>
      </c>
      <c r="BP298" s="5">
        <f>IF(A298="","",N(INDEX(Projects[Site Sup],297)))</f>
        <v/>
      </c>
      <c r="BQ298" s="5">
        <f>IF(A298="","",N(INDEX(Projects[Controls Commissioning],297)))</f>
        <v/>
      </c>
      <c r="BR298" s="5">
        <f>IF(A298="","",N(INDEX(Projects[Systems Commissioning],297)))</f>
        <v/>
      </c>
      <c r="BS298" s="5">
        <f>IF(A298="","",N(INDEX(Projects[Service Commissioning],297)))</f>
        <v/>
      </c>
      <c r="BT298" s="5">
        <f>IF(A298="","",N(INDEX(Projects[Controls Eng],297)))</f>
        <v/>
      </c>
      <c r="BU298" s="5">
        <f>IF(A298="","",N(INDEX(Projects[Controls Purchase],297)))</f>
        <v/>
      </c>
      <c r="BV298" s="5">
        <f>IF(A298="","",N(INDEX(Projects[Software Eng],297)))</f>
        <v/>
      </c>
      <c r="BW298" s="5">
        <f>IF(A298="","",N(INDEX(Projects[Misc],297)))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  <c r="BZ298" s="5">
        <f>INDEX(Projects[Solution Type],297)&amp;""</f>
        <v/>
      </c>
      <c r="CA298" s="5">
        <f>INDEX(Projects[Client / Region],297)&amp;""</f>
        <v/>
      </c>
      <c r="CB298" s="5">
        <f>INDEX(Projects[Year],297)</f>
        <v/>
      </c>
      <c r="CC298" s="5">
        <f>INDEX(Projects[Won?],297)&amp;""</f>
        <v/>
      </c>
      <c r="CD298" s="5">
        <f>INDEX(Projects[Value (USD M)],297)</f>
        <v/>
      </c>
      <c r="CE298" s="5">
        <f>INDEX(Projects[MH Data Status],297)&amp;""</f>
        <v/>
      </c>
    </row>
    <row r="299" ht="15" customHeight="1" s="74">
      <c r="A299" s="66">
        <f>INDEX(Projects[Project ID *],298)&amp;""</f>
        <v/>
      </c>
      <c r="B299" s="66">
        <f>INDEX(Projects[Project Name *],298)&amp;""</f>
        <v/>
      </c>
      <c r="C299" s="66">
        <f>INDEX(Projects[MS Shuttles],298)</f>
        <v/>
      </c>
      <c r="D299" s="66">
        <f>INDEX(Projects[MS Tote Locations],298)</f>
        <v/>
      </c>
      <c r="E299" s="66">
        <f>INDEX(Projects[AS Robots],298)</f>
        <v/>
      </c>
      <c r="F299" s="66">
        <f>INDEX(Projects[AS Tote Locations],298)</f>
        <v/>
      </c>
      <c r="G299" s="66">
        <f>INDEX(Projects[PS Shuttles],298)</f>
        <v/>
      </c>
      <c r="H299" s="66">
        <f>INDEX(Projects[PS Pallet Locations],298)</f>
        <v/>
      </c>
      <c r="I299" s="66">
        <f>INDEX(Projects[SRM Cranes],298)</f>
        <v/>
      </c>
      <c r="J299" s="66">
        <f>INDEX(Projects[SRM Pallet Locations],298)</f>
        <v/>
      </c>
      <c r="K299" s="66">
        <f>INDEX(Projects[Case Conv (m)],298)</f>
        <v/>
      </c>
      <c r="L299" s="66">
        <f>INDEX(Projects[Pallet Conv (m)],298)</f>
        <v/>
      </c>
      <c r="M299" s="66">
        <f>INDEX(Projects[Mech Eng (wks)],298)</f>
        <v/>
      </c>
      <c r="N299" s="66">
        <f>INDEX(Projects[Controls Eng (wks)],298)</f>
        <v/>
      </c>
      <c r="O299" s="66">
        <f>INDEX(Projects[Systems Eng (wks)],298)</f>
        <v/>
      </c>
      <c r="P299" s="66">
        <f>INDEX(Projects[Software Eng (wks)],298)</f>
        <v/>
      </c>
      <c r="Q299" s="66">
        <f>INDEX(Projects[M&amp;E Installation (wks)],298)</f>
        <v/>
      </c>
      <c r="R299" s="66">
        <f>INDEX(Projects[Commissioning (wks)],298)</f>
        <v/>
      </c>
      <c r="S299" s="66">
        <f>INDEX(Projects[Total Timeline (wks)],298)</f>
        <v/>
      </c>
      <c r="T299" s="66">
        <f>INDEX(Projects[Currency],298)&amp;""</f>
        <v/>
      </c>
      <c r="U299" s="67">
        <f>INDEX(Projects[Value (M)],298)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INDEX(Projects[Automation Equipment],298)&amp;""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IF(AND(A299&lt;&gt;"",OR('Smart Search'!$L$5="",'Smart Search'!$L$5="All",TRIM(BZ299)=TRIM('Smart Search'!$L$5)),OR(TRIM('Smart Search'!$L$6)="",TRIM('Smart Search'!$L$6)="All",ISNUMBER(SEARCH(SUBSTITUTE(SUBSTITUTE(SUBSTITUTE(TRIM('Smart Search'!$L$6),"~","~~"),"*","~*"),"?","~?"),CA299))),OR('Smart Search'!$L$7="",AND(CB299&lt;&gt;0,CB299='Smart Search'!$L$7)),OR('Smart Search'!$L$8="",'Smart Search'!$L$8="All",TRIM(CC299)=TRIM('Smart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IF(A299="","",N(INDEX(Projects[Mech Inst],298)))</f>
        <v/>
      </c>
      <c r="BK299" s="5">
        <f>IF(A299="","",N(INDEX(Projects[Elec Inst],298)))</f>
        <v/>
      </c>
      <c r="BL299" s="5">
        <f>IF(A299="","",N(INDEX(Projects[Project Management],298)))</f>
        <v/>
      </c>
      <c r="BM299" s="5">
        <f>IF(A299="","",N(INDEX(Projects[Systems Eng],298)))</f>
        <v/>
      </c>
      <c r="BN299" s="5">
        <f>IF(A299="","",N(INDEX(Projects[Mechanical Eng],298)))</f>
        <v/>
      </c>
      <c r="BO299" s="5">
        <f>IF(A299="","",N(INDEX(Projects[Structural Engineering],298)))</f>
        <v/>
      </c>
      <c r="BP299" s="5">
        <f>IF(A299="","",N(INDEX(Projects[Site Sup],298)))</f>
        <v/>
      </c>
      <c r="BQ299" s="5">
        <f>IF(A299="","",N(INDEX(Projects[Controls Commissioning],298)))</f>
        <v/>
      </c>
      <c r="BR299" s="5">
        <f>IF(A299="","",N(INDEX(Projects[Systems Commissioning],298)))</f>
        <v/>
      </c>
      <c r="BS299" s="5">
        <f>IF(A299="","",N(INDEX(Projects[Service Commissioning],298)))</f>
        <v/>
      </c>
      <c r="BT299" s="5">
        <f>IF(A299="","",N(INDEX(Projects[Controls Eng],298)))</f>
        <v/>
      </c>
      <c r="BU299" s="5">
        <f>IF(A299="","",N(INDEX(Projects[Controls Purchase],298)))</f>
        <v/>
      </c>
      <c r="BV299" s="5">
        <f>IF(A299="","",N(INDEX(Projects[Software Eng],298)))</f>
        <v/>
      </c>
      <c r="BW299" s="5">
        <f>IF(A299="","",N(INDEX(Projects[Misc],298)))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  <c r="BZ299" s="5">
        <f>INDEX(Projects[Solution Type],298)&amp;""</f>
        <v/>
      </c>
      <c r="CA299" s="5">
        <f>INDEX(Projects[Client / Region],298)&amp;""</f>
        <v/>
      </c>
      <c r="CB299" s="5">
        <f>INDEX(Projects[Year],298)</f>
        <v/>
      </c>
      <c r="CC299" s="5">
        <f>INDEX(Projects[Won?],298)&amp;""</f>
        <v/>
      </c>
      <c r="CD299" s="5">
        <f>INDEX(Projects[Value (USD M)],298)</f>
        <v/>
      </c>
      <c r="CE299" s="5">
        <f>INDEX(Projects[MH Data Status],298)&amp;""</f>
        <v/>
      </c>
    </row>
    <row r="300" ht="15" customHeight="1" s="74">
      <c r="A300" s="66">
        <f>INDEX(Projects[Project ID *],299)&amp;""</f>
        <v/>
      </c>
      <c r="B300" s="66">
        <f>INDEX(Projects[Project Name *],299)&amp;""</f>
        <v/>
      </c>
      <c r="C300" s="66">
        <f>INDEX(Projects[MS Shuttles],299)</f>
        <v/>
      </c>
      <c r="D300" s="66">
        <f>INDEX(Projects[MS Tote Locations],299)</f>
        <v/>
      </c>
      <c r="E300" s="66">
        <f>INDEX(Projects[AS Robots],299)</f>
        <v/>
      </c>
      <c r="F300" s="66">
        <f>INDEX(Projects[AS Tote Locations],299)</f>
        <v/>
      </c>
      <c r="G300" s="66">
        <f>INDEX(Projects[PS Shuttles],299)</f>
        <v/>
      </c>
      <c r="H300" s="66">
        <f>INDEX(Projects[PS Pallet Locations],299)</f>
        <v/>
      </c>
      <c r="I300" s="66">
        <f>INDEX(Projects[SRM Cranes],299)</f>
        <v/>
      </c>
      <c r="J300" s="66">
        <f>INDEX(Projects[SRM Pallet Locations],299)</f>
        <v/>
      </c>
      <c r="K300" s="66">
        <f>INDEX(Projects[Case Conv (m)],299)</f>
        <v/>
      </c>
      <c r="L300" s="66">
        <f>INDEX(Projects[Pallet Conv (m)],299)</f>
        <v/>
      </c>
      <c r="M300" s="66">
        <f>INDEX(Projects[Mech Eng (wks)],299)</f>
        <v/>
      </c>
      <c r="N300" s="66">
        <f>INDEX(Projects[Controls Eng (wks)],299)</f>
        <v/>
      </c>
      <c r="O300" s="66">
        <f>INDEX(Projects[Systems Eng (wks)],299)</f>
        <v/>
      </c>
      <c r="P300" s="66">
        <f>INDEX(Projects[Software Eng (wks)],299)</f>
        <v/>
      </c>
      <c r="Q300" s="66">
        <f>INDEX(Projects[M&amp;E Installation (wks)],299)</f>
        <v/>
      </c>
      <c r="R300" s="66">
        <f>INDEX(Projects[Commissioning (wks)],299)</f>
        <v/>
      </c>
      <c r="S300" s="66">
        <f>INDEX(Projects[Total Timeline (wks)],299)</f>
        <v/>
      </c>
      <c r="T300" s="66">
        <f>INDEX(Projects[Currency],299)&amp;""</f>
        <v/>
      </c>
      <c r="U300" s="67">
        <f>INDEX(Projects[Value (M)],299)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INDEX(Projects[Automation Equipment],299)&amp;""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IF(AND(A300&lt;&gt;"",OR('Smart Search'!$L$5="",'Smart Search'!$L$5="All",TRIM(BZ300)=TRIM('Smart Search'!$L$5)),OR(TRIM('Smart Search'!$L$6)="",TRIM('Smart Search'!$L$6)="All",ISNUMBER(SEARCH(SUBSTITUTE(SUBSTITUTE(SUBSTITUTE(TRIM('Smart Search'!$L$6),"~","~~"),"*","~*"),"?","~?"),CA300))),OR('Smart Search'!$L$7="",AND(CB300&lt;&gt;0,CB300='Smart Search'!$L$7)),OR('Smart Search'!$L$8="",'Smart Search'!$L$8="All",TRIM(CC300)=TRIM('Smart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IF(A300="","",N(INDEX(Projects[Mech Inst],299)))</f>
        <v/>
      </c>
      <c r="BK300" s="5">
        <f>IF(A300="","",N(INDEX(Projects[Elec Inst],299)))</f>
        <v/>
      </c>
      <c r="BL300" s="5">
        <f>IF(A300="","",N(INDEX(Projects[Project Management],299)))</f>
        <v/>
      </c>
      <c r="BM300" s="5">
        <f>IF(A300="","",N(INDEX(Projects[Systems Eng],299)))</f>
        <v/>
      </c>
      <c r="BN300" s="5">
        <f>IF(A300="","",N(INDEX(Projects[Mechanical Eng],299)))</f>
        <v/>
      </c>
      <c r="BO300" s="5">
        <f>IF(A300="","",N(INDEX(Projects[Structural Engineering],299)))</f>
        <v/>
      </c>
      <c r="BP300" s="5">
        <f>IF(A300="","",N(INDEX(Projects[Site Sup],299)))</f>
        <v/>
      </c>
      <c r="BQ300" s="5">
        <f>IF(A300="","",N(INDEX(Projects[Controls Commissioning],299)))</f>
        <v/>
      </c>
      <c r="BR300" s="5">
        <f>IF(A300="","",N(INDEX(Projects[Systems Commissioning],299)))</f>
        <v/>
      </c>
      <c r="BS300" s="5">
        <f>IF(A300="","",N(INDEX(Projects[Service Commissioning],299)))</f>
        <v/>
      </c>
      <c r="BT300" s="5">
        <f>IF(A300="","",N(INDEX(Projects[Controls Eng],299)))</f>
        <v/>
      </c>
      <c r="BU300" s="5">
        <f>IF(A300="","",N(INDEX(Projects[Controls Purchase],299)))</f>
        <v/>
      </c>
      <c r="BV300" s="5">
        <f>IF(A300="","",N(INDEX(Projects[Software Eng],299)))</f>
        <v/>
      </c>
      <c r="BW300" s="5">
        <f>IF(A300="","",N(INDEX(Projects[Misc],299)))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  <c r="BZ300" s="5">
        <f>INDEX(Projects[Solution Type],299)&amp;""</f>
        <v/>
      </c>
      <c r="CA300" s="5">
        <f>INDEX(Projects[Client / Region],299)&amp;""</f>
        <v/>
      </c>
      <c r="CB300" s="5">
        <f>INDEX(Projects[Year],299)</f>
        <v/>
      </c>
      <c r="CC300" s="5">
        <f>INDEX(Projects[Won?],299)&amp;""</f>
        <v/>
      </c>
      <c r="CD300" s="5">
        <f>INDEX(Projects[Value (USD M)],299)</f>
        <v/>
      </c>
      <c r="CE300" s="5">
        <f>INDEX(Projects[MH Data Status],299)&amp;""</f>
        <v/>
      </c>
    </row>
    <row r="301" ht="15" customHeight="1" s="74">
      <c r="A301" s="66">
        <f>INDEX(Projects[Project ID *],300)&amp;""</f>
        <v/>
      </c>
      <c r="B301" s="66">
        <f>INDEX(Projects[Project Name *],300)&amp;""</f>
        <v/>
      </c>
      <c r="C301" s="66">
        <f>INDEX(Projects[MS Shuttles],300)</f>
        <v/>
      </c>
      <c r="D301" s="66">
        <f>INDEX(Projects[MS Tote Locations],300)</f>
        <v/>
      </c>
      <c r="E301" s="66">
        <f>INDEX(Projects[AS Robots],300)</f>
        <v/>
      </c>
      <c r="F301" s="66">
        <f>INDEX(Projects[AS Tote Locations],300)</f>
        <v/>
      </c>
      <c r="G301" s="66">
        <f>INDEX(Projects[PS Shuttles],300)</f>
        <v/>
      </c>
      <c r="H301" s="66">
        <f>INDEX(Projects[PS Pallet Locations],300)</f>
        <v/>
      </c>
      <c r="I301" s="66">
        <f>INDEX(Projects[SRM Cranes],300)</f>
        <v/>
      </c>
      <c r="J301" s="66">
        <f>INDEX(Projects[SRM Pallet Locations],300)</f>
        <v/>
      </c>
      <c r="K301" s="66">
        <f>INDEX(Projects[Case Conv (m)],300)</f>
        <v/>
      </c>
      <c r="L301" s="66">
        <f>INDEX(Projects[Pallet Conv (m)],300)</f>
        <v/>
      </c>
      <c r="M301" s="66">
        <f>INDEX(Projects[Mech Eng (wks)],300)</f>
        <v/>
      </c>
      <c r="N301" s="66">
        <f>INDEX(Projects[Controls Eng (wks)],300)</f>
        <v/>
      </c>
      <c r="O301" s="66">
        <f>INDEX(Projects[Systems Eng (wks)],300)</f>
        <v/>
      </c>
      <c r="P301" s="66">
        <f>INDEX(Projects[Software Eng (wks)],300)</f>
        <v/>
      </c>
      <c r="Q301" s="66">
        <f>INDEX(Projects[M&amp;E Installation (wks)],300)</f>
        <v/>
      </c>
      <c r="R301" s="66">
        <f>INDEX(Projects[Commissioning (wks)],300)</f>
        <v/>
      </c>
      <c r="S301" s="66">
        <f>INDEX(Projects[Total Timeline (wks)],300)</f>
        <v/>
      </c>
      <c r="T301" s="66">
        <f>INDEX(Projects[Currency],300)&amp;""</f>
        <v/>
      </c>
      <c r="U301" s="67">
        <f>INDEX(Projects[Value (M)],300)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INDEX(Projects[Automation Equipment],300)&amp;""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IF(AND(A301&lt;&gt;"",OR('Smart Search'!$L$5="",'Smart Search'!$L$5="All",TRIM(BZ301)=TRIM('Smart Search'!$L$5)),OR(TRIM('Smart Search'!$L$6)="",TRIM('Smart Search'!$L$6)="All",ISNUMBER(SEARCH(SUBSTITUTE(SUBSTITUTE(SUBSTITUTE(TRIM('Smart Search'!$L$6),"~","~~"),"*","~*"),"?","~?"),CA301))),OR('Smart Search'!$L$7="",AND(CB301&lt;&gt;0,CB301='Smart Search'!$L$7)),OR('Smart Search'!$L$8="",'Smart Search'!$L$8="All",TRIM(CC301)=TRIM('Smart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IF(A301="","",N(INDEX(Projects[Mech Inst],300)))</f>
        <v/>
      </c>
      <c r="BK301" s="5">
        <f>IF(A301="","",N(INDEX(Projects[Elec Inst],300)))</f>
        <v/>
      </c>
      <c r="BL301" s="5">
        <f>IF(A301="","",N(INDEX(Projects[Project Management],300)))</f>
        <v/>
      </c>
      <c r="BM301" s="5">
        <f>IF(A301="","",N(INDEX(Projects[Systems Eng],300)))</f>
        <v/>
      </c>
      <c r="BN301" s="5">
        <f>IF(A301="","",N(INDEX(Projects[Mechanical Eng],300)))</f>
        <v/>
      </c>
      <c r="BO301" s="5">
        <f>IF(A301="","",N(INDEX(Projects[Structural Engineering],300)))</f>
        <v/>
      </c>
      <c r="BP301" s="5">
        <f>IF(A301="","",N(INDEX(Projects[Site Sup],300)))</f>
        <v/>
      </c>
      <c r="BQ301" s="5">
        <f>IF(A301="","",N(INDEX(Projects[Controls Commissioning],300)))</f>
        <v/>
      </c>
      <c r="BR301" s="5">
        <f>IF(A301="","",N(INDEX(Projects[Systems Commissioning],300)))</f>
        <v/>
      </c>
      <c r="BS301" s="5">
        <f>IF(A301="","",N(INDEX(Projects[Service Commissioning],300)))</f>
        <v/>
      </c>
      <c r="BT301" s="5">
        <f>IF(A301="","",N(INDEX(Projects[Controls Eng],300)))</f>
        <v/>
      </c>
      <c r="BU301" s="5">
        <f>IF(A301="","",N(INDEX(Projects[Controls Purchase],300)))</f>
        <v/>
      </c>
      <c r="BV301" s="5">
        <f>IF(A301="","",N(INDEX(Projects[Software Eng],300)))</f>
        <v/>
      </c>
      <c r="BW301" s="5">
        <f>IF(A301="","",N(INDEX(Projects[Misc],300)))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  <c r="BZ301" s="5">
        <f>INDEX(Projects[Solution Type],300)&amp;""</f>
        <v/>
      </c>
      <c r="CA301" s="5">
        <f>INDEX(Projects[Client / Region],300)&amp;""</f>
        <v/>
      </c>
      <c r="CB301" s="5">
        <f>INDEX(Projects[Year],300)</f>
        <v/>
      </c>
      <c r="CC301" s="5">
        <f>INDEX(Projects[Won?],300)&amp;""</f>
        <v/>
      </c>
      <c r="CD301" s="5">
        <f>INDEX(Projects[Value (USD M)],300)</f>
        <v/>
      </c>
      <c r="CE301" s="5">
        <f>INDEX(Projects[MH Data Status],300)&amp;""</f>
        <v/>
      </c>
    </row>
    <row r="302" ht="15" customHeight="1" s="74">
      <c r="A302" s="66">
        <f>INDEX(Projects[Project ID *],301)&amp;""</f>
        <v/>
      </c>
      <c r="B302" s="66">
        <f>INDEX(Projects[Project Name *],301)&amp;""</f>
        <v/>
      </c>
      <c r="C302" s="66">
        <f>INDEX(Projects[MS Shuttles],301)</f>
        <v/>
      </c>
      <c r="D302" s="66">
        <f>INDEX(Projects[MS Tote Locations],301)</f>
        <v/>
      </c>
      <c r="E302" s="66">
        <f>INDEX(Projects[AS Robots],301)</f>
        <v/>
      </c>
      <c r="F302" s="66">
        <f>INDEX(Projects[AS Tote Locations],301)</f>
        <v/>
      </c>
      <c r="G302" s="66">
        <f>INDEX(Projects[PS Shuttles],301)</f>
        <v/>
      </c>
      <c r="H302" s="66">
        <f>INDEX(Projects[PS Pallet Locations],301)</f>
        <v/>
      </c>
      <c r="I302" s="66">
        <f>INDEX(Projects[SRM Cranes],301)</f>
        <v/>
      </c>
      <c r="J302" s="66">
        <f>INDEX(Projects[SRM Pallet Locations],301)</f>
        <v/>
      </c>
      <c r="K302" s="66">
        <f>INDEX(Projects[Case Conv (m)],301)</f>
        <v/>
      </c>
      <c r="L302" s="66">
        <f>INDEX(Projects[Pallet Conv (m)],301)</f>
        <v/>
      </c>
      <c r="M302" s="66">
        <f>INDEX(Projects[Mech Eng (wks)],301)</f>
        <v/>
      </c>
      <c r="N302" s="66">
        <f>INDEX(Projects[Controls Eng (wks)],301)</f>
        <v/>
      </c>
      <c r="O302" s="66">
        <f>INDEX(Projects[Systems Eng (wks)],301)</f>
        <v/>
      </c>
      <c r="P302" s="66">
        <f>INDEX(Projects[Software Eng (wks)],301)</f>
        <v/>
      </c>
      <c r="Q302" s="66">
        <f>INDEX(Projects[M&amp;E Installation (wks)],301)</f>
        <v/>
      </c>
      <c r="R302" s="66">
        <f>INDEX(Projects[Commissioning (wks)],301)</f>
        <v/>
      </c>
      <c r="S302" s="66">
        <f>INDEX(Projects[Total Timeline (wks)],301)</f>
        <v/>
      </c>
      <c r="T302" s="66">
        <f>INDEX(Projects[Currency],301)&amp;""</f>
        <v/>
      </c>
      <c r="U302" s="67">
        <f>INDEX(Projects[Value (M)],301)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INDEX(Projects[Automation Equipment],301)&amp;""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IF(AND(A302&lt;&gt;"",OR('Smart Search'!$L$5="",'Smart Search'!$L$5="All",TRIM(BZ302)=TRIM('Smart Search'!$L$5)),OR(TRIM('Smart Search'!$L$6)="",TRIM('Smart Search'!$L$6)="All",ISNUMBER(SEARCH(SUBSTITUTE(SUBSTITUTE(SUBSTITUTE(TRIM('Smart Search'!$L$6),"~","~~"),"*","~*"),"?","~?"),CA302))),OR('Smart Search'!$L$7="",AND(CB302&lt;&gt;0,CB302='Smart Search'!$L$7)),OR('Smart Search'!$L$8="",'Smart Search'!$L$8="All",TRIM(CC302)=TRIM('Smart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IF(A302="","",N(INDEX(Projects[Mech Inst],301)))</f>
        <v/>
      </c>
      <c r="BK302" s="5">
        <f>IF(A302="","",N(INDEX(Projects[Elec Inst],301)))</f>
        <v/>
      </c>
      <c r="BL302" s="5">
        <f>IF(A302="","",N(INDEX(Projects[Project Management],301)))</f>
        <v/>
      </c>
      <c r="BM302" s="5">
        <f>IF(A302="","",N(INDEX(Projects[Systems Eng],301)))</f>
        <v/>
      </c>
      <c r="BN302" s="5">
        <f>IF(A302="","",N(INDEX(Projects[Mechanical Eng],301)))</f>
        <v/>
      </c>
      <c r="BO302" s="5">
        <f>IF(A302="","",N(INDEX(Projects[Structural Engineering],301)))</f>
        <v/>
      </c>
      <c r="BP302" s="5">
        <f>IF(A302="","",N(INDEX(Projects[Site Sup],301)))</f>
        <v/>
      </c>
      <c r="BQ302" s="5">
        <f>IF(A302="","",N(INDEX(Projects[Controls Commissioning],301)))</f>
        <v/>
      </c>
      <c r="BR302" s="5">
        <f>IF(A302="","",N(INDEX(Projects[Systems Commissioning],301)))</f>
        <v/>
      </c>
      <c r="BS302" s="5">
        <f>IF(A302="","",N(INDEX(Projects[Service Commissioning],301)))</f>
        <v/>
      </c>
      <c r="BT302" s="5">
        <f>IF(A302="","",N(INDEX(Projects[Controls Eng],301)))</f>
        <v/>
      </c>
      <c r="BU302" s="5">
        <f>IF(A302="","",N(INDEX(Projects[Controls Purchase],301)))</f>
        <v/>
      </c>
      <c r="BV302" s="5">
        <f>IF(A302="","",N(INDEX(Projects[Software Eng],301)))</f>
        <v/>
      </c>
      <c r="BW302" s="5">
        <f>IF(A302="","",N(INDEX(Projects[Misc],301)))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  <c r="BZ302" s="5">
        <f>INDEX(Projects[Solution Type],301)&amp;""</f>
        <v/>
      </c>
      <c r="CA302" s="5">
        <f>INDEX(Projects[Client / Region],301)&amp;""</f>
        <v/>
      </c>
      <c r="CB302" s="5">
        <f>INDEX(Projects[Year],301)</f>
        <v/>
      </c>
      <c r="CC302" s="5">
        <f>INDEX(Projects[Won?],301)&amp;""</f>
        <v/>
      </c>
      <c r="CD302" s="5">
        <f>INDEX(Projects[Value (USD M)],301)</f>
        <v/>
      </c>
      <c r="CE302" s="5">
        <f>INDEX(Projects[MH Data Status],301)&amp;""</f>
        <v/>
      </c>
    </row>
    <row r="303" ht="15" customHeight="1" s="74">
      <c r="A303" s="66">
        <f>INDEX(Projects[Project ID *],302)&amp;""</f>
        <v/>
      </c>
      <c r="B303" s="66">
        <f>INDEX(Projects[Project Name *],302)&amp;""</f>
        <v/>
      </c>
      <c r="C303" s="66">
        <f>INDEX(Projects[MS Shuttles],302)</f>
        <v/>
      </c>
      <c r="D303" s="66">
        <f>INDEX(Projects[MS Tote Locations],302)</f>
        <v/>
      </c>
      <c r="E303" s="66">
        <f>INDEX(Projects[AS Robots],302)</f>
        <v/>
      </c>
      <c r="F303" s="66">
        <f>INDEX(Projects[AS Tote Locations],302)</f>
        <v/>
      </c>
      <c r="G303" s="66">
        <f>INDEX(Projects[PS Shuttles],302)</f>
        <v/>
      </c>
      <c r="H303" s="66">
        <f>INDEX(Projects[PS Pallet Locations],302)</f>
        <v/>
      </c>
      <c r="I303" s="66">
        <f>INDEX(Projects[SRM Cranes],302)</f>
        <v/>
      </c>
      <c r="J303" s="66">
        <f>INDEX(Projects[SRM Pallet Locations],302)</f>
        <v/>
      </c>
      <c r="K303" s="66">
        <f>INDEX(Projects[Case Conv (m)],302)</f>
        <v/>
      </c>
      <c r="L303" s="66">
        <f>INDEX(Projects[Pallet Conv (m)],302)</f>
        <v/>
      </c>
      <c r="M303" s="66">
        <f>INDEX(Projects[Mech Eng (wks)],302)</f>
        <v/>
      </c>
      <c r="N303" s="66">
        <f>INDEX(Projects[Controls Eng (wks)],302)</f>
        <v/>
      </c>
      <c r="O303" s="66">
        <f>INDEX(Projects[Systems Eng (wks)],302)</f>
        <v/>
      </c>
      <c r="P303" s="66">
        <f>INDEX(Projects[Software Eng (wks)],302)</f>
        <v/>
      </c>
      <c r="Q303" s="66">
        <f>INDEX(Projects[M&amp;E Installation (wks)],302)</f>
        <v/>
      </c>
      <c r="R303" s="66">
        <f>INDEX(Projects[Commissioning (wks)],302)</f>
        <v/>
      </c>
      <c r="S303" s="66">
        <f>INDEX(Projects[Total Timeline (wks)],302)</f>
        <v/>
      </c>
      <c r="T303" s="66">
        <f>INDEX(Projects[Currency],302)&amp;""</f>
        <v/>
      </c>
      <c r="U303" s="67">
        <f>INDEX(Projects[Value (M)],302)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INDEX(Projects[Automation Equipment],302)&amp;""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IF(AND(A303&lt;&gt;"",OR('Smart Search'!$L$5="",'Smart Search'!$L$5="All",TRIM(BZ303)=TRIM('Smart Search'!$L$5)),OR(TRIM('Smart Search'!$L$6)="",TRIM('Smart Search'!$L$6)="All",ISNUMBER(SEARCH(SUBSTITUTE(SUBSTITUTE(SUBSTITUTE(TRIM('Smart Search'!$L$6),"~","~~"),"*","~*"),"?","~?"),CA303))),OR('Smart Search'!$L$7="",AND(CB303&lt;&gt;0,CB303='Smart Search'!$L$7)),OR('Smart Search'!$L$8="",'Smart Search'!$L$8="All",TRIM(CC303)=TRIM('Smart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IF(A303="","",N(INDEX(Projects[Mech Inst],302)))</f>
        <v/>
      </c>
      <c r="BK303" s="5">
        <f>IF(A303="","",N(INDEX(Projects[Elec Inst],302)))</f>
        <v/>
      </c>
      <c r="BL303" s="5">
        <f>IF(A303="","",N(INDEX(Projects[Project Management],302)))</f>
        <v/>
      </c>
      <c r="BM303" s="5">
        <f>IF(A303="","",N(INDEX(Projects[Systems Eng],302)))</f>
        <v/>
      </c>
      <c r="BN303" s="5">
        <f>IF(A303="","",N(INDEX(Projects[Mechanical Eng],302)))</f>
        <v/>
      </c>
      <c r="BO303" s="5">
        <f>IF(A303="","",N(INDEX(Projects[Structural Engineering],302)))</f>
        <v/>
      </c>
      <c r="BP303" s="5">
        <f>IF(A303="","",N(INDEX(Projects[Site Sup],302)))</f>
        <v/>
      </c>
      <c r="BQ303" s="5">
        <f>IF(A303="","",N(INDEX(Projects[Controls Commissioning],302)))</f>
        <v/>
      </c>
      <c r="BR303" s="5">
        <f>IF(A303="","",N(INDEX(Projects[Systems Commissioning],302)))</f>
        <v/>
      </c>
      <c r="BS303" s="5">
        <f>IF(A303="","",N(INDEX(Projects[Service Commissioning],302)))</f>
        <v/>
      </c>
      <c r="BT303" s="5">
        <f>IF(A303="","",N(INDEX(Projects[Controls Eng],302)))</f>
        <v/>
      </c>
      <c r="BU303" s="5">
        <f>IF(A303="","",N(INDEX(Projects[Controls Purchase],302)))</f>
        <v/>
      </c>
      <c r="BV303" s="5">
        <f>IF(A303="","",N(INDEX(Projects[Software Eng],302)))</f>
        <v/>
      </c>
      <c r="BW303" s="5">
        <f>IF(A303="","",N(INDEX(Projects[Misc],302)))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  <c r="BZ303" s="5">
        <f>INDEX(Projects[Solution Type],302)&amp;""</f>
        <v/>
      </c>
      <c r="CA303" s="5">
        <f>INDEX(Projects[Client / Region],302)&amp;""</f>
        <v/>
      </c>
      <c r="CB303" s="5">
        <f>INDEX(Projects[Year],302)</f>
        <v/>
      </c>
      <c r="CC303" s="5">
        <f>INDEX(Projects[Won?],302)&amp;""</f>
        <v/>
      </c>
      <c r="CD303" s="5">
        <f>INDEX(Projects[Value (USD M)],302)</f>
        <v/>
      </c>
      <c r="CE303" s="5">
        <f>INDEX(Projects[MH Data Status],302)&amp;""</f>
        <v/>
      </c>
    </row>
    <row r="304" ht="15" customHeight="1" s="74">
      <c r="A304" s="66">
        <f>INDEX(Projects[Project ID *],303)&amp;""</f>
        <v/>
      </c>
      <c r="B304" s="66">
        <f>INDEX(Projects[Project Name *],303)&amp;""</f>
        <v/>
      </c>
      <c r="C304" s="66">
        <f>INDEX(Projects[MS Shuttles],303)</f>
        <v/>
      </c>
      <c r="D304" s="66">
        <f>INDEX(Projects[MS Tote Locations],303)</f>
        <v/>
      </c>
      <c r="E304" s="66">
        <f>INDEX(Projects[AS Robots],303)</f>
        <v/>
      </c>
      <c r="F304" s="66">
        <f>INDEX(Projects[AS Tote Locations],303)</f>
        <v/>
      </c>
      <c r="G304" s="66">
        <f>INDEX(Projects[PS Shuttles],303)</f>
        <v/>
      </c>
      <c r="H304" s="66">
        <f>INDEX(Projects[PS Pallet Locations],303)</f>
        <v/>
      </c>
      <c r="I304" s="66">
        <f>INDEX(Projects[SRM Cranes],303)</f>
        <v/>
      </c>
      <c r="J304" s="66">
        <f>INDEX(Projects[SRM Pallet Locations],303)</f>
        <v/>
      </c>
      <c r="K304" s="66">
        <f>INDEX(Projects[Case Conv (m)],303)</f>
        <v/>
      </c>
      <c r="L304" s="66">
        <f>INDEX(Projects[Pallet Conv (m)],303)</f>
        <v/>
      </c>
      <c r="M304" s="66">
        <f>INDEX(Projects[Mech Eng (wks)],303)</f>
        <v/>
      </c>
      <c r="N304" s="66">
        <f>INDEX(Projects[Controls Eng (wks)],303)</f>
        <v/>
      </c>
      <c r="O304" s="66">
        <f>INDEX(Projects[Systems Eng (wks)],303)</f>
        <v/>
      </c>
      <c r="P304" s="66">
        <f>INDEX(Projects[Software Eng (wks)],303)</f>
        <v/>
      </c>
      <c r="Q304" s="66">
        <f>INDEX(Projects[M&amp;E Installation (wks)],303)</f>
        <v/>
      </c>
      <c r="R304" s="66">
        <f>INDEX(Projects[Commissioning (wks)],303)</f>
        <v/>
      </c>
      <c r="S304" s="66">
        <f>INDEX(Projects[Total Timeline (wks)],303)</f>
        <v/>
      </c>
      <c r="T304" s="66">
        <f>INDEX(Projects[Currency],303)&amp;""</f>
        <v/>
      </c>
      <c r="U304" s="67">
        <f>INDEX(Projects[Value (M)],303)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INDEX(Projects[Automation Equipment],303)&amp;""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IF(AND(A304&lt;&gt;"",OR('Smart Search'!$L$5="",'Smart Search'!$L$5="All",TRIM(BZ304)=TRIM('Smart Search'!$L$5)),OR(TRIM('Smart Search'!$L$6)="",TRIM('Smart Search'!$L$6)="All",ISNUMBER(SEARCH(SUBSTITUTE(SUBSTITUTE(SUBSTITUTE(TRIM('Smart Search'!$L$6),"~","~~"),"*","~*"),"?","~?"),CA304))),OR('Smart Search'!$L$7="",AND(CB304&lt;&gt;0,CB304='Smart Search'!$L$7)),OR('Smart Search'!$L$8="",'Smart Search'!$L$8="All",TRIM(CC304)=TRIM('Smart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IF(A304="","",N(INDEX(Projects[Mech Inst],303)))</f>
        <v/>
      </c>
      <c r="BK304" s="5">
        <f>IF(A304="","",N(INDEX(Projects[Elec Inst],303)))</f>
        <v/>
      </c>
      <c r="BL304" s="5">
        <f>IF(A304="","",N(INDEX(Projects[Project Management],303)))</f>
        <v/>
      </c>
      <c r="BM304" s="5">
        <f>IF(A304="","",N(INDEX(Projects[Systems Eng],303)))</f>
        <v/>
      </c>
      <c r="BN304" s="5">
        <f>IF(A304="","",N(INDEX(Projects[Mechanical Eng],303)))</f>
        <v/>
      </c>
      <c r="BO304" s="5">
        <f>IF(A304="","",N(INDEX(Projects[Structural Engineering],303)))</f>
        <v/>
      </c>
      <c r="BP304" s="5">
        <f>IF(A304="","",N(INDEX(Projects[Site Sup],303)))</f>
        <v/>
      </c>
      <c r="BQ304" s="5">
        <f>IF(A304="","",N(INDEX(Projects[Controls Commissioning],303)))</f>
        <v/>
      </c>
      <c r="BR304" s="5">
        <f>IF(A304="","",N(INDEX(Projects[Systems Commissioning],303)))</f>
        <v/>
      </c>
      <c r="BS304" s="5">
        <f>IF(A304="","",N(INDEX(Projects[Service Commissioning],303)))</f>
        <v/>
      </c>
      <c r="BT304" s="5">
        <f>IF(A304="","",N(INDEX(Projects[Controls Eng],303)))</f>
        <v/>
      </c>
      <c r="BU304" s="5">
        <f>IF(A304="","",N(INDEX(Projects[Controls Purchase],303)))</f>
        <v/>
      </c>
      <c r="BV304" s="5">
        <f>IF(A304="","",N(INDEX(Projects[Software Eng],303)))</f>
        <v/>
      </c>
      <c r="BW304" s="5">
        <f>IF(A304="","",N(INDEX(Projects[Misc],303)))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  <c r="BZ304" s="5">
        <f>INDEX(Projects[Solution Type],303)&amp;""</f>
        <v/>
      </c>
      <c r="CA304" s="5">
        <f>INDEX(Projects[Client / Region],303)&amp;""</f>
        <v/>
      </c>
      <c r="CB304" s="5">
        <f>INDEX(Projects[Year],303)</f>
        <v/>
      </c>
      <c r="CC304" s="5">
        <f>INDEX(Projects[Won?],303)&amp;""</f>
        <v/>
      </c>
      <c r="CD304" s="5">
        <f>INDEX(Projects[Value (USD M)],303)</f>
        <v/>
      </c>
      <c r="CE304" s="5">
        <f>INDEX(Projects[MH Data Status],303)&amp;""</f>
        <v/>
      </c>
    </row>
    <row r="305" ht="15" customHeight="1" s="74">
      <c r="A305" s="66">
        <f>INDEX(Projects[Project ID *],304)&amp;""</f>
        <v/>
      </c>
      <c r="B305" s="66">
        <f>INDEX(Projects[Project Name *],304)&amp;""</f>
        <v/>
      </c>
      <c r="C305" s="66">
        <f>INDEX(Projects[MS Shuttles],304)</f>
        <v/>
      </c>
      <c r="D305" s="66">
        <f>INDEX(Projects[MS Tote Locations],304)</f>
        <v/>
      </c>
      <c r="E305" s="66">
        <f>INDEX(Projects[AS Robots],304)</f>
        <v/>
      </c>
      <c r="F305" s="66">
        <f>INDEX(Projects[AS Tote Locations],304)</f>
        <v/>
      </c>
      <c r="G305" s="66">
        <f>INDEX(Projects[PS Shuttles],304)</f>
        <v/>
      </c>
      <c r="H305" s="66">
        <f>INDEX(Projects[PS Pallet Locations],304)</f>
        <v/>
      </c>
      <c r="I305" s="66">
        <f>INDEX(Projects[SRM Cranes],304)</f>
        <v/>
      </c>
      <c r="J305" s="66">
        <f>INDEX(Projects[SRM Pallet Locations],304)</f>
        <v/>
      </c>
      <c r="K305" s="66">
        <f>INDEX(Projects[Case Conv (m)],304)</f>
        <v/>
      </c>
      <c r="L305" s="66">
        <f>INDEX(Projects[Pallet Conv (m)],304)</f>
        <v/>
      </c>
      <c r="M305" s="66">
        <f>INDEX(Projects[Mech Eng (wks)],304)</f>
        <v/>
      </c>
      <c r="N305" s="66">
        <f>INDEX(Projects[Controls Eng (wks)],304)</f>
        <v/>
      </c>
      <c r="O305" s="66">
        <f>INDEX(Projects[Systems Eng (wks)],304)</f>
        <v/>
      </c>
      <c r="P305" s="66">
        <f>INDEX(Projects[Software Eng (wks)],304)</f>
        <v/>
      </c>
      <c r="Q305" s="66">
        <f>INDEX(Projects[M&amp;E Installation (wks)],304)</f>
        <v/>
      </c>
      <c r="R305" s="66">
        <f>INDEX(Projects[Commissioning (wks)],304)</f>
        <v/>
      </c>
      <c r="S305" s="66">
        <f>INDEX(Projects[Total Timeline (wks)],304)</f>
        <v/>
      </c>
      <c r="T305" s="66">
        <f>INDEX(Projects[Currency],304)&amp;""</f>
        <v/>
      </c>
      <c r="U305" s="67">
        <f>INDEX(Projects[Value (M)],304)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INDEX(Projects[Automation Equipment],304)&amp;""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IF(AND(A305&lt;&gt;"",OR('Smart Search'!$L$5="",'Smart Search'!$L$5="All",TRIM(BZ305)=TRIM('Smart Search'!$L$5)),OR(TRIM('Smart Search'!$L$6)="",TRIM('Smart Search'!$L$6)="All",ISNUMBER(SEARCH(SUBSTITUTE(SUBSTITUTE(SUBSTITUTE(TRIM('Smart Search'!$L$6),"~","~~"),"*","~*"),"?","~?"),CA305))),OR('Smart Search'!$L$7="",AND(CB305&lt;&gt;0,CB305='Smart Search'!$L$7)),OR('Smart Search'!$L$8="",'Smart Search'!$L$8="All",TRIM(CC305)=TRIM('Smart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IF(A305="","",N(INDEX(Projects[Mech Inst],304)))</f>
        <v/>
      </c>
      <c r="BK305" s="5">
        <f>IF(A305="","",N(INDEX(Projects[Elec Inst],304)))</f>
        <v/>
      </c>
      <c r="BL305" s="5">
        <f>IF(A305="","",N(INDEX(Projects[Project Management],304)))</f>
        <v/>
      </c>
      <c r="BM305" s="5">
        <f>IF(A305="","",N(INDEX(Projects[Systems Eng],304)))</f>
        <v/>
      </c>
      <c r="BN305" s="5">
        <f>IF(A305="","",N(INDEX(Projects[Mechanical Eng],304)))</f>
        <v/>
      </c>
      <c r="BO305" s="5">
        <f>IF(A305="","",N(INDEX(Projects[Structural Engineering],304)))</f>
        <v/>
      </c>
      <c r="BP305" s="5">
        <f>IF(A305="","",N(INDEX(Projects[Site Sup],304)))</f>
        <v/>
      </c>
      <c r="BQ305" s="5">
        <f>IF(A305="","",N(INDEX(Projects[Controls Commissioning],304)))</f>
        <v/>
      </c>
      <c r="BR305" s="5">
        <f>IF(A305="","",N(INDEX(Projects[Systems Commissioning],304)))</f>
        <v/>
      </c>
      <c r="BS305" s="5">
        <f>IF(A305="","",N(INDEX(Projects[Service Commissioning],304)))</f>
        <v/>
      </c>
      <c r="BT305" s="5">
        <f>IF(A305="","",N(INDEX(Projects[Controls Eng],304)))</f>
        <v/>
      </c>
      <c r="BU305" s="5">
        <f>IF(A305="","",N(INDEX(Projects[Controls Purchase],304)))</f>
        <v/>
      </c>
      <c r="BV305" s="5">
        <f>IF(A305="","",N(INDEX(Projects[Software Eng],304)))</f>
        <v/>
      </c>
      <c r="BW305" s="5">
        <f>IF(A305="","",N(INDEX(Projects[Misc],304)))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  <c r="BZ305" s="5">
        <f>INDEX(Projects[Solution Type],304)&amp;""</f>
        <v/>
      </c>
      <c r="CA305" s="5">
        <f>INDEX(Projects[Client / Region],304)&amp;""</f>
        <v/>
      </c>
      <c r="CB305" s="5">
        <f>INDEX(Projects[Year],304)</f>
        <v/>
      </c>
      <c r="CC305" s="5">
        <f>INDEX(Projects[Won?],304)&amp;""</f>
        <v/>
      </c>
      <c r="CD305" s="5">
        <f>INDEX(Projects[Value (USD M)],304)</f>
        <v/>
      </c>
      <c r="CE305" s="5">
        <f>INDEX(Projects[MH Data Status],304)&amp;""</f>
        <v/>
      </c>
    </row>
    <row r="306" ht="15" customHeight="1" s="74">
      <c r="A306" s="66">
        <f>INDEX(Projects[Project ID *],305)&amp;""</f>
        <v/>
      </c>
      <c r="B306" s="66">
        <f>INDEX(Projects[Project Name *],305)&amp;""</f>
        <v/>
      </c>
      <c r="C306" s="66">
        <f>INDEX(Projects[MS Shuttles],305)</f>
        <v/>
      </c>
      <c r="D306" s="66">
        <f>INDEX(Projects[MS Tote Locations],305)</f>
        <v/>
      </c>
      <c r="E306" s="66">
        <f>INDEX(Projects[AS Robots],305)</f>
        <v/>
      </c>
      <c r="F306" s="66">
        <f>INDEX(Projects[AS Tote Locations],305)</f>
        <v/>
      </c>
      <c r="G306" s="66">
        <f>INDEX(Projects[PS Shuttles],305)</f>
        <v/>
      </c>
      <c r="H306" s="66">
        <f>INDEX(Projects[PS Pallet Locations],305)</f>
        <v/>
      </c>
      <c r="I306" s="66">
        <f>INDEX(Projects[SRM Cranes],305)</f>
        <v/>
      </c>
      <c r="J306" s="66">
        <f>INDEX(Projects[SRM Pallet Locations],305)</f>
        <v/>
      </c>
      <c r="K306" s="66">
        <f>INDEX(Projects[Case Conv (m)],305)</f>
        <v/>
      </c>
      <c r="L306" s="66">
        <f>INDEX(Projects[Pallet Conv (m)],305)</f>
        <v/>
      </c>
      <c r="M306" s="66">
        <f>INDEX(Projects[Mech Eng (wks)],305)</f>
        <v/>
      </c>
      <c r="N306" s="66">
        <f>INDEX(Projects[Controls Eng (wks)],305)</f>
        <v/>
      </c>
      <c r="O306" s="66">
        <f>INDEX(Projects[Systems Eng (wks)],305)</f>
        <v/>
      </c>
      <c r="P306" s="66">
        <f>INDEX(Projects[Software Eng (wks)],305)</f>
        <v/>
      </c>
      <c r="Q306" s="66">
        <f>INDEX(Projects[M&amp;E Installation (wks)],305)</f>
        <v/>
      </c>
      <c r="R306" s="66">
        <f>INDEX(Projects[Commissioning (wks)],305)</f>
        <v/>
      </c>
      <c r="S306" s="66">
        <f>INDEX(Projects[Total Timeline (wks)],305)</f>
        <v/>
      </c>
      <c r="T306" s="66">
        <f>INDEX(Projects[Currency],305)&amp;""</f>
        <v/>
      </c>
      <c r="U306" s="67">
        <f>INDEX(Projects[Value (M)],305)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INDEX(Projects[Automation Equipment],305)&amp;""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IF(AND(A306&lt;&gt;"",OR('Smart Search'!$L$5="",'Smart Search'!$L$5="All",TRIM(BZ306)=TRIM('Smart Search'!$L$5)),OR(TRIM('Smart Search'!$L$6)="",TRIM('Smart Search'!$L$6)="All",ISNUMBER(SEARCH(SUBSTITUTE(SUBSTITUTE(SUBSTITUTE(TRIM('Smart Search'!$L$6),"~","~~"),"*","~*"),"?","~?"),CA306))),OR('Smart Search'!$L$7="",AND(CB306&lt;&gt;0,CB306='Smart Search'!$L$7)),OR('Smart Search'!$L$8="",'Smart Search'!$L$8="All",TRIM(CC306)=TRIM('Smart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IF(A306="","",N(INDEX(Projects[Mech Inst],305)))</f>
        <v/>
      </c>
      <c r="BK306" s="5">
        <f>IF(A306="","",N(INDEX(Projects[Elec Inst],305)))</f>
        <v/>
      </c>
      <c r="BL306" s="5">
        <f>IF(A306="","",N(INDEX(Projects[Project Management],305)))</f>
        <v/>
      </c>
      <c r="BM306" s="5">
        <f>IF(A306="","",N(INDEX(Projects[Systems Eng],305)))</f>
        <v/>
      </c>
      <c r="BN306" s="5">
        <f>IF(A306="","",N(INDEX(Projects[Mechanical Eng],305)))</f>
        <v/>
      </c>
      <c r="BO306" s="5">
        <f>IF(A306="","",N(INDEX(Projects[Structural Engineering],305)))</f>
        <v/>
      </c>
      <c r="BP306" s="5">
        <f>IF(A306="","",N(INDEX(Projects[Site Sup],305)))</f>
        <v/>
      </c>
      <c r="BQ306" s="5">
        <f>IF(A306="","",N(INDEX(Projects[Controls Commissioning],305)))</f>
        <v/>
      </c>
      <c r="BR306" s="5">
        <f>IF(A306="","",N(INDEX(Projects[Systems Commissioning],305)))</f>
        <v/>
      </c>
      <c r="BS306" s="5">
        <f>IF(A306="","",N(INDEX(Projects[Service Commissioning],305)))</f>
        <v/>
      </c>
      <c r="BT306" s="5">
        <f>IF(A306="","",N(INDEX(Projects[Controls Eng],305)))</f>
        <v/>
      </c>
      <c r="BU306" s="5">
        <f>IF(A306="","",N(INDEX(Projects[Controls Purchase],305)))</f>
        <v/>
      </c>
      <c r="BV306" s="5">
        <f>IF(A306="","",N(INDEX(Projects[Software Eng],305)))</f>
        <v/>
      </c>
      <c r="BW306" s="5">
        <f>IF(A306="","",N(INDEX(Projects[Misc],305)))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  <c r="BZ306" s="5">
        <f>INDEX(Projects[Solution Type],305)&amp;""</f>
        <v/>
      </c>
      <c r="CA306" s="5">
        <f>INDEX(Projects[Client / Region],305)&amp;""</f>
        <v/>
      </c>
      <c r="CB306" s="5">
        <f>INDEX(Projects[Year],305)</f>
        <v/>
      </c>
      <c r="CC306" s="5">
        <f>INDEX(Projects[Won?],305)&amp;""</f>
        <v/>
      </c>
      <c r="CD306" s="5">
        <f>INDEX(Projects[Value (USD M)],305)</f>
        <v/>
      </c>
      <c r="CE306" s="5">
        <f>INDEX(Projects[MH Data Status],305)&amp;""</f>
        <v/>
      </c>
    </row>
    <row r="307" ht="15" customHeight="1" s="74">
      <c r="A307" s="66">
        <f>INDEX(Projects[Project ID *],306)&amp;""</f>
        <v/>
      </c>
      <c r="B307" s="66">
        <f>INDEX(Projects[Project Name *],306)&amp;""</f>
        <v/>
      </c>
      <c r="C307" s="66">
        <f>INDEX(Projects[MS Shuttles],306)</f>
        <v/>
      </c>
      <c r="D307" s="66">
        <f>INDEX(Projects[MS Tote Locations],306)</f>
        <v/>
      </c>
      <c r="E307" s="66">
        <f>INDEX(Projects[AS Robots],306)</f>
        <v/>
      </c>
      <c r="F307" s="66">
        <f>INDEX(Projects[AS Tote Locations],306)</f>
        <v/>
      </c>
      <c r="G307" s="66">
        <f>INDEX(Projects[PS Shuttles],306)</f>
        <v/>
      </c>
      <c r="H307" s="66">
        <f>INDEX(Projects[PS Pallet Locations],306)</f>
        <v/>
      </c>
      <c r="I307" s="66">
        <f>INDEX(Projects[SRM Cranes],306)</f>
        <v/>
      </c>
      <c r="J307" s="66">
        <f>INDEX(Projects[SRM Pallet Locations],306)</f>
        <v/>
      </c>
      <c r="K307" s="66">
        <f>INDEX(Projects[Case Conv (m)],306)</f>
        <v/>
      </c>
      <c r="L307" s="66">
        <f>INDEX(Projects[Pallet Conv (m)],306)</f>
        <v/>
      </c>
      <c r="M307" s="66">
        <f>INDEX(Projects[Mech Eng (wks)],306)</f>
        <v/>
      </c>
      <c r="N307" s="66">
        <f>INDEX(Projects[Controls Eng (wks)],306)</f>
        <v/>
      </c>
      <c r="O307" s="66">
        <f>INDEX(Projects[Systems Eng (wks)],306)</f>
        <v/>
      </c>
      <c r="P307" s="66">
        <f>INDEX(Projects[Software Eng (wks)],306)</f>
        <v/>
      </c>
      <c r="Q307" s="66">
        <f>INDEX(Projects[M&amp;E Installation (wks)],306)</f>
        <v/>
      </c>
      <c r="R307" s="66">
        <f>INDEX(Projects[Commissioning (wks)],306)</f>
        <v/>
      </c>
      <c r="S307" s="66">
        <f>INDEX(Projects[Total Timeline (wks)],306)</f>
        <v/>
      </c>
      <c r="T307" s="66">
        <f>INDEX(Projects[Currency],306)&amp;""</f>
        <v/>
      </c>
      <c r="U307" s="67">
        <f>INDEX(Projects[Value (M)],306)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INDEX(Projects[Automation Equipment],306)&amp;""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IF(AND(A307&lt;&gt;"",OR('Smart Search'!$L$5="",'Smart Search'!$L$5="All",TRIM(BZ307)=TRIM('Smart Search'!$L$5)),OR(TRIM('Smart Search'!$L$6)="",TRIM('Smart Search'!$L$6)="All",ISNUMBER(SEARCH(SUBSTITUTE(SUBSTITUTE(SUBSTITUTE(TRIM('Smart Search'!$L$6),"~","~~"),"*","~*"),"?","~?"),CA307))),OR('Smart Search'!$L$7="",AND(CB307&lt;&gt;0,CB307='Smart Search'!$L$7)),OR('Smart Search'!$L$8="",'Smart Search'!$L$8="All",TRIM(CC307)=TRIM('Smart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IF(A307="","",N(INDEX(Projects[Mech Inst],306)))</f>
        <v/>
      </c>
      <c r="BK307" s="5">
        <f>IF(A307="","",N(INDEX(Projects[Elec Inst],306)))</f>
        <v/>
      </c>
      <c r="BL307" s="5">
        <f>IF(A307="","",N(INDEX(Projects[Project Management],306)))</f>
        <v/>
      </c>
      <c r="BM307" s="5">
        <f>IF(A307="","",N(INDEX(Projects[Systems Eng],306)))</f>
        <v/>
      </c>
      <c r="BN307" s="5">
        <f>IF(A307="","",N(INDEX(Projects[Mechanical Eng],306)))</f>
        <v/>
      </c>
      <c r="BO307" s="5">
        <f>IF(A307="","",N(INDEX(Projects[Structural Engineering],306)))</f>
        <v/>
      </c>
      <c r="BP307" s="5">
        <f>IF(A307="","",N(INDEX(Projects[Site Sup],306)))</f>
        <v/>
      </c>
      <c r="BQ307" s="5">
        <f>IF(A307="","",N(INDEX(Projects[Controls Commissioning],306)))</f>
        <v/>
      </c>
      <c r="BR307" s="5">
        <f>IF(A307="","",N(INDEX(Projects[Systems Commissioning],306)))</f>
        <v/>
      </c>
      <c r="BS307" s="5">
        <f>IF(A307="","",N(INDEX(Projects[Service Commissioning],306)))</f>
        <v/>
      </c>
      <c r="BT307" s="5">
        <f>IF(A307="","",N(INDEX(Projects[Controls Eng],306)))</f>
        <v/>
      </c>
      <c r="BU307" s="5">
        <f>IF(A307="","",N(INDEX(Projects[Controls Purchase],306)))</f>
        <v/>
      </c>
      <c r="BV307" s="5">
        <f>IF(A307="","",N(INDEX(Projects[Software Eng],306)))</f>
        <v/>
      </c>
      <c r="BW307" s="5">
        <f>IF(A307="","",N(INDEX(Projects[Misc],306)))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  <c r="BZ307" s="5">
        <f>INDEX(Projects[Solution Type],306)&amp;""</f>
        <v/>
      </c>
      <c r="CA307" s="5">
        <f>INDEX(Projects[Client / Region],306)&amp;""</f>
        <v/>
      </c>
      <c r="CB307" s="5">
        <f>INDEX(Projects[Year],306)</f>
        <v/>
      </c>
      <c r="CC307" s="5">
        <f>INDEX(Projects[Won?],306)&amp;""</f>
        <v/>
      </c>
      <c r="CD307" s="5">
        <f>INDEX(Projects[Value (USD M)],306)</f>
        <v/>
      </c>
      <c r="CE307" s="5">
        <f>INDEX(Projects[MH Data Status],306)&amp;""</f>
        <v/>
      </c>
    </row>
    <row r="308" ht="15" customHeight="1" s="74">
      <c r="A308" s="66">
        <f>INDEX(Projects[Project ID *],307)&amp;""</f>
        <v/>
      </c>
      <c r="B308" s="66">
        <f>INDEX(Projects[Project Name *],307)&amp;""</f>
        <v/>
      </c>
      <c r="C308" s="66">
        <f>INDEX(Projects[MS Shuttles],307)</f>
        <v/>
      </c>
      <c r="D308" s="66">
        <f>INDEX(Projects[MS Tote Locations],307)</f>
        <v/>
      </c>
      <c r="E308" s="66">
        <f>INDEX(Projects[AS Robots],307)</f>
        <v/>
      </c>
      <c r="F308" s="66">
        <f>INDEX(Projects[AS Tote Locations],307)</f>
        <v/>
      </c>
      <c r="G308" s="66">
        <f>INDEX(Projects[PS Shuttles],307)</f>
        <v/>
      </c>
      <c r="H308" s="66">
        <f>INDEX(Projects[PS Pallet Locations],307)</f>
        <v/>
      </c>
      <c r="I308" s="66">
        <f>INDEX(Projects[SRM Cranes],307)</f>
        <v/>
      </c>
      <c r="J308" s="66">
        <f>INDEX(Projects[SRM Pallet Locations],307)</f>
        <v/>
      </c>
      <c r="K308" s="66">
        <f>INDEX(Projects[Case Conv (m)],307)</f>
        <v/>
      </c>
      <c r="L308" s="66">
        <f>INDEX(Projects[Pallet Conv (m)],307)</f>
        <v/>
      </c>
      <c r="M308" s="66">
        <f>INDEX(Projects[Mech Eng (wks)],307)</f>
        <v/>
      </c>
      <c r="N308" s="66">
        <f>INDEX(Projects[Controls Eng (wks)],307)</f>
        <v/>
      </c>
      <c r="O308" s="66">
        <f>INDEX(Projects[Systems Eng (wks)],307)</f>
        <v/>
      </c>
      <c r="P308" s="66">
        <f>INDEX(Projects[Software Eng (wks)],307)</f>
        <v/>
      </c>
      <c r="Q308" s="66">
        <f>INDEX(Projects[M&amp;E Installation (wks)],307)</f>
        <v/>
      </c>
      <c r="R308" s="66">
        <f>INDEX(Projects[Commissioning (wks)],307)</f>
        <v/>
      </c>
      <c r="S308" s="66">
        <f>INDEX(Projects[Total Timeline (wks)],307)</f>
        <v/>
      </c>
      <c r="T308" s="66">
        <f>INDEX(Projects[Currency],307)&amp;""</f>
        <v/>
      </c>
      <c r="U308" s="67">
        <f>INDEX(Projects[Value (M)],307)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INDEX(Projects[Automation Equipment],307)&amp;""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IF(AND(A308&lt;&gt;"",OR('Smart Search'!$L$5="",'Smart Search'!$L$5="All",TRIM(BZ308)=TRIM('Smart Search'!$L$5)),OR(TRIM('Smart Search'!$L$6)="",TRIM('Smart Search'!$L$6)="All",ISNUMBER(SEARCH(SUBSTITUTE(SUBSTITUTE(SUBSTITUTE(TRIM('Smart Search'!$L$6),"~","~~"),"*","~*"),"?","~?"),CA308))),OR('Smart Search'!$L$7="",AND(CB308&lt;&gt;0,CB308='Smart Search'!$L$7)),OR('Smart Search'!$L$8="",'Smart Search'!$L$8="All",TRIM(CC308)=TRIM('Smart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IF(A308="","",N(INDEX(Projects[Mech Inst],307)))</f>
        <v/>
      </c>
      <c r="BK308" s="5">
        <f>IF(A308="","",N(INDEX(Projects[Elec Inst],307)))</f>
        <v/>
      </c>
      <c r="BL308" s="5">
        <f>IF(A308="","",N(INDEX(Projects[Project Management],307)))</f>
        <v/>
      </c>
      <c r="BM308" s="5">
        <f>IF(A308="","",N(INDEX(Projects[Systems Eng],307)))</f>
        <v/>
      </c>
      <c r="BN308" s="5">
        <f>IF(A308="","",N(INDEX(Projects[Mechanical Eng],307)))</f>
        <v/>
      </c>
      <c r="BO308" s="5">
        <f>IF(A308="","",N(INDEX(Projects[Structural Engineering],307)))</f>
        <v/>
      </c>
      <c r="BP308" s="5">
        <f>IF(A308="","",N(INDEX(Projects[Site Sup],307)))</f>
        <v/>
      </c>
      <c r="BQ308" s="5">
        <f>IF(A308="","",N(INDEX(Projects[Controls Commissioning],307)))</f>
        <v/>
      </c>
      <c r="BR308" s="5">
        <f>IF(A308="","",N(INDEX(Projects[Systems Commissioning],307)))</f>
        <v/>
      </c>
      <c r="BS308" s="5">
        <f>IF(A308="","",N(INDEX(Projects[Service Commissioning],307)))</f>
        <v/>
      </c>
      <c r="BT308" s="5">
        <f>IF(A308="","",N(INDEX(Projects[Controls Eng],307)))</f>
        <v/>
      </c>
      <c r="BU308" s="5">
        <f>IF(A308="","",N(INDEX(Projects[Controls Purchase],307)))</f>
        <v/>
      </c>
      <c r="BV308" s="5">
        <f>IF(A308="","",N(INDEX(Projects[Software Eng],307)))</f>
        <v/>
      </c>
      <c r="BW308" s="5">
        <f>IF(A308="","",N(INDEX(Projects[Misc],307)))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  <c r="BZ308" s="5">
        <f>INDEX(Projects[Solution Type],307)&amp;""</f>
        <v/>
      </c>
      <c r="CA308" s="5">
        <f>INDEX(Projects[Client / Region],307)&amp;""</f>
        <v/>
      </c>
      <c r="CB308" s="5">
        <f>INDEX(Projects[Year],307)</f>
        <v/>
      </c>
      <c r="CC308" s="5">
        <f>INDEX(Projects[Won?],307)&amp;""</f>
        <v/>
      </c>
      <c r="CD308" s="5">
        <f>INDEX(Projects[Value (USD M)],307)</f>
        <v/>
      </c>
      <c r="CE308" s="5">
        <f>INDEX(Projects[MH Data Status],307)&amp;""</f>
        <v/>
      </c>
    </row>
    <row r="309" ht="15" customHeight="1" s="74">
      <c r="A309" s="66">
        <f>INDEX(Projects[Project ID *],308)&amp;""</f>
        <v/>
      </c>
      <c r="B309" s="66">
        <f>INDEX(Projects[Project Name *],308)&amp;""</f>
        <v/>
      </c>
      <c r="C309" s="66">
        <f>INDEX(Projects[MS Shuttles],308)</f>
        <v/>
      </c>
      <c r="D309" s="66">
        <f>INDEX(Projects[MS Tote Locations],308)</f>
        <v/>
      </c>
      <c r="E309" s="66">
        <f>INDEX(Projects[AS Robots],308)</f>
        <v/>
      </c>
      <c r="F309" s="66">
        <f>INDEX(Projects[AS Tote Locations],308)</f>
        <v/>
      </c>
      <c r="G309" s="66">
        <f>INDEX(Projects[PS Shuttles],308)</f>
        <v/>
      </c>
      <c r="H309" s="66">
        <f>INDEX(Projects[PS Pallet Locations],308)</f>
        <v/>
      </c>
      <c r="I309" s="66">
        <f>INDEX(Projects[SRM Cranes],308)</f>
        <v/>
      </c>
      <c r="J309" s="66">
        <f>INDEX(Projects[SRM Pallet Locations],308)</f>
        <v/>
      </c>
      <c r="K309" s="66">
        <f>INDEX(Projects[Case Conv (m)],308)</f>
        <v/>
      </c>
      <c r="L309" s="66">
        <f>INDEX(Projects[Pallet Conv (m)],308)</f>
        <v/>
      </c>
      <c r="M309" s="66">
        <f>INDEX(Projects[Mech Eng (wks)],308)</f>
        <v/>
      </c>
      <c r="N309" s="66">
        <f>INDEX(Projects[Controls Eng (wks)],308)</f>
        <v/>
      </c>
      <c r="O309" s="66">
        <f>INDEX(Projects[Systems Eng (wks)],308)</f>
        <v/>
      </c>
      <c r="P309" s="66">
        <f>INDEX(Projects[Software Eng (wks)],308)</f>
        <v/>
      </c>
      <c r="Q309" s="66">
        <f>INDEX(Projects[M&amp;E Installation (wks)],308)</f>
        <v/>
      </c>
      <c r="R309" s="66">
        <f>INDEX(Projects[Commissioning (wks)],308)</f>
        <v/>
      </c>
      <c r="S309" s="66">
        <f>INDEX(Projects[Total Timeline (wks)],308)</f>
        <v/>
      </c>
      <c r="T309" s="66">
        <f>INDEX(Projects[Currency],308)&amp;""</f>
        <v/>
      </c>
      <c r="U309" s="67">
        <f>INDEX(Projects[Value (M)],308)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INDEX(Projects[Automation Equipment],308)&amp;""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IF(AND(A309&lt;&gt;"",OR('Smart Search'!$L$5="",'Smart Search'!$L$5="All",TRIM(BZ309)=TRIM('Smart Search'!$L$5)),OR(TRIM('Smart Search'!$L$6)="",TRIM('Smart Search'!$L$6)="All",ISNUMBER(SEARCH(SUBSTITUTE(SUBSTITUTE(SUBSTITUTE(TRIM('Smart Search'!$L$6),"~","~~"),"*","~*"),"?","~?"),CA309))),OR('Smart Search'!$L$7="",AND(CB309&lt;&gt;0,CB309='Smart Search'!$L$7)),OR('Smart Search'!$L$8="",'Smart Search'!$L$8="All",TRIM(CC309)=TRIM('Smart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IF(A309="","",N(INDEX(Projects[Mech Inst],308)))</f>
        <v/>
      </c>
      <c r="BK309" s="5">
        <f>IF(A309="","",N(INDEX(Projects[Elec Inst],308)))</f>
        <v/>
      </c>
      <c r="BL309" s="5">
        <f>IF(A309="","",N(INDEX(Projects[Project Management],308)))</f>
        <v/>
      </c>
      <c r="BM309" s="5">
        <f>IF(A309="","",N(INDEX(Projects[Systems Eng],308)))</f>
        <v/>
      </c>
      <c r="BN309" s="5">
        <f>IF(A309="","",N(INDEX(Projects[Mechanical Eng],308)))</f>
        <v/>
      </c>
      <c r="BO309" s="5">
        <f>IF(A309="","",N(INDEX(Projects[Structural Engineering],308)))</f>
        <v/>
      </c>
      <c r="BP309" s="5">
        <f>IF(A309="","",N(INDEX(Projects[Site Sup],308)))</f>
        <v/>
      </c>
      <c r="BQ309" s="5">
        <f>IF(A309="","",N(INDEX(Projects[Controls Commissioning],308)))</f>
        <v/>
      </c>
      <c r="BR309" s="5">
        <f>IF(A309="","",N(INDEX(Projects[Systems Commissioning],308)))</f>
        <v/>
      </c>
      <c r="BS309" s="5">
        <f>IF(A309="","",N(INDEX(Projects[Service Commissioning],308)))</f>
        <v/>
      </c>
      <c r="BT309" s="5">
        <f>IF(A309="","",N(INDEX(Projects[Controls Eng],308)))</f>
        <v/>
      </c>
      <c r="BU309" s="5">
        <f>IF(A309="","",N(INDEX(Projects[Controls Purchase],308)))</f>
        <v/>
      </c>
      <c r="BV309" s="5">
        <f>IF(A309="","",N(INDEX(Projects[Software Eng],308)))</f>
        <v/>
      </c>
      <c r="BW309" s="5">
        <f>IF(A309="","",N(INDEX(Projects[Misc],308)))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  <c r="BZ309" s="5">
        <f>INDEX(Projects[Solution Type],308)&amp;""</f>
        <v/>
      </c>
      <c r="CA309" s="5">
        <f>INDEX(Projects[Client / Region],308)&amp;""</f>
        <v/>
      </c>
      <c r="CB309" s="5">
        <f>INDEX(Projects[Year],308)</f>
        <v/>
      </c>
      <c r="CC309" s="5">
        <f>INDEX(Projects[Won?],308)&amp;""</f>
        <v/>
      </c>
      <c r="CD309" s="5">
        <f>INDEX(Projects[Value (USD M)],308)</f>
        <v/>
      </c>
      <c r="CE309" s="5">
        <f>INDEX(Projects[MH Data Status],308)&amp;""</f>
        <v/>
      </c>
    </row>
    <row r="310" ht="15" customHeight="1" s="74">
      <c r="A310" s="66">
        <f>INDEX(Projects[Project ID *],309)&amp;""</f>
        <v/>
      </c>
      <c r="B310" s="66">
        <f>INDEX(Projects[Project Name *],309)&amp;""</f>
        <v/>
      </c>
      <c r="C310" s="66">
        <f>INDEX(Projects[MS Shuttles],309)</f>
        <v/>
      </c>
      <c r="D310" s="66">
        <f>INDEX(Projects[MS Tote Locations],309)</f>
        <v/>
      </c>
      <c r="E310" s="66">
        <f>INDEX(Projects[AS Robots],309)</f>
        <v/>
      </c>
      <c r="F310" s="66">
        <f>INDEX(Projects[AS Tote Locations],309)</f>
        <v/>
      </c>
      <c r="G310" s="66">
        <f>INDEX(Projects[PS Shuttles],309)</f>
        <v/>
      </c>
      <c r="H310" s="66">
        <f>INDEX(Projects[PS Pallet Locations],309)</f>
        <v/>
      </c>
      <c r="I310" s="66">
        <f>INDEX(Projects[SRM Cranes],309)</f>
        <v/>
      </c>
      <c r="J310" s="66">
        <f>INDEX(Projects[SRM Pallet Locations],309)</f>
        <v/>
      </c>
      <c r="K310" s="66">
        <f>INDEX(Projects[Case Conv (m)],309)</f>
        <v/>
      </c>
      <c r="L310" s="66">
        <f>INDEX(Projects[Pallet Conv (m)],309)</f>
        <v/>
      </c>
      <c r="M310" s="66">
        <f>INDEX(Projects[Mech Eng (wks)],309)</f>
        <v/>
      </c>
      <c r="N310" s="66">
        <f>INDEX(Projects[Controls Eng (wks)],309)</f>
        <v/>
      </c>
      <c r="O310" s="66">
        <f>INDEX(Projects[Systems Eng (wks)],309)</f>
        <v/>
      </c>
      <c r="P310" s="66">
        <f>INDEX(Projects[Software Eng (wks)],309)</f>
        <v/>
      </c>
      <c r="Q310" s="66">
        <f>INDEX(Projects[M&amp;E Installation (wks)],309)</f>
        <v/>
      </c>
      <c r="R310" s="66">
        <f>INDEX(Projects[Commissioning (wks)],309)</f>
        <v/>
      </c>
      <c r="S310" s="66">
        <f>INDEX(Projects[Total Timeline (wks)],309)</f>
        <v/>
      </c>
      <c r="T310" s="66">
        <f>INDEX(Projects[Currency],309)&amp;""</f>
        <v/>
      </c>
      <c r="U310" s="67">
        <f>INDEX(Projects[Value (M)],309)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INDEX(Projects[Automation Equipment],309)&amp;""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IF(AND(A310&lt;&gt;"",OR('Smart Search'!$L$5="",'Smart Search'!$L$5="All",TRIM(BZ310)=TRIM('Smart Search'!$L$5)),OR(TRIM('Smart Search'!$L$6)="",TRIM('Smart Search'!$L$6)="All",ISNUMBER(SEARCH(SUBSTITUTE(SUBSTITUTE(SUBSTITUTE(TRIM('Smart Search'!$L$6),"~","~~"),"*","~*"),"?","~?"),CA310))),OR('Smart Search'!$L$7="",AND(CB310&lt;&gt;0,CB310='Smart Search'!$L$7)),OR('Smart Search'!$L$8="",'Smart Search'!$L$8="All",TRIM(CC310)=TRIM('Smart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IF(A310="","",N(INDEX(Projects[Mech Inst],309)))</f>
        <v/>
      </c>
      <c r="BK310" s="5">
        <f>IF(A310="","",N(INDEX(Projects[Elec Inst],309)))</f>
        <v/>
      </c>
      <c r="BL310" s="5">
        <f>IF(A310="","",N(INDEX(Projects[Project Management],309)))</f>
        <v/>
      </c>
      <c r="BM310" s="5">
        <f>IF(A310="","",N(INDEX(Projects[Systems Eng],309)))</f>
        <v/>
      </c>
      <c r="BN310" s="5">
        <f>IF(A310="","",N(INDEX(Projects[Mechanical Eng],309)))</f>
        <v/>
      </c>
      <c r="BO310" s="5">
        <f>IF(A310="","",N(INDEX(Projects[Structural Engineering],309)))</f>
        <v/>
      </c>
      <c r="BP310" s="5">
        <f>IF(A310="","",N(INDEX(Projects[Site Sup],309)))</f>
        <v/>
      </c>
      <c r="BQ310" s="5">
        <f>IF(A310="","",N(INDEX(Projects[Controls Commissioning],309)))</f>
        <v/>
      </c>
      <c r="BR310" s="5">
        <f>IF(A310="","",N(INDEX(Projects[Systems Commissioning],309)))</f>
        <v/>
      </c>
      <c r="BS310" s="5">
        <f>IF(A310="","",N(INDEX(Projects[Service Commissioning],309)))</f>
        <v/>
      </c>
      <c r="BT310" s="5">
        <f>IF(A310="","",N(INDEX(Projects[Controls Eng],309)))</f>
        <v/>
      </c>
      <c r="BU310" s="5">
        <f>IF(A310="","",N(INDEX(Projects[Controls Purchase],309)))</f>
        <v/>
      </c>
      <c r="BV310" s="5">
        <f>IF(A310="","",N(INDEX(Projects[Software Eng],309)))</f>
        <v/>
      </c>
      <c r="BW310" s="5">
        <f>IF(A310="","",N(INDEX(Projects[Misc],309)))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  <c r="BZ310" s="5">
        <f>INDEX(Projects[Solution Type],309)&amp;""</f>
        <v/>
      </c>
      <c r="CA310" s="5">
        <f>INDEX(Projects[Client / Region],309)&amp;""</f>
        <v/>
      </c>
      <c r="CB310" s="5">
        <f>INDEX(Projects[Year],309)</f>
        <v/>
      </c>
      <c r="CC310" s="5">
        <f>INDEX(Projects[Won?],309)&amp;""</f>
        <v/>
      </c>
      <c r="CD310" s="5">
        <f>INDEX(Projects[Value (USD M)],309)</f>
        <v/>
      </c>
      <c r="CE310" s="5">
        <f>INDEX(Projects[MH Data Status],309)&amp;""</f>
        <v/>
      </c>
    </row>
    <row r="311" ht="15" customHeight="1" s="74">
      <c r="A311" s="66">
        <f>INDEX(Projects[Project ID *],310)&amp;""</f>
        <v/>
      </c>
      <c r="B311" s="66">
        <f>INDEX(Projects[Project Name *],310)&amp;""</f>
        <v/>
      </c>
      <c r="C311" s="66">
        <f>INDEX(Projects[MS Shuttles],310)</f>
        <v/>
      </c>
      <c r="D311" s="66">
        <f>INDEX(Projects[MS Tote Locations],310)</f>
        <v/>
      </c>
      <c r="E311" s="66">
        <f>INDEX(Projects[AS Robots],310)</f>
        <v/>
      </c>
      <c r="F311" s="66">
        <f>INDEX(Projects[AS Tote Locations],310)</f>
        <v/>
      </c>
      <c r="G311" s="66">
        <f>INDEX(Projects[PS Shuttles],310)</f>
        <v/>
      </c>
      <c r="H311" s="66">
        <f>INDEX(Projects[PS Pallet Locations],310)</f>
        <v/>
      </c>
      <c r="I311" s="66">
        <f>INDEX(Projects[SRM Cranes],310)</f>
        <v/>
      </c>
      <c r="J311" s="66">
        <f>INDEX(Projects[SRM Pallet Locations],310)</f>
        <v/>
      </c>
      <c r="K311" s="66">
        <f>INDEX(Projects[Case Conv (m)],310)</f>
        <v/>
      </c>
      <c r="L311" s="66">
        <f>INDEX(Projects[Pallet Conv (m)],310)</f>
        <v/>
      </c>
      <c r="M311" s="66">
        <f>INDEX(Projects[Mech Eng (wks)],310)</f>
        <v/>
      </c>
      <c r="N311" s="66">
        <f>INDEX(Projects[Controls Eng (wks)],310)</f>
        <v/>
      </c>
      <c r="O311" s="66">
        <f>INDEX(Projects[Systems Eng (wks)],310)</f>
        <v/>
      </c>
      <c r="P311" s="66">
        <f>INDEX(Projects[Software Eng (wks)],310)</f>
        <v/>
      </c>
      <c r="Q311" s="66">
        <f>INDEX(Projects[M&amp;E Installation (wks)],310)</f>
        <v/>
      </c>
      <c r="R311" s="66">
        <f>INDEX(Projects[Commissioning (wks)],310)</f>
        <v/>
      </c>
      <c r="S311" s="66">
        <f>INDEX(Projects[Total Timeline (wks)],310)</f>
        <v/>
      </c>
      <c r="T311" s="66">
        <f>INDEX(Projects[Currency],310)&amp;""</f>
        <v/>
      </c>
      <c r="U311" s="67">
        <f>INDEX(Projects[Value (M)],310)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INDEX(Projects[Automation Equipment],310)&amp;""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IF(AND(A311&lt;&gt;"",OR('Smart Search'!$L$5="",'Smart Search'!$L$5="All",TRIM(BZ311)=TRIM('Smart Search'!$L$5)),OR(TRIM('Smart Search'!$L$6)="",TRIM('Smart Search'!$L$6)="All",ISNUMBER(SEARCH(SUBSTITUTE(SUBSTITUTE(SUBSTITUTE(TRIM('Smart Search'!$L$6),"~","~~"),"*","~*"),"?","~?"),CA311))),OR('Smart Search'!$L$7="",AND(CB311&lt;&gt;0,CB311='Smart Search'!$L$7)),OR('Smart Search'!$L$8="",'Smart Search'!$L$8="All",TRIM(CC311)=TRIM('Smart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IF(A311="","",N(INDEX(Projects[Mech Inst],310)))</f>
        <v/>
      </c>
      <c r="BK311" s="5">
        <f>IF(A311="","",N(INDEX(Projects[Elec Inst],310)))</f>
        <v/>
      </c>
      <c r="BL311" s="5">
        <f>IF(A311="","",N(INDEX(Projects[Project Management],310)))</f>
        <v/>
      </c>
      <c r="BM311" s="5">
        <f>IF(A311="","",N(INDEX(Projects[Systems Eng],310)))</f>
        <v/>
      </c>
      <c r="BN311" s="5">
        <f>IF(A311="","",N(INDEX(Projects[Mechanical Eng],310)))</f>
        <v/>
      </c>
      <c r="BO311" s="5">
        <f>IF(A311="","",N(INDEX(Projects[Structural Engineering],310)))</f>
        <v/>
      </c>
      <c r="BP311" s="5">
        <f>IF(A311="","",N(INDEX(Projects[Site Sup],310)))</f>
        <v/>
      </c>
      <c r="BQ311" s="5">
        <f>IF(A311="","",N(INDEX(Projects[Controls Commissioning],310)))</f>
        <v/>
      </c>
      <c r="BR311" s="5">
        <f>IF(A311="","",N(INDEX(Projects[Systems Commissioning],310)))</f>
        <v/>
      </c>
      <c r="BS311" s="5">
        <f>IF(A311="","",N(INDEX(Projects[Service Commissioning],310)))</f>
        <v/>
      </c>
      <c r="BT311" s="5">
        <f>IF(A311="","",N(INDEX(Projects[Controls Eng],310)))</f>
        <v/>
      </c>
      <c r="BU311" s="5">
        <f>IF(A311="","",N(INDEX(Projects[Controls Purchase],310)))</f>
        <v/>
      </c>
      <c r="BV311" s="5">
        <f>IF(A311="","",N(INDEX(Projects[Software Eng],310)))</f>
        <v/>
      </c>
      <c r="BW311" s="5">
        <f>IF(A311="","",N(INDEX(Projects[Misc],310)))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  <c r="BZ311" s="5">
        <f>INDEX(Projects[Solution Type],310)&amp;""</f>
        <v/>
      </c>
      <c r="CA311" s="5">
        <f>INDEX(Projects[Client / Region],310)&amp;""</f>
        <v/>
      </c>
      <c r="CB311" s="5">
        <f>INDEX(Projects[Year],310)</f>
        <v/>
      </c>
      <c r="CC311" s="5">
        <f>INDEX(Projects[Won?],310)&amp;""</f>
        <v/>
      </c>
      <c r="CD311" s="5">
        <f>INDEX(Projects[Value (USD M)],310)</f>
        <v/>
      </c>
      <c r="CE311" s="5">
        <f>INDEX(Projects[MH Data Status],310)&amp;""</f>
        <v/>
      </c>
    </row>
    <row r="312" ht="15" customHeight="1" s="74">
      <c r="A312" s="66">
        <f>INDEX(Projects[Project ID *],311)&amp;""</f>
        <v/>
      </c>
      <c r="B312" s="66">
        <f>INDEX(Projects[Project Name *],311)&amp;""</f>
        <v/>
      </c>
      <c r="C312" s="66">
        <f>INDEX(Projects[MS Shuttles],311)</f>
        <v/>
      </c>
      <c r="D312" s="66">
        <f>INDEX(Projects[MS Tote Locations],311)</f>
        <v/>
      </c>
      <c r="E312" s="66">
        <f>INDEX(Projects[AS Robots],311)</f>
        <v/>
      </c>
      <c r="F312" s="66">
        <f>INDEX(Projects[AS Tote Locations],311)</f>
        <v/>
      </c>
      <c r="G312" s="66">
        <f>INDEX(Projects[PS Shuttles],311)</f>
        <v/>
      </c>
      <c r="H312" s="66">
        <f>INDEX(Projects[PS Pallet Locations],311)</f>
        <v/>
      </c>
      <c r="I312" s="66">
        <f>INDEX(Projects[SRM Cranes],311)</f>
        <v/>
      </c>
      <c r="J312" s="66">
        <f>INDEX(Projects[SRM Pallet Locations],311)</f>
        <v/>
      </c>
      <c r="K312" s="66">
        <f>INDEX(Projects[Case Conv (m)],311)</f>
        <v/>
      </c>
      <c r="L312" s="66">
        <f>INDEX(Projects[Pallet Conv (m)],311)</f>
        <v/>
      </c>
      <c r="M312" s="66">
        <f>INDEX(Projects[Mech Eng (wks)],311)</f>
        <v/>
      </c>
      <c r="N312" s="66">
        <f>INDEX(Projects[Controls Eng (wks)],311)</f>
        <v/>
      </c>
      <c r="O312" s="66">
        <f>INDEX(Projects[Systems Eng (wks)],311)</f>
        <v/>
      </c>
      <c r="P312" s="66">
        <f>INDEX(Projects[Software Eng (wks)],311)</f>
        <v/>
      </c>
      <c r="Q312" s="66">
        <f>INDEX(Projects[M&amp;E Installation (wks)],311)</f>
        <v/>
      </c>
      <c r="R312" s="66">
        <f>INDEX(Projects[Commissioning (wks)],311)</f>
        <v/>
      </c>
      <c r="S312" s="66">
        <f>INDEX(Projects[Total Timeline (wks)],311)</f>
        <v/>
      </c>
      <c r="T312" s="66">
        <f>INDEX(Projects[Currency],311)&amp;""</f>
        <v/>
      </c>
      <c r="U312" s="67">
        <f>INDEX(Projects[Value (M)],311)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INDEX(Projects[Automation Equipment],311)&amp;""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IF(AND(A312&lt;&gt;"",OR('Smart Search'!$L$5="",'Smart Search'!$L$5="All",TRIM(BZ312)=TRIM('Smart Search'!$L$5)),OR(TRIM('Smart Search'!$L$6)="",TRIM('Smart Search'!$L$6)="All",ISNUMBER(SEARCH(SUBSTITUTE(SUBSTITUTE(SUBSTITUTE(TRIM('Smart Search'!$L$6),"~","~~"),"*","~*"),"?","~?"),CA312))),OR('Smart Search'!$L$7="",AND(CB312&lt;&gt;0,CB312='Smart Search'!$L$7)),OR('Smart Search'!$L$8="",'Smart Search'!$L$8="All",TRIM(CC312)=TRIM('Smart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IF(A312="","",N(INDEX(Projects[Mech Inst],311)))</f>
        <v/>
      </c>
      <c r="BK312" s="5">
        <f>IF(A312="","",N(INDEX(Projects[Elec Inst],311)))</f>
        <v/>
      </c>
      <c r="BL312" s="5">
        <f>IF(A312="","",N(INDEX(Projects[Project Management],311)))</f>
        <v/>
      </c>
      <c r="BM312" s="5">
        <f>IF(A312="","",N(INDEX(Projects[Systems Eng],311)))</f>
        <v/>
      </c>
      <c r="BN312" s="5">
        <f>IF(A312="","",N(INDEX(Projects[Mechanical Eng],311)))</f>
        <v/>
      </c>
      <c r="BO312" s="5">
        <f>IF(A312="","",N(INDEX(Projects[Structural Engineering],311)))</f>
        <v/>
      </c>
      <c r="BP312" s="5">
        <f>IF(A312="","",N(INDEX(Projects[Site Sup],311)))</f>
        <v/>
      </c>
      <c r="BQ312" s="5">
        <f>IF(A312="","",N(INDEX(Projects[Controls Commissioning],311)))</f>
        <v/>
      </c>
      <c r="BR312" s="5">
        <f>IF(A312="","",N(INDEX(Projects[Systems Commissioning],311)))</f>
        <v/>
      </c>
      <c r="BS312" s="5">
        <f>IF(A312="","",N(INDEX(Projects[Service Commissioning],311)))</f>
        <v/>
      </c>
      <c r="BT312" s="5">
        <f>IF(A312="","",N(INDEX(Projects[Controls Eng],311)))</f>
        <v/>
      </c>
      <c r="BU312" s="5">
        <f>IF(A312="","",N(INDEX(Projects[Controls Purchase],311)))</f>
        <v/>
      </c>
      <c r="BV312" s="5">
        <f>IF(A312="","",N(INDEX(Projects[Software Eng],311)))</f>
        <v/>
      </c>
      <c r="BW312" s="5">
        <f>IF(A312="","",N(INDEX(Projects[Misc],311)))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  <c r="BZ312" s="5">
        <f>INDEX(Projects[Solution Type],311)&amp;""</f>
        <v/>
      </c>
      <c r="CA312" s="5">
        <f>INDEX(Projects[Client / Region],311)&amp;""</f>
        <v/>
      </c>
      <c r="CB312" s="5">
        <f>INDEX(Projects[Year],311)</f>
        <v/>
      </c>
      <c r="CC312" s="5">
        <f>INDEX(Projects[Won?],311)&amp;""</f>
        <v/>
      </c>
      <c r="CD312" s="5">
        <f>INDEX(Projects[Value (USD M)],311)</f>
        <v/>
      </c>
      <c r="CE312" s="5">
        <f>INDEX(Projects[MH Data Status],311)&amp;""</f>
        <v/>
      </c>
    </row>
    <row r="313" ht="15" customHeight="1" s="74">
      <c r="A313" s="66">
        <f>INDEX(Projects[Project ID *],312)&amp;""</f>
        <v/>
      </c>
      <c r="B313" s="66">
        <f>INDEX(Projects[Project Name *],312)&amp;""</f>
        <v/>
      </c>
      <c r="C313" s="66">
        <f>INDEX(Projects[MS Shuttles],312)</f>
        <v/>
      </c>
      <c r="D313" s="66">
        <f>INDEX(Projects[MS Tote Locations],312)</f>
        <v/>
      </c>
      <c r="E313" s="66">
        <f>INDEX(Projects[AS Robots],312)</f>
        <v/>
      </c>
      <c r="F313" s="66">
        <f>INDEX(Projects[AS Tote Locations],312)</f>
        <v/>
      </c>
      <c r="G313" s="66">
        <f>INDEX(Projects[PS Shuttles],312)</f>
        <v/>
      </c>
      <c r="H313" s="66">
        <f>INDEX(Projects[PS Pallet Locations],312)</f>
        <v/>
      </c>
      <c r="I313" s="66">
        <f>INDEX(Projects[SRM Cranes],312)</f>
        <v/>
      </c>
      <c r="J313" s="66">
        <f>INDEX(Projects[SRM Pallet Locations],312)</f>
        <v/>
      </c>
      <c r="K313" s="66">
        <f>INDEX(Projects[Case Conv (m)],312)</f>
        <v/>
      </c>
      <c r="L313" s="66">
        <f>INDEX(Projects[Pallet Conv (m)],312)</f>
        <v/>
      </c>
      <c r="M313" s="66">
        <f>INDEX(Projects[Mech Eng (wks)],312)</f>
        <v/>
      </c>
      <c r="N313" s="66">
        <f>INDEX(Projects[Controls Eng (wks)],312)</f>
        <v/>
      </c>
      <c r="O313" s="66">
        <f>INDEX(Projects[Systems Eng (wks)],312)</f>
        <v/>
      </c>
      <c r="P313" s="66">
        <f>INDEX(Projects[Software Eng (wks)],312)</f>
        <v/>
      </c>
      <c r="Q313" s="66">
        <f>INDEX(Projects[M&amp;E Installation (wks)],312)</f>
        <v/>
      </c>
      <c r="R313" s="66">
        <f>INDEX(Projects[Commissioning (wks)],312)</f>
        <v/>
      </c>
      <c r="S313" s="66">
        <f>INDEX(Projects[Total Timeline (wks)],312)</f>
        <v/>
      </c>
      <c r="T313" s="66">
        <f>INDEX(Projects[Currency],312)&amp;""</f>
        <v/>
      </c>
      <c r="U313" s="67">
        <f>INDEX(Projects[Value (M)],312)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INDEX(Projects[Automation Equipment],312)&amp;""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IF(AND(A313&lt;&gt;"",OR('Smart Search'!$L$5="",'Smart Search'!$L$5="All",TRIM(BZ313)=TRIM('Smart Search'!$L$5)),OR(TRIM('Smart Search'!$L$6)="",TRIM('Smart Search'!$L$6)="All",ISNUMBER(SEARCH(SUBSTITUTE(SUBSTITUTE(SUBSTITUTE(TRIM('Smart Search'!$L$6),"~","~~"),"*","~*"),"?","~?"),CA313))),OR('Smart Search'!$L$7="",AND(CB313&lt;&gt;0,CB313='Smart Search'!$L$7)),OR('Smart Search'!$L$8="",'Smart Search'!$L$8="All",TRIM(CC313)=TRIM('Smart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IF(A313="","",N(INDEX(Projects[Mech Inst],312)))</f>
        <v/>
      </c>
      <c r="BK313" s="5">
        <f>IF(A313="","",N(INDEX(Projects[Elec Inst],312)))</f>
        <v/>
      </c>
      <c r="BL313" s="5">
        <f>IF(A313="","",N(INDEX(Projects[Project Management],312)))</f>
        <v/>
      </c>
      <c r="BM313" s="5">
        <f>IF(A313="","",N(INDEX(Projects[Systems Eng],312)))</f>
        <v/>
      </c>
      <c r="BN313" s="5">
        <f>IF(A313="","",N(INDEX(Projects[Mechanical Eng],312)))</f>
        <v/>
      </c>
      <c r="BO313" s="5">
        <f>IF(A313="","",N(INDEX(Projects[Structural Engineering],312)))</f>
        <v/>
      </c>
      <c r="BP313" s="5">
        <f>IF(A313="","",N(INDEX(Projects[Site Sup],312)))</f>
        <v/>
      </c>
      <c r="BQ313" s="5">
        <f>IF(A313="","",N(INDEX(Projects[Controls Commissioning],312)))</f>
        <v/>
      </c>
      <c r="BR313" s="5">
        <f>IF(A313="","",N(INDEX(Projects[Systems Commissioning],312)))</f>
        <v/>
      </c>
      <c r="BS313" s="5">
        <f>IF(A313="","",N(INDEX(Projects[Service Commissioning],312)))</f>
        <v/>
      </c>
      <c r="BT313" s="5">
        <f>IF(A313="","",N(INDEX(Projects[Controls Eng],312)))</f>
        <v/>
      </c>
      <c r="BU313" s="5">
        <f>IF(A313="","",N(INDEX(Projects[Controls Purchase],312)))</f>
        <v/>
      </c>
      <c r="BV313" s="5">
        <f>IF(A313="","",N(INDEX(Projects[Software Eng],312)))</f>
        <v/>
      </c>
      <c r="BW313" s="5">
        <f>IF(A313="","",N(INDEX(Projects[Misc],312)))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  <c r="BZ313" s="5">
        <f>INDEX(Projects[Solution Type],312)&amp;""</f>
        <v/>
      </c>
      <c r="CA313" s="5">
        <f>INDEX(Projects[Client / Region],312)&amp;""</f>
        <v/>
      </c>
      <c r="CB313" s="5">
        <f>INDEX(Projects[Year],312)</f>
        <v/>
      </c>
      <c r="CC313" s="5">
        <f>INDEX(Projects[Won?],312)&amp;""</f>
        <v/>
      </c>
      <c r="CD313" s="5">
        <f>INDEX(Projects[Value (USD M)],312)</f>
        <v/>
      </c>
      <c r="CE313" s="5">
        <f>INDEX(Projects[MH Data Status],312)&amp;""</f>
        <v/>
      </c>
    </row>
    <row r="314" ht="15" customHeight="1" s="74">
      <c r="A314" s="66">
        <f>INDEX(Projects[Project ID *],313)&amp;""</f>
        <v/>
      </c>
      <c r="B314" s="66">
        <f>INDEX(Projects[Project Name *],313)&amp;""</f>
        <v/>
      </c>
      <c r="C314" s="66">
        <f>INDEX(Projects[MS Shuttles],313)</f>
        <v/>
      </c>
      <c r="D314" s="66">
        <f>INDEX(Projects[MS Tote Locations],313)</f>
        <v/>
      </c>
      <c r="E314" s="66">
        <f>INDEX(Projects[AS Robots],313)</f>
        <v/>
      </c>
      <c r="F314" s="66">
        <f>INDEX(Projects[AS Tote Locations],313)</f>
        <v/>
      </c>
      <c r="G314" s="66">
        <f>INDEX(Projects[PS Shuttles],313)</f>
        <v/>
      </c>
      <c r="H314" s="66">
        <f>INDEX(Projects[PS Pallet Locations],313)</f>
        <v/>
      </c>
      <c r="I314" s="66">
        <f>INDEX(Projects[SRM Cranes],313)</f>
        <v/>
      </c>
      <c r="J314" s="66">
        <f>INDEX(Projects[SRM Pallet Locations],313)</f>
        <v/>
      </c>
      <c r="K314" s="66">
        <f>INDEX(Projects[Case Conv (m)],313)</f>
        <v/>
      </c>
      <c r="L314" s="66">
        <f>INDEX(Projects[Pallet Conv (m)],313)</f>
        <v/>
      </c>
      <c r="M314" s="66">
        <f>INDEX(Projects[Mech Eng (wks)],313)</f>
        <v/>
      </c>
      <c r="N314" s="66">
        <f>INDEX(Projects[Controls Eng (wks)],313)</f>
        <v/>
      </c>
      <c r="O314" s="66">
        <f>INDEX(Projects[Systems Eng (wks)],313)</f>
        <v/>
      </c>
      <c r="P314" s="66">
        <f>INDEX(Projects[Software Eng (wks)],313)</f>
        <v/>
      </c>
      <c r="Q314" s="66">
        <f>INDEX(Projects[M&amp;E Installation (wks)],313)</f>
        <v/>
      </c>
      <c r="R314" s="66">
        <f>INDEX(Projects[Commissioning (wks)],313)</f>
        <v/>
      </c>
      <c r="S314" s="66">
        <f>INDEX(Projects[Total Timeline (wks)],313)</f>
        <v/>
      </c>
      <c r="T314" s="66">
        <f>INDEX(Projects[Currency],313)&amp;""</f>
        <v/>
      </c>
      <c r="U314" s="67">
        <f>INDEX(Projects[Value (M)],313)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INDEX(Projects[Automation Equipment],313)&amp;""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IF(AND(A314&lt;&gt;"",OR('Smart Search'!$L$5="",'Smart Search'!$L$5="All",TRIM(BZ314)=TRIM('Smart Search'!$L$5)),OR(TRIM('Smart Search'!$L$6)="",TRIM('Smart Search'!$L$6)="All",ISNUMBER(SEARCH(SUBSTITUTE(SUBSTITUTE(SUBSTITUTE(TRIM('Smart Search'!$L$6),"~","~~"),"*","~*"),"?","~?"),CA314))),OR('Smart Search'!$L$7="",AND(CB314&lt;&gt;0,CB314='Smart Search'!$L$7)),OR('Smart Search'!$L$8="",'Smart Search'!$L$8="All",TRIM(CC314)=TRIM('Smart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IF(A314="","",N(INDEX(Projects[Mech Inst],313)))</f>
        <v/>
      </c>
      <c r="BK314" s="5">
        <f>IF(A314="","",N(INDEX(Projects[Elec Inst],313)))</f>
        <v/>
      </c>
      <c r="BL314" s="5">
        <f>IF(A314="","",N(INDEX(Projects[Project Management],313)))</f>
        <v/>
      </c>
      <c r="BM314" s="5">
        <f>IF(A314="","",N(INDEX(Projects[Systems Eng],313)))</f>
        <v/>
      </c>
      <c r="BN314" s="5">
        <f>IF(A314="","",N(INDEX(Projects[Mechanical Eng],313)))</f>
        <v/>
      </c>
      <c r="BO314" s="5">
        <f>IF(A314="","",N(INDEX(Projects[Structural Engineering],313)))</f>
        <v/>
      </c>
      <c r="BP314" s="5">
        <f>IF(A314="","",N(INDEX(Projects[Site Sup],313)))</f>
        <v/>
      </c>
      <c r="BQ314" s="5">
        <f>IF(A314="","",N(INDEX(Projects[Controls Commissioning],313)))</f>
        <v/>
      </c>
      <c r="BR314" s="5">
        <f>IF(A314="","",N(INDEX(Projects[Systems Commissioning],313)))</f>
        <v/>
      </c>
      <c r="BS314" s="5">
        <f>IF(A314="","",N(INDEX(Projects[Service Commissioning],313)))</f>
        <v/>
      </c>
      <c r="BT314" s="5">
        <f>IF(A314="","",N(INDEX(Projects[Controls Eng],313)))</f>
        <v/>
      </c>
      <c r="BU314" s="5">
        <f>IF(A314="","",N(INDEX(Projects[Controls Purchase],313)))</f>
        <v/>
      </c>
      <c r="BV314" s="5">
        <f>IF(A314="","",N(INDEX(Projects[Software Eng],313)))</f>
        <v/>
      </c>
      <c r="BW314" s="5">
        <f>IF(A314="","",N(INDEX(Projects[Misc],313)))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  <c r="BZ314" s="5">
        <f>INDEX(Projects[Solution Type],313)&amp;""</f>
        <v/>
      </c>
      <c r="CA314" s="5">
        <f>INDEX(Projects[Client / Region],313)&amp;""</f>
        <v/>
      </c>
      <c r="CB314" s="5">
        <f>INDEX(Projects[Year],313)</f>
        <v/>
      </c>
      <c r="CC314" s="5">
        <f>INDEX(Projects[Won?],313)&amp;""</f>
        <v/>
      </c>
      <c r="CD314" s="5">
        <f>INDEX(Projects[Value (USD M)],313)</f>
        <v/>
      </c>
      <c r="CE314" s="5">
        <f>INDEX(Projects[MH Data Status],313)&amp;""</f>
        <v/>
      </c>
    </row>
    <row r="315" ht="15" customHeight="1" s="74">
      <c r="A315" s="66">
        <f>INDEX(Projects[Project ID *],314)&amp;""</f>
        <v/>
      </c>
      <c r="B315" s="66">
        <f>INDEX(Projects[Project Name *],314)&amp;""</f>
        <v/>
      </c>
      <c r="C315" s="66">
        <f>INDEX(Projects[MS Shuttles],314)</f>
        <v/>
      </c>
      <c r="D315" s="66">
        <f>INDEX(Projects[MS Tote Locations],314)</f>
        <v/>
      </c>
      <c r="E315" s="66">
        <f>INDEX(Projects[AS Robots],314)</f>
        <v/>
      </c>
      <c r="F315" s="66">
        <f>INDEX(Projects[AS Tote Locations],314)</f>
        <v/>
      </c>
      <c r="G315" s="66">
        <f>INDEX(Projects[PS Shuttles],314)</f>
        <v/>
      </c>
      <c r="H315" s="66">
        <f>INDEX(Projects[PS Pallet Locations],314)</f>
        <v/>
      </c>
      <c r="I315" s="66">
        <f>INDEX(Projects[SRM Cranes],314)</f>
        <v/>
      </c>
      <c r="J315" s="66">
        <f>INDEX(Projects[SRM Pallet Locations],314)</f>
        <v/>
      </c>
      <c r="K315" s="66">
        <f>INDEX(Projects[Case Conv (m)],314)</f>
        <v/>
      </c>
      <c r="L315" s="66">
        <f>INDEX(Projects[Pallet Conv (m)],314)</f>
        <v/>
      </c>
      <c r="M315" s="66">
        <f>INDEX(Projects[Mech Eng (wks)],314)</f>
        <v/>
      </c>
      <c r="N315" s="66">
        <f>INDEX(Projects[Controls Eng (wks)],314)</f>
        <v/>
      </c>
      <c r="O315" s="66">
        <f>INDEX(Projects[Systems Eng (wks)],314)</f>
        <v/>
      </c>
      <c r="P315" s="66">
        <f>INDEX(Projects[Software Eng (wks)],314)</f>
        <v/>
      </c>
      <c r="Q315" s="66">
        <f>INDEX(Projects[M&amp;E Installation (wks)],314)</f>
        <v/>
      </c>
      <c r="R315" s="66">
        <f>INDEX(Projects[Commissioning (wks)],314)</f>
        <v/>
      </c>
      <c r="S315" s="66">
        <f>INDEX(Projects[Total Timeline (wks)],314)</f>
        <v/>
      </c>
      <c r="T315" s="66">
        <f>INDEX(Projects[Currency],314)&amp;""</f>
        <v/>
      </c>
      <c r="U315" s="67">
        <f>INDEX(Projects[Value (M)],314)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INDEX(Projects[Automation Equipment],314)&amp;""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IF(AND(A315&lt;&gt;"",OR('Smart Search'!$L$5="",'Smart Search'!$L$5="All",TRIM(BZ315)=TRIM('Smart Search'!$L$5)),OR(TRIM('Smart Search'!$L$6)="",TRIM('Smart Search'!$L$6)="All",ISNUMBER(SEARCH(SUBSTITUTE(SUBSTITUTE(SUBSTITUTE(TRIM('Smart Search'!$L$6),"~","~~"),"*","~*"),"?","~?"),CA315))),OR('Smart Search'!$L$7="",AND(CB315&lt;&gt;0,CB315='Smart Search'!$L$7)),OR('Smart Search'!$L$8="",'Smart Search'!$L$8="All",TRIM(CC315)=TRIM('Smart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IF(A315="","",N(INDEX(Projects[Mech Inst],314)))</f>
        <v/>
      </c>
      <c r="BK315" s="5">
        <f>IF(A315="","",N(INDEX(Projects[Elec Inst],314)))</f>
        <v/>
      </c>
      <c r="BL315" s="5">
        <f>IF(A315="","",N(INDEX(Projects[Project Management],314)))</f>
        <v/>
      </c>
      <c r="BM315" s="5">
        <f>IF(A315="","",N(INDEX(Projects[Systems Eng],314)))</f>
        <v/>
      </c>
      <c r="BN315" s="5">
        <f>IF(A315="","",N(INDEX(Projects[Mechanical Eng],314)))</f>
        <v/>
      </c>
      <c r="BO315" s="5">
        <f>IF(A315="","",N(INDEX(Projects[Structural Engineering],314)))</f>
        <v/>
      </c>
      <c r="BP315" s="5">
        <f>IF(A315="","",N(INDEX(Projects[Site Sup],314)))</f>
        <v/>
      </c>
      <c r="BQ315" s="5">
        <f>IF(A315="","",N(INDEX(Projects[Controls Commissioning],314)))</f>
        <v/>
      </c>
      <c r="BR315" s="5">
        <f>IF(A315="","",N(INDEX(Projects[Systems Commissioning],314)))</f>
        <v/>
      </c>
      <c r="BS315" s="5">
        <f>IF(A315="","",N(INDEX(Projects[Service Commissioning],314)))</f>
        <v/>
      </c>
      <c r="BT315" s="5">
        <f>IF(A315="","",N(INDEX(Projects[Controls Eng],314)))</f>
        <v/>
      </c>
      <c r="BU315" s="5">
        <f>IF(A315="","",N(INDEX(Projects[Controls Purchase],314)))</f>
        <v/>
      </c>
      <c r="BV315" s="5">
        <f>IF(A315="","",N(INDEX(Projects[Software Eng],314)))</f>
        <v/>
      </c>
      <c r="BW315" s="5">
        <f>IF(A315="","",N(INDEX(Projects[Misc],314)))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  <c r="BZ315" s="5">
        <f>INDEX(Projects[Solution Type],314)&amp;""</f>
        <v/>
      </c>
      <c r="CA315" s="5">
        <f>INDEX(Projects[Client / Region],314)&amp;""</f>
        <v/>
      </c>
      <c r="CB315" s="5">
        <f>INDEX(Projects[Year],314)</f>
        <v/>
      </c>
      <c r="CC315" s="5">
        <f>INDEX(Projects[Won?],314)&amp;""</f>
        <v/>
      </c>
      <c r="CD315" s="5">
        <f>INDEX(Projects[Value (USD M)],314)</f>
        <v/>
      </c>
      <c r="CE315" s="5">
        <f>INDEX(Projects[MH Data Status],314)&amp;""</f>
        <v/>
      </c>
    </row>
    <row r="316" ht="15" customHeight="1" s="74">
      <c r="A316" s="66">
        <f>INDEX(Projects[Project ID *],315)&amp;""</f>
        <v/>
      </c>
      <c r="B316" s="66">
        <f>INDEX(Projects[Project Name *],315)&amp;""</f>
        <v/>
      </c>
      <c r="C316" s="66">
        <f>INDEX(Projects[MS Shuttles],315)</f>
        <v/>
      </c>
      <c r="D316" s="66">
        <f>INDEX(Projects[MS Tote Locations],315)</f>
        <v/>
      </c>
      <c r="E316" s="66">
        <f>INDEX(Projects[AS Robots],315)</f>
        <v/>
      </c>
      <c r="F316" s="66">
        <f>INDEX(Projects[AS Tote Locations],315)</f>
        <v/>
      </c>
      <c r="G316" s="66">
        <f>INDEX(Projects[PS Shuttles],315)</f>
        <v/>
      </c>
      <c r="H316" s="66">
        <f>INDEX(Projects[PS Pallet Locations],315)</f>
        <v/>
      </c>
      <c r="I316" s="66">
        <f>INDEX(Projects[SRM Cranes],315)</f>
        <v/>
      </c>
      <c r="J316" s="66">
        <f>INDEX(Projects[SRM Pallet Locations],315)</f>
        <v/>
      </c>
      <c r="K316" s="66">
        <f>INDEX(Projects[Case Conv (m)],315)</f>
        <v/>
      </c>
      <c r="L316" s="66">
        <f>INDEX(Projects[Pallet Conv (m)],315)</f>
        <v/>
      </c>
      <c r="M316" s="66">
        <f>INDEX(Projects[Mech Eng (wks)],315)</f>
        <v/>
      </c>
      <c r="N316" s="66">
        <f>INDEX(Projects[Controls Eng (wks)],315)</f>
        <v/>
      </c>
      <c r="O316" s="66">
        <f>INDEX(Projects[Systems Eng (wks)],315)</f>
        <v/>
      </c>
      <c r="P316" s="66">
        <f>INDEX(Projects[Software Eng (wks)],315)</f>
        <v/>
      </c>
      <c r="Q316" s="66">
        <f>INDEX(Projects[M&amp;E Installation (wks)],315)</f>
        <v/>
      </c>
      <c r="R316" s="66">
        <f>INDEX(Projects[Commissioning (wks)],315)</f>
        <v/>
      </c>
      <c r="S316" s="66">
        <f>INDEX(Projects[Total Timeline (wks)],315)</f>
        <v/>
      </c>
      <c r="T316" s="66">
        <f>INDEX(Projects[Currency],315)&amp;""</f>
        <v/>
      </c>
      <c r="U316" s="67">
        <f>INDEX(Projects[Value (M)],315)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INDEX(Projects[Automation Equipment],315)&amp;""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IF(AND(A316&lt;&gt;"",OR('Smart Search'!$L$5="",'Smart Search'!$L$5="All",TRIM(BZ316)=TRIM('Smart Search'!$L$5)),OR(TRIM('Smart Search'!$L$6)="",TRIM('Smart Search'!$L$6)="All",ISNUMBER(SEARCH(SUBSTITUTE(SUBSTITUTE(SUBSTITUTE(TRIM('Smart Search'!$L$6),"~","~~"),"*","~*"),"?","~?"),CA316))),OR('Smart Search'!$L$7="",AND(CB316&lt;&gt;0,CB316='Smart Search'!$L$7)),OR('Smart Search'!$L$8="",'Smart Search'!$L$8="All",TRIM(CC316)=TRIM('Smart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IF(A316="","",N(INDEX(Projects[Mech Inst],315)))</f>
        <v/>
      </c>
      <c r="BK316" s="5">
        <f>IF(A316="","",N(INDEX(Projects[Elec Inst],315)))</f>
        <v/>
      </c>
      <c r="BL316" s="5">
        <f>IF(A316="","",N(INDEX(Projects[Project Management],315)))</f>
        <v/>
      </c>
      <c r="BM316" s="5">
        <f>IF(A316="","",N(INDEX(Projects[Systems Eng],315)))</f>
        <v/>
      </c>
      <c r="BN316" s="5">
        <f>IF(A316="","",N(INDEX(Projects[Mechanical Eng],315)))</f>
        <v/>
      </c>
      <c r="BO316" s="5">
        <f>IF(A316="","",N(INDEX(Projects[Structural Engineering],315)))</f>
        <v/>
      </c>
      <c r="BP316" s="5">
        <f>IF(A316="","",N(INDEX(Projects[Site Sup],315)))</f>
        <v/>
      </c>
      <c r="BQ316" s="5">
        <f>IF(A316="","",N(INDEX(Projects[Controls Commissioning],315)))</f>
        <v/>
      </c>
      <c r="BR316" s="5">
        <f>IF(A316="","",N(INDEX(Projects[Systems Commissioning],315)))</f>
        <v/>
      </c>
      <c r="BS316" s="5">
        <f>IF(A316="","",N(INDEX(Projects[Service Commissioning],315)))</f>
        <v/>
      </c>
      <c r="BT316" s="5">
        <f>IF(A316="","",N(INDEX(Projects[Controls Eng],315)))</f>
        <v/>
      </c>
      <c r="BU316" s="5">
        <f>IF(A316="","",N(INDEX(Projects[Controls Purchase],315)))</f>
        <v/>
      </c>
      <c r="BV316" s="5">
        <f>IF(A316="","",N(INDEX(Projects[Software Eng],315)))</f>
        <v/>
      </c>
      <c r="BW316" s="5">
        <f>IF(A316="","",N(INDEX(Projects[Misc],315)))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  <c r="BZ316" s="5">
        <f>INDEX(Projects[Solution Type],315)&amp;""</f>
        <v/>
      </c>
      <c r="CA316" s="5">
        <f>INDEX(Projects[Client / Region],315)&amp;""</f>
        <v/>
      </c>
      <c r="CB316" s="5">
        <f>INDEX(Projects[Year],315)</f>
        <v/>
      </c>
      <c r="CC316" s="5">
        <f>INDEX(Projects[Won?],315)&amp;""</f>
        <v/>
      </c>
      <c r="CD316" s="5">
        <f>INDEX(Projects[Value (USD M)],315)</f>
        <v/>
      </c>
      <c r="CE316" s="5">
        <f>INDEX(Projects[MH Data Status],315)&amp;""</f>
        <v/>
      </c>
    </row>
    <row r="317" ht="15" customHeight="1" s="74">
      <c r="A317" s="66">
        <f>INDEX(Projects[Project ID *],316)&amp;""</f>
        <v/>
      </c>
      <c r="B317" s="66">
        <f>INDEX(Projects[Project Name *],316)&amp;""</f>
        <v/>
      </c>
      <c r="C317" s="66">
        <f>INDEX(Projects[MS Shuttles],316)</f>
        <v/>
      </c>
      <c r="D317" s="66">
        <f>INDEX(Projects[MS Tote Locations],316)</f>
        <v/>
      </c>
      <c r="E317" s="66">
        <f>INDEX(Projects[AS Robots],316)</f>
        <v/>
      </c>
      <c r="F317" s="66">
        <f>INDEX(Projects[AS Tote Locations],316)</f>
        <v/>
      </c>
      <c r="G317" s="66">
        <f>INDEX(Projects[PS Shuttles],316)</f>
        <v/>
      </c>
      <c r="H317" s="66">
        <f>INDEX(Projects[PS Pallet Locations],316)</f>
        <v/>
      </c>
      <c r="I317" s="66">
        <f>INDEX(Projects[SRM Cranes],316)</f>
        <v/>
      </c>
      <c r="J317" s="66">
        <f>INDEX(Projects[SRM Pallet Locations],316)</f>
        <v/>
      </c>
      <c r="K317" s="66">
        <f>INDEX(Projects[Case Conv (m)],316)</f>
        <v/>
      </c>
      <c r="L317" s="66">
        <f>INDEX(Projects[Pallet Conv (m)],316)</f>
        <v/>
      </c>
      <c r="M317" s="66">
        <f>INDEX(Projects[Mech Eng (wks)],316)</f>
        <v/>
      </c>
      <c r="N317" s="66">
        <f>INDEX(Projects[Controls Eng (wks)],316)</f>
        <v/>
      </c>
      <c r="O317" s="66">
        <f>INDEX(Projects[Systems Eng (wks)],316)</f>
        <v/>
      </c>
      <c r="P317" s="66">
        <f>INDEX(Projects[Software Eng (wks)],316)</f>
        <v/>
      </c>
      <c r="Q317" s="66">
        <f>INDEX(Projects[M&amp;E Installation (wks)],316)</f>
        <v/>
      </c>
      <c r="R317" s="66">
        <f>INDEX(Projects[Commissioning (wks)],316)</f>
        <v/>
      </c>
      <c r="S317" s="66">
        <f>INDEX(Projects[Total Timeline (wks)],316)</f>
        <v/>
      </c>
      <c r="T317" s="66">
        <f>INDEX(Projects[Currency],316)&amp;""</f>
        <v/>
      </c>
      <c r="U317" s="67">
        <f>INDEX(Projects[Value (M)],316)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INDEX(Projects[Automation Equipment],316)&amp;""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IF(AND(A317&lt;&gt;"",OR('Smart Search'!$L$5="",'Smart Search'!$L$5="All",TRIM(BZ317)=TRIM('Smart Search'!$L$5)),OR(TRIM('Smart Search'!$L$6)="",TRIM('Smart Search'!$L$6)="All",ISNUMBER(SEARCH(SUBSTITUTE(SUBSTITUTE(SUBSTITUTE(TRIM('Smart Search'!$L$6),"~","~~"),"*","~*"),"?","~?"),CA317))),OR('Smart Search'!$L$7="",AND(CB317&lt;&gt;0,CB317='Smart Search'!$L$7)),OR('Smart Search'!$L$8="",'Smart Search'!$L$8="All",TRIM(CC317)=TRIM('Smart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IF(A317="","",N(INDEX(Projects[Mech Inst],316)))</f>
        <v/>
      </c>
      <c r="BK317" s="5">
        <f>IF(A317="","",N(INDEX(Projects[Elec Inst],316)))</f>
        <v/>
      </c>
      <c r="BL317" s="5">
        <f>IF(A317="","",N(INDEX(Projects[Project Management],316)))</f>
        <v/>
      </c>
      <c r="BM317" s="5">
        <f>IF(A317="","",N(INDEX(Projects[Systems Eng],316)))</f>
        <v/>
      </c>
      <c r="BN317" s="5">
        <f>IF(A317="","",N(INDEX(Projects[Mechanical Eng],316)))</f>
        <v/>
      </c>
      <c r="BO317" s="5">
        <f>IF(A317="","",N(INDEX(Projects[Structural Engineering],316)))</f>
        <v/>
      </c>
      <c r="BP317" s="5">
        <f>IF(A317="","",N(INDEX(Projects[Site Sup],316)))</f>
        <v/>
      </c>
      <c r="BQ317" s="5">
        <f>IF(A317="","",N(INDEX(Projects[Controls Commissioning],316)))</f>
        <v/>
      </c>
      <c r="BR317" s="5">
        <f>IF(A317="","",N(INDEX(Projects[Systems Commissioning],316)))</f>
        <v/>
      </c>
      <c r="BS317" s="5">
        <f>IF(A317="","",N(INDEX(Projects[Service Commissioning],316)))</f>
        <v/>
      </c>
      <c r="BT317" s="5">
        <f>IF(A317="","",N(INDEX(Projects[Controls Eng],316)))</f>
        <v/>
      </c>
      <c r="BU317" s="5">
        <f>IF(A317="","",N(INDEX(Projects[Controls Purchase],316)))</f>
        <v/>
      </c>
      <c r="BV317" s="5">
        <f>IF(A317="","",N(INDEX(Projects[Software Eng],316)))</f>
        <v/>
      </c>
      <c r="BW317" s="5">
        <f>IF(A317="","",N(INDEX(Projects[Misc],316)))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  <c r="BZ317" s="5">
        <f>INDEX(Projects[Solution Type],316)&amp;""</f>
        <v/>
      </c>
      <c r="CA317" s="5">
        <f>INDEX(Projects[Client / Region],316)&amp;""</f>
        <v/>
      </c>
      <c r="CB317" s="5">
        <f>INDEX(Projects[Year],316)</f>
        <v/>
      </c>
      <c r="CC317" s="5">
        <f>INDEX(Projects[Won?],316)&amp;""</f>
        <v/>
      </c>
      <c r="CD317" s="5">
        <f>INDEX(Projects[Value (USD M)],316)</f>
        <v/>
      </c>
      <c r="CE317" s="5">
        <f>INDEX(Projects[MH Data Status],316)&amp;""</f>
        <v/>
      </c>
    </row>
    <row r="318" ht="15" customHeight="1" s="74">
      <c r="A318" s="66">
        <f>INDEX(Projects[Project ID *],317)&amp;""</f>
        <v/>
      </c>
      <c r="B318" s="66">
        <f>INDEX(Projects[Project Name *],317)&amp;""</f>
        <v/>
      </c>
      <c r="C318" s="66">
        <f>INDEX(Projects[MS Shuttles],317)</f>
        <v/>
      </c>
      <c r="D318" s="66">
        <f>INDEX(Projects[MS Tote Locations],317)</f>
        <v/>
      </c>
      <c r="E318" s="66">
        <f>INDEX(Projects[AS Robots],317)</f>
        <v/>
      </c>
      <c r="F318" s="66">
        <f>INDEX(Projects[AS Tote Locations],317)</f>
        <v/>
      </c>
      <c r="G318" s="66">
        <f>INDEX(Projects[PS Shuttles],317)</f>
        <v/>
      </c>
      <c r="H318" s="66">
        <f>INDEX(Projects[PS Pallet Locations],317)</f>
        <v/>
      </c>
      <c r="I318" s="66">
        <f>INDEX(Projects[SRM Cranes],317)</f>
        <v/>
      </c>
      <c r="J318" s="66">
        <f>INDEX(Projects[SRM Pallet Locations],317)</f>
        <v/>
      </c>
      <c r="K318" s="66">
        <f>INDEX(Projects[Case Conv (m)],317)</f>
        <v/>
      </c>
      <c r="L318" s="66">
        <f>INDEX(Projects[Pallet Conv (m)],317)</f>
        <v/>
      </c>
      <c r="M318" s="66">
        <f>INDEX(Projects[Mech Eng (wks)],317)</f>
        <v/>
      </c>
      <c r="N318" s="66">
        <f>INDEX(Projects[Controls Eng (wks)],317)</f>
        <v/>
      </c>
      <c r="O318" s="66">
        <f>INDEX(Projects[Systems Eng (wks)],317)</f>
        <v/>
      </c>
      <c r="P318" s="66">
        <f>INDEX(Projects[Software Eng (wks)],317)</f>
        <v/>
      </c>
      <c r="Q318" s="66">
        <f>INDEX(Projects[M&amp;E Installation (wks)],317)</f>
        <v/>
      </c>
      <c r="R318" s="66">
        <f>INDEX(Projects[Commissioning (wks)],317)</f>
        <v/>
      </c>
      <c r="S318" s="66">
        <f>INDEX(Projects[Total Timeline (wks)],317)</f>
        <v/>
      </c>
      <c r="T318" s="66">
        <f>INDEX(Projects[Currency],317)&amp;""</f>
        <v/>
      </c>
      <c r="U318" s="67">
        <f>INDEX(Projects[Value (M)],317)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INDEX(Projects[Automation Equipment],317)&amp;""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IF(AND(A318&lt;&gt;"",OR('Smart Search'!$L$5="",'Smart Search'!$L$5="All",TRIM(BZ318)=TRIM('Smart Search'!$L$5)),OR(TRIM('Smart Search'!$L$6)="",TRIM('Smart Search'!$L$6)="All",ISNUMBER(SEARCH(SUBSTITUTE(SUBSTITUTE(SUBSTITUTE(TRIM('Smart Search'!$L$6),"~","~~"),"*","~*"),"?","~?"),CA318))),OR('Smart Search'!$L$7="",AND(CB318&lt;&gt;0,CB318='Smart Search'!$L$7)),OR('Smart Search'!$L$8="",'Smart Search'!$L$8="All",TRIM(CC318)=TRIM('Smart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IF(A318="","",N(INDEX(Projects[Mech Inst],317)))</f>
        <v/>
      </c>
      <c r="BK318" s="5">
        <f>IF(A318="","",N(INDEX(Projects[Elec Inst],317)))</f>
        <v/>
      </c>
      <c r="BL318" s="5">
        <f>IF(A318="","",N(INDEX(Projects[Project Management],317)))</f>
        <v/>
      </c>
      <c r="BM318" s="5">
        <f>IF(A318="","",N(INDEX(Projects[Systems Eng],317)))</f>
        <v/>
      </c>
      <c r="BN318" s="5">
        <f>IF(A318="","",N(INDEX(Projects[Mechanical Eng],317)))</f>
        <v/>
      </c>
      <c r="BO318" s="5">
        <f>IF(A318="","",N(INDEX(Projects[Structural Engineering],317)))</f>
        <v/>
      </c>
      <c r="BP318" s="5">
        <f>IF(A318="","",N(INDEX(Projects[Site Sup],317)))</f>
        <v/>
      </c>
      <c r="BQ318" s="5">
        <f>IF(A318="","",N(INDEX(Projects[Controls Commissioning],317)))</f>
        <v/>
      </c>
      <c r="BR318" s="5">
        <f>IF(A318="","",N(INDEX(Projects[Systems Commissioning],317)))</f>
        <v/>
      </c>
      <c r="BS318" s="5">
        <f>IF(A318="","",N(INDEX(Projects[Service Commissioning],317)))</f>
        <v/>
      </c>
      <c r="BT318" s="5">
        <f>IF(A318="","",N(INDEX(Projects[Controls Eng],317)))</f>
        <v/>
      </c>
      <c r="BU318" s="5">
        <f>IF(A318="","",N(INDEX(Projects[Controls Purchase],317)))</f>
        <v/>
      </c>
      <c r="BV318" s="5">
        <f>IF(A318="","",N(INDEX(Projects[Software Eng],317)))</f>
        <v/>
      </c>
      <c r="BW318" s="5">
        <f>IF(A318="","",N(INDEX(Projects[Misc],317)))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  <c r="BZ318" s="5">
        <f>INDEX(Projects[Solution Type],317)&amp;""</f>
        <v/>
      </c>
      <c r="CA318" s="5">
        <f>INDEX(Projects[Client / Region],317)&amp;""</f>
        <v/>
      </c>
      <c r="CB318" s="5">
        <f>INDEX(Projects[Year],317)</f>
        <v/>
      </c>
      <c r="CC318" s="5">
        <f>INDEX(Projects[Won?],317)&amp;""</f>
        <v/>
      </c>
      <c r="CD318" s="5">
        <f>INDEX(Projects[Value (USD M)],317)</f>
        <v/>
      </c>
      <c r="CE318" s="5">
        <f>INDEX(Projects[MH Data Status],317)&amp;""</f>
        <v/>
      </c>
    </row>
    <row r="319" ht="15" customHeight="1" s="74">
      <c r="A319" s="66">
        <f>INDEX(Projects[Project ID *],318)&amp;""</f>
        <v/>
      </c>
      <c r="B319" s="66">
        <f>INDEX(Projects[Project Name *],318)&amp;""</f>
        <v/>
      </c>
      <c r="C319" s="66">
        <f>INDEX(Projects[MS Shuttles],318)</f>
        <v/>
      </c>
      <c r="D319" s="66">
        <f>INDEX(Projects[MS Tote Locations],318)</f>
        <v/>
      </c>
      <c r="E319" s="66">
        <f>INDEX(Projects[AS Robots],318)</f>
        <v/>
      </c>
      <c r="F319" s="66">
        <f>INDEX(Projects[AS Tote Locations],318)</f>
        <v/>
      </c>
      <c r="G319" s="66">
        <f>INDEX(Projects[PS Shuttles],318)</f>
        <v/>
      </c>
      <c r="H319" s="66">
        <f>INDEX(Projects[PS Pallet Locations],318)</f>
        <v/>
      </c>
      <c r="I319" s="66">
        <f>INDEX(Projects[SRM Cranes],318)</f>
        <v/>
      </c>
      <c r="J319" s="66">
        <f>INDEX(Projects[SRM Pallet Locations],318)</f>
        <v/>
      </c>
      <c r="K319" s="66">
        <f>INDEX(Projects[Case Conv (m)],318)</f>
        <v/>
      </c>
      <c r="L319" s="66">
        <f>INDEX(Projects[Pallet Conv (m)],318)</f>
        <v/>
      </c>
      <c r="M319" s="66">
        <f>INDEX(Projects[Mech Eng (wks)],318)</f>
        <v/>
      </c>
      <c r="N319" s="66">
        <f>INDEX(Projects[Controls Eng (wks)],318)</f>
        <v/>
      </c>
      <c r="O319" s="66">
        <f>INDEX(Projects[Systems Eng (wks)],318)</f>
        <v/>
      </c>
      <c r="P319" s="66">
        <f>INDEX(Projects[Software Eng (wks)],318)</f>
        <v/>
      </c>
      <c r="Q319" s="66">
        <f>INDEX(Projects[M&amp;E Installation (wks)],318)</f>
        <v/>
      </c>
      <c r="R319" s="66">
        <f>INDEX(Projects[Commissioning (wks)],318)</f>
        <v/>
      </c>
      <c r="S319" s="66">
        <f>INDEX(Projects[Total Timeline (wks)],318)</f>
        <v/>
      </c>
      <c r="T319" s="66">
        <f>INDEX(Projects[Currency],318)&amp;""</f>
        <v/>
      </c>
      <c r="U319" s="67">
        <f>INDEX(Projects[Value (M)],318)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INDEX(Projects[Automation Equipment],318)&amp;""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IF(AND(A319&lt;&gt;"",OR('Smart Search'!$L$5="",'Smart Search'!$L$5="All",TRIM(BZ319)=TRIM('Smart Search'!$L$5)),OR(TRIM('Smart Search'!$L$6)="",TRIM('Smart Search'!$L$6)="All",ISNUMBER(SEARCH(SUBSTITUTE(SUBSTITUTE(SUBSTITUTE(TRIM('Smart Search'!$L$6),"~","~~"),"*","~*"),"?","~?"),CA319))),OR('Smart Search'!$L$7="",AND(CB319&lt;&gt;0,CB319='Smart Search'!$L$7)),OR('Smart Search'!$L$8="",'Smart Search'!$L$8="All",TRIM(CC319)=TRIM('Smart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IF(A319="","",N(INDEX(Projects[Mech Inst],318)))</f>
        <v/>
      </c>
      <c r="BK319" s="5">
        <f>IF(A319="","",N(INDEX(Projects[Elec Inst],318)))</f>
        <v/>
      </c>
      <c r="BL319" s="5">
        <f>IF(A319="","",N(INDEX(Projects[Project Management],318)))</f>
        <v/>
      </c>
      <c r="BM319" s="5">
        <f>IF(A319="","",N(INDEX(Projects[Systems Eng],318)))</f>
        <v/>
      </c>
      <c r="BN319" s="5">
        <f>IF(A319="","",N(INDEX(Projects[Mechanical Eng],318)))</f>
        <v/>
      </c>
      <c r="BO319" s="5">
        <f>IF(A319="","",N(INDEX(Projects[Structural Engineering],318)))</f>
        <v/>
      </c>
      <c r="BP319" s="5">
        <f>IF(A319="","",N(INDEX(Projects[Site Sup],318)))</f>
        <v/>
      </c>
      <c r="BQ319" s="5">
        <f>IF(A319="","",N(INDEX(Projects[Controls Commissioning],318)))</f>
        <v/>
      </c>
      <c r="BR319" s="5">
        <f>IF(A319="","",N(INDEX(Projects[Systems Commissioning],318)))</f>
        <v/>
      </c>
      <c r="BS319" s="5">
        <f>IF(A319="","",N(INDEX(Projects[Service Commissioning],318)))</f>
        <v/>
      </c>
      <c r="BT319" s="5">
        <f>IF(A319="","",N(INDEX(Projects[Controls Eng],318)))</f>
        <v/>
      </c>
      <c r="BU319" s="5">
        <f>IF(A319="","",N(INDEX(Projects[Controls Purchase],318)))</f>
        <v/>
      </c>
      <c r="BV319" s="5">
        <f>IF(A319="","",N(INDEX(Projects[Software Eng],318)))</f>
        <v/>
      </c>
      <c r="BW319" s="5">
        <f>IF(A319="","",N(INDEX(Projects[Misc],318)))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  <c r="BZ319" s="5">
        <f>INDEX(Projects[Solution Type],318)&amp;""</f>
        <v/>
      </c>
      <c r="CA319" s="5">
        <f>INDEX(Projects[Client / Region],318)&amp;""</f>
        <v/>
      </c>
      <c r="CB319" s="5">
        <f>INDEX(Projects[Year],318)</f>
        <v/>
      </c>
      <c r="CC319" s="5">
        <f>INDEX(Projects[Won?],318)&amp;""</f>
        <v/>
      </c>
      <c r="CD319" s="5">
        <f>INDEX(Projects[Value (USD M)],318)</f>
        <v/>
      </c>
      <c r="CE319" s="5">
        <f>INDEX(Projects[MH Data Status],318)&amp;""</f>
        <v/>
      </c>
    </row>
    <row r="320" ht="15" customHeight="1" s="74">
      <c r="A320" s="66">
        <f>INDEX(Projects[Project ID *],319)&amp;""</f>
        <v/>
      </c>
      <c r="B320" s="66">
        <f>INDEX(Projects[Project Name *],319)&amp;""</f>
        <v/>
      </c>
      <c r="C320" s="66">
        <f>INDEX(Projects[MS Shuttles],319)</f>
        <v/>
      </c>
      <c r="D320" s="66">
        <f>INDEX(Projects[MS Tote Locations],319)</f>
        <v/>
      </c>
      <c r="E320" s="66">
        <f>INDEX(Projects[AS Robots],319)</f>
        <v/>
      </c>
      <c r="F320" s="66">
        <f>INDEX(Projects[AS Tote Locations],319)</f>
        <v/>
      </c>
      <c r="G320" s="66">
        <f>INDEX(Projects[PS Shuttles],319)</f>
        <v/>
      </c>
      <c r="H320" s="66">
        <f>INDEX(Projects[PS Pallet Locations],319)</f>
        <v/>
      </c>
      <c r="I320" s="66">
        <f>INDEX(Projects[SRM Cranes],319)</f>
        <v/>
      </c>
      <c r="J320" s="66">
        <f>INDEX(Projects[SRM Pallet Locations],319)</f>
        <v/>
      </c>
      <c r="K320" s="66">
        <f>INDEX(Projects[Case Conv (m)],319)</f>
        <v/>
      </c>
      <c r="L320" s="66">
        <f>INDEX(Projects[Pallet Conv (m)],319)</f>
        <v/>
      </c>
      <c r="M320" s="66">
        <f>INDEX(Projects[Mech Eng (wks)],319)</f>
        <v/>
      </c>
      <c r="N320" s="66">
        <f>INDEX(Projects[Controls Eng (wks)],319)</f>
        <v/>
      </c>
      <c r="O320" s="66">
        <f>INDEX(Projects[Systems Eng (wks)],319)</f>
        <v/>
      </c>
      <c r="P320" s="66">
        <f>INDEX(Projects[Software Eng (wks)],319)</f>
        <v/>
      </c>
      <c r="Q320" s="66">
        <f>INDEX(Projects[M&amp;E Installation (wks)],319)</f>
        <v/>
      </c>
      <c r="R320" s="66">
        <f>INDEX(Projects[Commissioning (wks)],319)</f>
        <v/>
      </c>
      <c r="S320" s="66">
        <f>INDEX(Projects[Total Timeline (wks)],319)</f>
        <v/>
      </c>
      <c r="T320" s="66">
        <f>INDEX(Projects[Currency],319)&amp;""</f>
        <v/>
      </c>
      <c r="U320" s="67">
        <f>INDEX(Projects[Value (M)],319)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INDEX(Projects[Automation Equipment],319)&amp;""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IF(AND(A320&lt;&gt;"",OR('Smart Search'!$L$5="",'Smart Search'!$L$5="All",TRIM(BZ320)=TRIM('Smart Search'!$L$5)),OR(TRIM('Smart Search'!$L$6)="",TRIM('Smart Search'!$L$6)="All",ISNUMBER(SEARCH(SUBSTITUTE(SUBSTITUTE(SUBSTITUTE(TRIM('Smart Search'!$L$6),"~","~~"),"*","~*"),"?","~?"),CA320))),OR('Smart Search'!$L$7="",AND(CB320&lt;&gt;0,CB320='Smart Search'!$L$7)),OR('Smart Search'!$L$8="",'Smart Search'!$L$8="All",TRIM(CC320)=TRIM('Smart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IF(A320="","",N(INDEX(Projects[Mech Inst],319)))</f>
        <v/>
      </c>
      <c r="BK320" s="5">
        <f>IF(A320="","",N(INDEX(Projects[Elec Inst],319)))</f>
        <v/>
      </c>
      <c r="BL320" s="5">
        <f>IF(A320="","",N(INDEX(Projects[Project Management],319)))</f>
        <v/>
      </c>
      <c r="BM320" s="5">
        <f>IF(A320="","",N(INDEX(Projects[Systems Eng],319)))</f>
        <v/>
      </c>
      <c r="BN320" s="5">
        <f>IF(A320="","",N(INDEX(Projects[Mechanical Eng],319)))</f>
        <v/>
      </c>
      <c r="BO320" s="5">
        <f>IF(A320="","",N(INDEX(Projects[Structural Engineering],319)))</f>
        <v/>
      </c>
      <c r="BP320" s="5">
        <f>IF(A320="","",N(INDEX(Projects[Site Sup],319)))</f>
        <v/>
      </c>
      <c r="BQ320" s="5">
        <f>IF(A320="","",N(INDEX(Projects[Controls Commissioning],319)))</f>
        <v/>
      </c>
      <c r="BR320" s="5">
        <f>IF(A320="","",N(INDEX(Projects[Systems Commissioning],319)))</f>
        <v/>
      </c>
      <c r="BS320" s="5">
        <f>IF(A320="","",N(INDEX(Projects[Service Commissioning],319)))</f>
        <v/>
      </c>
      <c r="BT320" s="5">
        <f>IF(A320="","",N(INDEX(Projects[Controls Eng],319)))</f>
        <v/>
      </c>
      <c r="BU320" s="5">
        <f>IF(A320="","",N(INDEX(Projects[Controls Purchase],319)))</f>
        <v/>
      </c>
      <c r="BV320" s="5">
        <f>IF(A320="","",N(INDEX(Projects[Software Eng],319)))</f>
        <v/>
      </c>
      <c r="BW320" s="5">
        <f>IF(A320="","",N(INDEX(Projects[Misc],319)))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  <c r="BZ320" s="5">
        <f>INDEX(Projects[Solution Type],319)&amp;""</f>
        <v/>
      </c>
      <c r="CA320" s="5">
        <f>INDEX(Projects[Client / Region],319)&amp;""</f>
        <v/>
      </c>
      <c r="CB320" s="5">
        <f>INDEX(Projects[Year],319)</f>
        <v/>
      </c>
      <c r="CC320" s="5">
        <f>INDEX(Projects[Won?],319)&amp;""</f>
        <v/>
      </c>
      <c r="CD320" s="5">
        <f>INDEX(Projects[Value (USD M)],319)</f>
        <v/>
      </c>
      <c r="CE320" s="5">
        <f>INDEX(Projects[MH Data Status],319)&amp;""</f>
        <v/>
      </c>
    </row>
    <row r="321" ht="15" customHeight="1" s="74">
      <c r="A321" s="66">
        <f>INDEX(Projects[Project ID *],320)&amp;""</f>
        <v/>
      </c>
      <c r="B321" s="66">
        <f>INDEX(Projects[Project Name *],320)&amp;""</f>
        <v/>
      </c>
      <c r="C321" s="66">
        <f>INDEX(Projects[MS Shuttles],320)</f>
        <v/>
      </c>
      <c r="D321" s="66">
        <f>INDEX(Projects[MS Tote Locations],320)</f>
        <v/>
      </c>
      <c r="E321" s="66">
        <f>INDEX(Projects[AS Robots],320)</f>
        <v/>
      </c>
      <c r="F321" s="66">
        <f>INDEX(Projects[AS Tote Locations],320)</f>
        <v/>
      </c>
      <c r="G321" s="66">
        <f>INDEX(Projects[PS Shuttles],320)</f>
        <v/>
      </c>
      <c r="H321" s="66">
        <f>INDEX(Projects[PS Pallet Locations],320)</f>
        <v/>
      </c>
      <c r="I321" s="66">
        <f>INDEX(Projects[SRM Cranes],320)</f>
        <v/>
      </c>
      <c r="J321" s="66">
        <f>INDEX(Projects[SRM Pallet Locations],320)</f>
        <v/>
      </c>
      <c r="K321" s="66">
        <f>INDEX(Projects[Case Conv (m)],320)</f>
        <v/>
      </c>
      <c r="L321" s="66">
        <f>INDEX(Projects[Pallet Conv (m)],320)</f>
        <v/>
      </c>
      <c r="M321" s="66">
        <f>INDEX(Projects[Mech Eng (wks)],320)</f>
        <v/>
      </c>
      <c r="N321" s="66">
        <f>INDEX(Projects[Controls Eng (wks)],320)</f>
        <v/>
      </c>
      <c r="O321" s="66">
        <f>INDEX(Projects[Systems Eng (wks)],320)</f>
        <v/>
      </c>
      <c r="P321" s="66">
        <f>INDEX(Projects[Software Eng (wks)],320)</f>
        <v/>
      </c>
      <c r="Q321" s="66">
        <f>INDEX(Projects[M&amp;E Installation (wks)],320)</f>
        <v/>
      </c>
      <c r="R321" s="66">
        <f>INDEX(Projects[Commissioning (wks)],320)</f>
        <v/>
      </c>
      <c r="S321" s="66">
        <f>INDEX(Projects[Total Timeline (wks)],320)</f>
        <v/>
      </c>
      <c r="T321" s="66">
        <f>INDEX(Projects[Currency],320)&amp;""</f>
        <v/>
      </c>
      <c r="U321" s="67">
        <f>INDEX(Projects[Value (M)],320)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INDEX(Projects[Automation Equipment],320)&amp;""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IF(AND(A321&lt;&gt;"",OR('Smart Search'!$L$5="",'Smart Search'!$L$5="All",TRIM(BZ321)=TRIM('Smart Search'!$L$5)),OR(TRIM('Smart Search'!$L$6)="",TRIM('Smart Search'!$L$6)="All",ISNUMBER(SEARCH(SUBSTITUTE(SUBSTITUTE(SUBSTITUTE(TRIM('Smart Search'!$L$6),"~","~~"),"*","~*"),"?","~?"),CA321))),OR('Smart Search'!$L$7="",AND(CB321&lt;&gt;0,CB321='Smart Search'!$L$7)),OR('Smart Search'!$L$8="",'Smart Search'!$L$8="All",TRIM(CC321)=TRIM('Smart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IF(A321="","",N(INDEX(Projects[Mech Inst],320)))</f>
        <v/>
      </c>
      <c r="BK321" s="5">
        <f>IF(A321="","",N(INDEX(Projects[Elec Inst],320)))</f>
        <v/>
      </c>
      <c r="BL321" s="5">
        <f>IF(A321="","",N(INDEX(Projects[Project Management],320)))</f>
        <v/>
      </c>
      <c r="BM321" s="5">
        <f>IF(A321="","",N(INDEX(Projects[Systems Eng],320)))</f>
        <v/>
      </c>
      <c r="BN321" s="5">
        <f>IF(A321="","",N(INDEX(Projects[Mechanical Eng],320)))</f>
        <v/>
      </c>
      <c r="BO321" s="5">
        <f>IF(A321="","",N(INDEX(Projects[Structural Engineering],320)))</f>
        <v/>
      </c>
      <c r="BP321" s="5">
        <f>IF(A321="","",N(INDEX(Projects[Site Sup],320)))</f>
        <v/>
      </c>
      <c r="BQ321" s="5">
        <f>IF(A321="","",N(INDEX(Projects[Controls Commissioning],320)))</f>
        <v/>
      </c>
      <c r="BR321" s="5">
        <f>IF(A321="","",N(INDEX(Projects[Systems Commissioning],320)))</f>
        <v/>
      </c>
      <c r="BS321" s="5">
        <f>IF(A321="","",N(INDEX(Projects[Service Commissioning],320)))</f>
        <v/>
      </c>
      <c r="BT321" s="5">
        <f>IF(A321="","",N(INDEX(Projects[Controls Eng],320)))</f>
        <v/>
      </c>
      <c r="BU321" s="5">
        <f>IF(A321="","",N(INDEX(Projects[Controls Purchase],320)))</f>
        <v/>
      </c>
      <c r="BV321" s="5">
        <f>IF(A321="","",N(INDEX(Projects[Software Eng],320)))</f>
        <v/>
      </c>
      <c r="BW321" s="5">
        <f>IF(A321="","",N(INDEX(Projects[Misc],320)))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  <c r="BZ321" s="5">
        <f>INDEX(Projects[Solution Type],320)&amp;""</f>
        <v/>
      </c>
      <c r="CA321" s="5">
        <f>INDEX(Projects[Client / Region],320)&amp;""</f>
        <v/>
      </c>
      <c r="CB321" s="5">
        <f>INDEX(Projects[Year],320)</f>
        <v/>
      </c>
      <c r="CC321" s="5">
        <f>INDEX(Projects[Won?],320)&amp;""</f>
        <v/>
      </c>
      <c r="CD321" s="5">
        <f>INDEX(Projects[Value (USD M)],320)</f>
        <v/>
      </c>
      <c r="CE321" s="5">
        <f>INDEX(Projects[MH Data Status],320)&amp;""</f>
        <v/>
      </c>
    </row>
    <row r="322" ht="15" customHeight="1" s="74">
      <c r="A322" s="66">
        <f>INDEX(Projects[Project ID *],321)&amp;""</f>
        <v/>
      </c>
      <c r="B322" s="66">
        <f>INDEX(Projects[Project Name *],321)&amp;""</f>
        <v/>
      </c>
      <c r="C322" s="66">
        <f>INDEX(Projects[MS Shuttles],321)</f>
        <v/>
      </c>
      <c r="D322" s="66">
        <f>INDEX(Projects[MS Tote Locations],321)</f>
        <v/>
      </c>
      <c r="E322" s="66">
        <f>INDEX(Projects[AS Robots],321)</f>
        <v/>
      </c>
      <c r="F322" s="66">
        <f>INDEX(Projects[AS Tote Locations],321)</f>
        <v/>
      </c>
      <c r="G322" s="66">
        <f>INDEX(Projects[PS Shuttles],321)</f>
        <v/>
      </c>
      <c r="H322" s="66">
        <f>INDEX(Projects[PS Pallet Locations],321)</f>
        <v/>
      </c>
      <c r="I322" s="66">
        <f>INDEX(Projects[SRM Cranes],321)</f>
        <v/>
      </c>
      <c r="J322" s="66">
        <f>INDEX(Projects[SRM Pallet Locations],321)</f>
        <v/>
      </c>
      <c r="K322" s="66">
        <f>INDEX(Projects[Case Conv (m)],321)</f>
        <v/>
      </c>
      <c r="L322" s="66">
        <f>INDEX(Projects[Pallet Conv (m)],321)</f>
        <v/>
      </c>
      <c r="M322" s="66">
        <f>INDEX(Projects[Mech Eng (wks)],321)</f>
        <v/>
      </c>
      <c r="N322" s="66">
        <f>INDEX(Projects[Controls Eng (wks)],321)</f>
        <v/>
      </c>
      <c r="O322" s="66">
        <f>INDEX(Projects[Systems Eng (wks)],321)</f>
        <v/>
      </c>
      <c r="P322" s="66">
        <f>INDEX(Projects[Software Eng (wks)],321)</f>
        <v/>
      </c>
      <c r="Q322" s="66">
        <f>INDEX(Projects[M&amp;E Installation (wks)],321)</f>
        <v/>
      </c>
      <c r="R322" s="66">
        <f>INDEX(Projects[Commissioning (wks)],321)</f>
        <v/>
      </c>
      <c r="S322" s="66">
        <f>INDEX(Projects[Total Timeline (wks)],321)</f>
        <v/>
      </c>
      <c r="T322" s="66">
        <f>INDEX(Projects[Currency],321)&amp;""</f>
        <v/>
      </c>
      <c r="U322" s="67">
        <f>INDEX(Projects[Value (M)],321)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INDEX(Projects[Automation Equipment],321)&amp;""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IF(AND(A322&lt;&gt;"",OR('Smart Search'!$L$5="",'Smart Search'!$L$5="All",TRIM(BZ322)=TRIM('Smart Search'!$L$5)),OR(TRIM('Smart Search'!$L$6)="",TRIM('Smart Search'!$L$6)="All",ISNUMBER(SEARCH(SUBSTITUTE(SUBSTITUTE(SUBSTITUTE(TRIM('Smart Search'!$L$6),"~","~~"),"*","~*"),"?","~?"),CA322))),OR('Smart Search'!$L$7="",AND(CB322&lt;&gt;0,CB322='Smart Search'!$L$7)),OR('Smart Search'!$L$8="",'Smart Search'!$L$8="All",TRIM(CC322)=TRIM('Smart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IF(A322="","",N(INDEX(Projects[Mech Inst],321)))</f>
        <v/>
      </c>
      <c r="BK322" s="5">
        <f>IF(A322="","",N(INDEX(Projects[Elec Inst],321)))</f>
        <v/>
      </c>
      <c r="BL322" s="5">
        <f>IF(A322="","",N(INDEX(Projects[Project Management],321)))</f>
        <v/>
      </c>
      <c r="BM322" s="5">
        <f>IF(A322="","",N(INDEX(Projects[Systems Eng],321)))</f>
        <v/>
      </c>
      <c r="BN322" s="5">
        <f>IF(A322="","",N(INDEX(Projects[Mechanical Eng],321)))</f>
        <v/>
      </c>
      <c r="BO322" s="5">
        <f>IF(A322="","",N(INDEX(Projects[Structural Engineering],321)))</f>
        <v/>
      </c>
      <c r="BP322" s="5">
        <f>IF(A322="","",N(INDEX(Projects[Site Sup],321)))</f>
        <v/>
      </c>
      <c r="BQ322" s="5">
        <f>IF(A322="","",N(INDEX(Projects[Controls Commissioning],321)))</f>
        <v/>
      </c>
      <c r="BR322" s="5">
        <f>IF(A322="","",N(INDEX(Projects[Systems Commissioning],321)))</f>
        <v/>
      </c>
      <c r="BS322" s="5">
        <f>IF(A322="","",N(INDEX(Projects[Service Commissioning],321)))</f>
        <v/>
      </c>
      <c r="BT322" s="5">
        <f>IF(A322="","",N(INDEX(Projects[Controls Eng],321)))</f>
        <v/>
      </c>
      <c r="BU322" s="5">
        <f>IF(A322="","",N(INDEX(Projects[Controls Purchase],321)))</f>
        <v/>
      </c>
      <c r="BV322" s="5">
        <f>IF(A322="","",N(INDEX(Projects[Software Eng],321)))</f>
        <v/>
      </c>
      <c r="BW322" s="5">
        <f>IF(A322="","",N(INDEX(Projects[Misc],321)))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  <c r="BZ322" s="5">
        <f>INDEX(Projects[Solution Type],321)&amp;""</f>
        <v/>
      </c>
      <c r="CA322" s="5">
        <f>INDEX(Projects[Client / Region],321)&amp;""</f>
        <v/>
      </c>
      <c r="CB322" s="5">
        <f>INDEX(Projects[Year],321)</f>
        <v/>
      </c>
      <c r="CC322" s="5">
        <f>INDEX(Projects[Won?],321)&amp;""</f>
        <v/>
      </c>
      <c r="CD322" s="5">
        <f>INDEX(Projects[Value (USD M)],321)</f>
        <v/>
      </c>
      <c r="CE322" s="5">
        <f>INDEX(Projects[MH Data Status],321)&amp;""</f>
        <v/>
      </c>
    </row>
    <row r="323" ht="15" customHeight="1" s="74">
      <c r="A323" s="66">
        <f>INDEX(Projects[Project ID *],322)&amp;""</f>
        <v/>
      </c>
      <c r="B323" s="66">
        <f>INDEX(Projects[Project Name *],322)&amp;""</f>
        <v/>
      </c>
      <c r="C323" s="66">
        <f>INDEX(Projects[MS Shuttles],322)</f>
        <v/>
      </c>
      <c r="D323" s="66">
        <f>INDEX(Projects[MS Tote Locations],322)</f>
        <v/>
      </c>
      <c r="E323" s="66">
        <f>INDEX(Projects[AS Robots],322)</f>
        <v/>
      </c>
      <c r="F323" s="66">
        <f>INDEX(Projects[AS Tote Locations],322)</f>
        <v/>
      </c>
      <c r="G323" s="66">
        <f>INDEX(Projects[PS Shuttles],322)</f>
        <v/>
      </c>
      <c r="H323" s="66">
        <f>INDEX(Projects[PS Pallet Locations],322)</f>
        <v/>
      </c>
      <c r="I323" s="66">
        <f>INDEX(Projects[SRM Cranes],322)</f>
        <v/>
      </c>
      <c r="J323" s="66">
        <f>INDEX(Projects[SRM Pallet Locations],322)</f>
        <v/>
      </c>
      <c r="K323" s="66">
        <f>INDEX(Projects[Case Conv (m)],322)</f>
        <v/>
      </c>
      <c r="L323" s="66">
        <f>INDEX(Projects[Pallet Conv (m)],322)</f>
        <v/>
      </c>
      <c r="M323" s="66">
        <f>INDEX(Projects[Mech Eng (wks)],322)</f>
        <v/>
      </c>
      <c r="N323" s="66">
        <f>INDEX(Projects[Controls Eng (wks)],322)</f>
        <v/>
      </c>
      <c r="O323" s="66">
        <f>INDEX(Projects[Systems Eng (wks)],322)</f>
        <v/>
      </c>
      <c r="P323" s="66">
        <f>INDEX(Projects[Software Eng (wks)],322)</f>
        <v/>
      </c>
      <c r="Q323" s="66">
        <f>INDEX(Projects[M&amp;E Installation (wks)],322)</f>
        <v/>
      </c>
      <c r="R323" s="66">
        <f>INDEX(Projects[Commissioning (wks)],322)</f>
        <v/>
      </c>
      <c r="S323" s="66">
        <f>INDEX(Projects[Total Timeline (wks)],322)</f>
        <v/>
      </c>
      <c r="T323" s="66">
        <f>INDEX(Projects[Currency],322)&amp;""</f>
        <v/>
      </c>
      <c r="U323" s="67">
        <f>INDEX(Projects[Value (M)],322)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INDEX(Projects[Automation Equipment],322)&amp;""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IF(AND(A323&lt;&gt;"",OR('Smart Search'!$L$5="",'Smart Search'!$L$5="All",TRIM(BZ323)=TRIM('Smart Search'!$L$5)),OR(TRIM('Smart Search'!$L$6)="",TRIM('Smart Search'!$L$6)="All",ISNUMBER(SEARCH(SUBSTITUTE(SUBSTITUTE(SUBSTITUTE(TRIM('Smart Search'!$L$6),"~","~~"),"*","~*"),"?","~?"),CA323))),OR('Smart Search'!$L$7="",AND(CB323&lt;&gt;0,CB323='Smart Search'!$L$7)),OR('Smart Search'!$L$8="",'Smart Search'!$L$8="All",TRIM(CC323)=TRIM('Smart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IF(A323="","",N(INDEX(Projects[Mech Inst],322)))</f>
        <v/>
      </c>
      <c r="BK323" s="5">
        <f>IF(A323="","",N(INDEX(Projects[Elec Inst],322)))</f>
        <v/>
      </c>
      <c r="BL323" s="5">
        <f>IF(A323="","",N(INDEX(Projects[Project Management],322)))</f>
        <v/>
      </c>
      <c r="BM323" s="5">
        <f>IF(A323="","",N(INDEX(Projects[Systems Eng],322)))</f>
        <v/>
      </c>
      <c r="BN323" s="5">
        <f>IF(A323="","",N(INDEX(Projects[Mechanical Eng],322)))</f>
        <v/>
      </c>
      <c r="BO323" s="5">
        <f>IF(A323="","",N(INDEX(Projects[Structural Engineering],322)))</f>
        <v/>
      </c>
      <c r="BP323" s="5">
        <f>IF(A323="","",N(INDEX(Projects[Site Sup],322)))</f>
        <v/>
      </c>
      <c r="BQ323" s="5">
        <f>IF(A323="","",N(INDEX(Projects[Controls Commissioning],322)))</f>
        <v/>
      </c>
      <c r="BR323" s="5">
        <f>IF(A323="","",N(INDEX(Projects[Systems Commissioning],322)))</f>
        <v/>
      </c>
      <c r="BS323" s="5">
        <f>IF(A323="","",N(INDEX(Projects[Service Commissioning],322)))</f>
        <v/>
      </c>
      <c r="BT323" s="5">
        <f>IF(A323="","",N(INDEX(Projects[Controls Eng],322)))</f>
        <v/>
      </c>
      <c r="BU323" s="5">
        <f>IF(A323="","",N(INDEX(Projects[Controls Purchase],322)))</f>
        <v/>
      </c>
      <c r="BV323" s="5">
        <f>IF(A323="","",N(INDEX(Projects[Software Eng],322)))</f>
        <v/>
      </c>
      <c r="BW323" s="5">
        <f>IF(A323="","",N(INDEX(Projects[Misc],322)))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  <c r="BZ323" s="5">
        <f>INDEX(Projects[Solution Type],322)&amp;""</f>
        <v/>
      </c>
      <c r="CA323" s="5">
        <f>INDEX(Projects[Client / Region],322)&amp;""</f>
        <v/>
      </c>
      <c r="CB323" s="5">
        <f>INDEX(Projects[Year],322)</f>
        <v/>
      </c>
      <c r="CC323" s="5">
        <f>INDEX(Projects[Won?],322)&amp;""</f>
        <v/>
      </c>
      <c r="CD323" s="5">
        <f>INDEX(Projects[Value (USD M)],322)</f>
        <v/>
      </c>
      <c r="CE323" s="5">
        <f>INDEX(Projects[MH Data Status],322)&amp;""</f>
        <v/>
      </c>
    </row>
    <row r="324" ht="15" customHeight="1" s="74">
      <c r="A324" s="66">
        <f>INDEX(Projects[Project ID *],323)&amp;""</f>
        <v/>
      </c>
      <c r="B324" s="66">
        <f>INDEX(Projects[Project Name *],323)&amp;""</f>
        <v/>
      </c>
      <c r="C324" s="66">
        <f>INDEX(Projects[MS Shuttles],323)</f>
        <v/>
      </c>
      <c r="D324" s="66">
        <f>INDEX(Projects[MS Tote Locations],323)</f>
        <v/>
      </c>
      <c r="E324" s="66">
        <f>INDEX(Projects[AS Robots],323)</f>
        <v/>
      </c>
      <c r="F324" s="66">
        <f>INDEX(Projects[AS Tote Locations],323)</f>
        <v/>
      </c>
      <c r="G324" s="66">
        <f>INDEX(Projects[PS Shuttles],323)</f>
        <v/>
      </c>
      <c r="H324" s="66">
        <f>INDEX(Projects[PS Pallet Locations],323)</f>
        <v/>
      </c>
      <c r="I324" s="66">
        <f>INDEX(Projects[SRM Cranes],323)</f>
        <v/>
      </c>
      <c r="J324" s="66">
        <f>INDEX(Projects[SRM Pallet Locations],323)</f>
        <v/>
      </c>
      <c r="K324" s="66">
        <f>INDEX(Projects[Case Conv (m)],323)</f>
        <v/>
      </c>
      <c r="L324" s="66">
        <f>INDEX(Projects[Pallet Conv (m)],323)</f>
        <v/>
      </c>
      <c r="M324" s="66">
        <f>INDEX(Projects[Mech Eng (wks)],323)</f>
        <v/>
      </c>
      <c r="N324" s="66">
        <f>INDEX(Projects[Controls Eng (wks)],323)</f>
        <v/>
      </c>
      <c r="O324" s="66">
        <f>INDEX(Projects[Systems Eng (wks)],323)</f>
        <v/>
      </c>
      <c r="P324" s="66">
        <f>INDEX(Projects[Software Eng (wks)],323)</f>
        <v/>
      </c>
      <c r="Q324" s="66">
        <f>INDEX(Projects[M&amp;E Installation (wks)],323)</f>
        <v/>
      </c>
      <c r="R324" s="66">
        <f>INDEX(Projects[Commissioning (wks)],323)</f>
        <v/>
      </c>
      <c r="S324" s="66">
        <f>INDEX(Projects[Total Timeline (wks)],323)</f>
        <v/>
      </c>
      <c r="T324" s="66">
        <f>INDEX(Projects[Currency],323)&amp;""</f>
        <v/>
      </c>
      <c r="U324" s="67">
        <f>INDEX(Projects[Value (M)],323)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INDEX(Projects[Automation Equipment],323)&amp;""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IF(AND(A324&lt;&gt;"",OR('Smart Search'!$L$5="",'Smart Search'!$L$5="All",TRIM(BZ324)=TRIM('Smart Search'!$L$5)),OR(TRIM('Smart Search'!$L$6)="",TRIM('Smart Search'!$L$6)="All",ISNUMBER(SEARCH(SUBSTITUTE(SUBSTITUTE(SUBSTITUTE(TRIM('Smart Search'!$L$6),"~","~~"),"*","~*"),"?","~?"),CA324))),OR('Smart Search'!$L$7="",AND(CB324&lt;&gt;0,CB324='Smart Search'!$L$7)),OR('Smart Search'!$L$8="",'Smart Search'!$L$8="All",TRIM(CC324)=TRIM('Smart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IF(A324="","",N(INDEX(Projects[Mech Inst],323)))</f>
        <v/>
      </c>
      <c r="BK324" s="5">
        <f>IF(A324="","",N(INDEX(Projects[Elec Inst],323)))</f>
        <v/>
      </c>
      <c r="BL324" s="5">
        <f>IF(A324="","",N(INDEX(Projects[Project Management],323)))</f>
        <v/>
      </c>
      <c r="BM324" s="5">
        <f>IF(A324="","",N(INDEX(Projects[Systems Eng],323)))</f>
        <v/>
      </c>
      <c r="BN324" s="5">
        <f>IF(A324="","",N(INDEX(Projects[Mechanical Eng],323)))</f>
        <v/>
      </c>
      <c r="BO324" s="5">
        <f>IF(A324="","",N(INDEX(Projects[Structural Engineering],323)))</f>
        <v/>
      </c>
      <c r="BP324" s="5">
        <f>IF(A324="","",N(INDEX(Projects[Site Sup],323)))</f>
        <v/>
      </c>
      <c r="BQ324" s="5">
        <f>IF(A324="","",N(INDEX(Projects[Controls Commissioning],323)))</f>
        <v/>
      </c>
      <c r="BR324" s="5">
        <f>IF(A324="","",N(INDEX(Projects[Systems Commissioning],323)))</f>
        <v/>
      </c>
      <c r="BS324" s="5">
        <f>IF(A324="","",N(INDEX(Projects[Service Commissioning],323)))</f>
        <v/>
      </c>
      <c r="BT324" s="5">
        <f>IF(A324="","",N(INDEX(Projects[Controls Eng],323)))</f>
        <v/>
      </c>
      <c r="BU324" s="5">
        <f>IF(A324="","",N(INDEX(Projects[Controls Purchase],323)))</f>
        <v/>
      </c>
      <c r="BV324" s="5">
        <f>IF(A324="","",N(INDEX(Projects[Software Eng],323)))</f>
        <v/>
      </c>
      <c r="BW324" s="5">
        <f>IF(A324="","",N(INDEX(Projects[Misc],323)))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  <c r="BZ324" s="5">
        <f>INDEX(Projects[Solution Type],323)&amp;""</f>
        <v/>
      </c>
      <c r="CA324" s="5">
        <f>INDEX(Projects[Client / Region],323)&amp;""</f>
        <v/>
      </c>
      <c r="CB324" s="5">
        <f>INDEX(Projects[Year],323)</f>
        <v/>
      </c>
      <c r="CC324" s="5">
        <f>INDEX(Projects[Won?],323)&amp;""</f>
        <v/>
      </c>
      <c r="CD324" s="5">
        <f>INDEX(Projects[Value (USD M)],323)</f>
        <v/>
      </c>
      <c r="CE324" s="5">
        <f>INDEX(Projects[MH Data Status],323)&amp;""</f>
        <v/>
      </c>
    </row>
    <row r="325" ht="15" customHeight="1" s="74">
      <c r="A325" s="66">
        <f>INDEX(Projects[Project ID *],324)&amp;""</f>
        <v/>
      </c>
      <c r="B325" s="66">
        <f>INDEX(Projects[Project Name *],324)&amp;""</f>
        <v/>
      </c>
      <c r="C325" s="66">
        <f>INDEX(Projects[MS Shuttles],324)</f>
        <v/>
      </c>
      <c r="D325" s="66">
        <f>INDEX(Projects[MS Tote Locations],324)</f>
        <v/>
      </c>
      <c r="E325" s="66">
        <f>INDEX(Projects[AS Robots],324)</f>
        <v/>
      </c>
      <c r="F325" s="66">
        <f>INDEX(Projects[AS Tote Locations],324)</f>
        <v/>
      </c>
      <c r="G325" s="66">
        <f>INDEX(Projects[PS Shuttles],324)</f>
        <v/>
      </c>
      <c r="H325" s="66">
        <f>INDEX(Projects[PS Pallet Locations],324)</f>
        <v/>
      </c>
      <c r="I325" s="66">
        <f>INDEX(Projects[SRM Cranes],324)</f>
        <v/>
      </c>
      <c r="J325" s="66">
        <f>INDEX(Projects[SRM Pallet Locations],324)</f>
        <v/>
      </c>
      <c r="K325" s="66">
        <f>INDEX(Projects[Case Conv (m)],324)</f>
        <v/>
      </c>
      <c r="L325" s="66">
        <f>INDEX(Projects[Pallet Conv (m)],324)</f>
        <v/>
      </c>
      <c r="M325" s="66">
        <f>INDEX(Projects[Mech Eng (wks)],324)</f>
        <v/>
      </c>
      <c r="N325" s="66">
        <f>INDEX(Projects[Controls Eng (wks)],324)</f>
        <v/>
      </c>
      <c r="O325" s="66">
        <f>INDEX(Projects[Systems Eng (wks)],324)</f>
        <v/>
      </c>
      <c r="P325" s="66">
        <f>INDEX(Projects[Software Eng (wks)],324)</f>
        <v/>
      </c>
      <c r="Q325" s="66">
        <f>INDEX(Projects[M&amp;E Installation (wks)],324)</f>
        <v/>
      </c>
      <c r="R325" s="66">
        <f>INDEX(Projects[Commissioning (wks)],324)</f>
        <v/>
      </c>
      <c r="S325" s="66">
        <f>INDEX(Projects[Total Timeline (wks)],324)</f>
        <v/>
      </c>
      <c r="T325" s="66">
        <f>INDEX(Projects[Currency],324)&amp;""</f>
        <v/>
      </c>
      <c r="U325" s="67">
        <f>INDEX(Projects[Value (M)],324)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INDEX(Projects[Automation Equipment],324)&amp;""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IF(AND(A325&lt;&gt;"",OR('Smart Search'!$L$5="",'Smart Search'!$L$5="All",TRIM(BZ325)=TRIM('Smart Search'!$L$5)),OR(TRIM('Smart Search'!$L$6)="",TRIM('Smart Search'!$L$6)="All",ISNUMBER(SEARCH(SUBSTITUTE(SUBSTITUTE(SUBSTITUTE(TRIM('Smart Search'!$L$6),"~","~~"),"*","~*"),"?","~?"),CA325))),OR('Smart Search'!$L$7="",AND(CB325&lt;&gt;0,CB325='Smart Search'!$L$7)),OR('Smart Search'!$L$8="",'Smart Search'!$L$8="All",TRIM(CC325)=TRIM('Smart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IF(A325="","",N(INDEX(Projects[Mech Inst],324)))</f>
        <v/>
      </c>
      <c r="BK325" s="5">
        <f>IF(A325="","",N(INDEX(Projects[Elec Inst],324)))</f>
        <v/>
      </c>
      <c r="BL325" s="5">
        <f>IF(A325="","",N(INDEX(Projects[Project Management],324)))</f>
        <v/>
      </c>
      <c r="BM325" s="5">
        <f>IF(A325="","",N(INDEX(Projects[Systems Eng],324)))</f>
        <v/>
      </c>
      <c r="BN325" s="5">
        <f>IF(A325="","",N(INDEX(Projects[Mechanical Eng],324)))</f>
        <v/>
      </c>
      <c r="BO325" s="5">
        <f>IF(A325="","",N(INDEX(Projects[Structural Engineering],324)))</f>
        <v/>
      </c>
      <c r="BP325" s="5">
        <f>IF(A325="","",N(INDEX(Projects[Site Sup],324)))</f>
        <v/>
      </c>
      <c r="BQ325" s="5">
        <f>IF(A325="","",N(INDEX(Projects[Controls Commissioning],324)))</f>
        <v/>
      </c>
      <c r="BR325" s="5">
        <f>IF(A325="","",N(INDEX(Projects[Systems Commissioning],324)))</f>
        <v/>
      </c>
      <c r="BS325" s="5">
        <f>IF(A325="","",N(INDEX(Projects[Service Commissioning],324)))</f>
        <v/>
      </c>
      <c r="BT325" s="5">
        <f>IF(A325="","",N(INDEX(Projects[Controls Eng],324)))</f>
        <v/>
      </c>
      <c r="BU325" s="5">
        <f>IF(A325="","",N(INDEX(Projects[Controls Purchase],324)))</f>
        <v/>
      </c>
      <c r="BV325" s="5">
        <f>IF(A325="","",N(INDEX(Projects[Software Eng],324)))</f>
        <v/>
      </c>
      <c r="BW325" s="5">
        <f>IF(A325="","",N(INDEX(Projects[Misc],324)))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  <c r="BZ325" s="5">
        <f>INDEX(Projects[Solution Type],324)&amp;""</f>
        <v/>
      </c>
      <c r="CA325" s="5">
        <f>INDEX(Projects[Client / Region],324)&amp;""</f>
        <v/>
      </c>
      <c r="CB325" s="5">
        <f>INDEX(Projects[Year],324)</f>
        <v/>
      </c>
      <c r="CC325" s="5">
        <f>INDEX(Projects[Won?],324)&amp;""</f>
        <v/>
      </c>
      <c r="CD325" s="5">
        <f>INDEX(Projects[Value (USD M)],324)</f>
        <v/>
      </c>
      <c r="CE325" s="5">
        <f>INDEX(Projects[MH Data Status],324)&amp;""</f>
        <v/>
      </c>
    </row>
    <row r="326" ht="15" customHeight="1" s="74">
      <c r="A326" s="66">
        <f>INDEX(Projects[Project ID *],325)&amp;""</f>
        <v/>
      </c>
      <c r="B326" s="66">
        <f>INDEX(Projects[Project Name *],325)&amp;""</f>
        <v/>
      </c>
      <c r="C326" s="66">
        <f>INDEX(Projects[MS Shuttles],325)</f>
        <v/>
      </c>
      <c r="D326" s="66">
        <f>INDEX(Projects[MS Tote Locations],325)</f>
        <v/>
      </c>
      <c r="E326" s="66">
        <f>INDEX(Projects[AS Robots],325)</f>
        <v/>
      </c>
      <c r="F326" s="66">
        <f>INDEX(Projects[AS Tote Locations],325)</f>
        <v/>
      </c>
      <c r="G326" s="66">
        <f>INDEX(Projects[PS Shuttles],325)</f>
        <v/>
      </c>
      <c r="H326" s="66">
        <f>INDEX(Projects[PS Pallet Locations],325)</f>
        <v/>
      </c>
      <c r="I326" s="66">
        <f>INDEX(Projects[SRM Cranes],325)</f>
        <v/>
      </c>
      <c r="J326" s="66">
        <f>INDEX(Projects[SRM Pallet Locations],325)</f>
        <v/>
      </c>
      <c r="K326" s="66">
        <f>INDEX(Projects[Case Conv (m)],325)</f>
        <v/>
      </c>
      <c r="L326" s="66">
        <f>INDEX(Projects[Pallet Conv (m)],325)</f>
        <v/>
      </c>
      <c r="M326" s="66">
        <f>INDEX(Projects[Mech Eng (wks)],325)</f>
        <v/>
      </c>
      <c r="N326" s="66">
        <f>INDEX(Projects[Controls Eng (wks)],325)</f>
        <v/>
      </c>
      <c r="O326" s="66">
        <f>INDEX(Projects[Systems Eng (wks)],325)</f>
        <v/>
      </c>
      <c r="P326" s="66">
        <f>INDEX(Projects[Software Eng (wks)],325)</f>
        <v/>
      </c>
      <c r="Q326" s="66">
        <f>INDEX(Projects[M&amp;E Installation (wks)],325)</f>
        <v/>
      </c>
      <c r="R326" s="66">
        <f>INDEX(Projects[Commissioning (wks)],325)</f>
        <v/>
      </c>
      <c r="S326" s="66">
        <f>INDEX(Projects[Total Timeline (wks)],325)</f>
        <v/>
      </c>
      <c r="T326" s="66">
        <f>INDEX(Projects[Currency],325)&amp;""</f>
        <v/>
      </c>
      <c r="U326" s="67">
        <f>INDEX(Projects[Value (M)],325)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INDEX(Projects[Automation Equipment],325)&amp;""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IF(AND(A326&lt;&gt;"",OR('Smart Search'!$L$5="",'Smart Search'!$L$5="All",TRIM(BZ326)=TRIM('Smart Search'!$L$5)),OR(TRIM('Smart Search'!$L$6)="",TRIM('Smart Search'!$L$6)="All",ISNUMBER(SEARCH(SUBSTITUTE(SUBSTITUTE(SUBSTITUTE(TRIM('Smart Search'!$L$6),"~","~~"),"*","~*"),"?","~?"),CA326))),OR('Smart Search'!$L$7="",AND(CB326&lt;&gt;0,CB326='Smart Search'!$L$7)),OR('Smart Search'!$L$8="",'Smart Search'!$L$8="All",TRIM(CC326)=TRIM('Smart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IF(A326="","",N(INDEX(Projects[Mech Inst],325)))</f>
        <v/>
      </c>
      <c r="BK326" s="5">
        <f>IF(A326="","",N(INDEX(Projects[Elec Inst],325)))</f>
        <v/>
      </c>
      <c r="BL326" s="5">
        <f>IF(A326="","",N(INDEX(Projects[Project Management],325)))</f>
        <v/>
      </c>
      <c r="BM326" s="5">
        <f>IF(A326="","",N(INDEX(Projects[Systems Eng],325)))</f>
        <v/>
      </c>
      <c r="BN326" s="5">
        <f>IF(A326="","",N(INDEX(Projects[Mechanical Eng],325)))</f>
        <v/>
      </c>
      <c r="BO326" s="5">
        <f>IF(A326="","",N(INDEX(Projects[Structural Engineering],325)))</f>
        <v/>
      </c>
      <c r="BP326" s="5">
        <f>IF(A326="","",N(INDEX(Projects[Site Sup],325)))</f>
        <v/>
      </c>
      <c r="BQ326" s="5">
        <f>IF(A326="","",N(INDEX(Projects[Controls Commissioning],325)))</f>
        <v/>
      </c>
      <c r="BR326" s="5">
        <f>IF(A326="","",N(INDEX(Projects[Systems Commissioning],325)))</f>
        <v/>
      </c>
      <c r="BS326" s="5">
        <f>IF(A326="","",N(INDEX(Projects[Service Commissioning],325)))</f>
        <v/>
      </c>
      <c r="BT326" s="5">
        <f>IF(A326="","",N(INDEX(Projects[Controls Eng],325)))</f>
        <v/>
      </c>
      <c r="BU326" s="5">
        <f>IF(A326="","",N(INDEX(Projects[Controls Purchase],325)))</f>
        <v/>
      </c>
      <c r="BV326" s="5">
        <f>IF(A326="","",N(INDEX(Projects[Software Eng],325)))</f>
        <v/>
      </c>
      <c r="BW326" s="5">
        <f>IF(A326="","",N(INDEX(Projects[Misc],325)))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  <c r="BZ326" s="5">
        <f>INDEX(Projects[Solution Type],325)&amp;""</f>
        <v/>
      </c>
      <c r="CA326" s="5">
        <f>INDEX(Projects[Client / Region],325)&amp;""</f>
        <v/>
      </c>
      <c r="CB326" s="5">
        <f>INDEX(Projects[Year],325)</f>
        <v/>
      </c>
      <c r="CC326" s="5">
        <f>INDEX(Projects[Won?],325)&amp;""</f>
        <v/>
      </c>
      <c r="CD326" s="5">
        <f>INDEX(Projects[Value (USD M)],325)</f>
        <v/>
      </c>
      <c r="CE326" s="5">
        <f>INDEX(Projects[MH Data Status],325)&amp;""</f>
        <v/>
      </c>
    </row>
    <row r="327" ht="15" customHeight="1" s="74">
      <c r="A327" s="66">
        <f>INDEX(Projects[Project ID *],326)&amp;""</f>
        <v/>
      </c>
      <c r="B327" s="66">
        <f>INDEX(Projects[Project Name *],326)&amp;""</f>
        <v/>
      </c>
      <c r="C327" s="66">
        <f>INDEX(Projects[MS Shuttles],326)</f>
        <v/>
      </c>
      <c r="D327" s="66">
        <f>INDEX(Projects[MS Tote Locations],326)</f>
        <v/>
      </c>
      <c r="E327" s="66">
        <f>INDEX(Projects[AS Robots],326)</f>
        <v/>
      </c>
      <c r="F327" s="66">
        <f>INDEX(Projects[AS Tote Locations],326)</f>
        <v/>
      </c>
      <c r="G327" s="66">
        <f>INDEX(Projects[PS Shuttles],326)</f>
        <v/>
      </c>
      <c r="H327" s="66">
        <f>INDEX(Projects[PS Pallet Locations],326)</f>
        <v/>
      </c>
      <c r="I327" s="66">
        <f>INDEX(Projects[SRM Cranes],326)</f>
        <v/>
      </c>
      <c r="J327" s="66">
        <f>INDEX(Projects[SRM Pallet Locations],326)</f>
        <v/>
      </c>
      <c r="K327" s="66">
        <f>INDEX(Projects[Case Conv (m)],326)</f>
        <v/>
      </c>
      <c r="L327" s="66">
        <f>INDEX(Projects[Pallet Conv (m)],326)</f>
        <v/>
      </c>
      <c r="M327" s="66">
        <f>INDEX(Projects[Mech Eng (wks)],326)</f>
        <v/>
      </c>
      <c r="N327" s="66">
        <f>INDEX(Projects[Controls Eng (wks)],326)</f>
        <v/>
      </c>
      <c r="O327" s="66">
        <f>INDEX(Projects[Systems Eng (wks)],326)</f>
        <v/>
      </c>
      <c r="P327" s="66">
        <f>INDEX(Projects[Software Eng (wks)],326)</f>
        <v/>
      </c>
      <c r="Q327" s="66">
        <f>INDEX(Projects[M&amp;E Installation (wks)],326)</f>
        <v/>
      </c>
      <c r="R327" s="66">
        <f>INDEX(Projects[Commissioning (wks)],326)</f>
        <v/>
      </c>
      <c r="S327" s="66">
        <f>INDEX(Projects[Total Timeline (wks)],326)</f>
        <v/>
      </c>
      <c r="T327" s="66">
        <f>INDEX(Projects[Currency],326)&amp;""</f>
        <v/>
      </c>
      <c r="U327" s="67">
        <f>INDEX(Projects[Value (M)],326)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INDEX(Projects[Automation Equipment],326)&amp;""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IF(AND(A327&lt;&gt;"",OR('Smart Search'!$L$5="",'Smart Search'!$L$5="All",TRIM(BZ327)=TRIM('Smart Search'!$L$5)),OR(TRIM('Smart Search'!$L$6)="",TRIM('Smart Search'!$L$6)="All",ISNUMBER(SEARCH(SUBSTITUTE(SUBSTITUTE(SUBSTITUTE(TRIM('Smart Search'!$L$6),"~","~~"),"*","~*"),"?","~?"),CA327))),OR('Smart Search'!$L$7="",AND(CB327&lt;&gt;0,CB327='Smart Search'!$L$7)),OR('Smart Search'!$L$8="",'Smart Search'!$L$8="All",TRIM(CC327)=TRIM('Smart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IF(A327="","",N(INDEX(Projects[Mech Inst],326)))</f>
        <v/>
      </c>
      <c r="BK327" s="5">
        <f>IF(A327="","",N(INDEX(Projects[Elec Inst],326)))</f>
        <v/>
      </c>
      <c r="BL327" s="5">
        <f>IF(A327="","",N(INDEX(Projects[Project Management],326)))</f>
        <v/>
      </c>
      <c r="BM327" s="5">
        <f>IF(A327="","",N(INDEX(Projects[Systems Eng],326)))</f>
        <v/>
      </c>
      <c r="BN327" s="5">
        <f>IF(A327="","",N(INDEX(Projects[Mechanical Eng],326)))</f>
        <v/>
      </c>
      <c r="BO327" s="5">
        <f>IF(A327="","",N(INDEX(Projects[Structural Engineering],326)))</f>
        <v/>
      </c>
      <c r="BP327" s="5">
        <f>IF(A327="","",N(INDEX(Projects[Site Sup],326)))</f>
        <v/>
      </c>
      <c r="BQ327" s="5">
        <f>IF(A327="","",N(INDEX(Projects[Controls Commissioning],326)))</f>
        <v/>
      </c>
      <c r="BR327" s="5">
        <f>IF(A327="","",N(INDEX(Projects[Systems Commissioning],326)))</f>
        <v/>
      </c>
      <c r="BS327" s="5">
        <f>IF(A327="","",N(INDEX(Projects[Service Commissioning],326)))</f>
        <v/>
      </c>
      <c r="BT327" s="5">
        <f>IF(A327="","",N(INDEX(Projects[Controls Eng],326)))</f>
        <v/>
      </c>
      <c r="BU327" s="5">
        <f>IF(A327="","",N(INDEX(Projects[Controls Purchase],326)))</f>
        <v/>
      </c>
      <c r="BV327" s="5">
        <f>IF(A327="","",N(INDEX(Projects[Software Eng],326)))</f>
        <v/>
      </c>
      <c r="BW327" s="5">
        <f>IF(A327="","",N(INDEX(Projects[Misc],326)))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  <c r="BZ327" s="5">
        <f>INDEX(Projects[Solution Type],326)&amp;""</f>
        <v/>
      </c>
      <c r="CA327" s="5">
        <f>INDEX(Projects[Client / Region],326)&amp;""</f>
        <v/>
      </c>
      <c r="CB327" s="5">
        <f>INDEX(Projects[Year],326)</f>
        <v/>
      </c>
      <c r="CC327" s="5">
        <f>INDEX(Projects[Won?],326)&amp;""</f>
        <v/>
      </c>
      <c r="CD327" s="5">
        <f>INDEX(Projects[Value (USD M)],326)</f>
        <v/>
      </c>
      <c r="CE327" s="5">
        <f>INDEX(Projects[MH Data Status],326)&amp;""</f>
        <v/>
      </c>
    </row>
    <row r="328" ht="15" customHeight="1" s="74">
      <c r="A328" s="66">
        <f>INDEX(Projects[Project ID *],327)&amp;""</f>
        <v/>
      </c>
      <c r="B328" s="66">
        <f>INDEX(Projects[Project Name *],327)&amp;""</f>
        <v/>
      </c>
      <c r="C328" s="66">
        <f>INDEX(Projects[MS Shuttles],327)</f>
        <v/>
      </c>
      <c r="D328" s="66">
        <f>INDEX(Projects[MS Tote Locations],327)</f>
        <v/>
      </c>
      <c r="E328" s="66">
        <f>INDEX(Projects[AS Robots],327)</f>
        <v/>
      </c>
      <c r="F328" s="66">
        <f>INDEX(Projects[AS Tote Locations],327)</f>
        <v/>
      </c>
      <c r="G328" s="66">
        <f>INDEX(Projects[PS Shuttles],327)</f>
        <v/>
      </c>
      <c r="H328" s="66">
        <f>INDEX(Projects[PS Pallet Locations],327)</f>
        <v/>
      </c>
      <c r="I328" s="66">
        <f>INDEX(Projects[SRM Cranes],327)</f>
        <v/>
      </c>
      <c r="J328" s="66">
        <f>INDEX(Projects[SRM Pallet Locations],327)</f>
        <v/>
      </c>
      <c r="K328" s="66">
        <f>INDEX(Projects[Case Conv (m)],327)</f>
        <v/>
      </c>
      <c r="L328" s="66">
        <f>INDEX(Projects[Pallet Conv (m)],327)</f>
        <v/>
      </c>
      <c r="M328" s="66">
        <f>INDEX(Projects[Mech Eng (wks)],327)</f>
        <v/>
      </c>
      <c r="N328" s="66">
        <f>INDEX(Projects[Controls Eng (wks)],327)</f>
        <v/>
      </c>
      <c r="O328" s="66">
        <f>INDEX(Projects[Systems Eng (wks)],327)</f>
        <v/>
      </c>
      <c r="P328" s="66">
        <f>INDEX(Projects[Software Eng (wks)],327)</f>
        <v/>
      </c>
      <c r="Q328" s="66">
        <f>INDEX(Projects[M&amp;E Installation (wks)],327)</f>
        <v/>
      </c>
      <c r="R328" s="66">
        <f>INDEX(Projects[Commissioning (wks)],327)</f>
        <v/>
      </c>
      <c r="S328" s="66">
        <f>INDEX(Projects[Total Timeline (wks)],327)</f>
        <v/>
      </c>
      <c r="T328" s="66">
        <f>INDEX(Projects[Currency],327)&amp;""</f>
        <v/>
      </c>
      <c r="U328" s="67">
        <f>INDEX(Projects[Value (M)],327)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INDEX(Projects[Automation Equipment],327)&amp;""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IF(AND(A328&lt;&gt;"",OR('Smart Search'!$L$5="",'Smart Search'!$L$5="All",TRIM(BZ328)=TRIM('Smart Search'!$L$5)),OR(TRIM('Smart Search'!$L$6)="",TRIM('Smart Search'!$L$6)="All",ISNUMBER(SEARCH(SUBSTITUTE(SUBSTITUTE(SUBSTITUTE(TRIM('Smart Search'!$L$6),"~","~~"),"*","~*"),"?","~?"),CA328))),OR('Smart Search'!$L$7="",AND(CB328&lt;&gt;0,CB328='Smart Search'!$L$7)),OR('Smart Search'!$L$8="",'Smart Search'!$L$8="All",TRIM(CC328)=TRIM('Smart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IF(A328="","",N(INDEX(Projects[Mech Inst],327)))</f>
        <v/>
      </c>
      <c r="BK328" s="5">
        <f>IF(A328="","",N(INDEX(Projects[Elec Inst],327)))</f>
        <v/>
      </c>
      <c r="BL328" s="5">
        <f>IF(A328="","",N(INDEX(Projects[Project Management],327)))</f>
        <v/>
      </c>
      <c r="BM328" s="5">
        <f>IF(A328="","",N(INDEX(Projects[Systems Eng],327)))</f>
        <v/>
      </c>
      <c r="BN328" s="5">
        <f>IF(A328="","",N(INDEX(Projects[Mechanical Eng],327)))</f>
        <v/>
      </c>
      <c r="BO328" s="5">
        <f>IF(A328="","",N(INDEX(Projects[Structural Engineering],327)))</f>
        <v/>
      </c>
      <c r="BP328" s="5">
        <f>IF(A328="","",N(INDEX(Projects[Site Sup],327)))</f>
        <v/>
      </c>
      <c r="BQ328" s="5">
        <f>IF(A328="","",N(INDEX(Projects[Controls Commissioning],327)))</f>
        <v/>
      </c>
      <c r="BR328" s="5">
        <f>IF(A328="","",N(INDEX(Projects[Systems Commissioning],327)))</f>
        <v/>
      </c>
      <c r="BS328" s="5">
        <f>IF(A328="","",N(INDEX(Projects[Service Commissioning],327)))</f>
        <v/>
      </c>
      <c r="BT328" s="5">
        <f>IF(A328="","",N(INDEX(Projects[Controls Eng],327)))</f>
        <v/>
      </c>
      <c r="BU328" s="5">
        <f>IF(A328="","",N(INDEX(Projects[Controls Purchase],327)))</f>
        <v/>
      </c>
      <c r="BV328" s="5">
        <f>IF(A328="","",N(INDEX(Projects[Software Eng],327)))</f>
        <v/>
      </c>
      <c r="BW328" s="5">
        <f>IF(A328="","",N(INDEX(Projects[Misc],327)))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  <c r="BZ328" s="5">
        <f>INDEX(Projects[Solution Type],327)&amp;""</f>
        <v/>
      </c>
      <c r="CA328" s="5">
        <f>INDEX(Projects[Client / Region],327)&amp;""</f>
        <v/>
      </c>
      <c r="CB328" s="5">
        <f>INDEX(Projects[Year],327)</f>
        <v/>
      </c>
      <c r="CC328" s="5">
        <f>INDEX(Projects[Won?],327)&amp;""</f>
        <v/>
      </c>
      <c r="CD328" s="5">
        <f>INDEX(Projects[Value (USD M)],327)</f>
        <v/>
      </c>
      <c r="CE328" s="5">
        <f>INDEX(Projects[MH Data Status],327)&amp;""</f>
        <v/>
      </c>
    </row>
    <row r="329" ht="15" customHeight="1" s="74">
      <c r="A329" s="66">
        <f>INDEX(Projects[Project ID *],328)&amp;""</f>
        <v/>
      </c>
      <c r="B329" s="66">
        <f>INDEX(Projects[Project Name *],328)&amp;""</f>
        <v/>
      </c>
      <c r="C329" s="66">
        <f>INDEX(Projects[MS Shuttles],328)</f>
        <v/>
      </c>
      <c r="D329" s="66">
        <f>INDEX(Projects[MS Tote Locations],328)</f>
        <v/>
      </c>
      <c r="E329" s="66">
        <f>INDEX(Projects[AS Robots],328)</f>
        <v/>
      </c>
      <c r="F329" s="66">
        <f>INDEX(Projects[AS Tote Locations],328)</f>
        <v/>
      </c>
      <c r="G329" s="66">
        <f>INDEX(Projects[PS Shuttles],328)</f>
        <v/>
      </c>
      <c r="H329" s="66">
        <f>INDEX(Projects[PS Pallet Locations],328)</f>
        <v/>
      </c>
      <c r="I329" s="66">
        <f>INDEX(Projects[SRM Cranes],328)</f>
        <v/>
      </c>
      <c r="J329" s="66">
        <f>INDEX(Projects[SRM Pallet Locations],328)</f>
        <v/>
      </c>
      <c r="K329" s="66">
        <f>INDEX(Projects[Case Conv (m)],328)</f>
        <v/>
      </c>
      <c r="L329" s="66">
        <f>INDEX(Projects[Pallet Conv (m)],328)</f>
        <v/>
      </c>
      <c r="M329" s="66">
        <f>INDEX(Projects[Mech Eng (wks)],328)</f>
        <v/>
      </c>
      <c r="N329" s="66">
        <f>INDEX(Projects[Controls Eng (wks)],328)</f>
        <v/>
      </c>
      <c r="O329" s="66">
        <f>INDEX(Projects[Systems Eng (wks)],328)</f>
        <v/>
      </c>
      <c r="P329" s="66">
        <f>INDEX(Projects[Software Eng (wks)],328)</f>
        <v/>
      </c>
      <c r="Q329" s="66">
        <f>INDEX(Projects[M&amp;E Installation (wks)],328)</f>
        <v/>
      </c>
      <c r="R329" s="66">
        <f>INDEX(Projects[Commissioning (wks)],328)</f>
        <v/>
      </c>
      <c r="S329" s="66">
        <f>INDEX(Projects[Total Timeline (wks)],328)</f>
        <v/>
      </c>
      <c r="T329" s="66">
        <f>INDEX(Projects[Currency],328)&amp;""</f>
        <v/>
      </c>
      <c r="U329" s="67">
        <f>INDEX(Projects[Value (M)],328)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INDEX(Projects[Automation Equipment],328)&amp;""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IF(AND(A329&lt;&gt;"",OR('Smart Search'!$L$5="",'Smart Search'!$L$5="All",TRIM(BZ329)=TRIM('Smart Search'!$L$5)),OR(TRIM('Smart Search'!$L$6)="",TRIM('Smart Search'!$L$6)="All",ISNUMBER(SEARCH(SUBSTITUTE(SUBSTITUTE(SUBSTITUTE(TRIM('Smart Search'!$L$6),"~","~~"),"*","~*"),"?","~?"),CA329))),OR('Smart Search'!$L$7="",AND(CB329&lt;&gt;0,CB329='Smart Search'!$L$7)),OR('Smart Search'!$L$8="",'Smart Search'!$L$8="All",TRIM(CC329)=TRIM('Smart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IF(A329="","",N(INDEX(Projects[Mech Inst],328)))</f>
        <v/>
      </c>
      <c r="BK329" s="5">
        <f>IF(A329="","",N(INDEX(Projects[Elec Inst],328)))</f>
        <v/>
      </c>
      <c r="BL329" s="5">
        <f>IF(A329="","",N(INDEX(Projects[Project Management],328)))</f>
        <v/>
      </c>
      <c r="BM329" s="5">
        <f>IF(A329="","",N(INDEX(Projects[Systems Eng],328)))</f>
        <v/>
      </c>
      <c r="BN329" s="5">
        <f>IF(A329="","",N(INDEX(Projects[Mechanical Eng],328)))</f>
        <v/>
      </c>
      <c r="BO329" s="5">
        <f>IF(A329="","",N(INDEX(Projects[Structural Engineering],328)))</f>
        <v/>
      </c>
      <c r="BP329" s="5">
        <f>IF(A329="","",N(INDEX(Projects[Site Sup],328)))</f>
        <v/>
      </c>
      <c r="BQ329" s="5">
        <f>IF(A329="","",N(INDEX(Projects[Controls Commissioning],328)))</f>
        <v/>
      </c>
      <c r="BR329" s="5">
        <f>IF(A329="","",N(INDEX(Projects[Systems Commissioning],328)))</f>
        <v/>
      </c>
      <c r="BS329" s="5">
        <f>IF(A329="","",N(INDEX(Projects[Service Commissioning],328)))</f>
        <v/>
      </c>
      <c r="BT329" s="5">
        <f>IF(A329="","",N(INDEX(Projects[Controls Eng],328)))</f>
        <v/>
      </c>
      <c r="BU329" s="5">
        <f>IF(A329="","",N(INDEX(Projects[Controls Purchase],328)))</f>
        <v/>
      </c>
      <c r="BV329" s="5">
        <f>IF(A329="","",N(INDEX(Projects[Software Eng],328)))</f>
        <v/>
      </c>
      <c r="BW329" s="5">
        <f>IF(A329="","",N(INDEX(Projects[Misc],328)))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  <c r="BZ329" s="5">
        <f>INDEX(Projects[Solution Type],328)&amp;""</f>
        <v/>
      </c>
      <c r="CA329" s="5">
        <f>INDEX(Projects[Client / Region],328)&amp;""</f>
        <v/>
      </c>
      <c r="CB329" s="5">
        <f>INDEX(Projects[Year],328)</f>
        <v/>
      </c>
      <c r="CC329" s="5">
        <f>INDEX(Projects[Won?],328)&amp;""</f>
        <v/>
      </c>
      <c r="CD329" s="5">
        <f>INDEX(Projects[Value (USD M)],328)</f>
        <v/>
      </c>
      <c r="CE329" s="5">
        <f>INDEX(Projects[MH Data Status],328)&amp;""</f>
        <v/>
      </c>
    </row>
    <row r="330" ht="15" customHeight="1" s="74">
      <c r="A330" s="66">
        <f>INDEX(Projects[Project ID *],329)&amp;""</f>
        <v/>
      </c>
      <c r="B330" s="66">
        <f>INDEX(Projects[Project Name *],329)&amp;""</f>
        <v/>
      </c>
      <c r="C330" s="66">
        <f>INDEX(Projects[MS Shuttles],329)</f>
        <v/>
      </c>
      <c r="D330" s="66">
        <f>INDEX(Projects[MS Tote Locations],329)</f>
        <v/>
      </c>
      <c r="E330" s="66">
        <f>INDEX(Projects[AS Robots],329)</f>
        <v/>
      </c>
      <c r="F330" s="66">
        <f>INDEX(Projects[AS Tote Locations],329)</f>
        <v/>
      </c>
      <c r="G330" s="66">
        <f>INDEX(Projects[PS Shuttles],329)</f>
        <v/>
      </c>
      <c r="H330" s="66">
        <f>INDEX(Projects[PS Pallet Locations],329)</f>
        <v/>
      </c>
      <c r="I330" s="66">
        <f>INDEX(Projects[SRM Cranes],329)</f>
        <v/>
      </c>
      <c r="J330" s="66">
        <f>INDEX(Projects[SRM Pallet Locations],329)</f>
        <v/>
      </c>
      <c r="K330" s="66">
        <f>INDEX(Projects[Case Conv (m)],329)</f>
        <v/>
      </c>
      <c r="L330" s="66">
        <f>INDEX(Projects[Pallet Conv (m)],329)</f>
        <v/>
      </c>
      <c r="M330" s="66">
        <f>INDEX(Projects[Mech Eng (wks)],329)</f>
        <v/>
      </c>
      <c r="N330" s="66">
        <f>INDEX(Projects[Controls Eng (wks)],329)</f>
        <v/>
      </c>
      <c r="O330" s="66">
        <f>INDEX(Projects[Systems Eng (wks)],329)</f>
        <v/>
      </c>
      <c r="P330" s="66">
        <f>INDEX(Projects[Software Eng (wks)],329)</f>
        <v/>
      </c>
      <c r="Q330" s="66">
        <f>INDEX(Projects[M&amp;E Installation (wks)],329)</f>
        <v/>
      </c>
      <c r="R330" s="66">
        <f>INDEX(Projects[Commissioning (wks)],329)</f>
        <v/>
      </c>
      <c r="S330" s="66">
        <f>INDEX(Projects[Total Timeline (wks)],329)</f>
        <v/>
      </c>
      <c r="T330" s="66">
        <f>INDEX(Projects[Currency],329)&amp;""</f>
        <v/>
      </c>
      <c r="U330" s="67">
        <f>INDEX(Projects[Value (M)],329)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INDEX(Projects[Automation Equipment],329)&amp;""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IF(AND(A330&lt;&gt;"",OR('Smart Search'!$L$5="",'Smart Search'!$L$5="All",TRIM(BZ330)=TRIM('Smart Search'!$L$5)),OR(TRIM('Smart Search'!$L$6)="",TRIM('Smart Search'!$L$6)="All",ISNUMBER(SEARCH(SUBSTITUTE(SUBSTITUTE(SUBSTITUTE(TRIM('Smart Search'!$L$6),"~","~~"),"*","~*"),"?","~?"),CA330))),OR('Smart Search'!$L$7="",AND(CB330&lt;&gt;0,CB330='Smart Search'!$L$7)),OR('Smart Search'!$L$8="",'Smart Search'!$L$8="All",TRIM(CC330)=TRIM('Smart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IF(A330="","",N(INDEX(Projects[Mech Inst],329)))</f>
        <v/>
      </c>
      <c r="BK330" s="5">
        <f>IF(A330="","",N(INDEX(Projects[Elec Inst],329)))</f>
        <v/>
      </c>
      <c r="BL330" s="5">
        <f>IF(A330="","",N(INDEX(Projects[Project Management],329)))</f>
        <v/>
      </c>
      <c r="BM330" s="5">
        <f>IF(A330="","",N(INDEX(Projects[Systems Eng],329)))</f>
        <v/>
      </c>
      <c r="BN330" s="5">
        <f>IF(A330="","",N(INDEX(Projects[Mechanical Eng],329)))</f>
        <v/>
      </c>
      <c r="BO330" s="5">
        <f>IF(A330="","",N(INDEX(Projects[Structural Engineering],329)))</f>
        <v/>
      </c>
      <c r="BP330" s="5">
        <f>IF(A330="","",N(INDEX(Projects[Site Sup],329)))</f>
        <v/>
      </c>
      <c r="BQ330" s="5">
        <f>IF(A330="","",N(INDEX(Projects[Controls Commissioning],329)))</f>
        <v/>
      </c>
      <c r="BR330" s="5">
        <f>IF(A330="","",N(INDEX(Projects[Systems Commissioning],329)))</f>
        <v/>
      </c>
      <c r="BS330" s="5">
        <f>IF(A330="","",N(INDEX(Projects[Service Commissioning],329)))</f>
        <v/>
      </c>
      <c r="BT330" s="5">
        <f>IF(A330="","",N(INDEX(Projects[Controls Eng],329)))</f>
        <v/>
      </c>
      <c r="BU330" s="5">
        <f>IF(A330="","",N(INDEX(Projects[Controls Purchase],329)))</f>
        <v/>
      </c>
      <c r="BV330" s="5">
        <f>IF(A330="","",N(INDEX(Projects[Software Eng],329)))</f>
        <v/>
      </c>
      <c r="BW330" s="5">
        <f>IF(A330="","",N(INDEX(Projects[Misc],329)))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  <c r="BZ330" s="5">
        <f>INDEX(Projects[Solution Type],329)&amp;""</f>
        <v/>
      </c>
      <c r="CA330" s="5">
        <f>INDEX(Projects[Client / Region],329)&amp;""</f>
        <v/>
      </c>
      <c r="CB330" s="5">
        <f>INDEX(Projects[Year],329)</f>
        <v/>
      </c>
      <c r="CC330" s="5">
        <f>INDEX(Projects[Won?],329)&amp;""</f>
        <v/>
      </c>
      <c r="CD330" s="5">
        <f>INDEX(Projects[Value (USD M)],329)</f>
        <v/>
      </c>
      <c r="CE330" s="5">
        <f>INDEX(Projects[MH Data Status],329)&amp;""</f>
        <v/>
      </c>
    </row>
    <row r="331" ht="15" customHeight="1" s="74">
      <c r="A331" s="66">
        <f>INDEX(Projects[Project ID *],330)&amp;""</f>
        <v/>
      </c>
      <c r="B331" s="66">
        <f>INDEX(Projects[Project Name *],330)&amp;""</f>
        <v/>
      </c>
      <c r="C331" s="66">
        <f>INDEX(Projects[MS Shuttles],330)</f>
        <v/>
      </c>
      <c r="D331" s="66">
        <f>INDEX(Projects[MS Tote Locations],330)</f>
        <v/>
      </c>
      <c r="E331" s="66">
        <f>INDEX(Projects[AS Robots],330)</f>
        <v/>
      </c>
      <c r="F331" s="66">
        <f>INDEX(Projects[AS Tote Locations],330)</f>
        <v/>
      </c>
      <c r="G331" s="66">
        <f>INDEX(Projects[PS Shuttles],330)</f>
        <v/>
      </c>
      <c r="H331" s="66">
        <f>INDEX(Projects[PS Pallet Locations],330)</f>
        <v/>
      </c>
      <c r="I331" s="66">
        <f>INDEX(Projects[SRM Cranes],330)</f>
        <v/>
      </c>
      <c r="J331" s="66">
        <f>INDEX(Projects[SRM Pallet Locations],330)</f>
        <v/>
      </c>
      <c r="K331" s="66">
        <f>INDEX(Projects[Case Conv (m)],330)</f>
        <v/>
      </c>
      <c r="L331" s="66">
        <f>INDEX(Projects[Pallet Conv (m)],330)</f>
        <v/>
      </c>
      <c r="M331" s="66">
        <f>INDEX(Projects[Mech Eng (wks)],330)</f>
        <v/>
      </c>
      <c r="N331" s="66">
        <f>INDEX(Projects[Controls Eng (wks)],330)</f>
        <v/>
      </c>
      <c r="O331" s="66">
        <f>INDEX(Projects[Systems Eng (wks)],330)</f>
        <v/>
      </c>
      <c r="P331" s="66">
        <f>INDEX(Projects[Software Eng (wks)],330)</f>
        <v/>
      </c>
      <c r="Q331" s="66">
        <f>INDEX(Projects[M&amp;E Installation (wks)],330)</f>
        <v/>
      </c>
      <c r="R331" s="66">
        <f>INDEX(Projects[Commissioning (wks)],330)</f>
        <v/>
      </c>
      <c r="S331" s="66">
        <f>INDEX(Projects[Total Timeline (wks)],330)</f>
        <v/>
      </c>
      <c r="T331" s="66">
        <f>INDEX(Projects[Currency],330)&amp;""</f>
        <v/>
      </c>
      <c r="U331" s="67">
        <f>INDEX(Projects[Value (M)],330)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INDEX(Projects[Automation Equipment],330)&amp;""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IF(AND(A331&lt;&gt;"",OR('Smart Search'!$L$5="",'Smart Search'!$L$5="All",TRIM(BZ331)=TRIM('Smart Search'!$L$5)),OR(TRIM('Smart Search'!$L$6)="",TRIM('Smart Search'!$L$6)="All",ISNUMBER(SEARCH(SUBSTITUTE(SUBSTITUTE(SUBSTITUTE(TRIM('Smart Search'!$L$6),"~","~~"),"*","~*"),"?","~?"),CA331))),OR('Smart Search'!$L$7="",AND(CB331&lt;&gt;0,CB331='Smart Search'!$L$7)),OR('Smart Search'!$L$8="",'Smart Search'!$L$8="All",TRIM(CC331)=TRIM('Smart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IF(A331="","",N(INDEX(Projects[Mech Inst],330)))</f>
        <v/>
      </c>
      <c r="BK331" s="5">
        <f>IF(A331="","",N(INDEX(Projects[Elec Inst],330)))</f>
        <v/>
      </c>
      <c r="BL331" s="5">
        <f>IF(A331="","",N(INDEX(Projects[Project Management],330)))</f>
        <v/>
      </c>
      <c r="BM331" s="5">
        <f>IF(A331="","",N(INDEX(Projects[Systems Eng],330)))</f>
        <v/>
      </c>
      <c r="BN331" s="5">
        <f>IF(A331="","",N(INDEX(Projects[Mechanical Eng],330)))</f>
        <v/>
      </c>
      <c r="BO331" s="5">
        <f>IF(A331="","",N(INDEX(Projects[Structural Engineering],330)))</f>
        <v/>
      </c>
      <c r="BP331" s="5">
        <f>IF(A331="","",N(INDEX(Projects[Site Sup],330)))</f>
        <v/>
      </c>
      <c r="BQ331" s="5">
        <f>IF(A331="","",N(INDEX(Projects[Controls Commissioning],330)))</f>
        <v/>
      </c>
      <c r="BR331" s="5">
        <f>IF(A331="","",N(INDEX(Projects[Systems Commissioning],330)))</f>
        <v/>
      </c>
      <c r="BS331" s="5">
        <f>IF(A331="","",N(INDEX(Projects[Service Commissioning],330)))</f>
        <v/>
      </c>
      <c r="BT331" s="5">
        <f>IF(A331="","",N(INDEX(Projects[Controls Eng],330)))</f>
        <v/>
      </c>
      <c r="BU331" s="5">
        <f>IF(A331="","",N(INDEX(Projects[Controls Purchase],330)))</f>
        <v/>
      </c>
      <c r="BV331" s="5">
        <f>IF(A331="","",N(INDEX(Projects[Software Eng],330)))</f>
        <v/>
      </c>
      <c r="BW331" s="5">
        <f>IF(A331="","",N(INDEX(Projects[Misc],330)))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  <c r="BZ331" s="5">
        <f>INDEX(Projects[Solution Type],330)&amp;""</f>
        <v/>
      </c>
      <c r="CA331" s="5">
        <f>INDEX(Projects[Client / Region],330)&amp;""</f>
        <v/>
      </c>
      <c r="CB331" s="5">
        <f>INDEX(Projects[Year],330)</f>
        <v/>
      </c>
      <c r="CC331" s="5">
        <f>INDEX(Projects[Won?],330)&amp;""</f>
        <v/>
      </c>
      <c r="CD331" s="5">
        <f>INDEX(Projects[Value (USD M)],330)</f>
        <v/>
      </c>
      <c r="CE331" s="5">
        <f>INDEX(Projects[MH Data Status],330)&amp;""</f>
        <v/>
      </c>
    </row>
    <row r="332" ht="15" customHeight="1" s="74">
      <c r="A332" s="66">
        <f>INDEX(Projects[Project ID *],331)&amp;""</f>
        <v/>
      </c>
      <c r="B332" s="66">
        <f>INDEX(Projects[Project Name *],331)&amp;""</f>
        <v/>
      </c>
      <c r="C332" s="66">
        <f>INDEX(Projects[MS Shuttles],331)</f>
        <v/>
      </c>
      <c r="D332" s="66">
        <f>INDEX(Projects[MS Tote Locations],331)</f>
        <v/>
      </c>
      <c r="E332" s="66">
        <f>INDEX(Projects[AS Robots],331)</f>
        <v/>
      </c>
      <c r="F332" s="66">
        <f>INDEX(Projects[AS Tote Locations],331)</f>
        <v/>
      </c>
      <c r="G332" s="66">
        <f>INDEX(Projects[PS Shuttles],331)</f>
        <v/>
      </c>
      <c r="H332" s="66">
        <f>INDEX(Projects[PS Pallet Locations],331)</f>
        <v/>
      </c>
      <c r="I332" s="66">
        <f>INDEX(Projects[SRM Cranes],331)</f>
        <v/>
      </c>
      <c r="J332" s="66">
        <f>INDEX(Projects[SRM Pallet Locations],331)</f>
        <v/>
      </c>
      <c r="K332" s="66">
        <f>INDEX(Projects[Case Conv (m)],331)</f>
        <v/>
      </c>
      <c r="L332" s="66">
        <f>INDEX(Projects[Pallet Conv (m)],331)</f>
        <v/>
      </c>
      <c r="M332" s="66">
        <f>INDEX(Projects[Mech Eng (wks)],331)</f>
        <v/>
      </c>
      <c r="N332" s="66">
        <f>INDEX(Projects[Controls Eng (wks)],331)</f>
        <v/>
      </c>
      <c r="O332" s="66">
        <f>INDEX(Projects[Systems Eng (wks)],331)</f>
        <v/>
      </c>
      <c r="P332" s="66">
        <f>INDEX(Projects[Software Eng (wks)],331)</f>
        <v/>
      </c>
      <c r="Q332" s="66">
        <f>INDEX(Projects[M&amp;E Installation (wks)],331)</f>
        <v/>
      </c>
      <c r="R332" s="66">
        <f>INDEX(Projects[Commissioning (wks)],331)</f>
        <v/>
      </c>
      <c r="S332" s="66">
        <f>INDEX(Projects[Total Timeline (wks)],331)</f>
        <v/>
      </c>
      <c r="T332" s="66">
        <f>INDEX(Projects[Currency],331)&amp;""</f>
        <v/>
      </c>
      <c r="U332" s="67">
        <f>INDEX(Projects[Value (M)],331)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INDEX(Projects[Automation Equipment],331)&amp;""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IF(AND(A332&lt;&gt;"",OR('Smart Search'!$L$5="",'Smart Search'!$L$5="All",TRIM(BZ332)=TRIM('Smart Search'!$L$5)),OR(TRIM('Smart Search'!$L$6)="",TRIM('Smart Search'!$L$6)="All",ISNUMBER(SEARCH(SUBSTITUTE(SUBSTITUTE(SUBSTITUTE(TRIM('Smart Search'!$L$6),"~","~~"),"*","~*"),"?","~?"),CA332))),OR('Smart Search'!$L$7="",AND(CB332&lt;&gt;0,CB332='Smart Search'!$L$7)),OR('Smart Search'!$L$8="",'Smart Search'!$L$8="All",TRIM(CC332)=TRIM('Smart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IF(A332="","",N(INDEX(Projects[Mech Inst],331)))</f>
        <v/>
      </c>
      <c r="BK332" s="5">
        <f>IF(A332="","",N(INDEX(Projects[Elec Inst],331)))</f>
        <v/>
      </c>
      <c r="BL332" s="5">
        <f>IF(A332="","",N(INDEX(Projects[Project Management],331)))</f>
        <v/>
      </c>
      <c r="BM332" s="5">
        <f>IF(A332="","",N(INDEX(Projects[Systems Eng],331)))</f>
        <v/>
      </c>
      <c r="BN332" s="5">
        <f>IF(A332="","",N(INDEX(Projects[Mechanical Eng],331)))</f>
        <v/>
      </c>
      <c r="BO332" s="5">
        <f>IF(A332="","",N(INDEX(Projects[Structural Engineering],331)))</f>
        <v/>
      </c>
      <c r="BP332" s="5">
        <f>IF(A332="","",N(INDEX(Projects[Site Sup],331)))</f>
        <v/>
      </c>
      <c r="BQ332" s="5">
        <f>IF(A332="","",N(INDEX(Projects[Controls Commissioning],331)))</f>
        <v/>
      </c>
      <c r="BR332" s="5">
        <f>IF(A332="","",N(INDEX(Projects[Systems Commissioning],331)))</f>
        <v/>
      </c>
      <c r="BS332" s="5">
        <f>IF(A332="","",N(INDEX(Projects[Service Commissioning],331)))</f>
        <v/>
      </c>
      <c r="BT332" s="5">
        <f>IF(A332="","",N(INDEX(Projects[Controls Eng],331)))</f>
        <v/>
      </c>
      <c r="BU332" s="5">
        <f>IF(A332="","",N(INDEX(Projects[Controls Purchase],331)))</f>
        <v/>
      </c>
      <c r="BV332" s="5">
        <f>IF(A332="","",N(INDEX(Projects[Software Eng],331)))</f>
        <v/>
      </c>
      <c r="BW332" s="5">
        <f>IF(A332="","",N(INDEX(Projects[Misc],331)))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  <c r="BZ332" s="5">
        <f>INDEX(Projects[Solution Type],331)&amp;""</f>
        <v/>
      </c>
      <c r="CA332" s="5">
        <f>INDEX(Projects[Client / Region],331)&amp;""</f>
        <v/>
      </c>
      <c r="CB332" s="5">
        <f>INDEX(Projects[Year],331)</f>
        <v/>
      </c>
      <c r="CC332" s="5">
        <f>INDEX(Projects[Won?],331)&amp;""</f>
        <v/>
      </c>
      <c r="CD332" s="5">
        <f>INDEX(Projects[Value (USD M)],331)</f>
        <v/>
      </c>
      <c r="CE332" s="5">
        <f>INDEX(Projects[MH Data Status],331)&amp;""</f>
        <v/>
      </c>
    </row>
    <row r="333" ht="15" customHeight="1" s="74">
      <c r="A333" s="66">
        <f>INDEX(Projects[Project ID *],332)&amp;""</f>
        <v/>
      </c>
      <c r="B333" s="66">
        <f>INDEX(Projects[Project Name *],332)&amp;""</f>
        <v/>
      </c>
      <c r="C333" s="66">
        <f>INDEX(Projects[MS Shuttles],332)</f>
        <v/>
      </c>
      <c r="D333" s="66">
        <f>INDEX(Projects[MS Tote Locations],332)</f>
        <v/>
      </c>
      <c r="E333" s="66">
        <f>INDEX(Projects[AS Robots],332)</f>
        <v/>
      </c>
      <c r="F333" s="66">
        <f>INDEX(Projects[AS Tote Locations],332)</f>
        <v/>
      </c>
      <c r="G333" s="66">
        <f>INDEX(Projects[PS Shuttles],332)</f>
        <v/>
      </c>
      <c r="H333" s="66">
        <f>INDEX(Projects[PS Pallet Locations],332)</f>
        <v/>
      </c>
      <c r="I333" s="66">
        <f>INDEX(Projects[SRM Cranes],332)</f>
        <v/>
      </c>
      <c r="J333" s="66">
        <f>INDEX(Projects[SRM Pallet Locations],332)</f>
        <v/>
      </c>
      <c r="K333" s="66">
        <f>INDEX(Projects[Case Conv (m)],332)</f>
        <v/>
      </c>
      <c r="L333" s="66">
        <f>INDEX(Projects[Pallet Conv (m)],332)</f>
        <v/>
      </c>
      <c r="M333" s="66">
        <f>INDEX(Projects[Mech Eng (wks)],332)</f>
        <v/>
      </c>
      <c r="N333" s="66">
        <f>INDEX(Projects[Controls Eng (wks)],332)</f>
        <v/>
      </c>
      <c r="O333" s="66">
        <f>INDEX(Projects[Systems Eng (wks)],332)</f>
        <v/>
      </c>
      <c r="P333" s="66">
        <f>INDEX(Projects[Software Eng (wks)],332)</f>
        <v/>
      </c>
      <c r="Q333" s="66">
        <f>INDEX(Projects[M&amp;E Installation (wks)],332)</f>
        <v/>
      </c>
      <c r="R333" s="66">
        <f>INDEX(Projects[Commissioning (wks)],332)</f>
        <v/>
      </c>
      <c r="S333" s="66">
        <f>INDEX(Projects[Total Timeline (wks)],332)</f>
        <v/>
      </c>
      <c r="T333" s="66">
        <f>INDEX(Projects[Currency],332)&amp;""</f>
        <v/>
      </c>
      <c r="U333" s="67">
        <f>INDEX(Projects[Value (M)],332)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INDEX(Projects[Automation Equipment],332)&amp;""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IF(AND(A333&lt;&gt;"",OR('Smart Search'!$L$5="",'Smart Search'!$L$5="All",TRIM(BZ333)=TRIM('Smart Search'!$L$5)),OR(TRIM('Smart Search'!$L$6)="",TRIM('Smart Search'!$L$6)="All",ISNUMBER(SEARCH(SUBSTITUTE(SUBSTITUTE(SUBSTITUTE(TRIM('Smart Search'!$L$6),"~","~~"),"*","~*"),"?","~?"),CA333))),OR('Smart Search'!$L$7="",AND(CB333&lt;&gt;0,CB333='Smart Search'!$L$7)),OR('Smart Search'!$L$8="",'Smart Search'!$L$8="All",TRIM(CC333)=TRIM('Smart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IF(A333="","",N(INDEX(Projects[Mech Inst],332)))</f>
        <v/>
      </c>
      <c r="BK333" s="5">
        <f>IF(A333="","",N(INDEX(Projects[Elec Inst],332)))</f>
        <v/>
      </c>
      <c r="BL333" s="5">
        <f>IF(A333="","",N(INDEX(Projects[Project Management],332)))</f>
        <v/>
      </c>
      <c r="BM333" s="5">
        <f>IF(A333="","",N(INDEX(Projects[Systems Eng],332)))</f>
        <v/>
      </c>
      <c r="BN333" s="5">
        <f>IF(A333="","",N(INDEX(Projects[Mechanical Eng],332)))</f>
        <v/>
      </c>
      <c r="BO333" s="5">
        <f>IF(A333="","",N(INDEX(Projects[Structural Engineering],332)))</f>
        <v/>
      </c>
      <c r="BP333" s="5">
        <f>IF(A333="","",N(INDEX(Projects[Site Sup],332)))</f>
        <v/>
      </c>
      <c r="BQ333" s="5">
        <f>IF(A333="","",N(INDEX(Projects[Controls Commissioning],332)))</f>
        <v/>
      </c>
      <c r="BR333" s="5">
        <f>IF(A333="","",N(INDEX(Projects[Systems Commissioning],332)))</f>
        <v/>
      </c>
      <c r="BS333" s="5">
        <f>IF(A333="","",N(INDEX(Projects[Service Commissioning],332)))</f>
        <v/>
      </c>
      <c r="BT333" s="5">
        <f>IF(A333="","",N(INDEX(Projects[Controls Eng],332)))</f>
        <v/>
      </c>
      <c r="BU333" s="5">
        <f>IF(A333="","",N(INDEX(Projects[Controls Purchase],332)))</f>
        <v/>
      </c>
      <c r="BV333" s="5">
        <f>IF(A333="","",N(INDEX(Projects[Software Eng],332)))</f>
        <v/>
      </c>
      <c r="BW333" s="5">
        <f>IF(A333="","",N(INDEX(Projects[Misc],332)))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  <c r="BZ333" s="5">
        <f>INDEX(Projects[Solution Type],332)&amp;""</f>
        <v/>
      </c>
      <c r="CA333" s="5">
        <f>INDEX(Projects[Client / Region],332)&amp;""</f>
        <v/>
      </c>
      <c r="CB333" s="5">
        <f>INDEX(Projects[Year],332)</f>
        <v/>
      </c>
      <c r="CC333" s="5">
        <f>INDEX(Projects[Won?],332)&amp;""</f>
        <v/>
      </c>
      <c r="CD333" s="5">
        <f>INDEX(Projects[Value (USD M)],332)</f>
        <v/>
      </c>
      <c r="CE333" s="5">
        <f>INDEX(Projects[MH Data Status],332)&amp;""</f>
        <v/>
      </c>
    </row>
    <row r="334" ht="15" customHeight="1" s="74">
      <c r="A334" s="66">
        <f>INDEX(Projects[Project ID *],333)&amp;""</f>
        <v/>
      </c>
      <c r="B334" s="66">
        <f>INDEX(Projects[Project Name *],333)&amp;""</f>
        <v/>
      </c>
      <c r="C334" s="66">
        <f>INDEX(Projects[MS Shuttles],333)</f>
        <v/>
      </c>
      <c r="D334" s="66">
        <f>INDEX(Projects[MS Tote Locations],333)</f>
        <v/>
      </c>
      <c r="E334" s="66">
        <f>INDEX(Projects[AS Robots],333)</f>
        <v/>
      </c>
      <c r="F334" s="66">
        <f>INDEX(Projects[AS Tote Locations],333)</f>
        <v/>
      </c>
      <c r="G334" s="66">
        <f>INDEX(Projects[PS Shuttles],333)</f>
        <v/>
      </c>
      <c r="H334" s="66">
        <f>INDEX(Projects[PS Pallet Locations],333)</f>
        <v/>
      </c>
      <c r="I334" s="66">
        <f>INDEX(Projects[SRM Cranes],333)</f>
        <v/>
      </c>
      <c r="J334" s="66">
        <f>INDEX(Projects[SRM Pallet Locations],333)</f>
        <v/>
      </c>
      <c r="K334" s="66">
        <f>INDEX(Projects[Case Conv (m)],333)</f>
        <v/>
      </c>
      <c r="L334" s="66">
        <f>INDEX(Projects[Pallet Conv (m)],333)</f>
        <v/>
      </c>
      <c r="M334" s="66">
        <f>INDEX(Projects[Mech Eng (wks)],333)</f>
        <v/>
      </c>
      <c r="N334" s="66">
        <f>INDEX(Projects[Controls Eng (wks)],333)</f>
        <v/>
      </c>
      <c r="O334" s="66">
        <f>INDEX(Projects[Systems Eng (wks)],333)</f>
        <v/>
      </c>
      <c r="P334" s="66">
        <f>INDEX(Projects[Software Eng (wks)],333)</f>
        <v/>
      </c>
      <c r="Q334" s="66">
        <f>INDEX(Projects[M&amp;E Installation (wks)],333)</f>
        <v/>
      </c>
      <c r="R334" s="66">
        <f>INDEX(Projects[Commissioning (wks)],333)</f>
        <v/>
      </c>
      <c r="S334" s="66">
        <f>INDEX(Projects[Total Timeline (wks)],333)</f>
        <v/>
      </c>
      <c r="T334" s="66">
        <f>INDEX(Projects[Currency],333)&amp;""</f>
        <v/>
      </c>
      <c r="U334" s="67">
        <f>INDEX(Projects[Value (M)],333)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INDEX(Projects[Automation Equipment],333)&amp;""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IF(AND(A334&lt;&gt;"",OR('Smart Search'!$L$5="",'Smart Search'!$L$5="All",TRIM(BZ334)=TRIM('Smart Search'!$L$5)),OR(TRIM('Smart Search'!$L$6)="",TRIM('Smart Search'!$L$6)="All",ISNUMBER(SEARCH(SUBSTITUTE(SUBSTITUTE(SUBSTITUTE(TRIM('Smart Search'!$L$6),"~","~~"),"*","~*"),"?","~?"),CA334))),OR('Smart Search'!$L$7="",AND(CB334&lt;&gt;0,CB334='Smart Search'!$L$7)),OR('Smart Search'!$L$8="",'Smart Search'!$L$8="All",TRIM(CC334)=TRIM('Smart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IF(A334="","",N(INDEX(Projects[Mech Inst],333)))</f>
        <v/>
      </c>
      <c r="BK334" s="5">
        <f>IF(A334="","",N(INDEX(Projects[Elec Inst],333)))</f>
        <v/>
      </c>
      <c r="BL334" s="5">
        <f>IF(A334="","",N(INDEX(Projects[Project Management],333)))</f>
        <v/>
      </c>
      <c r="BM334" s="5">
        <f>IF(A334="","",N(INDEX(Projects[Systems Eng],333)))</f>
        <v/>
      </c>
      <c r="BN334" s="5">
        <f>IF(A334="","",N(INDEX(Projects[Mechanical Eng],333)))</f>
        <v/>
      </c>
      <c r="BO334" s="5">
        <f>IF(A334="","",N(INDEX(Projects[Structural Engineering],333)))</f>
        <v/>
      </c>
      <c r="BP334" s="5">
        <f>IF(A334="","",N(INDEX(Projects[Site Sup],333)))</f>
        <v/>
      </c>
      <c r="BQ334" s="5">
        <f>IF(A334="","",N(INDEX(Projects[Controls Commissioning],333)))</f>
        <v/>
      </c>
      <c r="BR334" s="5">
        <f>IF(A334="","",N(INDEX(Projects[Systems Commissioning],333)))</f>
        <v/>
      </c>
      <c r="BS334" s="5">
        <f>IF(A334="","",N(INDEX(Projects[Service Commissioning],333)))</f>
        <v/>
      </c>
      <c r="BT334" s="5">
        <f>IF(A334="","",N(INDEX(Projects[Controls Eng],333)))</f>
        <v/>
      </c>
      <c r="BU334" s="5">
        <f>IF(A334="","",N(INDEX(Projects[Controls Purchase],333)))</f>
        <v/>
      </c>
      <c r="BV334" s="5">
        <f>IF(A334="","",N(INDEX(Projects[Software Eng],333)))</f>
        <v/>
      </c>
      <c r="BW334" s="5">
        <f>IF(A334="","",N(INDEX(Projects[Misc],333)))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  <c r="BZ334" s="5">
        <f>INDEX(Projects[Solution Type],333)&amp;""</f>
        <v/>
      </c>
      <c r="CA334" s="5">
        <f>INDEX(Projects[Client / Region],333)&amp;""</f>
        <v/>
      </c>
      <c r="CB334" s="5">
        <f>INDEX(Projects[Year],333)</f>
        <v/>
      </c>
      <c r="CC334" s="5">
        <f>INDEX(Projects[Won?],333)&amp;""</f>
        <v/>
      </c>
      <c r="CD334" s="5">
        <f>INDEX(Projects[Value (USD M)],333)</f>
        <v/>
      </c>
      <c r="CE334" s="5">
        <f>INDEX(Projects[MH Data Status],333)&amp;""</f>
        <v/>
      </c>
    </row>
    <row r="335" ht="15" customHeight="1" s="74">
      <c r="A335" s="66">
        <f>INDEX(Projects[Project ID *],334)&amp;""</f>
        <v/>
      </c>
      <c r="B335" s="66">
        <f>INDEX(Projects[Project Name *],334)&amp;""</f>
        <v/>
      </c>
      <c r="C335" s="66">
        <f>INDEX(Projects[MS Shuttles],334)</f>
        <v/>
      </c>
      <c r="D335" s="66">
        <f>INDEX(Projects[MS Tote Locations],334)</f>
        <v/>
      </c>
      <c r="E335" s="66">
        <f>INDEX(Projects[AS Robots],334)</f>
        <v/>
      </c>
      <c r="F335" s="66">
        <f>INDEX(Projects[AS Tote Locations],334)</f>
        <v/>
      </c>
      <c r="G335" s="66">
        <f>INDEX(Projects[PS Shuttles],334)</f>
        <v/>
      </c>
      <c r="H335" s="66">
        <f>INDEX(Projects[PS Pallet Locations],334)</f>
        <v/>
      </c>
      <c r="I335" s="66">
        <f>INDEX(Projects[SRM Cranes],334)</f>
        <v/>
      </c>
      <c r="J335" s="66">
        <f>INDEX(Projects[SRM Pallet Locations],334)</f>
        <v/>
      </c>
      <c r="K335" s="66">
        <f>INDEX(Projects[Case Conv (m)],334)</f>
        <v/>
      </c>
      <c r="L335" s="66">
        <f>INDEX(Projects[Pallet Conv (m)],334)</f>
        <v/>
      </c>
      <c r="M335" s="66">
        <f>INDEX(Projects[Mech Eng (wks)],334)</f>
        <v/>
      </c>
      <c r="N335" s="66">
        <f>INDEX(Projects[Controls Eng (wks)],334)</f>
        <v/>
      </c>
      <c r="O335" s="66">
        <f>INDEX(Projects[Systems Eng (wks)],334)</f>
        <v/>
      </c>
      <c r="P335" s="66">
        <f>INDEX(Projects[Software Eng (wks)],334)</f>
        <v/>
      </c>
      <c r="Q335" s="66">
        <f>INDEX(Projects[M&amp;E Installation (wks)],334)</f>
        <v/>
      </c>
      <c r="R335" s="66">
        <f>INDEX(Projects[Commissioning (wks)],334)</f>
        <v/>
      </c>
      <c r="S335" s="66">
        <f>INDEX(Projects[Total Timeline (wks)],334)</f>
        <v/>
      </c>
      <c r="T335" s="66">
        <f>INDEX(Projects[Currency],334)&amp;""</f>
        <v/>
      </c>
      <c r="U335" s="67">
        <f>INDEX(Projects[Value (M)],334)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INDEX(Projects[Automation Equipment],334)&amp;""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IF(AND(A335&lt;&gt;"",OR('Smart Search'!$L$5="",'Smart Search'!$L$5="All",TRIM(BZ335)=TRIM('Smart Search'!$L$5)),OR(TRIM('Smart Search'!$L$6)="",TRIM('Smart Search'!$L$6)="All",ISNUMBER(SEARCH(SUBSTITUTE(SUBSTITUTE(SUBSTITUTE(TRIM('Smart Search'!$L$6),"~","~~"),"*","~*"),"?","~?"),CA335))),OR('Smart Search'!$L$7="",AND(CB335&lt;&gt;0,CB335='Smart Search'!$L$7)),OR('Smart Search'!$L$8="",'Smart Search'!$L$8="All",TRIM(CC335)=TRIM('Smart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IF(A335="","",N(INDEX(Projects[Mech Inst],334)))</f>
        <v/>
      </c>
      <c r="BK335" s="5">
        <f>IF(A335="","",N(INDEX(Projects[Elec Inst],334)))</f>
        <v/>
      </c>
      <c r="BL335" s="5">
        <f>IF(A335="","",N(INDEX(Projects[Project Management],334)))</f>
        <v/>
      </c>
      <c r="BM335" s="5">
        <f>IF(A335="","",N(INDEX(Projects[Systems Eng],334)))</f>
        <v/>
      </c>
      <c r="BN335" s="5">
        <f>IF(A335="","",N(INDEX(Projects[Mechanical Eng],334)))</f>
        <v/>
      </c>
      <c r="BO335" s="5">
        <f>IF(A335="","",N(INDEX(Projects[Structural Engineering],334)))</f>
        <v/>
      </c>
      <c r="BP335" s="5">
        <f>IF(A335="","",N(INDEX(Projects[Site Sup],334)))</f>
        <v/>
      </c>
      <c r="BQ335" s="5">
        <f>IF(A335="","",N(INDEX(Projects[Controls Commissioning],334)))</f>
        <v/>
      </c>
      <c r="BR335" s="5">
        <f>IF(A335="","",N(INDEX(Projects[Systems Commissioning],334)))</f>
        <v/>
      </c>
      <c r="BS335" s="5">
        <f>IF(A335="","",N(INDEX(Projects[Service Commissioning],334)))</f>
        <v/>
      </c>
      <c r="BT335" s="5">
        <f>IF(A335="","",N(INDEX(Projects[Controls Eng],334)))</f>
        <v/>
      </c>
      <c r="BU335" s="5">
        <f>IF(A335="","",N(INDEX(Projects[Controls Purchase],334)))</f>
        <v/>
      </c>
      <c r="BV335" s="5">
        <f>IF(A335="","",N(INDEX(Projects[Software Eng],334)))</f>
        <v/>
      </c>
      <c r="BW335" s="5">
        <f>IF(A335="","",N(INDEX(Projects[Misc],334)))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  <c r="BZ335" s="5">
        <f>INDEX(Projects[Solution Type],334)&amp;""</f>
        <v/>
      </c>
      <c r="CA335" s="5">
        <f>INDEX(Projects[Client / Region],334)&amp;""</f>
        <v/>
      </c>
      <c r="CB335" s="5">
        <f>INDEX(Projects[Year],334)</f>
        <v/>
      </c>
      <c r="CC335" s="5">
        <f>INDEX(Projects[Won?],334)&amp;""</f>
        <v/>
      </c>
      <c r="CD335" s="5">
        <f>INDEX(Projects[Value (USD M)],334)</f>
        <v/>
      </c>
      <c r="CE335" s="5">
        <f>INDEX(Projects[MH Data Status],334)&amp;""</f>
        <v/>
      </c>
    </row>
    <row r="336" ht="15" customHeight="1" s="74">
      <c r="A336" s="66">
        <f>INDEX(Projects[Project ID *],335)&amp;""</f>
        <v/>
      </c>
      <c r="B336" s="66">
        <f>INDEX(Projects[Project Name *],335)&amp;""</f>
        <v/>
      </c>
      <c r="C336" s="66">
        <f>INDEX(Projects[MS Shuttles],335)</f>
        <v/>
      </c>
      <c r="D336" s="66">
        <f>INDEX(Projects[MS Tote Locations],335)</f>
        <v/>
      </c>
      <c r="E336" s="66">
        <f>INDEX(Projects[AS Robots],335)</f>
        <v/>
      </c>
      <c r="F336" s="66">
        <f>INDEX(Projects[AS Tote Locations],335)</f>
        <v/>
      </c>
      <c r="G336" s="66">
        <f>INDEX(Projects[PS Shuttles],335)</f>
        <v/>
      </c>
      <c r="H336" s="66">
        <f>INDEX(Projects[PS Pallet Locations],335)</f>
        <v/>
      </c>
      <c r="I336" s="66">
        <f>INDEX(Projects[SRM Cranes],335)</f>
        <v/>
      </c>
      <c r="J336" s="66">
        <f>INDEX(Projects[SRM Pallet Locations],335)</f>
        <v/>
      </c>
      <c r="K336" s="66">
        <f>INDEX(Projects[Case Conv (m)],335)</f>
        <v/>
      </c>
      <c r="L336" s="66">
        <f>INDEX(Projects[Pallet Conv (m)],335)</f>
        <v/>
      </c>
      <c r="M336" s="66">
        <f>INDEX(Projects[Mech Eng (wks)],335)</f>
        <v/>
      </c>
      <c r="N336" s="66">
        <f>INDEX(Projects[Controls Eng (wks)],335)</f>
        <v/>
      </c>
      <c r="O336" s="66">
        <f>INDEX(Projects[Systems Eng (wks)],335)</f>
        <v/>
      </c>
      <c r="P336" s="66">
        <f>INDEX(Projects[Software Eng (wks)],335)</f>
        <v/>
      </c>
      <c r="Q336" s="66">
        <f>INDEX(Projects[M&amp;E Installation (wks)],335)</f>
        <v/>
      </c>
      <c r="R336" s="66">
        <f>INDEX(Projects[Commissioning (wks)],335)</f>
        <v/>
      </c>
      <c r="S336" s="66">
        <f>INDEX(Projects[Total Timeline (wks)],335)</f>
        <v/>
      </c>
      <c r="T336" s="66">
        <f>INDEX(Projects[Currency],335)&amp;""</f>
        <v/>
      </c>
      <c r="U336" s="67">
        <f>INDEX(Projects[Value (M)],335)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INDEX(Projects[Automation Equipment],335)&amp;""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IF(AND(A336&lt;&gt;"",OR('Smart Search'!$L$5="",'Smart Search'!$L$5="All",TRIM(BZ336)=TRIM('Smart Search'!$L$5)),OR(TRIM('Smart Search'!$L$6)="",TRIM('Smart Search'!$L$6)="All",ISNUMBER(SEARCH(SUBSTITUTE(SUBSTITUTE(SUBSTITUTE(TRIM('Smart Search'!$L$6),"~","~~"),"*","~*"),"?","~?"),CA336))),OR('Smart Search'!$L$7="",AND(CB336&lt;&gt;0,CB336='Smart Search'!$L$7)),OR('Smart Search'!$L$8="",'Smart Search'!$L$8="All",TRIM(CC336)=TRIM('Smart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IF(A336="","",N(INDEX(Projects[Mech Inst],335)))</f>
        <v/>
      </c>
      <c r="BK336" s="5">
        <f>IF(A336="","",N(INDEX(Projects[Elec Inst],335)))</f>
        <v/>
      </c>
      <c r="BL336" s="5">
        <f>IF(A336="","",N(INDEX(Projects[Project Management],335)))</f>
        <v/>
      </c>
      <c r="BM336" s="5">
        <f>IF(A336="","",N(INDEX(Projects[Systems Eng],335)))</f>
        <v/>
      </c>
      <c r="BN336" s="5">
        <f>IF(A336="","",N(INDEX(Projects[Mechanical Eng],335)))</f>
        <v/>
      </c>
      <c r="BO336" s="5">
        <f>IF(A336="","",N(INDEX(Projects[Structural Engineering],335)))</f>
        <v/>
      </c>
      <c r="BP336" s="5">
        <f>IF(A336="","",N(INDEX(Projects[Site Sup],335)))</f>
        <v/>
      </c>
      <c r="BQ336" s="5">
        <f>IF(A336="","",N(INDEX(Projects[Controls Commissioning],335)))</f>
        <v/>
      </c>
      <c r="BR336" s="5">
        <f>IF(A336="","",N(INDEX(Projects[Systems Commissioning],335)))</f>
        <v/>
      </c>
      <c r="BS336" s="5">
        <f>IF(A336="","",N(INDEX(Projects[Service Commissioning],335)))</f>
        <v/>
      </c>
      <c r="BT336" s="5">
        <f>IF(A336="","",N(INDEX(Projects[Controls Eng],335)))</f>
        <v/>
      </c>
      <c r="BU336" s="5">
        <f>IF(A336="","",N(INDEX(Projects[Controls Purchase],335)))</f>
        <v/>
      </c>
      <c r="BV336" s="5">
        <f>IF(A336="","",N(INDEX(Projects[Software Eng],335)))</f>
        <v/>
      </c>
      <c r="BW336" s="5">
        <f>IF(A336="","",N(INDEX(Projects[Misc],335)))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  <c r="BZ336" s="5">
        <f>INDEX(Projects[Solution Type],335)&amp;""</f>
        <v/>
      </c>
      <c r="CA336" s="5">
        <f>INDEX(Projects[Client / Region],335)&amp;""</f>
        <v/>
      </c>
      <c r="CB336" s="5">
        <f>INDEX(Projects[Year],335)</f>
        <v/>
      </c>
      <c r="CC336" s="5">
        <f>INDEX(Projects[Won?],335)&amp;""</f>
        <v/>
      </c>
      <c r="CD336" s="5">
        <f>INDEX(Projects[Value (USD M)],335)</f>
        <v/>
      </c>
      <c r="CE336" s="5">
        <f>INDEX(Projects[MH Data Status],335)&amp;""</f>
        <v/>
      </c>
    </row>
    <row r="337" ht="15" customHeight="1" s="74">
      <c r="A337" s="66">
        <f>INDEX(Projects[Project ID *],336)&amp;""</f>
        <v/>
      </c>
      <c r="B337" s="66">
        <f>INDEX(Projects[Project Name *],336)&amp;""</f>
        <v/>
      </c>
      <c r="C337" s="66">
        <f>INDEX(Projects[MS Shuttles],336)</f>
        <v/>
      </c>
      <c r="D337" s="66">
        <f>INDEX(Projects[MS Tote Locations],336)</f>
        <v/>
      </c>
      <c r="E337" s="66">
        <f>INDEX(Projects[AS Robots],336)</f>
        <v/>
      </c>
      <c r="F337" s="66">
        <f>INDEX(Projects[AS Tote Locations],336)</f>
        <v/>
      </c>
      <c r="G337" s="66">
        <f>INDEX(Projects[PS Shuttles],336)</f>
        <v/>
      </c>
      <c r="H337" s="66">
        <f>INDEX(Projects[PS Pallet Locations],336)</f>
        <v/>
      </c>
      <c r="I337" s="66">
        <f>INDEX(Projects[SRM Cranes],336)</f>
        <v/>
      </c>
      <c r="J337" s="66">
        <f>INDEX(Projects[SRM Pallet Locations],336)</f>
        <v/>
      </c>
      <c r="K337" s="66">
        <f>INDEX(Projects[Case Conv (m)],336)</f>
        <v/>
      </c>
      <c r="L337" s="66">
        <f>INDEX(Projects[Pallet Conv (m)],336)</f>
        <v/>
      </c>
      <c r="M337" s="66">
        <f>INDEX(Projects[Mech Eng (wks)],336)</f>
        <v/>
      </c>
      <c r="N337" s="66">
        <f>INDEX(Projects[Controls Eng (wks)],336)</f>
        <v/>
      </c>
      <c r="O337" s="66">
        <f>INDEX(Projects[Systems Eng (wks)],336)</f>
        <v/>
      </c>
      <c r="P337" s="66">
        <f>INDEX(Projects[Software Eng (wks)],336)</f>
        <v/>
      </c>
      <c r="Q337" s="66">
        <f>INDEX(Projects[M&amp;E Installation (wks)],336)</f>
        <v/>
      </c>
      <c r="R337" s="66">
        <f>INDEX(Projects[Commissioning (wks)],336)</f>
        <v/>
      </c>
      <c r="S337" s="66">
        <f>INDEX(Projects[Total Timeline (wks)],336)</f>
        <v/>
      </c>
      <c r="T337" s="66">
        <f>INDEX(Projects[Currency],336)&amp;""</f>
        <v/>
      </c>
      <c r="U337" s="67">
        <f>INDEX(Projects[Value (M)],336)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INDEX(Projects[Automation Equipment],336)&amp;""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IF(AND(A337&lt;&gt;"",OR('Smart Search'!$L$5="",'Smart Search'!$L$5="All",TRIM(BZ337)=TRIM('Smart Search'!$L$5)),OR(TRIM('Smart Search'!$L$6)="",TRIM('Smart Search'!$L$6)="All",ISNUMBER(SEARCH(SUBSTITUTE(SUBSTITUTE(SUBSTITUTE(TRIM('Smart Search'!$L$6),"~","~~"),"*","~*"),"?","~?"),CA337))),OR('Smart Search'!$L$7="",AND(CB337&lt;&gt;0,CB337='Smart Search'!$L$7)),OR('Smart Search'!$L$8="",'Smart Search'!$L$8="All",TRIM(CC337)=TRIM('Smart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IF(A337="","",N(INDEX(Projects[Mech Inst],336)))</f>
        <v/>
      </c>
      <c r="BK337" s="5">
        <f>IF(A337="","",N(INDEX(Projects[Elec Inst],336)))</f>
        <v/>
      </c>
      <c r="BL337" s="5">
        <f>IF(A337="","",N(INDEX(Projects[Project Management],336)))</f>
        <v/>
      </c>
      <c r="BM337" s="5">
        <f>IF(A337="","",N(INDEX(Projects[Systems Eng],336)))</f>
        <v/>
      </c>
      <c r="BN337" s="5">
        <f>IF(A337="","",N(INDEX(Projects[Mechanical Eng],336)))</f>
        <v/>
      </c>
      <c r="BO337" s="5">
        <f>IF(A337="","",N(INDEX(Projects[Structural Engineering],336)))</f>
        <v/>
      </c>
      <c r="BP337" s="5">
        <f>IF(A337="","",N(INDEX(Projects[Site Sup],336)))</f>
        <v/>
      </c>
      <c r="BQ337" s="5">
        <f>IF(A337="","",N(INDEX(Projects[Controls Commissioning],336)))</f>
        <v/>
      </c>
      <c r="BR337" s="5">
        <f>IF(A337="","",N(INDEX(Projects[Systems Commissioning],336)))</f>
        <v/>
      </c>
      <c r="BS337" s="5">
        <f>IF(A337="","",N(INDEX(Projects[Service Commissioning],336)))</f>
        <v/>
      </c>
      <c r="BT337" s="5">
        <f>IF(A337="","",N(INDEX(Projects[Controls Eng],336)))</f>
        <v/>
      </c>
      <c r="BU337" s="5">
        <f>IF(A337="","",N(INDEX(Projects[Controls Purchase],336)))</f>
        <v/>
      </c>
      <c r="BV337" s="5">
        <f>IF(A337="","",N(INDEX(Projects[Software Eng],336)))</f>
        <v/>
      </c>
      <c r="BW337" s="5">
        <f>IF(A337="","",N(INDEX(Projects[Misc],336)))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  <c r="BZ337" s="5">
        <f>INDEX(Projects[Solution Type],336)&amp;""</f>
        <v/>
      </c>
      <c r="CA337" s="5">
        <f>INDEX(Projects[Client / Region],336)&amp;""</f>
        <v/>
      </c>
      <c r="CB337" s="5">
        <f>INDEX(Projects[Year],336)</f>
        <v/>
      </c>
      <c r="CC337" s="5">
        <f>INDEX(Projects[Won?],336)&amp;""</f>
        <v/>
      </c>
      <c r="CD337" s="5">
        <f>INDEX(Projects[Value (USD M)],336)</f>
        <v/>
      </c>
      <c r="CE337" s="5">
        <f>INDEX(Projects[MH Data Status],336)&amp;""</f>
        <v/>
      </c>
    </row>
    <row r="338" ht="15" customHeight="1" s="74">
      <c r="A338" s="66">
        <f>INDEX(Projects[Project ID *],337)&amp;""</f>
        <v/>
      </c>
      <c r="B338" s="66">
        <f>INDEX(Projects[Project Name *],337)&amp;""</f>
        <v/>
      </c>
      <c r="C338" s="66">
        <f>INDEX(Projects[MS Shuttles],337)</f>
        <v/>
      </c>
      <c r="D338" s="66">
        <f>INDEX(Projects[MS Tote Locations],337)</f>
        <v/>
      </c>
      <c r="E338" s="66">
        <f>INDEX(Projects[AS Robots],337)</f>
        <v/>
      </c>
      <c r="F338" s="66">
        <f>INDEX(Projects[AS Tote Locations],337)</f>
        <v/>
      </c>
      <c r="G338" s="66">
        <f>INDEX(Projects[PS Shuttles],337)</f>
        <v/>
      </c>
      <c r="H338" s="66">
        <f>INDEX(Projects[PS Pallet Locations],337)</f>
        <v/>
      </c>
      <c r="I338" s="66">
        <f>INDEX(Projects[SRM Cranes],337)</f>
        <v/>
      </c>
      <c r="J338" s="66">
        <f>INDEX(Projects[SRM Pallet Locations],337)</f>
        <v/>
      </c>
      <c r="K338" s="66">
        <f>INDEX(Projects[Case Conv (m)],337)</f>
        <v/>
      </c>
      <c r="L338" s="66">
        <f>INDEX(Projects[Pallet Conv (m)],337)</f>
        <v/>
      </c>
      <c r="M338" s="66">
        <f>INDEX(Projects[Mech Eng (wks)],337)</f>
        <v/>
      </c>
      <c r="N338" s="66">
        <f>INDEX(Projects[Controls Eng (wks)],337)</f>
        <v/>
      </c>
      <c r="O338" s="66">
        <f>INDEX(Projects[Systems Eng (wks)],337)</f>
        <v/>
      </c>
      <c r="P338" s="66">
        <f>INDEX(Projects[Software Eng (wks)],337)</f>
        <v/>
      </c>
      <c r="Q338" s="66">
        <f>INDEX(Projects[M&amp;E Installation (wks)],337)</f>
        <v/>
      </c>
      <c r="R338" s="66">
        <f>INDEX(Projects[Commissioning (wks)],337)</f>
        <v/>
      </c>
      <c r="S338" s="66">
        <f>INDEX(Projects[Total Timeline (wks)],337)</f>
        <v/>
      </c>
      <c r="T338" s="66">
        <f>INDEX(Projects[Currency],337)&amp;""</f>
        <v/>
      </c>
      <c r="U338" s="67">
        <f>INDEX(Projects[Value (M)],337)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INDEX(Projects[Automation Equipment],337)&amp;""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IF(AND(A338&lt;&gt;"",OR('Smart Search'!$L$5="",'Smart Search'!$L$5="All",TRIM(BZ338)=TRIM('Smart Search'!$L$5)),OR(TRIM('Smart Search'!$L$6)="",TRIM('Smart Search'!$L$6)="All",ISNUMBER(SEARCH(SUBSTITUTE(SUBSTITUTE(SUBSTITUTE(TRIM('Smart Search'!$L$6),"~","~~"),"*","~*"),"?","~?"),CA338))),OR('Smart Search'!$L$7="",AND(CB338&lt;&gt;0,CB338='Smart Search'!$L$7)),OR('Smart Search'!$L$8="",'Smart Search'!$L$8="All",TRIM(CC338)=TRIM('Smart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IF(A338="","",N(INDEX(Projects[Mech Inst],337)))</f>
        <v/>
      </c>
      <c r="BK338" s="5">
        <f>IF(A338="","",N(INDEX(Projects[Elec Inst],337)))</f>
        <v/>
      </c>
      <c r="BL338" s="5">
        <f>IF(A338="","",N(INDEX(Projects[Project Management],337)))</f>
        <v/>
      </c>
      <c r="BM338" s="5">
        <f>IF(A338="","",N(INDEX(Projects[Systems Eng],337)))</f>
        <v/>
      </c>
      <c r="BN338" s="5">
        <f>IF(A338="","",N(INDEX(Projects[Mechanical Eng],337)))</f>
        <v/>
      </c>
      <c r="BO338" s="5">
        <f>IF(A338="","",N(INDEX(Projects[Structural Engineering],337)))</f>
        <v/>
      </c>
      <c r="BP338" s="5">
        <f>IF(A338="","",N(INDEX(Projects[Site Sup],337)))</f>
        <v/>
      </c>
      <c r="BQ338" s="5">
        <f>IF(A338="","",N(INDEX(Projects[Controls Commissioning],337)))</f>
        <v/>
      </c>
      <c r="BR338" s="5">
        <f>IF(A338="","",N(INDEX(Projects[Systems Commissioning],337)))</f>
        <v/>
      </c>
      <c r="BS338" s="5">
        <f>IF(A338="","",N(INDEX(Projects[Service Commissioning],337)))</f>
        <v/>
      </c>
      <c r="BT338" s="5">
        <f>IF(A338="","",N(INDEX(Projects[Controls Eng],337)))</f>
        <v/>
      </c>
      <c r="BU338" s="5">
        <f>IF(A338="","",N(INDEX(Projects[Controls Purchase],337)))</f>
        <v/>
      </c>
      <c r="BV338" s="5">
        <f>IF(A338="","",N(INDEX(Projects[Software Eng],337)))</f>
        <v/>
      </c>
      <c r="BW338" s="5">
        <f>IF(A338="","",N(INDEX(Projects[Misc],337)))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  <c r="BZ338" s="5">
        <f>INDEX(Projects[Solution Type],337)&amp;""</f>
        <v/>
      </c>
      <c r="CA338" s="5">
        <f>INDEX(Projects[Client / Region],337)&amp;""</f>
        <v/>
      </c>
      <c r="CB338" s="5">
        <f>INDEX(Projects[Year],337)</f>
        <v/>
      </c>
      <c r="CC338" s="5">
        <f>INDEX(Projects[Won?],337)&amp;""</f>
        <v/>
      </c>
      <c r="CD338" s="5">
        <f>INDEX(Projects[Value (USD M)],337)</f>
        <v/>
      </c>
      <c r="CE338" s="5">
        <f>INDEX(Projects[MH Data Status],337)&amp;""</f>
        <v/>
      </c>
    </row>
    <row r="339" ht="15" customHeight="1" s="74">
      <c r="A339" s="66">
        <f>INDEX(Projects[Project ID *],338)&amp;""</f>
        <v/>
      </c>
      <c r="B339" s="66">
        <f>INDEX(Projects[Project Name *],338)&amp;""</f>
        <v/>
      </c>
      <c r="C339" s="66">
        <f>INDEX(Projects[MS Shuttles],338)</f>
        <v/>
      </c>
      <c r="D339" s="66">
        <f>INDEX(Projects[MS Tote Locations],338)</f>
        <v/>
      </c>
      <c r="E339" s="66">
        <f>INDEX(Projects[AS Robots],338)</f>
        <v/>
      </c>
      <c r="F339" s="66">
        <f>INDEX(Projects[AS Tote Locations],338)</f>
        <v/>
      </c>
      <c r="G339" s="66">
        <f>INDEX(Projects[PS Shuttles],338)</f>
        <v/>
      </c>
      <c r="H339" s="66">
        <f>INDEX(Projects[PS Pallet Locations],338)</f>
        <v/>
      </c>
      <c r="I339" s="66">
        <f>INDEX(Projects[SRM Cranes],338)</f>
        <v/>
      </c>
      <c r="J339" s="66">
        <f>INDEX(Projects[SRM Pallet Locations],338)</f>
        <v/>
      </c>
      <c r="K339" s="66">
        <f>INDEX(Projects[Case Conv (m)],338)</f>
        <v/>
      </c>
      <c r="L339" s="66">
        <f>INDEX(Projects[Pallet Conv (m)],338)</f>
        <v/>
      </c>
      <c r="M339" s="66">
        <f>INDEX(Projects[Mech Eng (wks)],338)</f>
        <v/>
      </c>
      <c r="N339" s="66">
        <f>INDEX(Projects[Controls Eng (wks)],338)</f>
        <v/>
      </c>
      <c r="O339" s="66">
        <f>INDEX(Projects[Systems Eng (wks)],338)</f>
        <v/>
      </c>
      <c r="P339" s="66">
        <f>INDEX(Projects[Software Eng (wks)],338)</f>
        <v/>
      </c>
      <c r="Q339" s="66">
        <f>INDEX(Projects[M&amp;E Installation (wks)],338)</f>
        <v/>
      </c>
      <c r="R339" s="66">
        <f>INDEX(Projects[Commissioning (wks)],338)</f>
        <v/>
      </c>
      <c r="S339" s="66">
        <f>INDEX(Projects[Total Timeline (wks)],338)</f>
        <v/>
      </c>
      <c r="T339" s="66">
        <f>INDEX(Projects[Currency],338)&amp;""</f>
        <v/>
      </c>
      <c r="U339" s="67">
        <f>INDEX(Projects[Value (M)],338)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INDEX(Projects[Automation Equipment],338)&amp;""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IF(AND(A339&lt;&gt;"",OR('Smart Search'!$L$5="",'Smart Search'!$L$5="All",TRIM(BZ339)=TRIM('Smart Search'!$L$5)),OR(TRIM('Smart Search'!$L$6)="",TRIM('Smart Search'!$L$6)="All",ISNUMBER(SEARCH(SUBSTITUTE(SUBSTITUTE(SUBSTITUTE(TRIM('Smart Search'!$L$6),"~","~~"),"*","~*"),"?","~?"),CA339))),OR('Smart Search'!$L$7="",AND(CB339&lt;&gt;0,CB339='Smart Search'!$L$7)),OR('Smart Search'!$L$8="",'Smart Search'!$L$8="All",TRIM(CC339)=TRIM('Smart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IF(A339="","",N(INDEX(Projects[Mech Inst],338)))</f>
        <v/>
      </c>
      <c r="BK339" s="5">
        <f>IF(A339="","",N(INDEX(Projects[Elec Inst],338)))</f>
        <v/>
      </c>
      <c r="BL339" s="5">
        <f>IF(A339="","",N(INDEX(Projects[Project Management],338)))</f>
        <v/>
      </c>
      <c r="BM339" s="5">
        <f>IF(A339="","",N(INDEX(Projects[Systems Eng],338)))</f>
        <v/>
      </c>
      <c r="BN339" s="5">
        <f>IF(A339="","",N(INDEX(Projects[Mechanical Eng],338)))</f>
        <v/>
      </c>
      <c r="BO339" s="5">
        <f>IF(A339="","",N(INDEX(Projects[Structural Engineering],338)))</f>
        <v/>
      </c>
      <c r="BP339" s="5">
        <f>IF(A339="","",N(INDEX(Projects[Site Sup],338)))</f>
        <v/>
      </c>
      <c r="BQ339" s="5">
        <f>IF(A339="","",N(INDEX(Projects[Controls Commissioning],338)))</f>
        <v/>
      </c>
      <c r="BR339" s="5">
        <f>IF(A339="","",N(INDEX(Projects[Systems Commissioning],338)))</f>
        <v/>
      </c>
      <c r="BS339" s="5">
        <f>IF(A339="","",N(INDEX(Projects[Service Commissioning],338)))</f>
        <v/>
      </c>
      <c r="BT339" s="5">
        <f>IF(A339="","",N(INDEX(Projects[Controls Eng],338)))</f>
        <v/>
      </c>
      <c r="BU339" s="5">
        <f>IF(A339="","",N(INDEX(Projects[Controls Purchase],338)))</f>
        <v/>
      </c>
      <c r="BV339" s="5">
        <f>IF(A339="","",N(INDEX(Projects[Software Eng],338)))</f>
        <v/>
      </c>
      <c r="BW339" s="5">
        <f>IF(A339="","",N(INDEX(Projects[Misc],338)))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  <c r="BZ339" s="5">
        <f>INDEX(Projects[Solution Type],338)&amp;""</f>
        <v/>
      </c>
      <c r="CA339" s="5">
        <f>INDEX(Projects[Client / Region],338)&amp;""</f>
        <v/>
      </c>
      <c r="CB339" s="5">
        <f>INDEX(Projects[Year],338)</f>
        <v/>
      </c>
      <c r="CC339" s="5">
        <f>INDEX(Projects[Won?],338)&amp;""</f>
        <v/>
      </c>
      <c r="CD339" s="5">
        <f>INDEX(Projects[Value (USD M)],338)</f>
        <v/>
      </c>
      <c r="CE339" s="5">
        <f>INDEX(Projects[MH Data Status],338)&amp;""</f>
        <v/>
      </c>
    </row>
    <row r="340" ht="15" customHeight="1" s="74">
      <c r="A340" s="66">
        <f>INDEX(Projects[Project ID *],339)&amp;""</f>
        <v/>
      </c>
      <c r="B340" s="66">
        <f>INDEX(Projects[Project Name *],339)&amp;""</f>
        <v/>
      </c>
      <c r="C340" s="66">
        <f>INDEX(Projects[MS Shuttles],339)</f>
        <v/>
      </c>
      <c r="D340" s="66">
        <f>INDEX(Projects[MS Tote Locations],339)</f>
        <v/>
      </c>
      <c r="E340" s="66">
        <f>INDEX(Projects[AS Robots],339)</f>
        <v/>
      </c>
      <c r="F340" s="66">
        <f>INDEX(Projects[AS Tote Locations],339)</f>
        <v/>
      </c>
      <c r="G340" s="66">
        <f>INDEX(Projects[PS Shuttles],339)</f>
        <v/>
      </c>
      <c r="H340" s="66">
        <f>INDEX(Projects[PS Pallet Locations],339)</f>
        <v/>
      </c>
      <c r="I340" s="66">
        <f>INDEX(Projects[SRM Cranes],339)</f>
        <v/>
      </c>
      <c r="J340" s="66">
        <f>INDEX(Projects[SRM Pallet Locations],339)</f>
        <v/>
      </c>
      <c r="K340" s="66">
        <f>INDEX(Projects[Case Conv (m)],339)</f>
        <v/>
      </c>
      <c r="L340" s="66">
        <f>INDEX(Projects[Pallet Conv (m)],339)</f>
        <v/>
      </c>
      <c r="M340" s="66">
        <f>INDEX(Projects[Mech Eng (wks)],339)</f>
        <v/>
      </c>
      <c r="N340" s="66">
        <f>INDEX(Projects[Controls Eng (wks)],339)</f>
        <v/>
      </c>
      <c r="O340" s="66">
        <f>INDEX(Projects[Systems Eng (wks)],339)</f>
        <v/>
      </c>
      <c r="P340" s="66">
        <f>INDEX(Projects[Software Eng (wks)],339)</f>
        <v/>
      </c>
      <c r="Q340" s="66">
        <f>INDEX(Projects[M&amp;E Installation (wks)],339)</f>
        <v/>
      </c>
      <c r="R340" s="66">
        <f>INDEX(Projects[Commissioning (wks)],339)</f>
        <v/>
      </c>
      <c r="S340" s="66">
        <f>INDEX(Projects[Total Timeline (wks)],339)</f>
        <v/>
      </c>
      <c r="T340" s="66">
        <f>INDEX(Projects[Currency],339)&amp;""</f>
        <v/>
      </c>
      <c r="U340" s="67">
        <f>INDEX(Projects[Value (M)],339)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INDEX(Projects[Automation Equipment],339)&amp;""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IF(AND(A340&lt;&gt;"",OR('Smart Search'!$L$5="",'Smart Search'!$L$5="All",TRIM(BZ340)=TRIM('Smart Search'!$L$5)),OR(TRIM('Smart Search'!$L$6)="",TRIM('Smart Search'!$L$6)="All",ISNUMBER(SEARCH(SUBSTITUTE(SUBSTITUTE(SUBSTITUTE(TRIM('Smart Search'!$L$6),"~","~~"),"*","~*"),"?","~?"),CA340))),OR('Smart Search'!$L$7="",AND(CB340&lt;&gt;0,CB340='Smart Search'!$L$7)),OR('Smart Search'!$L$8="",'Smart Search'!$L$8="All",TRIM(CC340)=TRIM('Smart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IF(A340="","",N(INDEX(Projects[Mech Inst],339)))</f>
        <v/>
      </c>
      <c r="BK340" s="5">
        <f>IF(A340="","",N(INDEX(Projects[Elec Inst],339)))</f>
        <v/>
      </c>
      <c r="BL340" s="5">
        <f>IF(A340="","",N(INDEX(Projects[Project Management],339)))</f>
        <v/>
      </c>
      <c r="BM340" s="5">
        <f>IF(A340="","",N(INDEX(Projects[Systems Eng],339)))</f>
        <v/>
      </c>
      <c r="BN340" s="5">
        <f>IF(A340="","",N(INDEX(Projects[Mechanical Eng],339)))</f>
        <v/>
      </c>
      <c r="BO340" s="5">
        <f>IF(A340="","",N(INDEX(Projects[Structural Engineering],339)))</f>
        <v/>
      </c>
      <c r="BP340" s="5">
        <f>IF(A340="","",N(INDEX(Projects[Site Sup],339)))</f>
        <v/>
      </c>
      <c r="BQ340" s="5">
        <f>IF(A340="","",N(INDEX(Projects[Controls Commissioning],339)))</f>
        <v/>
      </c>
      <c r="BR340" s="5">
        <f>IF(A340="","",N(INDEX(Projects[Systems Commissioning],339)))</f>
        <v/>
      </c>
      <c r="BS340" s="5">
        <f>IF(A340="","",N(INDEX(Projects[Service Commissioning],339)))</f>
        <v/>
      </c>
      <c r="BT340" s="5">
        <f>IF(A340="","",N(INDEX(Projects[Controls Eng],339)))</f>
        <v/>
      </c>
      <c r="BU340" s="5">
        <f>IF(A340="","",N(INDEX(Projects[Controls Purchase],339)))</f>
        <v/>
      </c>
      <c r="BV340" s="5">
        <f>IF(A340="","",N(INDEX(Projects[Software Eng],339)))</f>
        <v/>
      </c>
      <c r="BW340" s="5">
        <f>IF(A340="","",N(INDEX(Projects[Misc],339)))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  <c r="BZ340" s="5">
        <f>INDEX(Projects[Solution Type],339)&amp;""</f>
        <v/>
      </c>
      <c r="CA340" s="5">
        <f>INDEX(Projects[Client / Region],339)&amp;""</f>
        <v/>
      </c>
      <c r="CB340" s="5">
        <f>INDEX(Projects[Year],339)</f>
        <v/>
      </c>
      <c r="CC340" s="5">
        <f>INDEX(Projects[Won?],339)&amp;""</f>
        <v/>
      </c>
      <c r="CD340" s="5">
        <f>INDEX(Projects[Value (USD M)],339)</f>
        <v/>
      </c>
      <c r="CE340" s="5">
        <f>INDEX(Projects[MH Data Status],339)&amp;""</f>
        <v/>
      </c>
    </row>
    <row r="341" ht="15" customHeight="1" s="74">
      <c r="A341" s="66">
        <f>INDEX(Projects[Project ID *],340)&amp;""</f>
        <v/>
      </c>
      <c r="B341" s="66">
        <f>INDEX(Projects[Project Name *],340)&amp;""</f>
        <v/>
      </c>
      <c r="C341" s="66">
        <f>INDEX(Projects[MS Shuttles],340)</f>
        <v/>
      </c>
      <c r="D341" s="66">
        <f>INDEX(Projects[MS Tote Locations],340)</f>
        <v/>
      </c>
      <c r="E341" s="66">
        <f>INDEX(Projects[AS Robots],340)</f>
        <v/>
      </c>
      <c r="F341" s="66">
        <f>INDEX(Projects[AS Tote Locations],340)</f>
        <v/>
      </c>
      <c r="G341" s="66">
        <f>INDEX(Projects[PS Shuttles],340)</f>
        <v/>
      </c>
      <c r="H341" s="66">
        <f>INDEX(Projects[PS Pallet Locations],340)</f>
        <v/>
      </c>
      <c r="I341" s="66">
        <f>INDEX(Projects[SRM Cranes],340)</f>
        <v/>
      </c>
      <c r="J341" s="66">
        <f>INDEX(Projects[SRM Pallet Locations],340)</f>
        <v/>
      </c>
      <c r="K341" s="66">
        <f>INDEX(Projects[Case Conv (m)],340)</f>
        <v/>
      </c>
      <c r="L341" s="66">
        <f>INDEX(Projects[Pallet Conv (m)],340)</f>
        <v/>
      </c>
      <c r="M341" s="66">
        <f>INDEX(Projects[Mech Eng (wks)],340)</f>
        <v/>
      </c>
      <c r="N341" s="66">
        <f>INDEX(Projects[Controls Eng (wks)],340)</f>
        <v/>
      </c>
      <c r="O341" s="66">
        <f>INDEX(Projects[Systems Eng (wks)],340)</f>
        <v/>
      </c>
      <c r="P341" s="66">
        <f>INDEX(Projects[Software Eng (wks)],340)</f>
        <v/>
      </c>
      <c r="Q341" s="66">
        <f>INDEX(Projects[M&amp;E Installation (wks)],340)</f>
        <v/>
      </c>
      <c r="R341" s="66">
        <f>INDEX(Projects[Commissioning (wks)],340)</f>
        <v/>
      </c>
      <c r="S341" s="66">
        <f>INDEX(Projects[Total Timeline (wks)],340)</f>
        <v/>
      </c>
      <c r="T341" s="66">
        <f>INDEX(Projects[Currency],340)&amp;""</f>
        <v/>
      </c>
      <c r="U341" s="67">
        <f>INDEX(Projects[Value (M)],340)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INDEX(Projects[Automation Equipment],340)&amp;""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IF(AND(A341&lt;&gt;"",OR('Smart Search'!$L$5="",'Smart Search'!$L$5="All",TRIM(BZ341)=TRIM('Smart Search'!$L$5)),OR(TRIM('Smart Search'!$L$6)="",TRIM('Smart Search'!$L$6)="All",ISNUMBER(SEARCH(SUBSTITUTE(SUBSTITUTE(SUBSTITUTE(TRIM('Smart Search'!$L$6),"~","~~"),"*","~*"),"?","~?"),CA341))),OR('Smart Search'!$L$7="",AND(CB341&lt;&gt;0,CB341='Smart Search'!$L$7)),OR('Smart Search'!$L$8="",'Smart Search'!$L$8="All",TRIM(CC341)=TRIM('Smart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IF(A341="","",N(INDEX(Projects[Mech Inst],340)))</f>
        <v/>
      </c>
      <c r="BK341" s="5">
        <f>IF(A341="","",N(INDEX(Projects[Elec Inst],340)))</f>
        <v/>
      </c>
      <c r="BL341" s="5">
        <f>IF(A341="","",N(INDEX(Projects[Project Management],340)))</f>
        <v/>
      </c>
      <c r="BM341" s="5">
        <f>IF(A341="","",N(INDEX(Projects[Systems Eng],340)))</f>
        <v/>
      </c>
      <c r="BN341" s="5">
        <f>IF(A341="","",N(INDEX(Projects[Mechanical Eng],340)))</f>
        <v/>
      </c>
      <c r="BO341" s="5">
        <f>IF(A341="","",N(INDEX(Projects[Structural Engineering],340)))</f>
        <v/>
      </c>
      <c r="BP341" s="5">
        <f>IF(A341="","",N(INDEX(Projects[Site Sup],340)))</f>
        <v/>
      </c>
      <c r="BQ341" s="5">
        <f>IF(A341="","",N(INDEX(Projects[Controls Commissioning],340)))</f>
        <v/>
      </c>
      <c r="BR341" s="5">
        <f>IF(A341="","",N(INDEX(Projects[Systems Commissioning],340)))</f>
        <v/>
      </c>
      <c r="BS341" s="5">
        <f>IF(A341="","",N(INDEX(Projects[Service Commissioning],340)))</f>
        <v/>
      </c>
      <c r="BT341" s="5">
        <f>IF(A341="","",N(INDEX(Projects[Controls Eng],340)))</f>
        <v/>
      </c>
      <c r="BU341" s="5">
        <f>IF(A341="","",N(INDEX(Projects[Controls Purchase],340)))</f>
        <v/>
      </c>
      <c r="BV341" s="5">
        <f>IF(A341="","",N(INDEX(Projects[Software Eng],340)))</f>
        <v/>
      </c>
      <c r="BW341" s="5">
        <f>IF(A341="","",N(INDEX(Projects[Misc],340)))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  <c r="BZ341" s="5">
        <f>INDEX(Projects[Solution Type],340)&amp;""</f>
        <v/>
      </c>
      <c r="CA341" s="5">
        <f>INDEX(Projects[Client / Region],340)&amp;""</f>
        <v/>
      </c>
      <c r="CB341" s="5">
        <f>INDEX(Projects[Year],340)</f>
        <v/>
      </c>
      <c r="CC341" s="5">
        <f>INDEX(Projects[Won?],340)&amp;""</f>
        <v/>
      </c>
      <c r="CD341" s="5">
        <f>INDEX(Projects[Value (USD M)],340)</f>
        <v/>
      </c>
      <c r="CE341" s="5">
        <f>INDEX(Projects[MH Data Status],340)&amp;""</f>
        <v/>
      </c>
    </row>
    <row r="342" ht="15" customHeight="1" s="74">
      <c r="A342" s="66">
        <f>INDEX(Projects[Project ID *],341)&amp;""</f>
        <v/>
      </c>
      <c r="B342" s="66">
        <f>INDEX(Projects[Project Name *],341)&amp;""</f>
        <v/>
      </c>
      <c r="C342" s="66">
        <f>INDEX(Projects[MS Shuttles],341)</f>
        <v/>
      </c>
      <c r="D342" s="66">
        <f>INDEX(Projects[MS Tote Locations],341)</f>
        <v/>
      </c>
      <c r="E342" s="66">
        <f>INDEX(Projects[AS Robots],341)</f>
        <v/>
      </c>
      <c r="F342" s="66">
        <f>INDEX(Projects[AS Tote Locations],341)</f>
        <v/>
      </c>
      <c r="G342" s="66">
        <f>INDEX(Projects[PS Shuttles],341)</f>
        <v/>
      </c>
      <c r="H342" s="66">
        <f>INDEX(Projects[PS Pallet Locations],341)</f>
        <v/>
      </c>
      <c r="I342" s="66">
        <f>INDEX(Projects[SRM Cranes],341)</f>
        <v/>
      </c>
      <c r="J342" s="66">
        <f>INDEX(Projects[SRM Pallet Locations],341)</f>
        <v/>
      </c>
      <c r="K342" s="66">
        <f>INDEX(Projects[Case Conv (m)],341)</f>
        <v/>
      </c>
      <c r="L342" s="66">
        <f>INDEX(Projects[Pallet Conv (m)],341)</f>
        <v/>
      </c>
      <c r="M342" s="66">
        <f>INDEX(Projects[Mech Eng (wks)],341)</f>
        <v/>
      </c>
      <c r="N342" s="66">
        <f>INDEX(Projects[Controls Eng (wks)],341)</f>
        <v/>
      </c>
      <c r="O342" s="66">
        <f>INDEX(Projects[Systems Eng (wks)],341)</f>
        <v/>
      </c>
      <c r="P342" s="66">
        <f>INDEX(Projects[Software Eng (wks)],341)</f>
        <v/>
      </c>
      <c r="Q342" s="66">
        <f>INDEX(Projects[M&amp;E Installation (wks)],341)</f>
        <v/>
      </c>
      <c r="R342" s="66">
        <f>INDEX(Projects[Commissioning (wks)],341)</f>
        <v/>
      </c>
      <c r="S342" s="66">
        <f>INDEX(Projects[Total Timeline (wks)],341)</f>
        <v/>
      </c>
      <c r="T342" s="66">
        <f>INDEX(Projects[Currency],341)&amp;""</f>
        <v/>
      </c>
      <c r="U342" s="67">
        <f>INDEX(Projects[Value (M)],341)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INDEX(Projects[Automation Equipment],341)&amp;""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IF(AND(A342&lt;&gt;"",OR('Smart Search'!$L$5="",'Smart Search'!$L$5="All",TRIM(BZ342)=TRIM('Smart Search'!$L$5)),OR(TRIM('Smart Search'!$L$6)="",TRIM('Smart Search'!$L$6)="All",ISNUMBER(SEARCH(SUBSTITUTE(SUBSTITUTE(SUBSTITUTE(TRIM('Smart Search'!$L$6),"~","~~"),"*","~*"),"?","~?"),CA342))),OR('Smart Search'!$L$7="",AND(CB342&lt;&gt;0,CB342='Smart Search'!$L$7)),OR('Smart Search'!$L$8="",'Smart Search'!$L$8="All",TRIM(CC342)=TRIM('Smart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IF(A342="","",N(INDEX(Projects[Mech Inst],341)))</f>
        <v/>
      </c>
      <c r="BK342" s="5">
        <f>IF(A342="","",N(INDEX(Projects[Elec Inst],341)))</f>
        <v/>
      </c>
      <c r="BL342" s="5">
        <f>IF(A342="","",N(INDEX(Projects[Project Management],341)))</f>
        <v/>
      </c>
      <c r="BM342" s="5">
        <f>IF(A342="","",N(INDEX(Projects[Systems Eng],341)))</f>
        <v/>
      </c>
      <c r="BN342" s="5">
        <f>IF(A342="","",N(INDEX(Projects[Mechanical Eng],341)))</f>
        <v/>
      </c>
      <c r="BO342" s="5">
        <f>IF(A342="","",N(INDEX(Projects[Structural Engineering],341)))</f>
        <v/>
      </c>
      <c r="BP342" s="5">
        <f>IF(A342="","",N(INDEX(Projects[Site Sup],341)))</f>
        <v/>
      </c>
      <c r="BQ342" s="5">
        <f>IF(A342="","",N(INDEX(Projects[Controls Commissioning],341)))</f>
        <v/>
      </c>
      <c r="BR342" s="5">
        <f>IF(A342="","",N(INDEX(Projects[Systems Commissioning],341)))</f>
        <v/>
      </c>
      <c r="BS342" s="5">
        <f>IF(A342="","",N(INDEX(Projects[Service Commissioning],341)))</f>
        <v/>
      </c>
      <c r="BT342" s="5">
        <f>IF(A342="","",N(INDEX(Projects[Controls Eng],341)))</f>
        <v/>
      </c>
      <c r="BU342" s="5">
        <f>IF(A342="","",N(INDEX(Projects[Controls Purchase],341)))</f>
        <v/>
      </c>
      <c r="BV342" s="5">
        <f>IF(A342="","",N(INDEX(Projects[Software Eng],341)))</f>
        <v/>
      </c>
      <c r="BW342" s="5">
        <f>IF(A342="","",N(INDEX(Projects[Misc],341)))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  <c r="BZ342" s="5">
        <f>INDEX(Projects[Solution Type],341)&amp;""</f>
        <v/>
      </c>
      <c r="CA342" s="5">
        <f>INDEX(Projects[Client / Region],341)&amp;""</f>
        <v/>
      </c>
      <c r="CB342" s="5">
        <f>INDEX(Projects[Year],341)</f>
        <v/>
      </c>
      <c r="CC342" s="5">
        <f>INDEX(Projects[Won?],341)&amp;""</f>
        <v/>
      </c>
      <c r="CD342" s="5">
        <f>INDEX(Projects[Value (USD M)],341)</f>
        <v/>
      </c>
      <c r="CE342" s="5">
        <f>INDEX(Projects[MH Data Status],341)&amp;""</f>
        <v/>
      </c>
    </row>
    <row r="343" ht="15" customHeight="1" s="74">
      <c r="A343" s="66">
        <f>INDEX(Projects[Project ID *],342)&amp;""</f>
        <v/>
      </c>
      <c r="B343" s="66">
        <f>INDEX(Projects[Project Name *],342)&amp;""</f>
        <v/>
      </c>
      <c r="C343" s="66">
        <f>INDEX(Projects[MS Shuttles],342)</f>
        <v/>
      </c>
      <c r="D343" s="66">
        <f>INDEX(Projects[MS Tote Locations],342)</f>
        <v/>
      </c>
      <c r="E343" s="66">
        <f>INDEX(Projects[AS Robots],342)</f>
        <v/>
      </c>
      <c r="F343" s="66">
        <f>INDEX(Projects[AS Tote Locations],342)</f>
        <v/>
      </c>
      <c r="G343" s="66">
        <f>INDEX(Projects[PS Shuttles],342)</f>
        <v/>
      </c>
      <c r="H343" s="66">
        <f>INDEX(Projects[PS Pallet Locations],342)</f>
        <v/>
      </c>
      <c r="I343" s="66">
        <f>INDEX(Projects[SRM Cranes],342)</f>
        <v/>
      </c>
      <c r="J343" s="66">
        <f>INDEX(Projects[SRM Pallet Locations],342)</f>
        <v/>
      </c>
      <c r="K343" s="66">
        <f>INDEX(Projects[Case Conv (m)],342)</f>
        <v/>
      </c>
      <c r="L343" s="66">
        <f>INDEX(Projects[Pallet Conv (m)],342)</f>
        <v/>
      </c>
      <c r="M343" s="66">
        <f>INDEX(Projects[Mech Eng (wks)],342)</f>
        <v/>
      </c>
      <c r="N343" s="66">
        <f>INDEX(Projects[Controls Eng (wks)],342)</f>
        <v/>
      </c>
      <c r="O343" s="66">
        <f>INDEX(Projects[Systems Eng (wks)],342)</f>
        <v/>
      </c>
      <c r="P343" s="66">
        <f>INDEX(Projects[Software Eng (wks)],342)</f>
        <v/>
      </c>
      <c r="Q343" s="66">
        <f>INDEX(Projects[M&amp;E Installation (wks)],342)</f>
        <v/>
      </c>
      <c r="R343" s="66">
        <f>INDEX(Projects[Commissioning (wks)],342)</f>
        <v/>
      </c>
      <c r="S343" s="66">
        <f>INDEX(Projects[Total Timeline (wks)],342)</f>
        <v/>
      </c>
      <c r="T343" s="66">
        <f>INDEX(Projects[Currency],342)&amp;""</f>
        <v/>
      </c>
      <c r="U343" s="67">
        <f>INDEX(Projects[Value (M)],342)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INDEX(Projects[Automation Equipment],342)&amp;""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IF(AND(A343&lt;&gt;"",OR('Smart Search'!$L$5="",'Smart Search'!$L$5="All",TRIM(BZ343)=TRIM('Smart Search'!$L$5)),OR(TRIM('Smart Search'!$L$6)="",TRIM('Smart Search'!$L$6)="All",ISNUMBER(SEARCH(SUBSTITUTE(SUBSTITUTE(SUBSTITUTE(TRIM('Smart Search'!$L$6),"~","~~"),"*","~*"),"?","~?"),CA343))),OR('Smart Search'!$L$7="",AND(CB343&lt;&gt;0,CB343='Smart Search'!$L$7)),OR('Smart Search'!$L$8="",'Smart Search'!$L$8="All",TRIM(CC343)=TRIM('Smart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IF(A343="","",N(INDEX(Projects[Mech Inst],342)))</f>
        <v/>
      </c>
      <c r="BK343" s="5">
        <f>IF(A343="","",N(INDEX(Projects[Elec Inst],342)))</f>
        <v/>
      </c>
      <c r="BL343" s="5">
        <f>IF(A343="","",N(INDEX(Projects[Project Management],342)))</f>
        <v/>
      </c>
      <c r="BM343" s="5">
        <f>IF(A343="","",N(INDEX(Projects[Systems Eng],342)))</f>
        <v/>
      </c>
      <c r="BN343" s="5">
        <f>IF(A343="","",N(INDEX(Projects[Mechanical Eng],342)))</f>
        <v/>
      </c>
      <c r="BO343" s="5">
        <f>IF(A343="","",N(INDEX(Projects[Structural Engineering],342)))</f>
        <v/>
      </c>
      <c r="BP343" s="5">
        <f>IF(A343="","",N(INDEX(Projects[Site Sup],342)))</f>
        <v/>
      </c>
      <c r="BQ343" s="5">
        <f>IF(A343="","",N(INDEX(Projects[Controls Commissioning],342)))</f>
        <v/>
      </c>
      <c r="BR343" s="5">
        <f>IF(A343="","",N(INDEX(Projects[Systems Commissioning],342)))</f>
        <v/>
      </c>
      <c r="BS343" s="5">
        <f>IF(A343="","",N(INDEX(Projects[Service Commissioning],342)))</f>
        <v/>
      </c>
      <c r="BT343" s="5">
        <f>IF(A343="","",N(INDEX(Projects[Controls Eng],342)))</f>
        <v/>
      </c>
      <c r="BU343" s="5">
        <f>IF(A343="","",N(INDEX(Projects[Controls Purchase],342)))</f>
        <v/>
      </c>
      <c r="BV343" s="5">
        <f>IF(A343="","",N(INDEX(Projects[Software Eng],342)))</f>
        <v/>
      </c>
      <c r="BW343" s="5">
        <f>IF(A343="","",N(INDEX(Projects[Misc],342)))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  <c r="BZ343" s="5">
        <f>INDEX(Projects[Solution Type],342)&amp;""</f>
        <v/>
      </c>
      <c r="CA343" s="5">
        <f>INDEX(Projects[Client / Region],342)&amp;""</f>
        <v/>
      </c>
      <c r="CB343" s="5">
        <f>INDEX(Projects[Year],342)</f>
        <v/>
      </c>
      <c r="CC343" s="5">
        <f>INDEX(Projects[Won?],342)&amp;""</f>
        <v/>
      </c>
      <c r="CD343" s="5">
        <f>INDEX(Projects[Value (USD M)],342)</f>
        <v/>
      </c>
      <c r="CE343" s="5">
        <f>INDEX(Projects[MH Data Status],342)&amp;""</f>
        <v/>
      </c>
    </row>
    <row r="344" ht="15" customHeight="1" s="74">
      <c r="A344" s="66">
        <f>INDEX(Projects[Project ID *],343)&amp;""</f>
        <v/>
      </c>
      <c r="B344" s="66">
        <f>INDEX(Projects[Project Name *],343)&amp;""</f>
        <v/>
      </c>
      <c r="C344" s="66">
        <f>INDEX(Projects[MS Shuttles],343)</f>
        <v/>
      </c>
      <c r="D344" s="66">
        <f>INDEX(Projects[MS Tote Locations],343)</f>
        <v/>
      </c>
      <c r="E344" s="66">
        <f>INDEX(Projects[AS Robots],343)</f>
        <v/>
      </c>
      <c r="F344" s="66">
        <f>INDEX(Projects[AS Tote Locations],343)</f>
        <v/>
      </c>
      <c r="G344" s="66">
        <f>INDEX(Projects[PS Shuttles],343)</f>
        <v/>
      </c>
      <c r="H344" s="66">
        <f>INDEX(Projects[PS Pallet Locations],343)</f>
        <v/>
      </c>
      <c r="I344" s="66">
        <f>INDEX(Projects[SRM Cranes],343)</f>
        <v/>
      </c>
      <c r="J344" s="66">
        <f>INDEX(Projects[SRM Pallet Locations],343)</f>
        <v/>
      </c>
      <c r="K344" s="66">
        <f>INDEX(Projects[Case Conv (m)],343)</f>
        <v/>
      </c>
      <c r="L344" s="66">
        <f>INDEX(Projects[Pallet Conv (m)],343)</f>
        <v/>
      </c>
      <c r="M344" s="66">
        <f>INDEX(Projects[Mech Eng (wks)],343)</f>
        <v/>
      </c>
      <c r="N344" s="66">
        <f>INDEX(Projects[Controls Eng (wks)],343)</f>
        <v/>
      </c>
      <c r="O344" s="66">
        <f>INDEX(Projects[Systems Eng (wks)],343)</f>
        <v/>
      </c>
      <c r="P344" s="66">
        <f>INDEX(Projects[Software Eng (wks)],343)</f>
        <v/>
      </c>
      <c r="Q344" s="66">
        <f>INDEX(Projects[M&amp;E Installation (wks)],343)</f>
        <v/>
      </c>
      <c r="R344" s="66">
        <f>INDEX(Projects[Commissioning (wks)],343)</f>
        <v/>
      </c>
      <c r="S344" s="66">
        <f>INDEX(Projects[Total Timeline (wks)],343)</f>
        <v/>
      </c>
      <c r="T344" s="66">
        <f>INDEX(Projects[Currency],343)&amp;""</f>
        <v/>
      </c>
      <c r="U344" s="67">
        <f>INDEX(Projects[Value (M)],343)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INDEX(Projects[Automation Equipment],343)&amp;""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IF(AND(A344&lt;&gt;"",OR('Smart Search'!$L$5="",'Smart Search'!$L$5="All",TRIM(BZ344)=TRIM('Smart Search'!$L$5)),OR(TRIM('Smart Search'!$L$6)="",TRIM('Smart Search'!$L$6)="All",ISNUMBER(SEARCH(SUBSTITUTE(SUBSTITUTE(SUBSTITUTE(TRIM('Smart Search'!$L$6),"~","~~"),"*","~*"),"?","~?"),CA344))),OR('Smart Search'!$L$7="",AND(CB344&lt;&gt;0,CB344='Smart Search'!$L$7)),OR('Smart Search'!$L$8="",'Smart Search'!$L$8="All",TRIM(CC344)=TRIM('Smart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IF(A344="","",N(INDEX(Projects[Mech Inst],343)))</f>
        <v/>
      </c>
      <c r="BK344" s="5">
        <f>IF(A344="","",N(INDEX(Projects[Elec Inst],343)))</f>
        <v/>
      </c>
      <c r="BL344" s="5">
        <f>IF(A344="","",N(INDEX(Projects[Project Management],343)))</f>
        <v/>
      </c>
      <c r="BM344" s="5">
        <f>IF(A344="","",N(INDEX(Projects[Systems Eng],343)))</f>
        <v/>
      </c>
      <c r="BN344" s="5">
        <f>IF(A344="","",N(INDEX(Projects[Mechanical Eng],343)))</f>
        <v/>
      </c>
      <c r="BO344" s="5">
        <f>IF(A344="","",N(INDEX(Projects[Structural Engineering],343)))</f>
        <v/>
      </c>
      <c r="BP344" s="5">
        <f>IF(A344="","",N(INDEX(Projects[Site Sup],343)))</f>
        <v/>
      </c>
      <c r="BQ344" s="5">
        <f>IF(A344="","",N(INDEX(Projects[Controls Commissioning],343)))</f>
        <v/>
      </c>
      <c r="BR344" s="5">
        <f>IF(A344="","",N(INDEX(Projects[Systems Commissioning],343)))</f>
        <v/>
      </c>
      <c r="BS344" s="5">
        <f>IF(A344="","",N(INDEX(Projects[Service Commissioning],343)))</f>
        <v/>
      </c>
      <c r="BT344" s="5">
        <f>IF(A344="","",N(INDEX(Projects[Controls Eng],343)))</f>
        <v/>
      </c>
      <c r="BU344" s="5">
        <f>IF(A344="","",N(INDEX(Projects[Controls Purchase],343)))</f>
        <v/>
      </c>
      <c r="BV344" s="5">
        <f>IF(A344="","",N(INDEX(Projects[Software Eng],343)))</f>
        <v/>
      </c>
      <c r="BW344" s="5">
        <f>IF(A344="","",N(INDEX(Projects[Misc],343)))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  <c r="BZ344" s="5">
        <f>INDEX(Projects[Solution Type],343)&amp;""</f>
        <v/>
      </c>
      <c r="CA344" s="5">
        <f>INDEX(Projects[Client / Region],343)&amp;""</f>
        <v/>
      </c>
      <c r="CB344" s="5">
        <f>INDEX(Projects[Year],343)</f>
        <v/>
      </c>
      <c r="CC344" s="5">
        <f>INDEX(Projects[Won?],343)&amp;""</f>
        <v/>
      </c>
      <c r="CD344" s="5">
        <f>INDEX(Projects[Value (USD M)],343)</f>
        <v/>
      </c>
      <c r="CE344" s="5">
        <f>INDEX(Projects[MH Data Status],343)&amp;""</f>
        <v/>
      </c>
    </row>
    <row r="345" ht="15" customHeight="1" s="74">
      <c r="A345" s="66">
        <f>INDEX(Projects[Project ID *],344)&amp;""</f>
        <v/>
      </c>
      <c r="B345" s="66">
        <f>INDEX(Projects[Project Name *],344)&amp;""</f>
        <v/>
      </c>
      <c r="C345" s="66">
        <f>INDEX(Projects[MS Shuttles],344)</f>
        <v/>
      </c>
      <c r="D345" s="66">
        <f>INDEX(Projects[MS Tote Locations],344)</f>
        <v/>
      </c>
      <c r="E345" s="66">
        <f>INDEX(Projects[AS Robots],344)</f>
        <v/>
      </c>
      <c r="F345" s="66">
        <f>INDEX(Projects[AS Tote Locations],344)</f>
        <v/>
      </c>
      <c r="G345" s="66">
        <f>INDEX(Projects[PS Shuttles],344)</f>
        <v/>
      </c>
      <c r="H345" s="66">
        <f>INDEX(Projects[PS Pallet Locations],344)</f>
        <v/>
      </c>
      <c r="I345" s="66">
        <f>INDEX(Projects[SRM Cranes],344)</f>
        <v/>
      </c>
      <c r="J345" s="66">
        <f>INDEX(Projects[SRM Pallet Locations],344)</f>
        <v/>
      </c>
      <c r="K345" s="66">
        <f>INDEX(Projects[Case Conv (m)],344)</f>
        <v/>
      </c>
      <c r="L345" s="66">
        <f>INDEX(Projects[Pallet Conv (m)],344)</f>
        <v/>
      </c>
      <c r="M345" s="66">
        <f>INDEX(Projects[Mech Eng (wks)],344)</f>
        <v/>
      </c>
      <c r="N345" s="66">
        <f>INDEX(Projects[Controls Eng (wks)],344)</f>
        <v/>
      </c>
      <c r="O345" s="66">
        <f>INDEX(Projects[Systems Eng (wks)],344)</f>
        <v/>
      </c>
      <c r="P345" s="66">
        <f>INDEX(Projects[Software Eng (wks)],344)</f>
        <v/>
      </c>
      <c r="Q345" s="66">
        <f>INDEX(Projects[M&amp;E Installation (wks)],344)</f>
        <v/>
      </c>
      <c r="R345" s="66">
        <f>INDEX(Projects[Commissioning (wks)],344)</f>
        <v/>
      </c>
      <c r="S345" s="66">
        <f>INDEX(Projects[Total Timeline (wks)],344)</f>
        <v/>
      </c>
      <c r="T345" s="66">
        <f>INDEX(Projects[Currency],344)&amp;""</f>
        <v/>
      </c>
      <c r="U345" s="67">
        <f>INDEX(Projects[Value (M)],344)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INDEX(Projects[Automation Equipment],344)&amp;""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IF(AND(A345&lt;&gt;"",OR('Smart Search'!$L$5="",'Smart Search'!$L$5="All",TRIM(BZ345)=TRIM('Smart Search'!$L$5)),OR(TRIM('Smart Search'!$L$6)="",TRIM('Smart Search'!$L$6)="All",ISNUMBER(SEARCH(SUBSTITUTE(SUBSTITUTE(SUBSTITUTE(TRIM('Smart Search'!$L$6),"~","~~"),"*","~*"),"?","~?"),CA345))),OR('Smart Search'!$L$7="",AND(CB345&lt;&gt;0,CB345='Smart Search'!$L$7)),OR('Smart Search'!$L$8="",'Smart Search'!$L$8="All",TRIM(CC345)=TRIM('Smart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IF(A345="","",N(INDEX(Projects[Mech Inst],344)))</f>
        <v/>
      </c>
      <c r="BK345" s="5">
        <f>IF(A345="","",N(INDEX(Projects[Elec Inst],344)))</f>
        <v/>
      </c>
      <c r="BL345" s="5">
        <f>IF(A345="","",N(INDEX(Projects[Project Management],344)))</f>
        <v/>
      </c>
      <c r="BM345" s="5">
        <f>IF(A345="","",N(INDEX(Projects[Systems Eng],344)))</f>
        <v/>
      </c>
      <c r="BN345" s="5">
        <f>IF(A345="","",N(INDEX(Projects[Mechanical Eng],344)))</f>
        <v/>
      </c>
      <c r="BO345" s="5">
        <f>IF(A345="","",N(INDEX(Projects[Structural Engineering],344)))</f>
        <v/>
      </c>
      <c r="BP345" s="5">
        <f>IF(A345="","",N(INDEX(Projects[Site Sup],344)))</f>
        <v/>
      </c>
      <c r="BQ345" s="5">
        <f>IF(A345="","",N(INDEX(Projects[Controls Commissioning],344)))</f>
        <v/>
      </c>
      <c r="BR345" s="5">
        <f>IF(A345="","",N(INDEX(Projects[Systems Commissioning],344)))</f>
        <v/>
      </c>
      <c r="BS345" s="5">
        <f>IF(A345="","",N(INDEX(Projects[Service Commissioning],344)))</f>
        <v/>
      </c>
      <c r="BT345" s="5">
        <f>IF(A345="","",N(INDEX(Projects[Controls Eng],344)))</f>
        <v/>
      </c>
      <c r="BU345" s="5">
        <f>IF(A345="","",N(INDEX(Projects[Controls Purchase],344)))</f>
        <v/>
      </c>
      <c r="BV345" s="5">
        <f>IF(A345="","",N(INDEX(Projects[Software Eng],344)))</f>
        <v/>
      </c>
      <c r="BW345" s="5">
        <f>IF(A345="","",N(INDEX(Projects[Misc],344)))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  <c r="BZ345" s="5">
        <f>INDEX(Projects[Solution Type],344)&amp;""</f>
        <v/>
      </c>
      <c r="CA345" s="5">
        <f>INDEX(Projects[Client / Region],344)&amp;""</f>
        <v/>
      </c>
      <c r="CB345" s="5">
        <f>INDEX(Projects[Year],344)</f>
        <v/>
      </c>
      <c r="CC345" s="5">
        <f>INDEX(Projects[Won?],344)&amp;""</f>
        <v/>
      </c>
      <c r="CD345" s="5">
        <f>INDEX(Projects[Value (USD M)],344)</f>
        <v/>
      </c>
      <c r="CE345" s="5">
        <f>INDEX(Projects[MH Data Status],344)&amp;""</f>
        <v/>
      </c>
    </row>
    <row r="346" ht="15" customHeight="1" s="74">
      <c r="A346" s="66">
        <f>INDEX(Projects[Project ID *],345)&amp;""</f>
        <v/>
      </c>
      <c r="B346" s="66">
        <f>INDEX(Projects[Project Name *],345)&amp;""</f>
        <v/>
      </c>
      <c r="C346" s="66">
        <f>INDEX(Projects[MS Shuttles],345)</f>
        <v/>
      </c>
      <c r="D346" s="66">
        <f>INDEX(Projects[MS Tote Locations],345)</f>
        <v/>
      </c>
      <c r="E346" s="66">
        <f>INDEX(Projects[AS Robots],345)</f>
        <v/>
      </c>
      <c r="F346" s="66">
        <f>INDEX(Projects[AS Tote Locations],345)</f>
        <v/>
      </c>
      <c r="G346" s="66">
        <f>INDEX(Projects[PS Shuttles],345)</f>
        <v/>
      </c>
      <c r="H346" s="66">
        <f>INDEX(Projects[PS Pallet Locations],345)</f>
        <v/>
      </c>
      <c r="I346" s="66">
        <f>INDEX(Projects[SRM Cranes],345)</f>
        <v/>
      </c>
      <c r="J346" s="66">
        <f>INDEX(Projects[SRM Pallet Locations],345)</f>
        <v/>
      </c>
      <c r="K346" s="66">
        <f>INDEX(Projects[Case Conv (m)],345)</f>
        <v/>
      </c>
      <c r="L346" s="66">
        <f>INDEX(Projects[Pallet Conv (m)],345)</f>
        <v/>
      </c>
      <c r="M346" s="66">
        <f>INDEX(Projects[Mech Eng (wks)],345)</f>
        <v/>
      </c>
      <c r="N346" s="66">
        <f>INDEX(Projects[Controls Eng (wks)],345)</f>
        <v/>
      </c>
      <c r="O346" s="66">
        <f>INDEX(Projects[Systems Eng (wks)],345)</f>
        <v/>
      </c>
      <c r="P346" s="66">
        <f>INDEX(Projects[Software Eng (wks)],345)</f>
        <v/>
      </c>
      <c r="Q346" s="66">
        <f>INDEX(Projects[M&amp;E Installation (wks)],345)</f>
        <v/>
      </c>
      <c r="R346" s="66">
        <f>INDEX(Projects[Commissioning (wks)],345)</f>
        <v/>
      </c>
      <c r="S346" s="66">
        <f>INDEX(Projects[Total Timeline (wks)],345)</f>
        <v/>
      </c>
      <c r="T346" s="66">
        <f>INDEX(Projects[Currency],345)&amp;""</f>
        <v/>
      </c>
      <c r="U346" s="67">
        <f>INDEX(Projects[Value (M)],345)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INDEX(Projects[Automation Equipment],345)&amp;""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IF(AND(A346&lt;&gt;"",OR('Smart Search'!$L$5="",'Smart Search'!$L$5="All",TRIM(BZ346)=TRIM('Smart Search'!$L$5)),OR(TRIM('Smart Search'!$L$6)="",TRIM('Smart Search'!$L$6)="All",ISNUMBER(SEARCH(SUBSTITUTE(SUBSTITUTE(SUBSTITUTE(TRIM('Smart Search'!$L$6),"~","~~"),"*","~*"),"?","~?"),CA346))),OR('Smart Search'!$L$7="",AND(CB346&lt;&gt;0,CB346='Smart Search'!$L$7)),OR('Smart Search'!$L$8="",'Smart Search'!$L$8="All",TRIM(CC346)=TRIM('Smart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IF(A346="","",N(INDEX(Projects[Mech Inst],345)))</f>
        <v/>
      </c>
      <c r="BK346" s="5">
        <f>IF(A346="","",N(INDEX(Projects[Elec Inst],345)))</f>
        <v/>
      </c>
      <c r="BL346" s="5">
        <f>IF(A346="","",N(INDEX(Projects[Project Management],345)))</f>
        <v/>
      </c>
      <c r="BM346" s="5">
        <f>IF(A346="","",N(INDEX(Projects[Systems Eng],345)))</f>
        <v/>
      </c>
      <c r="BN346" s="5">
        <f>IF(A346="","",N(INDEX(Projects[Mechanical Eng],345)))</f>
        <v/>
      </c>
      <c r="BO346" s="5">
        <f>IF(A346="","",N(INDEX(Projects[Structural Engineering],345)))</f>
        <v/>
      </c>
      <c r="BP346" s="5">
        <f>IF(A346="","",N(INDEX(Projects[Site Sup],345)))</f>
        <v/>
      </c>
      <c r="BQ346" s="5">
        <f>IF(A346="","",N(INDEX(Projects[Controls Commissioning],345)))</f>
        <v/>
      </c>
      <c r="BR346" s="5">
        <f>IF(A346="","",N(INDEX(Projects[Systems Commissioning],345)))</f>
        <v/>
      </c>
      <c r="BS346" s="5">
        <f>IF(A346="","",N(INDEX(Projects[Service Commissioning],345)))</f>
        <v/>
      </c>
      <c r="BT346" s="5">
        <f>IF(A346="","",N(INDEX(Projects[Controls Eng],345)))</f>
        <v/>
      </c>
      <c r="BU346" s="5">
        <f>IF(A346="","",N(INDEX(Projects[Controls Purchase],345)))</f>
        <v/>
      </c>
      <c r="BV346" s="5">
        <f>IF(A346="","",N(INDEX(Projects[Software Eng],345)))</f>
        <v/>
      </c>
      <c r="BW346" s="5">
        <f>IF(A346="","",N(INDEX(Projects[Misc],345)))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  <c r="BZ346" s="5">
        <f>INDEX(Projects[Solution Type],345)&amp;""</f>
        <v/>
      </c>
      <c r="CA346" s="5">
        <f>INDEX(Projects[Client / Region],345)&amp;""</f>
        <v/>
      </c>
      <c r="CB346" s="5">
        <f>INDEX(Projects[Year],345)</f>
        <v/>
      </c>
      <c r="CC346" s="5">
        <f>INDEX(Projects[Won?],345)&amp;""</f>
        <v/>
      </c>
      <c r="CD346" s="5">
        <f>INDEX(Projects[Value (USD M)],345)</f>
        <v/>
      </c>
      <c r="CE346" s="5">
        <f>INDEX(Projects[MH Data Status],345)&amp;""</f>
        <v/>
      </c>
    </row>
    <row r="347" ht="15" customHeight="1" s="74">
      <c r="A347" s="66">
        <f>INDEX(Projects[Project ID *],346)&amp;""</f>
        <v/>
      </c>
      <c r="B347" s="66">
        <f>INDEX(Projects[Project Name *],346)&amp;""</f>
        <v/>
      </c>
      <c r="C347" s="66">
        <f>INDEX(Projects[MS Shuttles],346)</f>
        <v/>
      </c>
      <c r="D347" s="66">
        <f>INDEX(Projects[MS Tote Locations],346)</f>
        <v/>
      </c>
      <c r="E347" s="66">
        <f>INDEX(Projects[AS Robots],346)</f>
        <v/>
      </c>
      <c r="F347" s="66">
        <f>INDEX(Projects[AS Tote Locations],346)</f>
        <v/>
      </c>
      <c r="G347" s="66">
        <f>INDEX(Projects[PS Shuttles],346)</f>
        <v/>
      </c>
      <c r="H347" s="66">
        <f>INDEX(Projects[PS Pallet Locations],346)</f>
        <v/>
      </c>
      <c r="I347" s="66">
        <f>INDEX(Projects[SRM Cranes],346)</f>
        <v/>
      </c>
      <c r="J347" s="66">
        <f>INDEX(Projects[SRM Pallet Locations],346)</f>
        <v/>
      </c>
      <c r="K347" s="66">
        <f>INDEX(Projects[Case Conv (m)],346)</f>
        <v/>
      </c>
      <c r="L347" s="66">
        <f>INDEX(Projects[Pallet Conv (m)],346)</f>
        <v/>
      </c>
      <c r="M347" s="66">
        <f>INDEX(Projects[Mech Eng (wks)],346)</f>
        <v/>
      </c>
      <c r="N347" s="66">
        <f>INDEX(Projects[Controls Eng (wks)],346)</f>
        <v/>
      </c>
      <c r="O347" s="66">
        <f>INDEX(Projects[Systems Eng (wks)],346)</f>
        <v/>
      </c>
      <c r="P347" s="66">
        <f>INDEX(Projects[Software Eng (wks)],346)</f>
        <v/>
      </c>
      <c r="Q347" s="66">
        <f>INDEX(Projects[M&amp;E Installation (wks)],346)</f>
        <v/>
      </c>
      <c r="R347" s="66">
        <f>INDEX(Projects[Commissioning (wks)],346)</f>
        <v/>
      </c>
      <c r="S347" s="66">
        <f>INDEX(Projects[Total Timeline (wks)],346)</f>
        <v/>
      </c>
      <c r="T347" s="66">
        <f>INDEX(Projects[Currency],346)&amp;""</f>
        <v/>
      </c>
      <c r="U347" s="67">
        <f>INDEX(Projects[Value (M)],346)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INDEX(Projects[Automation Equipment],346)&amp;""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IF(AND(A347&lt;&gt;"",OR('Smart Search'!$L$5="",'Smart Search'!$L$5="All",TRIM(BZ347)=TRIM('Smart Search'!$L$5)),OR(TRIM('Smart Search'!$L$6)="",TRIM('Smart Search'!$L$6)="All",ISNUMBER(SEARCH(SUBSTITUTE(SUBSTITUTE(SUBSTITUTE(TRIM('Smart Search'!$L$6),"~","~~"),"*","~*"),"?","~?"),CA347))),OR('Smart Search'!$L$7="",AND(CB347&lt;&gt;0,CB347='Smart Search'!$L$7)),OR('Smart Search'!$L$8="",'Smart Search'!$L$8="All",TRIM(CC347)=TRIM('Smart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IF(A347="","",N(INDEX(Projects[Mech Inst],346)))</f>
        <v/>
      </c>
      <c r="BK347" s="5">
        <f>IF(A347="","",N(INDEX(Projects[Elec Inst],346)))</f>
        <v/>
      </c>
      <c r="BL347" s="5">
        <f>IF(A347="","",N(INDEX(Projects[Project Management],346)))</f>
        <v/>
      </c>
      <c r="BM347" s="5">
        <f>IF(A347="","",N(INDEX(Projects[Systems Eng],346)))</f>
        <v/>
      </c>
      <c r="BN347" s="5">
        <f>IF(A347="","",N(INDEX(Projects[Mechanical Eng],346)))</f>
        <v/>
      </c>
      <c r="BO347" s="5">
        <f>IF(A347="","",N(INDEX(Projects[Structural Engineering],346)))</f>
        <v/>
      </c>
      <c r="BP347" s="5">
        <f>IF(A347="","",N(INDEX(Projects[Site Sup],346)))</f>
        <v/>
      </c>
      <c r="BQ347" s="5">
        <f>IF(A347="","",N(INDEX(Projects[Controls Commissioning],346)))</f>
        <v/>
      </c>
      <c r="BR347" s="5">
        <f>IF(A347="","",N(INDEX(Projects[Systems Commissioning],346)))</f>
        <v/>
      </c>
      <c r="BS347" s="5">
        <f>IF(A347="","",N(INDEX(Projects[Service Commissioning],346)))</f>
        <v/>
      </c>
      <c r="BT347" s="5">
        <f>IF(A347="","",N(INDEX(Projects[Controls Eng],346)))</f>
        <v/>
      </c>
      <c r="BU347" s="5">
        <f>IF(A347="","",N(INDEX(Projects[Controls Purchase],346)))</f>
        <v/>
      </c>
      <c r="BV347" s="5">
        <f>IF(A347="","",N(INDEX(Projects[Software Eng],346)))</f>
        <v/>
      </c>
      <c r="BW347" s="5">
        <f>IF(A347="","",N(INDEX(Projects[Misc],346)))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  <c r="BZ347" s="5">
        <f>INDEX(Projects[Solution Type],346)&amp;""</f>
        <v/>
      </c>
      <c r="CA347" s="5">
        <f>INDEX(Projects[Client / Region],346)&amp;""</f>
        <v/>
      </c>
      <c r="CB347" s="5">
        <f>INDEX(Projects[Year],346)</f>
        <v/>
      </c>
      <c r="CC347" s="5">
        <f>INDEX(Projects[Won?],346)&amp;""</f>
        <v/>
      </c>
      <c r="CD347" s="5">
        <f>INDEX(Projects[Value (USD M)],346)</f>
        <v/>
      </c>
      <c r="CE347" s="5">
        <f>INDEX(Projects[MH Data Status],346)&amp;""</f>
        <v/>
      </c>
    </row>
    <row r="348" ht="15" customHeight="1" s="74">
      <c r="A348" s="66">
        <f>INDEX(Projects[Project ID *],347)&amp;""</f>
        <v/>
      </c>
      <c r="B348" s="66">
        <f>INDEX(Projects[Project Name *],347)&amp;""</f>
        <v/>
      </c>
      <c r="C348" s="66">
        <f>INDEX(Projects[MS Shuttles],347)</f>
        <v/>
      </c>
      <c r="D348" s="66">
        <f>INDEX(Projects[MS Tote Locations],347)</f>
        <v/>
      </c>
      <c r="E348" s="66">
        <f>INDEX(Projects[AS Robots],347)</f>
        <v/>
      </c>
      <c r="F348" s="66">
        <f>INDEX(Projects[AS Tote Locations],347)</f>
        <v/>
      </c>
      <c r="G348" s="66">
        <f>INDEX(Projects[PS Shuttles],347)</f>
        <v/>
      </c>
      <c r="H348" s="66">
        <f>INDEX(Projects[PS Pallet Locations],347)</f>
        <v/>
      </c>
      <c r="I348" s="66">
        <f>INDEX(Projects[SRM Cranes],347)</f>
        <v/>
      </c>
      <c r="J348" s="66">
        <f>INDEX(Projects[SRM Pallet Locations],347)</f>
        <v/>
      </c>
      <c r="K348" s="66">
        <f>INDEX(Projects[Case Conv (m)],347)</f>
        <v/>
      </c>
      <c r="L348" s="66">
        <f>INDEX(Projects[Pallet Conv (m)],347)</f>
        <v/>
      </c>
      <c r="M348" s="66">
        <f>INDEX(Projects[Mech Eng (wks)],347)</f>
        <v/>
      </c>
      <c r="N348" s="66">
        <f>INDEX(Projects[Controls Eng (wks)],347)</f>
        <v/>
      </c>
      <c r="O348" s="66">
        <f>INDEX(Projects[Systems Eng (wks)],347)</f>
        <v/>
      </c>
      <c r="P348" s="66">
        <f>INDEX(Projects[Software Eng (wks)],347)</f>
        <v/>
      </c>
      <c r="Q348" s="66">
        <f>INDEX(Projects[M&amp;E Installation (wks)],347)</f>
        <v/>
      </c>
      <c r="R348" s="66">
        <f>INDEX(Projects[Commissioning (wks)],347)</f>
        <v/>
      </c>
      <c r="S348" s="66">
        <f>INDEX(Projects[Total Timeline (wks)],347)</f>
        <v/>
      </c>
      <c r="T348" s="66">
        <f>INDEX(Projects[Currency],347)&amp;""</f>
        <v/>
      </c>
      <c r="U348" s="67">
        <f>INDEX(Projects[Value (M)],347)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INDEX(Projects[Automation Equipment],347)&amp;""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IF(AND(A348&lt;&gt;"",OR('Smart Search'!$L$5="",'Smart Search'!$L$5="All",TRIM(BZ348)=TRIM('Smart Search'!$L$5)),OR(TRIM('Smart Search'!$L$6)="",TRIM('Smart Search'!$L$6)="All",ISNUMBER(SEARCH(SUBSTITUTE(SUBSTITUTE(SUBSTITUTE(TRIM('Smart Search'!$L$6),"~","~~"),"*","~*"),"?","~?"),CA348))),OR('Smart Search'!$L$7="",AND(CB348&lt;&gt;0,CB348='Smart Search'!$L$7)),OR('Smart Search'!$L$8="",'Smart Search'!$L$8="All",TRIM(CC348)=TRIM('Smart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IF(A348="","",N(INDEX(Projects[Mech Inst],347)))</f>
        <v/>
      </c>
      <c r="BK348" s="5">
        <f>IF(A348="","",N(INDEX(Projects[Elec Inst],347)))</f>
        <v/>
      </c>
      <c r="BL348" s="5">
        <f>IF(A348="","",N(INDEX(Projects[Project Management],347)))</f>
        <v/>
      </c>
      <c r="BM348" s="5">
        <f>IF(A348="","",N(INDEX(Projects[Systems Eng],347)))</f>
        <v/>
      </c>
      <c r="BN348" s="5">
        <f>IF(A348="","",N(INDEX(Projects[Mechanical Eng],347)))</f>
        <v/>
      </c>
      <c r="BO348" s="5">
        <f>IF(A348="","",N(INDEX(Projects[Structural Engineering],347)))</f>
        <v/>
      </c>
      <c r="BP348" s="5">
        <f>IF(A348="","",N(INDEX(Projects[Site Sup],347)))</f>
        <v/>
      </c>
      <c r="BQ348" s="5">
        <f>IF(A348="","",N(INDEX(Projects[Controls Commissioning],347)))</f>
        <v/>
      </c>
      <c r="BR348" s="5">
        <f>IF(A348="","",N(INDEX(Projects[Systems Commissioning],347)))</f>
        <v/>
      </c>
      <c r="BS348" s="5">
        <f>IF(A348="","",N(INDEX(Projects[Service Commissioning],347)))</f>
        <v/>
      </c>
      <c r="BT348" s="5">
        <f>IF(A348="","",N(INDEX(Projects[Controls Eng],347)))</f>
        <v/>
      </c>
      <c r="BU348" s="5">
        <f>IF(A348="","",N(INDEX(Projects[Controls Purchase],347)))</f>
        <v/>
      </c>
      <c r="BV348" s="5">
        <f>IF(A348="","",N(INDEX(Projects[Software Eng],347)))</f>
        <v/>
      </c>
      <c r="BW348" s="5">
        <f>IF(A348="","",N(INDEX(Projects[Misc],347)))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  <c r="BZ348" s="5">
        <f>INDEX(Projects[Solution Type],347)&amp;""</f>
        <v/>
      </c>
      <c r="CA348" s="5">
        <f>INDEX(Projects[Client / Region],347)&amp;""</f>
        <v/>
      </c>
      <c r="CB348" s="5">
        <f>INDEX(Projects[Year],347)</f>
        <v/>
      </c>
      <c r="CC348" s="5">
        <f>INDEX(Projects[Won?],347)&amp;""</f>
        <v/>
      </c>
      <c r="CD348" s="5">
        <f>INDEX(Projects[Value (USD M)],347)</f>
        <v/>
      </c>
      <c r="CE348" s="5">
        <f>INDEX(Projects[MH Data Status],347)&amp;""</f>
        <v/>
      </c>
    </row>
    <row r="349" ht="15" customHeight="1" s="74">
      <c r="A349" s="66">
        <f>INDEX(Projects[Project ID *],348)&amp;""</f>
        <v/>
      </c>
      <c r="B349" s="66">
        <f>INDEX(Projects[Project Name *],348)&amp;""</f>
        <v/>
      </c>
      <c r="C349" s="66">
        <f>INDEX(Projects[MS Shuttles],348)</f>
        <v/>
      </c>
      <c r="D349" s="66">
        <f>INDEX(Projects[MS Tote Locations],348)</f>
        <v/>
      </c>
      <c r="E349" s="66">
        <f>INDEX(Projects[AS Robots],348)</f>
        <v/>
      </c>
      <c r="F349" s="66">
        <f>INDEX(Projects[AS Tote Locations],348)</f>
        <v/>
      </c>
      <c r="G349" s="66">
        <f>INDEX(Projects[PS Shuttles],348)</f>
        <v/>
      </c>
      <c r="H349" s="66">
        <f>INDEX(Projects[PS Pallet Locations],348)</f>
        <v/>
      </c>
      <c r="I349" s="66">
        <f>INDEX(Projects[SRM Cranes],348)</f>
        <v/>
      </c>
      <c r="J349" s="66">
        <f>INDEX(Projects[SRM Pallet Locations],348)</f>
        <v/>
      </c>
      <c r="K349" s="66">
        <f>INDEX(Projects[Case Conv (m)],348)</f>
        <v/>
      </c>
      <c r="L349" s="66">
        <f>INDEX(Projects[Pallet Conv (m)],348)</f>
        <v/>
      </c>
      <c r="M349" s="66">
        <f>INDEX(Projects[Mech Eng (wks)],348)</f>
        <v/>
      </c>
      <c r="N349" s="66">
        <f>INDEX(Projects[Controls Eng (wks)],348)</f>
        <v/>
      </c>
      <c r="O349" s="66">
        <f>INDEX(Projects[Systems Eng (wks)],348)</f>
        <v/>
      </c>
      <c r="P349" s="66">
        <f>INDEX(Projects[Software Eng (wks)],348)</f>
        <v/>
      </c>
      <c r="Q349" s="66">
        <f>INDEX(Projects[M&amp;E Installation (wks)],348)</f>
        <v/>
      </c>
      <c r="R349" s="66">
        <f>INDEX(Projects[Commissioning (wks)],348)</f>
        <v/>
      </c>
      <c r="S349" s="66">
        <f>INDEX(Projects[Total Timeline (wks)],348)</f>
        <v/>
      </c>
      <c r="T349" s="66">
        <f>INDEX(Projects[Currency],348)&amp;""</f>
        <v/>
      </c>
      <c r="U349" s="67">
        <f>INDEX(Projects[Value (M)],348)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INDEX(Projects[Automation Equipment],348)&amp;""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IF(AND(A349&lt;&gt;"",OR('Smart Search'!$L$5="",'Smart Search'!$L$5="All",TRIM(BZ349)=TRIM('Smart Search'!$L$5)),OR(TRIM('Smart Search'!$L$6)="",TRIM('Smart Search'!$L$6)="All",ISNUMBER(SEARCH(SUBSTITUTE(SUBSTITUTE(SUBSTITUTE(TRIM('Smart Search'!$L$6),"~","~~"),"*","~*"),"?","~?"),CA349))),OR('Smart Search'!$L$7="",AND(CB349&lt;&gt;0,CB349='Smart Search'!$L$7)),OR('Smart Search'!$L$8="",'Smart Search'!$L$8="All",TRIM(CC349)=TRIM('Smart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IF(A349="","",N(INDEX(Projects[Mech Inst],348)))</f>
        <v/>
      </c>
      <c r="BK349" s="5">
        <f>IF(A349="","",N(INDEX(Projects[Elec Inst],348)))</f>
        <v/>
      </c>
      <c r="BL349" s="5">
        <f>IF(A349="","",N(INDEX(Projects[Project Management],348)))</f>
        <v/>
      </c>
      <c r="BM349" s="5">
        <f>IF(A349="","",N(INDEX(Projects[Systems Eng],348)))</f>
        <v/>
      </c>
      <c r="BN349" s="5">
        <f>IF(A349="","",N(INDEX(Projects[Mechanical Eng],348)))</f>
        <v/>
      </c>
      <c r="BO349" s="5">
        <f>IF(A349="","",N(INDEX(Projects[Structural Engineering],348)))</f>
        <v/>
      </c>
      <c r="BP349" s="5">
        <f>IF(A349="","",N(INDEX(Projects[Site Sup],348)))</f>
        <v/>
      </c>
      <c r="BQ349" s="5">
        <f>IF(A349="","",N(INDEX(Projects[Controls Commissioning],348)))</f>
        <v/>
      </c>
      <c r="BR349" s="5">
        <f>IF(A349="","",N(INDEX(Projects[Systems Commissioning],348)))</f>
        <v/>
      </c>
      <c r="BS349" s="5">
        <f>IF(A349="","",N(INDEX(Projects[Service Commissioning],348)))</f>
        <v/>
      </c>
      <c r="BT349" s="5">
        <f>IF(A349="","",N(INDEX(Projects[Controls Eng],348)))</f>
        <v/>
      </c>
      <c r="BU349" s="5">
        <f>IF(A349="","",N(INDEX(Projects[Controls Purchase],348)))</f>
        <v/>
      </c>
      <c r="BV349" s="5">
        <f>IF(A349="","",N(INDEX(Projects[Software Eng],348)))</f>
        <v/>
      </c>
      <c r="BW349" s="5">
        <f>IF(A349="","",N(INDEX(Projects[Misc],348)))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  <c r="BZ349" s="5">
        <f>INDEX(Projects[Solution Type],348)&amp;""</f>
        <v/>
      </c>
      <c r="CA349" s="5">
        <f>INDEX(Projects[Client / Region],348)&amp;""</f>
        <v/>
      </c>
      <c r="CB349" s="5">
        <f>INDEX(Projects[Year],348)</f>
        <v/>
      </c>
      <c r="CC349" s="5">
        <f>INDEX(Projects[Won?],348)&amp;""</f>
        <v/>
      </c>
      <c r="CD349" s="5">
        <f>INDEX(Projects[Value (USD M)],348)</f>
        <v/>
      </c>
      <c r="CE349" s="5">
        <f>INDEX(Projects[MH Data Status],348)&amp;""</f>
        <v/>
      </c>
    </row>
    <row r="350" ht="15" customHeight="1" s="74">
      <c r="A350" s="66">
        <f>INDEX(Projects[Project ID *],349)&amp;""</f>
        <v/>
      </c>
      <c r="B350" s="66">
        <f>INDEX(Projects[Project Name *],349)&amp;""</f>
        <v/>
      </c>
      <c r="C350" s="66">
        <f>INDEX(Projects[MS Shuttles],349)</f>
        <v/>
      </c>
      <c r="D350" s="66">
        <f>INDEX(Projects[MS Tote Locations],349)</f>
        <v/>
      </c>
      <c r="E350" s="66">
        <f>INDEX(Projects[AS Robots],349)</f>
        <v/>
      </c>
      <c r="F350" s="66">
        <f>INDEX(Projects[AS Tote Locations],349)</f>
        <v/>
      </c>
      <c r="G350" s="66">
        <f>INDEX(Projects[PS Shuttles],349)</f>
        <v/>
      </c>
      <c r="H350" s="66">
        <f>INDEX(Projects[PS Pallet Locations],349)</f>
        <v/>
      </c>
      <c r="I350" s="66">
        <f>INDEX(Projects[SRM Cranes],349)</f>
        <v/>
      </c>
      <c r="J350" s="66">
        <f>INDEX(Projects[SRM Pallet Locations],349)</f>
        <v/>
      </c>
      <c r="K350" s="66">
        <f>INDEX(Projects[Case Conv (m)],349)</f>
        <v/>
      </c>
      <c r="L350" s="66">
        <f>INDEX(Projects[Pallet Conv (m)],349)</f>
        <v/>
      </c>
      <c r="M350" s="66">
        <f>INDEX(Projects[Mech Eng (wks)],349)</f>
        <v/>
      </c>
      <c r="N350" s="66">
        <f>INDEX(Projects[Controls Eng (wks)],349)</f>
        <v/>
      </c>
      <c r="O350" s="66">
        <f>INDEX(Projects[Systems Eng (wks)],349)</f>
        <v/>
      </c>
      <c r="P350" s="66">
        <f>INDEX(Projects[Software Eng (wks)],349)</f>
        <v/>
      </c>
      <c r="Q350" s="66">
        <f>INDEX(Projects[M&amp;E Installation (wks)],349)</f>
        <v/>
      </c>
      <c r="R350" s="66">
        <f>INDEX(Projects[Commissioning (wks)],349)</f>
        <v/>
      </c>
      <c r="S350" s="66">
        <f>INDEX(Projects[Total Timeline (wks)],349)</f>
        <v/>
      </c>
      <c r="T350" s="66">
        <f>INDEX(Projects[Currency],349)&amp;""</f>
        <v/>
      </c>
      <c r="U350" s="67">
        <f>INDEX(Projects[Value (M)],349)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INDEX(Projects[Automation Equipment],349)&amp;""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IF(AND(A350&lt;&gt;"",OR('Smart Search'!$L$5="",'Smart Search'!$L$5="All",TRIM(BZ350)=TRIM('Smart Search'!$L$5)),OR(TRIM('Smart Search'!$L$6)="",TRIM('Smart Search'!$L$6)="All",ISNUMBER(SEARCH(SUBSTITUTE(SUBSTITUTE(SUBSTITUTE(TRIM('Smart Search'!$L$6),"~","~~"),"*","~*"),"?","~?"),CA350))),OR('Smart Search'!$L$7="",AND(CB350&lt;&gt;0,CB350='Smart Search'!$L$7)),OR('Smart Search'!$L$8="",'Smart Search'!$L$8="All",TRIM(CC350)=TRIM('Smart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IF(A350="","",N(INDEX(Projects[Mech Inst],349)))</f>
        <v/>
      </c>
      <c r="BK350" s="5">
        <f>IF(A350="","",N(INDEX(Projects[Elec Inst],349)))</f>
        <v/>
      </c>
      <c r="BL350" s="5">
        <f>IF(A350="","",N(INDEX(Projects[Project Management],349)))</f>
        <v/>
      </c>
      <c r="BM350" s="5">
        <f>IF(A350="","",N(INDEX(Projects[Systems Eng],349)))</f>
        <v/>
      </c>
      <c r="BN350" s="5">
        <f>IF(A350="","",N(INDEX(Projects[Mechanical Eng],349)))</f>
        <v/>
      </c>
      <c r="BO350" s="5">
        <f>IF(A350="","",N(INDEX(Projects[Structural Engineering],349)))</f>
        <v/>
      </c>
      <c r="BP350" s="5">
        <f>IF(A350="","",N(INDEX(Projects[Site Sup],349)))</f>
        <v/>
      </c>
      <c r="BQ350" s="5">
        <f>IF(A350="","",N(INDEX(Projects[Controls Commissioning],349)))</f>
        <v/>
      </c>
      <c r="BR350" s="5">
        <f>IF(A350="","",N(INDEX(Projects[Systems Commissioning],349)))</f>
        <v/>
      </c>
      <c r="BS350" s="5">
        <f>IF(A350="","",N(INDEX(Projects[Service Commissioning],349)))</f>
        <v/>
      </c>
      <c r="BT350" s="5">
        <f>IF(A350="","",N(INDEX(Projects[Controls Eng],349)))</f>
        <v/>
      </c>
      <c r="BU350" s="5">
        <f>IF(A350="","",N(INDEX(Projects[Controls Purchase],349)))</f>
        <v/>
      </c>
      <c r="BV350" s="5">
        <f>IF(A350="","",N(INDEX(Projects[Software Eng],349)))</f>
        <v/>
      </c>
      <c r="BW350" s="5">
        <f>IF(A350="","",N(INDEX(Projects[Misc],349)))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  <c r="BZ350" s="5">
        <f>INDEX(Projects[Solution Type],349)&amp;""</f>
        <v/>
      </c>
      <c r="CA350" s="5">
        <f>INDEX(Projects[Client / Region],349)&amp;""</f>
        <v/>
      </c>
      <c r="CB350" s="5">
        <f>INDEX(Projects[Year],349)</f>
        <v/>
      </c>
      <c r="CC350" s="5">
        <f>INDEX(Projects[Won?],349)&amp;""</f>
        <v/>
      </c>
      <c r="CD350" s="5">
        <f>INDEX(Projects[Value (USD M)],349)</f>
        <v/>
      </c>
      <c r="CE350" s="5">
        <f>INDEX(Projects[MH Data Status],349)&amp;""</f>
        <v/>
      </c>
    </row>
    <row r="351" ht="15" customHeight="1" s="74">
      <c r="A351" s="66">
        <f>INDEX(Projects[Project ID *],350)&amp;""</f>
        <v/>
      </c>
      <c r="B351" s="66">
        <f>INDEX(Projects[Project Name *],350)&amp;""</f>
        <v/>
      </c>
      <c r="C351" s="66">
        <f>INDEX(Projects[MS Shuttles],350)</f>
        <v/>
      </c>
      <c r="D351" s="66">
        <f>INDEX(Projects[MS Tote Locations],350)</f>
        <v/>
      </c>
      <c r="E351" s="66">
        <f>INDEX(Projects[AS Robots],350)</f>
        <v/>
      </c>
      <c r="F351" s="66">
        <f>INDEX(Projects[AS Tote Locations],350)</f>
        <v/>
      </c>
      <c r="G351" s="66">
        <f>INDEX(Projects[PS Shuttles],350)</f>
        <v/>
      </c>
      <c r="H351" s="66">
        <f>INDEX(Projects[PS Pallet Locations],350)</f>
        <v/>
      </c>
      <c r="I351" s="66">
        <f>INDEX(Projects[SRM Cranes],350)</f>
        <v/>
      </c>
      <c r="J351" s="66">
        <f>INDEX(Projects[SRM Pallet Locations],350)</f>
        <v/>
      </c>
      <c r="K351" s="66">
        <f>INDEX(Projects[Case Conv (m)],350)</f>
        <v/>
      </c>
      <c r="L351" s="66">
        <f>INDEX(Projects[Pallet Conv (m)],350)</f>
        <v/>
      </c>
      <c r="M351" s="66">
        <f>INDEX(Projects[Mech Eng (wks)],350)</f>
        <v/>
      </c>
      <c r="N351" s="66">
        <f>INDEX(Projects[Controls Eng (wks)],350)</f>
        <v/>
      </c>
      <c r="O351" s="66">
        <f>INDEX(Projects[Systems Eng (wks)],350)</f>
        <v/>
      </c>
      <c r="P351" s="66">
        <f>INDEX(Projects[Software Eng (wks)],350)</f>
        <v/>
      </c>
      <c r="Q351" s="66">
        <f>INDEX(Projects[M&amp;E Installation (wks)],350)</f>
        <v/>
      </c>
      <c r="R351" s="66">
        <f>INDEX(Projects[Commissioning (wks)],350)</f>
        <v/>
      </c>
      <c r="S351" s="66">
        <f>INDEX(Projects[Total Timeline (wks)],350)</f>
        <v/>
      </c>
      <c r="T351" s="66">
        <f>INDEX(Projects[Currency],350)&amp;""</f>
        <v/>
      </c>
      <c r="U351" s="67">
        <f>INDEX(Projects[Value (M)],350)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INDEX(Projects[Automation Equipment],350)&amp;""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IF(AND(A351&lt;&gt;"",OR('Smart Search'!$L$5="",'Smart Search'!$L$5="All",TRIM(BZ351)=TRIM('Smart Search'!$L$5)),OR(TRIM('Smart Search'!$L$6)="",TRIM('Smart Search'!$L$6)="All",ISNUMBER(SEARCH(SUBSTITUTE(SUBSTITUTE(SUBSTITUTE(TRIM('Smart Search'!$L$6),"~","~~"),"*","~*"),"?","~?"),CA351))),OR('Smart Search'!$L$7="",AND(CB351&lt;&gt;0,CB351='Smart Search'!$L$7)),OR('Smart Search'!$L$8="",'Smart Search'!$L$8="All",TRIM(CC351)=TRIM('Smart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IF(A351="","",N(INDEX(Projects[Mech Inst],350)))</f>
        <v/>
      </c>
      <c r="BK351" s="5">
        <f>IF(A351="","",N(INDEX(Projects[Elec Inst],350)))</f>
        <v/>
      </c>
      <c r="BL351" s="5">
        <f>IF(A351="","",N(INDEX(Projects[Project Management],350)))</f>
        <v/>
      </c>
      <c r="BM351" s="5">
        <f>IF(A351="","",N(INDEX(Projects[Systems Eng],350)))</f>
        <v/>
      </c>
      <c r="BN351" s="5">
        <f>IF(A351="","",N(INDEX(Projects[Mechanical Eng],350)))</f>
        <v/>
      </c>
      <c r="BO351" s="5">
        <f>IF(A351="","",N(INDEX(Projects[Structural Engineering],350)))</f>
        <v/>
      </c>
      <c r="BP351" s="5">
        <f>IF(A351="","",N(INDEX(Projects[Site Sup],350)))</f>
        <v/>
      </c>
      <c r="BQ351" s="5">
        <f>IF(A351="","",N(INDEX(Projects[Controls Commissioning],350)))</f>
        <v/>
      </c>
      <c r="BR351" s="5">
        <f>IF(A351="","",N(INDEX(Projects[Systems Commissioning],350)))</f>
        <v/>
      </c>
      <c r="BS351" s="5">
        <f>IF(A351="","",N(INDEX(Projects[Service Commissioning],350)))</f>
        <v/>
      </c>
      <c r="BT351" s="5">
        <f>IF(A351="","",N(INDEX(Projects[Controls Eng],350)))</f>
        <v/>
      </c>
      <c r="BU351" s="5">
        <f>IF(A351="","",N(INDEX(Projects[Controls Purchase],350)))</f>
        <v/>
      </c>
      <c r="BV351" s="5">
        <f>IF(A351="","",N(INDEX(Projects[Software Eng],350)))</f>
        <v/>
      </c>
      <c r="BW351" s="5">
        <f>IF(A351="","",N(INDEX(Projects[Misc],350)))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  <c r="BZ351" s="5">
        <f>INDEX(Projects[Solution Type],350)&amp;""</f>
        <v/>
      </c>
      <c r="CA351" s="5">
        <f>INDEX(Projects[Client / Region],350)&amp;""</f>
        <v/>
      </c>
      <c r="CB351" s="5">
        <f>INDEX(Projects[Year],350)</f>
        <v/>
      </c>
      <c r="CC351" s="5">
        <f>INDEX(Projects[Won?],350)&amp;""</f>
        <v/>
      </c>
      <c r="CD351" s="5">
        <f>INDEX(Projects[Value (USD M)],350)</f>
        <v/>
      </c>
      <c r="CE351" s="5">
        <f>INDEX(Projects[MH Data Status],350)&amp;""</f>
        <v/>
      </c>
    </row>
    <row r="352" ht="15" customHeight="1" s="74">
      <c r="A352" s="66">
        <f>INDEX(Projects[Project ID *],351)&amp;""</f>
        <v/>
      </c>
      <c r="B352" s="66">
        <f>INDEX(Projects[Project Name *],351)&amp;""</f>
        <v/>
      </c>
      <c r="C352" s="66">
        <f>INDEX(Projects[MS Shuttles],351)</f>
        <v/>
      </c>
      <c r="D352" s="66">
        <f>INDEX(Projects[MS Tote Locations],351)</f>
        <v/>
      </c>
      <c r="E352" s="66">
        <f>INDEX(Projects[AS Robots],351)</f>
        <v/>
      </c>
      <c r="F352" s="66">
        <f>INDEX(Projects[AS Tote Locations],351)</f>
        <v/>
      </c>
      <c r="G352" s="66">
        <f>INDEX(Projects[PS Shuttles],351)</f>
        <v/>
      </c>
      <c r="H352" s="66">
        <f>INDEX(Projects[PS Pallet Locations],351)</f>
        <v/>
      </c>
      <c r="I352" s="66">
        <f>INDEX(Projects[SRM Cranes],351)</f>
        <v/>
      </c>
      <c r="J352" s="66">
        <f>INDEX(Projects[SRM Pallet Locations],351)</f>
        <v/>
      </c>
      <c r="K352" s="66">
        <f>INDEX(Projects[Case Conv (m)],351)</f>
        <v/>
      </c>
      <c r="L352" s="66">
        <f>INDEX(Projects[Pallet Conv (m)],351)</f>
        <v/>
      </c>
      <c r="M352" s="66">
        <f>INDEX(Projects[Mech Eng (wks)],351)</f>
        <v/>
      </c>
      <c r="N352" s="66">
        <f>INDEX(Projects[Controls Eng (wks)],351)</f>
        <v/>
      </c>
      <c r="O352" s="66">
        <f>INDEX(Projects[Systems Eng (wks)],351)</f>
        <v/>
      </c>
      <c r="P352" s="66">
        <f>INDEX(Projects[Software Eng (wks)],351)</f>
        <v/>
      </c>
      <c r="Q352" s="66">
        <f>INDEX(Projects[M&amp;E Installation (wks)],351)</f>
        <v/>
      </c>
      <c r="R352" s="66">
        <f>INDEX(Projects[Commissioning (wks)],351)</f>
        <v/>
      </c>
      <c r="S352" s="66">
        <f>INDEX(Projects[Total Timeline (wks)],351)</f>
        <v/>
      </c>
      <c r="T352" s="66">
        <f>INDEX(Projects[Currency],351)&amp;""</f>
        <v/>
      </c>
      <c r="U352" s="67">
        <f>INDEX(Projects[Value (M)],351)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INDEX(Projects[Automation Equipment],351)&amp;""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IF(AND(A352&lt;&gt;"",OR('Smart Search'!$L$5="",'Smart Search'!$L$5="All",TRIM(BZ352)=TRIM('Smart Search'!$L$5)),OR(TRIM('Smart Search'!$L$6)="",TRIM('Smart Search'!$L$6)="All",ISNUMBER(SEARCH(SUBSTITUTE(SUBSTITUTE(SUBSTITUTE(TRIM('Smart Search'!$L$6),"~","~~"),"*","~*"),"?","~?"),CA352))),OR('Smart Search'!$L$7="",AND(CB352&lt;&gt;0,CB352='Smart Search'!$L$7)),OR('Smart Search'!$L$8="",'Smart Search'!$L$8="All",TRIM(CC352)=TRIM('Smart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IF(A352="","",N(INDEX(Projects[Mech Inst],351)))</f>
        <v/>
      </c>
      <c r="BK352" s="5">
        <f>IF(A352="","",N(INDEX(Projects[Elec Inst],351)))</f>
        <v/>
      </c>
      <c r="BL352" s="5">
        <f>IF(A352="","",N(INDEX(Projects[Project Management],351)))</f>
        <v/>
      </c>
      <c r="BM352" s="5">
        <f>IF(A352="","",N(INDEX(Projects[Systems Eng],351)))</f>
        <v/>
      </c>
      <c r="BN352" s="5">
        <f>IF(A352="","",N(INDEX(Projects[Mechanical Eng],351)))</f>
        <v/>
      </c>
      <c r="BO352" s="5">
        <f>IF(A352="","",N(INDEX(Projects[Structural Engineering],351)))</f>
        <v/>
      </c>
      <c r="BP352" s="5">
        <f>IF(A352="","",N(INDEX(Projects[Site Sup],351)))</f>
        <v/>
      </c>
      <c r="BQ352" s="5">
        <f>IF(A352="","",N(INDEX(Projects[Controls Commissioning],351)))</f>
        <v/>
      </c>
      <c r="BR352" s="5">
        <f>IF(A352="","",N(INDEX(Projects[Systems Commissioning],351)))</f>
        <v/>
      </c>
      <c r="BS352" s="5">
        <f>IF(A352="","",N(INDEX(Projects[Service Commissioning],351)))</f>
        <v/>
      </c>
      <c r="BT352" s="5">
        <f>IF(A352="","",N(INDEX(Projects[Controls Eng],351)))</f>
        <v/>
      </c>
      <c r="BU352" s="5">
        <f>IF(A352="","",N(INDEX(Projects[Controls Purchase],351)))</f>
        <v/>
      </c>
      <c r="BV352" s="5">
        <f>IF(A352="","",N(INDEX(Projects[Software Eng],351)))</f>
        <v/>
      </c>
      <c r="BW352" s="5">
        <f>IF(A352="","",N(INDEX(Projects[Misc],351)))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  <c r="BZ352" s="5">
        <f>INDEX(Projects[Solution Type],351)&amp;""</f>
        <v/>
      </c>
      <c r="CA352" s="5">
        <f>INDEX(Projects[Client / Region],351)&amp;""</f>
        <v/>
      </c>
      <c r="CB352" s="5">
        <f>INDEX(Projects[Year],351)</f>
        <v/>
      </c>
      <c r="CC352" s="5">
        <f>INDEX(Projects[Won?],351)&amp;""</f>
        <v/>
      </c>
      <c r="CD352" s="5">
        <f>INDEX(Projects[Value (USD M)],351)</f>
        <v/>
      </c>
      <c r="CE352" s="5">
        <f>INDEX(Projects[MH Data Status],351)&amp;""</f>
        <v/>
      </c>
    </row>
    <row r="353" ht="15" customHeight="1" s="74">
      <c r="A353" s="66">
        <f>INDEX(Projects[Project ID *],352)&amp;""</f>
        <v/>
      </c>
      <c r="B353" s="66">
        <f>INDEX(Projects[Project Name *],352)&amp;""</f>
        <v/>
      </c>
      <c r="C353" s="66">
        <f>INDEX(Projects[MS Shuttles],352)</f>
        <v/>
      </c>
      <c r="D353" s="66">
        <f>INDEX(Projects[MS Tote Locations],352)</f>
        <v/>
      </c>
      <c r="E353" s="66">
        <f>INDEX(Projects[AS Robots],352)</f>
        <v/>
      </c>
      <c r="F353" s="66">
        <f>INDEX(Projects[AS Tote Locations],352)</f>
        <v/>
      </c>
      <c r="G353" s="66">
        <f>INDEX(Projects[PS Shuttles],352)</f>
        <v/>
      </c>
      <c r="H353" s="66">
        <f>INDEX(Projects[PS Pallet Locations],352)</f>
        <v/>
      </c>
      <c r="I353" s="66">
        <f>INDEX(Projects[SRM Cranes],352)</f>
        <v/>
      </c>
      <c r="J353" s="66">
        <f>INDEX(Projects[SRM Pallet Locations],352)</f>
        <v/>
      </c>
      <c r="K353" s="66">
        <f>INDEX(Projects[Case Conv (m)],352)</f>
        <v/>
      </c>
      <c r="L353" s="66">
        <f>INDEX(Projects[Pallet Conv (m)],352)</f>
        <v/>
      </c>
      <c r="M353" s="66">
        <f>INDEX(Projects[Mech Eng (wks)],352)</f>
        <v/>
      </c>
      <c r="N353" s="66">
        <f>INDEX(Projects[Controls Eng (wks)],352)</f>
        <v/>
      </c>
      <c r="O353" s="66">
        <f>INDEX(Projects[Systems Eng (wks)],352)</f>
        <v/>
      </c>
      <c r="P353" s="66">
        <f>INDEX(Projects[Software Eng (wks)],352)</f>
        <v/>
      </c>
      <c r="Q353" s="66">
        <f>INDEX(Projects[M&amp;E Installation (wks)],352)</f>
        <v/>
      </c>
      <c r="R353" s="66">
        <f>INDEX(Projects[Commissioning (wks)],352)</f>
        <v/>
      </c>
      <c r="S353" s="66">
        <f>INDEX(Projects[Total Timeline (wks)],352)</f>
        <v/>
      </c>
      <c r="T353" s="66">
        <f>INDEX(Projects[Currency],352)&amp;""</f>
        <v/>
      </c>
      <c r="U353" s="67">
        <f>INDEX(Projects[Value (M)],352)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INDEX(Projects[Automation Equipment],352)&amp;""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IF(AND(A353&lt;&gt;"",OR('Smart Search'!$L$5="",'Smart Search'!$L$5="All",TRIM(BZ353)=TRIM('Smart Search'!$L$5)),OR(TRIM('Smart Search'!$L$6)="",TRIM('Smart Search'!$L$6)="All",ISNUMBER(SEARCH(SUBSTITUTE(SUBSTITUTE(SUBSTITUTE(TRIM('Smart Search'!$L$6),"~","~~"),"*","~*"),"?","~?"),CA353))),OR('Smart Search'!$L$7="",AND(CB353&lt;&gt;0,CB353='Smart Search'!$L$7)),OR('Smart Search'!$L$8="",'Smart Search'!$L$8="All",TRIM(CC353)=TRIM('Smart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IF(A353="","",N(INDEX(Projects[Mech Inst],352)))</f>
        <v/>
      </c>
      <c r="BK353" s="5">
        <f>IF(A353="","",N(INDEX(Projects[Elec Inst],352)))</f>
        <v/>
      </c>
      <c r="BL353" s="5">
        <f>IF(A353="","",N(INDEX(Projects[Project Management],352)))</f>
        <v/>
      </c>
      <c r="BM353" s="5">
        <f>IF(A353="","",N(INDEX(Projects[Systems Eng],352)))</f>
        <v/>
      </c>
      <c r="BN353" s="5">
        <f>IF(A353="","",N(INDEX(Projects[Mechanical Eng],352)))</f>
        <v/>
      </c>
      <c r="BO353" s="5">
        <f>IF(A353="","",N(INDEX(Projects[Structural Engineering],352)))</f>
        <v/>
      </c>
      <c r="BP353" s="5">
        <f>IF(A353="","",N(INDEX(Projects[Site Sup],352)))</f>
        <v/>
      </c>
      <c r="BQ353" s="5">
        <f>IF(A353="","",N(INDEX(Projects[Controls Commissioning],352)))</f>
        <v/>
      </c>
      <c r="BR353" s="5">
        <f>IF(A353="","",N(INDEX(Projects[Systems Commissioning],352)))</f>
        <v/>
      </c>
      <c r="BS353" s="5">
        <f>IF(A353="","",N(INDEX(Projects[Service Commissioning],352)))</f>
        <v/>
      </c>
      <c r="BT353" s="5">
        <f>IF(A353="","",N(INDEX(Projects[Controls Eng],352)))</f>
        <v/>
      </c>
      <c r="BU353" s="5">
        <f>IF(A353="","",N(INDEX(Projects[Controls Purchase],352)))</f>
        <v/>
      </c>
      <c r="BV353" s="5">
        <f>IF(A353="","",N(INDEX(Projects[Software Eng],352)))</f>
        <v/>
      </c>
      <c r="BW353" s="5">
        <f>IF(A353="","",N(INDEX(Projects[Misc],352)))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  <c r="BZ353" s="5">
        <f>INDEX(Projects[Solution Type],352)&amp;""</f>
        <v/>
      </c>
      <c r="CA353" s="5">
        <f>INDEX(Projects[Client / Region],352)&amp;""</f>
        <v/>
      </c>
      <c r="CB353" s="5">
        <f>INDEX(Projects[Year],352)</f>
        <v/>
      </c>
      <c r="CC353" s="5">
        <f>INDEX(Projects[Won?],352)&amp;""</f>
        <v/>
      </c>
      <c r="CD353" s="5">
        <f>INDEX(Projects[Value (USD M)],352)</f>
        <v/>
      </c>
      <c r="CE353" s="5">
        <f>INDEX(Projects[MH Data Status],352)&amp;""</f>
        <v/>
      </c>
    </row>
    <row r="354" ht="15" customHeight="1" s="74">
      <c r="A354" s="66">
        <f>INDEX(Projects[Project ID *],353)&amp;""</f>
        <v/>
      </c>
      <c r="B354" s="66">
        <f>INDEX(Projects[Project Name *],353)&amp;""</f>
        <v/>
      </c>
      <c r="C354" s="66">
        <f>INDEX(Projects[MS Shuttles],353)</f>
        <v/>
      </c>
      <c r="D354" s="66">
        <f>INDEX(Projects[MS Tote Locations],353)</f>
        <v/>
      </c>
      <c r="E354" s="66">
        <f>INDEX(Projects[AS Robots],353)</f>
        <v/>
      </c>
      <c r="F354" s="66">
        <f>INDEX(Projects[AS Tote Locations],353)</f>
        <v/>
      </c>
      <c r="G354" s="66">
        <f>INDEX(Projects[PS Shuttles],353)</f>
        <v/>
      </c>
      <c r="H354" s="66">
        <f>INDEX(Projects[PS Pallet Locations],353)</f>
        <v/>
      </c>
      <c r="I354" s="66">
        <f>INDEX(Projects[SRM Cranes],353)</f>
        <v/>
      </c>
      <c r="J354" s="66">
        <f>INDEX(Projects[SRM Pallet Locations],353)</f>
        <v/>
      </c>
      <c r="K354" s="66">
        <f>INDEX(Projects[Case Conv (m)],353)</f>
        <v/>
      </c>
      <c r="L354" s="66">
        <f>INDEX(Projects[Pallet Conv (m)],353)</f>
        <v/>
      </c>
      <c r="M354" s="66">
        <f>INDEX(Projects[Mech Eng (wks)],353)</f>
        <v/>
      </c>
      <c r="N354" s="66">
        <f>INDEX(Projects[Controls Eng (wks)],353)</f>
        <v/>
      </c>
      <c r="O354" s="66">
        <f>INDEX(Projects[Systems Eng (wks)],353)</f>
        <v/>
      </c>
      <c r="P354" s="66">
        <f>INDEX(Projects[Software Eng (wks)],353)</f>
        <v/>
      </c>
      <c r="Q354" s="66">
        <f>INDEX(Projects[M&amp;E Installation (wks)],353)</f>
        <v/>
      </c>
      <c r="R354" s="66">
        <f>INDEX(Projects[Commissioning (wks)],353)</f>
        <v/>
      </c>
      <c r="S354" s="66">
        <f>INDEX(Projects[Total Timeline (wks)],353)</f>
        <v/>
      </c>
      <c r="T354" s="66">
        <f>INDEX(Projects[Currency],353)&amp;""</f>
        <v/>
      </c>
      <c r="U354" s="67">
        <f>INDEX(Projects[Value (M)],353)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INDEX(Projects[Automation Equipment],353)&amp;""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IF(AND(A354&lt;&gt;"",OR('Smart Search'!$L$5="",'Smart Search'!$L$5="All",TRIM(BZ354)=TRIM('Smart Search'!$L$5)),OR(TRIM('Smart Search'!$L$6)="",TRIM('Smart Search'!$L$6)="All",ISNUMBER(SEARCH(SUBSTITUTE(SUBSTITUTE(SUBSTITUTE(TRIM('Smart Search'!$L$6),"~","~~"),"*","~*"),"?","~?"),CA354))),OR('Smart Search'!$L$7="",AND(CB354&lt;&gt;0,CB354='Smart Search'!$L$7)),OR('Smart Search'!$L$8="",'Smart Search'!$L$8="All",TRIM(CC354)=TRIM('Smart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IF(A354="","",N(INDEX(Projects[Mech Inst],353)))</f>
        <v/>
      </c>
      <c r="BK354" s="5">
        <f>IF(A354="","",N(INDEX(Projects[Elec Inst],353)))</f>
        <v/>
      </c>
      <c r="BL354" s="5">
        <f>IF(A354="","",N(INDEX(Projects[Project Management],353)))</f>
        <v/>
      </c>
      <c r="BM354" s="5">
        <f>IF(A354="","",N(INDEX(Projects[Systems Eng],353)))</f>
        <v/>
      </c>
      <c r="BN354" s="5">
        <f>IF(A354="","",N(INDEX(Projects[Mechanical Eng],353)))</f>
        <v/>
      </c>
      <c r="BO354" s="5">
        <f>IF(A354="","",N(INDEX(Projects[Structural Engineering],353)))</f>
        <v/>
      </c>
      <c r="BP354" s="5">
        <f>IF(A354="","",N(INDEX(Projects[Site Sup],353)))</f>
        <v/>
      </c>
      <c r="BQ354" s="5">
        <f>IF(A354="","",N(INDEX(Projects[Controls Commissioning],353)))</f>
        <v/>
      </c>
      <c r="BR354" s="5">
        <f>IF(A354="","",N(INDEX(Projects[Systems Commissioning],353)))</f>
        <v/>
      </c>
      <c r="BS354" s="5">
        <f>IF(A354="","",N(INDEX(Projects[Service Commissioning],353)))</f>
        <v/>
      </c>
      <c r="BT354" s="5">
        <f>IF(A354="","",N(INDEX(Projects[Controls Eng],353)))</f>
        <v/>
      </c>
      <c r="BU354" s="5">
        <f>IF(A354="","",N(INDEX(Projects[Controls Purchase],353)))</f>
        <v/>
      </c>
      <c r="BV354" s="5">
        <f>IF(A354="","",N(INDEX(Projects[Software Eng],353)))</f>
        <v/>
      </c>
      <c r="BW354" s="5">
        <f>IF(A354="","",N(INDEX(Projects[Misc],353)))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  <c r="BZ354" s="5">
        <f>INDEX(Projects[Solution Type],353)&amp;""</f>
        <v/>
      </c>
      <c r="CA354" s="5">
        <f>INDEX(Projects[Client / Region],353)&amp;""</f>
        <v/>
      </c>
      <c r="CB354" s="5">
        <f>INDEX(Projects[Year],353)</f>
        <v/>
      </c>
      <c r="CC354" s="5">
        <f>INDEX(Projects[Won?],353)&amp;""</f>
        <v/>
      </c>
      <c r="CD354" s="5">
        <f>INDEX(Projects[Value (USD M)],353)</f>
        <v/>
      </c>
      <c r="CE354" s="5">
        <f>INDEX(Projects[MH Data Status],353)&amp;""</f>
        <v/>
      </c>
    </row>
    <row r="355" ht="15" customHeight="1" s="74">
      <c r="A355" s="66">
        <f>INDEX(Projects[Project ID *],354)&amp;""</f>
        <v/>
      </c>
      <c r="B355" s="66">
        <f>INDEX(Projects[Project Name *],354)&amp;""</f>
        <v/>
      </c>
      <c r="C355" s="66">
        <f>INDEX(Projects[MS Shuttles],354)</f>
        <v/>
      </c>
      <c r="D355" s="66">
        <f>INDEX(Projects[MS Tote Locations],354)</f>
        <v/>
      </c>
      <c r="E355" s="66">
        <f>INDEX(Projects[AS Robots],354)</f>
        <v/>
      </c>
      <c r="F355" s="66">
        <f>INDEX(Projects[AS Tote Locations],354)</f>
        <v/>
      </c>
      <c r="G355" s="66">
        <f>INDEX(Projects[PS Shuttles],354)</f>
        <v/>
      </c>
      <c r="H355" s="66">
        <f>INDEX(Projects[PS Pallet Locations],354)</f>
        <v/>
      </c>
      <c r="I355" s="66">
        <f>INDEX(Projects[SRM Cranes],354)</f>
        <v/>
      </c>
      <c r="J355" s="66">
        <f>INDEX(Projects[SRM Pallet Locations],354)</f>
        <v/>
      </c>
      <c r="K355" s="66">
        <f>INDEX(Projects[Case Conv (m)],354)</f>
        <v/>
      </c>
      <c r="L355" s="66">
        <f>INDEX(Projects[Pallet Conv (m)],354)</f>
        <v/>
      </c>
      <c r="M355" s="66">
        <f>INDEX(Projects[Mech Eng (wks)],354)</f>
        <v/>
      </c>
      <c r="N355" s="66">
        <f>INDEX(Projects[Controls Eng (wks)],354)</f>
        <v/>
      </c>
      <c r="O355" s="66">
        <f>INDEX(Projects[Systems Eng (wks)],354)</f>
        <v/>
      </c>
      <c r="P355" s="66">
        <f>INDEX(Projects[Software Eng (wks)],354)</f>
        <v/>
      </c>
      <c r="Q355" s="66">
        <f>INDEX(Projects[M&amp;E Installation (wks)],354)</f>
        <v/>
      </c>
      <c r="R355" s="66">
        <f>INDEX(Projects[Commissioning (wks)],354)</f>
        <v/>
      </c>
      <c r="S355" s="66">
        <f>INDEX(Projects[Total Timeline (wks)],354)</f>
        <v/>
      </c>
      <c r="T355" s="66">
        <f>INDEX(Projects[Currency],354)&amp;""</f>
        <v/>
      </c>
      <c r="U355" s="67">
        <f>INDEX(Projects[Value (M)],354)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INDEX(Projects[Automation Equipment],354)&amp;""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IF(AND(A355&lt;&gt;"",OR('Smart Search'!$L$5="",'Smart Search'!$L$5="All",TRIM(BZ355)=TRIM('Smart Search'!$L$5)),OR(TRIM('Smart Search'!$L$6)="",TRIM('Smart Search'!$L$6)="All",ISNUMBER(SEARCH(SUBSTITUTE(SUBSTITUTE(SUBSTITUTE(TRIM('Smart Search'!$L$6),"~","~~"),"*","~*"),"?","~?"),CA355))),OR('Smart Search'!$L$7="",AND(CB355&lt;&gt;0,CB355='Smart Search'!$L$7)),OR('Smart Search'!$L$8="",'Smart Search'!$L$8="All",TRIM(CC355)=TRIM('Smart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IF(A355="","",N(INDEX(Projects[Mech Inst],354)))</f>
        <v/>
      </c>
      <c r="BK355" s="5">
        <f>IF(A355="","",N(INDEX(Projects[Elec Inst],354)))</f>
        <v/>
      </c>
      <c r="BL355" s="5">
        <f>IF(A355="","",N(INDEX(Projects[Project Management],354)))</f>
        <v/>
      </c>
      <c r="BM355" s="5">
        <f>IF(A355="","",N(INDEX(Projects[Systems Eng],354)))</f>
        <v/>
      </c>
      <c r="BN355" s="5">
        <f>IF(A355="","",N(INDEX(Projects[Mechanical Eng],354)))</f>
        <v/>
      </c>
      <c r="BO355" s="5">
        <f>IF(A355="","",N(INDEX(Projects[Structural Engineering],354)))</f>
        <v/>
      </c>
      <c r="BP355" s="5">
        <f>IF(A355="","",N(INDEX(Projects[Site Sup],354)))</f>
        <v/>
      </c>
      <c r="BQ355" s="5">
        <f>IF(A355="","",N(INDEX(Projects[Controls Commissioning],354)))</f>
        <v/>
      </c>
      <c r="BR355" s="5">
        <f>IF(A355="","",N(INDEX(Projects[Systems Commissioning],354)))</f>
        <v/>
      </c>
      <c r="BS355" s="5">
        <f>IF(A355="","",N(INDEX(Projects[Service Commissioning],354)))</f>
        <v/>
      </c>
      <c r="BT355" s="5">
        <f>IF(A355="","",N(INDEX(Projects[Controls Eng],354)))</f>
        <v/>
      </c>
      <c r="BU355" s="5">
        <f>IF(A355="","",N(INDEX(Projects[Controls Purchase],354)))</f>
        <v/>
      </c>
      <c r="BV355" s="5">
        <f>IF(A355="","",N(INDEX(Projects[Software Eng],354)))</f>
        <v/>
      </c>
      <c r="BW355" s="5">
        <f>IF(A355="","",N(INDEX(Projects[Misc],354)))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  <c r="BZ355" s="5">
        <f>INDEX(Projects[Solution Type],354)&amp;""</f>
        <v/>
      </c>
      <c r="CA355" s="5">
        <f>INDEX(Projects[Client / Region],354)&amp;""</f>
        <v/>
      </c>
      <c r="CB355" s="5">
        <f>INDEX(Projects[Year],354)</f>
        <v/>
      </c>
      <c r="CC355" s="5">
        <f>INDEX(Projects[Won?],354)&amp;""</f>
        <v/>
      </c>
      <c r="CD355" s="5">
        <f>INDEX(Projects[Value (USD M)],354)</f>
        <v/>
      </c>
      <c r="CE355" s="5">
        <f>INDEX(Projects[MH Data Status],354)&amp;""</f>
        <v/>
      </c>
    </row>
    <row r="356" ht="15" customHeight="1" s="74">
      <c r="A356" s="66">
        <f>INDEX(Projects[Project ID *],355)&amp;""</f>
        <v/>
      </c>
      <c r="B356" s="66">
        <f>INDEX(Projects[Project Name *],355)&amp;""</f>
        <v/>
      </c>
      <c r="C356" s="66">
        <f>INDEX(Projects[MS Shuttles],355)</f>
        <v/>
      </c>
      <c r="D356" s="66">
        <f>INDEX(Projects[MS Tote Locations],355)</f>
        <v/>
      </c>
      <c r="E356" s="66">
        <f>INDEX(Projects[AS Robots],355)</f>
        <v/>
      </c>
      <c r="F356" s="66">
        <f>INDEX(Projects[AS Tote Locations],355)</f>
        <v/>
      </c>
      <c r="G356" s="66">
        <f>INDEX(Projects[PS Shuttles],355)</f>
        <v/>
      </c>
      <c r="H356" s="66">
        <f>INDEX(Projects[PS Pallet Locations],355)</f>
        <v/>
      </c>
      <c r="I356" s="66">
        <f>INDEX(Projects[SRM Cranes],355)</f>
        <v/>
      </c>
      <c r="J356" s="66">
        <f>INDEX(Projects[SRM Pallet Locations],355)</f>
        <v/>
      </c>
      <c r="K356" s="66">
        <f>INDEX(Projects[Case Conv (m)],355)</f>
        <v/>
      </c>
      <c r="L356" s="66">
        <f>INDEX(Projects[Pallet Conv (m)],355)</f>
        <v/>
      </c>
      <c r="M356" s="66">
        <f>INDEX(Projects[Mech Eng (wks)],355)</f>
        <v/>
      </c>
      <c r="N356" s="66">
        <f>INDEX(Projects[Controls Eng (wks)],355)</f>
        <v/>
      </c>
      <c r="O356" s="66">
        <f>INDEX(Projects[Systems Eng (wks)],355)</f>
        <v/>
      </c>
      <c r="P356" s="66">
        <f>INDEX(Projects[Software Eng (wks)],355)</f>
        <v/>
      </c>
      <c r="Q356" s="66">
        <f>INDEX(Projects[M&amp;E Installation (wks)],355)</f>
        <v/>
      </c>
      <c r="R356" s="66">
        <f>INDEX(Projects[Commissioning (wks)],355)</f>
        <v/>
      </c>
      <c r="S356" s="66">
        <f>INDEX(Projects[Total Timeline (wks)],355)</f>
        <v/>
      </c>
      <c r="T356" s="66">
        <f>INDEX(Projects[Currency],355)&amp;""</f>
        <v/>
      </c>
      <c r="U356" s="67">
        <f>INDEX(Projects[Value (M)],355)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INDEX(Projects[Automation Equipment],355)&amp;""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IF(AND(A356&lt;&gt;"",OR('Smart Search'!$L$5="",'Smart Search'!$L$5="All",TRIM(BZ356)=TRIM('Smart Search'!$L$5)),OR(TRIM('Smart Search'!$L$6)="",TRIM('Smart Search'!$L$6)="All",ISNUMBER(SEARCH(SUBSTITUTE(SUBSTITUTE(SUBSTITUTE(TRIM('Smart Search'!$L$6),"~","~~"),"*","~*"),"?","~?"),CA356))),OR('Smart Search'!$L$7="",AND(CB356&lt;&gt;0,CB356='Smart Search'!$L$7)),OR('Smart Search'!$L$8="",'Smart Search'!$L$8="All",TRIM(CC356)=TRIM('Smart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IF(A356="","",N(INDEX(Projects[Mech Inst],355)))</f>
        <v/>
      </c>
      <c r="BK356" s="5">
        <f>IF(A356="","",N(INDEX(Projects[Elec Inst],355)))</f>
        <v/>
      </c>
      <c r="BL356" s="5">
        <f>IF(A356="","",N(INDEX(Projects[Project Management],355)))</f>
        <v/>
      </c>
      <c r="BM356" s="5">
        <f>IF(A356="","",N(INDEX(Projects[Systems Eng],355)))</f>
        <v/>
      </c>
      <c r="BN356" s="5">
        <f>IF(A356="","",N(INDEX(Projects[Mechanical Eng],355)))</f>
        <v/>
      </c>
      <c r="BO356" s="5">
        <f>IF(A356="","",N(INDEX(Projects[Structural Engineering],355)))</f>
        <v/>
      </c>
      <c r="BP356" s="5">
        <f>IF(A356="","",N(INDEX(Projects[Site Sup],355)))</f>
        <v/>
      </c>
      <c r="BQ356" s="5">
        <f>IF(A356="","",N(INDEX(Projects[Controls Commissioning],355)))</f>
        <v/>
      </c>
      <c r="BR356" s="5">
        <f>IF(A356="","",N(INDEX(Projects[Systems Commissioning],355)))</f>
        <v/>
      </c>
      <c r="BS356" s="5">
        <f>IF(A356="","",N(INDEX(Projects[Service Commissioning],355)))</f>
        <v/>
      </c>
      <c r="BT356" s="5">
        <f>IF(A356="","",N(INDEX(Projects[Controls Eng],355)))</f>
        <v/>
      </c>
      <c r="BU356" s="5">
        <f>IF(A356="","",N(INDEX(Projects[Controls Purchase],355)))</f>
        <v/>
      </c>
      <c r="BV356" s="5">
        <f>IF(A356="","",N(INDEX(Projects[Software Eng],355)))</f>
        <v/>
      </c>
      <c r="BW356" s="5">
        <f>IF(A356="","",N(INDEX(Projects[Misc],355)))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  <c r="BZ356" s="5">
        <f>INDEX(Projects[Solution Type],355)&amp;""</f>
        <v/>
      </c>
      <c r="CA356" s="5">
        <f>INDEX(Projects[Client / Region],355)&amp;""</f>
        <v/>
      </c>
      <c r="CB356" s="5">
        <f>INDEX(Projects[Year],355)</f>
        <v/>
      </c>
      <c r="CC356" s="5">
        <f>INDEX(Projects[Won?],355)&amp;""</f>
        <v/>
      </c>
      <c r="CD356" s="5">
        <f>INDEX(Projects[Value (USD M)],355)</f>
        <v/>
      </c>
      <c r="CE356" s="5">
        <f>INDEX(Projects[MH Data Status],355)&amp;""</f>
        <v/>
      </c>
    </row>
    <row r="357" ht="15" customHeight="1" s="74">
      <c r="A357" s="66">
        <f>INDEX(Projects[Project ID *],356)&amp;""</f>
        <v/>
      </c>
      <c r="B357" s="66">
        <f>INDEX(Projects[Project Name *],356)&amp;""</f>
        <v/>
      </c>
      <c r="C357" s="66">
        <f>INDEX(Projects[MS Shuttles],356)</f>
        <v/>
      </c>
      <c r="D357" s="66">
        <f>INDEX(Projects[MS Tote Locations],356)</f>
        <v/>
      </c>
      <c r="E357" s="66">
        <f>INDEX(Projects[AS Robots],356)</f>
        <v/>
      </c>
      <c r="F357" s="66">
        <f>INDEX(Projects[AS Tote Locations],356)</f>
        <v/>
      </c>
      <c r="G357" s="66">
        <f>INDEX(Projects[PS Shuttles],356)</f>
        <v/>
      </c>
      <c r="H357" s="66">
        <f>INDEX(Projects[PS Pallet Locations],356)</f>
        <v/>
      </c>
      <c r="I357" s="66">
        <f>INDEX(Projects[SRM Cranes],356)</f>
        <v/>
      </c>
      <c r="J357" s="66">
        <f>INDEX(Projects[SRM Pallet Locations],356)</f>
        <v/>
      </c>
      <c r="K357" s="66">
        <f>INDEX(Projects[Case Conv (m)],356)</f>
        <v/>
      </c>
      <c r="L357" s="66">
        <f>INDEX(Projects[Pallet Conv (m)],356)</f>
        <v/>
      </c>
      <c r="M357" s="66">
        <f>INDEX(Projects[Mech Eng (wks)],356)</f>
        <v/>
      </c>
      <c r="N357" s="66">
        <f>INDEX(Projects[Controls Eng (wks)],356)</f>
        <v/>
      </c>
      <c r="O357" s="66">
        <f>INDEX(Projects[Systems Eng (wks)],356)</f>
        <v/>
      </c>
      <c r="P357" s="66">
        <f>INDEX(Projects[Software Eng (wks)],356)</f>
        <v/>
      </c>
      <c r="Q357" s="66">
        <f>INDEX(Projects[M&amp;E Installation (wks)],356)</f>
        <v/>
      </c>
      <c r="R357" s="66">
        <f>INDEX(Projects[Commissioning (wks)],356)</f>
        <v/>
      </c>
      <c r="S357" s="66">
        <f>INDEX(Projects[Total Timeline (wks)],356)</f>
        <v/>
      </c>
      <c r="T357" s="66">
        <f>INDEX(Projects[Currency],356)&amp;""</f>
        <v/>
      </c>
      <c r="U357" s="67">
        <f>INDEX(Projects[Value (M)],356)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INDEX(Projects[Automation Equipment],356)&amp;""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IF(AND(A357&lt;&gt;"",OR('Smart Search'!$L$5="",'Smart Search'!$L$5="All",TRIM(BZ357)=TRIM('Smart Search'!$L$5)),OR(TRIM('Smart Search'!$L$6)="",TRIM('Smart Search'!$L$6)="All",ISNUMBER(SEARCH(SUBSTITUTE(SUBSTITUTE(SUBSTITUTE(TRIM('Smart Search'!$L$6),"~","~~"),"*","~*"),"?","~?"),CA357))),OR('Smart Search'!$L$7="",AND(CB357&lt;&gt;0,CB357='Smart Search'!$L$7)),OR('Smart Search'!$L$8="",'Smart Search'!$L$8="All",TRIM(CC357)=TRIM('Smart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IF(A357="","",N(INDEX(Projects[Mech Inst],356)))</f>
        <v/>
      </c>
      <c r="BK357" s="5">
        <f>IF(A357="","",N(INDEX(Projects[Elec Inst],356)))</f>
        <v/>
      </c>
      <c r="BL357" s="5">
        <f>IF(A357="","",N(INDEX(Projects[Project Management],356)))</f>
        <v/>
      </c>
      <c r="BM357" s="5">
        <f>IF(A357="","",N(INDEX(Projects[Systems Eng],356)))</f>
        <v/>
      </c>
      <c r="BN357" s="5">
        <f>IF(A357="","",N(INDEX(Projects[Mechanical Eng],356)))</f>
        <v/>
      </c>
      <c r="BO357" s="5">
        <f>IF(A357="","",N(INDEX(Projects[Structural Engineering],356)))</f>
        <v/>
      </c>
      <c r="BP357" s="5">
        <f>IF(A357="","",N(INDEX(Projects[Site Sup],356)))</f>
        <v/>
      </c>
      <c r="BQ357" s="5">
        <f>IF(A357="","",N(INDEX(Projects[Controls Commissioning],356)))</f>
        <v/>
      </c>
      <c r="BR357" s="5">
        <f>IF(A357="","",N(INDEX(Projects[Systems Commissioning],356)))</f>
        <v/>
      </c>
      <c r="BS357" s="5">
        <f>IF(A357="","",N(INDEX(Projects[Service Commissioning],356)))</f>
        <v/>
      </c>
      <c r="BT357" s="5">
        <f>IF(A357="","",N(INDEX(Projects[Controls Eng],356)))</f>
        <v/>
      </c>
      <c r="BU357" s="5">
        <f>IF(A357="","",N(INDEX(Projects[Controls Purchase],356)))</f>
        <v/>
      </c>
      <c r="BV357" s="5">
        <f>IF(A357="","",N(INDEX(Projects[Software Eng],356)))</f>
        <v/>
      </c>
      <c r="BW357" s="5">
        <f>IF(A357="","",N(INDEX(Projects[Misc],356)))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  <c r="BZ357" s="5">
        <f>INDEX(Projects[Solution Type],356)&amp;""</f>
        <v/>
      </c>
      <c r="CA357" s="5">
        <f>INDEX(Projects[Client / Region],356)&amp;""</f>
        <v/>
      </c>
      <c r="CB357" s="5">
        <f>INDEX(Projects[Year],356)</f>
        <v/>
      </c>
      <c r="CC357" s="5">
        <f>INDEX(Projects[Won?],356)&amp;""</f>
        <v/>
      </c>
      <c r="CD357" s="5">
        <f>INDEX(Projects[Value (USD M)],356)</f>
        <v/>
      </c>
      <c r="CE357" s="5">
        <f>INDEX(Projects[MH Data Status],356)&amp;""</f>
        <v/>
      </c>
    </row>
    <row r="358" ht="15" customHeight="1" s="74">
      <c r="A358" s="66">
        <f>INDEX(Projects[Project ID *],357)&amp;""</f>
        <v/>
      </c>
      <c r="B358" s="66">
        <f>INDEX(Projects[Project Name *],357)&amp;""</f>
        <v/>
      </c>
      <c r="C358" s="66">
        <f>INDEX(Projects[MS Shuttles],357)</f>
        <v/>
      </c>
      <c r="D358" s="66">
        <f>INDEX(Projects[MS Tote Locations],357)</f>
        <v/>
      </c>
      <c r="E358" s="66">
        <f>INDEX(Projects[AS Robots],357)</f>
        <v/>
      </c>
      <c r="F358" s="66">
        <f>INDEX(Projects[AS Tote Locations],357)</f>
        <v/>
      </c>
      <c r="G358" s="66">
        <f>INDEX(Projects[PS Shuttles],357)</f>
        <v/>
      </c>
      <c r="H358" s="66">
        <f>INDEX(Projects[PS Pallet Locations],357)</f>
        <v/>
      </c>
      <c r="I358" s="66">
        <f>INDEX(Projects[SRM Cranes],357)</f>
        <v/>
      </c>
      <c r="J358" s="66">
        <f>INDEX(Projects[SRM Pallet Locations],357)</f>
        <v/>
      </c>
      <c r="K358" s="66">
        <f>INDEX(Projects[Case Conv (m)],357)</f>
        <v/>
      </c>
      <c r="L358" s="66">
        <f>INDEX(Projects[Pallet Conv (m)],357)</f>
        <v/>
      </c>
      <c r="M358" s="66">
        <f>INDEX(Projects[Mech Eng (wks)],357)</f>
        <v/>
      </c>
      <c r="N358" s="66">
        <f>INDEX(Projects[Controls Eng (wks)],357)</f>
        <v/>
      </c>
      <c r="O358" s="66">
        <f>INDEX(Projects[Systems Eng (wks)],357)</f>
        <v/>
      </c>
      <c r="P358" s="66">
        <f>INDEX(Projects[Software Eng (wks)],357)</f>
        <v/>
      </c>
      <c r="Q358" s="66">
        <f>INDEX(Projects[M&amp;E Installation (wks)],357)</f>
        <v/>
      </c>
      <c r="R358" s="66">
        <f>INDEX(Projects[Commissioning (wks)],357)</f>
        <v/>
      </c>
      <c r="S358" s="66">
        <f>INDEX(Projects[Total Timeline (wks)],357)</f>
        <v/>
      </c>
      <c r="T358" s="66">
        <f>INDEX(Projects[Currency],357)&amp;""</f>
        <v/>
      </c>
      <c r="U358" s="67">
        <f>INDEX(Projects[Value (M)],357)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INDEX(Projects[Automation Equipment],357)&amp;""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IF(AND(A358&lt;&gt;"",OR('Smart Search'!$L$5="",'Smart Search'!$L$5="All",TRIM(BZ358)=TRIM('Smart Search'!$L$5)),OR(TRIM('Smart Search'!$L$6)="",TRIM('Smart Search'!$L$6)="All",ISNUMBER(SEARCH(SUBSTITUTE(SUBSTITUTE(SUBSTITUTE(TRIM('Smart Search'!$L$6),"~","~~"),"*","~*"),"?","~?"),CA358))),OR('Smart Search'!$L$7="",AND(CB358&lt;&gt;0,CB358='Smart Search'!$L$7)),OR('Smart Search'!$L$8="",'Smart Search'!$L$8="All",TRIM(CC358)=TRIM('Smart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IF(A358="","",N(INDEX(Projects[Mech Inst],357)))</f>
        <v/>
      </c>
      <c r="BK358" s="5">
        <f>IF(A358="","",N(INDEX(Projects[Elec Inst],357)))</f>
        <v/>
      </c>
      <c r="BL358" s="5">
        <f>IF(A358="","",N(INDEX(Projects[Project Management],357)))</f>
        <v/>
      </c>
      <c r="BM358" s="5">
        <f>IF(A358="","",N(INDEX(Projects[Systems Eng],357)))</f>
        <v/>
      </c>
      <c r="BN358" s="5">
        <f>IF(A358="","",N(INDEX(Projects[Mechanical Eng],357)))</f>
        <v/>
      </c>
      <c r="BO358" s="5">
        <f>IF(A358="","",N(INDEX(Projects[Structural Engineering],357)))</f>
        <v/>
      </c>
      <c r="BP358" s="5">
        <f>IF(A358="","",N(INDEX(Projects[Site Sup],357)))</f>
        <v/>
      </c>
      <c r="BQ358" s="5">
        <f>IF(A358="","",N(INDEX(Projects[Controls Commissioning],357)))</f>
        <v/>
      </c>
      <c r="BR358" s="5">
        <f>IF(A358="","",N(INDEX(Projects[Systems Commissioning],357)))</f>
        <v/>
      </c>
      <c r="BS358" s="5">
        <f>IF(A358="","",N(INDEX(Projects[Service Commissioning],357)))</f>
        <v/>
      </c>
      <c r="BT358" s="5">
        <f>IF(A358="","",N(INDEX(Projects[Controls Eng],357)))</f>
        <v/>
      </c>
      <c r="BU358" s="5">
        <f>IF(A358="","",N(INDEX(Projects[Controls Purchase],357)))</f>
        <v/>
      </c>
      <c r="BV358" s="5">
        <f>IF(A358="","",N(INDEX(Projects[Software Eng],357)))</f>
        <v/>
      </c>
      <c r="BW358" s="5">
        <f>IF(A358="","",N(INDEX(Projects[Misc],357)))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  <c r="BZ358" s="5">
        <f>INDEX(Projects[Solution Type],357)&amp;""</f>
        <v/>
      </c>
      <c r="CA358" s="5">
        <f>INDEX(Projects[Client / Region],357)&amp;""</f>
        <v/>
      </c>
      <c r="CB358" s="5">
        <f>INDEX(Projects[Year],357)</f>
        <v/>
      </c>
      <c r="CC358" s="5">
        <f>INDEX(Projects[Won?],357)&amp;""</f>
        <v/>
      </c>
      <c r="CD358" s="5">
        <f>INDEX(Projects[Value (USD M)],357)</f>
        <v/>
      </c>
      <c r="CE358" s="5">
        <f>INDEX(Projects[MH Data Status],357)&amp;""</f>
        <v/>
      </c>
    </row>
    <row r="359" ht="15" customHeight="1" s="74">
      <c r="A359" s="66">
        <f>INDEX(Projects[Project ID *],358)&amp;""</f>
        <v/>
      </c>
      <c r="B359" s="66">
        <f>INDEX(Projects[Project Name *],358)&amp;""</f>
        <v/>
      </c>
      <c r="C359" s="66">
        <f>INDEX(Projects[MS Shuttles],358)</f>
        <v/>
      </c>
      <c r="D359" s="66">
        <f>INDEX(Projects[MS Tote Locations],358)</f>
        <v/>
      </c>
      <c r="E359" s="66">
        <f>INDEX(Projects[AS Robots],358)</f>
        <v/>
      </c>
      <c r="F359" s="66">
        <f>INDEX(Projects[AS Tote Locations],358)</f>
        <v/>
      </c>
      <c r="G359" s="66">
        <f>INDEX(Projects[PS Shuttles],358)</f>
        <v/>
      </c>
      <c r="H359" s="66">
        <f>INDEX(Projects[PS Pallet Locations],358)</f>
        <v/>
      </c>
      <c r="I359" s="66">
        <f>INDEX(Projects[SRM Cranes],358)</f>
        <v/>
      </c>
      <c r="J359" s="66">
        <f>INDEX(Projects[SRM Pallet Locations],358)</f>
        <v/>
      </c>
      <c r="K359" s="66">
        <f>INDEX(Projects[Case Conv (m)],358)</f>
        <v/>
      </c>
      <c r="L359" s="66">
        <f>INDEX(Projects[Pallet Conv (m)],358)</f>
        <v/>
      </c>
      <c r="M359" s="66">
        <f>INDEX(Projects[Mech Eng (wks)],358)</f>
        <v/>
      </c>
      <c r="N359" s="66">
        <f>INDEX(Projects[Controls Eng (wks)],358)</f>
        <v/>
      </c>
      <c r="O359" s="66">
        <f>INDEX(Projects[Systems Eng (wks)],358)</f>
        <v/>
      </c>
      <c r="P359" s="66">
        <f>INDEX(Projects[Software Eng (wks)],358)</f>
        <v/>
      </c>
      <c r="Q359" s="66">
        <f>INDEX(Projects[M&amp;E Installation (wks)],358)</f>
        <v/>
      </c>
      <c r="R359" s="66">
        <f>INDEX(Projects[Commissioning (wks)],358)</f>
        <v/>
      </c>
      <c r="S359" s="66">
        <f>INDEX(Projects[Total Timeline (wks)],358)</f>
        <v/>
      </c>
      <c r="T359" s="66">
        <f>INDEX(Projects[Currency],358)&amp;""</f>
        <v/>
      </c>
      <c r="U359" s="67">
        <f>INDEX(Projects[Value (M)],358)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INDEX(Projects[Automation Equipment],358)&amp;""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IF(AND(A359&lt;&gt;"",OR('Smart Search'!$L$5="",'Smart Search'!$L$5="All",TRIM(BZ359)=TRIM('Smart Search'!$L$5)),OR(TRIM('Smart Search'!$L$6)="",TRIM('Smart Search'!$L$6)="All",ISNUMBER(SEARCH(SUBSTITUTE(SUBSTITUTE(SUBSTITUTE(TRIM('Smart Search'!$L$6),"~","~~"),"*","~*"),"?","~?"),CA359))),OR('Smart Search'!$L$7="",AND(CB359&lt;&gt;0,CB359='Smart Search'!$L$7)),OR('Smart Search'!$L$8="",'Smart Search'!$L$8="All",TRIM(CC359)=TRIM('Smart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IF(A359="","",N(INDEX(Projects[Mech Inst],358)))</f>
        <v/>
      </c>
      <c r="BK359" s="5">
        <f>IF(A359="","",N(INDEX(Projects[Elec Inst],358)))</f>
        <v/>
      </c>
      <c r="BL359" s="5">
        <f>IF(A359="","",N(INDEX(Projects[Project Management],358)))</f>
        <v/>
      </c>
      <c r="BM359" s="5">
        <f>IF(A359="","",N(INDEX(Projects[Systems Eng],358)))</f>
        <v/>
      </c>
      <c r="BN359" s="5">
        <f>IF(A359="","",N(INDEX(Projects[Mechanical Eng],358)))</f>
        <v/>
      </c>
      <c r="BO359" s="5">
        <f>IF(A359="","",N(INDEX(Projects[Structural Engineering],358)))</f>
        <v/>
      </c>
      <c r="BP359" s="5">
        <f>IF(A359="","",N(INDEX(Projects[Site Sup],358)))</f>
        <v/>
      </c>
      <c r="BQ359" s="5">
        <f>IF(A359="","",N(INDEX(Projects[Controls Commissioning],358)))</f>
        <v/>
      </c>
      <c r="BR359" s="5">
        <f>IF(A359="","",N(INDEX(Projects[Systems Commissioning],358)))</f>
        <v/>
      </c>
      <c r="BS359" s="5">
        <f>IF(A359="","",N(INDEX(Projects[Service Commissioning],358)))</f>
        <v/>
      </c>
      <c r="BT359" s="5">
        <f>IF(A359="","",N(INDEX(Projects[Controls Eng],358)))</f>
        <v/>
      </c>
      <c r="BU359" s="5">
        <f>IF(A359="","",N(INDEX(Projects[Controls Purchase],358)))</f>
        <v/>
      </c>
      <c r="BV359" s="5">
        <f>IF(A359="","",N(INDEX(Projects[Software Eng],358)))</f>
        <v/>
      </c>
      <c r="BW359" s="5">
        <f>IF(A359="","",N(INDEX(Projects[Misc],358)))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  <c r="BZ359" s="5">
        <f>INDEX(Projects[Solution Type],358)&amp;""</f>
        <v/>
      </c>
      <c r="CA359" s="5">
        <f>INDEX(Projects[Client / Region],358)&amp;""</f>
        <v/>
      </c>
      <c r="CB359" s="5">
        <f>INDEX(Projects[Year],358)</f>
        <v/>
      </c>
      <c r="CC359" s="5">
        <f>INDEX(Projects[Won?],358)&amp;""</f>
        <v/>
      </c>
      <c r="CD359" s="5">
        <f>INDEX(Projects[Value (USD M)],358)</f>
        <v/>
      </c>
      <c r="CE359" s="5">
        <f>INDEX(Projects[MH Data Status],358)&amp;""</f>
        <v/>
      </c>
    </row>
    <row r="360" ht="15" customHeight="1" s="74">
      <c r="A360" s="66">
        <f>INDEX(Projects[Project ID *],359)&amp;""</f>
        <v/>
      </c>
      <c r="B360" s="66">
        <f>INDEX(Projects[Project Name *],359)&amp;""</f>
        <v/>
      </c>
      <c r="C360" s="66">
        <f>INDEX(Projects[MS Shuttles],359)</f>
        <v/>
      </c>
      <c r="D360" s="66">
        <f>INDEX(Projects[MS Tote Locations],359)</f>
        <v/>
      </c>
      <c r="E360" s="66">
        <f>INDEX(Projects[AS Robots],359)</f>
        <v/>
      </c>
      <c r="F360" s="66">
        <f>INDEX(Projects[AS Tote Locations],359)</f>
        <v/>
      </c>
      <c r="G360" s="66">
        <f>INDEX(Projects[PS Shuttles],359)</f>
        <v/>
      </c>
      <c r="H360" s="66">
        <f>INDEX(Projects[PS Pallet Locations],359)</f>
        <v/>
      </c>
      <c r="I360" s="66">
        <f>INDEX(Projects[SRM Cranes],359)</f>
        <v/>
      </c>
      <c r="J360" s="66">
        <f>INDEX(Projects[SRM Pallet Locations],359)</f>
        <v/>
      </c>
      <c r="K360" s="66">
        <f>INDEX(Projects[Case Conv (m)],359)</f>
        <v/>
      </c>
      <c r="L360" s="66">
        <f>INDEX(Projects[Pallet Conv (m)],359)</f>
        <v/>
      </c>
      <c r="M360" s="66">
        <f>INDEX(Projects[Mech Eng (wks)],359)</f>
        <v/>
      </c>
      <c r="N360" s="66">
        <f>INDEX(Projects[Controls Eng (wks)],359)</f>
        <v/>
      </c>
      <c r="O360" s="66">
        <f>INDEX(Projects[Systems Eng (wks)],359)</f>
        <v/>
      </c>
      <c r="P360" s="66">
        <f>INDEX(Projects[Software Eng (wks)],359)</f>
        <v/>
      </c>
      <c r="Q360" s="66">
        <f>INDEX(Projects[M&amp;E Installation (wks)],359)</f>
        <v/>
      </c>
      <c r="R360" s="66">
        <f>INDEX(Projects[Commissioning (wks)],359)</f>
        <v/>
      </c>
      <c r="S360" s="66">
        <f>INDEX(Projects[Total Timeline (wks)],359)</f>
        <v/>
      </c>
      <c r="T360" s="66">
        <f>INDEX(Projects[Currency],359)&amp;""</f>
        <v/>
      </c>
      <c r="U360" s="67">
        <f>INDEX(Projects[Value (M)],359)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INDEX(Projects[Automation Equipment],359)&amp;""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IF(AND(A360&lt;&gt;"",OR('Smart Search'!$L$5="",'Smart Search'!$L$5="All",TRIM(BZ360)=TRIM('Smart Search'!$L$5)),OR(TRIM('Smart Search'!$L$6)="",TRIM('Smart Search'!$L$6)="All",ISNUMBER(SEARCH(SUBSTITUTE(SUBSTITUTE(SUBSTITUTE(TRIM('Smart Search'!$L$6),"~","~~"),"*","~*"),"?","~?"),CA360))),OR('Smart Search'!$L$7="",AND(CB360&lt;&gt;0,CB360='Smart Search'!$L$7)),OR('Smart Search'!$L$8="",'Smart Search'!$L$8="All",TRIM(CC360)=TRIM('Smart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IF(A360="","",N(INDEX(Projects[Mech Inst],359)))</f>
        <v/>
      </c>
      <c r="BK360" s="5">
        <f>IF(A360="","",N(INDEX(Projects[Elec Inst],359)))</f>
        <v/>
      </c>
      <c r="BL360" s="5">
        <f>IF(A360="","",N(INDEX(Projects[Project Management],359)))</f>
        <v/>
      </c>
      <c r="BM360" s="5">
        <f>IF(A360="","",N(INDEX(Projects[Systems Eng],359)))</f>
        <v/>
      </c>
      <c r="BN360" s="5">
        <f>IF(A360="","",N(INDEX(Projects[Mechanical Eng],359)))</f>
        <v/>
      </c>
      <c r="BO360" s="5">
        <f>IF(A360="","",N(INDEX(Projects[Structural Engineering],359)))</f>
        <v/>
      </c>
      <c r="BP360" s="5">
        <f>IF(A360="","",N(INDEX(Projects[Site Sup],359)))</f>
        <v/>
      </c>
      <c r="BQ360" s="5">
        <f>IF(A360="","",N(INDEX(Projects[Controls Commissioning],359)))</f>
        <v/>
      </c>
      <c r="BR360" s="5">
        <f>IF(A360="","",N(INDEX(Projects[Systems Commissioning],359)))</f>
        <v/>
      </c>
      <c r="BS360" s="5">
        <f>IF(A360="","",N(INDEX(Projects[Service Commissioning],359)))</f>
        <v/>
      </c>
      <c r="BT360" s="5">
        <f>IF(A360="","",N(INDEX(Projects[Controls Eng],359)))</f>
        <v/>
      </c>
      <c r="BU360" s="5">
        <f>IF(A360="","",N(INDEX(Projects[Controls Purchase],359)))</f>
        <v/>
      </c>
      <c r="BV360" s="5">
        <f>IF(A360="","",N(INDEX(Projects[Software Eng],359)))</f>
        <v/>
      </c>
      <c r="BW360" s="5">
        <f>IF(A360="","",N(INDEX(Projects[Misc],359)))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  <c r="BZ360" s="5">
        <f>INDEX(Projects[Solution Type],359)&amp;""</f>
        <v/>
      </c>
      <c r="CA360" s="5">
        <f>INDEX(Projects[Client / Region],359)&amp;""</f>
        <v/>
      </c>
      <c r="CB360" s="5">
        <f>INDEX(Projects[Year],359)</f>
        <v/>
      </c>
      <c r="CC360" s="5">
        <f>INDEX(Projects[Won?],359)&amp;""</f>
        <v/>
      </c>
      <c r="CD360" s="5">
        <f>INDEX(Projects[Value (USD M)],359)</f>
        <v/>
      </c>
      <c r="CE360" s="5">
        <f>INDEX(Projects[MH Data Status],359)&amp;""</f>
        <v/>
      </c>
    </row>
    <row r="361" ht="15" customHeight="1" s="74">
      <c r="A361" s="66">
        <f>INDEX(Projects[Project ID *],360)&amp;""</f>
        <v/>
      </c>
      <c r="B361" s="66">
        <f>INDEX(Projects[Project Name *],360)&amp;""</f>
        <v/>
      </c>
      <c r="C361" s="66">
        <f>INDEX(Projects[MS Shuttles],360)</f>
        <v/>
      </c>
      <c r="D361" s="66">
        <f>INDEX(Projects[MS Tote Locations],360)</f>
        <v/>
      </c>
      <c r="E361" s="66">
        <f>INDEX(Projects[AS Robots],360)</f>
        <v/>
      </c>
      <c r="F361" s="66">
        <f>INDEX(Projects[AS Tote Locations],360)</f>
        <v/>
      </c>
      <c r="G361" s="66">
        <f>INDEX(Projects[PS Shuttles],360)</f>
        <v/>
      </c>
      <c r="H361" s="66">
        <f>INDEX(Projects[PS Pallet Locations],360)</f>
        <v/>
      </c>
      <c r="I361" s="66">
        <f>INDEX(Projects[SRM Cranes],360)</f>
        <v/>
      </c>
      <c r="J361" s="66">
        <f>INDEX(Projects[SRM Pallet Locations],360)</f>
        <v/>
      </c>
      <c r="K361" s="66">
        <f>INDEX(Projects[Case Conv (m)],360)</f>
        <v/>
      </c>
      <c r="L361" s="66">
        <f>INDEX(Projects[Pallet Conv (m)],360)</f>
        <v/>
      </c>
      <c r="M361" s="66">
        <f>INDEX(Projects[Mech Eng (wks)],360)</f>
        <v/>
      </c>
      <c r="N361" s="66">
        <f>INDEX(Projects[Controls Eng (wks)],360)</f>
        <v/>
      </c>
      <c r="O361" s="66">
        <f>INDEX(Projects[Systems Eng (wks)],360)</f>
        <v/>
      </c>
      <c r="P361" s="66">
        <f>INDEX(Projects[Software Eng (wks)],360)</f>
        <v/>
      </c>
      <c r="Q361" s="66">
        <f>INDEX(Projects[M&amp;E Installation (wks)],360)</f>
        <v/>
      </c>
      <c r="R361" s="66">
        <f>INDEX(Projects[Commissioning (wks)],360)</f>
        <v/>
      </c>
      <c r="S361" s="66">
        <f>INDEX(Projects[Total Timeline (wks)],360)</f>
        <v/>
      </c>
      <c r="T361" s="66">
        <f>INDEX(Projects[Currency],360)&amp;""</f>
        <v/>
      </c>
      <c r="U361" s="67">
        <f>INDEX(Projects[Value (M)],360)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INDEX(Projects[Automation Equipment],360)&amp;""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IF(AND(A361&lt;&gt;"",OR('Smart Search'!$L$5="",'Smart Search'!$L$5="All",TRIM(BZ361)=TRIM('Smart Search'!$L$5)),OR(TRIM('Smart Search'!$L$6)="",TRIM('Smart Search'!$L$6)="All",ISNUMBER(SEARCH(SUBSTITUTE(SUBSTITUTE(SUBSTITUTE(TRIM('Smart Search'!$L$6),"~","~~"),"*","~*"),"?","~?"),CA361))),OR('Smart Search'!$L$7="",AND(CB361&lt;&gt;0,CB361='Smart Search'!$L$7)),OR('Smart Search'!$L$8="",'Smart Search'!$L$8="All",TRIM(CC361)=TRIM('Smart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IF(A361="","",N(INDEX(Projects[Mech Inst],360)))</f>
        <v/>
      </c>
      <c r="BK361" s="5">
        <f>IF(A361="","",N(INDEX(Projects[Elec Inst],360)))</f>
        <v/>
      </c>
      <c r="BL361" s="5">
        <f>IF(A361="","",N(INDEX(Projects[Project Management],360)))</f>
        <v/>
      </c>
      <c r="BM361" s="5">
        <f>IF(A361="","",N(INDEX(Projects[Systems Eng],360)))</f>
        <v/>
      </c>
      <c r="BN361" s="5">
        <f>IF(A361="","",N(INDEX(Projects[Mechanical Eng],360)))</f>
        <v/>
      </c>
      <c r="BO361" s="5">
        <f>IF(A361="","",N(INDEX(Projects[Structural Engineering],360)))</f>
        <v/>
      </c>
      <c r="BP361" s="5">
        <f>IF(A361="","",N(INDEX(Projects[Site Sup],360)))</f>
        <v/>
      </c>
      <c r="BQ361" s="5">
        <f>IF(A361="","",N(INDEX(Projects[Controls Commissioning],360)))</f>
        <v/>
      </c>
      <c r="BR361" s="5">
        <f>IF(A361="","",N(INDEX(Projects[Systems Commissioning],360)))</f>
        <v/>
      </c>
      <c r="BS361" s="5">
        <f>IF(A361="","",N(INDEX(Projects[Service Commissioning],360)))</f>
        <v/>
      </c>
      <c r="BT361" s="5">
        <f>IF(A361="","",N(INDEX(Projects[Controls Eng],360)))</f>
        <v/>
      </c>
      <c r="BU361" s="5">
        <f>IF(A361="","",N(INDEX(Projects[Controls Purchase],360)))</f>
        <v/>
      </c>
      <c r="BV361" s="5">
        <f>IF(A361="","",N(INDEX(Projects[Software Eng],360)))</f>
        <v/>
      </c>
      <c r="BW361" s="5">
        <f>IF(A361="","",N(INDEX(Projects[Misc],360)))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  <c r="BZ361" s="5">
        <f>INDEX(Projects[Solution Type],360)&amp;""</f>
        <v/>
      </c>
      <c r="CA361" s="5">
        <f>INDEX(Projects[Client / Region],360)&amp;""</f>
        <v/>
      </c>
      <c r="CB361" s="5">
        <f>INDEX(Projects[Year],360)</f>
        <v/>
      </c>
      <c r="CC361" s="5">
        <f>INDEX(Projects[Won?],360)&amp;""</f>
        <v/>
      </c>
      <c r="CD361" s="5">
        <f>INDEX(Projects[Value (USD M)],360)</f>
        <v/>
      </c>
      <c r="CE361" s="5">
        <f>INDEX(Projects[MH Data Status],360)&amp;""</f>
        <v/>
      </c>
    </row>
    <row r="362" ht="15" customHeight="1" s="74">
      <c r="A362" s="66">
        <f>INDEX(Projects[Project ID *],361)&amp;""</f>
        <v/>
      </c>
      <c r="B362" s="66">
        <f>INDEX(Projects[Project Name *],361)&amp;""</f>
        <v/>
      </c>
      <c r="C362" s="66">
        <f>INDEX(Projects[MS Shuttles],361)</f>
        <v/>
      </c>
      <c r="D362" s="66">
        <f>INDEX(Projects[MS Tote Locations],361)</f>
        <v/>
      </c>
      <c r="E362" s="66">
        <f>INDEX(Projects[AS Robots],361)</f>
        <v/>
      </c>
      <c r="F362" s="66">
        <f>INDEX(Projects[AS Tote Locations],361)</f>
        <v/>
      </c>
      <c r="G362" s="66">
        <f>INDEX(Projects[PS Shuttles],361)</f>
        <v/>
      </c>
      <c r="H362" s="66">
        <f>INDEX(Projects[PS Pallet Locations],361)</f>
        <v/>
      </c>
      <c r="I362" s="66">
        <f>INDEX(Projects[SRM Cranes],361)</f>
        <v/>
      </c>
      <c r="J362" s="66">
        <f>INDEX(Projects[SRM Pallet Locations],361)</f>
        <v/>
      </c>
      <c r="K362" s="66">
        <f>INDEX(Projects[Case Conv (m)],361)</f>
        <v/>
      </c>
      <c r="L362" s="66">
        <f>INDEX(Projects[Pallet Conv (m)],361)</f>
        <v/>
      </c>
      <c r="M362" s="66">
        <f>INDEX(Projects[Mech Eng (wks)],361)</f>
        <v/>
      </c>
      <c r="N362" s="66">
        <f>INDEX(Projects[Controls Eng (wks)],361)</f>
        <v/>
      </c>
      <c r="O362" s="66">
        <f>INDEX(Projects[Systems Eng (wks)],361)</f>
        <v/>
      </c>
      <c r="P362" s="66">
        <f>INDEX(Projects[Software Eng (wks)],361)</f>
        <v/>
      </c>
      <c r="Q362" s="66">
        <f>INDEX(Projects[M&amp;E Installation (wks)],361)</f>
        <v/>
      </c>
      <c r="R362" s="66">
        <f>INDEX(Projects[Commissioning (wks)],361)</f>
        <v/>
      </c>
      <c r="S362" s="66">
        <f>INDEX(Projects[Total Timeline (wks)],361)</f>
        <v/>
      </c>
      <c r="T362" s="66">
        <f>INDEX(Projects[Currency],361)&amp;""</f>
        <v/>
      </c>
      <c r="U362" s="67">
        <f>INDEX(Projects[Value (M)],361)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INDEX(Projects[Automation Equipment],361)&amp;""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IF(AND(A362&lt;&gt;"",OR('Smart Search'!$L$5="",'Smart Search'!$L$5="All",TRIM(BZ362)=TRIM('Smart Search'!$L$5)),OR(TRIM('Smart Search'!$L$6)="",TRIM('Smart Search'!$L$6)="All",ISNUMBER(SEARCH(SUBSTITUTE(SUBSTITUTE(SUBSTITUTE(TRIM('Smart Search'!$L$6),"~","~~"),"*","~*"),"?","~?"),CA362))),OR('Smart Search'!$L$7="",AND(CB362&lt;&gt;0,CB362='Smart Search'!$L$7)),OR('Smart Search'!$L$8="",'Smart Search'!$L$8="All",TRIM(CC362)=TRIM('Smart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IF(A362="","",N(INDEX(Projects[Mech Inst],361)))</f>
        <v/>
      </c>
      <c r="BK362" s="5">
        <f>IF(A362="","",N(INDEX(Projects[Elec Inst],361)))</f>
        <v/>
      </c>
      <c r="BL362" s="5">
        <f>IF(A362="","",N(INDEX(Projects[Project Management],361)))</f>
        <v/>
      </c>
      <c r="BM362" s="5">
        <f>IF(A362="","",N(INDEX(Projects[Systems Eng],361)))</f>
        <v/>
      </c>
      <c r="BN362" s="5">
        <f>IF(A362="","",N(INDEX(Projects[Mechanical Eng],361)))</f>
        <v/>
      </c>
      <c r="BO362" s="5">
        <f>IF(A362="","",N(INDEX(Projects[Structural Engineering],361)))</f>
        <v/>
      </c>
      <c r="BP362" s="5">
        <f>IF(A362="","",N(INDEX(Projects[Site Sup],361)))</f>
        <v/>
      </c>
      <c r="BQ362" s="5">
        <f>IF(A362="","",N(INDEX(Projects[Controls Commissioning],361)))</f>
        <v/>
      </c>
      <c r="BR362" s="5">
        <f>IF(A362="","",N(INDEX(Projects[Systems Commissioning],361)))</f>
        <v/>
      </c>
      <c r="BS362" s="5">
        <f>IF(A362="","",N(INDEX(Projects[Service Commissioning],361)))</f>
        <v/>
      </c>
      <c r="BT362" s="5">
        <f>IF(A362="","",N(INDEX(Projects[Controls Eng],361)))</f>
        <v/>
      </c>
      <c r="BU362" s="5">
        <f>IF(A362="","",N(INDEX(Projects[Controls Purchase],361)))</f>
        <v/>
      </c>
      <c r="BV362" s="5">
        <f>IF(A362="","",N(INDEX(Projects[Software Eng],361)))</f>
        <v/>
      </c>
      <c r="BW362" s="5">
        <f>IF(A362="","",N(INDEX(Projects[Misc],361)))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  <c r="BZ362" s="5">
        <f>INDEX(Projects[Solution Type],361)&amp;""</f>
        <v/>
      </c>
      <c r="CA362" s="5">
        <f>INDEX(Projects[Client / Region],361)&amp;""</f>
        <v/>
      </c>
      <c r="CB362" s="5">
        <f>INDEX(Projects[Year],361)</f>
        <v/>
      </c>
      <c r="CC362" s="5">
        <f>INDEX(Projects[Won?],361)&amp;""</f>
        <v/>
      </c>
      <c r="CD362" s="5">
        <f>INDEX(Projects[Value (USD M)],361)</f>
        <v/>
      </c>
      <c r="CE362" s="5">
        <f>INDEX(Projects[MH Data Status],361)&amp;""</f>
        <v/>
      </c>
    </row>
    <row r="363" ht="15" customHeight="1" s="74">
      <c r="A363" s="66">
        <f>INDEX(Projects[Project ID *],362)&amp;""</f>
        <v/>
      </c>
      <c r="B363" s="66">
        <f>INDEX(Projects[Project Name *],362)&amp;""</f>
        <v/>
      </c>
      <c r="C363" s="66">
        <f>INDEX(Projects[MS Shuttles],362)</f>
        <v/>
      </c>
      <c r="D363" s="66">
        <f>INDEX(Projects[MS Tote Locations],362)</f>
        <v/>
      </c>
      <c r="E363" s="66">
        <f>INDEX(Projects[AS Robots],362)</f>
        <v/>
      </c>
      <c r="F363" s="66">
        <f>INDEX(Projects[AS Tote Locations],362)</f>
        <v/>
      </c>
      <c r="G363" s="66">
        <f>INDEX(Projects[PS Shuttles],362)</f>
        <v/>
      </c>
      <c r="H363" s="66">
        <f>INDEX(Projects[PS Pallet Locations],362)</f>
        <v/>
      </c>
      <c r="I363" s="66">
        <f>INDEX(Projects[SRM Cranes],362)</f>
        <v/>
      </c>
      <c r="J363" s="66">
        <f>INDEX(Projects[SRM Pallet Locations],362)</f>
        <v/>
      </c>
      <c r="K363" s="66">
        <f>INDEX(Projects[Case Conv (m)],362)</f>
        <v/>
      </c>
      <c r="L363" s="66">
        <f>INDEX(Projects[Pallet Conv (m)],362)</f>
        <v/>
      </c>
      <c r="M363" s="66">
        <f>INDEX(Projects[Mech Eng (wks)],362)</f>
        <v/>
      </c>
      <c r="N363" s="66">
        <f>INDEX(Projects[Controls Eng (wks)],362)</f>
        <v/>
      </c>
      <c r="O363" s="66">
        <f>INDEX(Projects[Systems Eng (wks)],362)</f>
        <v/>
      </c>
      <c r="P363" s="66">
        <f>INDEX(Projects[Software Eng (wks)],362)</f>
        <v/>
      </c>
      <c r="Q363" s="66">
        <f>INDEX(Projects[M&amp;E Installation (wks)],362)</f>
        <v/>
      </c>
      <c r="R363" s="66">
        <f>INDEX(Projects[Commissioning (wks)],362)</f>
        <v/>
      </c>
      <c r="S363" s="66">
        <f>INDEX(Projects[Total Timeline (wks)],362)</f>
        <v/>
      </c>
      <c r="T363" s="66">
        <f>INDEX(Projects[Currency],362)&amp;""</f>
        <v/>
      </c>
      <c r="U363" s="67">
        <f>INDEX(Projects[Value (M)],362)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INDEX(Projects[Automation Equipment],362)&amp;""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IF(AND(A363&lt;&gt;"",OR('Smart Search'!$L$5="",'Smart Search'!$L$5="All",TRIM(BZ363)=TRIM('Smart Search'!$L$5)),OR(TRIM('Smart Search'!$L$6)="",TRIM('Smart Search'!$L$6)="All",ISNUMBER(SEARCH(SUBSTITUTE(SUBSTITUTE(SUBSTITUTE(TRIM('Smart Search'!$L$6),"~","~~"),"*","~*"),"?","~?"),CA363))),OR('Smart Search'!$L$7="",AND(CB363&lt;&gt;0,CB363='Smart Search'!$L$7)),OR('Smart Search'!$L$8="",'Smart Search'!$L$8="All",TRIM(CC363)=TRIM('Smart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IF(A363="","",N(INDEX(Projects[Mech Inst],362)))</f>
        <v/>
      </c>
      <c r="BK363" s="5">
        <f>IF(A363="","",N(INDEX(Projects[Elec Inst],362)))</f>
        <v/>
      </c>
      <c r="BL363" s="5">
        <f>IF(A363="","",N(INDEX(Projects[Project Management],362)))</f>
        <v/>
      </c>
      <c r="BM363" s="5">
        <f>IF(A363="","",N(INDEX(Projects[Systems Eng],362)))</f>
        <v/>
      </c>
      <c r="BN363" s="5">
        <f>IF(A363="","",N(INDEX(Projects[Mechanical Eng],362)))</f>
        <v/>
      </c>
      <c r="BO363" s="5">
        <f>IF(A363="","",N(INDEX(Projects[Structural Engineering],362)))</f>
        <v/>
      </c>
      <c r="BP363" s="5">
        <f>IF(A363="","",N(INDEX(Projects[Site Sup],362)))</f>
        <v/>
      </c>
      <c r="BQ363" s="5">
        <f>IF(A363="","",N(INDEX(Projects[Controls Commissioning],362)))</f>
        <v/>
      </c>
      <c r="BR363" s="5">
        <f>IF(A363="","",N(INDEX(Projects[Systems Commissioning],362)))</f>
        <v/>
      </c>
      <c r="BS363" s="5">
        <f>IF(A363="","",N(INDEX(Projects[Service Commissioning],362)))</f>
        <v/>
      </c>
      <c r="BT363" s="5">
        <f>IF(A363="","",N(INDEX(Projects[Controls Eng],362)))</f>
        <v/>
      </c>
      <c r="BU363" s="5">
        <f>IF(A363="","",N(INDEX(Projects[Controls Purchase],362)))</f>
        <v/>
      </c>
      <c r="BV363" s="5">
        <f>IF(A363="","",N(INDEX(Projects[Software Eng],362)))</f>
        <v/>
      </c>
      <c r="BW363" s="5">
        <f>IF(A363="","",N(INDEX(Projects[Misc],362)))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  <c r="BZ363" s="5">
        <f>INDEX(Projects[Solution Type],362)&amp;""</f>
        <v/>
      </c>
      <c r="CA363" s="5">
        <f>INDEX(Projects[Client / Region],362)&amp;""</f>
        <v/>
      </c>
      <c r="CB363" s="5">
        <f>INDEX(Projects[Year],362)</f>
        <v/>
      </c>
      <c r="CC363" s="5">
        <f>INDEX(Projects[Won?],362)&amp;""</f>
        <v/>
      </c>
      <c r="CD363" s="5">
        <f>INDEX(Projects[Value (USD M)],362)</f>
        <v/>
      </c>
      <c r="CE363" s="5">
        <f>INDEX(Projects[MH Data Status],362)&amp;""</f>
        <v/>
      </c>
    </row>
    <row r="364" ht="15" customHeight="1" s="74">
      <c r="A364" s="66">
        <f>INDEX(Projects[Project ID *],363)&amp;""</f>
        <v/>
      </c>
      <c r="B364" s="66">
        <f>INDEX(Projects[Project Name *],363)&amp;""</f>
        <v/>
      </c>
      <c r="C364" s="66">
        <f>INDEX(Projects[MS Shuttles],363)</f>
        <v/>
      </c>
      <c r="D364" s="66">
        <f>INDEX(Projects[MS Tote Locations],363)</f>
        <v/>
      </c>
      <c r="E364" s="66">
        <f>INDEX(Projects[AS Robots],363)</f>
        <v/>
      </c>
      <c r="F364" s="66">
        <f>INDEX(Projects[AS Tote Locations],363)</f>
        <v/>
      </c>
      <c r="G364" s="66">
        <f>INDEX(Projects[PS Shuttles],363)</f>
        <v/>
      </c>
      <c r="H364" s="66">
        <f>INDEX(Projects[PS Pallet Locations],363)</f>
        <v/>
      </c>
      <c r="I364" s="66">
        <f>INDEX(Projects[SRM Cranes],363)</f>
        <v/>
      </c>
      <c r="J364" s="66">
        <f>INDEX(Projects[SRM Pallet Locations],363)</f>
        <v/>
      </c>
      <c r="K364" s="66">
        <f>INDEX(Projects[Case Conv (m)],363)</f>
        <v/>
      </c>
      <c r="L364" s="66">
        <f>INDEX(Projects[Pallet Conv (m)],363)</f>
        <v/>
      </c>
      <c r="M364" s="66">
        <f>INDEX(Projects[Mech Eng (wks)],363)</f>
        <v/>
      </c>
      <c r="N364" s="66">
        <f>INDEX(Projects[Controls Eng (wks)],363)</f>
        <v/>
      </c>
      <c r="O364" s="66">
        <f>INDEX(Projects[Systems Eng (wks)],363)</f>
        <v/>
      </c>
      <c r="P364" s="66">
        <f>INDEX(Projects[Software Eng (wks)],363)</f>
        <v/>
      </c>
      <c r="Q364" s="66">
        <f>INDEX(Projects[M&amp;E Installation (wks)],363)</f>
        <v/>
      </c>
      <c r="R364" s="66">
        <f>INDEX(Projects[Commissioning (wks)],363)</f>
        <v/>
      </c>
      <c r="S364" s="66">
        <f>INDEX(Projects[Total Timeline (wks)],363)</f>
        <v/>
      </c>
      <c r="T364" s="66">
        <f>INDEX(Projects[Currency],363)&amp;""</f>
        <v/>
      </c>
      <c r="U364" s="67">
        <f>INDEX(Projects[Value (M)],363)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INDEX(Projects[Automation Equipment],363)&amp;""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IF(AND(A364&lt;&gt;"",OR('Smart Search'!$L$5="",'Smart Search'!$L$5="All",TRIM(BZ364)=TRIM('Smart Search'!$L$5)),OR(TRIM('Smart Search'!$L$6)="",TRIM('Smart Search'!$L$6)="All",ISNUMBER(SEARCH(SUBSTITUTE(SUBSTITUTE(SUBSTITUTE(TRIM('Smart Search'!$L$6),"~","~~"),"*","~*"),"?","~?"),CA364))),OR('Smart Search'!$L$7="",AND(CB364&lt;&gt;0,CB364='Smart Search'!$L$7)),OR('Smart Search'!$L$8="",'Smart Search'!$L$8="All",TRIM(CC364)=TRIM('Smart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IF(A364="","",N(INDEX(Projects[Mech Inst],363)))</f>
        <v/>
      </c>
      <c r="BK364" s="5">
        <f>IF(A364="","",N(INDEX(Projects[Elec Inst],363)))</f>
        <v/>
      </c>
      <c r="BL364" s="5">
        <f>IF(A364="","",N(INDEX(Projects[Project Management],363)))</f>
        <v/>
      </c>
      <c r="BM364" s="5">
        <f>IF(A364="","",N(INDEX(Projects[Systems Eng],363)))</f>
        <v/>
      </c>
      <c r="BN364" s="5">
        <f>IF(A364="","",N(INDEX(Projects[Mechanical Eng],363)))</f>
        <v/>
      </c>
      <c r="BO364" s="5">
        <f>IF(A364="","",N(INDEX(Projects[Structural Engineering],363)))</f>
        <v/>
      </c>
      <c r="BP364" s="5">
        <f>IF(A364="","",N(INDEX(Projects[Site Sup],363)))</f>
        <v/>
      </c>
      <c r="BQ364" s="5">
        <f>IF(A364="","",N(INDEX(Projects[Controls Commissioning],363)))</f>
        <v/>
      </c>
      <c r="BR364" s="5">
        <f>IF(A364="","",N(INDEX(Projects[Systems Commissioning],363)))</f>
        <v/>
      </c>
      <c r="BS364" s="5">
        <f>IF(A364="","",N(INDEX(Projects[Service Commissioning],363)))</f>
        <v/>
      </c>
      <c r="BT364" s="5">
        <f>IF(A364="","",N(INDEX(Projects[Controls Eng],363)))</f>
        <v/>
      </c>
      <c r="BU364" s="5">
        <f>IF(A364="","",N(INDEX(Projects[Controls Purchase],363)))</f>
        <v/>
      </c>
      <c r="BV364" s="5">
        <f>IF(A364="","",N(INDEX(Projects[Software Eng],363)))</f>
        <v/>
      </c>
      <c r="BW364" s="5">
        <f>IF(A364="","",N(INDEX(Projects[Misc],363)))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  <c r="BZ364" s="5">
        <f>INDEX(Projects[Solution Type],363)&amp;""</f>
        <v/>
      </c>
      <c r="CA364" s="5">
        <f>INDEX(Projects[Client / Region],363)&amp;""</f>
        <v/>
      </c>
      <c r="CB364" s="5">
        <f>INDEX(Projects[Year],363)</f>
        <v/>
      </c>
      <c r="CC364" s="5">
        <f>INDEX(Projects[Won?],363)&amp;""</f>
        <v/>
      </c>
      <c r="CD364" s="5">
        <f>INDEX(Projects[Value (USD M)],363)</f>
        <v/>
      </c>
      <c r="CE364" s="5">
        <f>INDEX(Projects[MH Data Status],363)&amp;""</f>
        <v/>
      </c>
    </row>
    <row r="365" ht="15" customHeight="1" s="74">
      <c r="A365" s="66">
        <f>INDEX(Projects[Project ID *],364)&amp;""</f>
        <v/>
      </c>
      <c r="B365" s="66">
        <f>INDEX(Projects[Project Name *],364)&amp;""</f>
        <v/>
      </c>
      <c r="C365" s="66">
        <f>INDEX(Projects[MS Shuttles],364)</f>
        <v/>
      </c>
      <c r="D365" s="66">
        <f>INDEX(Projects[MS Tote Locations],364)</f>
        <v/>
      </c>
      <c r="E365" s="66">
        <f>INDEX(Projects[AS Robots],364)</f>
        <v/>
      </c>
      <c r="F365" s="66">
        <f>INDEX(Projects[AS Tote Locations],364)</f>
        <v/>
      </c>
      <c r="G365" s="66">
        <f>INDEX(Projects[PS Shuttles],364)</f>
        <v/>
      </c>
      <c r="H365" s="66">
        <f>INDEX(Projects[PS Pallet Locations],364)</f>
        <v/>
      </c>
      <c r="I365" s="66">
        <f>INDEX(Projects[SRM Cranes],364)</f>
        <v/>
      </c>
      <c r="J365" s="66">
        <f>INDEX(Projects[SRM Pallet Locations],364)</f>
        <v/>
      </c>
      <c r="K365" s="66">
        <f>INDEX(Projects[Case Conv (m)],364)</f>
        <v/>
      </c>
      <c r="L365" s="66">
        <f>INDEX(Projects[Pallet Conv (m)],364)</f>
        <v/>
      </c>
      <c r="M365" s="66">
        <f>INDEX(Projects[Mech Eng (wks)],364)</f>
        <v/>
      </c>
      <c r="N365" s="66">
        <f>INDEX(Projects[Controls Eng (wks)],364)</f>
        <v/>
      </c>
      <c r="O365" s="66">
        <f>INDEX(Projects[Systems Eng (wks)],364)</f>
        <v/>
      </c>
      <c r="P365" s="66">
        <f>INDEX(Projects[Software Eng (wks)],364)</f>
        <v/>
      </c>
      <c r="Q365" s="66">
        <f>INDEX(Projects[M&amp;E Installation (wks)],364)</f>
        <v/>
      </c>
      <c r="R365" s="66">
        <f>INDEX(Projects[Commissioning (wks)],364)</f>
        <v/>
      </c>
      <c r="S365" s="66">
        <f>INDEX(Projects[Total Timeline (wks)],364)</f>
        <v/>
      </c>
      <c r="T365" s="66">
        <f>INDEX(Projects[Currency],364)&amp;""</f>
        <v/>
      </c>
      <c r="U365" s="67">
        <f>INDEX(Projects[Value (M)],364)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INDEX(Projects[Automation Equipment],364)&amp;""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IF(AND(A365&lt;&gt;"",OR('Smart Search'!$L$5="",'Smart Search'!$L$5="All",TRIM(BZ365)=TRIM('Smart Search'!$L$5)),OR(TRIM('Smart Search'!$L$6)="",TRIM('Smart Search'!$L$6)="All",ISNUMBER(SEARCH(SUBSTITUTE(SUBSTITUTE(SUBSTITUTE(TRIM('Smart Search'!$L$6),"~","~~"),"*","~*"),"?","~?"),CA365))),OR('Smart Search'!$L$7="",AND(CB365&lt;&gt;0,CB365='Smart Search'!$L$7)),OR('Smart Search'!$L$8="",'Smart Search'!$L$8="All",TRIM(CC365)=TRIM('Smart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IF(A365="","",N(INDEX(Projects[Mech Inst],364)))</f>
        <v/>
      </c>
      <c r="BK365" s="5">
        <f>IF(A365="","",N(INDEX(Projects[Elec Inst],364)))</f>
        <v/>
      </c>
      <c r="BL365" s="5">
        <f>IF(A365="","",N(INDEX(Projects[Project Management],364)))</f>
        <v/>
      </c>
      <c r="BM365" s="5">
        <f>IF(A365="","",N(INDEX(Projects[Systems Eng],364)))</f>
        <v/>
      </c>
      <c r="BN365" s="5">
        <f>IF(A365="","",N(INDEX(Projects[Mechanical Eng],364)))</f>
        <v/>
      </c>
      <c r="BO365" s="5">
        <f>IF(A365="","",N(INDEX(Projects[Structural Engineering],364)))</f>
        <v/>
      </c>
      <c r="BP365" s="5">
        <f>IF(A365="","",N(INDEX(Projects[Site Sup],364)))</f>
        <v/>
      </c>
      <c r="BQ365" s="5">
        <f>IF(A365="","",N(INDEX(Projects[Controls Commissioning],364)))</f>
        <v/>
      </c>
      <c r="BR365" s="5">
        <f>IF(A365="","",N(INDEX(Projects[Systems Commissioning],364)))</f>
        <v/>
      </c>
      <c r="BS365" s="5">
        <f>IF(A365="","",N(INDEX(Projects[Service Commissioning],364)))</f>
        <v/>
      </c>
      <c r="BT365" s="5">
        <f>IF(A365="","",N(INDEX(Projects[Controls Eng],364)))</f>
        <v/>
      </c>
      <c r="BU365" s="5">
        <f>IF(A365="","",N(INDEX(Projects[Controls Purchase],364)))</f>
        <v/>
      </c>
      <c r="BV365" s="5">
        <f>IF(A365="","",N(INDEX(Projects[Software Eng],364)))</f>
        <v/>
      </c>
      <c r="BW365" s="5">
        <f>IF(A365="","",N(INDEX(Projects[Misc],364)))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  <c r="BZ365" s="5">
        <f>INDEX(Projects[Solution Type],364)&amp;""</f>
        <v/>
      </c>
      <c r="CA365" s="5">
        <f>INDEX(Projects[Client / Region],364)&amp;""</f>
        <v/>
      </c>
      <c r="CB365" s="5">
        <f>INDEX(Projects[Year],364)</f>
        <v/>
      </c>
      <c r="CC365" s="5">
        <f>INDEX(Projects[Won?],364)&amp;""</f>
        <v/>
      </c>
      <c r="CD365" s="5">
        <f>INDEX(Projects[Value (USD M)],364)</f>
        <v/>
      </c>
      <c r="CE365" s="5">
        <f>INDEX(Projects[MH Data Status],364)&amp;""</f>
        <v/>
      </c>
    </row>
    <row r="366" ht="15" customHeight="1" s="74">
      <c r="A366" s="66">
        <f>INDEX(Projects[Project ID *],365)&amp;""</f>
        <v/>
      </c>
      <c r="B366" s="66">
        <f>INDEX(Projects[Project Name *],365)&amp;""</f>
        <v/>
      </c>
      <c r="C366" s="66">
        <f>INDEX(Projects[MS Shuttles],365)</f>
        <v/>
      </c>
      <c r="D366" s="66">
        <f>INDEX(Projects[MS Tote Locations],365)</f>
        <v/>
      </c>
      <c r="E366" s="66">
        <f>INDEX(Projects[AS Robots],365)</f>
        <v/>
      </c>
      <c r="F366" s="66">
        <f>INDEX(Projects[AS Tote Locations],365)</f>
        <v/>
      </c>
      <c r="G366" s="66">
        <f>INDEX(Projects[PS Shuttles],365)</f>
        <v/>
      </c>
      <c r="H366" s="66">
        <f>INDEX(Projects[PS Pallet Locations],365)</f>
        <v/>
      </c>
      <c r="I366" s="66">
        <f>INDEX(Projects[SRM Cranes],365)</f>
        <v/>
      </c>
      <c r="J366" s="66">
        <f>INDEX(Projects[SRM Pallet Locations],365)</f>
        <v/>
      </c>
      <c r="K366" s="66">
        <f>INDEX(Projects[Case Conv (m)],365)</f>
        <v/>
      </c>
      <c r="L366" s="66">
        <f>INDEX(Projects[Pallet Conv (m)],365)</f>
        <v/>
      </c>
      <c r="M366" s="66">
        <f>INDEX(Projects[Mech Eng (wks)],365)</f>
        <v/>
      </c>
      <c r="N366" s="66">
        <f>INDEX(Projects[Controls Eng (wks)],365)</f>
        <v/>
      </c>
      <c r="O366" s="66">
        <f>INDEX(Projects[Systems Eng (wks)],365)</f>
        <v/>
      </c>
      <c r="P366" s="66">
        <f>INDEX(Projects[Software Eng (wks)],365)</f>
        <v/>
      </c>
      <c r="Q366" s="66">
        <f>INDEX(Projects[M&amp;E Installation (wks)],365)</f>
        <v/>
      </c>
      <c r="R366" s="66">
        <f>INDEX(Projects[Commissioning (wks)],365)</f>
        <v/>
      </c>
      <c r="S366" s="66">
        <f>INDEX(Projects[Total Timeline (wks)],365)</f>
        <v/>
      </c>
      <c r="T366" s="66">
        <f>INDEX(Projects[Currency],365)&amp;""</f>
        <v/>
      </c>
      <c r="U366" s="67">
        <f>INDEX(Projects[Value (M)],365)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INDEX(Projects[Automation Equipment],365)&amp;""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IF(AND(A366&lt;&gt;"",OR('Smart Search'!$L$5="",'Smart Search'!$L$5="All",TRIM(BZ366)=TRIM('Smart Search'!$L$5)),OR(TRIM('Smart Search'!$L$6)="",TRIM('Smart Search'!$L$6)="All",ISNUMBER(SEARCH(SUBSTITUTE(SUBSTITUTE(SUBSTITUTE(TRIM('Smart Search'!$L$6),"~","~~"),"*","~*"),"?","~?"),CA366))),OR('Smart Search'!$L$7="",AND(CB366&lt;&gt;0,CB366='Smart Search'!$L$7)),OR('Smart Search'!$L$8="",'Smart Search'!$L$8="All",TRIM(CC366)=TRIM('Smart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IF(A366="","",N(INDEX(Projects[Mech Inst],365)))</f>
        <v/>
      </c>
      <c r="BK366" s="5">
        <f>IF(A366="","",N(INDEX(Projects[Elec Inst],365)))</f>
        <v/>
      </c>
      <c r="BL366" s="5">
        <f>IF(A366="","",N(INDEX(Projects[Project Management],365)))</f>
        <v/>
      </c>
      <c r="BM366" s="5">
        <f>IF(A366="","",N(INDEX(Projects[Systems Eng],365)))</f>
        <v/>
      </c>
      <c r="BN366" s="5">
        <f>IF(A366="","",N(INDEX(Projects[Mechanical Eng],365)))</f>
        <v/>
      </c>
      <c r="BO366" s="5">
        <f>IF(A366="","",N(INDEX(Projects[Structural Engineering],365)))</f>
        <v/>
      </c>
      <c r="BP366" s="5">
        <f>IF(A366="","",N(INDEX(Projects[Site Sup],365)))</f>
        <v/>
      </c>
      <c r="BQ366" s="5">
        <f>IF(A366="","",N(INDEX(Projects[Controls Commissioning],365)))</f>
        <v/>
      </c>
      <c r="BR366" s="5">
        <f>IF(A366="","",N(INDEX(Projects[Systems Commissioning],365)))</f>
        <v/>
      </c>
      <c r="BS366" s="5">
        <f>IF(A366="","",N(INDEX(Projects[Service Commissioning],365)))</f>
        <v/>
      </c>
      <c r="BT366" s="5">
        <f>IF(A366="","",N(INDEX(Projects[Controls Eng],365)))</f>
        <v/>
      </c>
      <c r="BU366" s="5">
        <f>IF(A366="","",N(INDEX(Projects[Controls Purchase],365)))</f>
        <v/>
      </c>
      <c r="BV366" s="5">
        <f>IF(A366="","",N(INDEX(Projects[Software Eng],365)))</f>
        <v/>
      </c>
      <c r="BW366" s="5">
        <f>IF(A366="","",N(INDEX(Projects[Misc],365)))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  <c r="BZ366" s="5">
        <f>INDEX(Projects[Solution Type],365)&amp;""</f>
        <v/>
      </c>
      <c r="CA366" s="5">
        <f>INDEX(Projects[Client / Region],365)&amp;""</f>
        <v/>
      </c>
      <c r="CB366" s="5">
        <f>INDEX(Projects[Year],365)</f>
        <v/>
      </c>
      <c r="CC366" s="5">
        <f>INDEX(Projects[Won?],365)&amp;""</f>
        <v/>
      </c>
      <c r="CD366" s="5">
        <f>INDEX(Projects[Value (USD M)],365)</f>
        <v/>
      </c>
      <c r="CE366" s="5">
        <f>INDEX(Projects[MH Data Status],365)&amp;""</f>
        <v/>
      </c>
    </row>
    <row r="367" ht="15" customHeight="1" s="74">
      <c r="A367" s="66">
        <f>INDEX(Projects[Project ID *],366)&amp;""</f>
        <v/>
      </c>
      <c r="B367" s="66">
        <f>INDEX(Projects[Project Name *],366)&amp;""</f>
        <v/>
      </c>
      <c r="C367" s="66">
        <f>INDEX(Projects[MS Shuttles],366)</f>
        <v/>
      </c>
      <c r="D367" s="66">
        <f>INDEX(Projects[MS Tote Locations],366)</f>
        <v/>
      </c>
      <c r="E367" s="66">
        <f>INDEX(Projects[AS Robots],366)</f>
        <v/>
      </c>
      <c r="F367" s="66">
        <f>INDEX(Projects[AS Tote Locations],366)</f>
        <v/>
      </c>
      <c r="G367" s="66">
        <f>INDEX(Projects[PS Shuttles],366)</f>
        <v/>
      </c>
      <c r="H367" s="66">
        <f>INDEX(Projects[PS Pallet Locations],366)</f>
        <v/>
      </c>
      <c r="I367" s="66">
        <f>INDEX(Projects[SRM Cranes],366)</f>
        <v/>
      </c>
      <c r="J367" s="66">
        <f>INDEX(Projects[SRM Pallet Locations],366)</f>
        <v/>
      </c>
      <c r="K367" s="66">
        <f>INDEX(Projects[Case Conv (m)],366)</f>
        <v/>
      </c>
      <c r="L367" s="66">
        <f>INDEX(Projects[Pallet Conv (m)],366)</f>
        <v/>
      </c>
      <c r="M367" s="66">
        <f>INDEX(Projects[Mech Eng (wks)],366)</f>
        <v/>
      </c>
      <c r="N367" s="66">
        <f>INDEX(Projects[Controls Eng (wks)],366)</f>
        <v/>
      </c>
      <c r="O367" s="66">
        <f>INDEX(Projects[Systems Eng (wks)],366)</f>
        <v/>
      </c>
      <c r="P367" s="66">
        <f>INDEX(Projects[Software Eng (wks)],366)</f>
        <v/>
      </c>
      <c r="Q367" s="66">
        <f>INDEX(Projects[M&amp;E Installation (wks)],366)</f>
        <v/>
      </c>
      <c r="R367" s="66">
        <f>INDEX(Projects[Commissioning (wks)],366)</f>
        <v/>
      </c>
      <c r="S367" s="66">
        <f>INDEX(Projects[Total Timeline (wks)],366)</f>
        <v/>
      </c>
      <c r="T367" s="66">
        <f>INDEX(Projects[Currency],366)&amp;""</f>
        <v/>
      </c>
      <c r="U367" s="67">
        <f>INDEX(Projects[Value (M)],366)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INDEX(Projects[Automation Equipment],366)&amp;""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IF(AND(A367&lt;&gt;"",OR('Smart Search'!$L$5="",'Smart Search'!$L$5="All",TRIM(BZ367)=TRIM('Smart Search'!$L$5)),OR(TRIM('Smart Search'!$L$6)="",TRIM('Smart Search'!$L$6)="All",ISNUMBER(SEARCH(SUBSTITUTE(SUBSTITUTE(SUBSTITUTE(TRIM('Smart Search'!$L$6),"~","~~"),"*","~*"),"?","~?"),CA367))),OR('Smart Search'!$L$7="",AND(CB367&lt;&gt;0,CB367='Smart Search'!$L$7)),OR('Smart Search'!$L$8="",'Smart Search'!$L$8="All",TRIM(CC367)=TRIM('Smart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IF(A367="","",N(INDEX(Projects[Mech Inst],366)))</f>
        <v/>
      </c>
      <c r="BK367" s="5">
        <f>IF(A367="","",N(INDEX(Projects[Elec Inst],366)))</f>
        <v/>
      </c>
      <c r="BL367" s="5">
        <f>IF(A367="","",N(INDEX(Projects[Project Management],366)))</f>
        <v/>
      </c>
      <c r="BM367" s="5">
        <f>IF(A367="","",N(INDEX(Projects[Systems Eng],366)))</f>
        <v/>
      </c>
      <c r="BN367" s="5">
        <f>IF(A367="","",N(INDEX(Projects[Mechanical Eng],366)))</f>
        <v/>
      </c>
      <c r="BO367" s="5">
        <f>IF(A367="","",N(INDEX(Projects[Structural Engineering],366)))</f>
        <v/>
      </c>
      <c r="BP367" s="5">
        <f>IF(A367="","",N(INDEX(Projects[Site Sup],366)))</f>
        <v/>
      </c>
      <c r="BQ367" s="5">
        <f>IF(A367="","",N(INDEX(Projects[Controls Commissioning],366)))</f>
        <v/>
      </c>
      <c r="BR367" s="5">
        <f>IF(A367="","",N(INDEX(Projects[Systems Commissioning],366)))</f>
        <v/>
      </c>
      <c r="BS367" s="5">
        <f>IF(A367="","",N(INDEX(Projects[Service Commissioning],366)))</f>
        <v/>
      </c>
      <c r="BT367" s="5">
        <f>IF(A367="","",N(INDEX(Projects[Controls Eng],366)))</f>
        <v/>
      </c>
      <c r="BU367" s="5">
        <f>IF(A367="","",N(INDEX(Projects[Controls Purchase],366)))</f>
        <v/>
      </c>
      <c r="BV367" s="5">
        <f>IF(A367="","",N(INDEX(Projects[Software Eng],366)))</f>
        <v/>
      </c>
      <c r="BW367" s="5">
        <f>IF(A367="","",N(INDEX(Projects[Misc],366)))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  <c r="BZ367" s="5">
        <f>INDEX(Projects[Solution Type],366)&amp;""</f>
        <v/>
      </c>
      <c r="CA367" s="5">
        <f>INDEX(Projects[Client / Region],366)&amp;""</f>
        <v/>
      </c>
      <c r="CB367" s="5">
        <f>INDEX(Projects[Year],366)</f>
        <v/>
      </c>
      <c r="CC367" s="5">
        <f>INDEX(Projects[Won?],366)&amp;""</f>
        <v/>
      </c>
      <c r="CD367" s="5">
        <f>INDEX(Projects[Value (USD M)],366)</f>
        <v/>
      </c>
      <c r="CE367" s="5">
        <f>INDEX(Projects[MH Data Status],366)&amp;""</f>
        <v/>
      </c>
    </row>
    <row r="368" ht="15" customHeight="1" s="74">
      <c r="A368" s="66">
        <f>INDEX(Projects[Project ID *],367)&amp;""</f>
        <v/>
      </c>
      <c r="B368" s="66">
        <f>INDEX(Projects[Project Name *],367)&amp;""</f>
        <v/>
      </c>
      <c r="C368" s="66">
        <f>INDEX(Projects[MS Shuttles],367)</f>
        <v/>
      </c>
      <c r="D368" s="66">
        <f>INDEX(Projects[MS Tote Locations],367)</f>
        <v/>
      </c>
      <c r="E368" s="66">
        <f>INDEX(Projects[AS Robots],367)</f>
        <v/>
      </c>
      <c r="F368" s="66">
        <f>INDEX(Projects[AS Tote Locations],367)</f>
        <v/>
      </c>
      <c r="G368" s="66">
        <f>INDEX(Projects[PS Shuttles],367)</f>
        <v/>
      </c>
      <c r="H368" s="66">
        <f>INDEX(Projects[PS Pallet Locations],367)</f>
        <v/>
      </c>
      <c r="I368" s="66">
        <f>INDEX(Projects[SRM Cranes],367)</f>
        <v/>
      </c>
      <c r="J368" s="66">
        <f>INDEX(Projects[SRM Pallet Locations],367)</f>
        <v/>
      </c>
      <c r="K368" s="66">
        <f>INDEX(Projects[Case Conv (m)],367)</f>
        <v/>
      </c>
      <c r="L368" s="66">
        <f>INDEX(Projects[Pallet Conv (m)],367)</f>
        <v/>
      </c>
      <c r="M368" s="66">
        <f>INDEX(Projects[Mech Eng (wks)],367)</f>
        <v/>
      </c>
      <c r="N368" s="66">
        <f>INDEX(Projects[Controls Eng (wks)],367)</f>
        <v/>
      </c>
      <c r="O368" s="66">
        <f>INDEX(Projects[Systems Eng (wks)],367)</f>
        <v/>
      </c>
      <c r="P368" s="66">
        <f>INDEX(Projects[Software Eng (wks)],367)</f>
        <v/>
      </c>
      <c r="Q368" s="66">
        <f>INDEX(Projects[M&amp;E Installation (wks)],367)</f>
        <v/>
      </c>
      <c r="R368" s="66">
        <f>INDEX(Projects[Commissioning (wks)],367)</f>
        <v/>
      </c>
      <c r="S368" s="66">
        <f>INDEX(Projects[Total Timeline (wks)],367)</f>
        <v/>
      </c>
      <c r="T368" s="66">
        <f>INDEX(Projects[Currency],367)&amp;""</f>
        <v/>
      </c>
      <c r="U368" s="67">
        <f>INDEX(Projects[Value (M)],367)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INDEX(Projects[Automation Equipment],367)&amp;""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IF(AND(A368&lt;&gt;"",OR('Smart Search'!$L$5="",'Smart Search'!$L$5="All",TRIM(BZ368)=TRIM('Smart Search'!$L$5)),OR(TRIM('Smart Search'!$L$6)="",TRIM('Smart Search'!$L$6)="All",ISNUMBER(SEARCH(SUBSTITUTE(SUBSTITUTE(SUBSTITUTE(TRIM('Smart Search'!$L$6),"~","~~"),"*","~*"),"?","~?"),CA368))),OR('Smart Search'!$L$7="",AND(CB368&lt;&gt;0,CB368='Smart Search'!$L$7)),OR('Smart Search'!$L$8="",'Smart Search'!$L$8="All",TRIM(CC368)=TRIM('Smart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IF(A368="","",N(INDEX(Projects[Mech Inst],367)))</f>
        <v/>
      </c>
      <c r="BK368" s="5">
        <f>IF(A368="","",N(INDEX(Projects[Elec Inst],367)))</f>
        <v/>
      </c>
      <c r="BL368" s="5">
        <f>IF(A368="","",N(INDEX(Projects[Project Management],367)))</f>
        <v/>
      </c>
      <c r="BM368" s="5">
        <f>IF(A368="","",N(INDEX(Projects[Systems Eng],367)))</f>
        <v/>
      </c>
      <c r="BN368" s="5">
        <f>IF(A368="","",N(INDEX(Projects[Mechanical Eng],367)))</f>
        <v/>
      </c>
      <c r="BO368" s="5">
        <f>IF(A368="","",N(INDEX(Projects[Structural Engineering],367)))</f>
        <v/>
      </c>
      <c r="BP368" s="5">
        <f>IF(A368="","",N(INDEX(Projects[Site Sup],367)))</f>
        <v/>
      </c>
      <c r="BQ368" s="5">
        <f>IF(A368="","",N(INDEX(Projects[Controls Commissioning],367)))</f>
        <v/>
      </c>
      <c r="BR368" s="5">
        <f>IF(A368="","",N(INDEX(Projects[Systems Commissioning],367)))</f>
        <v/>
      </c>
      <c r="BS368" s="5">
        <f>IF(A368="","",N(INDEX(Projects[Service Commissioning],367)))</f>
        <v/>
      </c>
      <c r="BT368" s="5">
        <f>IF(A368="","",N(INDEX(Projects[Controls Eng],367)))</f>
        <v/>
      </c>
      <c r="BU368" s="5">
        <f>IF(A368="","",N(INDEX(Projects[Controls Purchase],367)))</f>
        <v/>
      </c>
      <c r="BV368" s="5">
        <f>IF(A368="","",N(INDEX(Projects[Software Eng],367)))</f>
        <v/>
      </c>
      <c r="BW368" s="5">
        <f>IF(A368="","",N(INDEX(Projects[Misc],367)))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  <c r="BZ368" s="5">
        <f>INDEX(Projects[Solution Type],367)&amp;""</f>
        <v/>
      </c>
      <c r="CA368" s="5">
        <f>INDEX(Projects[Client / Region],367)&amp;""</f>
        <v/>
      </c>
      <c r="CB368" s="5">
        <f>INDEX(Projects[Year],367)</f>
        <v/>
      </c>
      <c r="CC368" s="5">
        <f>INDEX(Projects[Won?],367)&amp;""</f>
        <v/>
      </c>
      <c r="CD368" s="5">
        <f>INDEX(Projects[Value (USD M)],367)</f>
        <v/>
      </c>
      <c r="CE368" s="5">
        <f>INDEX(Projects[MH Data Status],367)&amp;""</f>
        <v/>
      </c>
    </row>
    <row r="369" ht="15" customHeight="1" s="74">
      <c r="A369" s="66">
        <f>INDEX(Projects[Project ID *],368)&amp;""</f>
        <v/>
      </c>
      <c r="B369" s="66">
        <f>INDEX(Projects[Project Name *],368)&amp;""</f>
        <v/>
      </c>
      <c r="C369" s="66">
        <f>INDEX(Projects[MS Shuttles],368)</f>
        <v/>
      </c>
      <c r="D369" s="66">
        <f>INDEX(Projects[MS Tote Locations],368)</f>
        <v/>
      </c>
      <c r="E369" s="66">
        <f>INDEX(Projects[AS Robots],368)</f>
        <v/>
      </c>
      <c r="F369" s="66">
        <f>INDEX(Projects[AS Tote Locations],368)</f>
        <v/>
      </c>
      <c r="G369" s="66">
        <f>INDEX(Projects[PS Shuttles],368)</f>
        <v/>
      </c>
      <c r="H369" s="66">
        <f>INDEX(Projects[PS Pallet Locations],368)</f>
        <v/>
      </c>
      <c r="I369" s="66">
        <f>INDEX(Projects[SRM Cranes],368)</f>
        <v/>
      </c>
      <c r="J369" s="66">
        <f>INDEX(Projects[SRM Pallet Locations],368)</f>
        <v/>
      </c>
      <c r="K369" s="66">
        <f>INDEX(Projects[Case Conv (m)],368)</f>
        <v/>
      </c>
      <c r="L369" s="66">
        <f>INDEX(Projects[Pallet Conv (m)],368)</f>
        <v/>
      </c>
      <c r="M369" s="66">
        <f>INDEX(Projects[Mech Eng (wks)],368)</f>
        <v/>
      </c>
      <c r="N369" s="66">
        <f>INDEX(Projects[Controls Eng (wks)],368)</f>
        <v/>
      </c>
      <c r="O369" s="66">
        <f>INDEX(Projects[Systems Eng (wks)],368)</f>
        <v/>
      </c>
      <c r="P369" s="66">
        <f>INDEX(Projects[Software Eng (wks)],368)</f>
        <v/>
      </c>
      <c r="Q369" s="66">
        <f>INDEX(Projects[M&amp;E Installation (wks)],368)</f>
        <v/>
      </c>
      <c r="R369" s="66">
        <f>INDEX(Projects[Commissioning (wks)],368)</f>
        <v/>
      </c>
      <c r="S369" s="66">
        <f>INDEX(Projects[Total Timeline (wks)],368)</f>
        <v/>
      </c>
      <c r="T369" s="66">
        <f>INDEX(Projects[Currency],368)&amp;""</f>
        <v/>
      </c>
      <c r="U369" s="67">
        <f>INDEX(Projects[Value (M)],368)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INDEX(Projects[Automation Equipment],368)&amp;""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IF(AND(A369&lt;&gt;"",OR('Smart Search'!$L$5="",'Smart Search'!$L$5="All",TRIM(BZ369)=TRIM('Smart Search'!$L$5)),OR(TRIM('Smart Search'!$L$6)="",TRIM('Smart Search'!$L$6)="All",ISNUMBER(SEARCH(SUBSTITUTE(SUBSTITUTE(SUBSTITUTE(TRIM('Smart Search'!$L$6),"~","~~"),"*","~*"),"?","~?"),CA369))),OR('Smart Search'!$L$7="",AND(CB369&lt;&gt;0,CB369='Smart Search'!$L$7)),OR('Smart Search'!$L$8="",'Smart Search'!$L$8="All",TRIM(CC369)=TRIM('Smart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IF(A369="","",N(INDEX(Projects[Mech Inst],368)))</f>
        <v/>
      </c>
      <c r="BK369" s="5">
        <f>IF(A369="","",N(INDEX(Projects[Elec Inst],368)))</f>
        <v/>
      </c>
      <c r="BL369" s="5">
        <f>IF(A369="","",N(INDEX(Projects[Project Management],368)))</f>
        <v/>
      </c>
      <c r="BM369" s="5">
        <f>IF(A369="","",N(INDEX(Projects[Systems Eng],368)))</f>
        <v/>
      </c>
      <c r="BN369" s="5">
        <f>IF(A369="","",N(INDEX(Projects[Mechanical Eng],368)))</f>
        <v/>
      </c>
      <c r="BO369" s="5">
        <f>IF(A369="","",N(INDEX(Projects[Structural Engineering],368)))</f>
        <v/>
      </c>
      <c r="BP369" s="5">
        <f>IF(A369="","",N(INDEX(Projects[Site Sup],368)))</f>
        <v/>
      </c>
      <c r="BQ369" s="5">
        <f>IF(A369="","",N(INDEX(Projects[Controls Commissioning],368)))</f>
        <v/>
      </c>
      <c r="BR369" s="5">
        <f>IF(A369="","",N(INDEX(Projects[Systems Commissioning],368)))</f>
        <v/>
      </c>
      <c r="BS369" s="5">
        <f>IF(A369="","",N(INDEX(Projects[Service Commissioning],368)))</f>
        <v/>
      </c>
      <c r="BT369" s="5">
        <f>IF(A369="","",N(INDEX(Projects[Controls Eng],368)))</f>
        <v/>
      </c>
      <c r="BU369" s="5">
        <f>IF(A369="","",N(INDEX(Projects[Controls Purchase],368)))</f>
        <v/>
      </c>
      <c r="BV369" s="5">
        <f>IF(A369="","",N(INDEX(Projects[Software Eng],368)))</f>
        <v/>
      </c>
      <c r="BW369" s="5">
        <f>IF(A369="","",N(INDEX(Projects[Misc],368)))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  <c r="BZ369" s="5">
        <f>INDEX(Projects[Solution Type],368)&amp;""</f>
        <v/>
      </c>
      <c r="CA369" s="5">
        <f>INDEX(Projects[Client / Region],368)&amp;""</f>
        <v/>
      </c>
      <c r="CB369" s="5">
        <f>INDEX(Projects[Year],368)</f>
        <v/>
      </c>
      <c r="CC369" s="5">
        <f>INDEX(Projects[Won?],368)&amp;""</f>
        <v/>
      </c>
      <c r="CD369" s="5">
        <f>INDEX(Projects[Value (USD M)],368)</f>
        <v/>
      </c>
      <c r="CE369" s="5">
        <f>INDEX(Projects[MH Data Status],368)&amp;""</f>
        <v/>
      </c>
    </row>
    <row r="370" ht="15" customHeight="1" s="74">
      <c r="A370" s="66">
        <f>INDEX(Projects[Project ID *],369)&amp;""</f>
        <v/>
      </c>
      <c r="B370" s="66">
        <f>INDEX(Projects[Project Name *],369)&amp;""</f>
        <v/>
      </c>
      <c r="C370" s="66">
        <f>INDEX(Projects[MS Shuttles],369)</f>
        <v/>
      </c>
      <c r="D370" s="66">
        <f>INDEX(Projects[MS Tote Locations],369)</f>
        <v/>
      </c>
      <c r="E370" s="66">
        <f>INDEX(Projects[AS Robots],369)</f>
        <v/>
      </c>
      <c r="F370" s="66">
        <f>INDEX(Projects[AS Tote Locations],369)</f>
        <v/>
      </c>
      <c r="G370" s="66">
        <f>INDEX(Projects[PS Shuttles],369)</f>
        <v/>
      </c>
      <c r="H370" s="66">
        <f>INDEX(Projects[PS Pallet Locations],369)</f>
        <v/>
      </c>
      <c r="I370" s="66">
        <f>INDEX(Projects[SRM Cranes],369)</f>
        <v/>
      </c>
      <c r="J370" s="66">
        <f>INDEX(Projects[SRM Pallet Locations],369)</f>
        <v/>
      </c>
      <c r="K370" s="66">
        <f>INDEX(Projects[Case Conv (m)],369)</f>
        <v/>
      </c>
      <c r="L370" s="66">
        <f>INDEX(Projects[Pallet Conv (m)],369)</f>
        <v/>
      </c>
      <c r="M370" s="66">
        <f>INDEX(Projects[Mech Eng (wks)],369)</f>
        <v/>
      </c>
      <c r="N370" s="66">
        <f>INDEX(Projects[Controls Eng (wks)],369)</f>
        <v/>
      </c>
      <c r="O370" s="66">
        <f>INDEX(Projects[Systems Eng (wks)],369)</f>
        <v/>
      </c>
      <c r="P370" s="66">
        <f>INDEX(Projects[Software Eng (wks)],369)</f>
        <v/>
      </c>
      <c r="Q370" s="66">
        <f>INDEX(Projects[M&amp;E Installation (wks)],369)</f>
        <v/>
      </c>
      <c r="R370" s="66">
        <f>INDEX(Projects[Commissioning (wks)],369)</f>
        <v/>
      </c>
      <c r="S370" s="66">
        <f>INDEX(Projects[Total Timeline (wks)],369)</f>
        <v/>
      </c>
      <c r="T370" s="66">
        <f>INDEX(Projects[Currency],369)&amp;""</f>
        <v/>
      </c>
      <c r="U370" s="67">
        <f>INDEX(Projects[Value (M)],369)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INDEX(Projects[Automation Equipment],369)&amp;""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IF(AND(A370&lt;&gt;"",OR('Smart Search'!$L$5="",'Smart Search'!$L$5="All",TRIM(BZ370)=TRIM('Smart Search'!$L$5)),OR(TRIM('Smart Search'!$L$6)="",TRIM('Smart Search'!$L$6)="All",ISNUMBER(SEARCH(SUBSTITUTE(SUBSTITUTE(SUBSTITUTE(TRIM('Smart Search'!$L$6),"~","~~"),"*","~*"),"?","~?"),CA370))),OR('Smart Search'!$L$7="",AND(CB370&lt;&gt;0,CB370='Smart Search'!$L$7)),OR('Smart Search'!$L$8="",'Smart Search'!$L$8="All",TRIM(CC370)=TRIM('Smart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IF(A370="","",N(INDEX(Projects[Mech Inst],369)))</f>
        <v/>
      </c>
      <c r="BK370" s="5">
        <f>IF(A370="","",N(INDEX(Projects[Elec Inst],369)))</f>
        <v/>
      </c>
      <c r="BL370" s="5">
        <f>IF(A370="","",N(INDEX(Projects[Project Management],369)))</f>
        <v/>
      </c>
      <c r="BM370" s="5">
        <f>IF(A370="","",N(INDEX(Projects[Systems Eng],369)))</f>
        <v/>
      </c>
      <c r="BN370" s="5">
        <f>IF(A370="","",N(INDEX(Projects[Mechanical Eng],369)))</f>
        <v/>
      </c>
      <c r="BO370" s="5">
        <f>IF(A370="","",N(INDEX(Projects[Structural Engineering],369)))</f>
        <v/>
      </c>
      <c r="BP370" s="5">
        <f>IF(A370="","",N(INDEX(Projects[Site Sup],369)))</f>
        <v/>
      </c>
      <c r="BQ370" s="5">
        <f>IF(A370="","",N(INDEX(Projects[Controls Commissioning],369)))</f>
        <v/>
      </c>
      <c r="BR370" s="5">
        <f>IF(A370="","",N(INDEX(Projects[Systems Commissioning],369)))</f>
        <v/>
      </c>
      <c r="BS370" s="5">
        <f>IF(A370="","",N(INDEX(Projects[Service Commissioning],369)))</f>
        <v/>
      </c>
      <c r="BT370" s="5">
        <f>IF(A370="","",N(INDEX(Projects[Controls Eng],369)))</f>
        <v/>
      </c>
      <c r="BU370" s="5">
        <f>IF(A370="","",N(INDEX(Projects[Controls Purchase],369)))</f>
        <v/>
      </c>
      <c r="BV370" s="5">
        <f>IF(A370="","",N(INDEX(Projects[Software Eng],369)))</f>
        <v/>
      </c>
      <c r="BW370" s="5">
        <f>IF(A370="","",N(INDEX(Projects[Misc],369)))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  <c r="BZ370" s="5">
        <f>INDEX(Projects[Solution Type],369)&amp;""</f>
        <v/>
      </c>
      <c r="CA370" s="5">
        <f>INDEX(Projects[Client / Region],369)&amp;""</f>
        <v/>
      </c>
      <c r="CB370" s="5">
        <f>INDEX(Projects[Year],369)</f>
        <v/>
      </c>
      <c r="CC370" s="5">
        <f>INDEX(Projects[Won?],369)&amp;""</f>
        <v/>
      </c>
      <c r="CD370" s="5">
        <f>INDEX(Projects[Value (USD M)],369)</f>
        <v/>
      </c>
      <c r="CE370" s="5">
        <f>INDEX(Projects[MH Data Status],369)&amp;""</f>
        <v/>
      </c>
    </row>
    <row r="371" ht="15" customHeight="1" s="74">
      <c r="A371" s="66">
        <f>INDEX(Projects[Project ID *],370)&amp;""</f>
        <v/>
      </c>
      <c r="B371" s="66">
        <f>INDEX(Projects[Project Name *],370)&amp;""</f>
        <v/>
      </c>
      <c r="C371" s="66">
        <f>INDEX(Projects[MS Shuttles],370)</f>
        <v/>
      </c>
      <c r="D371" s="66">
        <f>INDEX(Projects[MS Tote Locations],370)</f>
        <v/>
      </c>
      <c r="E371" s="66">
        <f>INDEX(Projects[AS Robots],370)</f>
        <v/>
      </c>
      <c r="F371" s="66">
        <f>INDEX(Projects[AS Tote Locations],370)</f>
        <v/>
      </c>
      <c r="G371" s="66">
        <f>INDEX(Projects[PS Shuttles],370)</f>
        <v/>
      </c>
      <c r="H371" s="66">
        <f>INDEX(Projects[PS Pallet Locations],370)</f>
        <v/>
      </c>
      <c r="I371" s="66">
        <f>INDEX(Projects[SRM Cranes],370)</f>
        <v/>
      </c>
      <c r="J371" s="66">
        <f>INDEX(Projects[SRM Pallet Locations],370)</f>
        <v/>
      </c>
      <c r="K371" s="66">
        <f>INDEX(Projects[Case Conv (m)],370)</f>
        <v/>
      </c>
      <c r="L371" s="66">
        <f>INDEX(Projects[Pallet Conv (m)],370)</f>
        <v/>
      </c>
      <c r="M371" s="66">
        <f>INDEX(Projects[Mech Eng (wks)],370)</f>
        <v/>
      </c>
      <c r="N371" s="66">
        <f>INDEX(Projects[Controls Eng (wks)],370)</f>
        <v/>
      </c>
      <c r="O371" s="66">
        <f>INDEX(Projects[Systems Eng (wks)],370)</f>
        <v/>
      </c>
      <c r="P371" s="66">
        <f>INDEX(Projects[Software Eng (wks)],370)</f>
        <v/>
      </c>
      <c r="Q371" s="66">
        <f>INDEX(Projects[M&amp;E Installation (wks)],370)</f>
        <v/>
      </c>
      <c r="R371" s="66">
        <f>INDEX(Projects[Commissioning (wks)],370)</f>
        <v/>
      </c>
      <c r="S371" s="66">
        <f>INDEX(Projects[Total Timeline (wks)],370)</f>
        <v/>
      </c>
      <c r="T371" s="66">
        <f>INDEX(Projects[Currency],370)&amp;""</f>
        <v/>
      </c>
      <c r="U371" s="67">
        <f>INDEX(Projects[Value (M)],370)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INDEX(Projects[Automation Equipment],370)&amp;""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IF(AND(A371&lt;&gt;"",OR('Smart Search'!$L$5="",'Smart Search'!$L$5="All",TRIM(BZ371)=TRIM('Smart Search'!$L$5)),OR(TRIM('Smart Search'!$L$6)="",TRIM('Smart Search'!$L$6)="All",ISNUMBER(SEARCH(SUBSTITUTE(SUBSTITUTE(SUBSTITUTE(TRIM('Smart Search'!$L$6),"~","~~"),"*","~*"),"?","~?"),CA371))),OR('Smart Search'!$L$7="",AND(CB371&lt;&gt;0,CB371='Smart Search'!$L$7)),OR('Smart Search'!$L$8="",'Smart Search'!$L$8="All",TRIM(CC371)=TRIM('Smart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IF(A371="","",N(INDEX(Projects[Mech Inst],370)))</f>
        <v/>
      </c>
      <c r="BK371" s="5">
        <f>IF(A371="","",N(INDEX(Projects[Elec Inst],370)))</f>
        <v/>
      </c>
      <c r="BL371" s="5">
        <f>IF(A371="","",N(INDEX(Projects[Project Management],370)))</f>
        <v/>
      </c>
      <c r="BM371" s="5">
        <f>IF(A371="","",N(INDEX(Projects[Systems Eng],370)))</f>
        <v/>
      </c>
      <c r="BN371" s="5">
        <f>IF(A371="","",N(INDEX(Projects[Mechanical Eng],370)))</f>
        <v/>
      </c>
      <c r="BO371" s="5">
        <f>IF(A371="","",N(INDEX(Projects[Structural Engineering],370)))</f>
        <v/>
      </c>
      <c r="BP371" s="5">
        <f>IF(A371="","",N(INDEX(Projects[Site Sup],370)))</f>
        <v/>
      </c>
      <c r="BQ371" s="5">
        <f>IF(A371="","",N(INDEX(Projects[Controls Commissioning],370)))</f>
        <v/>
      </c>
      <c r="BR371" s="5">
        <f>IF(A371="","",N(INDEX(Projects[Systems Commissioning],370)))</f>
        <v/>
      </c>
      <c r="BS371" s="5">
        <f>IF(A371="","",N(INDEX(Projects[Service Commissioning],370)))</f>
        <v/>
      </c>
      <c r="BT371" s="5">
        <f>IF(A371="","",N(INDEX(Projects[Controls Eng],370)))</f>
        <v/>
      </c>
      <c r="BU371" s="5">
        <f>IF(A371="","",N(INDEX(Projects[Controls Purchase],370)))</f>
        <v/>
      </c>
      <c r="BV371" s="5">
        <f>IF(A371="","",N(INDEX(Projects[Software Eng],370)))</f>
        <v/>
      </c>
      <c r="BW371" s="5">
        <f>IF(A371="","",N(INDEX(Projects[Misc],370)))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  <c r="BZ371" s="5">
        <f>INDEX(Projects[Solution Type],370)&amp;""</f>
        <v/>
      </c>
      <c r="CA371" s="5">
        <f>INDEX(Projects[Client / Region],370)&amp;""</f>
        <v/>
      </c>
      <c r="CB371" s="5">
        <f>INDEX(Projects[Year],370)</f>
        <v/>
      </c>
      <c r="CC371" s="5">
        <f>INDEX(Projects[Won?],370)&amp;""</f>
        <v/>
      </c>
      <c r="CD371" s="5">
        <f>INDEX(Projects[Value (USD M)],370)</f>
        <v/>
      </c>
      <c r="CE371" s="5">
        <f>INDEX(Projects[MH Data Status],370)&amp;""</f>
        <v/>
      </c>
    </row>
    <row r="372" ht="15" customHeight="1" s="74">
      <c r="A372" s="66">
        <f>INDEX(Projects[Project ID *],371)&amp;""</f>
        <v/>
      </c>
      <c r="B372" s="66">
        <f>INDEX(Projects[Project Name *],371)&amp;""</f>
        <v/>
      </c>
      <c r="C372" s="66">
        <f>INDEX(Projects[MS Shuttles],371)</f>
        <v/>
      </c>
      <c r="D372" s="66">
        <f>INDEX(Projects[MS Tote Locations],371)</f>
        <v/>
      </c>
      <c r="E372" s="66">
        <f>INDEX(Projects[AS Robots],371)</f>
        <v/>
      </c>
      <c r="F372" s="66">
        <f>INDEX(Projects[AS Tote Locations],371)</f>
        <v/>
      </c>
      <c r="G372" s="66">
        <f>INDEX(Projects[PS Shuttles],371)</f>
        <v/>
      </c>
      <c r="H372" s="66">
        <f>INDEX(Projects[PS Pallet Locations],371)</f>
        <v/>
      </c>
      <c r="I372" s="66">
        <f>INDEX(Projects[SRM Cranes],371)</f>
        <v/>
      </c>
      <c r="J372" s="66">
        <f>INDEX(Projects[SRM Pallet Locations],371)</f>
        <v/>
      </c>
      <c r="K372" s="66">
        <f>INDEX(Projects[Case Conv (m)],371)</f>
        <v/>
      </c>
      <c r="L372" s="66">
        <f>INDEX(Projects[Pallet Conv (m)],371)</f>
        <v/>
      </c>
      <c r="M372" s="66">
        <f>INDEX(Projects[Mech Eng (wks)],371)</f>
        <v/>
      </c>
      <c r="N372" s="66">
        <f>INDEX(Projects[Controls Eng (wks)],371)</f>
        <v/>
      </c>
      <c r="O372" s="66">
        <f>INDEX(Projects[Systems Eng (wks)],371)</f>
        <v/>
      </c>
      <c r="P372" s="66">
        <f>INDEX(Projects[Software Eng (wks)],371)</f>
        <v/>
      </c>
      <c r="Q372" s="66">
        <f>INDEX(Projects[M&amp;E Installation (wks)],371)</f>
        <v/>
      </c>
      <c r="R372" s="66">
        <f>INDEX(Projects[Commissioning (wks)],371)</f>
        <v/>
      </c>
      <c r="S372" s="66">
        <f>INDEX(Projects[Total Timeline (wks)],371)</f>
        <v/>
      </c>
      <c r="T372" s="66">
        <f>INDEX(Projects[Currency],371)&amp;""</f>
        <v/>
      </c>
      <c r="U372" s="67">
        <f>INDEX(Projects[Value (M)],371)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INDEX(Projects[Automation Equipment],371)&amp;""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IF(AND(A372&lt;&gt;"",OR('Smart Search'!$L$5="",'Smart Search'!$L$5="All",TRIM(BZ372)=TRIM('Smart Search'!$L$5)),OR(TRIM('Smart Search'!$L$6)="",TRIM('Smart Search'!$L$6)="All",ISNUMBER(SEARCH(SUBSTITUTE(SUBSTITUTE(SUBSTITUTE(TRIM('Smart Search'!$L$6),"~","~~"),"*","~*"),"?","~?"),CA372))),OR('Smart Search'!$L$7="",AND(CB372&lt;&gt;0,CB372='Smart Search'!$L$7)),OR('Smart Search'!$L$8="",'Smart Search'!$L$8="All",TRIM(CC372)=TRIM('Smart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IF(A372="","",N(INDEX(Projects[Mech Inst],371)))</f>
        <v/>
      </c>
      <c r="BK372" s="5">
        <f>IF(A372="","",N(INDEX(Projects[Elec Inst],371)))</f>
        <v/>
      </c>
      <c r="BL372" s="5">
        <f>IF(A372="","",N(INDEX(Projects[Project Management],371)))</f>
        <v/>
      </c>
      <c r="BM372" s="5">
        <f>IF(A372="","",N(INDEX(Projects[Systems Eng],371)))</f>
        <v/>
      </c>
      <c r="BN372" s="5">
        <f>IF(A372="","",N(INDEX(Projects[Mechanical Eng],371)))</f>
        <v/>
      </c>
      <c r="BO372" s="5">
        <f>IF(A372="","",N(INDEX(Projects[Structural Engineering],371)))</f>
        <v/>
      </c>
      <c r="BP372" s="5">
        <f>IF(A372="","",N(INDEX(Projects[Site Sup],371)))</f>
        <v/>
      </c>
      <c r="BQ372" s="5">
        <f>IF(A372="","",N(INDEX(Projects[Controls Commissioning],371)))</f>
        <v/>
      </c>
      <c r="BR372" s="5">
        <f>IF(A372="","",N(INDEX(Projects[Systems Commissioning],371)))</f>
        <v/>
      </c>
      <c r="BS372" s="5">
        <f>IF(A372="","",N(INDEX(Projects[Service Commissioning],371)))</f>
        <v/>
      </c>
      <c r="BT372" s="5">
        <f>IF(A372="","",N(INDEX(Projects[Controls Eng],371)))</f>
        <v/>
      </c>
      <c r="BU372" s="5">
        <f>IF(A372="","",N(INDEX(Projects[Controls Purchase],371)))</f>
        <v/>
      </c>
      <c r="BV372" s="5">
        <f>IF(A372="","",N(INDEX(Projects[Software Eng],371)))</f>
        <v/>
      </c>
      <c r="BW372" s="5">
        <f>IF(A372="","",N(INDEX(Projects[Misc],371)))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  <c r="BZ372" s="5">
        <f>INDEX(Projects[Solution Type],371)&amp;""</f>
        <v/>
      </c>
      <c r="CA372" s="5">
        <f>INDEX(Projects[Client / Region],371)&amp;""</f>
        <v/>
      </c>
      <c r="CB372" s="5">
        <f>INDEX(Projects[Year],371)</f>
        <v/>
      </c>
      <c r="CC372" s="5">
        <f>INDEX(Projects[Won?],371)&amp;""</f>
        <v/>
      </c>
      <c r="CD372" s="5">
        <f>INDEX(Projects[Value (USD M)],371)</f>
        <v/>
      </c>
      <c r="CE372" s="5">
        <f>INDEX(Projects[MH Data Status],371)&amp;""</f>
        <v/>
      </c>
    </row>
    <row r="373" ht="15" customHeight="1" s="74">
      <c r="A373" s="66">
        <f>INDEX(Projects[Project ID *],372)&amp;""</f>
        <v/>
      </c>
      <c r="B373" s="66">
        <f>INDEX(Projects[Project Name *],372)&amp;""</f>
        <v/>
      </c>
      <c r="C373" s="66">
        <f>INDEX(Projects[MS Shuttles],372)</f>
        <v/>
      </c>
      <c r="D373" s="66">
        <f>INDEX(Projects[MS Tote Locations],372)</f>
        <v/>
      </c>
      <c r="E373" s="66">
        <f>INDEX(Projects[AS Robots],372)</f>
        <v/>
      </c>
      <c r="F373" s="66">
        <f>INDEX(Projects[AS Tote Locations],372)</f>
        <v/>
      </c>
      <c r="G373" s="66">
        <f>INDEX(Projects[PS Shuttles],372)</f>
        <v/>
      </c>
      <c r="H373" s="66">
        <f>INDEX(Projects[PS Pallet Locations],372)</f>
        <v/>
      </c>
      <c r="I373" s="66">
        <f>INDEX(Projects[SRM Cranes],372)</f>
        <v/>
      </c>
      <c r="J373" s="66">
        <f>INDEX(Projects[SRM Pallet Locations],372)</f>
        <v/>
      </c>
      <c r="K373" s="66">
        <f>INDEX(Projects[Case Conv (m)],372)</f>
        <v/>
      </c>
      <c r="L373" s="66">
        <f>INDEX(Projects[Pallet Conv (m)],372)</f>
        <v/>
      </c>
      <c r="M373" s="66">
        <f>INDEX(Projects[Mech Eng (wks)],372)</f>
        <v/>
      </c>
      <c r="N373" s="66">
        <f>INDEX(Projects[Controls Eng (wks)],372)</f>
        <v/>
      </c>
      <c r="O373" s="66">
        <f>INDEX(Projects[Systems Eng (wks)],372)</f>
        <v/>
      </c>
      <c r="P373" s="66">
        <f>INDEX(Projects[Software Eng (wks)],372)</f>
        <v/>
      </c>
      <c r="Q373" s="66">
        <f>INDEX(Projects[M&amp;E Installation (wks)],372)</f>
        <v/>
      </c>
      <c r="R373" s="66">
        <f>INDEX(Projects[Commissioning (wks)],372)</f>
        <v/>
      </c>
      <c r="S373" s="66">
        <f>INDEX(Projects[Total Timeline (wks)],372)</f>
        <v/>
      </c>
      <c r="T373" s="66">
        <f>INDEX(Projects[Currency],372)&amp;""</f>
        <v/>
      </c>
      <c r="U373" s="67">
        <f>INDEX(Projects[Value (M)],372)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INDEX(Projects[Automation Equipment],372)&amp;""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IF(AND(A373&lt;&gt;"",OR('Smart Search'!$L$5="",'Smart Search'!$L$5="All",TRIM(BZ373)=TRIM('Smart Search'!$L$5)),OR(TRIM('Smart Search'!$L$6)="",TRIM('Smart Search'!$L$6)="All",ISNUMBER(SEARCH(SUBSTITUTE(SUBSTITUTE(SUBSTITUTE(TRIM('Smart Search'!$L$6),"~","~~"),"*","~*"),"?","~?"),CA373))),OR('Smart Search'!$L$7="",AND(CB373&lt;&gt;0,CB373='Smart Search'!$L$7)),OR('Smart Search'!$L$8="",'Smart Search'!$L$8="All",TRIM(CC373)=TRIM('Smart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IF(A373="","",N(INDEX(Projects[Mech Inst],372)))</f>
        <v/>
      </c>
      <c r="BK373" s="5">
        <f>IF(A373="","",N(INDEX(Projects[Elec Inst],372)))</f>
        <v/>
      </c>
      <c r="BL373" s="5">
        <f>IF(A373="","",N(INDEX(Projects[Project Management],372)))</f>
        <v/>
      </c>
      <c r="BM373" s="5">
        <f>IF(A373="","",N(INDEX(Projects[Systems Eng],372)))</f>
        <v/>
      </c>
      <c r="BN373" s="5">
        <f>IF(A373="","",N(INDEX(Projects[Mechanical Eng],372)))</f>
        <v/>
      </c>
      <c r="BO373" s="5">
        <f>IF(A373="","",N(INDEX(Projects[Structural Engineering],372)))</f>
        <v/>
      </c>
      <c r="BP373" s="5">
        <f>IF(A373="","",N(INDEX(Projects[Site Sup],372)))</f>
        <v/>
      </c>
      <c r="BQ373" s="5">
        <f>IF(A373="","",N(INDEX(Projects[Controls Commissioning],372)))</f>
        <v/>
      </c>
      <c r="BR373" s="5">
        <f>IF(A373="","",N(INDEX(Projects[Systems Commissioning],372)))</f>
        <v/>
      </c>
      <c r="BS373" s="5">
        <f>IF(A373="","",N(INDEX(Projects[Service Commissioning],372)))</f>
        <v/>
      </c>
      <c r="BT373" s="5">
        <f>IF(A373="","",N(INDEX(Projects[Controls Eng],372)))</f>
        <v/>
      </c>
      <c r="BU373" s="5">
        <f>IF(A373="","",N(INDEX(Projects[Controls Purchase],372)))</f>
        <v/>
      </c>
      <c r="BV373" s="5">
        <f>IF(A373="","",N(INDEX(Projects[Software Eng],372)))</f>
        <v/>
      </c>
      <c r="BW373" s="5">
        <f>IF(A373="","",N(INDEX(Projects[Misc],372)))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  <c r="BZ373" s="5">
        <f>INDEX(Projects[Solution Type],372)&amp;""</f>
        <v/>
      </c>
      <c r="CA373" s="5">
        <f>INDEX(Projects[Client / Region],372)&amp;""</f>
        <v/>
      </c>
      <c r="CB373" s="5">
        <f>INDEX(Projects[Year],372)</f>
        <v/>
      </c>
      <c r="CC373" s="5">
        <f>INDEX(Projects[Won?],372)&amp;""</f>
        <v/>
      </c>
      <c r="CD373" s="5">
        <f>INDEX(Projects[Value (USD M)],372)</f>
        <v/>
      </c>
      <c r="CE373" s="5">
        <f>INDEX(Projects[MH Data Status],372)&amp;""</f>
        <v/>
      </c>
    </row>
    <row r="374" ht="15" customHeight="1" s="74">
      <c r="A374" s="66">
        <f>INDEX(Projects[Project ID *],373)&amp;""</f>
        <v/>
      </c>
      <c r="B374" s="66">
        <f>INDEX(Projects[Project Name *],373)&amp;""</f>
        <v/>
      </c>
      <c r="C374" s="66">
        <f>INDEX(Projects[MS Shuttles],373)</f>
        <v/>
      </c>
      <c r="D374" s="66">
        <f>INDEX(Projects[MS Tote Locations],373)</f>
        <v/>
      </c>
      <c r="E374" s="66">
        <f>INDEX(Projects[AS Robots],373)</f>
        <v/>
      </c>
      <c r="F374" s="66">
        <f>INDEX(Projects[AS Tote Locations],373)</f>
        <v/>
      </c>
      <c r="G374" s="66">
        <f>INDEX(Projects[PS Shuttles],373)</f>
        <v/>
      </c>
      <c r="H374" s="66">
        <f>INDEX(Projects[PS Pallet Locations],373)</f>
        <v/>
      </c>
      <c r="I374" s="66">
        <f>INDEX(Projects[SRM Cranes],373)</f>
        <v/>
      </c>
      <c r="J374" s="66">
        <f>INDEX(Projects[SRM Pallet Locations],373)</f>
        <v/>
      </c>
      <c r="K374" s="66">
        <f>INDEX(Projects[Case Conv (m)],373)</f>
        <v/>
      </c>
      <c r="L374" s="66">
        <f>INDEX(Projects[Pallet Conv (m)],373)</f>
        <v/>
      </c>
      <c r="M374" s="66">
        <f>INDEX(Projects[Mech Eng (wks)],373)</f>
        <v/>
      </c>
      <c r="N374" s="66">
        <f>INDEX(Projects[Controls Eng (wks)],373)</f>
        <v/>
      </c>
      <c r="O374" s="66">
        <f>INDEX(Projects[Systems Eng (wks)],373)</f>
        <v/>
      </c>
      <c r="P374" s="66">
        <f>INDEX(Projects[Software Eng (wks)],373)</f>
        <v/>
      </c>
      <c r="Q374" s="66">
        <f>INDEX(Projects[M&amp;E Installation (wks)],373)</f>
        <v/>
      </c>
      <c r="R374" s="66">
        <f>INDEX(Projects[Commissioning (wks)],373)</f>
        <v/>
      </c>
      <c r="S374" s="66">
        <f>INDEX(Projects[Total Timeline (wks)],373)</f>
        <v/>
      </c>
      <c r="T374" s="66">
        <f>INDEX(Projects[Currency],373)&amp;""</f>
        <v/>
      </c>
      <c r="U374" s="67">
        <f>INDEX(Projects[Value (M)],373)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INDEX(Projects[Automation Equipment],373)&amp;""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IF(AND(A374&lt;&gt;"",OR('Smart Search'!$L$5="",'Smart Search'!$L$5="All",TRIM(BZ374)=TRIM('Smart Search'!$L$5)),OR(TRIM('Smart Search'!$L$6)="",TRIM('Smart Search'!$L$6)="All",ISNUMBER(SEARCH(SUBSTITUTE(SUBSTITUTE(SUBSTITUTE(TRIM('Smart Search'!$L$6),"~","~~"),"*","~*"),"?","~?"),CA374))),OR('Smart Search'!$L$7="",AND(CB374&lt;&gt;0,CB374='Smart Search'!$L$7)),OR('Smart Search'!$L$8="",'Smart Search'!$L$8="All",TRIM(CC374)=TRIM('Smart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IF(A374="","",N(INDEX(Projects[Mech Inst],373)))</f>
        <v/>
      </c>
      <c r="BK374" s="5">
        <f>IF(A374="","",N(INDEX(Projects[Elec Inst],373)))</f>
        <v/>
      </c>
      <c r="BL374" s="5">
        <f>IF(A374="","",N(INDEX(Projects[Project Management],373)))</f>
        <v/>
      </c>
      <c r="BM374" s="5">
        <f>IF(A374="","",N(INDEX(Projects[Systems Eng],373)))</f>
        <v/>
      </c>
      <c r="BN374" s="5">
        <f>IF(A374="","",N(INDEX(Projects[Mechanical Eng],373)))</f>
        <v/>
      </c>
      <c r="BO374" s="5">
        <f>IF(A374="","",N(INDEX(Projects[Structural Engineering],373)))</f>
        <v/>
      </c>
      <c r="BP374" s="5">
        <f>IF(A374="","",N(INDEX(Projects[Site Sup],373)))</f>
        <v/>
      </c>
      <c r="BQ374" s="5">
        <f>IF(A374="","",N(INDEX(Projects[Controls Commissioning],373)))</f>
        <v/>
      </c>
      <c r="BR374" s="5">
        <f>IF(A374="","",N(INDEX(Projects[Systems Commissioning],373)))</f>
        <v/>
      </c>
      <c r="BS374" s="5">
        <f>IF(A374="","",N(INDEX(Projects[Service Commissioning],373)))</f>
        <v/>
      </c>
      <c r="BT374" s="5">
        <f>IF(A374="","",N(INDEX(Projects[Controls Eng],373)))</f>
        <v/>
      </c>
      <c r="BU374" s="5">
        <f>IF(A374="","",N(INDEX(Projects[Controls Purchase],373)))</f>
        <v/>
      </c>
      <c r="BV374" s="5">
        <f>IF(A374="","",N(INDEX(Projects[Software Eng],373)))</f>
        <v/>
      </c>
      <c r="BW374" s="5">
        <f>IF(A374="","",N(INDEX(Projects[Misc],373)))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  <c r="BZ374" s="5">
        <f>INDEX(Projects[Solution Type],373)&amp;""</f>
        <v/>
      </c>
      <c r="CA374" s="5">
        <f>INDEX(Projects[Client / Region],373)&amp;""</f>
        <v/>
      </c>
      <c r="CB374" s="5">
        <f>INDEX(Projects[Year],373)</f>
        <v/>
      </c>
      <c r="CC374" s="5">
        <f>INDEX(Projects[Won?],373)&amp;""</f>
        <v/>
      </c>
      <c r="CD374" s="5">
        <f>INDEX(Projects[Value (USD M)],373)</f>
        <v/>
      </c>
      <c r="CE374" s="5">
        <f>INDEX(Projects[MH Data Status],373)&amp;""</f>
        <v/>
      </c>
    </row>
    <row r="375" ht="15" customHeight="1" s="74">
      <c r="A375" s="66">
        <f>INDEX(Projects[Project ID *],374)&amp;""</f>
        <v/>
      </c>
      <c r="B375" s="66">
        <f>INDEX(Projects[Project Name *],374)&amp;""</f>
        <v/>
      </c>
      <c r="C375" s="66">
        <f>INDEX(Projects[MS Shuttles],374)</f>
        <v/>
      </c>
      <c r="D375" s="66">
        <f>INDEX(Projects[MS Tote Locations],374)</f>
        <v/>
      </c>
      <c r="E375" s="66">
        <f>INDEX(Projects[AS Robots],374)</f>
        <v/>
      </c>
      <c r="F375" s="66">
        <f>INDEX(Projects[AS Tote Locations],374)</f>
        <v/>
      </c>
      <c r="G375" s="66">
        <f>INDEX(Projects[PS Shuttles],374)</f>
        <v/>
      </c>
      <c r="H375" s="66">
        <f>INDEX(Projects[PS Pallet Locations],374)</f>
        <v/>
      </c>
      <c r="I375" s="66">
        <f>INDEX(Projects[SRM Cranes],374)</f>
        <v/>
      </c>
      <c r="J375" s="66">
        <f>INDEX(Projects[SRM Pallet Locations],374)</f>
        <v/>
      </c>
      <c r="K375" s="66">
        <f>INDEX(Projects[Case Conv (m)],374)</f>
        <v/>
      </c>
      <c r="L375" s="66">
        <f>INDEX(Projects[Pallet Conv (m)],374)</f>
        <v/>
      </c>
      <c r="M375" s="66">
        <f>INDEX(Projects[Mech Eng (wks)],374)</f>
        <v/>
      </c>
      <c r="N375" s="66">
        <f>INDEX(Projects[Controls Eng (wks)],374)</f>
        <v/>
      </c>
      <c r="O375" s="66">
        <f>INDEX(Projects[Systems Eng (wks)],374)</f>
        <v/>
      </c>
      <c r="P375" s="66">
        <f>INDEX(Projects[Software Eng (wks)],374)</f>
        <v/>
      </c>
      <c r="Q375" s="66">
        <f>INDEX(Projects[M&amp;E Installation (wks)],374)</f>
        <v/>
      </c>
      <c r="R375" s="66">
        <f>INDEX(Projects[Commissioning (wks)],374)</f>
        <v/>
      </c>
      <c r="S375" s="66">
        <f>INDEX(Projects[Total Timeline (wks)],374)</f>
        <v/>
      </c>
      <c r="T375" s="66">
        <f>INDEX(Projects[Currency],374)&amp;""</f>
        <v/>
      </c>
      <c r="U375" s="67">
        <f>INDEX(Projects[Value (M)],374)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INDEX(Projects[Automation Equipment],374)&amp;""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IF(AND(A375&lt;&gt;"",OR('Smart Search'!$L$5="",'Smart Search'!$L$5="All",TRIM(BZ375)=TRIM('Smart Search'!$L$5)),OR(TRIM('Smart Search'!$L$6)="",TRIM('Smart Search'!$L$6)="All",ISNUMBER(SEARCH(SUBSTITUTE(SUBSTITUTE(SUBSTITUTE(TRIM('Smart Search'!$L$6),"~","~~"),"*","~*"),"?","~?"),CA375))),OR('Smart Search'!$L$7="",AND(CB375&lt;&gt;0,CB375='Smart Search'!$L$7)),OR('Smart Search'!$L$8="",'Smart Search'!$L$8="All",TRIM(CC375)=TRIM('Smart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IF(A375="","",N(INDEX(Projects[Mech Inst],374)))</f>
        <v/>
      </c>
      <c r="BK375" s="5">
        <f>IF(A375="","",N(INDEX(Projects[Elec Inst],374)))</f>
        <v/>
      </c>
      <c r="BL375" s="5">
        <f>IF(A375="","",N(INDEX(Projects[Project Management],374)))</f>
        <v/>
      </c>
      <c r="BM375" s="5">
        <f>IF(A375="","",N(INDEX(Projects[Systems Eng],374)))</f>
        <v/>
      </c>
      <c r="BN375" s="5">
        <f>IF(A375="","",N(INDEX(Projects[Mechanical Eng],374)))</f>
        <v/>
      </c>
      <c r="BO375" s="5">
        <f>IF(A375="","",N(INDEX(Projects[Structural Engineering],374)))</f>
        <v/>
      </c>
      <c r="BP375" s="5">
        <f>IF(A375="","",N(INDEX(Projects[Site Sup],374)))</f>
        <v/>
      </c>
      <c r="BQ375" s="5">
        <f>IF(A375="","",N(INDEX(Projects[Controls Commissioning],374)))</f>
        <v/>
      </c>
      <c r="BR375" s="5">
        <f>IF(A375="","",N(INDEX(Projects[Systems Commissioning],374)))</f>
        <v/>
      </c>
      <c r="BS375" s="5">
        <f>IF(A375="","",N(INDEX(Projects[Service Commissioning],374)))</f>
        <v/>
      </c>
      <c r="BT375" s="5">
        <f>IF(A375="","",N(INDEX(Projects[Controls Eng],374)))</f>
        <v/>
      </c>
      <c r="BU375" s="5">
        <f>IF(A375="","",N(INDEX(Projects[Controls Purchase],374)))</f>
        <v/>
      </c>
      <c r="BV375" s="5">
        <f>IF(A375="","",N(INDEX(Projects[Software Eng],374)))</f>
        <v/>
      </c>
      <c r="BW375" s="5">
        <f>IF(A375="","",N(INDEX(Projects[Misc],374)))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  <c r="BZ375" s="5">
        <f>INDEX(Projects[Solution Type],374)&amp;""</f>
        <v/>
      </c>
      <c r="CA375" s="5">
        <f>INDEX(Projects[Client / Region],374)&amp;""</f>
        <v/>
      </c>
      <c r="CB375" s="5">
        <f>INDEX(Projects[Year],374)</f>
        <v/>
      </c>
      <c r="CC375" s="5">
        <f>INDEX(Projects[Won?],374)&amp;""</f>
        <v/>
      </c>
      <c r="CD375" s="5">
        <f>INDEX(Projects[Value (USD M)],374)</f>
        <v/>
      </c>
      <c r="CE375" s="5">
        <f>INDEX(Projects[MH Data Status],374)&amp;""</f>
        <v/>
      </c>
    </row>
    <row r="376" ht="15" customHeight="1" s="74">
      <c r="A376" s="66">
        <f>INDEX(Projects[Project ID *],375)&amp;""</f>
        <v/>
      </c>
      <c r="B376" s="66">
        <f>INDEX(Projects[Project Name *],375)&amp;""</f>
        <v/>
      </c>
      <c r="C376" s="66">
        <f>INDEX(Projects[MS Shuttles],375)</f>
        <v/>
      </c>
      <c r="D376" s="66">
        <f>INDEX(Projects[MS Tote Locations],375)</f>
        <v/>
      </c>
      <c r="E376" s="66">
        <f>INDEX(Projects[AS Robots],375)</f>
        <v/>
      </c>
      <c r="F376" s="66">
        <f>INDEX(Projects[AS Tote Locations],375)</f>
        <v/>
      </c>
      <c r="G376" s="66">
        <f>INDEX(Projects[PS Shuttles],375)</f>
        <v/>
      </c>
      <c r="H376" s="66">
        <f>INDEX(Projects[PS Pallet Locations],375)</f>
        <v/>
      </c>
      <c r="I376" s="66">
        <f>INDEX(Projects[SRM Cranes],375)</f>
        <v/>
      </c>
      <c r="J376" s="66">
        <f>INDEX(Projects[SRM Pallet Locations],375)</f>
        <v/>
      </c>
      <c r="K376" s="66">
        <f>INDEX(Projects[Case Conv (m)],375)</f>
        <v/>
      </c>
      <c r="L376" s="66">
        <f>INDEX(Projects[Pallet Conv (m)],375)</f>
        <v/>
      </c>
      <c r="M376" s="66">
        <f>INDEX(Projects[Mech Eng (wks)],375)</f>
        <v/>
      </c>
      <c r="N376" s="66">
        <f>INDEX(Projects[Controls Eng (wks)],375)</f>
        <v/>
      </c>
      <c r="O376" s="66">
        <f>INDEX(Projects[Systems Eng (wks)],375)</f>
        <v/>
      </c>
      <c r="P376" s="66">
        <f>INDEX(Projects[Software Eng (wks)],375)</f>
        <v/>
      </c>
      <c r="Q376" s="66">
        <f>INDEX(Projects[M&amp;E Installation (wks)],375)</f>
        <v/>
      </c>
      <c r="R376" s="66">
        <f>INDEX(Projects[Commissioning (wks)],375)</f>
        <v/>
      </c>
      <c r="S376" s="66">
        <f>INDEX(Projects[Total Timeline (wks)],375)</f>
        <v/>
      </c>
      <c r="T376" s="66">
        <f>INDEX(Projects[Currency],375)&amp;""</f>
        <v/>
      </c>
      <c r="U376" s="67">
        <f>INDEX(Projects[Value (M)],375)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INDEX(Projects[Automation Equipment],375)&amp;""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IF(AND(A376&lt;&gt;"",OR('Smart Search'!$L$5="",'Smart Search'!$L$5="All",TRIM(BZ376)=TRIM('Smart Search'!$L$5)),OR(TRIM('Smart Search'!$L$6)="",TRIM('Smart Search'!$L$6)="All",ISNUMBER(SEARCH(SUBSTITUTE(SUBSTITUTE(SUBSTITUTE(TRIM('Smart Search'!$L$6),"~","~~"),"*","~*"),"?","~?"),CA376))),OR('Smart Search'!$L$7="",AND(CB376&lt;&gt;0,CB376='Smart Search'!$L$7)),OR('Smart Search'!$L$8="",'Smart Search'!$L$8="All",TRIM(CC376)=TRIM('Smart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IF(A376="","",N(INDEX(Projects[Mech Inst],375)))</f>
        <v/>
      </c>
      <c r="BK376" s="5">
        <f>IF(A376="","",N(INDEX(Projects[Elec Inst],375)))</f>
        <v/>
      </c>
      <c r="BL376" s="5">
        <f>IF(A376="","",N(INDEX(Projects[Project Management],375)))</f>
        <v/>
      </c>
      <c r="BM376" s="5">
        <f>IF(A376="","",N(INDEX(Projects[Systems Eng],375)))</f>
        <v/>
      </c>
      <c r="BN376" s="5">
        <f>IF(A376="","",N(INDEX(Projects[Mechanical Eng],375)))</f>
        <v/>
      </c>
      <c r="BO376" s="5">
        <f>IF(A376="","",N(INDEX(Projects[Structural Engineering],375)))</f>
        <v/>
      </c>
      <c r="BP376" s="5">
        <f>IF(A376="","",N(INDEX(Projects[Site Sup],375)))</f>
        <v/>
      </c>
      <c r="BQ376" s="5">
        <f>IF(A376="","",N(INDEX(Projects[Controls Commissioning],375)))</f>
        <v/>
      </c>
      <c r="BR376" s="5">
        <f>IF(A376="","",N(INDEX(Projects[Systems Commissioning],375)))</f>
        <v/>
      </c>
      <c r="BS376" s="5">
        <f>IF(A376="","",N(INDEX(Projects[Service Commissioning],375)))</f>
        <v/>
      </c>
      <c r="BT376" s="5">
        <f>IF(A376="","",N(INDEX(Projects[Controls Eng],375)))</f>
        <v/>
      </c>
      <c r="BU376" s="5">
        <f>IF(A376="","",N(INDEX(Projects[Controls Purchase],375)))</f>
        <v/>
      </c>
      <c r="BV376" s="5">
        <f>IF(A376="","",N(INDEX(Projects[Software Eng],375)))</f>
        <v/>
      </c>
      <c r="BW376" s="5">
        <f>IF(A376="","",N(INDEX(Projects[Misc],375)))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  <c r="BZ376" s="5">
        <f>INDEX(Projects[Solution Type],375)&amp;""</f>
        <v/>
      </c>
      <c r="CA376" s="5">
        <f>INDEX(Projects[Client / Region],375)&amp;""</f>
        <v/>
      </c>
      <c r="CB376" s="5">
        <f>INDEX(Projects[Year],375)</f>
        <v/>
      </c>
      <c r="CC376" s="5">
        <f>INDEX(Projects[Won?],375)&amp;""</f>
        <v/>
      </c>
      <c r="CD376" s="5">
        <f>INDEX(Projects[Value (USD M)],375)</f>
        <v/>
      </c>
      <c r="CE376" s="5">
        <f>INDEX(Projects[MH Data Status],375)&amp;""</f>
        <v/>
      </c>
    </row>
    <row r="377" ht="15" customHeight="1" s="74">
      <c r="A377" s="66">
        <f>INDEX(Projects[Project ID *],376)&amp;""</f>
        <v/>
      </c>
      <c r="B377" s="66">
        <f>INDEX(Projects[Project Name *],376)&amp;""</f>
        <v/>
      </c>
      <c r="C377" s="66">
        <f>INDEX(Projects[MS Shuttles],376)</f>
        <v/>
      </c>
      <c r="D377" s="66">
        <f>INDEX(Projects[MS Tote Locations],376)</f>
        <v/>
      </c>
      <c r="E377" s="66">
        <f>INDEX(Projects[AS Robots],376)</f>
        <v/>
      </c>
      <c r="F377" s="66">
        <f>INDEX(Projects[AS Tote Locations],376)</f>
        <v/>
      </c>
      <c r="G377" s="66">
        <f>INDEX(Projects[PS Shuttles],376)</f>
        <v/>
      </c>
      <c r="H377" s="66">
        <f>INDEX(Projects[PS Pallet Locations],376)</f>
        <v/>
      </c>
      <c r="I377" s="66">
        <f>INDEX(Projects[SRM Cranes],376)</f>
        <v/>
      </c>
      <c r="J377" s="66">
        <f>INDEX(Projects[SRM Pallet Locations],376)</f>
        <v/>
      </c>
      <c r="K377" s="66">
        <f>INDEX(Projects[Case Conv (m)],376)</f>
        <v/>
      </c>
      <c r="L377" s="66">
        <f>INDEX(Projects[Pallet Conv (m)],376)</f>
        <v/>
      </c>
      <c r="M377" s="66">
        <f>INDEX(Projects[Mech Eng (wks)],376)</f>
        <v/>
      </c>
      <c r="N377" s="66">
        <f>INDEX(Projects[Controls Eng (wks)],376)</f>
        <v/>
      </c>
      <c r="O377" s="66">
        <f>INDEX(Projects[Systems Eng (wks)],376)</f>
        <v/>
      </c>
      <c r="P377" s="66">
        <f>INDEX(Projects[Software Eng (wks)],376)</f>
        <v/>
      </c>
      <c r="Q377" s="66">
        <f>INDEX(Projects[M&amp;E Installation (wks)],376)</f>
        <v/>
      </c>
      <c r="R377" s="66">
        <f>INDEX(Projects[Commissioning (wks)],376)</f>
        <v/>
      </c>
      <c r="S377" s="66">
        <f>INDEX(Projects[Total Timeline (wks)],376)</f>
        <v/>
      </c>
      <c r="T377" s="66">
        <f>INDEX(Projects[Currency],376)&amp;""</f>
        <v/>
      </c>
      <c r="U377" s="67">
        <f>INDEX(Projects[Value (M)],376)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INDEX(Projects[Automation Equipment],376)&amp;""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IF(AND(A377&lt;&gt;"",OR('Smart Search'!$L$5="",'Smart Search'!$L$5="All",TRIM(BZ377)=TRIM('Smart Search'!$L$5)),OR(TRIM('Smart Search'!$L$6)="",TRIM('Smart Search'!$L$6)="All",ISNUMBER(SEARCH(SUBSTITUTE(SUBSTITUTE(SUBSTITUTE(TRIM('Smart Search'!$L$6),"~","~~"),"*","~*"),"?","~?"),CA377))),OR('Smart Search'!$L$7="",AND(CB377&lt;&gt;0,CB377='Smart Search'!$L$7)),OR('Smart Search'!$L$8="",'Smart Search'!$L$8="All",TRIM(CC377)=TRIM('Smart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IF(A377="","",N(INDEX(Projects[Mech Inst],376)))</f>
        <v/>
      </c>
      <c r="BK377" s="5">
        <f>IF(A377="","",N(INDEX(Projects[Elec Inst],376)))</f>
        <v/>
      </c>
      <c r="BL377" s="5">
        <f>IF(A377="","",N(INDEX(Projects[Project Management],376)))</f>
        <v/>
      </c>
      <c r="BM377" s="5">
        <f>IF(A377="","",N(INDEX(Projects[Systems Eng],376)))</f>
        <v/>
      </c>
      <c r="BN377" s="5">
        <f>IF(A377="","",N(INDEX(Projects[Mechanical Eng],376)))</f>
        <v/>
      </c>
      <c r="BO377" s="5">
        <f>IF(A377="","",N(INDEX(Projects[Structural Engineering],376)))</f>
        <v/>
      </c>
      <c r="BP377" s="5">
        <f>IF(A377="","",N(INDEX(Projects[Site Sup],376)))</f>
        <v/>
      </c>
      <c r="BQ377" s="5">
        <f>IF(A377="","",N(INDEX(Projects[Controls Commissioning],376)))</f>
        <v/>
      </c>
      <c r="BR377" s="5">
        <f>IF(A377="","",N(INDEX(Projects[Systems Commissioning],376)))</f>
        <v/>
      </c>
      <c r="BS377" s="5">
        <f>IF(A377="","",N(INDEX(Projects[Service Commissioning],376)))</f>
        <v/>
      </c>
      <c r="BT377" s="5">
        <f>IF(A377="","",N(INDEX(Projects[Controls Eng],376)))</f>
        <v/>
      </c>
      <c r="BU377" s="5">
        <f>IF(A377="","",N(INDEX(Projects[Controls Purchase],376)))</f>
        <v/>
      </c>
      <c r="BV377" s="5">
        <f>IF(A377="","",N(INDEX(Projects[Software Eng],376)))</f>
        <v/>
      </c>
      <c r="BW377" s="5">
        <f>IF(A377="","",N(INDEX(Projects[Misc],376)))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  <c r="BZ377" s="5">
        <f>INDEX(Projects[Solution Type],376)&amp;""</f>
        <v/>
      </c>
      <c r="CA377" s="5">
        <f>INDEX(Projects[Client / Region],376)&amp;""</f>
        <v/>
      </c>
      <c r="CB377" s="5">
        <f>INDEX(Projects[Year],376)</f>
        <v/>
      </c>
      <c r="CC377" s="5">
        <f>INDEX(Projects[Won?],376)&amp;""</f>
        <v/>
      </c>
      <c r="CD377" s="5">
        <f>INDEX(Projects[Value (USD M)],376)</f>
        <v/>
      </c>
      <c r="CE377" s="5">
        <f>INDEX(Projects[MH Data Status],376)&amp;""</f>
        <v/>
      </c>
    </row>
    <row r="378" ht="15" customHeight="1" s="74">
      <c r="A378" s="66">
        <f>INDEX(Projects[Project ID *],377)&amp;""</f>
        <v/>
      </c>
      <c r="B378" s="66">
        <f>INDEX(Projects[Project Name *],377)&amp;""</f>
        <v/>
      </c>
      <c r="C378" s="66">
        <f>INDEX(Projects[MS Shuttles],377)</f>
        <v/>
      </c>
      <c r="D378" s="66">
        <f>INDEX(Projects[MS Tote Locations],377)</f>
        <v/>
      </c>
      <c r="E378" s="66">
        <f>INDEX(Projects[AS Robots],377)</f>
        <v/>
      </c>
      <c r="F378" s="66">
        <f>INDEX(Projects[AS Tote Locations],377)</f>
        <v/>
      </c>
      <c r="G378" s="66">
        <f>INDEX(Projects[PS Shuttles],377)</f>
        <v/>
      </c>
      <c r="H378" s="66">
        <f>INDEX(Projects[PS Pallet Locations],377)</f>
        <v/>
      </c>
      <c r="I378" s="66">
        <f>INDEX(Projects[SRM Cranes],377)</f>
        <v/>
      </c>
      <c r="J378" s="66">
        <f>INDEX(Projects[SRM Pallet Locations],377)</f>
        <v/>
      </c>
      <c r="K378" s="66">
        <f>INDEX(Projects[Case Conv (m)],377)</f>
        <v/>
      </c>
      <c r="L378" s="66">
        <f>INDEX(Projects[Pallet Conv (m)],377)</f>
        <v/>
      </c>
      <c r="M378" s="66">
        <f>INDEX(Projects[Mech Eng (wks)],377)</f>
        <v/>
      </c>
      <c r="N378" s="66">
        <f>INDEX(Projects[Controls Eng (wks)],377)</f>
        <v/>
      </c>
      <c r="O378" s="66">
        <f>INDEX(Projects[Systems Eng (wks)],377)</f>
        <v/>
      </c>
      <c r="P378" s="66">
        <f>INDEX(Projects[Software Eng (wks)],377)</f>
        <v/>
      </c>
      <c r="Q378" s="66">
        <f>INDEX(Projects[M&amp;E Installation (wks)],377)</f>
        <v/>
      </c>
      <c r="R378" s="66">
        <f>INDEX(Projects[Commissioning (wks)],377)</f>
        <v/>
      </c>
      <c r="S378" s="66">
        <f>INDEX(Projects[Total Timeline (wks)],377)</f>
        <v/>
      </c>
      <c r="T378" s="66">
        <f>INDEX(Projects[Currency],377)&amp;""</f>
        <v/>
      </c>
      <c r="U378" s="67">
        <f>INDEX(Projects[Value (M)],377)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INDEX(Projects[Automation Equipment],377)&amp;""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IF(AND(A378&lt;&gt;"",OR('Smart Search'!$L$5="",'Smart Search'!$L$5="All",TRIM(BZ378)=TRIM('Smart Search'!$L$5)),OR(TRIM('Smart Search'!$L$6)="",TRIM('Smart Search'!$L$6)="All",ISNUMBER(SEARCH(SUBSTITUTE(SUBSTITUTE(SUBSTITUTE(TRIM('Smart Search'!$L$6),"~","~~"),"*","~*"),"?","~?"),CA378))),OR('Smart Search'!$L$7="",AND(CB378&lt;&gt;0,CB378='Smart Search'!$L$7)),OR('Smart Search'!$L$8="",'Smart Search'!$L$8="All",TRIM(CC378)=TRIM('Smart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IF(A378="","",N(INDEX(Projects[Mech Inst],377)))</f>
        <v/>
      </c>
      <c r="BK378" s="5">
        <f>IF(A378="","",N(INDEX(Projects[Elec Inst],377)))</f>
        <v/>
      </c>
      <c r="BL378" s="5">
        <f>IF(A378="","",N(INDEX(Projects[Project Management],377)))</f>
        <v/>
      </c>
      <c r="BM378" s="5">
        <f>IF(A378="","",N(INDEX(Projects[Systems Eng],377)))</f>
        <v/>
      </c>
      <c r="BN378" s="5">
        <f>IF(A378="","",N(INDEX(Projects[Mechanical Eng],377)))</f>
        <v/>
      </c>
      <c r="BO378" s="5">
        <f>IF(A378="","",N(INDEX(Projects[Structural Engineering],377)))</f>
        <v/>
      </c>
      <c r="BP378" s="5">
        <f>IF(A378="","",N(INDEX(Projects[Site Sup],377)))</f>
        <v/>
      </c>
      <c r="BQ378" s="5">
        <f>IF(A378="","",N(INDEX(Projects[Controls Commissioning],377)))</f>
        <v/>
      </c>
      <c r="BR378" s="5">
        <f>IF(A378="","",N(INDEX(Projects[Systems Commissioning],377)))</f>
        <v/>
      </c>
      <c r="BS378" s="5">
        <f>IF(A378="","",N(INDEX(Projects[Service Commissioning],377)))</f>
        <v/>
      </c>
      <c r="BT378" s="5">
        <f>IF(A378="","",N(INDEX(Projects[Controls Eng],377)))</f>
        <v/>
      </c>
      <c r="BU378" s="5">
        <f>IF(A378="","",N(INDEX(Projects[Controls Purchase],377)))</f>
        <v/>
      </c>
      <c r="BV378" s="5">
        <f>IF(A378="","",N(INDEX(Projects[Software Eng],377)))</f>
        <v/>
      </c>
      <c r="BW378" s="5">
        <f>IF(A378="","",N(INDEX(Projects[Misc],377)))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  <c r="BZ378" s="5">
        <f>INDEX(Projects[Solution Type],377)&amp;""</f>
        <v/>
      </c>
      <c r="CA378" s="5">
        <f>INDEX(Projects[Client / Region],377)&amp;""</f>
        <v/>
      </c>
      <c r="CB378" s="5">
        <f>INDEX(Projects[Year],377)</f>
        <v/>
      </c>
      <c r="CC378" s="5">
        <f>INDEX(Projects[Won?],377)&amp;""</f>
        <v/>
      </c>
      <c r="CD378" s="5">
        <f>INDEX(Projects[Value (USD M)],377)</f>
        <v/>
      </c>
      <c r="CE378" s="5">
        <f>INDEX(Projects[MH Data Status],377)&amp;""</f>
        <v/>
      </c>
    </row>
    <row r="379" ht="15" customHeight="1" s="74">
      <c r="A379" s="66">
        <f>INDEX(Projects[Project ID *],378)&amp;""</f>
        <v/>
      </c>
      <c r="B379" s="66">
        <f>INDEX(Projects[Project Name *],378)&amp;""</f>
        <v/>
      </c>
      <c r="C379" s="66">
        <f>INDEX(Projects[MS Shuttles],378)</f>
        <v/>
      </c>
      <c r="D379" s="66">
        <f>INDEX(Projects[MS Tote Locations],378)</f>
        <v/>
      </c>
      <c r="E379" s="66">
        <f>INDEX(Projects[AS Robots],378)</f>
        <v/>
      </c>
      <c r="F379" s="66">
        <f>INDEX(Projects[AS Tote Locations],378)</f>
        <v/>
      </c>
      <c r="G379" s="66">
        <f>INDEX(Projects[PS Shuttles],378)</f>
        <v/>
      </c>
      <c r="H379" s="66">
        <f>INDEX(Projects[PS Pallet Locations],378)</f>
        <v/>
      </c>
      <c r="I379" s="66">
        <f>INDEX(Projects[SRM Cranes],378)</f>
        <v/>
      </c>
      <c r="J379" s="66">
        <f>INDEX(Projects[SRM Pallet Locations],378)</f>
        <v/>
      </c>
      <c r="K379" s="66">
        <f>INDEX(Projects[Case Conv (m)],378)</f>
        <v/>
      </c>
      <c r="L379" s="66">
        <f>INDEX(Projects[Pallet Conv (m)],378)</f>
        <v/>
      </c>
      <c r="M379" s="66">
        <f>INDEX(Projects[Mech Eng (wks)],378)</f>
        <v/>
      </c>
      <c r="N379" s="66">
        <f>INDEX(Projects[Controls Eng (wks)],378)</f>
        <v/>
      </c>
      <c r="O379" s="66">
        <f>INDEX(Projects[Systems Eng (wks)],378)</f>
        <v/>
      </c>
      <c r="P379" s="66">
        <f>INDEX(Projects[Software Eng (wks)],378)</f>
        <v/>
      </c>
      <c r="Q379" s="66">
        <f>INDEX(Projects[M&amp;E Installation (wks)],378)</f>
        <v/>
      </c>
      <c r="R379" s="66">
        <f>INDEX(Projects[Commissioning (wks)],378)</f>
        <v/>
      </c>
      <c r="S379" s="66">
        <f>INDEX(Projects[Total Timeline (wks)],378)</f>
        <v/>
      </c>
      <c r="T379" s="66">
        <f>INDEX(Projects[Currency],378)&amp;""</f>
        <v/>
      </c>
      <c r="U379" s="67">
        <f>INDEX(Projects[Value (M)],378)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INDEX(Projects[Automation Equipment],378)&amp;""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IF(AND(A379&lt;&gt;"",OR('Smart Search'!$L$5="",'Smart Search'!$L$5="All",TRIM(BZ379)=TRIM('Smart Search'!$L$5)),OR(TRIM('Smart Search'!$L$6)="",TRIM('Smart Search'!$L$6)="All",ISNUMBER(SEARCH(SUBSTITUTE(SUBSTITUTE(SUBSTITUTE(TRIM('Smart Search'!$L$6),"~","~~"),"*","~*"),"?","~?"),CA379))),OR('Smart Search'!$L$7="",AND(CB379&lt;&gt;0,CB379='Smart Search'!$L$7)),OR('Smart Search'!$L$8="",'Smart Search'!$L$8="All",TRIM(CC379)=TRIM('Smart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IF(A379="","",N(INDEX(Projects[Mech Inst],378)))</f>
        <v/>
      </c>
      <c r="BK379" s="5">
        <f>IF(A379="","",N(INDEX(Projects[Elec Inst],378)))</f>
        <v/>
      </c>
      <c r="BL379" s="5">
        <f>IF(A379="","",N(INDEX(Projects[Project Management],378)))</f>
        <v/>
      </c>
      <c r="BM379" s="5">
        <f>IF(A379="","",N(INDEX(Projects[Systems Eng],378)))</f>
        <v/>
      </c>
      <c r="BN379" s="5">
        <f>IF(A379="","",N(INDEX(Projects[Mechanical Eng],378)))</f>
        <v/>
      </c>
      <c r="BO379" s="5">
        <f>IF(A379="","",N(INDEX(Projects[Structural Engineering],378)))</f>
        <v/>
      </c>
      <c r="BP379" s="5">
        <f>IF(A379="","",N(INDEX(Projects[Site Sup],378)))</f>
        <v/>
      </c>
      <c r="BQ379" s="5">
        <f>IF(A379="","",N(INDEX(Projects[Controls Commissioning],378)))</f>
        <v/>
      </c>
      <c r="BR379" s="5">
        <f>IF(A379="","",N(INDEX(Projects[Systems Commissioning],378)))</f>
        <v/>
      </c>
      <c r="BS379" s="5">
        <f>IF(A379="","",N(INDEX(Projects[Service Commissioning],378)))</f>
        <v/>
      </c>
      <c r="BT379" s="5">
        <f>IF(A379="","",N(INDEX(Projects[Controls Eng],378)))</f>
        <v/>
      </c>
      <c r="BU379" s="5">
        <f>IF(A379="","",N(INDEX(Projects[Controls Purchase],378)))</f>
        <v/>
      </c>
      <c r="BV379" s="5">
        <f>IF(A379="","",N(INDEX(Projects[Software Eng],378)))</f>
        <v/>
      </c>
      <c r="BW379" s="5">
        <f>IF(A379="","",N(INDEX(Projects[Misc],378)))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  <c r="BZ379" s="5">
        <f>INDEX(Projects[Solution Type],378)&amp;""</f>
        <v/>
      </c>
      <c r="CA379" s="5">
        <f>INDEX(Projects[Client / Region],378)&amp;""</f>
        <v/>
      </c>
      <c r="CB379" s="5">
        <f>INDEX(Projects[Year],378)</f>
        <v/>
      </c>
      <c r="CC379" s="5">
        <f>INDEX(Projects[Won?],378)&amp;""</f>
        <v/>
      </c>
      <c r="CD379" s="5">
        <f>INDEX(Projects[Value (USD M)],378)</f>
        <v/>
      </c>
      <c r="CE379" s="5">
        <f>INDEX(Projects[MH Data Status],378)&amp;""</f>
        <v/>
      </c>
    </row>
    <row r="380" ht="15" customHeight="1" s="74">
      <c r="A380" s="66">
        <f>INDEX(Projects[Project ID *],379)&amp;""</f>
        <v/>
      </c>
      <c r="B380" s="66">
        <f>INDEX(Projects[Project Name *],379)&amp;""</f>
        <v/>
      </c>
      <c r="C380" s="66">
        <f>INDEX(Projects[MS Shuttles],379)</f>
        <v/>
      </c>
      <c r="D380" s="66">
        <f>INDEX(Projects[MS Tote Locations],379)</f>
        <v/>
      </c>
      <c r="E380" s="66">
        <f>INDEX(Projects[AS Robots],379)</f>
        <v/>
      </c>
      <c r="F380" s="66">
        <f>INDEX(Projects[AS Tote Locations],379)</f>
        <v/>
      </c>
      <c r="G380" s="66">
        <f>INDEX(Projects[PS Shuttles],379)</f>
        <v/>
      </c>
      <c r="H380" s="66">
        <f>INDEX(Projects[PS Pallet Locations],379)</f>
        <v/>
      </c>
      <c r="I380" s="66">
        <f>INDEX(Projects[SRM Cranes],379)</f>
        <v/>
      </c>
      <c r="J380" s="66">
        <f>INDEX(Projects[SRM Pallet Locations],379)</f>
        <v/>
      </c>
      <c r="K380" s="66">
        <f>INDEX(Projects[Case Conv (m)],379)</f>
        <v/>
      </c>
      <c r="L380" s="66">
        <f>INDEX(Projects[Pallet Conv (m)],379)</f>
        <v/>
      </c>
      <c r="M380" s="66">
        <f>INDEX(Projects[Mech Eng (wks)],379)</f>
        <v/>
      </c>
      <c r="N380" s="66">
        <f>INDEX(Projects[Controls Eng (wks)],379)</f>
        <v/>
      </c>
      <c r="O380" s="66">
        <f>INDEX(Projects[Systems Eng (wks)],379)</f>
        <v/>
      </c>
      <c r="P380" s="66">
        <f>INDEX(Projects[Software Eng (wks)],379)</f>
        <v/>
      </c>
      <c r="Q380" s="66">
        <f>INDEX(Projects[M&amp;E Installation (wks)],379)</f>
        <v/>
      </c>
      <c r="R380" s="66">
        <f>INDEX(Projects[Commissioning (wks)],379)</f>
        <v/>
      </c>
      <c r="S380" s="66">
        <f>INDEX(Projects[Total Timeline (wks)],379)</f>
        <v/>
      </c>
      <c r="T380" s="66">
        <f>INDEX(Projects[Currency],379)&amp;""</f>
        <v/>
      </c>
      <c r="U380" s="67">
        <f>INDEX(Projects[Value (M)],379)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INDEX(Projects[Automation Equipment],379)&amp;""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IF(AND(A380&lt;&gt;"",OR('Smart Search'!$L$5="",'Smart Search'!$L$5="All",TRIM(BZ380)=TRIM('Smart Search'!$L$5)),OR(TRIM('Smart Search'!$L$6)="",TRIM('Smart Search'!$L$6)="All",ISNUMBER(SEARCH(SUBSTITUTE(SUBSTITUTE(SUBSTITUTE(TRIM('Smart Search'!$L$6),"~","~~"),"*","~*"),"?","~?"),CA380))),OR('Smart Search'!$L$7="",AND(CB380&lt;&gt;0,CB380='Smart Search'!$L$7)),OR('Smart Search'!$L$8="",'Smart Search'!$L$8="All",TRIM(CC380)=TRIM('Smart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IF(A380="","",N(INDEX(Projects[Mech Inst],379)))</f>
        <v/>
      </c>
      <c r="BK380" s="5">
        <f>IF(A380="","",N(INDEX(Projects[Elec Inst],379)))</f>
        <v/>
      </c>
      <c r="BL380" s="5">
        <f>IF(A380="","",N(INDEX(Projects[Project Management],379)))</f>
        <v/>
      </c>
      <c r="BM380" s="5">
        <f>IF(A380="","",N(INDEX(Projects[Systems Eng],379)))</f>
        <v/>
      </c>
      <c r="BN380" s="5">
        <f>IF(A380="","",N(INDEX(Projects[Mechanical Eng],379)))</f>
        <v/>
      </c>
      <c r="BO380" s="5">
        <f>IF(A380="","",N(INDEX(Projects[Structural Engineering],379)))</f>
        <v/>
      </c>
      <c r="BP380" s="5">
        <f>IF(A380="","",N(INDEX(Projects[Site Sup],379)))</f>
        <v/>
      </c>
      <c r="BQ380" s="5">
        <f>IF(A380="","",N(INDEX(Projects[Controls Commissioning],379)))</f>
        <v/>
      </c>
      <c r="BR380" s="5">
        <f>IF(A380="","",N(INDEX(Projects[Systems Commissioning],379)))</f>
        <v/>
      </c>
      <c r="BS380" s="5">
        <f>IF(A380="","",N(INDEX(Projects[Service Commissioning],379)))</f>
        <v/>
      </c>
      <c r="BT380" s="5">
        <f>IF(A380="","",N(INDEX(Projects[Controls Eng],379)))</f>
        <v/>
      </c>
      <c r="BU380" s="5">
        <f>IF(A380="","",N(INDEX(Projects[Controls Purchase],379)))</f>
        <v/>
      </c>
      <c r="BV380" s="5">
        <f>IF(A380="","",N(INDEX(Projects[Software Eng],379)))</f>
        <v/>
      </c>
      <c r="BW380" s="5">
        <f>IF(A380="","",N(INDEX(Projects[Misc],379)))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  <c r="BZ380" s="5">
        <f>INDEX(Projects[Solution Type],379)&amp;""</f>
        <v/>
      </c>
      <c r="CA380" s="5">
        <f>INDEX(Projects[Client / Region],379)&amp;""</f>
        <v/>
      </c>
      <c r="CB380" s="5">
        <f>INDEX(Projects[Year],379)</f>
        <v/>
      </c>
      <c r="CC380" s="5">
        <f>INDEX(Projects[Won?],379)&amp;""</f>
        <v/>
      </c>
      <c r="CD380" s="5">
        <f>INDEX(Projects[Value (USD M)],379)</f>
        <v/>
      </c>
      <c r="CE380" s="5">
        <f>INDEX(Projects[MH Data Status],379)&amp;""</f>
        <v/>
      </c>
    </row>
    <row r="381" ht="15" customHeight="1" s="74">
      <c r="A381" s="66">
        <f>INDEX(Projects[Project ID *],380)&amp;""</f>
        <v/>
      </c>
      <c r="B381" s="66">
        <f>INDEX(Projects[Project Name *],380)&amp;""</f>
        <v/>
      </c>
      <c r="C381" s="66">
        <f>INDEX(Projects[MS Shuttles],380)</f>
        <v/>
      </c>
      <c r="D381" s="66">
        <f>INDEX(Projects[MS Tote Locations],380)</f>
        <v/>
      </c>
      <c r="E381" s="66">
        <f>INDEX(Projects[AS Robots],380)</f>
        <v/>
      </c>
      <c r="F381" s="66">
        <f>INDEX(Projects[AS Tote Locations],380)</f>
        <v/>
      </c>
      <c r="G381" s="66">
        <f>INDEX(Projects[PS Shuttles],380)</f>
        <v/>
      </c>
      <c r="H381" s="66">
        <f>INDEX(Projects[PS Pallet Locations],380)</f>
        <v/>
      </c>
      <c r="I381" s="66">
        <f>INDEX(Projects[SRM Cranes],380)</f>
        <v/>
      </c>
      <c r="J381" s="66">
        <f>INDEX(Projects[SRM Pallet Locations],380)</f>
        <v/>
      </c>
      <c r="K381" s="66">
        <f>INDEX(Projects[Case Conv (m)],380)</f>
        <v/>
      </c>
      <c r="L381" s="66">
        <f>INDEX(Projects[Pallet Conv (m)],380)</f>
        <v/>
      </c>
      <c r="M381" s="66">
        <f>INDEX(Projects[Mech Eng (wks)],380)</f>
        <v/>
      </c>
      <c r="N381" s="66">
        <f>INDEX(Projects[Controls Eng (wks)],380)</f>
        <v/>
      </c>
      <c r="O381" s="66">
        <f>INDEX(Projects[Systems Eng (wks)],380)</f>
        <v/>
      </c>
      <c r="P381" s="66">
        <f>INDEX(Projects[Software Eng (wks)],380)</f>
        <v/>
      </c>
      <c r="Q381" s="66">
        <f>INDEX(Projects[M&amp;E Installation (wks)],380)</f>
        <v/>
      </c>
      <c r="R381" s="66">
        <f>INDEX(Projects[Commissioning (wks)],380)</f>
        <v/>
      </c>
      <c r="S381" s="66">
        <f>INDEX(Projects[Total Timeline (wks)],380)</f>
        <v/>
      </c>
      <c r="T381" s="66">
        <f>INDEX(Projects[Currency],380)&amp;""</f>
        <v/>
      </c>
      <c r="U381" s="67">
        <f>INDEX(Projects[Value (M)],380)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INDEX(Projects[Automation Equipment],380)&amp;""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IF(AND(A381&lt;&gt;"",OR('Smart Search'!$L$5="",'Smart Search'!$L$5="All",TRIM(BZ381)=TRIM('Smart Search'!$L$5)),OR(TRIM('Smart Search'!$L$6)="",TRIM('Smart Search'!$L$6)="All",ISNUMBER(SEARCH(SUBSTITUTE(SUBSTITUTE(SUBSTITUTE(TRIM('Smart Search'!$L$6),"~","~~"),"*","~*"),"?","~?"),CA381))),OR('Smart Search'!$L$7="",AND(CB381&lt;&gt;0,CB381='Smart Search'!$L$7)),OR('Smart Search'!$L$8="",'Smart Search'!$L$8="All",TRIM(CC381)=TRIM('Smart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IF(A381="","",N(INDEX(Projects[Mech Inst],380)))</f>
        <v/>
      </c>
      <c r="BK381" s="5">
        <f>IF(A381="","",N(INDEX(Projects[Elec Inst],380)))</f>
        <v/>
      </c>
      <c r="BL381" s="5">
        <f>IF(A381="","",N(INDEX(Projects[Project Management],380)))</f>
        <v/>
      </c>
      <c r="BM381" s="5">
        <f>IF(A381="","",N(INDEX(Projects[Systems Eng],380)))</f>
        <v/>
      </c>
      <c r="BN381" s="5">
        <f>IF(A381="","",N(INDEX(Projects[Mechanical Eng],380)))</f>
        <v/>
      </c>
      <c r="BO381" s="5">
        <f>IF(A381="","",N(INDEX(Projects[Structural Engineering],380)))</f>
        <v/>
      </c>
      <c r="BP381" s="5">
        <f>IF(A381="","",N(INDEX(Projects[Site Sup],380)))</f>
        <v/>
      </c>
      <c r="BQ381" s="5">
        <f>IF(A381="","",N(INDEX(Projects[Controls Commissioning],380)))</f>
        <v/>
      </c>
      <c r="BR381" s="5">
        <f>IF(A381="","",N(INDEX(Projects[Systems Commissioning],380)))</f>
        <v/>
      </c>
      <c r="BS381" s="5">
        <f>IF(A381="","",N(INDEX(Projects[Service Commissioning],380)))</f>
        <v/>
      </c>
      <c r="BT381" s="5">
        <f>IF(A381="","",N(INDEX(Projects[Controls Eng],380)))</f>
        <v/>
      </c>
      <c r="BU381" s="5">
        <f>IF(A381="","",N(INDEX(Projects[Controls Purchase],380)))</f>
        <v/>
      </c>
      <c r="BV381" s="5">
        <f>IF(A381="","",N(INDEX(Projects[Software Eng],380)))</f>
        <v/>
      </c>
      <c r="BW381" s="5">
        <f>IF(A381="","",N(INDEX(Projects[Misc],380)))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  <c r="BZ381" s="5">
        <f>INDEX(Projects[Solution Type],380)&amp;""</f>
        <v/>
      </c>
      <c r="CA381" s="5">
        <f>INDEX(Projects[Client / Region],380)&amp;""</f>
        <v/>
      </c>
      <c r="CB381" s="5">
        <f>INDEX(Projects[Year],380)</f>
        <v/>
      </c>
      <c r="CC381" s="5">
        <f>INDEX(Projects[Won?],380)&amp;""</f>
        <v/>
      </c>
      <c r="CD381" s="5">
        <f>INDEX(Projects[Value (USD M)],380)</f>
        <v/>
      </c>
      <c r="CE381" s="5">
        <f>INDEX(Projects[MH Data Status],380)&amp;""</f>
        <v/>
      </c>
    </row>
    <row r="382" ht="15" customHeight="1" s="74">
      <c r="A382" s="66">
        <f>INDEX(Projects[Project ID *],381)&amp;""</f>
        <v/>
      </c>
      <c r="B382" s="66">
        <f>INDEX(Projects[Project Name *],381)&amp;""</f>
        <v/>
      </c>
      <c r="C382" s="66">
        <f>INDEX(Projects[MS Shuttles],381)</f>
        <v/>
      </c>
      <c r="D382" s="66">
        <f>INDEX(Projects[MS Tote Locations],381)</f>
        <v/>
      </c>
      <c r="E382" s="66">
        <f>INDEX(Projects[AS Robots],381)</f>
        <v/>
      </c>
      <c r="F382" s="66">
        <f>INDEX(Projects[AS Tote Locations],381)</f>
        <v/>
      </c>
      <c r="G382" s="66">
        <f>INDEX(Projects[PS Shuttles],381)</f>
        <v/>
      </c>
      <c r="H382" s="66">
        <f>INDEX(Projects[PS Pallet Locations],381)</f>
        <v/>
      </c>
      <c r="I382" s="66">
        <f>INDEX(Projects[SRM Cranes],381)</f>
        <v/>
      </c>
      <c r="J382" s="66">
        <f>INDEX(Projects[SRM Pallet Locations],381)</f>
        <v/>
      </c>
      <c r="K382" s="66">
        <f>INDEX(Projects[Case Conv (m)],381)</f>
        <v/>
      </c>
      <c r="L382" s="66">
        <f>INDEX(Projects[Pallet Conv (m)],381)</f>
        <v/>
      </c>
      <c r="M382" s="66">
        <f>INDEX(Projects[Mech Eng (wks)],381)</f>
        <v/>
      </c>
      <c r="N382" s="66">
        <f>INDEX(Projects[Controls Eng (wks)],381)</f>
        <v/>
      </c>
      <c r="O382" s="66">
        <f>INDEX(Projects[Systems Eng (wks)],381)</f>
        <v/>
      </c>
      <c r="P382" s="66">
        <f>INDEX(Projects[Software Eng (wks)],381)</f>
        <v/>
      </c>
      <c r="Q382" s="66">
        <f>INDEX(Projects[M&amp;E Installation (wks)],381)</f>
        <v/>
      </c>
      <c r="R382" s="66">
        <f>INDEX(Projects[Commissioning (wks)],381)</f>
        <v/>
      </c>
      <c r="S382" s="66">
        <f>INDEX(Projects[Total Timeline (wks)],381)</f>
        <v/>
      </c>
      <c r="T382" s="66">
        <f>INDEX(Projects[Currency],381)&amp;""</f>
        <v/>
      </c>
      <c r="U382" s="67">
        <f>INDEX(Projects[Value (M)],381)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INDEX(Projects[Automation Equipment],381)&amp;""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IF(AND(A382&lt;&gt;"",OR('Smart Search'!$L$5="",'Smart Search'!$L$5="All",TRIM(BZ382)=TRIM('Smart Search'!$L$5)),OR(TRIM('Smart Search'!$L$6)="",TRIM('Smart Search'!$L$6)="All",ISNUMBER(SEARCH(SUBSTITUTE(SUBSTITUTE(SUBSTITUTE(TRIM('Smart Search'!$L$6),"~","~~"),"*","~*"),"?","~?"),CA382))),OR('Smart Search'!$L$7="",AND(CB382&lt;&gt;0,CB382='Smart Search'!$L$7)),OR('Smart Search'!$L$8="",'Smart Search'!$L$8="All",TRIM(CC382)=TRIM('Smart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IF(A382="","",N(INDEX(Projects[Mech Inst],381)))</f>
        <v/>
      </c>
      <c r="BK382" s="5">
        <f>IF(A382="","",N(INDEX(Projects[Elec Inst],381)))</f>
        <v/>
      </c>
      <c r="BL382" s="5">
        <f>IF(A382="","",N(INDEX(Projects[Project Management],381)))</f>
        <v/>
      </c>
      <c r="BM382" s="5">
        <f>IF(A382="","",N(INDEX(Projects[Systems Eng],381)))</f>
        <v/>
      </c>
      <c r="BN382" s="5">
        <f>IF(A382="","",N(INDEX(Projects[Mechanical Eng],381)))</f>
        <v/>
      </c>
      <c r="BO382" s="5">
        <f>IF(A382="","",N(INDEX(Projects[Structural Engineering],381)))</f>
        <v/>
      </c>
      <c r="BP382" s="5">
        <f>IF(A382="","",N(INDEX(Projects[Site Sup],381)))</f>
        <v/>
      </c>
      <c r="BQ382" s="5">
        <f>IF(A382="","",N(INDEX(Projects[Controls Commissioning],381)))</f>
        <v/>
      </c>
      <c r="BR382" s="5">
        <f>IF(A382="","",N(INDEX(Projects[Systems Commissioning],381)))</f>
        <v/>
      </c>
      <c r="BS382" s="5">
        <f>IF(A382="","",N(INDEX(Projects[Service Commissioning],381)))</f>
        <v/>
      </c>
      <c r="BT382" s="5">
        <f>IF(A382="","",N(INDEX(Projects[Controls Eng],381)))</f>
        <v/>
      </c>
      <c r="BU382" s="5">
        <f>IF(A382="","",N(INDEX(Projects[Controls Purchase],381)))</f>
        <v/>
      </c>
      <c r="BV382" s="5">
        <f>IF(A382="","",N(INDEX(Projects[Software Eng],381)))</f>
        <v/>
      </c>
      <c r="BW382" s="5">
        <f>IF(A382="","",N(INDEX(Projects[Misc],381)))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  <c r="BZ382" s="5">
        <f>INDEX(Projects[Solution Type],381)&amp;""</f>
        <v/>
      </c>
      <c r="CA382" s="5">
        <f>INDEX(Projects[Client / Region],381)&amp;""</f>
        <v/>
      </c>
      <c r="CB382" s="5">
        <f>INDEX(Projects[Year],381)</f>
        <v/>
      </c>
      <c r="CC382" s="5">
        <f>INDEX(Projects[Won?],381)&amp;""</f>
        <v/>
      </c>
      <c r="CD382" s="5">
        <f>INDEX(Projects[Value (USD M)],381)</f>
        <v/>
      </c>
      <c r="CE382" s="5">
        <f>INDEX(Projects[MH Data Status],381)&amp;""</f>
        <v/>
      </c>
    </row>
    <row r="383" ht="15" customHeight="1" s="74">
      <c r="A383" s="66">
        <f>INDEX(Projects[Project ID *],382)&amp;""</f>
        <v/>
      </c>
      <c r="B383" s="66">
        <f>INDEX(Projects[Project Name *],382)&amp;""</f>
        <v/>
      </c>
      <c r="C383" s="66">
        <f>INDEX(Projects[MS Shuttles],382)</f>
        <v/>
      </c>
      <c r="D383" s="66">
        <f>INDEX(Projects[MS Tote Locations],382)</f>
        <v/>
      </c>
      <c r="E383" s="66">
        <f>INDEX(Projects[AS Robots],382)</f>
        <v/>
      </c>
      <c r="F383" s="66">
        <f>INDEX(Projects[AS Tote Locations],382)</f>
        <v/>
      </c>
      <c r="G383" s="66">
        <f>INDEX(Projects[PS Shuttles],382)</f>
        <v/>
      </c>
      <c r="H383" s="66">
        <f>INDEX(Projects[PS Pallet Locations],382)</f>
        <v/>
      </c>
      <c r="I383" s="66">
        <f>INDEX(Projects[SRM Cranes],382)</f>
        <v/>
      </c>
      <c r="J383" s="66">
        <f>INDEX(Projects[SRM Pallet Locations],382)</f>
        <v/>
      </c>
      <c r="K383" s="66">
        <f>INDEX(Projects[Case Conv (m)],382)</f>
        <v/>
      </c>
      <c r="L383" s="66">
        <f>INDEX(Projects[Pallet Conv (m)],382)</f>
        <v/>
      </c>
      <c r="M383" s="66">
        <f>INDEX(Projects[Mech Eng (wks)],382)</f>
        <v/>
      </c>
      <c r="N383" s="66">
        <f>INDEX(Projects[Controls Eng (wks)],382)</f>
        <v/>
      </c>
      <c r="O383" s="66">
        <f>INDEX(Projects[Systems Eng (wks)],382)</f>
        <v/>
      </c>
      <c r="P383" s="66">
        <f>INDEX(Projects[Software Eng (wks)],382)</f>
        <v/>
      </c>
      <c r="Q383" s="66">
        <f>INDEX(Projects[M&amp;E Installation (wks)],382)</f>
        <v/>
      </c>
      <c r="R383" s="66">
        <f>INDEX(Projects[Commissioning (wks)],382)</f>
        <v/>
      </c>
      <c r="S383" s="66">
        <f>INDEX(Projects[Total Timeline (wks)],382)</f>
        <v/>
      </c>
      <c r="T383" s="66">
        <f>INDEX(Projects[Currency],382)&amp;""</f>
        <v/>
      </c>
      <c r="U383" s="67">
        <f>INDEX(Projects[Value (M)],382)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INDEX(Projects[Automation Equipment],382)&amp;""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IF(AND(A383&lt;&gt;"",OR('Smart Search'!$L$5="",'Smart Search'!$L$5="All",TRIM(BZ383)=TRIM('Smart Search'!$L$5)),OR(TRIM('Smart Search'!$L$6)="",TRIM('Smart Search'!$L$6)="All",ISNUMBER(SEARCH(SUBSTITUTE(SUBSTITUTE(SUBSTITUTE(TRIM('Smart Search'!$L$6),"~","~~"),"*","~*"),"?","~?"),CA383))),OR('Smart Search'!$L$7="",AND(CB383&lt;&gt;0,CB383='Smart Search'!$L$7)),OR('Smart Search'!$L$8="",'Smart Search'!$L$8="All",TRIM(CC383)=TRIM('Smart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IF(A383="","",N(INDEX(Projects[Mech Inst],382)))</f>
        <v/>
      </c>
      <c r="BK383" s="5">
        <f>IF(A383="","",N(INDEX(Projects[Elec Inst],382)))</f>
        <v/>
      </c>
      <c r="BL383" s="5">
        <f>IF(A383="","",N(INDEX(Projects[Project Management],382)))</f>
        <v/>
      </c>
      <c r="BM383" s="5">
        <f>IF(A383="","",N(INDEX(Projects[Systems Eng],382)))</f>
        <v/>
      </c>
      <c r="BN383" s="5">
        <f>IF(A383="","",N(INDEX(Projects[Mechanical Eng],382)))</f>
        <v/>
      </c>
      <c r="BO383" s="5">
        <f>IF(A383="","",N(INDEX(Projects[Structural Engineering],382)))</f>
        <v/>
      </c>
      <c r="BP383" s="5">
        <f>IF(A383="","",N(INDEX(Projects[Site Sup],382)))</f>
        <v/>
      </c>
      <c r="BQ383" s="5">
        <f>IF(A383="","",N(INDEX(Projects[Controls Commissioning],382)))</f>
        <v/>
      </c>
      <c r="BR383" s="5">
        <f>IF(A383="","",N(INDEX(Projects[Systems Commissioning],382)))</f>
        <v/>
      </c>
      <c r="BS383" s="5">
        <f>IF(A383="","",N(INDEX(Projects[Service Commissioning],382)))</f>
        <v/>
      </c>
      <c r="BT383" s="5">
        <f>IF(A383="","",N(INDEX(Projects[Controls Eng],382)))</f>
        <v/>
      </c>
      <c r="BU383" s="5">
        <f>IF(A383="","",N(INDEX(Projects[Controls Purchase],382)))</f>
        <v/>
      </c>
      <c r="BV383" s="5">
        <f>IF(A383="","",N(INDEX(Projects[Software Eng],382)))</f>
        <v/>
      </c>
      <c r="BW383" s="5">
        <f>IF(A383="","",N(INDEX(Projects[Misc],382)))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  <c r="BZ383" s="5">
        <f>INDEX(Projects[Solution Type],382)&amp;""</f>
        <v/>
      </c>
      <c r="CA383" s="5">
        <f>INDEX(Projects[Client / Region],382)&amp;""</f>
        <v/>
      </c>
      <c r="CB383" s="5">
        <f>INDEX(Projects[Year],382)</f>
        <v/>
      </c>
      <c r="CC383" s="5">
        <f>INDEX(Projects[Won?],382)&amp;""</f>
        <v/>
      </c>
      <c r="CD383" s="5">
        <f>INDEX(Projects[Value (USD M)],382)</f>
        <v/>
      </c>
      <c r="CE383" s="5">
        <f>INDEX(Projects[MH Data Status],382)&amp;""</f>
        <v/>
      </c>
    </row>
    <row r="384" ht="15" customHeight="1" s="74">
      <c r="A384" s="66">
        <f>INDEX(Projects[Project ID *],383)&amp;""</f>
        <v/>
      </c>
      <c r="B384" s="66">
        <f>INDEX(Projects[Project Name *],383)&amp;""</f>
        <v/>
      </c>
      <c r="C384" s="66">
        <f>INDEX(Projects[MS Shuttles],383)</f>
        <v/>
      </c>
      <c r="D384" s="66">
        <f>INDEX(Projects[MS Tote Locations],383)</f>
        <v/>
      </c>
      <c r="E384" s="66">
        <f>INDEX(Projects[AS Robots],383)</f>
        <v/>
      </c>
      <c r="F384" s="66">
        <f>INDEX(Projects[AS Tote Locations],383)</f>
        <v/>
      </c>
      <c r="G384" s="66">
        <f>INDEX(Projects[PS Shuttles],383)</f>
        <v/>
      </c>
      <c r="H384" s="66">
        <f>INDEX(Projects[PS Pallet Locations],383)</f>
        <v/>
      </c>
      <c r="I384" s="66">
        <f>INDEX(Projects[SRM Cranes],383)</f>
        <v/>
      </c>
      <c r="J384" s="66">
        <f>INDEX(Projects[SRM Pallet Locations],383)</f>
        <v/>
      </c>
      <c r="K384" s="66">
        <f>INDEX(Projects[Case Conv (m)],383)</f>
        <v/>
      </c>
      <c r="L384" s="66">
        <f>INDEX(Projects[Pallet Conv (m)],383)</f>
        <v/>
      </c>
      <c r="M384" s="66">
        <f>INDEX(Projects[Mech Eng (wks)],383)</f>
        <v/>
      </c>
      <c r="N384" s="66">
        <f>INDEX(Projects[Controls Eng (wks)],383)</f>
        <v/>
      </c>
      <c r="O384" s="66">
        <f>INDEX(Projects[Systems Eng (wks)],383)</f>
        <v/>
      </c>
      <c r="P384" s="66">
        <f>INDEX(Projects[Software Eng (wks)],383)</f>
        <v/>
      </c>
      <c r="Q384" s="66">
        <f>INDEX(Projects[M&amp;E Installation (wks)],383)</f>
        <v/>
      </c>
      <c r="R384" s="66">
        <f>INDEX(Projects[Commissioning (wks)],383)</f>
        <v/>
      </c>
      <c r="S384" s="66">
        <f>INDEX(Projects[Total Timeline (wks)],383)</f>
        <v/>
      </c>
      <c r="T384" s="66">
        <f>INDEX(Projects[Currency],383)&amp;""</f>
        <v/>
      </c>
      <c r="U384" s="67">
        <f>INDEX(Projects[Value (M)],383)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INDEX(Projects[Automation Equipment],383)&amp;""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IF(AND(A384&lt;&gt;"",OR('Smart Search'!$L$5="",'Smart Search'!$L$5="All",TRIM(BZ384)=TRIM('Smart Search'!$L$5)),OR(TRIM('Smart Search'!$L$6)="",TRIM('Smart Search'!$L$6)="All",ISNUMBER(SEARCH(SUBSTITUTE(SUBSTITUTE(SUBSTITUTE(TRIM('Smart Search'!$L$6),"~","~~"),"*","~*"),"?","~?"),CA384))),OR('Smart Search'!$L$7="",AND(CB384&lt;&gt;0,CB384='Smart Search'!$L$7)),OR('Smart Search'!$L$8="",'Smart Search'!$L$8="All",TRIM(CC384)=TRIM('Smart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IF(A384="","",N(INDEX(Projects[Mech Inst],383)))</f>
        <v/>
      </c>
      <c r="BK384" s="5">
        <f>IF(A384="","",N(INDEX(Projects[Elec Inst],383)))</f>
        <v/>
      </c>
      <c r="BL384" s="5">
        <f>IF(A384="","",N(INDEX(Projects[Project Management],383)))</f>
        <v/>
      </c>
      <c r="BM384" s="5">
        <f>IF(A384="","",N(INDEX(Projects[Systems Eng],383)))</f>
        <v/>
      </c>
      <c r="BN384" s="5">
        <f>IF(A384="","",N(INDEX(Projects[Mechanical Eng],383)))</f>
        <v/>
      </c>
      <c r="BO384" s="5">
        <f>IF(A384="","",N(INDEX(Projects[Structural Engineering],383)))</f>
        <v/>
      </c>
      <c r="BP384" s="5">
        <f>IF(A384="","",N(INDEX(Projects[Site Sup],383)))</f>
        <v/>
      </c>
      <c r="BQ384" s="5">
        <f>IF(A384="","",N(INDEX(Projects[Controls Commissioning],383)))</f>
        <v/>
      </c>
      <c r="BR384" s="5">
        <f>IF(A384="","",N(INDEX(Projects[Systems Commissioning],383)))</f>
        <v/>
      </c>
      <c r="BS384" s="5">
        <f>IF(A384="","",N(INDEX(Projects[Service Commissioning],383)))</f>
        <v/>
      </c>
      <c r="BT384" s="5">
        <f>IF(A384="","",N(INDEX(Projects[Controls Eng],383)))</f>
        <v/>
      </c>
      <c r="BU384" s="5">
        <f>IF(A384="","",N(INDEX(Projects[Controls Purchase],383)))</f>
        <v/>
      </c>
      <c r="BV384" s="5">
        <f>IF(A384="","",N(INDEX(Projects[Software Eng],383)))</f>
        <v/>
      </c>
      <c r="BW384" s="5">
        <f>IF(A384="","",N(INDEX(Projects[Misc],383)))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  <c r="BZ384" s="5">
        <f>INDEX(Projects[Solution Type],383)&amp;""</f>
        <v/>
      </c>
      <c r="CA384" s="5">
        <f>INDEX(Projects[Client / Region],383)&amp;""</f>
        <v/>
      </c>
      <c r="CB384" s="5">
        <f>INDEX(Projects[Year],383)</f>
        <v/>
      </c>
      <c r="CC384" s="5">
        <f>INDEX(Projects[Won?],383)&amp;""</f>
        <v/>
      </c>
      <c r="CD384" s="5">
        <f>INDEX(Projects[Value (USD M)],383)</f>
        <v/>
      </c>
      <c r="CE384" s="5">
        <f>INDEX(Projects[MH Data Status],383)&amp;""</f>
        <v/>
      </c>
    </row>
    <row r="385" ht="15" customHeight="1" s="74">
      <c r="A385" s="66">
        <f>INDEX(Projects[Project ID *],384)&amp;""</f>
        <v/>
      </c>
      <c r="B385" s="66">
        <f>INDEX(Projects[Project Name *],384)&amp;""</f>
        <v/>
      </c>
      <c r="C385" s="66">
        <f>INDEX(Projects[MS Shuttles],384)</f>
        <v/>
      </c>
      <c r="D385" s="66">
        <f>INDEX(Projects[MS Tote Locations],384)</f>
        <v/>
      </c>
      <c r="E385" s="66">
        <f>INDEX(Projects[AS Robots],384)</f>
        <v/>
      </c>
      <c r="F385" s="66">
        <f>INDEX(Projects[AS Tote Locations],384)</f>
        <v/>
      </c>
      <c r="G385" s="66">
        <f>INDEX(Projects[PS Shuttles],384)</f>
        <v/>
      </c>
      <c r="H385" s="66">
        <f>INDEX(Projects[PS Pallet Locations],384)</f>
        <v/>
      </c>
      <c r="I385" s="66">
        <f>INDEX(Projects[SRM Cranes],384)</f>
        <v/>
      </c>
      <c r="J385" s="66">
        <f>INDEX(Projects[SRM Pallet Locations],384)</f>
        <v/>
      </c>
      <c r="K385" s="66">
        <f>INDEX(Projects[Case Conv (m)],384)</f>
        <v/>
      </c>
      <c r="L385" s="66">
        <f>INDEX(Projects[Pallet Conv (m)],384)</f>
        <v/>
      </c>
      <c r="M385" s="66">
        <f>INDEX(Projects[Mech Eng (wks)],384)</f>
        <v/>
      </c>
      <c r="N385" s="66">
        <f>INDEX(Projects[Controls Eng (wks)],384)</f>
        <v/>
      </c>
      <c r="O385" s="66">
        <f>INDEX(Projects[Systems Eng (wks)],384)</f>
        <v/>
      </c>
      <c r="P385" s="66">
        <f>INDEX(Projects[Software Eng (wks)],384)</f>
        <v/>
      </c>
      <c r="Q385" s="66">
        <f>INDEX(Projects[M&amp;E Installation (wks)],384)</f>
        <v/>
      </c>
      <c r="R385" s="66">
        <f>INDEX(Projects[Commissioning (wks)],384)</f>
        <v/>
      </c>
      <c r="S385" s="66">
        <f>INDEX(Projects[Total Timeline (wks)],384)</f>
        <v/>
      </c>
      <c r="T385" s="66">
        <f>INDEX(Projects[Currency],384)&amp;""</f>
        <v/>
      </c>
      <c r="U385" s="67">
        <f>INDEX(Projects[Value (M)],384)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INDEX(Projects[Automation Equipment],384)&amp;""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IF(AND(A385&lt;&gt;"",OR('Smart Search'!$L$5="",'Smart Search'!$L$5="All",TRIM(BZ385)=TRIM('Smart Search'!$L$5)),OR(TRIM('Smart Search'!$L$6)="",TRIM('Smart Search'!$L$6)="All",ISNUMBER(SEARCH(SUBSTITUTE(SUBSTITUTE(SUBSTITUTE(TRIM('Smart Search'!$L$6),"~","~~"),"*","~*"),"?","~?"),CA385))),OR('Smart Search'!$L$7="",AND(CB385&lt;&gt;0,CB385='Smart Search'!$L$7)),OR('Smart Search'!$L$8="",'Smart Search'!$L$8="All",TRIM(CC385)=TRIM('Smart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IF(A385="","",N(INDEX(Projects[Mech Inst],384)))</f>
        <v/>
      </c>
      <c r="BK385" s="5">
        <f>IF(A385="","",N(INDEX(Projects[Elec Inst],384)))</f>
        <v/>
      </c>
      <c r="BL385" s="5">
        <f>IF(A385="","",N(INDEX(Projects[Project Management],384)))</f>
        <v/>
      </c>
      <c r="BM385" s="5">
        <f>IF(A385="","",N(INDEX(Projects[Systems Eng],384)))</f>
        <v/>
      </c>
      <c r="BN385" s="5">
        <f>IF(A385="","",N(INDEX(Projects[Mechanical Eng],384)))</f>
        <v/>
      </c>
      <c r="BO385" s="5">
        <f>IF(A385="","",N(INDEX(Projects[Structural Engineering],384)))</f>
        <v/>
      </c>
      <c r="BP385" s="5">
        <f>IF(A385="","",N(INDEX(Projects[Site Sup],384)))</f>
        <v/>
      </c>
      <c r="BQ385" s="5">
        <f>IF(A385="","",N(INDEX(Projects[Controls Commissioning],384)))</f>
        <v/>
      </c>
      <c r="BR385" s="5">
        <f>IF(A385="","",N(INDEX(Projects[Systems Commissioning],384)))</f>
        <v/>
      </c>
      <c r="BS385" s="5">
        <f>IF(A385="","",N(INDEX(Projects[Service Commissioning],384)))</f>
        <v/>
      </c>
      <c r="BT385" s="5">
        <f>IF(A385="","",N(INDEX(Projects[Controls Eng],384)))</f>
        <v/>
      </c>
      <c r="BU385" s="5">
        <f>IF(A385="","",N(INDEX(Projects[Controls Purchase],384)))</f>
        <v/>
      </c>
      <c r="BV385" s="5">
        <f>IF(A385="","",N(INDEX(Projects[Software Eng],384)))</f>
        <v/>
      </c>
      <c r="BW385" s="5">
        <f>IF(A385="","",N(INDEX(Projects[Misc],384)))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  <c r="BZ385" s="5">
        <f>INDEX(Projects[Solution Type],384)&amp;""</f>
        <v/>
      </c>
      <c r="CA385" s="5">
        <f>INDEX(Projects[Client / Region],384)&amp;""</f>
        <v/>
      </c>
      <c r="CB385" s="5">
        <f>INDEX(Projects[Year],384)</f>
        <v/>
      </c>
      <c r="CC385" s="5">
        <f>INDEX(Projects[Won?],384)&amp;""</f>
        <v/>
      </c>
      <c r="CD385" s="5">
        <f>INDEX(Projects[Value (USD M)],384)</f>
        <v/>
      </c>
      <c r="CE385" s="5">
        <f>INDEX(Projects[MH Data Status],384)&amp;""</f>
        <v/>
      </c>
    </row>
    <row r="386" ht="15" customHeight="1" s="74">
      <c r="A386" s="66">
        <f>INDEX(Projects[Project ID *],385)&amp;""</f>
        <v/>
      </c>
      <c r="B386" s="66">
        <f>INDEX(Projects[Project Name *],385)&amp;""</f>
        <v/>
      </c>
      <c r="C386" s="66">
        <f>INDEX(Projects[MS Shuttles],385)</f>
        <v/>
      </c>
      <c r="D386" s="66">
        <f>INDEX(Projects[MS Tote Locations],385)</f>
        <v/>
      </c>
      <c r="E386" s="66">
        <f>INDEX(Projects[AS Robots],385)</f>
        <v/>
      </c>
      <c r="F386" s="66">
        <f>INDEX(Projects[AS Tote Locations],385)</f>
        <v/>
      </c>
      <c r="G386" s="66">
        <f>INDEX(Projects[PS Shuttles],385)</f>
        <v/>
      </c>
      <c r="H386" s="66">
        <f>INDEX(Projects[PS Pallet Locations],385)</f>
        <v/>
      </c>
      <c r="I386" s="66">
        <f>INDEX(Projects[SRM Cranes],385)</f>
        <v/>
      </c>
      <c r="J386" s="66">
        <f>INDEX(Projects[SRM Pallet Locations],385)</f>
        <v/>
      </c>
      <c r="K386" s="66">
        <f>INDEX(Projects[Case Conv (m)],385)</f>
        <v/>
      </c>
      <c r="L386" s="66">
        <f>INDEX(Projects[Pallet Conv (m)],385)</f>
        <v/>
      </c>
      <c r="M386" s="66">
        <f>INDEX(Projects[Mech Eng (wks)],385)</f>
        <v/>
      </c>
      <c r="N386" s="66">
        <f>INDEX(Projects[Controls Eng (wks)],385)</f>
        <v/>
      </c>
      <c r="O386" s="66">
        <f>INDEX(Projects[Systems Eng (wks)],385)</f>
        <v/>
      </c>
      <c r="P386" s="66">
        <f>INDEX(Projects[Software Eng (wks)],385)</f>
        <v/>
      </c>
      <c r="Q386" s="66">
        <f>INDEX(Projects[M&amp;E Installation (wks)],385)</f>
        <v/>
      </c>
      <c r="R386" s="66">
        <f>INDEX(Projects[Commissioning (wks)],385)</f>
        <v/>
      </c>
      <c r="S386" s="66">
        <f>INDEX(Projects[Total Timeline (wks)],385)</f>
        <v/>
      </c>
      <c r="T386" s="66">
        <f>INDEX(Projects[Currency],385)&amp;""</f>
        <v/>
      </c>
      <c r="U386" s="67">
        <f>INDEX(Projects[Value (M)],385)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INDEX(Projects[Automation Equipment],385)&amp;""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IF(AND(A386&lt;&gt;"",OR('Smart Search'!$L$5="",'Smart Search'!$L$5="All",TRIM(BZ386)=TRIM('Smart Search'!$L$5)),OR(TRIM('Smart Search'!$L$6)="",TRIM('Smart Search'!$L$6)="All",ISNUMBER(SEARCH(SUBSTITUTE(SUBSTITUTE(SUBSTITUTE(TRIM('Smart Search'!$L$6),"~","~~"),"*","~*"),"?","~?"),CA386))),OR('Smart Search'!$L$7="",AND(CB386&lt;&gt;0,CB386='Smart Search'!$L$7)),OR('Smart Search'!$L$8="",'Smart Search'!$L$8="All",TRIM(CC386)=TRIM('Smart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IF(A386="","",N(INDEX(Projects[Mech Inst],385)))</f>
        <v/>
      </c>
      <c r="BK386" s="5">
        <f>IF(A386="","",N(INDEX(Projects[Elec Inst],385)))</f>
        <v/>
      </c>
      <c r="BL386" s="5">
        <f>IF(A386="","",N(INDEX(Projects[Project Management],385)))</f>
        <v/>
      </c>
      <c r="BM386" s="5">
        <f>IF(A386="","",N(INDEX(Projects[Systems Eng],385)))</f>
        <v/>
      </c>
      <c r="BN386" s="5">
        <f>IF(A386="","",N(INDEX(Projects[Mechanical Eng],385)))</f>
        <v/>
      </c>
      <c r="BO386" s="5">
        <f>IF(A386="","",N(INDEX(Projects[Structural Engineering],385)))</f>
        <v/>
      </c>
      <c r="BP386" s="5">
        <f>IF(A386="","",N(INDEX(Projects[Site Sup],385)))</f>
        <v/>
      </c>
      <c r="BQ386" s="5">
        <f>IF(A386="","",N(INDEX(Projects[Controls Commissioning],385)))</f>
        <v/>
      </c>
      <c r="BR386" s="5">
        <f>IF(A386="","",N(INDEX(Projects[Systems Commissioning],385)))</f>
        <v/>
      </c>
      <c r="BS386" s="5">
        <f>IF(A386="","",N(INDEX(Projects[Service Commissioning],385)))</f>
        <v/>
      </c>
      <c r="BT386" s="5">
        <f>IF(A386="","",N(INDEX(Projects[Controls Eng],385)))</f>
        <v/>
      </c>
      <c r="BU386" s="5">
        <f>IF(A386="","",N(INDEX(Projects[Controls Purchase],385)))</f>
        <v/>
      </c>
      <c r="BV386" s="5">
        <f>IF(A386="","",N(INDEX(Projects[Software Eng],385)))</f>
        <v/>
      </c>
      <c r="BW386" s="5">
        <f>IF(A386="","",N(INDEX(Projects[Misc],385)))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  <c r="BZ386" s="5">
        <f>INDEX(Projects[Solution Type],385)&amp;""</f>
        <v/>
      </c>
      <c r="CA386" s="5">
        <f>INDEX(Projects[Client / Region],385)&amp;""</f>
        <v/>
      </c>
      <c r="CB386" s="5">
        <f>INDEX(Projects[Year],385)</f>
        <v/>
      </c>
      <c r="CC386" s="5">
        <f>INDEX(Projects[Won?],385)&amp;""</f>
        <v/>
      </c>
      <c r="CD386" s="5">
        <f>INDEX(Projects[Value (USD M)],385)</f>
        <v/>
      </c>
      <c r="CE386" s="5">
        <f>INDEX(Projects[MH Data Status],385)&amp;""</f>
        <v/>
      </c>
    </row>
    <row r="387" ht="15" customHeight="1" s="74">
      <c r="A387" s="66">
        <f>INDEX(Projects[Project ID *],386)&amp;""</f>
        <v/>
      </c>
      <c r="B387" s="66">
        <f>INDEX(Projects[Project Name *],386)&amp;""</f>
        <v/>
      </c>
      <c r="C387" s="66">
        <f>INDEX(Projects[MS Shuttles],386)</f>
        <v/>
      </c>
      <c r="D387" s="66">
        <f>INDEX(Projects[MS Tote Locations],386)</f>
        <v/>
      </c>
      <c r="E387" s="66">
        <f>INDEX(Projects[AS Robots],386)</f>
        <v/>
      </c>
      <c r="F387" s="66">
        <f>INDEX(Projects[AS Tote Locations],386)</f>
        <v/>
      </c>
      <c r="G387" s="66">
        <f>INDEX(Projects[PS Shuttles],386)</f>
        <v/>
      </c>
      <c r="H387" s="66">
        <f>INDEX(Projects[PS Pallet Locations],386)</f>
        <v/>
      </c>
      <c r="I387" s="66">
        <f>INDEX(Projects[SRM Cranes],386)</f>
        <v/>
      </c>
      <c r="J387" s="66">
        <f>INDEX(Projects[SRM Pallet Locations],386)</f>
        <v/>
      </c>
      <c r="K387" s="66">
        <f>INDEX(Projects[Case Conv (m)],386)</f>
        <v/>
      </c>
      <c r="L387" s="66">
        <f>INDEX(Projects[Pallet Conv (m)],386)</f>
        <v/>
      </c>
      <c r="M387" s="66">
        <f>INDEX(Projects[Mech Eng (wks)],386)</f>
        <v/>
      </c>
      <c r="N387" s="66">
        <f>INDEX(Projects[Controls Eng (wks)],386)</f>
        <v/>
      </c>
      <c r="O387" s="66">
        <f>INDEX(Projects[Systems Eng (wks)],386)</f>
        <v/>
      </c>
      <c r="P387" s="66">
        <f>INDEX(Projects[Software Eng (wks)],386)</f>
        <v/>
      </c>
      <c r="Q387" s="66">
        <f>INDEX(Projects[M&amp;E Installation (wks)],386)</f>
        <v/>
      </c>
      <c r="R387" s="66">
        <f>INDEX(Projects[Commissioning (wks)],386)</f>
        <v/>
      </c>
      <c r="S387" s="66">
        <f>INDEX(Projects[Total Timeline (wks)],386)</f>
        <v/>
      </c>
      <c r="T387" s="66">
        <f>INDEX(Projects[Currency],386)&amp;""</f>
        <v/>
      </c>
      <c r="U387" s="67">
        <f>INDEX(Projects[Value (M)],386)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INDEX(Projects[Automation Equipment],386)&amp;""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IF(AND(A387&lt;&gt;"",OR('Smart Search'!$L$5="",'Smart Search'!$L$5="All",TRIM(BZ387)=TRIM('Smart Search'!$L$5)),OR(TRIM('Smart Search'!$L$6)="",TRIM('Smart Search'!$L$6)="All",ISNUMBER(SEARCH(SUBSTITUTE(SUBSTITUTE(SUBSTITUTE(TRIM('Smart Search'!$L$6),"~","~~"),"*","~*"),"?","~?"),CA387))),OR('Smart Search'!$L$7="",AND(CB387&lt;&gt;0,CB387='Smart Search'!$L$7)),OR('Smart Search'!$L$8="",'Smart Search'!$L$8="All",TRIM(CC387)=TRIM('Smart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IF(A387="","",N(INDEX(Projects[Mech Inst],386)))</f>
        <v/>
      </c>
      <c r="BK387" s="5">
        <f>IF(A387="","",N(INDEX(Projects[Elec Inst],386)))</f>
        <v/>
      </c>
      <c r="BL387" s="5">
        <f>IF(A387="","",N(INDEX(Projects[Project Management],386)))</f>
        <v/>
      </c>
      <c r="BM387" s="5">
        <f>IF(A387="","",N(INDEX(Projects[Systems Eng],386)))</f>
        <v/>
      </c>
      <c r="BN387" s="5">
        <f>IF(A387="","",N(INDEX(Projects[Mechanical Eng],386)))</f>
        <v/>
      </c>
      <c r="BO387" s="5">
        <f>IF(A387="","",N(INDEX(Projects[Structural Engineering],386)))</f>
        <v/>
      </c>
      <c r="BP387" s="5">
        <f>IF(A387="","",N(INDEX(Projects[Site Sup],386)))</f>
        <v/>
      </c>
      <c r="BQ387" s="5">
        <f>IF(A387="","",N(INDEX(Projects[Controls Commissioning],386)))</f>
        <v/>
      </c>
      <c r="BR387" s="5">
        <f>IF(A387="","",N(INDEX(Projects[Systems Commissioning],386)))</f>
        <v/>
      </c>
      <c r="BS387" s="5">
        <f>IF(A387="","",N(INDEX(Projects[Service Commissioning],386)))</f>
        <v/>
      </c>
      <c r="BT387" s="5">
        <f>IF(A387="","",N(INDEX(Projects[Controls Eng],386)))</f>
        <v/>
      </c>
      <c r="BU387" s="5">
        <f>IF(A387="","",N(INDEX(Projects[Controls Purchase],386)))</f>
        <v/>
      </c>
      <c r="BV387" s="5">
        <f>IF(A387="","",N(INDEX(Projects[Software Eng],386)))</f>
        <v/>
      </c>
      <c r="BW387" s="5">
        <f>IF(A387="","",N(INDEX(Projects[Misc],386)))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  <c r="BZ387" s="5">
        <f>INDEX(Projects[Solution Type],386)&amp;""</f>
        <v/>
      </c>
      <c r="CA387" s="5">
        <f>INDEX(Projects[Client / Region],386)&amp;""</f>
        <v/>
      </c>
      <c r="CB387" s="5">
        <f>INDEX(Projects[Year],386)</f>
        <v/>
      </c>
      <c r="CC387" s="5">
        <f>INDEX(Projects[Won?],386)&amp;""</f>
        <v/>
      </c>
      <c r="CD387" s="5">
        <f>INDEX(Projects[Value (USD M)],386)</f>
        <v/>
      </c>
      <c r="CE387" s="5">
        <f>INDEX(Projects[MH Data Status],386)&amp;""</f>
        <v/>
      </c>
    </row>
    <row r="388" ht="15" customHeight="1" s="74">
      <c r="A388" s="66">
        <f>INDEX(Projects[Project ID *],387)&amp;""</f>
        <v/>
      </c>
      <c r="B388" s="66">
        <f>INDEX(Projects[Project Name *],387)&amp;""</f>
        <v/>
      </c>
      <c r="C388" s="66">
        <f>INDEX(Projects[MS Shuttles],387)</f>
        <v/>
      </c>
      <c r="D388" s="66">
        <f>INDEX(Projects[MS Tote Locations],387)</f>
        <v/>
      </c>
      <c r="E388" s="66">
        <f>INDEX(Projects[AS Robots],387)</f>
        <v/>
      </c>
      <c r="F388" s="66">
        <f>INDEX(Projects[AS Tote Locations],387)</f>
        <v/>
      </c>
      <c r="G388" s="66">
        <f>INDEX(Projects[PS Shuttles],387)</f>
        <v/>
      </c>
      <c r="H388" s="66">
        <f>INDEX(Projects[PS Pallet Locations],387)</f>
        <v/>
      </c>
      <c r="I388" s="66">
        <f>INDEX(Projects[SRM Cranes],387)</f>
        <v/>
      </c>
      <c r="J388" s="66">
        <f>INDEX(Projects[SRM Pallet Locations],387)</f>
        <v/>
      </c>
      <c r="K388" s="66">
        <f>INDEX(Projects[Case Conv (m)],387)</f>
        <v/>
      </c>
      <c r="L388" s="66">
        <f>INDEX(Projects[Pallet Conv (m)],387)</f>
        <v/>
      </c>
      <c r="M388" s="66">
        <f>INDEX(Projects[Mech Eng (wks)],387)</f>
        <v/>
      </c>
      <c r="N388" s="66">
        <f>INDEX(Projects[Controls Eng (wks)],387)</f>
        <v/>
      </c>
      <c r="O388" s="66">
        <f>INDEX(Projects[Systems Eng (wks)],387)</f>
        <v/>
      </c>
      <c r="P388" s="66">
        <f>INDEX(Projects[Software Eng (wks)],387)</f>
        <v/>
      </c>
      <c r="Q388" s="66">
        <f>INDEX(Projects[M&amp;E Installation (wks)],387)</f>
        <v/>
      </c>
      <c r="R388" s="66">
        <f>INDEX(Projects[Commissioning (wks)],387)</f>
        <v/>
      </c>
      <c r="S388" s="66">
        <f>INDEX(Projects[Total Timeline (wks)],387)</f>
        <v/>
      </c>
      <c r="T388" s="66">
        <f>INDEX(Projects[Currency],387)&amp;""</f>
        <v/>
      </c>
      <c r="U388" s="67">
        <f>INDEX(Projects[Value (M)],387)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INDEX(Projects[Automation Equipment],387)&amp;""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IF(AND(A388&lt;&gt;"",OR('Smart Search'!$L$5="",'Smart Search'!$L$5="All",TRIM(BZ388)=TRIM('Smart Search'!$L$5)),OR(TRIM('Smart Search'!$L$6)="",TRIM('Smart Search'!$L$6)="All",ISNUMBER(SEARCH(SUBSTITUTE(SUBSTITUTE(SUBSTITUTE(TRIM('Smart Search'!$L$6),"~","~~"),"*","~*"),"?","~?"),CA388))),OR('Smart Search'!$L$7="",AND(CB388&lt;&gt;0,CB388='Smart Search'!$L$7)),OR('Smart Search'!$L$8="",'Smart Search'!$L$8="All",TRIM(CC388)=TRIM('Smart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IF(A388="","",N(INDEX(Projects[Mech Inst],387)))</f>
        <v/>
      </c>
      <c r="BK388" s="5">
        <f>IF(A388="","",N(INDEX(Projects[Elec Inst],387)))</f>
        <v/>
      </c>
      <c r="BL388" s="5">
        <f>IF(A388="","",N(INDEX(Projects[Project Management],387)))</f>
        <v/>
      </c>
      <c r="BM388" s="5">
        <f>IF(A388="","",N(INDEX(Projects[Systems Eng],387)))</f>
        <v/>
      </c>
      <c r="BN388" s="5">
        <f>IF(A388="","",N(INDEX(Projects[Mechanical Eng],387)))</f>
        <v/>
      </c>
      <c r="BO388" s="5">
        <f>IF(A388="","",N(INDEX(Projects[Structural Engineering],387)))</f>
        <v/>
      </c>
      <c r="BP388" s="5">
        <f>IF(A388="","",N(INDEX(Projects[Site Sup],387)))</f>
        <v/>
      </c>
      <c r="BQ388" s="5">
        <f>IF(A388="","",N(INDEX(Projects[Controls Commissioning],387)))</f>
        <v/>
      </c>
      <c r="BR388" s="5">
        <f>IF(A388="","",N(INDEX(Projects[Systems Commissioning],387)))</f>
        <v/>
      </c>
      <c r="BS388" s="5">
        <f>IF(A388="","",N(INDEX(Projects[Service Commissioning],387)))</f>
        <v/>
      </c>
      <c r="BT388" s="5">
        <f>IF(A388="","",N(INDEX(Projects[Controls Eng],387)))</f>
        <v/>
      </c>
      <c r="BU388" s="5">
        <f>IF(A388="","",N(INDEX(Projects[Controls Purchase],387)))</f>
        <v/>
      </c>
      <c r="BV388" s="5">
        <f>IF(A388="","",N(INDEX(Projects[Software Eng],387)))</f>
        <v/>
      </c>
      <c r="BW388" s="5">
        <f>IF(A388="","",N(INDEX(Projects[Misc],387)))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  <c r="BZ388" s="5">
        <f>INDEX(Projects[Solution Type],387)&amp;""</f>
        <v/>
      </c>
      <c r="CA388" s="5">
        <f>INDEX(Projects[Client / Region],387)&amp;""</f>
        <v/>
      </c>
      <c r="CB388" s="5">
        <f>INDEX(Projects[Year],387)</f>
        <v/>
      </c>
      <c r="CC388" s="5">
        <f>INDEX(Projects[Won?],387)&amp;""</f>
        <v/>
      </c>
      <c r="CD388" s="5">
        <f>INDEX(Projects[Value (USD M)],387)</f>
        <v/>
      </c>
      <c r="CE388" s="5">
        <f>INDEX(Projects[MH Data Status],387)&amp;""</f>
        <v/>
      </c>
    </row>
    <row r="389" ht="15" customHeight="1" s="74">
      <c r="A389" s="66">
        <f>INDEX(Projects[Project ID *],388)&amp;""</f>
        <v/>
      </c>
      <c r="B389" s="66">
        <f>INDEX(Projects[Project Name *],388)&amp;""</f>
        <v/>
      </c>
      <c r="C389" s="66">
        <f>INDEX(Projects[MS Shuttles],388)</f>
        <v/>
      </c>
      <c r="D389" s="66">
        <f>INDEX(Projects[MS Tote Locations],388)</f>
        <v/>
      </c>
      <c r="E389" s="66">
        <f>INDEX(Projects[AS Robots],388)</f>
        <v/>
      </c>
      <c r="F389" s="66">
        <f>INDEX(Projects[AS Tote Locations],388)</f>
        <v/>
      </c>
      <c r="G389" s="66">
        <f>INDEX(Projects[PS Shuttles],388)</f>
        <v/>
      </c>
      <c r="H389" s="66">
        <f>INDEX(Projects[PS Pallet Locations],388)</f>
        <v/>
      </c>
      <c r="I389" s="66">
        <f>INDEX(Projects[SRM Cranes],388)</f>
        <v/>
      </c>
      <c r="J389" s="66">
        <f>INDEX(Projects[SRM Pallet Locations],388)</f>
        <v/>
      </c>
      <c r="K389" s="66">
        <f>INDEX(Projects[Case Conv (m)],388)</f>
        <v/>
      </c>
      <c r="L389" s="66">
        <f>INDEX(Projects[Pallet Conv (m)],388)</f>
        <v/>
      </c>
      <c r="M389" s="66">
        <f>INDEX(Projects[Mech Eng (wks)],388)</f>
        <v/>
      </c>
      <c r="N389" s="66">
        <f>INDEX(Projects[Controls Eng (wks)],388)</f>
        <v/>
      </c>
      <c r="O389" s="66">
        <f>INDEX(Projects[Systems Eng (wks)],388)</f>
        <v/>
      </c>
      <c r="P389" s="66">
        <f>INDEX(Projects[Software Eng (wks)],388)</f>
        <v/>
      </c>
      <c r="Q389" s="66">
        <f>INDEX(Projects[M&amp;E Installation (wks)],388)</f>
        <v/>
      </c>
      <c r="R389" s="66">
        <f>INDEX(Projects[Commissioning (wks)],388)</f>
        <v/>
      </c>
      <c r="S389" s="66">
        <f>INDEX(Projects[Total Timeline (wks)],388)</f>
        <v/>
      </c>
      <c r="T389" s="66">
        <f>INDEX(Projects[Currency],388)&amp;""</f>
        <v/>
      </c>
      <c r="U389" s="67">
        <f>INDEX(Projects[Value (M)],388)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INDEX(Projects[Automation Equipment],388)&amp;""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IF(AND(A389&lt;&gt;"",OR('Smart Search'!$L$5="",'Smart Search'!$L$5="All",TRIM(BZ389)=TRIM('Smart Search'!$L$5)),OR(TRIM('Smart Search'!$L$6)="",TRIM('Smart Search'!$L$6)="All",ISNUMBER(SEARCH(SUBSTITUTE(SUBSTITUTE(SUBSTITUTE(TRIM('Smart Search'!$L$6),"~","~~"),"*","~*"),"?","~?"),CA389))),OR('Smart Search'!$L$7="",AND(CB389&lt;&gt;0,CB389='Smart Search'!$L$7)),OR('Smart Search'!$L$8="",'Smart Search'!$L$8="All",TRIM(CC389)=TRIM('Smart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IF(A389="","",N(INDEX(Projects[Mech Inst],388)))</f>
        <v/>
      </c>
      <c r="BK389" s="5">
        <f>IF(A389="","",N(INDEX(Projects[Elec Inst],388)))</f>
        <v/>
      </c>
      <c r="BL389" s="5">
        <f>IF(A389="","",N(INDEX(Projects[Project Management],388)))</f>
        <v/>
      </c>
      <c r="BM389" s="5">
        <f>IF(A389="","",N(INDEX(Projects[Systems Eng],388)))</f>
        <v/>
      </c>
      <c r="BN389" s="5">
        <f>IF(A389="","",N(INDEX(Projects[Mechanical Eng],388)))</f>
        <v/>
      </c>
      <c r="BO389" s="5">
        <f>IF(A389="","",N(INDEX(Projects[Structural Engineering],388)))</f>
        <v/>
      </c>
      <c r="BP389" s="5">
        <f>IF(A389="","",N(INDEX(Projects[Site Sup],388)))</f>
        <v/>
      </c>
      <c r="BQ389" s="5">
        <f>IF(A389="","",N(INDEX(Projects[Controls Commissioning],388)))</f>
        <v/>
      </c>
      <c r="BR389" s="5">
        <f>IF(A389="","",N(INDEX(Projects[Systems Commissioning],388)))</f>
        <v/>
      </c>
      <c r="BS389" s="5">
        <f>IF(A389="","",N(INDEX(Projects[Service Commissioning],388)))</f>
        <v/>
      </c>
      <c r="BT389" s="5">
        <f>IF(A389="","",N(INDEX(Projects[Controls Eng],388)))</f>
        <v/>
      </c>
      <c r="BU389" s="5">
        <f>IF(A389="","",N(INDEX(Projects[Controls Purchase],388)))</f>
        <v/>
      </c>
      <c r="BV389" s="5">
        <f>IF(A389="","",N(INDEX(Projects[Software Eng],388)))</f>
        <v/>
      </c>
      <c r="BW389" s="5">
        <f>IF(A389="","",N(INDEX(Projects[Misc],388)))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  <c r="BZ389" s="5">
        <f>INDEX(Projects[Solution Type],388)&amp;""</f>
        <v/>
      </c>
      <c r="CA389" s="5">
        <f>INDEX(Projects[Client / Region],388)&amp;""</f>
        <v/>
      </c>
      <c r="CB389" s="5">
        <f>INDEX(Projects[Year],388)</f>
        <v/>
      </c>
      <c r="CC389" s="5">
        <f>INDEX(Projects[Won?],388)&amp;""</f>
        <v/>
      </c>
      <c r="CD389" s="5">
        <f>INDEX(Projects[Value (USD M)],388)</f>
        <v/>
      </c>
      <c r="CE389" s="5">
        <f>INDEX(Projects[MH Data Status],388)&amp;""</f>
        <v/>
      </c>
    </row>
    <row r="390" ht="15" customHeight="1" s="74">
      <c r="A390" s="66">
        <f>INDEX(Projects[Project ID *],389)&amp;""</f>
        <v/>
      </c>
      <c r="B390" s="66">
        <f>INDEX(Projects[Project Name *],389)&amp;""</f>
        <v/>
      </c>
      <c r="C390" s="66">
        <f>INDEX(Projects[MS Shuttles],389)</f>
        <v/>
      </c>
      <c r="D390" s="66">
        <f>INDEX(Projects[MS Tote Locations],389)</f>
        <v/>
      </c>
      <c r="E390" s="66">
        <f>INDEX(Projects[AS Robots],389)</f>
        <v/>
      </c>
      <c r="F390" s="66">
        <f>INDEX(Projects[AS Tote Locations],389)</f>
        <v/>
      </c>
      <c r="G390" s="66">
        <f>INDEX(Projects[PS Shuttles],389)</f>
        <v/>
      </c>
      <c r="H390" s="66">
        <f>INDEX(Projects[PS Pallet Locations],389)</f>
        <v/>
      </c>
      <c r="I390" s="66">
        <f>INDEX(Projects[SRM Cranes],389)</f>
        <v/>
      </c>
      <c r="J390" s="66">
        <f>INDEX(Projects[SRM Pallet Locations],389)</f>
        <v/>
      </c>
      <c r="K390" s="66">
        <f>INDEX(Projects[Case Conv (m)],389)</f>
        <v/>
      </c>
      <c r="L390" s="66">
        <f>INDEX(Projects[Pallet Conv (m)],389)</f>
        <v/>
      </c>
      <c r="M390" s="66">
        <f>INDEX(Projects[Mech Eng (wks)],389)</f>
        <v/>
      </c>
      <c r="N390" s="66">
        <f>INDEX(Projects[Controls Eng (wks)],389)</f>
        <v/>
      </c>
      <c r="O390" s="66">
        <f>INDEX(Projects[Systems Eng (wks)],389)</f>
        <v/>
      </c>
      <c r="P390" s="66">
        <f>INDEX(Projects[Software Eng (wks)],389)</f>
        <v/>
      </c>
      <c r="Q390" s="66">
        <f>INDEX(Projects[M&amp;E Installation (wks)],389)</f>
        <v/>
      </c>
      <c r="R390" s="66">
        <f>INDEX(Projects[Commissioning (wks)],389)</f>
        <v/>
      </c>
      <c r="S390" s="66">
        <f>INDEX(Projects[Total Timeline (wks)],389)</f>
        <v/>
      </c>
      <c r="T390" s="66">
        <f>INDEX(Projects[Currency],389)&amp;""</f>
        <v/>
      </c>
      <c r="U390" s="67">
        <f>INDEX(Projects[Value (M)],389)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INDEX(Projects[Automation Equipment],389)&amp;""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IF(AND(A390&lt;&gt;"",OR('Smart Search'!$L$5="",'Smart Search'!$L$5="All",TRIM(BZ390)=TRIM('Smart Search'!$L$5)),OR(TRIM('Smart Search'!$L$6)="",TRIM('Smart Search'!$L$6)="All",ISNUMBER(SEARCH(SUBSTITUTE(SUBSTITUTE(SUBSTITUTE(TRIM('Smart Search'!$L$6),"~","~~"),"*","~*"),"?","~?"),CA390))),OR('Smart Search'!$L$7="",AND(CB390&lt;&gt;0,CB390='Smart Search'!$L$7)),OR('Smart Search'!$L$8="",'Smart Search'!$L$8="All",TRIM(CC390)=TRIM('Smart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IF(A390="","",N(INDEX(Projects[Mech Inst],389)))</f>
        <v/>
      </c>
      <c r="BK390" s="5">
        <f>IF(A390="","",N(INDEX(Projects[Elec Inst],389)))</f>
        <v/>
      </c>
      <c r="BL390" s="5">
        <f>IF(A390="","",N(INDEX(Projects[Project Management],389)))</f>
        <v/>
      </c>
      <c r="BM390" s="5">
        <f>IF(A390="","",N(INDEX(Projects[Systems Eng],389)))</f>
        <v/>
      </c>
      <c r="BN390" s="5">
        <f>IF(A390="","",N(INDEX(Projects[Mechanical Eng],389)))</f>
        <v/>
      </c>
      <c r="BO390" s="5">
        <f>IF(A390="","",N(INDEX(Projects[Structural Engineering],389)))</f>
        <v/>
      </c>
      <c r="BP390" s="5">
        <f>IF(A390="","",N(INDEX(Projects[Site Sup],389)))</f>
        <v/>
      </c>
      <c r="BQ390" s="5">
        <f>IF(A390="","",N(INDEX(Projects[Controls Commissioning],389)))</f>
        <v/>
      </c>
      <c r="BR390" s="5">
        <f>IF(A390="","",N(INDEX(Projects[Systems Commissioning],389)))</f>
        <v/>
      </c>
      <c r="BS390" s="5">
        <f>IF(A390="","",N(INDEX(Projects[Service Commissioning],389)))</f>
        <v/>
      </c>
      <c r="BT390" s="5">
        <f>IF(A390="","",N(INDEX(Projects[Controls Eng],389)))</f>
        <v/>
      </c>
      <c r="BU390" s="5">
        <f>IF(A390="","",N(INDEX(Projects[Controls Purchase],389)))</f>
        <v/>
      </c>
      <c r="BV390" s="5">
        <f>IF(A390="","",N(INDEX(Projects[Software Eng],389)))</f>
        <v/>
      </c>
      <c r="BW390" s="5">
        <f>IF(A390="","",N(INDEX(Projects[Misc],389)))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  <c r="BZ390" s="5">
        <f>INDEX(Projects[Solution Type],389)&amp;""</f>
        <v/>
      </c>
      <c r="CA390" s="5">
        <f>INDEX(Projects[Client / Region],389)&amp;""</f>
        <v/>
      </c>
      <c r="CB390" s="5">
        <f>INDEX(Projects[Year],389)</f>
        <v/>
      </c>
      <c r="CC390" s="5">
        <f>INDEX(Projects[Won?],389)&amp;""</f>
        <v/>
      </c>
      <c r="CD390" s="5">
        <f>INDEX(Projects[Value (USD M)],389)</f>
        <v/>
      </c>
      <c r="CE390" s="5">
        <f>INDEX(Projects[MH Data Status],389)&amp;""</f>
        <v/>
      </c>
    </row>
    <row r="391" ht="15" customHeight="1" s="74">
      <c r="A391" s="66">
        <f>INDEX(Projects[Project ID *],390)&amp;""</f>
        <v/>
      </c>
      <c r="B391" s="66">
        <f>INDEX(Projects[Project Name *],390)&amp;""</f>
        <v/>
      </c>
      <c r="C391" s="66">
        <f>INDEX(Projects[MS Shuttles],390)</f>
        <v/>
      </c>
      <c r="D391" s="66">
        <f>INDEX(Projects[MS Tote Locations],390)</f>
        <v/>
      </c>
      <c r="E391" s="66">
        <f>INDEX(Projects[AS Robots],390)</f>
        <v/>
      </c>
      <c r="F391" s="66">
        <f>INDEX(Projects[AS Tote Locations],390)</f>
        <v/>
      </c>
      <c r="G391" s="66">
        <f>INDEX(Projects[PS Shuttles],390)</f>
        <v/>
      </c>
      <c r="H391" s="66">
        <f>INDEX(Projects[PS Pallet Locations],390)</f>
        <v/>
      </c>
      <c r="I391" s="66">
        <f>INDEX(Projects[SRM Cranes],390)</f>
        <v/>
      </c>
      <c r="J391" s="66">
        <f>INDEX(Projects[SRM Pallet Locations],390)</f>
        <v/>
      </c>
      <c r="K391" s="66">
        <f>INDEX(Projects[Case Conv (m)],390)</f>
        <v/>
      </c>
      <c r="L391" s="66">
        <f>INDEX(Projects[Pallet Conv (m)],390)</f>
        <v/>
      </c>
      <c r="M391" s="66">
        <f>INDEX(Projects[Mech Eng (wks)],390)</f>
        <v/>
      </c>
      <c r="N391" s="66">
        <f>INDEX(Projects[Controls Eng (wks)],390)</f>
        <v/>
      </c>
      <c r="O391" s="66">
        <f>INDEX(Projects[Systems Eng (wks)],390)</f>
        <v/>
      </c>
      <c r="P391" s="66">
        <f>INDEX(Projects[Software Eng (wks)],390)</f>
        <v/>
      </c>
      <c r="Q391" s="66">
        <f>INDEX(Projects[M&amp;E Installation (wks)],390)</f>
        <v/>
      </c>
      <c r="R391" s="66">
        <f>INDEX(Projects[Commissioning (wks)],390)</f>
        <v/>
      </c>
      <c r="S391" s="66">
        <f>INDEX(Projects[Total Timeline (wks)],390)</f>
        <v/>
      </c>
      <c r="T391" s="66">
        <f>INDEX(Projects[Currency],390)&amp;""</f>
        <v/>
      </c>
      <c r="U391" s="67">
        <f>INDEX(Projects[Value (M)],390)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INDEX(Projects[Automation Equipment],390)&amp;""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IF(AND(A391&lt;&gt;"",OR('Smart Search'!$L$5="",'Smart Search'!$L$5="All",TRIM(BZ391)=TRIM('Smart Search'!$L$5)),OR(TRIM('Smart Search'!$L$6)="",TRIM('Smart Search'!$L$6)="All",ISNUMBER(SEARCH(SUBSTITUTE(SUBSTITUTE(SUBSTITUTE(TRIM('Smart Search'!$L$6),"~","~~"),"*","~*"),"?","~?"),CA391))),OR('Smart Search'!$L$7="",AND(CB391&lt;&gt;0,CB391='Smart Search'!$L$7)),OR('Smart Search'!$L$8="",'Smart Search'!$L$8="All",TRIM(CC391)=TRIM('Smart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IF(A391="","",N(INDEX(Projects[Mech Inst],390)))</f>
        <v/>
      </c>
      <c r="BK391" s="5">
        <f>IF(A391="","",N(INDEX(Projects[Elec Inst],390)))</f>
        <v/>
      </c>
      <c r="BL391" s="5">
        <f>IF(A391="","",N(INDEX(Projects[Project Management],390)))</f>
        <v/>
      </c>
      <c r="BM391" s="5">
        <f>IF(A391="","",N(INDEX(Projects[Systems Eng],390)))</f>
        <v/>
      </c>
      <c r="BN391" s="5">
        <f>IF(A391="","",N(INDEX(Projects[Mechanical Eng],390)))</f>
        <v/>
      </c>
      <c r="BO391" s="5">
        <f>IF(A391="","",N(INDEX(Projects[Structural Engineering],390)))</f>
        <v/>
      </c>
      <c r="BP391" s="5">
        <f>IF(A391="","",N(INDEX(Projects[Site Sup],390)))</f>
        <v/>
      </c>
      <c r="BQ391" s="5">
        <f>IF(A391="","",N(INDEX(Projects[Controls Commissioning],390)))</f>
        <v/>
      </c>
      <c r="BR391" s="5">
        <f>IF(A391="","",N(INDEX(Projects[Systems Commissioning],390)))</f>
        <v/>
      </c>
      <c r="BS391" s="5">
        <f>IF(A391="","",N(INDEX(Projects[Service Commissioning],390)))</f>
        <v/>
      </c>
      <c r="BT391" s="5">
        <f>IF(A391="","",N(INDEX(Projects[Controls Eng],390)))</f>
        <v/>
      </c>
      <c r="BU391" s="5">
        <f>IF(A391="","",N(INDEX(Projects[Controls Purchase],390)))</f>
        <v/>
      </c>
      <c r="BV391" s="5">
        <f>IF(A391="","",N(INDEX(Projects[Software Eng],390)))</f>
        <v/>
      </c>
      <c r="BW391" s="5">
        <f>IF(A391="","",N(INDEX(Projects[Misc],390)))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  <c r="BZ391" s="5">
        <f>INDEX(Projects[Solution Type],390)&amp;""</f>
        <v/>
      </c>
      <c r="CA391" s="5">
        <f>INDEX(Projects[Client / Region],390)&amp;""</f>
        <v/>
      </c>
      <c r="CB391" s="5">
        <f>INDEX(Projects[Year],390)</f>
        <v/>
      </c>
      <c r="CC391" s="5">
        <f>INDEX(Projects[Won?],390)&amp;""</f>
        <v/>
      </c>
      <c r="CD391" s="5">
        <f>INDEX(Projects[Value (USD M)],390)</f>
        <v/>
      </c>
      <c r="CE391" s="5">
        <f>INDEX(Projects[MH Data Status],390)&amp;""</f>
        <v/>
      </c>
    </row>
    <row r="392" ht="15" customHeight="1" s="74">
      <c r="A392" s="66">
        <f>INDEX(Projects[Project ID *],391)&amp;""</f>
        <v/>
      </c>
      <c r="B392" s="66">
        <f>INDEX(Projects[Project Name *],391)&amp;""</f>
        <v/>
      </c>
      <c r="C392" s="66">
        <f>INDEX(Projects[MS Shuttles],391)</f>
        <v/>
      </c>
      <c r="D392" s="66">
        <f>INDEX(Projects[MS Tote Locations],391)</f>
        <v/>
      </c>
      <c r="E392" s="66">
        <f>INDEX(Projects[AS Robots],391)</f>
        <v/>
      </c>
      <c r="F392" s="66">
        <f>INDEX(Projects[AS Tote Locations],391)</f>
        <v/>
      </c>
      <c r="G392" s="66">
        <f>INDEX(Projects[PS Shuttles],391)</f>
        <v/>
      </c>
      <c r="H392" s="66">
        <f>INDEX(Projects[PS Pallet Locations],391)</f>
        <v/>
      </c>
      <c r="I392" s="66">
        <f>INDEX(Projects[SRM Cranes],391)</f>
        <v/>
      </c>
      <c r="J392" s="66">
        <f>INDEX(Projects[SRM Pallet Locations],391)</f>
        <v/>
      </c>
      <c r="K392" s="66">
        <f>INDEX(Projects[Case Conv (m)],391)</f>
        <v/>
      </c>
      <c r="L392" s="66">
        <f>INDEX(Projects[Pallet Conv (m)],391)</f>
        <v/>
      </c>
      <c r="M392" s="66">
        <f>INDEX(Projects[Mech Eng (wks)],391)</f>
        <v/>
      </c>
      <c r="N392" s="66">
        <f>INDEX(Projects[Controls Eng (wks)],391)</f>
        <v/>
      </c>
      <c r="O392" s="66">
        <f>INDEX(Projects[Systems Eng (wks)],391)</f>
        <v/>
      </c>
      <c r="P392" s="66">
        <f>INDEX(Projects[Software Eng (wks)],391)</f>
        <v/>
      </c>
      <c r="Q392" s="66">
        <f>INDEX(Projects[M&amp;E Installation (wks)],391)</f>
        <v/>
      </c>
      <c r="R392" s="66">
        <f>INDEX(Projects[Commissioning (wks)],391)</f>
        <v/>
      </c>
      <c r="S392" s="66">
        <f>INDEX(Projects[Total Timeline (wks)],391)</f>
        <v/>
      </c>
      <c r="T392" s="66">
        <f>INDEX(Projects[Currency],391)&amp;""</f>
        <v/>
      </c>
      <c r="U392" s="67">
        <f>INDEX(Projects[Value (M)],391)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INDEX(Projects[Automation Equipment],391)&amp;""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IF(AND(A392&lt;&gt;"",OR('Smart Search'!$L$5="",'Smart Search'!$L$5="All",TRIM(BZ392)=TRIM('Smart Search'!$L$5)),OR(TRIM('Smart Search'!$L$6)="",TRIM('Smart Search'!$L$6)="All",ISNUMBER(SEARCH(SUBSTITUTE(SUBSTITUTE(SUBSTITUTE(TRIM('Smart Search'!$L$6),"~","~~"),"*","~*"),"?","~?"),CA392))),OR('Smart Search'!$L$7="",AND(CB392&lt;&gt;0,CB392='Smart Search'!$L$7)),OR('Smart Search'!$L$8="",'Smart Search'!$L$8="All",TRIM(CC392)=TRIM('Smart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IF(A392="","",N(INDEX(Projects[Mech Inst],391)))</f>
        <v/>
      </c>
      <c r="BK392" s="5">
        <f>IF(A392="","",N(INDEX(Projects[Elec Inst],391)))</f>
        <v/>
      </c>
      <c r="BL392" s="5">
        <f>IF(A392="","",N(INDEX(Projects[Project Management],391)))</f>
        <v/>
      </c>
      <c r="BM392" s="5">
        <f>IF(A392="","",N(INDEX(Projects[Systems Eng],391)))</f>
        <v/>
      </c>
      <c r="BN392" s="5">
        <f>IF(A392="","",N(INDEX(Projects[Mechanical Eng],391)))</f>
        <v/>
      </c>
      <c r="BO392" s="5">
        <f>IF(A392="","",N(INDEX(Projects[Structural Engineering],391)))</f>
        <v/>
      </c>
      <c r="BP392" s="5">
        <f>IF(A392="","",N(INDEX(Projects[Site Sup],391)))</f>
        <v/>
      </c>
      <c r="BQ392" s="5">
        <f>IF(A392="","",N(INDEX(Projects[Controls Commissioning],391)))</f>
        <v/>
      </c>
      <c r="BR392" s="5">
        <f>IF(A392="","",N(INDEX(Projects[Systems Commissioning],391)))</f>
        <v/>
      </c>
      <c r="BS392" s="5">
        <f>IF(A392="","",N(INDEX(Projects[Service Commissioning],391)))</f>
        <v/>
      </c>
      <c r="BT392" s="5">
        <f>IF(A392="","",N(INDEX(Projects[Controls Eng],391)))</f>
        <v/>
      </c>
      <c r="BU392" s="5">
        <f>IF(A392="","",N(INDEX(Projects[Controls Purchase],391)))</f>
        <v/>
      </c>
      <c r="BV392" s="5">
        <f>IF(A392="","",N(INDEX(Projects[Software Eng],391)))</f>
        <v/>
      </c>
      <c r="BW392" s="5">
        <f>IF(A392="","",N(INDEX(Projects[Misc],391)))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  <c r="BZ392" s="5">
        <f>INDEX(Projects[Solution Type],391)&amp;""</f>
        <v/>
      </c>
      <c r="CA392" s="5">
        <f>INDEX(Projects[Client / Region],391)&amp;""</f>
        <v/>
      </c>
      <c r="CB392" s="5">
        <f>INDEX(Projects[Year],391)</f>
        <v/>
      </c>
      <c r="CC392" s="5">
        <f>INDEX(Projects[Won?],391)&amp;""</f>
        <v/>
      </c>
      <c r="CD392" s="5">
        <f>INDEX(Projects[Value (USD M)],391)</f>
        <v/>
      </c>
      <c r="CE392" s="5">
        <f>INDEX(Projects[MH Data Status],391)&amp;""</f>
        <v/>
      </c>
    </row>
    <row r="393" ht="15" customHeight="1" s="74">
      <c r="A393" s="66">
        <f>INDEX(Projects[Project ID *],392)&amp;""</f>
        <v/>
      </c>
      <c r="B393" s="66">
        <f>INDEX(Projects[Project Name *],392)&amp;""</f>
        <v/>
      </c>
      <c r="C393" s="66">
        <f>INDEX(Projects[MS Shuttles],392)</f>
        <v/>
      </c>
      <c r="D393" s="66">
        <f>INDEX(Projects[MS Tote Locations],392)</f>
        <v/>
      </c>
      <c r="E393" s="66">
        <f>INDEX(Projects[AS Robots],392)</f>
        <v/>
      </c>
      <c r="F393" s="66">
        <f>INDEX(Projects[AS Tote Locations],392)</f>
        <v/>
      </c>
      <c r="G393" s="66">
        <f>INDEX(Projects[PS Shuttles],392)</f>
        <v/>
      </c>
      <c r="H393" s="66">
        <f>INDEX(Projects[PS Pallet Locations],392)</f>
        <v/>
      </c>
      <c r="I393" s="66">
        <f>INDEX(Projects[SRM Cranes],392)</f>
        <v/>
      </c>
      <c r="J393" s="66">
        <f>INDEX(Projects[SRM Pallet Locations],392)</f>
        <v/>
      </c>
      <c r="K393" s="66">
        <f>INDEX(Projects[Case Conv (m)],392)</f>
        <v/>
      </c>
      <c r="L393" s="66">
        <f>INDEX(Projects[Pallet Conv (m)],392)</f>
        <v/>
      </c>
      <c r="M393" s="66">
        <f>INDEX(Projects[Mech Eng (wks)],392)</f>
        <v/>
      </c>
      <c r="N393" s="66">
        <f>INDEX(Projects[Controls Eng (wks)],392)</f>
        <v/>
      </c>
      <c r="O393" s="66">
        <f>INDEX(Projects[Systems Eng (wks)],392)</f>
        <v/>
      </c>
      <c r="P393" s="66">
        <f>INDEX(Projects[Software Eng (wks)],392)</f>
        <v/>
      </c>
      <c r="Q393" s="66">
        <f>INDEX(Projects[M&amp;E Installation (wks)],392)</f>
        <v/>
      </c>
      <c r="R393" s="66">
        <f>INDEX(Projects[Commissioning (wks)],392)</f>
        <v/>
      </c>
      <c r="S393" s="66">
        <f>INDEX(Projects[Total Timeline (wks)],392)</f>
        <v/>
      </c>
      <c r="T393" s="66">
        <f>INDEX(Projects[Currency],392)&amp;""</f>
        <v/>
      </c>
      <c r="U393" s="67">
        <f>INDEX(Projects[Value (M)],392)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INDEX(Projects[Automation Equipment],392)&amp;""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IF(AND(A393&lt;&gt;"",OR('Smart Search'!$L$5="",'Smart Search'!$L$5="All",TRIM(BZ393)=TRIM('Smart Search'!$L$5)),OR(TRIM('Smart Search'!$L$6)="",TRIM('Smart Search'!$L$6)="All",ISNUMBER(SEARCH(SUBSTITUTE(SUBSTITUTE(SUBSTITUTE(TRIM('Smart Search'!$L$6),"~","~~"),"*","~*"),"?","~?"),CA393))),OR('Smart Search'!$L$7="",AND(CB393&lt;&gt;0,CB393='Smart Search'!$L$7)),OR('Smart Search'!$L$8="",'Smart Search'!$L$8="All",TRIM(CC393)=TRIM('Smart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IF(A393="","",N(INDEX(Projects[Mech Inst],392)))</f>
        <v/>
      </c>
      <c r="BK393" s="5">
        <f>IF(A393="","",N(INDEX(Projects[Elec Inst],392)))</f>
        <v/>
      </c>
      <c r="BL393" s="5">
        <f>IF(A393="","",N(INDEX(Projects[Project Management],392)))</f>
        <v/>
      </c>
      <c r="BM393" s="5">
        <f>IF(A393="","",N(INDEX(Projects[Systems Eng],392)))</f>
        <v/>
      </c>
      <c r="BN393" s="5">
        <f>IF(A393="","",N(INDEX(Projects[Mechanical Eng],392)))</f>
        <v/>
      </c>
      <c r="BO393" s="5">
        <f>IF(A393="","",N(INDEX(Projects[Structural Engineering],392)))</f>
        <v/>
      </c>
      <c r="BP393" s="5">
        <f>IF(A393="","",N(INDEX(Projects[Site Sup],392)))</f>
        <v/>
      </c>
      <c r="BQ393" s="5">
        <f>IF(A393="","",N(INDEX(Projects[Controls Commissioning],392)))</f>
        <v/>
      </c>
      <c r="BR393" s="5">
        <f>IF(A393="","",N(INDEX(Projects[Systems Commissioning],392)))</f>
        <v/>
      </c>
      <c r="BS393" s="5">
        <f>IF(A393="","",N(INDEX(Projects[Service Commissioning],392)))</f>
        <v/>
      </c>
      <c r="BT393" s="5">
        <f>IF(A393="","",N(INDEX(Projects[Controls Eng],392)))</f>
        <v/>
      </c>
      <c r="BU393" s="5">
        <f>IF(A393="","",N(INDEX(Projects[Controls Purchase],392)))</f>
        <v/>
      </c>
      <c r="BV393" s="5">
        <f>IF(A393="","",N(INDEX(Projects[Software Eng],392)))</f>
        <v/>
      </c>
      <c r="BW393" s="5">
        <f>IF(A393="","",N(INDEX(Projects[Misc],392)))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  <c r="BZ393" s="5">
        <f>INDEX(Projects[Solution Type],392)&amp;""</f>
        <v/>
      </c>
      <c r="CA393" s="5">
        <f>INDEX(Projects[Client / Region],392)&amp;""</f>
        <v/>
      </c>
      <c r="CB393" s="5">
        <f>INDEX(Projects[Year],392)</f>
        <v/>
      </c>
      <c r="CC393" s="5">
        <f>INDEX(Projects[Won?],392)&amp;""</f>
        <v/>
      </c>
      <c r="CD393" s="5">
        <f>INDEX(Projects[Value (USD M)],392)</f>
        <v/>
      </c>
      <c r="CE393" s="5">
        <f>INDEX(Projects[MH Data Status],392)&amp;""</f>
        <v/>
      </c>
    </row>
    <row r="394" ht="15" customHeight="1" s="74">
      <c r="A394" s="66">
        <f>INDEX(Projects[Project ID *],393)&amp;""</f>
        <v/>
      </c>
      <c r="B394" s="66">
        <f>INDEX(Projects[Project Name *],393)&amp;""</f>
        <v/>
      </c>
      <c r="C394" s="66">
        <f>INDEX(Projects[MS Shuttles],393)</f>
        <v/>
      </c>
      <c r="D394" s="66">
        <f>INDEX(Projects[MS Tote Locations],393)</f>
        <v/>
      </c>
      <c r="E394" s="66">
        <f>INDEX(Projects[AS Robots],393)</f>
        <v/>
      </c>
      <c r="F394" s="66">
        <f>INDEX(Projects[AS Tote Locations],393)</f>
        <v/>
      </c>
      <c r="G394" s="66">
        <f>INDEX(Projects[PS Shuttles],393)</f>
        <v/>
      </c>
      <c r="H394" s="66">
        <f>INDEX(Projects[PS Pallet Locations],393)</f>
        <v/>
      </c>
      <c r="I394" s="66">
        <f>INDEX(Projects[SRM Cranes],393)</f>
        <v/>
      </c>
      <c r="J394" s="66">
        <f>INDEX(Projects[SRM Pallet Locations],393)</f>
        <v/>
      </c>
      <c r="K394" s="66">
        <f>INDEX(Projects[Case Conv (m)],393)</f>
        <v/>
      </c>
      <c r="L394" s="66">
        <f>INDEX(Projects[Pallet Conv (m)],393)</f>
        <v/>
      </c>
      <c r="M394" s="66">
        <f>INDEX(Projects[Mech Eng (wks)],393)</f>
        <v/>
      </c>
      <c r="N394" s="66">
        <f>INDEX(Projects[Controls Eng (wks)],393)</f>
        <v/>
      </c>
      <c r="O394" s="66">
        <f>INDEX(Projects[Systems Eng (wks)],393)</f>
        <v/>
      </c>
      <c r="P394" s="66">
        <f>INDEX(Projects[Software Eng (wks)],393)</f>
        <v/>
      </c>
      <c r="Q394" s="66">
        <f>INDEX(Projects[M&amp;E Installation (wks)],393)</f>
        <v/>
      </c>
      <c r="R394" s="66">
        <f>INDEX(Projects[Commissioning (wks)],393)</f>
        <v/>
      </c>
      <c r="S394" s="66">
        <f>INDEX(Projects[Total Timeline (wks)],393)</f>
        <v/>
      </c>
      <c r="T394" s="66">
        <f>INDEX(Projects[Currency],393)&amp;""</f>
        <v/>
      </c>
      <c r="U394" s="67">
        <f>INDEX(Projects[Value (M)],393)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INDEX(Projects[Automation Equipment],393)&amp;""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IF(AND(A394&lt;&gt;"",OR('Smart Search'!$L$5="",'Smart Search'!$L$5="All",TRIM(BZ394)=TRIM('Smart Search'!$L$5)),OR(TRIM('Smart Search'!$L$6)="",TRIM('Smart Search'!$L$6)="All",ISNUMBER(SEARCH(SUBSTITUTE(SUBSTITUTE(SUBSTITUTE(TRIM('Smart Search'!$L$6),"~","~~"),"*","~*"),"?","~?"),CA394))),OR('Smart Search'!$L$7="",AND(CB394&lt;&gt;0,CB394='Smart Search'!$L$7)),OR('Smart Search'!$L$8="",'Smart Search'!$L$8="All",TRIM(CC394)=TRIM('Smart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IF(A394="","",N(INDEX(Projects[Mech Inst],393)))</f>
        <v/>
      </c>
      <c r="BK394" s="5">
        <f>IF(A394="","",N(INDEX(Projects[Elec Inst],393)))</f>
        <v/>
      </c>
      <c r="BL394" s="5">
        <f>IF(A394="","",N(INDEX(Projects[Project Management],393)))</f>
        <v/>
      </c>
      <c r="BM394" s="5">
        <f>IF(A394="","",N(INDEX(Projects[Systems Eng],393)))</f>
        <v/>
      </c>
      <c r="BN394" s="5">
        <f>IF(A394="","",N(INDEX(Projects[Mechanical Eng],393)))</f>
        <v/>
      </c>
      <c r="BO394" s="5">
        <f>IF(A394="","",N(INDEX(Projects[Structural Engineering],393)))</f>
        <v/>
      </c>
      <c r="BP394" s="5">
        <f>IF(A394="","",N(INDEX(Projects[Site Sup],393)))</f>
        <v/>
      </c>
      <c r="BQ394" s="5">
        <f>IF(A394="","",N(INDEX(Projects[Controls Commissioning],393)))</f>
        <v/>
      </c>
      <c r="BR394" s="5">
        <f>IF(A394="","",N(INDEX(Projects[Systems Commissioning],393)))</f>
        <v/>
      </c>
      <c r="BS394" s="5">
        <f>IF(A394="","",N(INDEX(Projects[Service Commissioning],393)))</f>
        <v/>
      </c>
      <c r="BT394" s="5">
        <f>IF(A394="","",N(INDEX(Projects[Controls Eng],393)))</f>
        <v/>
      </c>
      <c r="BU394" s="5">
        <f>IF(A394="","",N(INDEX(Projects[Controls Purchase],393)))</f>
        <v/>
      </c>
      <c r="BV394" s="5">
        <f>IF(A394="","",N(INDEX(Projects[Software Eng],393)))</f>
        <v/>
      </c>
      <c r="BW394" s="5">
        <f>IF(A394="","",N(INDEX(Projects[Misc],393)))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  <c r="BZ394" s="5">
        <f>INDEX(Projects[Solution Type],393)&amp;""</f>
        <v/>
      </c>
      <c r="CA394" s="5">
        <f>INDEX(Projects[Client / Region],393)&amp;""</f>
        <v/>
      </c>
      <c r="CB394" s="5">
        <f>INDEX(Projects[Year],393)</f>
        <v/>
      </c>
      <c r="CC394" s="5">
        <f>INDEX(Projects[Won?],393)&amp;""</f>
        <v/>
      </c>
      <c r="CD394" s="5">
        <f>INDEX(Projects[Value (USD M)],393)</f>
        <v/>
      </c>
      <c r="CE394" s="5">
        <f>INDEX(Projects[MH Data Status],393)&amp;""</f>
        <v/>
      </c>
    </row>
    <row r="395" ht="15" customHeight="1" s="74">
      <c r="A395" s="66">
        <f>INDEX(Projects[Project ID *],394)&amp;""</f>
        <v/>
      </c>
      <c r="B395" s="66">
        <f>INDEX(Projects[Project Name *],394)&amp;""</f>
        <v/>
      </c>
      <c r="C395" s="66">
        <f>INDEX(Projects[MS Shuttles],394)</f>
        <v/>
      </c>
      <c r="D395" s="66">
        <f>INDEX(Projects[MS Tote Locations],394)</f>
        <v/>
      </c>
      <c r="E395" s="66">
        <f>INDEX(Projects[AS Robots],394)</f>
        <v/>
      </c>
      <c r="F395" s="66">
        <f>INDEX(Projects[AS Tote Locations],394)</f>
        <v/>
      </c>
      <c r="G395" s="66">
        <f>INDEX(Projects[PS Shuttles],394)</f>
        <v/>
      </c>
      <c r="H395" s="66">
        <f>INDEX(Projects[PS Pallet Locations],394)</f>
        <v/>
      </c>
      <c r="I395" s="66">
        <f>INDEX(Projects[SRM Cranes],394)</f>
        <v/>
      </c>
      <c r="J395" s="66">
        <f>INDEX(Projects[SRM Pallet Locations],394)</f>
        <v/>
      </c>
      <c r="K395" s="66">
        <f>INDEX(Projects[Case Conv (m)],394)</f>
        <v/>
      </c>
      <c r="L395" s="66">
        <f>INDEX(Projects[Pallet Conv (m)],394)</f>
        <v/>
      </c>
      <c r="M395" s="66">
        <f>INDEX(Projects[Mech Eng (wks)],394)</f>
        <v/>
      </c>
      <c r="N395" s="66">
        <f>INDEX(Projects[Controls Eng (wks)],394)</f>
        <v/>
      </c>
      <c r="O395" s="66">
        <f>INDEX(Projects[Systems Eng (wks)],394)</f>
        <v/>
      </c>
      <c r="P395" s="66">
        <f>INDEX(Projects[Software Eng (wks)],394)</f>
        <v/>
      </c>
      <c r="Q395" s="66">
        <f>INDEX(Projects[M&amp;E Installation (wks)],394)</f>
        <v/>
      </c>
      <c r="R395" s="66">
        <f>INDEX(Projects[Commissioning (wks)],394)</f>
        <v/>
      </c>
      <c r="S395" s="66">
        <f>INDEX(Projects[Total Timeline (wks)],394)</f>
        <v/>
      </c>
      <c r="T395" s="66">
        <f>INDEX(Projects[Currency],394)&amp;""</f>
        <v/>
      </c>
      <c r="U395" s="67">
        <f>INDEX(Projects[Value (M)],394)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INDEX(Projects[Automation Equipment],394)&amp;""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IF(AND(A395&lt;&gt;"",OR('Smart Search'!$L$5="",'Smart Search'!$L$5="All",TRIM(BZ395)=TRIM('Smart Search'!$L$5)),OR(TRIM('Smart Search'!$L$6)="",TRIM('Smart Search'!$L$6)="All",ISNUMBER(SEARCH(SUBSTITUTE(SUBSTITUTE(SUBSTITUTE(TRIM('Smart Search'!$L$6),"~","~~"),"*","~*"),"?","~?"),CA395))),OR('Smart Search'!$L$7="",AND(CB395&lt;&gt;0,CB395='Smart Search'!$L$7)),OR('Smart Search'!$L$8="",'Smart Search'!$L$8="All",TRIM(CC395)=TRIM('Smart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IF(A395="","",N(INDEX(Projects[Mech Inst],394)))</f>
        <v/>
      </c>
      <c r="BK395" s="5">
        <f>IF(A395="","",N(INDEX(Projects[Elec Inst],394)))</f>
        <v/>
      </c>
      <c r="BL395" s="5">
        <f>IF(A395="","",N(INDEX(Projects[Project Management],394)))</f>
        <v/>
      </c>
      <c r="BM395" s="5">
        <f>IF(A395="","",N(INDEX(Projects[Systems Eng],394)))</f>
        <v/>
      </c>
      <c r="BN395" s="5">
        <f>IF(A395="","",N(INDEX(Projects[Mechanical Eng],394)))</f>
        <v/>
      </c>
      <c r="BO395" s="5">
        <f>IF(A395="","",N(INDEX(Projects[Structural Engineering],394)))</f>
        <v/>
      </c>
      <c r="BP395" s="5">
        <f>IF(A395="","",N(INDEX(Projects[Site Sup],394)))</f>
        <v/>
      </c>
      <c r="BQ395" s="5">
        <f>IF(A395="","",N(INDEX(Projects[Controls Commissioning],394)))</f>
        <v/>
      </c>
      <c r="BR395" s="5">
        <f>IF(A395="","",N(INDEX(Projects[Systems Commissioning],394)))</f>
        <v/>
      </c>
      <c r="BS395" s="5">
        <f>IF(A395="","",N(INDEX(Projects[Service Commissioning],394)))</f>
        <v/>
      </c>
      <c r="BT395" s="5">
        <f>IF(A395="","",N(INDEX(Projects[Controls Eng],394)))</f>
        <v/>
      </c>
      <c r="BU395" s="5">
        <f>IF(A395="","",N(INDEX(Projects[Controls Purchase],394)))</f>
        <v/>
      </c>
      <c r="BV395" s="5">
        <f>IF(A395="","",N(INDEX(Projects[Software Eng],394)))</f>
        <v/>
      </c>
      <c r="BW395" s="5">
        <f>IF(A395="","",N(INDEX(Projects[Misc],394)))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  <c r="BZ395" s="5">
        <f>INDEX(Projects[Solution Type],394)&amp;""</f>
        <v/>
      </c>
      <c r="CA395" s="5">
        <f>INDEX(Projects[Client / Region],394)&amp;""</f>
        <v/>
      </c>
      <c r="CB395" s="5">
        <f>INDEX(Projects[Year],394)</f>
        <v/>
      </c>
      <c r="CC395" s="5">
        <f>INDEX(Projects[Won?],394)&amp;""</f>
        <v/>
      </c>
      <c r="CD395" s="5">
        <f>INDEX(Projects[Value (USD M)],394)</f>
        <v/>
      </c>
      <c r="CE395" s="5">
        <f>INDEX(Projects[MH Data Status],394)&amp;""</f>
        <v/>
      </c>
    </row>
    <row r="396" ht="15" customHeight="1" s="74">
      <c r="A396" s="66">
        <f>INDEX(Projects[Project ID *],395)&amp;""</f>
        <v/>
      </c>
      <c r="B396" s="66">
        <f>INDEX(Projects[Project Name *],395)&amp;""</f>
        <v/>
      </c>
      <c r="C396" s="66">
        <f>INDEX(Projects[MS Shuttles],395)</f>
        <v/>
      </c>
      <c r="D396" s="66">
        <f>INDEX(Projects[MS Tote Locations],395)</f>
        <v/>
      </c>
      <c r="E396" s="66">
        <f>INDEX(Projects[AS Robots],395)</f>
        <v/>
      </c>
      <c r="F396" s="66">
        <f>INDEX(Projects[AS Tote Locations],395)</f>
        <v/>
      </c>
      <c r="G396" s="66">
        <f>INDEX(Projects[PS Shuttles],395)</f>
        <v/>
      </c>
      <c r="H396" s="66">
        <f>INDEX(Projects[PS Pallet Locations],395)</f>
        <v/>
      </c>
      <c r="I396" s="66">
        <f>INDEX(Projects[SRM Cranes],395)</f>
        <v/>
      </c>
      <c r="J396" s="66">
        <f>INDEX(Projects[SRM Pallet Locations],395)</f>
        <v/>
      </c>
      <c r="K396" s="66">
        <f>INDEX(Projects[Case Conv (m)],395)</f>
        <v/>
      </c>
      <c r="L396" s="66">
        <f>INDEX(Projects[Pallet Conv (m)],395)</f>
        <v/>
      </c>
      <c r="M396" s="66">
        <f>INDEX(Projects[Mech Eng (wks)],395)</f>
        <v/>
      </c>
      <c r="N396" s="66">
        <f>INDEX(Projects[Controls Eng (wks)],395)</f>
        <v/>
      </c>
      <c r="O396" s="66">
        <f>INDEX(Projects[Systems Eng (wks)],395)</f>
        <v/>
      </c>
      <c r="P396" s="66">
        <f>INDEX(Projects[Software Eng (wks)],395)</f>
        <v/>
      </c>
      <c r="Q396" s="66">
        <f>INDEX(Projects[M&amp;E Installation (wks)],395)</f>
        <v/>
      </c>
      <c r="R396" s="66">
        <f>INDEX(Projects[Commissioning (wks)],395)</f>
        <v/>
      </c>
      <c r="S396" s="66">
        <f>INDEX(Projects[Total Timeline (wks)],395)</f>
        <v/>
      </c>
      <c r="T396" s="66">
        <f>INDEX(Projects[Currency],395)&amp;""</f>
        <v/>
      </c>
      <c r="U396" s="67">
        <f>INDEX(Projects[Value (M)],395)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INDEX(Projects[Automation Equipment],395)&amp;""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IF(AND(A396&lt;&gt;"",OR('Smart Search'!$L$5="",'Smart Search'!$L$5="All",TRIM(BZ396)=TRIM('Smart Search'!$L$5)),OR(TRIM('Smart Search'!$L$6)="",TRIM('Smart Search'!$L$6)="All",ISNUMBER(SEARCH(SUBSTITUTE(SUBSTITUTE(SUBSTITUTE(TRIM('Smart Search'!$L$6),"~","~~"),"*","~*"),"?","~?"),CA396))),OR('Smart Search'!$L$7="",AND(CB396&lt;&gt;0,CB396='Smart Search'!$L$7)),OR('Smart Search'!$L$8="",'Smart Search'!$L$8="All",TRIM(CC396)=TRIM('Smart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IF(A396="","",N(INDEX(Projects[Mech Inst],395)))</f>
        <v/>
      </c>
      <c r="BK396" s="5">
        <f>IF(A396="","",N(INDEX(Projects[Elec Inst],395)))</f>
        <v/>
      </c>
      <c r="BL396" s="5">
        <f>IF(A396="","",N(INDEX(Projects[Project Management],395)))</f>
        <v/>
      </c>
      <c r="BM396" s="5">
        <f>IF(A396="","",N(INDEX(Projects[Systems Eng],395)))</f>
        <v/>
      </c>
      <c r="BN396" s="5">
        <f>IF(A396="","",N(INDEX(Projects[Mechanical Eng],395)))</f>
        <v/>
      </c>
      <c r="BO396" s="5">
        <f>IF(A396="","",N(INDEX(Projects[Structural Engineering],395)))</f>
        <v/>
      </c>
      <c r="BP396" s="5">
        <f>IF(A396="","",N(INDEX(Projects[Site Sup],395)))</f>
        <v/>
      </c>
      <c r="BQ396" s="5">
        <f>IF(A396="","",N(INDEX(Projects[Controls Commissioning],395)))</f>
        <v/>
      </c>
      <c r="BR396" s="5">
        <f>IF(A396="","",N(INDEX(Projects[Systems Commissioning],395)))</f>
        <v/>
      </c>
      <c r="BS396" s="5">
        <f>IF(A396="","",N(INDEX(Projects[Service Commissioning],395)))</f>
        <v/>
      </c>
      <c r="BT396" s="5">
        <f>IF(A396="","",N(INDEX(Projects[Controls Eng],395)))</f>
        <v/>
      </c>
      <c r="BU396" s="5">
        <f>IF(A396="","",N(INDEX(Projects[Controls Purchase],395)))</f>
        <v/>
      </c>
      <c r="BV396" s="5">
        <f>IF(A396="","",N(INDEX(Projects[Software Eng],395)))</f>
        <v/>
      </c>
      <c r="BW396" s="5">
        <f>IF(A396="","",N(INDEX(Projects[Misc],395)))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  <c r="BZ396" s="5">
        <f>INDEX(Projects[Solution Type],395)&amp;""</f>
        <v/>
      </c>
      <c r="CA396" s="5">
        <f>INDEX(Projects[Client / Region],395)&amp;""</f>
        <v/>
      </c>
      <c r="CB396" s="5">
        <f>INDEX(Projects[Year],395)</f>
        <v/>
      </c>
      <c r="CC396" s="5">
        <f>INDEX(Projects[Won?],395)&amp;""</f>
        <v/>
      </c>
      <c r="CD396" s="5">
        <f>INDEX(Projects[Value (USD M)],395)</f>
        <v/>
      </c>
      <c r="CE396" s="5">
        <f>INDEX(Projects[MH Data Status],395)&amp;""</f>
        <v/>
      </c>
    </row>
    <row r="397" ht="15" customHeight="1" s="74">
      <c r="A397" s="66">
        <f>INDEX(Projects[Project ID *],396)&amp;""</f>
        <v/>
      </c>
      <c r="B397" s="66">
        <f>INDEX(Projects[Project Name *],396)&amp;""</f>
        <v/>
      </c>
      <c r="C397" s="66">
        <f>INDEX(Projects[MS Shuttles],396)</f>
        <v/>
      </c>
      <c r="D397" s="66">
        <f>INDEX(Projects[MS Tote Locations],396)</f>
        <v/>
      </c>
      <c r="E397" s="66">
        <f>INDEX(Projects[AS Robots],396)</f>
        <v/>
      </c>
      <c r="F397" s="66">
        <f>INDEX(Projects[AS Tote Locations],396)</f>
        <v/>
      </c>
      <c r="G397" s="66">
        <f>INDEX(Projects[PS Shuttles],396)</f>
        <v/>
      </c>
      <c r="H397" s="66">
        <f>INDEX(Projects[PS Pallet Locations],396)</f>
        <v/>
      </c>
      <c r="I397" s="66">
        <f>INDEX(Projects[SRM Cranes],396)</f>
        <v/>
      </c>
      <c r="J397" s="66">
        <f>INDEX(Projects[SRM Pallet Locations],396)</f>
        <v/>
      </c>
      <c r="K397" s="66">
        <f>INDEX(Projects[Case Conv (m)],396)</f>
        <v/>
      </c>
      <c r="L397" s="66">
        <f>INDEX(Projects[Pallet Conv (m)],396)</f>
        <v/>
      </c>
      <c r="M397" s="66">
        <f>INDEX(Projects[Mech Eng (wks)],396)</f>
        <v/>
      </c>
      <c r="N397" s="66">
        <f>INDEX(Projects[Controls Eng (wks)],396)</f>
        <v/>
      </c>
      <c r="O397" s="66">
        <f>INDEX(Projects[Systems Eng (wks)],396)</f>
        <v/>
      </c>
      <c r="P397" s="66">
        <f>INDEX(Projects[Software Eng (wks)],396)</f>
        <v/>
      </c>
      <c r="Q397" s="66">
        <f>INDEX(Projects[M&amp;E Installation (wks)],396)</f>
        <v/>
      </c>
      <c r="R397" s="66">
        <f>INDEX(Projects[Commissioning (wks)],396)</f>
        <v/>
      </c>
      <c r="S397" s="66">
        <f>INDEX(Projects[Total Timeline (wks)],396)</f>
        <v/>
      </c>
      <c r="T397" s="66">
        <f>INDEX(Projects[Currency],396)&amp;""</f>
        <v/>
      </c>
      <c r="U397" s="67">
        <f>INDEX(Projects[Value (M)],396)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INDEX(Projects[Automation Equipment],396)&amp;""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IF(AND(A397&lt;&gt;"",OR('Smart Search'!$L$5="",'Smart Search'!$L$5="All",TRIM(BZ397)=TRIM('Smart Search'!$L$5)),OR(TRIM('Smart Search'!$L$6)="",TRIM('Smart Search'!$L$6)="All",ISNUMBER(SEARCH(SUBSTITUTE(SUBSTITUTE(SUBSTITUTE(TRIM('Smart Search'!$L$6),"~","~~"),"*","~*"),"?","~?"),CA397))),OR('Smart Search'!$L$7="",AND(CB397&lt;&gt;0,CB397='Smart Search'!$L$7)),OR('Smart Search'!$L$8="",'Smart Search'!$L$8="All",TRIM(CC397)=TRIM('Smart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IF(A397="","",N(INDEX(Projects[Mech Inst],396)))</f>
        <v/>
      </c>
      <c r="BK397" s="5">
        <f>IF(A397="","",N(INDEX(Projects[Elec Inst],396)))</f>
        <v/>
      </c>
      <c r="BL397" s="5">
        <f>IF(A397="","",N(INDEX(Projects[Project Management],396)))</f>
        <v/>
      </c>
      <c r="BM397" s="5">
        <f>IF(A397="","",N(INDEX(Projects[Systems Eng],396)))</f>
        <v/>
      </c>
      <c r="BN397" s="5">
        <f>IF(A397="","",N(INDEX(Projects[Mechanical Eng],396)))</f>
        <v/>
      </c>
      <c r="BO397" s="5">
        <f>IF(A397="","",N(INDEX(Projects[Structural Engineering],396)))</f>
        <v/>
      </c>
      <c r="BP397" s="5">
        <f>IF(A397="","",N(INDEX(Projects[Site Sup],396)))</f>
        <v/>
      </c>
      <c r="BQ397" s="5">
        <f>IF(A397="","",N(INDEX(Projects[Controls Commissioning],396)))</f>
        <v/>
      </c>
      <c r="BR397" s="5">
        <f>IF(A397="","",N(INDEX(Projects[Systems Commissioning],396)))</f>
        <v/>
      </c>
      <c r="BS397" s="5">
        <f>IF(A397="","",N(INDEX(Projects[Service Commissioning],396)))</f>
        <v/>
      </c>
      <c r="BT397" s="5">
        <f>IF(A397="","",N(INDEX(Projects[Controls Eng],396)))</f>
        <v/>
      </c>
      <c r="BU397" s="5">
        <f>IF(A397="","",N(INDEX(Projects[Controls Purchase],396)))</f>
        <v/>
      </c>
      <c r="BV397" s="5">
        <f>IF(A397="","",N(INDEX(Projects[Software Eng],396)))</f>
        <v/>
      </c>
      <c r="BW397" s="5">
        <f>IF(A397="","",N(INDEX(Projects[Misc],396)))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  <c r="BZ397" s="5">
        <f>INDEX(Projects[Solution Type],396)&amp;""</f>
        <v/>
      </c>
      <c r="CA397" s="5">
        <f>INDEX(Projects[Client / Region],396)&amp;""</f>
        <v/>
      </c>
      <c r="CB397" s="5">
        <f>INDEX(Projects[Year],396)</f>
        <v/>
      </c>
      <c r="CC397" s="5">
        <f>INDEX(Projects[Won?],396)&amp;""</f>
        <v/>
      </c>
      <c r="CD397" s="5">
        <f>INDEX(Projects[Value (USD M)],396)</f>
        <v/>
      </c>
      <c r="CE397" s="5">
        <f>INDEX(Projects[MH Data Status],396)&amp;""</f>
        <v/>
      </c>
    </row>
    <row r="398" ht="15" customHeight="1" s="74">
      <c r="A398" s="66">
        <f>INDEX(Projects[Project ID *],397)&amp;""</f>
        <v/>
      </c>
      <c r="B398" s="66">
        <f>INDEX(Projects[Project Name *],397)&amp;""</f>
        <v/>
      </c>
      <c r="C398" s="66">
        <f>INDEX(Projects[MS Shuttles],397)</f>
        <v/>
      </c>
      <c r="D398" s="66">
        <f>INDEX(Projects[MS Tote Locations],397)</f>
        <v/>
      </c>
      <c r="E398" s="66">
        <f>INDEX(Projects[AS Robots],397)</f>
        <v/>
      </c>
      <c r="F398" s="66">
        <f>INDEX(Projects[AS Tote Locations],397)</f>
        <v/>
      </c>
      <c r="G398" s="66">
        <f>INDEX(Projects[PS Shuttles],397)</f>
        <v/>
      </c>
      <c r="H398" s="66">
        <f>INDEX(Projects[PS Pallet Locations],397)</f>
        <v/>
      </c>
      <c r="I398" s="66">
        <f>INDEX(Projects[SRM Cranes],397)</f>
        <v/>
      </c>
      <c r="J398" s="66">
        <f>INDEX(Projects[SRM Pallet Locations],397)</f>
        <v/>
      </c>
      <c r="K398" s="66">
        <f>INDEX(Projects[Case Conv (m)],397)</f>
        <v/>
      </c>
      <c r="L398" s="66">
        <f>INDEX(Projects[Pallet Conv (m)],397)</f>
        <v/>
      </c>
      <c r="M398" s="66">
        <f>INDEX(Projects[Mech Eng (wks)],397)</f>
        <v/>
      </c>
      <c r="N398" s="66">
        <f>INDEX(Projects[Controls Eng (wks)],397)</f>
        <v/>
      </c>
      <c r="O398" s="66">
        <f>INDEX(Projects[Systems Eng (wks)],397)</f>
        <v/>
      </c>
      <c r="P398" s="66">
        <f>INDEX(Projects[Software Eng (wks)],397)</f>
        <v/>
      </c>
      <c r="Q398" s="66">
        <f>INDEX(Projects[M&amp;E Installation (wks)],397)</f>
        <v/>
      </c>
      <c r="R398" s="66">
        <f>INDEX(Projects[Commissioning (wks)],397)</f>
        <v/>
      </c>
      <c r="S398" s="66">
        <f>INDEX(Projects[Total Timeline (wks)],397)</f>
        <v/>
      </c>
      <c r="T398" s="66">
        <f>INDEX(Projects[Currency],397)&amp;""</f>
        <v/>
      </c>
      <c r="U398" s="67">
        <f>INDEX(Projects[Value (M)],397)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INDEX(Projects[Automation Equipment],397)&amp;""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IF(AND(A398&lt;&gt;"",OR('Smart Search'!$L$5="",'Smart Search'!$L$5="All",TRIM(BZ398)=TRIM('Smart Search'!$L$5)),OR(TRIM('Smart Search'!$L$6)="",TRIM('Smart Search'!$L$6)="All",ISNUMBER(SEARCH(SUBSTITUTE(SUBSTITUTE(SUBSTITUTE(TRIM('Smart Search'!$L$6),"~","~~"),"*","~*"),"?","~?"),CA398))),OR('Smart Search'!$L$7="",AND(CB398&lt;&gt;0,CB398='Smart Search'!$L$7)),OR('Smart Search'!$L$8="",'Smart Search'!$L$8="All",TRIM(CC398)=TRIM('Smart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IF(A398="","",N(INDEX(Projects[Mech Inst],397)))</f>
        <v/>
      </c>
      <c r="BK398" s="5">
        <f>IF(A398="","",N(INDEX(Projects[Elec Inst],397)))</f>
        <v/>
      </c>
      <c r="BL398" s="5">
        <f>IF(A398="","",N(INDEX(Projects[Project Management],397)))</f>
        <v/>
      </c>
      <c r="BM398" s="5">
        <f>IF(A398="","",N(INDEX(Projects[Systems Eng],397)))</f>
        <v/>
      </c>
      <c r="BN398" s="5">
        <f>IF(A398="","",N(INDEX(Projects[Mechanical Eng],397)))</f>
        <v/>
      </c>
      <c r="BO398" s="5">
        <f>IF(A398="","",N(INDEX(Projects[Structural Engineering],397)))</f>
        <v/>
      </c>
      <c r="BP398" s="5">
        <f>IF(A398="","",N(INDEX(Projects[Site Sup],397)))</f>
        <v/>
      </c>
      <c r="BQ398" s="5">
        <f>IF(A398="","",N(INDEX(Projects[Controls Commissioning],397)))</f>
        <v/>
      </c>
      <c r="BR398" s="5">
        <f>IF(A398="","",N(INDEX(Projects[Systems Commissioning],397)))</f>
        <v/>
      </c>
      <c r="BS398" s="5">
        <f>IF(A398="","",N(INDEX(Projects[Service Commissioning],397)))</f>
        <v/>
      </c>
      <c r="BT398" s="5">
        <f>IF(A398="","",N(INDEX(Projects[Controls Eng],397)))</f>
        <v/>
      </c>
      <c r="BU398" s="5">
        <f>IF(A398="","",N(INDEX(Projects[Controls Purchase],397)))</f>
        <v/>
      </c>
      <c r="BV398" s="5">
        <f>IF(A398="","",N(INDEX(Projects[Software Eng],397)))</f>
        <v/>
      </c>
      <c r="BW398" s="5">
        <f>IF(A398="","",N(INDEX(Projects[Misc],397)))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  <c r="BZ398" s="5">
        <f>INDEX(Projects[Solution Type],397)&amp;""</f>
        <v/>
      </c>
      <c r="CA398" s="5">
        <f>INDEX(Projects[Client / Region],397)&amp;""</f>
        <v/>
      </c>
      <c r="CB398" s="5">
        <f>INDEX(Projects[Year],397)</f>
        <v/>
      </c>
      <c r="CC398" s="5">
        <f>INDEX(Projects[Won?],397)&amp;""</f>
        <v/>
      </c>
      <c r="CD398" s="5">
        <f>INDEX(Projects[Value (USD M)],397)</f>
        <v/>
      </c>
      <c r="CE398" s="5">
        <f>INDEX(Projects[MH Data Status],397)&amp;""</f>
        <v/>
      </c>
    </row>
    <row r="399" ht="15" customHeight="1" s="74">
      <c r="A399" s="66">
        <f>INDEX(Projects[Project ID *],398)&amp;""</f>
        <v/>
      </c>
      <c r="B399" s="66">
        <f>INDEX(Projects[Project Name *],398)&amp;""</f>
        <v/>
      </c>
      <c r="C399" s="66">
        <f>INDEX(Projects[MS Shuttles],398)</f>
        <v/>
      </c>
      <c r="D399" s="66">
        <f>INDEX(Projects[MS Tote Locations],398)</f>
        <v/>
      </c>
      <c r="E399" s="66">
        <f>INDEX(Projects[AS Robots],398)</f>
        <v/>
      </c>
      <c r="F399" s="66">
        <f>INDEX(Projects[AS Tote Locations],398)</f>
        <v/>
      </c>
      <c r="G399" s="66">
        <f>INDEX(Projects[PS Shuttles],398)</f>
        <v/>
      </c>
      <c r="H399" s="66">
        <f>INDEX(Projects[PS Pallet Locations],398)</f>
        <v/>
      </c>
      <c r="I399" s="66">
        <f>INDEX(Projects[SRM Cranes],398)</f>
        <v/>
      </c>
      <c r="J399" s="66">
        <f>INDEX(Projects[SRM Pallet Locations],398)</f>
        <v/>
      </c>
      <c r="K399" s="66">
        <f>INDEX(Projects[Case Conv (m)],398)</f>
        <v/>
      </c>
      <c r="L399" s="66">
        <f>INDEX(Projects[Pallet Conv (m)],398)</f>
        <v/>
      </c>
      <c r="M399" s="66">
        <f>INDEX(Projects[Mech Eng (wks)],398)</f>
        <v/>
      </c>
      <c r="N399" s="66">
        <f>INDEX(Projects[Controls Eng (wks)],398)</f>
        <v/>
      </c>
      <c r="O399" s="66">
        <f>INDEX(Projects[Systems Eng (wks)],398)</f>
        <v/>
      </c>
      <c r="P399" s="66">
        <f>INDEX(Projects[Software Eng (wks)],398)</f>
        <v/>
      </c>
      <c r="Q399" s="66">
        <f>INDEX(Projects[M&amp;E Installation (wks)],398)</f>
        <v/>
      </c>
      <c r="R399" s="66">
        <f>INDEX(Projects[Commissioning (wks)],398)</f>
        <v/>
      </c>
      <c r="S399" s="66">
        <f>INDEX(Projects[Total Timeline (wks)],398)</f>
        <v/>
      </c>
      <c r="T399" s="66">
        <f>INDEX(Projects[Currency],398)&amp;""</f>
        <v/>
      </c>
      <c r="U399" s="67">
        <f>INDEX(Projects[Value (M)],398)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INDEX(Projects[Automation Equipment],398)&amp;""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IF(AND(A399&lt;&gt;"",OR('Smart Search'!$L$5="",'Smart Search'!$L$5="All",TRIM(BZ399)=TRIM('Smart Search'!$L$5)),OR(TRIM('Smart Search'!$L$6)="",TRIM('Smart Search'!$L$6)="All",ISNUMBER(SEARCH(SUBSTITUTE(SUBSTITUTE(SUBSTITUTE(TRIM('Smart Search'!$L$6),"~","~~"),"*","~*"),"?","~?"),CA399))),OR('Smart Search'!$L$7="",AND(CB399&lt;&gt;0,CB399='Smart Search'!$L$7)),OR('Smart Search'!$L$8="",'Smart Search'!$L$8="All",TRIM(CC399)=TRIM('Smart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IF(A399="","",N(INDEX(Projects[Mech Inst],398)))</f>
        <v/>
      </c>
      <c r="BK399" s="5">
        <f>IF(A399="","",N(INDEX(Projects[Elec Inst],398)))</f>
        <v/>
      </c>
      <c r="BL399" s="5">
        <f>IF(A399="","",N(INDEX(Projects[Project Management],398)))</f>
        <v/>
      </c>
      <c r="BM399" s="5">
        <f>IF(A399="","",N(INDEX(Projects[Systems Eng],398)))</f>
        <v/>
      </c>
      <c r="BN399" s="5">
        <f>IF(A399="","",N(INDEX(Projects[Mechanical Eng],398)))</f>
        <v/>
      </c>
      <c r="BO399" s="5">
        <f>IF(A399="","",N(INDEX(Projects[Structural Engineering],398)))</f>
        <v/>
      </c>
      <c r="BP399" s="5">
        <f>IF(A399="","",N(INDEX(Projects[Site Sup],398)))</f>
        <v/>
      </c>
      <c r="BQ399" s="5">
        <f>IF(A399="","",N(INDEX(Projects[Controls Commissioning],398)))</f>
        <v/>
      </c>
      <c r="BR399" s="5">
        <f>IF(A399="","",N(INDEX(Projects[Systems Commissioning],398)))</f>
        <v/>
      </c>
      <c r="BS399" s="5">
        <f>IF(A399="","",N(INDEX(Projects[Service Commissioning],398)))</f>
        <v/>
      </c>
      <c r="BT399" s="5">
        <f>IF(A399="","",N(INDEX(Projects[Controls Eng],398)))</f>
        <v/>
      </c>
      <c r="BU399" s="5">
        <f>IF(A399="","",N(INDEX(Projects[Controls Purchase],398)))</f>
        <v/>
      </c>
      <c r="BV399" s="5">
        <f>IF(A399="","",N(INDEX(Projects[Software Eng],398)))</f>
        <v/>
      </c>
      <c r="BW399" s="5">
        <f>IF(A399="","",N(INDEX(Projects[Misc],398)))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  <c r="BZ399" s="5">
        <f>INDEX(Projects[Solution Type],398)&amp;""</f>
        <v/>
      </c>
      <c r="CA399" s="5">
        <f>INDEX(Projects[Client / Region],398)&amp;""</f>
        <v/>
      </c>
      <c r="CB399" s="5">
        <f>INDEX(Projects[Year],398)</f>
        <v/>
      </c>
      <c r="CC399" s="5">
        <f>INDEX(Projects[Won?],398)&amp;""</f>
        <v/>
      </c>
      <c r="CD399" s="5">
        <f>INDEX(Projects[Value (USD M)],398)</f>
        <v/>
      </c>
      <c r="CE399" s="5">
        <f>INDEX(Projects[MH Data Status],398)&amp;""</f>
        <v/>
      </c>
    </row>
    <row r="400" ht="15" customHeight="1" s="74">
      <c r="A400" s="66">
        <f>INDEX(Projects[Project ID *],399)&amp;""</f>
        <v/>
      </c>
      <c r="B400" s="66">
        <f>INDEX(Projects[Project Name *],399)&amp;""</f>
        <v/>
      </c>
      <c r="C400" s="66">
        <f>INDEX(Projects[MS Shuttles],399)</f>
        <v/>
      </c>
      <c r="D400" s="66">
        <f>INDEX(Projects[MS Tote Locations],399)</f>
        <v/>
      </c>
      <c r="E400" s="66">
        <f>INDEX(Projects[AS Robots],399)</f>
        <v/>
      </c>
      <c r="F400" s="66">
        <f>INDEX(Projects[AS Tote Locations],399)</f>
        <v/>
      </c>
      <c r="G400" s="66">
        <f>INDEX(Projects[PS Shuttles],399)</f>
        <v/>
      </c>
      <c r="H400" s="66">
        <f>INDEX(Projects[PS Pallet Locations],399)</f>
        <v/>
      </c>
      <c r="I400" s="66">
        <f>INDEX(Projects[SRM Cranes],399)</f>
        <v/>
      </c>
      <c r="J400" s="66">
        <f>INDEX(Projects[SRM Pallet Locations],399)</f>
        <v/>
      </c>
      <c r="K400" s="66">
        <f>INDEX(Projects[Case Conv (m)],399)</f>
        <v/>
      </c>
      <c r="L400" s="66">
        <f>INDEX(Projects[Pallet Conv (m)],399)</f>
        <v/>
      </c>
      <c r="M400" s="66">
        <f>INDEX(Projects[Mech Eng (wks)],399)</f>
        <v/>
      </c>
      <c r="N400" s="66">
        <f>INDEX(Projects[Controls Eng (wks)],399)</f>
        <v/>
      </c>
      <c r="O400" s="66">
        <f>INDEX(Projects[Systems Eng (wks)],399)</f>
        <v/>
      </c>
      <c r="P400" s="66">
        <f>INDEX(Projects[Software Eng (wks)],399)</f>
        <v/>
      </c>
      <c r="Q400" s="66">
        <f>INDEX(Projects[M&amp;E Installation (wks)],399)</f>
        <v/>
      </c>
      <c r="R400" s="66">
        <f>INDEX(Projects[Commissioning (wks)],399)</f>
        <v/>
      </c>
      <c r="S400" s="66">
        <f>INDEX(Projects[Total Timeline (wks)],399)</f>
        <v/>
      </c>
      <c r="T400" s="66">
        <f>INDEX(Projects[Currency],399)&amp;""</f>
        <v/>
      </c>
      <c r="U400" s="67">
        <f>INDEX(Projects[Value (M)],399)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INDEX(Projects[Automation Equipment],399)&amp;""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IF(AND(A400&lt;&gt;"",OR('Smart Search'!$L$5="",'Smart Search'!$L$5="All",TRIM(BZ400)=TRIM('Smart Search'!$L$5)),OR(TRIM('Smart Search'!$L$6)="",TRIM('Smart Search'!$L$6)="All",ISNUMBER(SEARCH(SUBSTITUTE(SUBSTITUTE(SUBSTITUTE(TRIM('Smart Search'!$L$6),"~","~~"),"*","~*"),"?","~?"),CA400))),OR('Smart Search'!$L$7="",AND(CB400&lt;&gt;0,CB400='Smart Search'!$L$7)),OR('Smart Search'!$L$8="",'Smart Search'!$L$8="All",TRIM(CC400)=TRIM('Smart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IF(A400="","",N(INDEX(Projects[Mech Inst],399)))</f>
        <v/>
      </c>
      <c r="BK400" s="5">
        <f>IF(A400="","",N(INDEX(Projects[Elec Inst],399)))</f>
        <v/>
      </c>
      <c r="BL400" s="5">
        <f>IF(A400="","",N(INDEX(Projects[Project Management],399)))</f>
        <v/>
      </c>
      <c r="BM400" s="5">
        <f>IF(A400="","",N(INDEX(Projects[Systems Eng],399)))</f>
        <v/>
      </c>
      <c r="BN400" s="5">
        <f>IF(A400="","",N(INDEX(Projects[Mechanical Eng],399)))</f>
        <v/>
      </c>
      <c r="BO400" s="5">
        <f>IF(A400="","",N(INDEX(Projects[Structural Engineering],399)))</f>
        <v/>
      </c>
      <c r="BP400" s="5">
        <f>IF(A400="","",N(INDEX(Projects[Site Sup],399)))</f>
        <v/>
      </c>
      <c r="BQ400" s="5">
        <f>IF(A400="","",N(INDEX(Projects[Controls Commissioning],399)))</f>
        <v/>
      </c>
      <c r="BR400" s="5">
        <f>IF(A400="","",N(INDEX(Projects[Systems Commissioning],399)))</f>
        <v/>
      </c>
      <c r="BS400" s="5">
        <f>IF(A400="","",N(INDEX(Projects[Service Commissioning],399)))</f>
        <v/>
      </c>
      <c r="BT400" s="5">
        <f>IF(A400="","",N(INDEX(Projects[Controls Eng],399)))</f>
        <v/>
      </c>
      <c r="BU400" s="5">
        <f>IF(A400="","",N(INDEX(Projects[Controls Purchase],399)))</f>
        <v/>
      </c>
      <c r="BV400" s="5">
        <f>IF(A400="","",N(INDEX(Projects[Software Eng],399)))</f>
        <v/>
      </c>
      <c r="BW400" s="5">
        <f>IF(A400="","",N(INDEX(Projects[Misc],399)))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  <c r="BZ400" s="5">
        <f>INDEX(Projects[Solution Type],399)&amp;""</f>
        <v/>
      </c>
      <c r="CA400" s="5">
        <f>INDEX(Projects[Client / Region],399)&amp;""</f>
        <v/>
      </c>
      <c r="CB400" s="5">
        <f>INDEX(Projects[Year],399)</f>
        <v/>
      </c>
      <c r="CC400" s="5">
        <f>INDEX(Projects[Won?],399)&amp;""</f>
        <v/>
      </c>
      <c r="CD400" s="5">
        <f>INDEX(Projects[Value (USD M)],399)</f>
        <v/>
      </c>
      <c r="CE400" s="5">
        <f>INDEX(Projects[MH Data Status],399)&amp;""</f>
        <v/>
      </c>
    </row>
    <row r="401" ht="15" customHeight="1" s="74">
      <c r="A401" s="66">
        <f>INDEX(Projects[Project ID *],400)&amp;""</f>
        <v/>
      </c>
      <c r="B401" s="66">
        <f>INDEX(Projects[Project Name *],400)&amp;""</f>
        <v/>
      </c>
      <c r="C401" s="66">
        <f>INDEX(Projects[MS Shuttles],400)</f>
        <v/>
      </c>
      <c r="D401" s="66">
        <f>INDEX(Projects[MS Tote Locations],400)</f>
        <v/>
      </c>
      <c r="E401" s="66">
        <f>INDEX(Projects[AS Robots],400)</f>
        <v/>
      </c>
      <c r="F401" s="66">
        <f>INDEX(Projects[AS Tote Locations],400)</f>
        <v/>
      </c>
      <c r="G401" s="66">
        <f>INDEX(Projects[PS Shuttles],400)</f>
        <v/>
      </c>
      <c r="H401" s="66">
        <f>INDEX(Projects[PS Pallet Locations],400)</f>
        <v/>
      </c>
      <c r="I401" s="66">
        <f>INDEX(Projects[SRM Cranes],400)</f>
        <v/>
      </c>
      <c r="J401" s="66">
        <f>INDEX(Projects[SRM Pallet Locations],400)</f>
        <v/>
      </c>
      <c r="K401" s="66">
        <f>INDEX(Projects[Case Conv (m)],400)</f>
        <v/>
      </c>
      <c r="L401" s="66">
        <f>INDEX(Projects[Pallet Conv (m)],400)</f>
        <v/>
      </c>
      <c r="M401" s="66">
        <f>INDEX(Projects[Mech Eng (wks)],400)</f>
        <v/>
      </c>
      <c r="N401" s="66">
        <f>INDEX(Projects[Controls Eng (wks)],400)</f>
        <v/>
      </c>
      <c r="O401" s="66">
        <f>INDEX(Projects[Systems Eng (wks)],400)</f>
        <v/>
      </c>
      <c r="P401" s="66">
        <f>INDEX(Projects[Software Eng (wks)],400)</f>
        <v/>
      </c>
      <c r="Q401" s="66">
        <f>INDEX(Projects[M&amp;E Installation (wks)],400)</f>
        <v/>
      </c>
      <c r="R401" s="66">
        <f>INDEX(Projects[Commissioning (wks)],400)</f>
        <v/>
      </c>
      <c r="S401" s="66">
        <f>INDEX(Projects[Total Timeline (wks)],400)</f>
        <v/>
      </c>
      <c r="T401" s="66">
        <f>INDEX(Projects[Currency],400)&amp;""</f>
        <v/>
      </c>
      <c r="U401" s="67">
        <f>INDEX(Projects[Value (M)],400)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INDEX(Projects[Automation Equipment],400)&amp;""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IF(AND(A401&lt;&gt;"",OR('Smart Search'!$L$5="",'Smart Search'!$L$5="All",TRIM(BZ401)=TRIM('Smart Search'!$L$5)),OR(TRIM('Smart Search'!$L$6)="",TRIM('Smart Search'!$L$6)="All",ISNUMBER(SEARCH(SUBSTITUTE(SUBSTITUTE(SUBSTITUTE(TRIM('Smart Search'!$L$6),"~","~~"),"*","~*"),"?","~?"),CA401))),OR('Smart Search'!$L$7="",AND(CB401&lt;&gt;0,CB401='Smart Search'!$L$7)),OR('Smart Search'!$L$8="",'Smart Search'!$L$8="All",TRIM(CC401)=TRIM('Smart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IF(A401="","",N(INDEX(Projects[Mech Inst],400)))</f>
        <v/>
      </c>
      <c r="BK401" s="5">
        <f>IF(A401="","",N(INDEX(Projects[Elec Inst],400)))</f>
        <v/>
      </c>
      <c r="BL401" s="5">
        <f>IF(A401="","",N(INDEX(Projects[Project Management],400)))</f>
        <v/>
      </c>
      <c r="BM401" s="5">
        <f>IF(A401="","",N(INDEX(Projects[Systems Eng],400)))</f>
        <v/>
      </c>
      <c r="BN401" s="5">
        <f>IF(A401="","",N(INDEX(Projects[Mechanical Eng],400)))</f>
        <v/>
      </c>
      <c r="BO401" s="5">
        <f>IF(A401="","",N(INDEX(Projects[Structural Engineering],400)))</f>
        <v/>
      </c>
      <c r="BP401" s="5">
        <f>IF(A401="","",N(INDEX(Projects[Site Sup],400)))</f>
        <v/>
      </c>
      <c r="BQ401" s="5">
        <f>IF(A401="","",N(INDEX(Projects[Controls Commissioning],400)))</f>
        <v/>
      </c>
      <c r="BR401" s="5">
        <f>IF(A401="","",N(INDEX(Projects[Systems Commissioning],400)))</f>
        <v/>
      </c>
      <c r="BS401" s="5">
        <f>IF(A401="","",N(INDEX(Projects[Service Commissioning],400)))</f>
        <v/>
      </c>
      <c r="BT401" s="5">
        <f>IF(A401="","",N(INDEX(Projects[Controls Eng],400)))</f>
        <v/>
      </c>
      <c r="BU401" s="5">
        <f>IF(A401="","",N(INDEX(Projects[Controls Purchase],400)))</f>
        <v/>
      </c>
      <c r="BV401" s="5">
        <f>IF(A401="","",N(INDEX(Projects[Software Eng],400)))</f>
        <v/>
      </c>
      <c r="BW401" s="5">
        <f>IF(A401="","",N(INDEX(Projects[Misc],400)))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  <c r="BZ401" s="5">
        <f>INDEX(Projects[Solution Type],400)&amp;""</f>
        <v/>
      </c>
      <c r="CA401" s="5">
        <f>INDEX(Projects[Client / Region],400)&amp;""</f>
        <v/>
      </c>
      <c r="CB401" s="5">
        <f>INDEX(Projects[Year],400)</f>
        <v/>
      </c>
      <c r="CC401" s="5">
        <f>INDEX(Projects[Won?],400)&amp;""</f>
        <v/>
      </c>
      <c r="CD401" s="5">
        <f>INDEX(Projects[Value (USD M)],400)</f>
        <v/>
      </c>
      <c r="CE401" s="5">
        <f>INDEX(Projects[MH Data Status],400)&amp;""</f>
        <v/>
      </c>
    </row>
    <row r="402" ht="15" customHeight="1" s="74">
      <c r="A402" s="66">
        <f>INDEX(Projects[Project ID *],401)&amp;""</f>
        <v/>
      </c>
      <c r="B402" s="66">
        <f>INDEX(Projects[Project Name *],401)&amp;""</f>
        <v/>
      </c>
      <c r="C402" s="66">
        <f>INDEX(Projects[MS Shuttles],401)</f>
        <v/>
      </c>
      <c r="D402" s="66">
        <f>INDEX(Projects[MS Tote Locations],401)</f>
        <v/>
      </c>
      <c r="E402" s="66">
        <f>INDEX(Projects[AS Robots],401)</f>
        <v/>
      </c>
      <c r="F402" s="66">
        <f>INDEX(Projects[AS Tote Locations],401)</f>
        <v/>
      </c>
      <c r="G402" s="66">
        <f>INDEX(Projects[PS Shuttles],401)</f>
        <v/>
      </c>
      <c r="H402" s="66">
        <f>INDEX(Projects[PS Pallet Locations],401)</f>
        <v/>
      </c>
      <c r="I402" s="66">
        <f>INDEX(Projects[SRM Cranes],401)</f>
        <v/>
      </c>
      <c r="J402" s="66">
        <f>INDEX(Projects[SRM Pallet Locations],401)</f>
        <v/>
      </c>
      <c r="K402" s="66">
        <f>INDEX(Projects[Case Conv (m)],401)</f>
        <v/>
      </c>
      <c r="L402" s="66">
        <f>INDEX(Projects[Pallet Conv (m)],401)</f>
        <v/>
      </c>
      <c r="M402" s="66">
        <f>INDEX(Projects[Mech Eng (wks)],401)</f>
        <v/>
      </c>
      <c r="N402" s="66">
        <f>INDEX(Projects[Controls Eng (wks)],401)</f>
        <v/>
      </c>
      <c r="O402" s="66">
        <f>INDEX(Projects[Systems Eng (wks)],401)</f>
        <v/>
      </c>
      <c r="P402" s="66">
        <f>INDEX(Projects[Software Eng (wks)],401)</f>
        <v/>
      </c>
      <c r="Q402" s="66">
        <f>INDEX(Projects[M&amp;E Installation (wks)],401)</f>
        <v/>
      </c>
      <c r="R402" s="66">
        <f>INDEX(Projects[Commissioning (wks)],401)</f>
        <v/>
      </c>
      <c r="S402" s="66">
        <f>INDEX(Projects[Total Timeline (wks)],401)</f>
        <v/>
      </c>
      <c r="T402" s="66">
        <f>INDEX(Projects[Currency],401)&amp;""</f>
        <v/>
      </c>
      <c r="U402" s="67">
        <f>INDEX(Projects[Value (M)],401)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INDEX(Projects[Automation Equipment],401)&amp;""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IF(AND(A402&lt;&gt;"",OR('Smart Search'!$L$5="",'Smart Search'!$L$5="All",TRIM(BZ402)=TRIM('Smart Search'!$L$5)),OR(TRIM('Smart Search'!$L$6)="",TRIM('Smart Search'!$L$6)="All",ISNUMBER(SEARCH(SUBSTITUTE(SUBSTITUTE(SUBSTITUTE(TRIM('Smart Search'!$L$6),"~","~~"),"*","~*"),"?","~?"),CA402))),OR('Smart Search'!$L$7="",AND(CB402&lt;&gt;0,CB402='Smart Search'!$L$7)),OR('Smart Search'!$L$8="",'Smart Search'!$L$8="All",TRIM(CC402)=TRIM('Smart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IF(A402="","",N(INDEX(Projects[Mech Inst],401)))</f>
        <v/>
      </c>
      <c r="BK402" s="5">
        <f>IF(A402="","",N(INDEX(Projects[Elec Inst],401)))</f>
        <v/>
      </c>
      <c r="BL402" s="5">
        <f>IF(A402="","",N(INDEX(Projects[Project Management],401)))</f>
        <v/>
      </c>
      <c r="BM402" s="5">
        <f>IF(A402="","",N(INDEX(Projects[Systems Eng],401)))</f>
        <v/>
      </c>
      <c r="BN402" s="5">
        <f>IF(A402="","",N(INDEX(Projects[Mechanical Eng],401)))</f>
        <v/>
      </c>
      <c r="BO402" s="5">
        <f>IF(A402="","",N(INDEX(Projects[Structural Engineering],401)))</f>
        <v/>
      </c>
      <c r="BP402" s="5">
        <f>IF(A402="","",N(INDEX(Projects[Site Sup],401)))</f>
        <v/>
      </c>
      <c r="BQ402" s="5">
        <f>IF(A402="","",N(INDEX(Projects[Controls Commissioning],401)))</f>
        <v/>
      </c>
      <c r="BR402" s="5">
        <f>IF(A402="","",N(INDEX(Projects[Systems Commissioning],401)))</f>
        <v/>
      </c>
      <c r="BS402" s="5">
        <f>IF(A402="","",N(INDEX(Projects[Service Commissioning],401)))</f>
        <v/>
      </c>
      <c r="BT402" s="5">
        <f>IF(A402="","",N(INDEX(Projects[Controls Eng],401)))</f>
        <v/>
      </c>
      <c r="BU402" s="5">
        <f>IF(A402="","",N(INDEX(Projects[Controls Purchase],401)))</f>
        <v/>
      </c>
      <c r="BV402" s="5">
        <f>IF(A402="","",N(INDEX(Projects[Software Eng],401)))</f>
        <v/>
      </c>
      <c r="BW402" s="5">
        <f>IF(A402="","",N(INDEX(Projects[Misc],401)))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  <c r="BZ402" s="5">
        <f>INDEX(Projects[Solution Type],401)&amp;""</f>
        <v/>
      </c>
      <c r="CA402" s="5">
        <f>INDEX(Projects[Client / Region],401)&amp;""</f>
        <v/>
      </c>
      <c r="CB402" s="5">
        <f>INDEX(Projects[Year],401)</f>
        <v/>
      </c>
      <c r="CC402" s="5">
        <f>INDEX(Projects[Won?],401)&amp;""</f>
        <v/>
      </c>
      <c r="CD402" s="5">
        <f>INDEX(Projects[Value (USD M)],401)</f>
        <v/>
      </c>
      <c r="CE402" s="5">
        <f>INDEX(Projects[MH Data Status],401)&amp;""</f>
        <v/>
      </c>
    </row>
    <row r="403" ht="15" customHeight="1" s="74">
      <c r="A403" s="66">
        <f>INDEX(Projects[Project ID *],402)&amp;""</f>
        <v/>
      </c>
      <c r="B403" s="66">
        <f>INDEX(Projects[Project Name *],402)&amp;""</f>
        <v/>
      </c>
      <c r="C403" s="66">
        <f>INDEX(Projects[MS Shuttles],402)</f>
        <v/>
      </c>
      <c r="D403" s="66">
        <f>INDEX(Projects[MS Tote Locations],402)</f>
        <v/>
      </c>
      <c r="E403" s="66">
        <f>INDEX(Projects[AS Robots],402)</f>
        <v/>
      </c>
      <c r="F403" s="66">
        <f>INDEX(Projects[AS Tote Locations],402)</f>
        <v/>
      </c>
      <c r="G403" s="66">
        <f>INDEX(Projects[PS Shuttles],402)</f>
        <v/>
      </c>
      <c r="H403" s="66">
        <f>INDEX(Projects[PS Pallet Locations],402)</f>
        <v/>
      </c>
      <c r="I403" s="66">
        <f>INDEX(Projects[SRM Cranes],402)</f>
        <v/>
      </c>
      <c r="J403" s="66">
        <f>INDEX(Projects[SRM Pallet Locations],402)</f>
        <v/>
      </c>
      <c r="K403" s="66">
        <f>INDEX(Projects[Case Conv (m)],402)</f>
        <v/>
      </c>
      <c r="L403" s="66">
        <f>INDEX(Projects[Pallet Conv (m)],402)</f>
        <v/>
      </c>
      <c r="M403" s="66">
        <f>INDEX(Projects[Mech Eng (wks)],402)</f>
        <v/>
      </c>
      <c r="N403" s="66">
        <f>INDEX(Projects[Controls Eng (wks)],402)</f>
        <v/>
      </c>
      <c r="O403" s="66">
        <f>INDEX(Projects[Systems Eng (wks)],402)</f>
        <v/>
      </c>
      <c r="P403" s="66">
        <f>INDEX(Projects[Software Eng (wks)],402)</f>
        <v/>
      </c>
      <c r="Q403" s="66">
        <f>INDEX(Projects[M&amp;E Installation (wks)],402)</f>
        <v/>
      </c>
      <c r="R403" s="66">
        <f>INDEX(Projects[Commissioning (wks)],402)</f>
        <v/>
      </c>
      <c r="S403" s="66">
        <f>INDEX(Projects[Total Timeline (wks)],402)</f>
        <v/>
      </c>
      <c r="T403" s="66">
        <f>INDEX(Projects[Currency],402)&amp;""</f>
        <v/>
      </c>
      <c r="U403" s="67">
        <f>INDEX(Projects[Value (M)],402)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INDEX(Projects[Automation Equipment],402)&amp;""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IF(AND(A403&lt;&gt;"",OR('Smart Search'!$L$5="",'Smart Search'!$L$5="All",TRIM(BZ403)=TRIM('Smart Search'!$L$5)),OR(TRIM('Smart Search'!$L$6)="",TRIM('Smart Search'!$L$6)="All",ISNUMBER(SEARCH(SUBSTITUTE(SUBSTITUTE(SUBSTITUTE(TRIM('Smart Search'!$L$6),"~","~~"),"*","~*"),"?","~?"),CA403))),OR('Smart Search'!$L$7="",AND(CB403&lt;&gt;0,CB403='Smart Search'!$L$7)),OR('Smart Search'!$L$8="",'Smart Search'!$L$8="All",TRIM(CC403)=TRIM('Smart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IF(A403="","",N(INDEX(Projects[Mech Inst],402)))</f>
        <v/>
      </c>
      <c r="BK403" s="5">
        <f>IF(A403="","",N(INDEX(Projects[Elec Inst],402)))</f>
        <v/>
      </c>
      <c r="BL403" s="5">
        <f>IF(A403="","",N(INDEX(Projects[Project Management],402)))</f>
        <v/>
      </c>
      <c r="BM403" s="5">
        <f>IF(A403="","",N(INDEX(Projects[Systems Eng],402)))</f>
        <v/>
      </c>
      <c r="BN403" s="5">
        <f>IF(A403="","",N(INDEX(Projects[Mechanical Eng],402)))</f>
        <v/>
      </c>
      <c r="BO403" s="5">
        <f>IF(A403="","",N(INDEX(Projects[Structural Engineering],402)))</f>
        <v/>
      </c>
      <c r="BP403" s="5">
        <f>IF(A403="","",N(INDEX(Projects[Site Sup],402)))</f>
        <v/>
      </c>
      <c r="BQ403" s="5">
        <f>IF(A403="","",N(INDEX(Projects[Controls Commissioning],402)))</f>
        <v/>
      </c>
      <c r="BR403" s="5">
        <f>IF(A403="","",N(INDEX(Projects[Systems Commissioning],402)))</f>
        <v/>
      </c>
      <c r="BS403" s="5">
        <f>IF(A403="","",N(INDEX(Projects[Service Commissioning],402)))</f>
        <v/>
      </c>
      <c r="BT403" s="5">
        <f>IF(A403="","",N(INDEX(Projects[Controls Eng],402)))</f>
        <v/>
      </c>
      <c r="BU403" s="5">
        <f>IF(A403="","",N(INDEX(Projects[Controls Purchase],402)))</f>
        <v/>
      </c>
      <c r="BV403" s="5">
        <f>IF(A403="","",N(INDEX(Projects[Software Eng],402)))</f>
        <v/>
      </c>
      <c r="BW403" s="5">
        <f>IF(A403="","",N(INDEX(Projects[Misc],402)))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  <c r="BZ403" s="5">
        <f>INDEX(Projects[Solution Type],402)&amp;""</f>
        <v/>
      </c>
      <c r="CA403" s="5">
        <f>INDEX(Projects[Client / Region],402)&amp;""</f>
        <v/>
      </c>
      <c r="CB403" s="5">
        <f>INDEX(Projects[Year],402)</f>
        <v/>
      </c>
      <c r="CC403" s="5">
        <f>INDEX(Projects[Won?],402)&amp;""</f>
        <v/>
      </c>
      <c r="CD403" s="5">
        <f>INDEX(Projects[Value (USD M)],402)</f>
        <v/>
      </c>
      <c r="CE403" s="5">
        <f>INDEX(Projects[MH Data Status],402)&amp;""</f>
        <v/>
      </c>
    </row>
    <row r="404" ht="15" customHeight="1" s="74">
      <c r="A404" s="66">
        <f>INDEX(Projects[Project ID *],403)&amp;""</f>
        <v/>
      </c>
      <c r="B404" s="66">
        <f>INDEX(Projects[Project Name *],403)&amp;""</f>
        <v/>
      </c>
      <c r="C404" s="66">
        <f>INDEX(Projects[MS Shuttles],403)</f>
        <v/>
      </c>
      <c r="D404" s="66">
        <f>INDEX(Projects[MS Tote Locations],403)</f>
        <v/>
      </c>
      <c r="E404" s="66">
        <f>INDEX(Projects[AS Robots],403)</f>
        <v/>
      </c>
      <c r="F404" s="66">
        <f>INDEX(Projects[AS Tote Locations],403)</f>
        <v/>
      </c>
      <c r="G404" s="66">
        <f>INDEX(Projects[PS Shuttles],403)</f>
        <v/>
      </c>
      <c r="H404" s="66">
        <f>INDEX(Projects[PS Pallet Locations],403)</f>
        <v/>
      </c>
      <c r="I404" s="66">
        <f>INDEX(Projects[SRM Cranes],403)</f>
        <v/>
      </c>
      <c r="J404" s="66">
        <f>INDEX(Projects[SRM Pallet Locations],403)</f>
        <v/>
      </c>
      <c r="K404" s="66">
        <f>INDEX(Projects[Case Conv (m)],403)</f>
        <v/>
      </c>
      <c r="L404" s="66">
        <f>INDEX(Projects[Pallet Conv (m)],403)</f>
        <v/>
      </c>
      <c r="M404" s="66">
        <f>INDEX(Projects[Mech Eng (wks)],403)</f>
        <v/>
      </c>
      <c r="N404" s="66">
        <f>INDEX(Projects[Controls Eng (wks)],403)</f>
        <v/>
      </c>
      <c r="O404" s="66">
        <f>INDEX(Projects[Systems Eng (wks)],403)</f>
        <v/>
      </c>
      <c r="P404" s="66">
        <f>INDEX(Projects[Software Eng (wks)],403)</f>
        <v/>
      </c>
      <c r="Q404" s="66">
        <f>INDEX(Projects[M&amp;E Installation (wks)],403)</f>
        <v/>
      </c>
      <c r="R404" s="66">
        <f>INDEX(Projects[Commissioning (wks)],403)</f>
        <v/>
      </c>
      <c r="S404" s="66">
        <f>INDEX(Projects[Total Timeline (wks)],403)</f>
        <v/>
      </c>
      <c r="T404" s="66">
        <f>INDEX(Projects[Currency],403)&amp;""</f>
        <v/>
      </c>
      <c r="U404" s="67">
        <f>INDEX(Projects[Value (M)],403)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INDEX(Projects[Automation Equipment],403)&amp;""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IF(AND(A404&lt;&gt;"",OR('Smart Search'!$L$5="",'Smart Search'!$L$5="All",TRIM(BZ404)=TRIM('Smart Search'!$L$5)),OR(TRIM('Smart Search'!$L$6)="",TRIM('Smart Search'!$L$6)="All",ISNUMBER(SEARCH(SUBSTITUTE(SUBSTITUTE(SUBSTITUTE(TRIM('Smart Search'!$L$6),"~","~~"),"*","~*"),"?","~?"),CA404))),OR('Smart Search'!$L$7="",AND(CB404&lt;&gt;0,CB404='Smart Search'!$L$7)),OR('Smart Search'!$L$8="",'Smart Search'!$L$8="All",TRIM(CC404)=TRIM('Smart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IF(A404="","",N(INDEX(Projects[Mech Inst],403)))</f>
        <v/>
      </c>
      <c r="BK404" s="5">
        <f>IF(A404="","",N(INDEX(Projects[Elec Inst],403)))</f>
        <v/>
      </c>
      <c r="BL404" s="5">
        <f>IF(A404="","",N(INDEX(Projects[Project Management],403)))</f>
        <v/>
      </c>
      <c r="BM404" s="5">
        <f>IF(A404="","",N(INDEX(Projects[Systems Eng],403)))</f>
        <v/>
      </c>
      <c r="BN404" s="5">
        <f>IF(A404="","",N(INDEX(Projects[Mechanical Eng],403)))</f>
        <v/>
      </c>
      <c r="BO404" s="5">
        <f>IF(A404="","",N(INDEX(Projects[Structural Engineering],403)))</f>
        <v/>
      </c>
      <c r="BP404" s="5">
        <f>IF(A404="","",N(INDEX(Projects[Site Sup],403)))</f>
        <v/>
      </c>
      <c r="BQ404" s="5">
        <f>IF(A404="","",N(INDEX(Projects[Controls Commissioning],403)))</f>
        <v/>
      </c>
      <c r="BR404" s="5">
        <f>IF(A404="","",N(INDEX(Projects[Systems Commissioning],403)))</f>
        <v/>
      </c>
      <c r="BS404" s="5">
        <f>IF(A404="","",N(INDEX(Projects[Service Commissioning],403)))</f>
        <v/>
      </c>
      <c r="BT404" s="5">
        <f>IF(A404="","",N(INDEX(Projects[Controls Eng],403)))</f>
        <v/>
      </c>
      <c r="BU404" s="5">
        <f>IF(A404="","",N(INDEX(Projects[Controls Purchase],403)))</f>
        <v/>
      </c>
      <c r="BV404" s="5">
        <f>IF(A404="","",N(INDEX(Projects[Software Eng],403)))</f>
        <v/>
      </c>
      <c r="BW404" s="5">
        <f>IF(A404="","",N(INDEX(Projects[Misc],403)))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  <c r="BZ404" s="5">
        <f>INDEX(Projects[Solution Type],403)&amp;""</f>
        <v/>
      </c>
      <c r="CA404" s="5">
        <f>INDEX(Projects[Client / Region],403)&amp;""</f>
        <v/>
      </c>
      <c r="CB404" s="5">
        <f>INDEX(Projects[Year],403)</f>
        <v/>
      </c>
      <c r="CC404" s="5">
        <f>INDEX(Projects[Won?],403)&amp;""</f>
        <v/>
      </c>
      <c r="CD404" s="5">
        <f>INDEX(Projects[Value (USD M)],403)</f>
        <v/>
      </c>
      <c r="CE404" s="5">
        <f>INDEX(Projects[MH Data Status],403)&amp;""</f>
        <v/>
      </c>
    </row>
    <row r="405" ht="15" customHeight="1" s="74">
      <c r="A405" s="66">
        <f>INDEX(Projects[Project ID *],404)&amp;""</f>
        <v/>
      </c>
      <c r="B405" s="66">
        <f>INDEX(Projects[Project Name *],404)&amp;""</f>
        <v/>
      </c>
      <c r="C405" s="66">
        <f>INDEX(Projects[MS Shuttles],404)</f>
        <v/>
      </c>
      <c r="D405" s="66">
        <f>INDEX(Projects[MS Tote Locations],404)</f>
        <v/>
      </c>
      <c r="E405" s="66">
        <f>INDEX(Projects[AS Robots],404)</f>
        <v/>
      </c>
      <c r="F405" s="66">
        <f>INDEX(Projects[AS Tote Locations],404)</f>
        <v/>
      </c>
      <c r="G405" s="66">
        <f>INDEX(Projects[PS Shuttles],404)</f>
        <v/>
      </c>
      <c r="H405" s="66">
        <f>INDEX(Projects[PS Pallet Locations],404)</f>
        <v/>
      </c>
      <c r="I405" s="66">
        <f>INDEX(Projects[SRM Cranes],404)</f>
        <v/>
      </c>
      <c r="J405" s="66">
        <f>INDEX(Projects[SRM Pallet Locations],404)</f>
        <v/>
      </c>
      <c r="K405" s="66">
        <f>INDEX(Projects[Case Conv (m)],404)</f>
        <v/>
      </c>
      <c r="L405" s="66">
        <f>INDEX(Projects[Pallet Conv (m)],404)</f>
        <v/>
      </c>
      <c r="M405" s="66">
        <f>INDEX(Projects[Mech Eng (wks)],404)</f>
        <v/>
      </c>
      <c r="N405" s="66">
        <f>INDEX(Projects[Controls Eng (wks)],404)</f>
        <v/>
      </c>
      <c r="O405" s="66">
        <f>INDEX(Projects[Systems Eng (wks)],404)</f>
        <v/>
      </c>
      <c r="P405" s="66">
        <f>INDEX(Projects[Software Eng (wks)],404)</f>
        <v/>
      </c>
      <c r="Q405" s="66">
        <f>INDEX(Projects[M&amp;E Installation (wks)],404)</f>
        <v/>
      </c>
      <c r="R405" s="66">
        <f>INDEX(Projects[Commissioning (wks)],404)</f>
        <v/>
      </c>
      <c r="S405" s="66">
        <f>INDEX(Projects[Total Timeline (wks)],404)</f>
        <v/>
      </c>
      <c r="T405" s="66">
        <f>INDEX(Projects[Currency],404)&amp;""</f>
        <v/>
      </c>
      <c r="U405" s="67">
        <f>INDEX(Projects[Value (M)],404)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INDEX(Projects[Automation Equipment],404)&amp;""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IF(AND(A405&lt;&gt;"",OR('Smart Search'!$L$5="",'Smart Search'!$L$5="All",TRIM(BZ405)=TRIM('Smart Search'!$L$5)),OR(TRIM('Smart Search'!$L$6)="",TRIM('Smart Search'!$L$6)="All",ISNUMBER(SEARCH(SUBSTITUTE(SUBSTITUTE(SUBSTITUTE(TRIM('Smart Search'!$L$6),"~","~~"),"*","~*"),"?","~?"),CA405))),OR('Smart Search'!$L$7="",AND(CB405&lt;&gt;0,CB405='Smart Search'!$L$7)),OR('Smart Search'!$L$8="",'Smart Search'!$L$8="All",TRIM(CC405)=TRIM('Smart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IF(A405="","",N(INDEX(Projects[Mech Inst],404)))</f>
        <v/>
      </c>
      <c r="BK405" s="5">
        <f>IF(A405="","",N(INDEX(Projects[Elec Inst],404)))</f>
        <v/>
      </c>
      <c r="BL405" s="5">
        <f>IF(A405="","",N(INDEX(Projects[Project Management],404)))</f>
        <v/>
      </c>
      <c r="BM405" s="5">
        <f>IF(A405="","",N(INDEX(Projects[Systems Eng],404)))</f>
        <v/>
      </c>
      <c r="BN405" s="5">
        <f>IF(A405="","",N(INDEX(Projects[Mechanical Eng],404)))</f>
        <v/>
      </c>
      <c r="BO405" s="5">
        <f>IF(A405="","",N(INDEX(Projects[Structural Engineering],404)))</f>
        <v/>
      </c>
      <c r="BP405" s="5">
        <f>IF(A405="","",N(INDEX(Projects[Site Sup],404)))</f>
        <v/>
      </c>
      <c r="BQ405" s="5">
        <f>IF(A405="","",N(INDEX(Projects[Controls Commissioning],404)))</f>
        <v/>
      </c>
      <c r="BR405" s="5">
        <f>IF(A405="","",N(INDEX(Projects[Systems Commissioning],404)))</f>
        <v/>
      </c>
      <c r="BS405" s="5">
        <f>IF(A405="","",N(INDEX(Projects[Service Commissioning],404)))</f>
        <v/>
      </c>
      <c r="BT405" s="5">
        <f>IF(A405="","",N(INDEX(Projects[Controls Eng],404)))</f>
        <v/>
      </c>
      <c r="BU405" s="5">
        <f>IF(A405="","",N(INDEX(Projects[Controls Purchase],404)))</f>
        <v/>
      </c>
      <c r="BV405" s="5">
        <f>IF(A405="","",N(INDEX(Projects[Software Eng],404)))</f>
        <v/>
      </c>
      <c r="BW405" s="5">
        <f>IF(A405="","",N(INDEX(Projects[Misc],404)))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  <c r="BZ405" s="5">
        <f>INDEX(Projects[Solution Type],404)&amp;""</f>
        <v/>
      </c>
      <c r="CA405" s="5">
        <f>INDEX(Projects[Client / Region],404)&amp;""</f>
        <v/>
      </c>
      <c r="CB405" s="5">
        <f>INDEX(Projects[Year],404)</f>
        <v/>
      </c>
      <c r="CC405" s="5">
        <f>INDEX(Projects[Won?],404)&amp;""</f>
        <v/>
      </c>
      <c r="CD405" s="5">
        <f>INDEX(Projects[Value (USD M)],404)</f>
        <v/>
      </c>
      <c r="CE405" s="5">
        <f>INDEX(Projects[MH Data Status],404)&amp;""</f>
        <v/>
      </c>
    </row>
    <row r="406" ht="15" customHeight="1" s="74">
      <c r="A406" s="66">
        <f>INDEX(Projects[Project ID *],405)&amp;""</f>
        <v/>
      </c>
      <c r="B406" s="66">
        <f>INDEX(Projects[Project Name *],405)&amp;""</f>
        <v/>
      </c>
      <c r="C406" s="66">
        <f>INDEX(Projects[MS Shuttles],405)</f>
        <v/>
      </c>
      <c r="D406" s="66">
        <f>INDEX(Projects[MS Tote Locations],405)</f>
        <v/>
      </c>
      <c r="E406" s="66">
        <f>INDEX(Projects[AS Robots],405)</f>
        <v/>
      </c>
      <c r="F406" s="66">
        <f>INDEX(Projects[AS Tote Locations],405)</f>
        <v/>
      </c>
      <c r="G406" s="66">
        <f>INDEX(Projects[PS Shuttles],405)</f>
        <v/>
      </c>
      <c r="H406" s="66">
        <f>INDEX(Projects[PS Pallet Locations],405)</f>
        <v/>
      </c>
      <c r="I406" s="66">
        <f>INDEX(Projects[SRM Cranes],405)</f>
        <v/>
      </c>
      <c r="J406" s="66">
        <f>INDEX(Projects[SRM Pallet Locations],405)</f>
        <v/>
      </c>
      <c r="K406" s="66">
        <f>INDEX(Projects[Case Conv (m)],405)</f>
        <v/>
      </c>
      <c r="L406" s="66">
        <f>INDEX(Projects[Pallet Conv (m)],405)</f>
        <v/>
      </c>
      <c r="M406" s="66">
        <f>INDEX(Projects[Mech Eng (wks)],405)</f>
        <v/>
      </c>
      <c r="N406" s="66">
        <f>INDEX(Projects[Controls Eng (wks)],405)</f>
        <v/>
      </c>
      <c r="O406" s="66">
        <f>INDEX(Projects[Systems Eng (wks)],405)</f>
        <v/>
      </c>
      <c r="P406" s="66">
        <f>INDEX(Projects[Software Eng (wks)],405)</f>
        <v/>
      </c>
      <c r="Q406" s="66">
        <f>INDEX(Projects[M&amp;E Installation (wks)],405)</f>
        <v/>
      </c>
      <c r="R406" s="66">
        <f>INDEX(Projects[Commissioning (wks)],405)</f>
        <v/>
      </c>
      <c r="S406" s="66">
        <f>INDEX(Projects[Total Timeline (wks)],405)</f>
        <v/>
      </c>
      <c r="T406" s="66">
        <f>INDEX(Projects[Currency],405)&amp;""</f>
        <v/>
      </c>
      <c r="U406" s="67">
        <f>INDEX(Projects[Value (M)],405)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INDEX(Projects[Automation Equipment],405)&amp;""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IF(AND(A406&lt;&gt;"",OR('Smart Search'!$L$5="",'Smart Search'!$L$5="All",TRIM(BZ406)=TRIM('Smart Search'!$L$5)),OR(TRIM('Smart Search'!$L$6)="",TRIM('Smart Search'!$L$6)="All",ISNUMBER(SEARCH(SUBSTITUTE(SUBSTITUTE(SUBSTITUTE(TRIM('Smart Search'!$L$6),"~","~~"),"*","~*"),"?","~?"),CA406))),OR('Smart Search'!$L$7="",AND(CB406&lt;&gt;0,CB406='Smart Search'!$L$7)),OR('Smart Search'!$L$8="",'Smart Search'!$L$8="All",TRIM(CC406)=TRIM('Smart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IF(A406="","",N(INDEX(Projects[Mech Inst],405)))</f>
        <v/>
      </c>
      <c r="BK406" s="5">
        <f>IF(A406="","",N(INDEX(Projects[Elec Inst],405)))</f>
        <v/>
      </c>
      <c r="BL406" s="5">
        <f>IF(A406="","",N(INDEX(Projects[Project Management],405)))</f>
        <v/>
      </c>
      <c r="BM406" s="5">
        <f>IF(A406="","",N(INDEX(Projects[Systems Eng],405)))</f>
        <v/>
      </c>
      <c r="BN406" s="5">
        <f>IF(A406="","",N(INDEX(Projects[Mechanical Eng],405)))</f>
        <v/>
      </c>
      <c r="BO406" s="5">
        <f>IF(A406="","",N(INDEX(Projects[Structural Engineering],405)))</f>
        <v/>
      </c>
      <c r="BP406" s="5">
        <f>IF(A406="","",N(INDEX(Projects[Site Sup],405)))</f>
        <v/>
      </c>
      <c r="BQ406" s="5">
        <f>IF(A406="","",N(INDEX(Projects[Controls Commissioning],405)))</f>
        <v/>
      </c>
      <c r="BR406" s="5">
        <f>IF(A406="","",N(INDEX(Projects[Systems Commissioning],405)))</f>
        <v/>
      </c>
      <c r="BS406" s="5">
        <f>IF(A406="","",N(INDEX(Projects[Service Commissioning],405)))</f>
        <v/>
      </c>
      <c r="BT406" s="5">
        <f>IF(A406="","",N(INDEX(Projects[Controls Eng],405)))</f>
        <v/>
      </c>
      <c r="BU406" s="5">
        <f>IF(A406="","",N(INDEX(Projects[Controls Purchase],405)))</f>
        <v/>
      </c>
      <c r="BV406" s="5">
        <f>IF(A406="","",N(INDEX(Projects[Software Eng],405)))</f>
        <v/>
      </c>
      <c r="BW406" s="5">
        <f>IF(A406="","",N(INDEX(Projects[Misc],405)))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  <c r="BZ406" s="5">
        <f>INDEX(Projects[Solution Type],405)&amp;""</f>
        <v/>
      </c>
      <c r="CA406" s="5">
        <f>INDEX(Projects[Client / Region],405)&amp;""</f>
        <v/>
      </c>
      <c r="CB406" s="5">
        <f>INDEX(Projects[Year],405)</f>
        <v/>
      </c>
      <c r="CC406" s="5">
        <f>INDEX(Projects[Won?],405)&amp;""</f>
        <v/>
      </c>
      <c r="CD406" s="5">
        <f>INDEX(Projects[Value (USD M)],405)</f>
        <v/>
      </c>
      <c r="CE406" s="5">
        <f>INDEX(Projects[MH Data Status],405)&amp;""</f>
        <v/>
      </c>
    </row>
    <row r="407" ht="15" customHeight="1" s="74">
      <c r="A407" s="66">
        <f>INDEX(Projects[Project ID *],406)&amp;""</f>
        <v/>
      </c>
      <c r="B407" s="66">
        <f>INDEX(Projects[Project Name *],406)&amp;""</f>
        <v/>
      </c>
      <c r="C407" s="66">
        <f>INDEX(Projects[MS Shuttles],406)</f>
        <v/>
      </c>
      <c r="D407" s="66">
        <f>INDEX(Projects[MS Tote Locations],406)</f>
        <v/>
      </c>
      <c r="E407" s="66">
        <f>INDEX(Projects[AS Robots],406)</f>
        <v/>
      </c>
      <c r="F407" s="66">
        <f>INDEX(Projects[AS Tote Locations],406)</f>
        <v/>
      </c>
      <c r="G407" s="66">
        <f>INDEX(Projects[PS Shuttles],406)</f>
        <v/>
      </c>
      <c r="H407" s="66">
        <f>INDEX(Projects[PS Pallet Locations],406)</f>
        <v/>
      </c>
      <c r="I407" s="66">
        <f>INDEX(Projects[SRM Cranes],406)</f>
        <v/>
      </c>
      <c r="J407" s="66">
        <f>INDEX(Projects[SRM Pallet Locations],406)</f>
        <v/>
      </c>
      <c r="K407" s="66">
        <f>INDEX(Projects[Case Conv (m)],406)</f>
        <v/>
      </c>
      <c r="L407" s="66">
        <f>INDEX(Projects[Pallet Conv (m)],406)</f>
        <v/>
      </c>
      <c r="M407" s="66">
        <f>INDEX(Projects[Mech Eng (wks)],406)</f>
        <v/>
      </c>
      <c r="N407" s="66">
        <f>INDEX(Projects[Controls Eng (wks)],406)</f>
        <v/>
      </c>
      <c r="O407" s="66">
        <f>INDEX(Projects[Systems Eng (wks)],406)</f>
        <v/>
      </c>
      <c r="P407" s="66">
        <f>INDEX(Projects[Software Eng (wks)],406)</f>
        <v/>
      </c>
      <c r="Q407" s="66">
        <f>INDEX(Projects[M&amp;E Installation (wks)],406)</f>
        <v/>
      </c>
      <c r="R407" s="66">
        <f>INDEX(Projects[Commissioning (wks)],406)</f>
        <v/>
      </c>
      <c r="S407" s="66">
        <f>INDEX(Projects[Total Timeline (wks)],406)</f>
        <v/>
      </c>
      <c r="T407" s="66">
        <f>INDEX(Projects[Currency],406)&amp;""</f>
        <v/>
      </c>
      <c r="U407" s="67">
        <f>INDEX(Projects[Value (M)],406)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INDEX(Projects[Automation Equipment],406)&amp;""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IF(AND(A407&lt;&gt;"",OR('Smart Search'!$L$5="",'Smart Search'!$L$5="All",TRIM(BZ407)=TRIM('Smart Search'!$L$5)),OR(TRIM('Smart Search'!$L$6)="",TRIM('Smart Search'!$L$6)="All",ISNUMBER(SEARCH(SUBSTITUTE(SUBSTITUTE(SUBSTITUTE(TRIM('Smart Search'!$L$6),"~","~~"),"*","~*"),"?","~?"),CA407))),OR('Smart Search'!$L$7="",AND(CB407&lt;&gt;0,CB407='Smart Search'!$L$7)),OR('Smart Search'!$L$8="",'Smart Search'!$L$8="All",TRIM(CC407)=TRIM('Smart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IF(A407="","",N(INDEX(Projects[Mech Inst],406)))</f>
        <v/>
      </c>
      <c r="BK407" s="5">
        <f>IF(A407="","",N(INDEX(Projects[Elec Inst],406)))</f>
        <v/>
      </c>
      <c r="BL407" s="5">
        <f>IF(A407="","",N(INDEX(Projects[Project Management],406)))</f>
        <v/>
      </c>
      <c r="BM407" s="5">
        <f>IF(A407="","",N(INDEX(Projects[Systems Eng],406)))</f>
        <v/>
      </c>
      <c r="BN407" s="5">
        <f>IF(A407="","",N(INDEX(Projects[Mechanical Eng],406)))</f>
        <v/>
      </c>
      <c r="BO407" s="5">
        <f>IF(A407="","",N(INDEX(Projects[Structural Engineering],406)))</f>
        <v/>
      </c>
      <c r="BP407" s="5">
        <f>IF(A407="","",N(INDEX(Projects[Site Sup],406)))</f>
        <v/>
      </c>
      <c r="BQ407" s="5">
        <f>IF(A407="","",N(INDEX(Projects[Controls Commissioning],406)))</f>
        <v/>
      </c>
      <c r="BR407" s="5">
        <f>IF(A407="","",N(INDEX(Projects[Systems Commissioning],406)))</f>
        <v/>
      </c>
      <c r="BS407" s="5">
        <f>IF(A407="","",N(INDEX(Projects[Service Commissioning],406)))</f>
        <v/>
      </c>
      <c r="BT407" s="5">
        <f>IF(A407="","",N(INDEX(Projects[Controls Eng],406)))</f>
        <v/>
      </c>
      <c r="BU407" s="5">
        <f>IF(A407="","",N(INDEX(Projects[Controls Purchase],406)))</f>
        <v/>
      </c>
      <c r="BV407" s="5">
        <f>IF(A407="","",N(INDEX(Projects[Software Eng],406)))</f>
        <v/>
      </c>
      <c r="BW407" s="5">
        <f>IF(A407="","",N(INDEX(Projects[Misc],406)))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  <c r="BZ407" s="5">
        <f>INDEX(Projects[Solution Type],406)&amp;""</f>
        <v/>
      </c>
      <c r="CA407" s="5">
        <f>INDEX(Projects[Client / Region],406)&amp;""</f>
        <v/>
      </c>
      <c r="CB407" s="5">
        <f>INDEX(Projects[Year],406)</f>
        <v/>
      </c>
      <c r="CC407" s="5">
        <f>INDEX(Projects[Won?],406)&amp;""</f>
        <v/>
      </c>
      <c r="CD407" s="5">
        <f>INDEX(Projects[Value (USD M)],406)</f>
        <v/>
      </c>
      <c r="CE407" s="5">
        <f>INDEX(Projects[MH Data Status],406)&amp;""</f>
        <v/>
      </c>
    </row>
    <row r="408" ht="15" customHeight="1" s="74">
      <c r="A408" s="66">
        <f>INDEX(Projects[Project ID *],407)&amp;""</f>
        <v/>
      </c>
      <c r="B408" s="66">
        <f>INDEX(Projects[Project Name *],407)&amp;""</f>
        <v/>
      </c>
      <c r="C408" s="66">
        <f>INDEX(Projects[MS Shuttles],407)</f>
        <v/>
      </c>
      <c r="D408" s="66">
        <f>INDEX(Projects[MS Tote Locations],407)</f>
        <v/>
      </c>
      <c r="E408" s="66">
        <f>INDEX(Projects[AS Robots],407)</f>
        <v/>
      </c>
      <c r="F408" s="66">
        <f>INDEX(Projects[AS Tote Locations],407)</f>
        <v/>
      </c>
      <c r="G408" s="66">
        <f>INDEX(Projects[PS Shuttles],407)</f>
        <v/>
      </c>
      <c r="H408" s="66">
        <f>INDEX(Projects[PS Pallet Locations],407)</f>
        <v/>
      </c>
      <c r="I408" s="66">
        <f>INDEX(Projects[SRM Cranes],407)</f>
        <v/>
      </c>
      <c r="J408" s="66">
        <f>INDEX(Projects[SRM Pallet Locations],407)</f>
        <v/>
      </c>
      <c r="K408" s="66">
        <f>INDEX(Projects[Case Conv (m)],407)</f>
        <v/>
      </c>
      <c r="L408" s="66">
        <f>INDEX(Projects[Pallet Conv (m)],407)</f>
        <v/>
      </c>
      <c r="M408" s="66">
        <f>INDEX(Projects[Mech Eng (wks)],407)</f>
        <v/>
      </c>
      <c r="N408" s="66">
        <f>INDEX(Projects[Controls Eng (wks)],407)</f>
        <v/>
      </c>
      <c r="O408" s="66">
        <f>INDEX(Projects[Systems Eng (wks)],407)</f>
        <v/>
      </c>
      <c r="P408" s="66">
        <f>INDEX(Projects[Software Eng (wks)],407)</f>
        <v/>
      </c>
      <c r="Q408" s="66">
        <f>INDEX(Projects[M&amp;E Installation (wks)],407)</f>
        <v/>
      </c>
      <c r="R408" s="66">
        <f>INDEX(Projects[Commissioning (wks)],407)</f>
        <v/>
      </c>
      <c r="S408" s="66">
        <f>INDEX(Projects[Total Timeline (wks)],407)</f>
        <v/>
      </c>
      <c r="T408" s="66">
        <f>INDEX(Projects[Currency],407)&amp;""</f>
        <v/>
      </c>
      <c r="U408" s="67">
        <f>INDEX(Projects[Value (M)],407)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INDEX(Projects[Automation Equipment],407)&amp;""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IF(AND(A408&lt;&gt;"",OR('Smart Search'!$L$5="",'Smart Search'!$L$5="All",TRIM(BZ408)=TRIM('Smart Search'!$L$5)),OR(TRIM('Smart Search'!$L$6)="",TRIM('Smart Search'!$L$6)="All",ISNUMBER(SEARCH(SUBSTITUTE(SUBSTITUTE(SUBSTITUTE(TRIM('Smart Search'!$L$6),"~","~~"),"*","~*"),"?","~?"),CA408))),OR('Smart Search'!$L$7="",AND(CB408&lt;&gt;0,CB408='Smart Search'!$L$7)),OR('Smart Search'!$L$8="",'Smart Search'!$L$8="All",TRIM(CC408)=TRIM('Smart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IF(A408="","",N(INDEX(Projects[Mech Inst],407)))</f>
        <v/>
      </c>
      <c r="BK408" s="5">
        <f>IF(A408="","",N(INDEX(Projects[Elec Inst],407)))</f>
        <v/>
      </c>
      <c r="BL408" s="5">
        <f>IF(A408="","",N(INDEX(Projects[Project Management],407)))</f>
        <v/>
      </c>
      <c r="BM408" s="5">
        <f>IF(A408="","",N(INDEX(Projects[Systems Eng],407)))</f>
        <v/>
      </c>
      <c r="BN408" s="5">
        <f>IF(A408="","",N(INDEX(Projects[Mechanical Eng],407)))</f>
        <v/>
      </c>
      <c r="BO408" s="5">
        <f>IF(A408="","",N(INDEX(Projects[Structural Engineering],407)))</f>
        <v/>
      </c>
      <c r="BP408" s="5">
        <f>IF(A408="","",N(INDEX(Projects[Site Sup],407)))</f>
        <v/>
      </c>
      <c r="BQ408" s="5">
        <f>IF(A408="","",N(INDEX(Projects[Controls Commissioning],407)))</f>
        <v/>
      </c>
      <c r="BR408" s="5">
        <f>IF(A408="","",N(INDEX(Projects[Systems Commissioning],407)))</f>
        <v/>
      </c>
      <c r="BS408" s="5">
        <f>IF(A408="","",N(INDEX(Projects[Service Commissioning],407)))</f>
        <v/>
      </c>
      <c r="BT408" s="5">
        <f>IF(A408="","",N(INDEX(Projects[Controls Eng],407)))</f>
        <v/>
      </c>
      <c r="BU408" s="5">
        <f>IF(A408="","",N(INDEX(Projects[Controls Purchase],407)))</f>
        <v/>
      </c>
      <c r="BV408" s="5">
        <f>IF(A408="","",N(INDEX(Projects[Software Eng],407)))</f>
        <v/>
      </c>
      <c r="BW408" s="5">
        <f>IF(A408="","",N(INDEX(Projects[Misc],407)))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  <c r="BZ408" s="5">
        <f>INDEX(Projects[Solution Type],407)&amp;""</f>
        <v/>
      </c>
      <c r="CA408" s="5">
        <f>INDEX(Projects[Client / Region],407)&amp;""</f>
        <v/>
      </c>
      <c r="CB408" s="5">
        <f>INDEX(Projects[Year],407)</f>
        <v/>
      </c>
      <c r="CC408" s="5">
        <f>INDEX(Projects[Won?],407)&amp;""</f>
        <v/>
      </c>
      <c r="CD408" s="5">
        <f>INDEX(Projects[Value (USD M)],407)</f>
        <v/>
      </c>
      <c r="CE408" s="5">
        <f>INDEX(Projects[MH Data Status],407)&amp;""</f>
        <v/>
      </c>
    </row>
    <row r="409" ht="15" customHeight="1" s="74">
      <c r="A409" s="66">
        <f>INDEX(Projects[Project ID *],408)&amp;""</f>
        <v/>
      </c>
      <c r="B409" s="66">
        <f>INDEX(Projects[Project Name *],408)&amp;""</f>
        <v/>
      </c>
      <c r="C409" s="66">
        <f>INDEX(Projects[MS Shuttles],408)</f>
        <v/>
      </c>
      <c r="D409" s="66">
        <f>INDEX(Projects[MS Tote Locations],408)</f>
        <v/>
      </c>
      <c r="E409" s="66">
        <f>INDEX(Projects[AS Robots],408)</f>
        <v/>
      </c>
      <c r="F409" s="66">
        <f>INDEX(Projects[AS Tote Locations],408)</f>
        <v/>
      </c>
      <c r="G409" s="66">
        <f>INDEX(Projects[PS Shuttles],408)</f>
        <v/>
      </c>
      <c r="H409" s="66">
        <f>INDEX(Projects[PS Pallet Locations],408)</f>
        <v/>
      </c>
      <c r="I409" s="66">
        <f>INDEX(Projects[SRM Cranes],408)</f>
        <v/>
      </c>
      <c r="J409" s="66">
        <f>INDEX(Projects[SRM Pallet Locations],408)</f>
        <v/>
      </c>
      <c r="K409" s="66">
        <f>INDEX(Projects[Case Conv (m)],408)</f>
        <v/>
      </c>
      <c r="L409" s="66">
        <f>INDEX(Projects[Pallet Conv (m)],408)</f>
        <v/>
      </c>
      <c r="M409" s="66">
        <f>INDEX(Projects[Mech Eng (wks)],408)</f>
        <v/>
      </c>
      <c r="N409" s="66">
        <f>INDEX(Projects[Controls Eng (wks)],408)</f>
        <v/>
      </c>
      <c r="O409" s="66">
        <f>INDEX(Projects[Systems Eng (wks)],408)</f>
        <v/>
      </c>
      <c r="P409" s="66">
        <f>INDEX(Projects[Software Eng (wks)],408)</f>
        <v/>
      </c>
      <c r="Q409" s="66">
        <f>INDEX(Projects[M&amp;E Installation (wks)],408)</f>
        <v/>
      </c>
      <c r="R409" s="66">
        <f>INDEX(Projects[Commissioning (wks)],408)</f>
        <v/>
      </c>
      <c r="S409" s="66">
        <f>INDEX(Projects[Total Timeline (wks)],408)</f>
        <v/>
      </c>
      <c r="T409" s="66">
        <f>INDEX(Projects[Currency],408)&amp;""</f>
        <v/>
      </c>
      <c r="U409" s="67">
        <f>INDEX(Projects[Value (M)],408)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INDEX(Projects[Automation Equipment],408)&amp;""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IF(AND(A409&lt;&gt;"",OR('Smart Search'!$L$5="",'Smart Search'!$L$5="All",TRIM(BZ409)=TRIM('Smart Search'!$L$5)),OR(TRIM('Smart Search'!$L$6)="",TRIM('Smart Search'!$L$6)="All",ISNUMBER(SEARCH(SUBSTITUTE(SUBSTITUTE(SUBSTITUTE(TRIM('Smart Search'!$L$6),"~","~~"),"*","~*"),"?","~?"),CA409))),OR('Smart Search'!$L$7="",AND(CB409&lt;&gt;0,CB409='Smart Search'!$L$7)),OR('Smart Search'!$L$8="",'Smart Search'!$L$8="All",TRIM(CC409)=TRIM('Smart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IF(A409="","",N(INDEX(Projects[Mech Inst],408)))</f>
        <v/>
      </c>
      <c r="BK409" s="5">
        <f>IF(A409="","",N(INDEX(Projects[Elec Inst],408)))</f>
        <v/>
      </c>
      <c r="BL409" s="5">
        <f>IF(A409="","",N(INDEX(Projects[Project Management],408)))</f>
        <v/>
      </c>
      <c r="BM409" s="5">
        <f>IF(A409="","",N(INDEX(Projects[Systems Eng],408)))</f>
        <v/>
      </c>
      <c r="BN409" s="5">
        <f>IF(A409="","",N(INDEX(Projects[Mechanical Eng],408)))</f>
        <v/>
      </c>
      <c r="BO409" s="5">
        <f>IF(A409="","",N(INDEX(Projects[Structural Engineering],408)))</f>
        <v/>
      </c>
      <c r="BP409" s="5">
        <f>IF(A409="","",N(INDEX(Projects[Site Sup],408)))</f>
        <v/>
      </c>
      <c r="BQ409" s="5">
        <f>IF(A409="","",N(INDEX(Projects[Controls Commissioning],408)))</f>
        <v/>
      </c>
      <c r="BR409" s="5">
        <f>IF(A409="","",N(INDEX(Projects[Systems Commissioning],408)))</f>
        <v/>
      </c>
      <c r="BS409" s="5">
        <f>IF(A409="","",N(INDEX(Projects[Service Commissioning],408)))</f>
        <v/>
      </c>
      <c r="BT409" s="5">
        <f>IF(A409="","",N(INDEX(Projects[Controls Eng],408)))</f>
        <v/>
      </c>
      <c r="BU409" s="5">
        <f>IF(A409="","",N(INDEX(Projects[Controls Purchase],408)))</f>
        <v/>
      </c>
      <c r="BV409" s="5">
        <f>IF(A409="","",N(INDEX(Projects[Software Eng],408)))</f>
        <v/>
      </c>
      <c r="BW409" s="5">
        <f>IF(A409="","",N(INDEX(Projects[Misc],408)))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  <c r="BZ409" s="5">
        <f>INDEX(Projects[Solution Type],408)&amp;""</f>
        <v/>
      </c>
      <c r="CA409" s="5">
        <f>INDEX(Projects[Client / Region],408)&amp;""</f>
        <v/>
      </c>
      <c r="CB409" s="5">
        <f>INDEX(Projects[Year],408)</f>
        <v/>
      </c>
      <c r="CC409" s="5">
        <f>INDEX(Projects[Won?],408)&amp;""</f>
        <v/>
      </c>
      <c r="CD409" s="5">
        <f>INDEX(Projects[Value (USD M)],408)</f>
        <v/>
      </c>
      <c r="CE409" s="5">
        <f>INDEX(Projects[MH Data Status],408)&amp;""</f>
        <v/>
      </c>
    </row>
    <row r="410" ht="15" customHeight="1" s="74">
      <c r="A410" s="66">
        <f>INDEX(Projects[Project ID *],409)&amp;""</f>
        <v/>
      </c>
      <c r="B410" s="66">
        <f>INDEX(Projects[Project Name *],409)&amp;""</f>
        <v/>
      </c>
      <c r="C410" s="66">
        <f>INDEX(Projects[MS Shuttles],409)</f>
        <v/>
      </c>
      <c r="D410" s="66">
        <f>INDEX(Projects[MS Tote Locations],409)</f>
        <v/>
      </c>
      <c r="E410" s="66">
        <f>INDEX(Projects[AS Robots],409)</f>
        <v/>
      </c>
      <c r="F410" s="66">
        <f>INDEX(Projects[AS Tote Locations],409)</f>
        <v/>
      </c>
      <c r="G410" s="66">
        <f>INDEX(Projects[PS Shuttles],409)</f>
        <v/>
      </c>
      <c r="H410" s="66">
        <f>INDEX(Projects[PS Pallet Locations],409)</f>
        <v/>
      </c>
      <c r="I410" s="66">
        <f>INDEX(Projects[SRM Cranes],409)</f>
        <v/>
      </c>
      <c r="J410" s="66">
        <f>INDEX(Projects[SRM Pallet Locations],409)</f>
        <v/>
      </c>
      <c r="K410" s="66">
        <f>INDEX(Projects[Case Conv (m)],409)</f>
        <v/>
      </c>
      <c r="L410" s="66">
        <f>INDEX(Projects[Pallet Conv (m)],409)</f>
        <v/>
      </c>
      <c r="M410" s="66">
        <f>INDEX(Projects[Mech Eng (wks)],409)</f>
        <v/>
      </c>
      <c r="N410" s="66">
        <f>INDEX(Projects[Controls Eng (wks)],409)</f>
        <v/>
      </c>
      <c r="O410" s="66">
        <f>INDEX(Projects[Systems Eng (wks)],409)</f>
        <v/>
      </c>
      <c r="P410" s="66">
        <f>INDEX(Projects[Software Eng (wks)],409)</f>
        <v/>
      </c>
      <c r="Q410" s="66">
        <f>INDEX(Projects[M&amp;E Installation (wks)],409)</f>
        <v/>
      </c>
      <c r="R410" s="66">
        <f>INDEX(Projects[Commissioning (wks)],409)</f>
        <v/>
      </c>
      <c r="S410" s="66">
        <f>INDEX(Projects[Total Timeline (wks)],409)</f>
        <v/>
      </c>
      <c r="T410" s="66">
        <f>INDEX(Projects[Currency],409)&amp;""</f>
        <v/>
      </c>
      <c r="U410" s="67">
        <f>INDEX(Projects[Value (M)],409)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INDEX(Projects[Automation Equipment],409)&amp;""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IF(AND(A410&lt;&gt;"",OR('Smart Search'!$L$5="",'Smart Search'!$L$5="All",TRIM(BZ410)=TRIM('Smart Search'!$L$5)),OR(TRIM('Smart Search'!$L$6)="",TRIM('Smart Search'!$L$6)="All",ISNUMBER(SEARCH(SUBSTITUTE(SUBSTITUTE(SUBSTITUTE(TRIM('Smart Search'!$L$6),"~","~~"),"*","~*"),"?","~?"),CA410))),OR('Smart Search'!$L$7="",AND(CB410&lt;&gt;0,CB410='Smart Search'!$L$7)),OR('Smart Search'!$L$8="",'Smart Search'!$L$8="All",TRIM(CC410)=TRIM('Smart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IF(A410="","",N(INDEX(Projects[Mech Inst],409)))</f>
        <v/>
      </c>
      <c r="BK410" s="5">
        <f>IF(A410="","",N(INDEX(Projects[Elec Inst],409)))</f>
        <v/>
      </c>
      <c r="BL410" s="5">
        <f>IF(A410="","",N(INDEX(Projects[Project Management],409)))</f>
        <v/>
      </c>
      <c r="BM410" s="5">
        <f>IF(A410="","",N(INDEX(Projects[Systems Eng],409)))</f>
        <v/>
      </c>
      <c r="BN410" s="5">
        <f>IF(A410="","",N(INDEX(Projects[Mechanical Eng],409)))</f>
        <v/>
      </c>
      <c r="BO410" s="5">
        <f>IF(A410="","",N(INDEX(Projects[Structural Engineering],409)))</f>
        <v/>
      </c>
      <c r="BP410" s="5">
        <f>IF(A410="","",N(INDEX(Projects[Site Sup],409)))</f>
        <v/>
      </c>
      <c r="BQ410" s="5">
        <f>IF(A410="","",N(INDEX(Projects[Controls Commissioning],409)))</f>
        <v/>
      </c>
      <c r="BR410" s="5">
        <f>IF(A410="","",N(INDEX(Projects[Systems Commissioning],409)))</f>
        <v/>
      </c>
      <c r="BS410" s="5">
        <f>IF(A410="","",N(INDEX(Projects[Service Commissioning],409)))</f>
        <v/>
      </c>
      <c r="BT410" s="5">
        <f>IF(A410="","",N(INDEX(Projects[Controls Eng],409)))</f>
        <v/>
      </c>
      <c r="BU410" s="5">
        <f>IF(A410="","",N(INDEX(Projects[Controls Purchase],409)))</f>
        <v/>
      </c>
      <c r="BV410" s="5">
        <f>IF(A410="","",N(INDEX(Projects[Software Eng],409)))</f>
        <v/>
      </c>
      <c r="BW410" s="5">
        <f>IF(A410="","",N(INDEX(Projects[Misc],409)))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  <c r="BZ410" s="5">
        <f>INDEX(Projects[Solution Type],409)&amp;""</f>
        <v/>
      </c>
      <c r="CA410" s="5">
        <f>INDEX(Projects[Client / Region],409)&amp;""</f>
        <v/>
      </c>
      <c r="CB410" s="5">
        <f>INDEX(Projects[Year],409)</f>
        <v/>
      </c>
      <c r="CC410" s="5">
        <f>INDEX(Projects[Won?],409)&amp;""</f>
        <v/>
      </c>
      <c r="CD410" s="5">
        <f>INDEX(Projects[Value (USD M)],409)</f>
        <v/>
      </c>
      <c r="CE410" s="5">
        <f>INDEX(Projects[MH Data Status],409)&amp;""</f>
        <v/>
      </c>
    </row>
    <row r="411" ht="15" customHeight="1" s="74">
      <c r="A411" s="66">
        <f>INDEX(Projects[Project ID *],410)&amp;""</f>
        <v/>
      </c>
      <c r="B411" s="66">
        <f>INDEX(Projects[Project Name *],410)&amp;""</f>
        <v/>
      </c>
      <c r="C411" s="66">
        <f>INDEX(Projects[MS Shuttles],410)</f>
        <v/>
      </c>
      <c r="D411" s="66">
        <f>INDEX(Projects[MS Tote Locations],410)</f>
        <v/>
      </c>
      <c r="E411" s="66">
        <f>INDEX(Projects[AS Robots],410)</f>
        <v/>
      </c>
      <c r="F411" s="66">
        <f>INDEX(Projects[AS Tote Locations],410)</f>
        <v/>
      </c>
      <c r="G411" s="66">
        <f>INDEX(Projects[PS Shuttles],410)</f>
        <v/>
      </c>
      <c r="H411" s="66">
        <f>INDEX(Projects[PS Pallet Locations],410)</f>
        <v/>
      </c>
      <c r="I411" s="66">
        <f>INDEX(Projects[SRM Cranes],410)</f>
        <v/>
      </c>
      <c r="J411" s="66">
        <f>INDEX(Projects[SRM Pallet Locations],410)</f>
        <v/>
      </c>
      <c r="K411" s="66">
        <f>INDEX(Projects[Case Conv (m)],410)</f>
        <v/>
      </c>
      <c r="L411" s="66">
        <f>INDEX(Projects[Pallet Conv (m)],410)</f>
        <v/>
      </c>
      <c r="M411" s="66">
        <f>INDEX(Projects[Mech Eng (wks)],410)</f>
        <v/>
      </c>
      <c r="N411" s="66">
        <f>INDEX(Projects[Controls Eng (wks)],410)</f>
        <v/>
      </c>
      <c r="O411" s="66">
        <f>INDEX(Projects[Systems Eng (wks)],410)</f>
        <v/>
      </c>
      <c r="P411" s="66">
        <f>INDEX(Projects[Software Eng (wks)],410)</f>
        <v/>
      </c>
      <c r="Q411" s="66">
        <f>INDEX(Projects[M&amp;E Installation (wks)],410)</f>
        <v/>
      </c>
      <c r="R411" s="66">
        <f>INDEX(Projects[Commissioning (wks)],410)</f>
        <v/>
      </c>
      <c r="S411" s="66">
        <f>INDEX(Projects[Total Timeline (wks)],410)</f>
        <v/>
      </c>
      <c r="T411" s="66">
        <f>INDEX(Projects[Currency],410)&amp;""</f>
        <v/>
      </c>
      <c r="U411" s="67">
        <f>INDEX(Projects[Value (M)],410)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INDEX(Projects[Automation Equipment],410)&amp;""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IF(AND(A411&lt;&gt;"",OR('Smart Search'!$L$5="",'Smart Search'!$L$5="All",TRIM(BZ411)=TRIM('Smart Search'!$L$5)),OR(TRIM('Smart Search'!$L$6)="",TRIM('Smart Search'!$L$6)="All",ISNUMBER(SEARCH(SUBSTITUTE(SUBSTITUTE(SUBSTITUTE(TRIM('Smart Search'!$L$6),"~","~~"),"*","~*"),"?","~?"),CA411))),OR('Smart Search'!$L$7="",AND(CB411&lt;&gt;0,CB411='Smart Search'!$L$7)),OR('Smart Search'!$L$8="",'Smart Search'!$L$8="All",TRIM(CC411)=TRIM('Smart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IF(A411="","",N(INDEX(Projects[Mech Inst],410)))</f>
        <v/>
      </c>
      <c r="BK411" s="5">
        <f>IF(A411="","",N(INDEX(Projects[Elec Inst],410)))</f>
        <v/>
      </c>
      <c r="BL411" s="5">
        <f>IF(A411="","",N(INDEX(Projects[Project Management],410)))</f>
        <v/>
      </c>
      <c r="BM411" s="5">
        <f>IF(A411="","",N(INDEX(Projects[Systems Eng],410)))</f>
        <v/>
      </c>
      <c r="BN411" s="5">
        <f>IF(A411="","",N(INDEX(Projects[Mechanical Eng],410)))</f>
        <v/>
      </c>
      <c r="BO411" s="5">
        <f>IF(A411="","",N(INDEX(Projects[Structural Engineering],410)))</f>
        <v/>
      </c>
      <c r="BP411" s="5">
        <f>IF(A411="","",N(INDEX(Projects[Site Sup],410)))</f>
        <v/>
      </c>
      <c r="BQ411" s="5">
        <f>IF(A411="","",N(INDEX(Projects[Controls Commissioning],410)))</f>
        <v/>
      </c>
      <c r="BR411" s="5">
        <f>IF(A411="","",N(INDEX(Projects[Systems Commissioning],410)))</f>
        <v/>
      </c>
      <c r="BS411" s="5">
        <f>IF(A411="","",N(INDEX(Projects[Service Commissioning],410)))</f>
        <v/>
      </c>
      <c r="BT411" s="5">
        <f>IF(A411="","",N(INDEX(Projects[Controls Eng],410)))</f>
        <v/>
      </c>
      <c r="BU411" s="5">
        <f>IF(A411="","",N(INDEX(Projects[Controls Purchase],410)))</f>
        <v/>
      </c>
      <c r="BV411" s="5">
        <f>IF(A411="","",N(INDEX(Projects[Software Eng],410)))</f>
        <v/>
      </c>
      <c r="BW411" s="5">
        <f>IF(A411="","",N(INDEX(Projects[Misc],410)))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  <c r="BZ411" s="5">
        <f>INDEX(Projects[Solution Type],410)&amp;""</f>
        <v/>
      </c>
      <c r="CA411" s="5">
        <f>INDEX(Projects[Client / Region],410)&amp;""</f>
        <v/>
      </c>
      <c r="CB411" s="5">
        <f>INDEX(Projects[Year],410)</f>
        <v/>
      </c>
      <c r="CC411" s="5">
        <f>INDEX(Projects[Won?],410)&amp;""</f>
        <v/>
      </c>
      <c r="CD411" s="5">
        <f>INDEX(Projects[Value (USD M)],410)</f>
        <v/>
      </c>
      <c r="CE411" s="5">
        <f>INDEX(Projects[MH Data Status],410)&amp;""</f>
        <v/>
      </c>
    </row>
    <row r="412" ht="15" customHeight="1" s="74">
      <c r="A412" s="66">
        <f>INDEX(Projects[Project ID *],411)&amp;""</f>
        <v/>
      </c>
      <c r="B412" s="66">
        <f>INDEX(Projects[Project Name *],411)&amp;""</f>
        <v/>
      </c>
      <c r="C412" s="66">
        <f>INDEX(Projects[MS Shuttles],411)</f>
        <v/>
      </c>
      <c r="D412" s="66">
        <f>INDEX(Projects[MS Tote Locations],411)</f>
        <v/>
      </c>
      <c r="E412" s="66">
        <f>INDEX(Projects[AS Robots],411)</f>
        <v/>
      </c>
      <c r="F412" s="66">
        <f>INDEX(Projects[AS Tote Locations],411)</f>
        <v/>
      </c>
      <c r="G412" s="66">
        <f>INDEX(Projects[PS Shuttles],411)</f>
        <v/>
      </c>
      <c r="H412" s="66">
        <f>INDEX(Projects[PS Pallet Locations],411)</f>
        <v/>
      </c>
      <c r="I412" s="66">
        <f>INDEX(Projects[SRM Cranes],411)</f>
        <v/>
      </c>
      <c r="J412" s="66">
        <f>INDEX(Projects[SRM Pallet Locations],411)</f>
        <v/>
      </c>
      <c r="K412" s="66">
        <f>INDEX(Projects[Case Conv (m)],411)</f>
        <v/>
      </c>
      <c r="L412" s="66">
        <f>INDEX(Projects[Pallet Conv (m)],411)</f>
        <v/>
      </c>
      <c r="M412" s="66">
        <f>INDEX(Projects[Mech Eng (wks)],411)</f>
        <v/>
      </c>
      <c r="N412" s="66">
        <f>INDEX(Projects[Controls Eng (wks)],411)</f>
        <v/>
      </c>
      <c r="O412" s="66">
        <f>INDEX(Projects[Systems Eng (wks)],411)</f>
        <v/>
      </c>
      <c r="P412" s="66">
        <f>INDEX(Projects[Software Eng (wks)],411)</f>
        <v/>
      </c>
      <c r="Q412" s="66">
        <f>INDEX(Projects[M&amp;E Installation (wks)],411)</f>
        <v/>
      </c>
      <c r="R412" s="66">
        <f>INDEX(Projects[Commissioning (wks)],411)</f>
        <v/>
      </c>
      <c r="S412" s="66">
        <f>INDEX(Projects[Total Timeline (wks)],411)</f>
        <v/>
      </c>
      <c r="T412" s="66">
        <f>INDEX(Projects[Currency],411)&amp;""</f>
        <v/>
      </c>
      <c r="U412" s="67">
        <f>INDEX(Projects[Value (M)],411)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INDEX(Projects[Automation Equipment],411)&amp;""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IF(AND(A412&lt;&gt;"",OR('Smart Search'!$L$5="",'Smart Search'!$L$5="All",TRIM(BZ412)=TRIM('Smart Search'!$L$5)),OR(TRIM('Smart Search'!$L$6)="",TRIM('Smart Search'!$L$6)="All",ISNUMBER(SEARCH(SUBSTITUTE(SUBSTITUTE(SUBSTITUTE(TRIM('Smart Search'!$L$6),"~","~~"),"*","~*"),"?","~?"),CA412))),OR('Smart Search'!$L$7="",AND(CB412&lt;&gt;0,CB412='Smart Search'!$L$7)),OR('Smart Search'!$L$8="",'Smart Search'!$L$8="All",TRIM(CC412)=TRIM('Smart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IF(A412="","",N(INDEX(Projects[Mech Inst],411)))</f>
        <v/>
      </c>
      <c r="BK412" s="5">
        <f>IF(A412="","",N(INDEX(Projects[Elec Inst],411)))</f>
        <v/>
      </c>
      <c r="BL412" s="5">
        <f>IF(A412="","",N(INDEX(Projects[Project Management],411)))</f>
        <v/>
      </c>
      <c r="BM412" s="5">
        <f>IF(A412="","",N(INDEX(Projects[Systems Eng],411)))</f>
        <v/>
      </c>
      <c r="BN412" s="5">
        <f>IF(A412="","",N(INDEX(Projects[Mechanical Eng],411)))</f>
        <v/>
      </c>
      <c r="BO412" s="5">
        <f>IF(A412="","",N(INDEX(Projects[Structural Engineering],411)))</f>
        <v/>
      </c>
      <c r="BP412" s="5">
        <f>IF(A412="","",N(INDEX(Projects[Site Sup],411)))</f>
        <v/>
      </c>
      <c r="BQ412" s="5">
        <f>IF(A412="","",N(INDEX(Projects[Controls Commissioning],411)))</f>
        <v/>
      </c>
      <c r="BR412" s="5">
        <f>IF(A412="","",N(INDEX(Projects[Systems Commissioning],411)))</f>
        <v/>
      </c>
      <c r="BS412" s="5">
        <f>IF(A412="","",N(INDEX(Projects[Service Commissioning],411)))</f>
        <v/>
      </c>
      <c r="BT412" s="5">
        <f>IF(A412="","",N(INDEX(Projects[Controls Eng],411)))</f>
        <v/>
      </c>
      <c r="BU412" s="5">
        <f>IF(A412="","",N(INDEX(Projects[Controls Purchase],411)))</f>
        <v/>
      </c>
      <c r="BV412" s="5">
        <f>IF(A412="","",N(INDEX(Projects[Software Eng],411)))</f>
        <v/>
      </c>
      <c r="BW412" s="5">
        <f>IF(A412="","",N(INDEX(Projects[Misc],411)))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  <c r="BZ412" s="5">
        <f>INDEX(Projects[Solution Type],411)&amp;""</f>
        <v/>
      </c>
      <c r="CA412" s="5">
        <f>INDEX(Projects[Client / Region],411)&amp;""</f>
        <v/>
      </c>
      <c r="CB412" s="5">
        <f>INDEX(Projects[Year],411)</f>
        <v/>
      </c>
      <c r="CC412" s="5">
        <f>INDEX(Projects[Won?],411)&amp;""</f>
        <v/>
      </c>
      <c r="CD412" s="5">
        <f>INDEX(Projects[Value (USD M)],411)</f>
        <v/>
      </c>
      <c r="CE412" s="5">
        <f>INDEX(Projects[MH Data Status],411)&amp;""</f>
        <v/>
      </c>
    </row>
    <row r="413" ht="15" customHeight="1" s="74">
      <c r="A413" s="66">
        <f>INDEX(Projects[Project ID *],412)&amp;""</f>
        <v/>
      </c>
      <c r="B413" s="66">
        <f>INDEX(Projects[Project Name *],412)&amp;""</f>
        <v/>
      </c>
      <c r="C413" s="66">
        <f>INDEX(Projects[MS Shuttles],412)</f>
        <v/>
      </c>
      <c r="D413" s="66">
        <f>INDEX(Projects[MS Tote Locations],412)</f>
        <v/>
      </c>
      <c r="E413" s="66">
        <f>INDEX(Projects[AS Robots],412)</f>
        <v/>
      </c>
      <c r="F413" s="66">
        <f>INDEX(Projects[AS Tote Locations],412)</f>
        <v/>
      </c>
      <c r="G413" s="66">
        <f>INDEX(Projects[PS Shuttles],412)</f>
        <v/>
      </c>
      <c r="H413" s="66">
        <f>INDEX(Projects[PS Pallet Locations],412)</f>
        <v/>
      </c>
      <c r="I413" s="66">
        <f>INDEX(Projects[SRM Cranes],412)</f>
        <v/>
      </c>
      <c r="J413" s="66">
        <f>INDEX(Projects[SRM Pallet Locations],412)</f>
        <v/>
      </c>
      <c r="K413" s="66">
        <f>INDEX(Projects[Case Conv (m)],412)</f>
        <v/>
      </c>
      <c r="L413" s="66">
        <f>INDEX(Projects[Pallet Conv (m)],412)</f>
        <v/>
      </c>
      <c r="M413" s="66">
        <f>INDEX(Projects[Mech Eng (wks)],412)</f>
        <v/>
      </c>
      <c r="N413" s="66">
        <f>INDEX(Projects[Controls Eng (wks)],412)</f>
        <v/>
      </c>
      <c r="O413" s="66">
        <f>INDEX(Projects[Systems Eng (wks)],412)</f>
        <v/>
      </c>
      <c r="P413" s="66">
        <f>INDEX(Projects[Software Eng (wks)],412)</f>
        <v/>
      </c>
      <c r="Q413" s="66">
        <f>INDEX(Projects[M&amp;E Installation (wks)],412)</f>
        <v/>
      </c>
      <c r="R413" s="66">
        <f>INDEX(Projects[Commissioning (wks)],412)</f>
        <v/>
      </c>
      <c r="S413" s="66">
        <f>INDEX(Projects[Total Timeline (wks)],412)</f>
        <v/>
      </c>
      <c r="T413" s="66">
        <f>INDEX(Projects[Currency],412)&amp;""</f>
        <v/>
      </c>
      <c r="U413" s="67">
        <f>INDEX(Projects[Value (M)],412)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INDEX(Projects[Automation Equipment],412)&amp;""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IF(AND(A413&lt;&gt;"",OR('Smart Search'!$L$5="",'Smart Search'!$L$5="All",TRIM(BZ413)=TRIM('Smart Search'!$L$5)),OR(TRIM('Smart Search'!$L$6)="",TRIM('Smart Search'!$L$6)="All",ISNUMBER(SEARCH(SUBSTITUTE(SUBSTITUTE(SUBSTITUTE(TRIM('Smart Search'!$L$6),"~","~~"),"*","~*"),"?","~?"),CA413))),OR('Smart Search'!$L$7="",AND(CB413&lt;&gt;0,CB413='Smart Search'!$L$7)),OR('Smart Search'!$L$8="",'Smart Search'!$L$8="All",TRIM(CC413)=TRIM('Smart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IF(A413="","",N(INDEX(Projects[Mech Inst],412)))</f>
        <v/>
      </c>
      <c r="BK413" s="5">
        <f>IF(A413="","",N(INDEX(Projects[Elec Inst],412)))</f>
        <v/>
      </c>
      <c r="BL413" s="5">
        <f>IF(A413="","",N(INDEX(Projects[Project Management],412)))</f>
        <v/>
      </c>
      <c r="BM413" s="5">
        <f>IF(A413="","",N(INDEX(Projects[Systems Eng],412)))</f>
        <v/>
      </c>
      <c r="BN413" s="5">
        <f>IF(A413="","",N(INDEX(Projects[Mechanical Eng],412)))</f>
        <v/>
      </c>
      <c r="BO413" s="5">
        <f>IF(A413="","",N(INDEX(Projects[Structural Engineering],412)))</f>
        <v/>
      </c>
      <c r="BP413" s="5">
        <f>IF(A413="","",N(INDEX(Projects[Site Sup],412)))</f>
        <v/>
      </c>
      <c r="BQ413" s="5">
        <f>IF(A413="","",N(INDEX(Projects[Controls Commissioning],412)))</f>
        <v/>
      </c>
      <c r="BR413" s="5">
        <f>IF(A413="","",N(INDEX(Projects[Systems Commissioning],412)))</f>
        <v/>
      </c>
      <c r="BS413" s="5">
        <f>IF(A413="","",N(INDEX(Projects[Service Commissioning],412)))</f>
        <v/>
      </c>
      <c r="BT413" s="5">
        <f>IF(A413="","",N(INDEX(Projects[Controls Eng],412)))</f>
        <v/>
      </c>
      <c r="BU413" s="5">
        <f>IF(A413="","",N(INDEX(Projects[Controls Purchase],412)))</f>
        <v/>
      </c>
      <c r="BV413" s="5">
        <f>IF(A413="","",N(INDEX(Projects[Software Eng],412)))</f>
        <v/>
      </c>
      <c r="BW413" s="5">
        <f>IF(A413="","",N(INDEX(Projects[Misc],412)))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  <c r="BZ413" s="5">
        <f>INDEX(Projects[Solution Type],412)&amp;""</f>
        <v/>
      </c>
      <c r="CA413" s="5">
        <f>INDEX(Projects[Client / Region],412)&amp;""</f>
        <v/>
      </c>
      <c r="CB413" s="5">
        <f>INDEX(Projects[Year],412)</f>
        <v/>
      </c>
      <c r="CC413" s="5">
        <f>INDEX(Projects[Won?],412)&amp;""</f>
        <v/>
      </c>
      <c r="CD413" s="5">
        <f>INDEX(Projects[Value (USD M)],412)</f>
        <v/>
      </c>
      <c r="CE413" s="5">
        <f>INDEX(Projects[MH Data Status],412)&amp;""</f>
        <v/>
      </c>
    </row>
    <row r="414" ht="15" customHeight="1" s="74">
      <c r="A414" s="66">
        <f>INDEX(Projects[Project ID *],413)&amp;""</f>
        <v/>
      </c>
      <c r="B414" s="66">
        <f>INDEX(Projects[Project Name *],413)&amp;""</f>
        <v/>
      </c>
      <c r="C414" s="66">
        <f>INDEX(Projects[MS Shuttles],413)</f>
        <v/>
      </c>
      <c r="D414" s="66">
        <f>INDEX(Projects[MS Tote Locations],413)</f>
        <v/>
      </c>
      <c r="E414" s="66">
        <f>INDEX(Projects[AS Robots],413)</f>
        <v/>
      </c>
      <c r="F414" s="66">
        <f>INDEX(Projects[AS Tote Locations],413)</f>
        <v/>
      </c>
      <c r="G414" s="66">
        <f>INDEX(Projects[PS Shuttles],413)</f>
        <v/>
      </c>
      <c r="H414" s="66">
        <f>INDEX(Projects[PS Pallet Locations],413)</f>
        <v/>
      </c>
      <c r="I414" s="66">
        <f>INDEX(Projects[SRM Cranes],413)</f>
        <v/>
      </c>
      <c r="J414" s="66">
        <f>INDEX(Projects[SRM Pallet Locations],413)</f>
        <v/>
      </c>
      <c r="K414" s="66">
        <f>INDEX(Projects[Case Conv (m)],413)</f>
        <v/>
      </c>
      <c r="L414" s="66">
        <f>INDEX(Projects[Pallet Conv (m)],413)</f>
        <v/>
      </c>
      <c r="M414" s="66">
        <f>INDEX(Projects[Mech Eng (wks)],413)</f>
        <v/>
      </c>
      <c r="N414" s="66">
        <f>INDEX(Projects[Controls Eng (wks)],413)</f>
        <v/>
      </c>
      <c r="O414" s="66">
        <f>INDEX(Projects[Systems Eng (wks)],413)</f>
        <v/>
      </c>
      <c r="P414" s="66">
        <f>INDEX(Projects[Software Eng (wks)],413)</f>
        <v/>
      </c>
      <c r="Q414" s="66">
        <f>INDEX(Projects[M&amp;E Installation (wks)],413)</f>
        <v/>
      </c>
      <c r="R414" s="66">
        <f>INDEX(Projects[Commissioning (wks)],413)</f>
        <v/>
      </c>
      <c r="S414" s="66">
        <f>INDEX(Projects[Total Timeline (wks)],413)</f>
        <v/>
      </c>
      <c r="T414" s="66">
        <f>INDEX(Projects[Currency],413)&amp;""</f>
        <v/>
      </c>
      <c r="U414" s="67">
        <f>INDEX(Projects[Value (M)],413)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INDEX(Projects[Automation Equipment],413)&amp;""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IF(AND(A414&lt;&gt;"",OR('Smart Search'!$L$5="",'Smart Search'!$L$5="All",TRIM(BZ414)=TRIM('Smart Search'!$L$5)),OR(TRIM('Smart Search'!$L$6)="",TRIM('Smart Search'!$L$6)="All",ISNUMBER(SEARCH(SUBSTITUTE(SUBSTITUTE(SUBSTITUTE(TRIM('Smart Search'!$L$6),"~","~~"),"*","~*"),"?","~?"),CA414))),OR('Smart Search'!$L$7="",AND(CB414&lt;&gt;0,CB414='Smart Search'!$L$7)),OR('Smart Search'!$L$8="",'Smart Search'!$L$8="All",TRIM(CC414)=TRIM('Smart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IF(A414="","",N(INDEX(Projects[Mech Inst],413)))</f>
        <v/>
      </c>
      <c r="BK414" s="5">
        <f>IF(A414="","",N(INDEX(Projects[Elec Inst],413)))</f>
        <v/>
      </c>
      <c r="BL414" s="5">
        <f>IF(A414="","",N(INDEX(Projects[Project Management],413)))</f>
        <v/>
      </c>
      <c r="BM414" s="5">
        <f>IF(A414="","",N(INDEX(Projects[Systems Eng],413)))</f>
        <v/>
      </c>
      <c r="BN414" s="5">
        <f>IF(A414="","",N(INDEX(Projects[Mechanical Eng],413)))</f>
        <v/>
      </c>
      <c r="BO414" s="5">
        <f>IF(A414="","",N(INDEX(Projects[Structural Engineering],413)))</f>
        <v/>
      </c>
      <c r="BP414" s="5">
        <f>IF(A414="","",N(INDEX(Projects[Site Sup],413)))</f>
        <v/>
      </c>
      <c r="BQ414" s="5">
        <f>IF(A414="","",N(INDEX(Projects[Controls Commissioning],413)))</f>
        <v/>
      </c>
      <c r="BR414" s="5">
        <f>IF(A414="","",N(INDEX(Projects[Systems Commissioning],413)))</f>
        <v/>
      </c>
      <c r="BS414" s="5">
        <f>IF(A414="","",N(INDEX(Projects[Service Commissioning],413)))</f>
        <v/>
      </c>
      <c r="BT414" s="5">
        <f>IF(A414="","",N(INDEX(Projects[Controls Eng],413)))</f>
        <v/>
      </c>
      <c r="BU414" s="5">
        <f>IF(A414="","",N(INDEX(Projects[Controls Purchase],413)))</f>
        <v/>
      </c>
      <c r="BV414" s="5">
        <f>IF(A414="","",N(INDEX(Projects[Software Eng],413)))</f>
        <v/>
      </c>
      <c r="BW414" s="5">
        <f>IF(A414="","",N(INDEX(Projects[Misc],413)))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  <c r="BZ414" s="5">
        <f>INDEX(Projects[Solution Type],413)&amp;""</f>
        <v/>
      </c>
      <c r="CA414" s="5">
        <f>INDEX(Projects[Client / Region],413)&amp;""</f>
        <v/>
      </c>
      <c r="CB414" s="5">
        <f>INDEX(Projects[Year],413)</f>
        <v/>
      </c>
      <c r="CC414" s="5">
        <f>INDEX(Projects[Won?],413)&amp;""</f>
        <v/>
      </c>
      <c r="CD414" s="5">
        <f>INDEX(Projects[Value (USD M)],413)</f>
        <v/>
      </c>
      <c r="CE414" s="5">
        <f>INDEX(Projects[MH Data Status],413)&amp;""</f>
        <v/>
      </c>
    </row>
    <row r="415" ht="15" customHeight="1" s="74">
      <c r="A415" s="66">
        <f>INDEX(Projects[Project ID *],414)&amp;""</f>
        <v/>
      </c>
      <c r="B415" s="66">
        <f>INDEX(Projects[Project Name *],414)&amp;""</f>
        <v/>
      </c>
      <c r="C415" s="66">
        <f>INDEX(Projects[MS Shuttles],414)</f>
        <v/>
      </c>
      <c r="D415" s="66">
        <f>INDEX(Projects[MS Tote Locations],414)</f>
        <v/>
      </c>
      <c r="E415" s="66">
        <f>INDEX(Projects[AS Robots],414)</f>
        <v/>
      </c>
      <c r="F415" s="66">
        <f>INDEX(Projects[AS Tote Locations],414)</f>
        <v/>
      </c>
      <c r="G415" s="66">
        <f>INDEX(Projects[PS Shuttles],414)</f>
        <v/>
      </c>
      <c r="H415" s="66">
        <f>INDEX(Projects[PS Pallet Locations],414)</f>
        <v/>
      </c>
      <c r="I415" s="66">
        <f>INDEX(Projects[SRM Cranes],414)</f>
        <v/>
      </c>
      <c r="J415" s="66">
        <f>INDEX(Projects[SRM Pallet Locations],414)</f>
        <v/>
      </c>
      <c r="K415" s="66">
        <f>INDEX(Projects[Case Conv (m)],414)</f>
        <v/>
      </c>
      <c r="L415" s="66">
        <f>INDEX(Projects[Pallet Conv (m)],414)</f>
        <v/>
      </c>
      <c r="M415" s="66">
        <f>INDEX(Projects[Mech Eng (wks)],414)</f>
        <v/>
      </c>
      <c r="N415" s="66">
        <f>INDEX(Projects[Controls Eng (wks)],414)</f>
        <v/>
      </c>
      <c r="O415" s="66">
        <f>INDEX(Projects[Systems Eng (wks)],414)</f>
        <v/>
      </c>
      <c r="P415" s="66">
        <f>INDEX(Projects[Software Eng (wks)],414)</f>
        <v/>
      </c>
      <c r="Q415" s="66">
        <f>INDEX(Projects[M&amp;E Installation (wks)],414)</f>
        <v/>
      </c>
      <c r="R415" s="66">
        <f>INDEX(Projects[Commissioning (wks)],414)</f>
        <v/>
      </c>
      <c r="S415" s="66">
        <f>INDEX(Projects[Total Timeline (wks)],414)</f>
        <v/>
      </c>
      <c r="T415" s="66">
        <f>INDEX(Projects[Currency],414)&amp;""</f>
        <v/>
      </c>
      <c r="U415" s="67">
        <f>INDEX(Projects[Value (M)],414)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INDEX(Projects[Automation Equipment],414)&amp;""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IF(AND(A415&lt;&gt;"",OR('Smart Search'!$L$5="",'Smart Search'!$L$5="All",TRIM(BZ415)=TRIM('Smart Search'!$L$5)),OR(TRIM('Smart Search'!$L$6)="",TRIM('Smart Search'!$L$6)="All",ISNUMBER(SEARCH(SUBSTITUTE(SUBSTITUTE(SUBSTITUTE(TRIM('Smart Search'!$L$6),"~","~~"),"*","~*"),"?","~?"),CA415))),OR('Smart Search'!$L$7="",AND(CB415&lt;&gt;0,CB415='Smart Search'!$L$7)),OR('Smart Search'!$L$8="",'Smart Search'!$L$8="All",TRIM(CC415)=TRIM('Smart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IF(A415="","",N(INDEX(Projects[Mech Inst],414)))</f>
        <v/>
      </c>
      <c r="BK415" s="5">
        <f>IF(A415="","",N(INDEX(Projects[Elec Inst],414)))</f>
        <v/>
      </c>
      <c r="BL415" s="5">
        <f>IF(A415="","",N(INDEX(Projects[Project Management],414)))</f>
        <v/>
      </c>
      <c r="BM415" s="5">
        <f>IF(A415="","",N(INDEX(Projects[Systems Eng],414)))</f>
        <v/>
      </c>
      <c r="BN415" s="5">
        <f>IF(A415="","",N(INDEX(Projects[Mechanical Eng],414)))</f>
        <v/>
      </c>
      <c r="BO415" s="5">
        <f>IF(A415="","",N(INDEX(Projects[Structural Engineering],414)))</f>
        <v/>
      </c>
      <c r="BP415" s="5">
        <f>IF(A415="","",N(INDEX(Projects[Site Sup],414)))</f>
        <v/>
      </c>
      <c r="BQ415" s="5">
        <f>IF(A415="","",N(INDEX(Projects[Controls Commissioning],414)))</f>
        <v/>
      </c>
      <c r="BR415" s="5">
        <f>IF(A415="","",N(INDEX(Projects[Systems Commissioning],414)))</f>
        <v/>
      </c>
      <c r="BS415" s="5">
        <f>IF(A415="","",N(INDEX(Projects[Service Commissioning],414)))</f>
        <v/>
      </c>
      <c r="BT415" s="5">
        <f>IF(A415="","",N(INDEX(Projects[Controls Eng],414)))</f>
        <v/>
      </c>
      <c r="BU415" s="5">
        <f>IF(A415="","",N(INDEX(Projects[Controls Purchase],414)))</f>
        <v/>
      </c>
      <c r="BV415" s="5">
        <f>IF(A415="","",N(INDEX(Projects[Software Eng],414)))</f>
        <v/>
      </c>
      <c r="BW415" s="5">
        <f>IF(A415="","",N(INDEX(Projects[Misc],414)))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  <c r="BZ415" s="5">
        <f>INDEX(Projects[Solution Type],414)&amp;""</f>
        <v/>
      </c>
      <c r="CA415" s="5">
        <f>INDEX(Projects[Client / Region],414)&amp;""</f>
        <v/>
      </c>
      <c r="CB415" s="5">
        <f>INDEX(Projects[Year],414)</f>
        <v/>
      </c>
      <c r="CC415" s="5">
        <f>INDEX(Projects[Won?],414)&amp;""</f>
        <v/>
      </c>
      <c r="CD415" s="5">
        <f>INDEX(Projects[Value (USD M)],414)</f>
        <v/>
      </c>
      <c r="CE415" s="5">
        <f>INDEX(Projects[MH Data Status],414)&amp;""</f>
        <v/>
      </c>
    </row>
    <row r="416" ht="15" customHeight="1" s="74">
      <c r="A416" s="66">
        <f>INDEX(Projects[Project ID *],415)&amp;""</f>
        <v/>
      </c>
      <c r="B416" s="66">
        <f>INDEX(Projects[Project Name *],415)&amp;""</f>
        <v/>
      </c>
      <c r="C416" s="66">
        <f>INDEX(Projects[MS Shuttles],415)</f>
        <v/>
      </c>
      <c r="D416" s="66">
        <f>INDEX(Projects[MS Tote Locations],415)</f>
        <v/>
      </c>
      <c r="E416" s="66">
        <f>INDEX(Projects[AS Robots],415)</f>
        <v/>
      </c>
      <c r="F416" s="66">
        <f>INDEX(Projects[AS Tote Locations],415)</f>
        <v/>
      </c>
      <c r="G416" s="66">
        <f>INDEX(Projects[PS Shuttles],415)</f>
        <v/>
      </c>
      <c r="H416" s="66">
        <f>INDEX(Projects[PS Pallet Locations],415)</f>
        <v/>
      </c>
      <c r="I416" s="66">
        <f>INDEX(Projects[SRM Cranes],415)</f>
        <v/>
      </c>
      <c r="J416" s="66">
        <f>INDEX(Projects[SRM Pallet Locations],415)</f>
        <v/>
      </c>
      <c r="K416" s="66">
        <f>INDEX(Projects[Case Conv (m)],415)</f>
        <v/>
      </c>
      <c r="L416" s="66">
        <f>INDEX(Projects[Pallet Conv (m)],415)</f>
        <v/>
      </c>
      <c r="M416" s="66">
        <f>INDEX(Projects[Mech Eng (wks)],415)</f>
        <v/>
      </c>
      <c r="N416" s="66">
        <f>INDEX(Projects[Controls Eng (wks)],415)</f>
        <v/>
      </c>
      <c r="O416" s="66">
        <f>INDEX(Projects[Systems Eng (wks)],415)</f>
        <v/>
      </c>
      <c r="P416" s="66">
        <f>INDEX(Projects[Software Eng (wks)],415)</f>
        <v/>
      </c>
      <c r="Q416" s="66">
        <f>INDEX(Projects[M&amp;E Installation (wks)],415)</f>
        <v/>
      </c>
      <c r="R416" s="66">
        <f>INDEX(Projects[Commissioning (wks)],415)</f>
        <v/>
      </c>
      <c r="S416" s="66">
        <f>INDEX(Projects[Total Timeline (wks)],415)</f>
        <v/>
      </c>
      <c r="T416" s="66">
        <f>INDEX(Projects[Currency],415)&amp;""</f>
        <v/>
      </c>
      <c r="U416" s="67">
        <f>INDEX(Projects[Value (M)],415)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INDEX(Projects[Automation Equipment],415)&amp;""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IF(AND(A416&lt;&gt;"",OR('Smart Search'!$L$5="",'Smart Search'!$L$5="All",TRIM(BZ416)=TRIM('Smart Search'!$L$5)),OR(TRIM('Smart Search'!$L$6)="",TRIM('Smart Search'!$L$6)="All",ISNUMBER(SEARCH(SUBSTITUTE(SUBSTITUTE(SUBSTITUTE(TRIM('Smart Search'!$L$6),"~","~~"),"*","~*"),"?","~?"),CA416))),OR('Smart Search'!$L$7="",AND(CB416&lt;&gt;0,CB416='Smart Search'!$L$7)),OR('Smart Search'!$L$8="",'Smart Search'!$L$8="All",TRIM(CC416)=TRIM('Smart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IF(A416="","",N(INDEX(Projects[Mech Inst],415)))</f>
        <v/>
      </c>
      <c r="BK416" s="5">
        <f>IF(A416="","",N(INDEX(Projects[Elec Inst],415)))</f>
        <v/>
      </c>
      <c r="BL416" s="5">
        <f>IF(A416="","",N(INDEX(Projects[Project Management],415)))</f>
        <v/>
      </c>
      <c r="BM416" s="5">
        <f>IF(A416="","",N(INDEX(Projects[Systems Eng],415)))</f>
        <v/>
      </c>
      <c r="BN416" s="5">
        <f>IF(A416="","",N(INDEX(Projects[Mechanical Eng],415)))</f>
        <v/>
      </c>
      <c r="BO416" s="5">
        <f>IF(A416="","",N(INDEX(Projects[Structural Engineering],415)))</f>
        <v/>
      </c>
      <c r="BP416" s="5">
        <f>IF(A416="","",N(INDEX(Projects[Site Sup],415)))</f>
        <v/>
      </c>
      <c r="BQ416" s="5">
        <f>IF(A416="","",N(INDEX(Projects[Controls Commissioning],415)))</f>
        <v/>
      </c>
      <c r="BR416" s="5">
        <f>IF(A416="","",N(INDEX(Projects[Systems Commissioning],415)))</f>
        <v/>
      </c>
      <c r="BS416" s="5">
        <f>IF(A416="","",N(INDEX(Projects[Service Commissioning],415)))</f>
        <v/>
      </c>
      <c r="BT416" s="5">
        <f>IF(A416="","",N(INDEX(Projects[Controls Eng],415)))</f>
        <v/>
      </c>
      <c r="BU416" s="5">
        <f>IF(A416="","",N(INDEX(Projects[Controls Purchase],415)))</f>
        <v/>
      </c>
      <c r="BV416" s="5">
        <f>IF(A416="","",N(INDEX(Projects[Software Eng],415)))</f>
        <v/>
      </c>
      <c r="BW416" s="5">
        <f>IF(A416="","",N(INDEX(Projects[Misc],415)))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  <c r="BZ416" s="5">
        <f>INDEX(Projects[Solution Type],415)&amp;""</f>
        <v/>
      </c>
      <c r="CA416" s="5">
        <f>INDEX(Projects[Client / Region],415)&amp;""</f>
        <v/>
      </c>
      <c r="CB416" s="5">
        <f>INDEX(Projects[Year],415)</f>
        <v/>
      </c>
      <c r="CC416" s="5">
        <f>INDEX(Projects[Won?],415)&amp;""</f>
        <v/>
      </c>
      <c r="CD416" s="5">
        <f>INDEX(Projects[Value (USD M)],415)</f>
        <v/>
      </c>
      <c r="CE416" s="5">
        <f>INDEX(Projects[MH Data Status],415)&amp;""</f>
        <v/>
      </c>
    </row>
    <row r="417" ht="15" customHeight="1" s="74">
      <c r="A417" s="66">
        <f>INDEX(Projects[Project ID *],416)&amp;""</f>
        <v/>
      </c>
      <c r="B417" s="66">
        <f>INDEX(Projects[Project Name *],416)&amp;""</f>
        <v/>
      </c>
      <c r="C417" s="66">
        <f>INDEX(Projects[MS Shuttles],416)</f>
        <v/>
      </c>
      <c r="D417" s="66">
        <f>INDEX(Projects[MS Tote Locations],416)</f>
        <v/>
      </c>
      <c r="E417" s="66">
        <f>INDEX(Projects[AS Robots],416)</f>
        <v/>
      </c>
      <c r="F417" s="66">
        <f>INDEX(Projects[AS Tote Locations],416)</f>
        <v/>
      </c>
      <c r="G417" s="66">
        <f>INDEX(Projects[PS Shuttles],416)</f>
        <v/>
      </c>
      <c r="H417" s="66">
        <f>INDEX(Projects[PS Pallet Locations],416)</f>
        <v/>
      </c>
      <c r="I417" s="66">
        <f>INDEX(Projects[SRM Cranes],416)</f>
        <v/>
      </c>
      <c r="J417" s="66">
        <f>INDEX(Projects[SRM Pallet Locations],416)</f>
        <v/>
      </c>
      <c r="K417" s="66">
        <f>INDEX(Projects[Case Conv (m)],416)</f>
        <v/>
      </c>
      <c r="L417" s="66">
        <f>INDEX(Projects[Pallet Conv (m)],416)</f>
        <v/>
      </c>
      <c r="M417" s="66">
        <f>INDEX(Projects[Mech Eng (wks)],416)</f>
        <v/>
      </c>
      <c r="N417" s="66">
        <f>INDEX(Projects[Controls Eng (wks)],416)</f>
        <v/>
      </c>
      <c r="O417" s="66">
        <f>INDEX(Projects[Systems Eng (wks)],416)</f>
        <v/>
      </c>
      <c r="P417" s="66">
        <f>INDEX(Projects[Software Eng (wks)],416)</f>
        <v/>
      </c>
      <c r="Q417" s="66">
        <f>INDEX(Projects[M&amp;E Installation (wks)],416)</f>
        <v/>
      </c>
      <c r="R417" s="66">
        <f>INDEX(Projects[Commissioning (wks)],416)</f>
        <v/>
      </c>
      <c r="S417" s="66">
        <f>INDEX(Projects[Total Timeline (wks)],416)</f>
        <v/>
      </c>
      <c r="T417" s="66">
        <f>INDEX(Projects[Currency],416)&amp;""</f>
        <v/>
      </c>
      <c r="U417" s="67">
        <f>INDEX(Projects[Value (M)],416)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INDEX(Projects[Automation Equipment],416)&amp;""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IF(AND(A417&lt;&gt;"",OR('Smart Search'!$L$5="",'Smart Search'!$L$5="All",TRIM(BZ417)=TRIM('Smart Search'!$L$5)),OR(TRIM('Smart Search'!$L$6)="",TRIM('Smart Search'!$L$6)="All",ISNUMBER(SEARCH(SUBSTITUTE(SUBSTITUTE(SUBSTITUTE(TRIM('Smart Search'!$L$6),"~","~~"),"*","~*"),"?","~?"),CA417))),OR('Smart Search'!$L$7="",AND(CB417&lt;&gt;0,CB417='Smart Search'!$L$7)),OR('Smart Search'!$L$8="",'Smart Search'!$L$8="All",TRIM(CC417)=TRIM('Smart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IF(A417="","",N(INDEX(Projects[Mech Inst],416)))</f>
        <v/>
      </c>
      <c r="BK417" s="5">
        <f>IF(A417="","",N(INDEX(Projects[Elec Inst],416)))</f>
        <v/>
      </c>
      <c r="BL417" s="5">
        <f>IF(A417="","",N(INDEX(Projects[Project Management],416)))</f>
        <v/>
      </c>
      <c r="BM417" s="5">
        <f>IF(A417="","",N(INDEX(Projects[Systems Eng],416)))</f>
        <v/>
      </c>
      <c r="BN417" s="5">
        <f>IF(A417="","",N(INDEX(Projects[Mechanical Eng],416)))</f>
        <v/>
      </c>
      <c r="BO417" s="5">
        <f>IF(A417="","",N(INDEX(Projects[Structural Engineering],416)))</f>
        <v/>
      </c>
      <c r="BP417" s="5">
        <f>IF(A417="","",N(INDEX(Projects[Site Sup],416)))</f>
        <v/>
      </c>
      <c r="BQ417" s="5">
        <f>IF(A417="","",N(INDEX(Projects[Controls Commissioning],416)))</f>
        <v/>
      </c>
      <c r="BR417" s="5">
        <f>IF(A417="","",N(INDEX(Projects[Systems Commissioning],416)))</f>
        <v/>
      </c>
      <c r="BS417" s="5">
        <f>IF(A417="","",N(INDEX(Projects[Service Commissioning],416)))</f>
        <v/>
      </c>
      <c r="BT417" s="5">
        <f>IF(A417="","",N(INDEX(Projects[Controls Eng],416)))</f>
        <v/>
      </c>
      <c r="BU417" s="5">
        <f>IF(A417="","",N(INDEX(Projects[Controls Purchase],416)))</f>
        <v/>
      </c>
      <c r="BV417" s="5">
        <f>IF(A417="","",N(INDEX(Projects[Software Eng],416)))</f>
        <v/>
      </c>
      <c r="BW417" s="5">
        <f>IF(A417="","",N(INDEX(Projects[Misc],416)))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  <c r="BZ417" s="5">
        <f>INDEX(Projects[Solution Type],416)&amp;""</f>
        <v/>
      </c>
      <c r="CA417" s="5">
        <f>INDEX(Projects[Client / Region],416)&amp;""</f>
        <v/>
      </c>
      <c r="CB417" s="5">
        <f>INDEX(Projects[Year],416)</f>
        <v/>
      </c>
      <c r="CC417" s="5">
        <f>INDEX(Projects[Won?],416)&amp;""</f>
        <v/>
      </c>
      <c r="CD417" s="5">
        <f>INDEX(Projects[Value (USD M)],416)</f>
        <v/>
      </c>
      <c r="CE417" s="5">
        <f>INDEX(Projects[MH Data Status],416)&amp;""</f>
        <v/>
      </c>
    </row>
    <row r="418" ht="15" customHeight="1" s="74">
      <c r="A418" s="66">
        <f>INDEX(Projects[Project ID *],417)&amp;""</f>
        <v/>
      </c>
      <c r="B418" s="66">
        <f>INDEX(Projects[Project Name *],417)&amp;""</f>
        <v/>
      </c>
      <c r="C418" s="66">
        <f>INDEX(Projects[MS Shuttles],417)</f>
        <v/>
      </c>
      <c r="D418" s="66">
        <f>INDEX(Projects[MS Tote Locations],417)</f>
        <v/>
      </c>
      <c r="E418" s="66">
        <f>INDEX(Projects[AS Robots],417)</f>
        <v/>
      </c>
      <c r="F418" s="66">
        <f>INDEX(Projects[AS Tote Locations],417)</f>
        <v/>
      </c>
      <c r="G418" s="66">
        <f>INDEX(Projects[PS Shuttles],417)</f>
        <v/>
      </c>
      <c r="H418" s="66">
        <f>INDEX(Projects[PS Pallet Locations],417)</f>
        <v/>
      </c>
      <c r="I418" s="66">
        <f>INDEX(Projects[SRM Cranes],417)</f>
        <v/>
      </c>
      <c r="J418" s="66">
        <f>INDEX(Projects[SRM Pallet Locations],417)</f>
        <v/>
      </c>
      <c r="K418" s="66">
        <f>INDEX(Projects[Case Conv (m)],417)</f>
        <v/>
      </c>
      <c r="L418" s="66">
        <f>INDEX(Projects[Pallet Conv (m)],417)</f>
        <v/>
      </c>
      <c r="M418" s="66">
        <f>INDEX(Projects[Mech Eng (wks)],417)</f>
        <v/>
      </c>
      <c r="N418" s="66">
        <f>INDEX(Projects[Controls Eng (wks)],417)</f>
        <v/>
      </c>
      <c r="O418" s="66">
        <f>INDEX(Projects[Systems Eng (wks)],417)</f>
        <v/>
      </c>
      <c r="P418" s="66">
        <f>INDEX(Projects[Software Eng (wks)],417)</f>
        <v/>
      </c>
      <c r="Q418" s="66">
        <f>INDEX(Projects[M&amp;E Installation (wks)],417)</f>
        <v/>
      </c>
      <c r="R418" s="66">
        <f>INDEX(Projects[Commissioning (wks)],417)</f>
        <v/>
      </c>
      <c r="S418" s="66">
        <f>INDEX(Projects[Total Timeline (wks)],417)</f>
        <v/>
      </c>
      <c r="T418" s="66">
        <f>INDEX(Projects[Currency],417)&amp;""</f>
        <v/>
      </c>
      <c r="U418" s="67">
        <f>INDEX(Projects[Value (M)],417)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INDEX(Projects[Automation Equipment],417)&amp;""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IF(AND(A418&lt;&gt;"",OR('Smart Search'!$L$5="",'Smart Search'!$L$5="All",TRIM(BZ418)=TRIM('Smart Search'!$L$5)),OR(TRIM('Smart Search'!$L$6)="",TRIM('Smart Search'!$L$6)="All",ISNUMBER(SEARCH(SUBSTITUTE(SUBSTITUTE(SUBSTITUTE(TRIM('Smart Search'!$L$6),"~","~~"),"*","~*"),"?","~?"),CA418))),OR('Smart Search'!$L$7="",AND(CB418&lt;&gt;0,CB418='Smart Search'!$L$7)),OR('Smart Search'!$L$8="",'Smart Search'!$L$8="All",TRIM(CC418)=TRIM('Smart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IF(A418="","",N(INDEX(Projects[Mech Inst],417)))</f>
        <v/>
      </c>
      <c r="BK418" s="5">
        <f>IF(A418="","",N(INDEX(Projects[Elec Inst],417)))</f>
        <v/>
      </c>
      <c r="BL418" s="5">
        <f>IF(A418="","",N(INDEX(Projects[Project Management],417)))</f>
        <v/>
      </c>
      <c r="BM418" s="5">
        <f>IF(A418="","",N(INDEX(Projects[Systems Eng],417)))</f>
        <v/>
      </c>
      <c r="BN418" s="5">
        <f>IF(A418="","",N(INDEX(Projects[Mechanical Eng],417)))</f>
        <v/>
      </c>
      <c r="BO418" s="5">
        <f>IF(A418="","",N(INDEX(Projects[Structural Engineering],417)))</f>
        <v/>
      </c>
      <c r="BP418" s="5">
        <f>IF(A418="","",N(INDEX(Projects[Site Sup],417)))</f>
        <v/>
      </c>
      <c r="BQ418" s="5">
        <f>IF(A418="","",N(INDEX(Projects[Controls Commissioning],417)))</f>
        <v/>
      </c>
      <c r="BR418" s="5">
        <f>IF(A418="","",N(INDEX(Projects[Systems Commissioning],417)))</f>
        <v/>
      </c>
      <c r="BS418" s="5">
        <f>IF(A418="","",N(INDEX(Projects[Service Commissioning],417)))</f>
        <v/>
      </c>
      <c r="BT418" s="5">
        <f>IF(A418="","",N(INDEX(Projects[Controls Eng],417)))</f>
        <v/>
      </c>
      <c r="BU418" s="5">
        <f>IF(A418="","",N(INDEX(Projects[Controls Purchase],417)))</f>
        <v/>
      </c>
      <c r="BV418" s="5">
        <f>IF(A418="","",N(INDEX(Projects[Software Eng],417)))</f>
        <v/>
      </c>
      <c r="BW418" s="5">
        <f>IF(A418="","",N(INDEX(Projects[Misc],417)))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  <c r="BZ418" s="5">
        <f>INDEX(Projects[Solution Type],417)&amp;""</f>
        <v/>
      </c>
      <c r="CA418" s="5">
        <f>INDEX(Projects[Client / Region],417)&amp;""</f>
        <v/>
      </c>
      <c r="CB418" s="5">
        <f>INDEX(Projects[Year],417)</f>
        <v/>
      </c>
      <c r="CC418" s="5">
        <f>INDEX(Projects[Won?],417)&amp;""</f>
        <v/>
      </c>
      <c r="CD418" s="5">
        <f>INDEX(Projects[Value (USD M)],417)</f>
        <v/>
      </c>
      <c r="CE418" s="5">
        <f>INDEX(Projects[MH Data Status],417)&amp;""</f>
        <v/>
      </c>
    </row>
    <row r="419" ht="15" customHeight="1" s="74">
      <c r="A419" s="66">
        <f>INDEX(Projects[Project ID *],418)&amp;""</f>
        <v/>
      </c>
      <c r="B419" s="66">
        <f>INDEX(Projects[Project Name *],418)&amp;""</f>
        <v/>
      </c>
      <c r="C419" s="66">
        <f>INDEX(Projects[MS Shuttles],418)</f>
        <v/>
      </c>
      <c r="D419" s="66">
        <f>INDEX(Projects[MS Tote Locations],418)</f>
        <v/>
      </c>
      <c r="E419" s="66">
        <f>INDEX(Projects[AS Robots],418)</f>
        <v/>
      </c>
      <c r="F419" s="66">
        <f>INDEX(Projects[AS Tote Locations],418)</f>
        <v/>
      </c>
      <c r="G419" s="66">
        <f>INDEX(Projects[PS Shuttles],418)</f>
        <v/>
      </c>
      <c r="H419" s="66">
        <f>INDEX(Projects[PS Pallet Locations],418)</f>
        <v/>
      </c>
      <c r="I419" s="66">
        <f>INDEX(Projects[SRM Cranes],418)</f>
        <v/>
      </c>
      <c r="J419" s="66">
        <f>INDEX(Projects[SRM Pallet Locations],418)</f>
        <v/>
      </c>
      <c r="K419" s="66">
        <f>INDEX(Projects[Case Conv (m)],418)</f>
        <v/>
      </c>
      <c r="L419" s="66">
        <f>INDEX(Projects[Pallet Conv (m)],418)</f>
        <v/>
      </c>
      <c r="M419" s="66">
        <f>INDEX(Projects[Mech Eng (wks)],418)</f>
        <v/>
      </c>
      <c r="N419" s="66">
        <f>INDEX(Projects[Controls Eng (wks)],418)</f>
        <v/>
      </c>
      <c r="O419" s="66">
        <f>INDEX(Projects[Systems Eng (wks)],418)</f>
        <v/>
      </c>
      <c r="P419" s="66">
        <f>INDEX(Projects[Software Eng (wks)],418)</f>
        <v/>
      </c>
      <c r="Q419" s="66">
        <f>INDEX(Projects[M&amp;E Installation (wks)],418)</f>
        <v/>
      </c>
      <c r="R419" s="66">
        <f>INDEX(Projects[Commissioning (wks)],418)</f>
        <v/>
      </c>
      <c r="S419" s="66">
        <f>INDEX(Projects[Total Timeline (wks)],418)</f>
        <v/>
      </c>
      <c r="T419" s="66">
        <f>INDEX(Projects[Currency],418)&amp;""</f>
        <v/>
      </c>
      <c r="U419" s="67">
        <f>INDEX(Projects[Value (M)],418)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INDEX(Projects[Automation Equipment],418)&amp;""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IF(AND(A419&lt;&gt;"",OR('Smart Search'!$L$5="",'Smart Search'!$L$5="All",TRIM(BZ419)=TRIM('Smart Search'!$L$5)),OR(TRIM('Smart Search'!$L$6)="",TRIM('Smart Search'!$L$6)="All",ISNUMBER(SEARCH(SUBSTITUTE(SUBSTITUTE(SUBSTITUTE(TRIM('Smart Search'!$L$6),"~","~~"),"*","~*"),"?","~?"),CA419))),OR('Smart Search'!$L$7="",AND(CB419&lt;&gt;0,CB419='Smart Search'!$L$7)),OR('Smart Search'!$L$8="",'Smart Search'!$L$8="All",TRIM(CC419)=TRIM('Smart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IF(A419="","",N(INDEX(Projects[Mech Inst],418)))</f>
        <v/>
      </c>
      <c r="BK419" s="5">
        <f>IF(A419="","",N(INDEX(Projects[Elec Inst],418)))</f>
        <v/>
      </c>
      <c r="BL419" s="5">
        <f>IF(A419="","",N(INDEX(Projects[Project Management],418)))</f>
        <v/>
      </c>
      <c r="BM419" s="5">
        <f>IF(A419="","",N(INDEX(Projects[Systems Eng],418)))</f>
        <v/>
      </c>
      <c r="BN419" s="5">
        <f>IF(A419="","",N(INDEX(Projects[Mechanical Eng],418)))</f>
        <v/>
      </c>
      <c r="BO419" s="5">
        <f>IF(A419="","",N(INDEX(Projects[Structural Engineering],418)))</f>
        <v/>
      </c>
      <c r="BP419" s="5">
        <f>IF(A419="","",N(INDEX(Projects[Site Sup],418)))</f>
        <v/>
      </c>
      <c r="BQ419" s="5">
        <f>IF(A419="","",N(INDEX(Projects[Controls Commissioning],418)))</f>
        <v/>
      </c>
      <c r="BR419" s="5">
        <f>IF(A419="","",N(INDEX(Projects[Systems Commissioning],418)))</f>
        <v/>
      </c>
      <c r="BS419" s="5">
        <f>IF(A419="","",N(INDEX(Projects[Service Commissioning],418)))</f>
        <v/>
      </c>
      <c r="BT419" s="5">
        <f>IF(A419="","",N(INDEX(Projects[Controls Eng],418)))</f>
        <v/>
      </c>
      <c r="BU419" s="5">
        <f>IF(A419="","",N(INDEX(Projects[Controls Purchase],418)))</f>
        <v/>
      </c>
      <c r="BV419" s="5">
        <f>IF(A419="","",N(INDEX(Projects[Software Eng],418)))</f>
        <v/>
      </c>
      <c r="BW419" s="5">
        <f>IF(A419="","",N(INDEX(Projects[Misc],418)))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  <c r="BZ419" s="5">
        <f>INDEX(Projects[Solution Type],418)&amp;""</f>
        <v/>
      </c>
      <c r="CA419" s="5">
        <f>INDEX(Projects[Client / Region],418)&amp;""</f>
        <v/>
      </c>
      <c r="CB419" s="5">
        <f>INDEX(Projects[Year],418)</f>
        <v/>
      </c>
      <c r="CC419" s="5">
        <f>INDEX(Projects[Won?],418)&amp;""</f>
        <v/>
      </c>
      <c r="CD419" s="5">
        <f>INDEX(Projects[Value (USD M)],418)</f>
        <v/>
      </c>
      <c r="CE419" s="5">
        <f>INDEX(Projects[MH Data Status],418)&amp;""</f>
        <v/>
      </c>
    </row>
    <row r="420" ht="15" customHeight="1" s="74">
      <c r="A420" s="66">
        <f>INDEX(Projects[Project ID *],419)&amp;""</f>
        <v/>
      </c>
      <c r="B420" s="66">
        <f>INDEX(Projects[Project Name *],419)&amp;""</f>
        <v/>
      </c>
      <c r="C420" s="66">
        <f>INDEX(Projects[MS Shuttles],419)</f>
        <v/>
      </c>
      <c r="D420" s="66">
        <f>INDEX(Projects[MS Tote Locations],419)</f>
        <v/>
      </c>
      <c r="E420" s="66">
        <f>INDEX(Projects[AS Robots],419)</f>
        <v/>
      </c>
      <c r="F420" s="66">
        <f>INDEX(Projects[AS Tote Locations],419)</f>
        <v/>
      </c>
      <c r="G420" s="66">
        <f>INDEX(Projects[PS Shuttles],419)</f>
        <v/>
      </c>
      <c r="H420" s="66">
        <f>INDEX(Projects[PS Pallet Locations],419)</f>
        <v/>
      </c>
      <c r="I420" s="66">
        <f>INDEX(Projects[SRM Cranes],419)</f>
        <v/>
      </c>
      <c r="J420" s="66">
        <f>INDEX(Projects[SRM Pallet Locations],419)</f>
        <v/>
      </c>
      <c r="K420" s="66">
        <f>INDEX(Projects[Case Conv (m)],419)</f>
        <v/>
      </c>
      <c r="L420" s="66">
        <f>INDEX(Projects[Pallet Conv (m)],419)</f>
        <v/>
      </c>
      <c r="M420" s="66">
        <f>INDEX(Projects[Mech Eng (wks)],419)</f>
        <v/>
      </c>
      <c r="N420" s="66">
        <f>INDEX(Projects[Controls Eng (wks)],419)</f>
        <v/>
      </c>
      <c r="O420" s="66">
        <f>INDEX(Projects[Systems Eng (wks)],419)</f>
        <v/>
      </c>
      <c r="P420" s="66">
        <f>INDEX(Projects[Software Eng (wks)],419)</f>
        <v/>
      </c>
      <c r="Q420" s="66">
        <f>INDEX(Projects[M&amp;E Installation (wks)],419)</f>
        <v/>
      </c>
      <c r="R420" s="66">
        <f>INDEX(Projects[Commissioning (wks)],419)</f>
        <v/>
      </c>
      <c r="S420" s="66">
        <f>INDEX(Projects[Total Timeline (wks)],419)</f>
        <v/>
      </c>
      <c r="T420" s="66">
        <f>INDEX(Projects[Currency],419)&amp;""</f>
        <v/>
      </c>
      <c r="U420" s="67">
        <f>INDEX(Projects[Value (M)],419)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INDEX(Projects[Automation Equipment],419)&amp;""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IF(AND(A420&lt;&gt;"",OR('Smart Search'!$L$5="",'Smart Search'!$L$5="All",TRIM(BZ420)=TRIM('Smart Search'!$L$5)),OR(TRIM('Smart Search'!$L$6)="",TRIM('Smart Search'!$L$6)="All",ISNUMBER(SEARCH(SUBSTITUTE(SUBSTITUTE(SUBSTITUTE(TRIM('Smart Search'!$L$6),"~","~~"),"*","~*"),"?","~?"),CA420))),OR('Smart Search'!$L$7="",AND(CB420&lt;&gt;0,CB420='Smart Search'!$L$7)),OR('Smart Search'!$L$8="",'Smart Search'!$L$8="All",TRIM(CC420)=TRIM('Smart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IF(A420="","",N(INDEX(Projects[Mech Inst],419)))</f>
        <v/>
      </c>
      <c r="BK420" s="5">
        <f>IF(A420="","",N(INDEX(Projects[Elec Inst],419)))</f>
        <v/>
      </c>
      <c r="BL420" s="5">
        <f>IF(A420="","",N(INDEX(Projects[Project Management],419)))</f>
        <v/>
      </c>
      <c r="BM420" s="5">
        <f>IF(A420="","",N(INDEX(Projects[Systems Eng],419)))</f>
        <v/>
      </c>
      <c r="BN420" s="5">
        <f>IF(A420="","",N(INDEX(Projects[Mechanical Eng],419)))</f>
        <v/>
      </c>
      <c r="BO420" s="5">
        <f>IF(A420="","",N(INDEX(Projects[Structural Engineering],419)))</f>
        <v/>
      </c>
      <c r="BP420" s="5">
        <f>IF(A420="","",N(INDEX(Projects[Site Sup],419)))</f>
        <v/>
      </c>
      <c r="BQ420" s="5">
        <f>IF(A420="","",N(INDEX(Projects[Controls Commissioning],419)))</f>
        <v/>
      </c>
      <c r="BR420" s="5">
        <f>IF(A420="","",N(INDEX(Projects[Systems Commissioning],419)))</f>
        <v/>
      </c>
      <c r="BS420" s="5">
        <f>IF(A420="","",N(INDEX(Projects[Service Commissioning],419)))</f>
        <v/>
      </c>
      <c r="BT420" s="5">
        <f>IF(A420="","",N(INDEX(Projects[Controls Eng],419)))</f>
        <v/>
      </c>
      <c r="BU420" s="5">
        <f>IF(A420="","",N(INDEX(Projects[Controls Purchase],419)))</f>
        <v/>
      </c>
      <c r="BV420" s="5">
        <f>IF(A420="","",N(INDEX(Projects[Software Eng],419)))</f>
        <v/>
      </c>
      <c r="BW420" s="5">
        <f>IF(A420="","",N(INDEX(Projects[Misc],419)))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  <c r="BZ420" s="5">
        <f>INDEX(Projects[Solution Type],419)&amp;""</f>
        <v/>
      </c>
      <c r="CA420" s="5">
        <f>INDEX(Projects[Client / Region],419)&amp;""</f>
        <v/>
      </c>
      <c r="CB420" s="5">
        <f>INDEX(Projects[Year],419)</f>
        <v/>
      </c>
      <c r="CC420" s="5">
        <f>INDEX(Projects[Won?],419)&amp;""</f>
        <v/>
      </c>
      <c r="CD420" s="5">
        <f>INDEX(Projects[Value (USD M)],419)</f>
        <v/>
      </c>
      <c r="CE420" s="5">
        <f>INDEX(Projects[MH Data Status],419)&amp;""</f>
        <v/>
      </c>
    </row>
    <row r="421" ht="15" customHeight="1" s="74">
      <c r="A421" s="66">
        <f>INDEX(Projects[Project ID *],420)&amp;""</f>
        <v/>
      </c>
      <c r="B421" s="66">
        <f>INDEX(Projects[Project Name *],420)&amp;""</f>
        <v/>
      </c>
      <c r="C421" s="66">
        <f>INDEX(Projects[MS Shuttles],420)</f>
        <v/>
      </c>
      <c r="D421" s="66">
        <f>INDEX(Projects[MS Tote Locations],420)</f>
        <v/>
      </c>
      <c r="E421" s="66">
        <f>INDEX(Projects[AS Robots],420)</f>
        <v/>
      </c>
      <c r="F421" s="66">
        <f>INDEX(Projects[AS Tote Locations],420)</f>
        <v/>
      </c>
      <c r="G421" s="66">
        <f>INDEX(Projects[PS Shuttles],420)</f>
        <v/>
      </c>
      <c r="H421" s="66">
        <f>INDEX(Projects[PS Pallet Locations],420)</f>
        <v/>
      </c>
      <c r="I421" s="66">
        <f>INDEX(Projects[SRM Cranes],420)</f>
        <v/>
      </c>
      <c r="J421" s="66">
        <f>INDEX(Projects[SRM Pallet Locations],420)</f>
        <v/>
      </c>
      <c r="K421" s="66">
        <f>INDEX(Projects[Case Conv (m)],420)</f>
        <v/>
      </c>
      <c r="L421" s="66">
        <f>INDEX(Projects[Pallet Conv (m)],420)</f>
        <v/>
      </c>
      <c r="M421" s="66">
        <f>INDEX(Projects[Mech Eng (wks)],420)</f>
        <v/>
      </c>
      <c r="N421" s="66">
        <f>INDEX(Projects[Controls Eng (wks)],420)</f>
        <v/>
      </c>
      <c r="O421" s="66">
        <f>INDEX(Projects[Systems Eng (wks)],420)</f>
        <v/>
      </c>
      <c r="P421" s="66">
        <f>INDEX(Projects[Software Eng (wks)],420)</f>
        <v/>
      </c>
      <c r="Q421" s="66">
        <f>INDEX(Projects[M&amp;E Installation (wks)],420)</f>
        <v/>
      </c>
      <c r="R421" s="66">
        <f>INDEX(Projects[Commissioning (wks)],420)</f>
        <v/>
      </c>
      <c r="S421" s="66">
        <f>INDEX(Projects[Total Timeline (wks)],420)</f>
        <v/>
      </c>
      <c r="T421" s="66">
        <f>INDEX(Projects[Currency],420)&amp;""</f>
        <v/>
      </c>
      <c r="U421" s="67">
        <f>INDEX(Projects[Value (M)],420)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INDEX(Projects[Automation Equipment],420)&amp;""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IF(AND(A421&lt;&gt;"",OR('Smart Search'!$L$5="",'Smart Search'!$L$5="All",TRIM(BZ421)=TRIM('Smart Search'!$L$5)),OR(TRIM('Smart Search'!$L$6)="",TRIM('Smart Search'!$L$6)="All",ISNUMBER(SEARCH(SUBSTITUTE(SUBSTITUTE(SUBSTITUTE(TRIM('Smart Search'!$L$6),"~","~~"),"*","~*"),"?","~?"),CA421))),OR('Smart Search'!$L$7="",AND(CB421&lt;&gt;0,CB421='Smart Search'!$L$7)),OR('Smart Search'!$L$8="",'Smart Search'!$L$8="All",TRIM(CC421)=TRIM('Smart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IF(A421="","",N(INDEX(Projects[Mech Inst],420)))</f>
        <v/>
      </c>
      <c r="BK421" s="5">
        <f>IF(A421="","",N(INDEX(Projects[Elec Inst],420)))</f>
        <v/>
      </c>
      <c r="BL421" s="5">
        <f>IF(A421="","",N(INDEX(Projects[Project Management],420)))</f>
        <v/>
      </c>
      <c r="BM421" s="5">
        <f>IF(A421="","",N(INDEX(Projects[Systems Eng],420)))</f>
        <v/>
      </c>
      <c r="BN421" s="5">
        <f>IF(A421="","",N(INDEX(Projects[Mechanical Eng],420)))</f>
        <v/>
      </c>
      <c r="BO421" s="5">
        <f>IF(A421="","",N(INDEX(Projects[Structural Engineering],420)))</f>
        <v/>
      </c>
      <c r="BP421" s="5">
        <f>IF(A421="","",N(INDEX(Projects[Site Sup],420)))</f>
        <v/>
      </c>
      <c r="BQ421" s="5">
        <f>IF(A421="","",N(INDEX(Projects[Controls Commissioning],420)))</f>
        <v/>
      </c>
      <c r="BR421" s="5">
        <f>IF(A421="","",N(INDEX(Projects[Systems Commissioning],420)))</f>
        <v/>
      </c>
      <c r="BS421" s="5">
        <f>IF(A421="","",N(INDEX(Projects[Service Commissioning],420)))</f>
        <v/>
      </c>
      <c r="BT421" s="5">
        <f>IF(A421="","",N(INDEX(Projects[Controls Eng],420)))</f>
        <v/>
      </c>
      <c r="BU421" s="5">
        <f>IF(A421="","",N(INDEX(Projects[Controls Purchase],420)))</f>
        <v/>
      </c>
      <c r="BV421" s="5">
        <f>IF(A421="","",N(INDEX(Projects[Software Eng],420)))</f>
        <v/>
      </c>
      <c r="BW421" s="5">
        <f>IF(A421="","",N(INDEX(Projects[Misc],420)))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  <c r="BZ421" s="5">
        <f>INDEX(Projects[Solution Type],420)&amp;""</f>
        <v/>
      </c>
      <c r="CA421" s="5">
        <f>INDEX(Projects[Client / Region],420)&amp;""</f>
        <v/>
      </c>
      <c r="CB421" s="5">
        <f>INDEX(Projects[Year],420)</f>
        <v/>
      </c>
      <c r="CC421" s="5">
        <f>INDEX(Projects[Won?],420)&amp;""</f>
        <v/>
      </c>
      <c r="CD421" s="5">
        <f>INDEX(Projects[Value (USD M)],420)</f>
        <v/>
      </c>
      <c r="CE421" s="5">
        <f>INDEX(Projects[MH Data Status],420)&amp;""</f>
        <v/>
      </c>
    </row>
    <row r="422" ht="15" customHeight="1" s="74">
      <c r="A422" s="66">
        <f>INDEX(Projects[Project ID *],421)&amp;""</f>
        <v/>
      </c>
      <c r="B422" s="66">
        <f>INDEX(Projects[Project Name *],421)&amp;""</f>
        <v/>
      </c>
      <c r="C422" s="66">
        <f>INDEX(Projects[MS Shuttles],421)</f>
        <v/>
      </c>
      <c r="D422" s="66">
        <f>INDEX(Projects[MS Tote Locations],421)</f>
        <v/>
      </c>
      <c r="E422" s="66">
        <f>INDEX(Projects[AS Robots],421)</f>
        <v/>
      </c>
      <c r="F422" s="66">
        <f>INDEX(Projects[AS Tote Locations],421)</f>
        <v/>
      </c>
      <c r="G422" s="66">
        <f>INDEX(Projects[PS Shuttles],421)</f>
        <v/>
      </c>
      <c r="H422" s="66">
        <f>INDEX(Projects[PS Pallet Locations],421)</f>
        <v/>
      </c>
      <c r="I422" s="66">
        <f>INDEX(Projects[SRM Cranes],421)</f>
        <v/>
      </c>
      <c r="J422" s="66">
        <f>INDEX(Projects[SRM Pallet Locations],421)</f>
        <v/>
      </c>
      <c r="K422" s="66">
        <f>INDEX(Projects[Case Conv (m)],421)</f>
        <v/>
      </c>
      <c r="L422" s="66">
        <f>INDEX(Projects[Pallet Conv (m)],421)</f>
        <v/>
      </c>
      <c r="M422" s="66">
        <f>INDEX(Projects[Mech Eng (wks)],421)</f>
        <v/>
      </c>
      <c r="N422" s="66">
        <f>INDEX(Projects[Controls Eng (wks)],421)</f>
        <v/>
      </c>
      <c r="O422" s="66">
        <f>INDEX(Projects[Systems Eng (wks)],421)</f>
        <v/>
      </c>
      <c r="P422" s="66">
        <f>INDEX(Projects[Software Eng (wks)],421)</f>
        <v/>
      </c>
      <c r="Q422" s="66">
        <f>INDEX(Projects[M&amp;E Installation (wks)],421)</f>
        <v/>
      </c>
      <c r="R422" s="66">
        <f>INDEX(Projects[Commissioning (wks)],421)</f>
        <v/>
      </c>
      <c r="S422" s="66">
        <f>INDEX(Projects[Total Timeline (wks)],421)</f>
        <v/>
      </c>
      <c r="T422" s="66">
        <f>INDEX(Projects[Currency],421)&amp;""</f>
        <v/>
      </c>
      <c r="U422" s="67">
        <f>INDEX(Projects[Value (M)],421)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INDEX(Projects[Automation Equipment],421)&amp;""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IF(AND(A422&lt;&gt;"",OR('Smart Search'!$L$5="",'Smart Search'!$L$5="All",TRIM(BZ422)=TRIM('Smart Search'!$L$5)),OR(TRIM('Smart Search'!$L$6)="",TRIM('Smart Search'!$L$6)="All",ISNUMBER(SEARCH(SUBSTITUTE(SUBSTITUTE(SUBSTITUTE(TRIM('Smart Search'!$L$6),"~","~~"),"*","~*"),"?","~?"),CA422))),OR('Smart Search'!$L$7="",AND(CB422&lt;&gt;0,CB422='Smart Search'!$L$7)),OR('Smart Search'!$L$8="",'Smart Search'!$L$8="All",TRIM(CC422)=TRIM('Smart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IF(A422="","",N(INDEX(Projects[Mech Inst],421)))</f>
        <v/>
      </c>
      <c r="BK422" s="5">
        <f>IF(A422="","",N(INDEX(Projects[Elec Inst],421)))</f>
        <v/>
      </c>
      <c r="BL422" s="5">
        <f>IF(A422="","",N(INDEX(Projects[Project Management],421)))</f>
        <v/>
      </c>
      <c r="BM422" s="5">
        <f>IF(A422="","",N(INDEX(Projects[Systems Eng],421)))</f>
        <v/>
      </c>
      <c r="BN422" s="5">
        <f>IF(A422="","",N(INDEX(Projects[Mechanical Eng],421)))</f>
        <v/>
      </c>
      <c r="BO422" s="5">
        <f>IF(A422="","",N(INDEX(Projects[Structural Engineering],421)))</f>
        <v/>
      </c>
      <c r="BP422" s="5">
        <f>IF(A422="","",N(INDEX(Projects[Site Sup],421)))</f>
        <v/>
      </c>
      <c r="BQ422" s="5">
        <f>IF(A422="","",N(INDEX(Projects[Controls Commissioning],421)))</f>
        <v/>
      </c>
      <c r="BR422" s="5">
        <f>IF(A422="","",N(INDEX(Projects[Systems Commissioning],421)))</f>
        <v/>
      </c>
      <c r="BS422" s="5">
        <f>IF(A422="","",N(INDEX(Projects[Service Commissioning],421)))</f>
        <v/>
      </c>
      <c r="BT422" s="5">
        <f>IF(A422="","",N(INDEX(Projects[Controls Eng],421)))</f>
        <v/>
      </c>
      <c r="BU422" s="5">
        <f>IF(A422="","",N(INDEX(Projects[Controls Purchase],421)))</f>
        <v/>
      </c>
      <c r="BV422" s="5">
        <f>IF(A422="","",N(INDEX(Projects[Software Eng],421)))</f>
        <v/>
      </c>
      <c r="BW422" s="5">
        <f>IF(A422="","",N(INDEX(Projects[Misc],421)))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  <c r="BZ422" s="5">
        <f>INDEX(Projects[Solution Type],421)&amp;""</f>
        <v/>
      </c>
      <c r="CA422" s="5">
        <f>INDEX(Projects[Client / Region],421)&amp;""</f>
        <v/>
      </c>
      <c r="CB422" s="5">
        <f>INDEX(Projects[Year],421)</f>
        <v/>
      </c>
      <c r="CC422" s="5">
        <f>INDEX(Projects[Won?],421)&amp;""</f>
        <v/>
      </c>
      <c r="CD422" s="5">
        <f>INDEX(Projects[Value (USD M)],421)</f>
        <v/>
      </c>
      <c r="CE422" s="5">
        <f>INDEX(Projects[MH Data Status],421)&amp;""</f>
        <v/>
      </c>
    </row>
    <row r="423" ht="15" customHeight="1" s="74">
      <c r="A423" s="66">
        <f>INDEX(Projects[Project ID *],422)&amp;""</f>
        <v/>
      </c>
      <c r="B423" s="66">
        <f>INDEX(Projects[Project Name *],422)&amp;""</f>
        <v/>
      </c>
      <c r="C423" s="66">
        <f>INDEX(Projects[MS Shuttles],422)</f>
        <v/>
      </c>
      <c r="D423" s="66">
        <f>INDEX(Projects[MS Tote Locations],422)</f>
        <v/>
      </c>
      <c r="E423" s="66">
        <f>INDEX(Projects[AS Robots],422)</f>
        <v/>
      </c>
      <c r="F423" s="66">
        <f>INDEX(Projects[AS Tote Locations],422)</f>
        <v/>
      </c>
      <c r="G423" s="66">
        <f>INDEX(Projects[PS Shuttles],422)</f>
        <v/>
      </c>
      <c r="H423" s="66">
        <f>INDEX(Projects[PS Pallet Locations],422)</f>
        <v/>
      </c>
      <c r="I423" s="66">
        <f>INDEX(Projects[SRM Cranes],422)</f>
        <v/>
      </c>
      <c r="J423" s="66">
        <f>INDEX(Projects[SRM Pallet Locations],422)</f>
        <v/>
      </c>
      <c r="K423" s="66">
        <f>INDEX(Projects[Case Conv (m)],422)</f>
        <v/>
      </c>
      <c r="L423" s="66">
        <f>INDEX(Projects[Pallet Conv (m)],422)</f>
        <v/>
      </c>
      <c r="M423" s="66">
        <f>INDEX(Projects[Mech Eng (wks)],422)</f>
        <v/>
      </c>
      <c r="N423" s="66">
        <f>INDEX(Projects[Controls Eng (wks)],422)</f>
        <v/>
      </c>
      <c r="O423" s="66">
        <f>INDEX(Projects[Systems Eng (wks)],422)</f>
        <v/>
      </c>
      <c r="P423" s="66">
        <f>INDEX(Projects[Software Eng (wks)],422)</f>
        <v/>
      </c>
      <c r="Q423" s="66">
        <f>INDEX(Projects[M&amp;E Installation (wks)],422)</f>
        <v/>
      </c>
      <c r="R423" s="66">
        <f>INDEX(Projects[Commissioning (wks)],422)</f>
        <v/>
      </c>
      <c r="S423" s="66">
        <f>INDEX(Projects[Total Timeline (wks)],422)</f>
        <v/>
      </c>
      <c r="T423" s="66">
        <f>INDEX(Projects[Currency],422)&amp;""</f>
        <v/>
      </c>
      <c r="U423" s="67">
        <f>INDEX(Projects[Value (M)],422)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INDEX(Projects[Automation Equipment],422)&amp;""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IF(AND(A423&lt;&gt;"",OR('Smart Search'!$L$5="",'Smart Search'!$L$5="All",TRIM(BZ423)=TRIM('Smart Search'!$L$5)),OR(TRIM('Smart Search'!$L$6)="",TRIM('Smart Search'!$L$6)="All",ISNUMBER(SEARCH(SUBSTITUTE(SUBSTITUTE(SUBSTITUTE(TRIM('Smart Search'!$L$6),"~","~~"),"*","~*"),"?","~?"),CA423))),OR('Smart Search'!$L$7="",AND(CB423&lt;&gt;0,CB423='Smart Search'!$L$7)),OR('Smart Search'!$L$8="",'Smart Search'!$L$8="All",TRIM(CC423)=TRIM('Smart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IF(A423="","",N(INDEX(Projects[Mech Inst],422)))</f>
        <v/>
      </c>
      <c r="BK423" s="5">
        <f>IF(A423="","",N(INDEX(Projects[Elec Inst],422)))</f>
        <v/>
      </c>
      <c r="BL423" s="5">
        <f>IF(A423="","",N(INDEX(Projects[Project Management],422)))</f>
        <v/>
      </c>
      <c r="BM423" s="5">
        <f>IF(A423="","",N(INDEX(Projects[Systems Eng],422)))</f>
        <v/>
      </c>
      <c r="BN423" s="5">
        <f>IF(A423="","",N(INDEX(Projects[Mechanical Eng],422)))</f>
        <v/>
      </c>
      <c r="BO423" s="5">
        <f>IF(A423="","",N(INDEX(Projects[Structural Engineering],422)))</f>
        <v/>
      </c>
      <c r="BP423" s="5">
        <f>IF(A423="","",N(INDEX(Projects[Site Sup],422)))</f>
        <v/>
      </c>
      <c r="BQ423" s="5">
        <f>IF(A423="","",N(INDEX(Projects[Controls Commissioning],422)))</f>
        <v/>
      </c>
      <c r="BR423" s="5">
        <f>IF(A423="","",N(INDEX(Projects[Systems Commissioning],422)))</f>
        <v/>
      </c>
      <c r="BS423" s="5">
        <f>IF(A423="","",N(INDEX(Projects[Service Commissioning],422)))</f>
        <v/>
      </c>
      <c r="BT423" s="5">
        <f>IF(A423="","",N(INDEX(Projects[Controls Eng],422)))</f>
        <v/>
      </c>
      <c r="BU423" s="5">
        <f>IF(A423="","",N(INDEX(Projects[Controls Purchase],422)))</f>
        <v/>
      </c>
      <c r="BV423" s="5">
        <f>IF(A423="","",N(INDEX(Projects[Software Eng],422)))</f>
        <v/>
      </c>
      <c r="BW423" s="5">
        <f>IF(A423="","",N(INDEX(Projects[Misc],422)))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  <c r="BZ423" s="5">
        <f>INDEX(Projects[Solution Type],422)&amp;""</f>
        <v/>
      </c>
      <c r="CA423" s="5">
        <f>INDEX(Projects[Client / Region],422)&amp;""</f>
        <v/>
      </c>
      <c r="CB423" s="5">
        <f>INDEX(Projects[Year],422)</f>
        <v/>
      </c>
      <c r="CC423" s="5">
        <f>INDEX(Projects[Won?],422)&amp;""</f>
        <v/>
      </c>
      <c r="CD423" s="5">
        <f>INDEX(Projects[Value (USD M)],422)</f>
        <v/>
      </c>
      <c r="CE423" s="5">
        <f>INDEX(Projects[MH Data Status],422)&amp;""</f>
        <v/>
      </c>
    </row>
    <row r="424" ht="15" customHeight="1" s="74">
      <c r="A424" s="66">
        <f>INDEX(Projects[Project ID *],423)&amp;""</f>
        <v/>
      </c>
      <c r="B424" s="66">
        <f>INDEX(Projects[Project Name *],423)&amp;""</f>
        <v/>
      </c>
      <c r="C424" s="66">
        <f>INDEX(Projects[MS Shuttles],423)</f>
        <v/>
      </c>
      <c r="D424" s="66">
        <f>INDEX(Projects[MS Tote Locations],423)</f>
        <v/>
      </c>
      <c r="E424" s="66">
        <f>INDEX(Projects[AS Robots],423)</f>
        <v/>
      </c>
      <c r="F424" s="66">
        <f>INDEX(Projects[AS Tote Locations],423)</f>
        <v/>
      </c>
      <c r="G424" s="66">
        <f>INDEX(Projects[PS Shuttles],423)</f>
        <v/>
      </c>
      <c r="H424" s="66">
        <f>INDEX(Projects[PS Pallet Locations],423)</f>
        <v/>
      </c>
      <c r="I424" s="66">
        <f>INDEX(Projects[SRM Cranes],423)</f>
        <v/>
      </c>
      <c r="J424" s="66">
        <f>INDEX(Projects[SRM Pallet Locations],423)</f>
        <v/>
      </c>
      <c r="K424" s="66">
        <f>INDEX(Projects[Case Conv (m)],423)</f>
        <v/>
      </c>
      <c r="L424" s="66">
        <f>INDEX(Projects[Pallet Conv (m)],423)</f>
        <v/>
      </c>
      <c r="M424" s="66">
        <f>INDEX(Projects[Mech Eng (wks)],423)</f>
        <v/>
      </c>
      <c r="N424" s="66">
        <f>INDEX(Projects[Controls Eng (wks)],423)</f>
        <v/>
      </c>
      <c r="O424" s="66">
        <f>INDEX(Projects[Systems Eng (wks)],423)</f>
        <v/>
      </c>
      <c r="P424" s="66">
        <f>INDEX(Projects[Software Eng (wks)],423)</f>
        <v/>
      </c>
      <c r="Q424" s="66">
        <f>INDEX(Projects[M&amp;E Installation (wks)],423)</f>
        <v/>
      </c>
      <c r="R424" s="66">
        <f>INDEX(Projects[Commissioning (wks)],423)</f>
        <v/>
      </c>
      <c r="S424" s="66">
        <f>INDEX(Projects[Total Timeline (wks)],423)</f>
        <v/>
      </c>
      <c r="T424" s="66">
        <f>INDEX(Projects[Currency],423)&amp;""</f>
        <v/>
      </c>
      <c r="U424" s="67">
        <f>INDEX(Projects[Value (M)],423)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INDEX(Projects[Automation Equipment],423)&amp;""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IF(AND(A424&lt;&gt;"",OR('Smart Search'!$L$5="",'Smart Search'!$L$5="All",TRIM(BZ424)=TRIM('Smart Search'!$L$5)),OR(TRIM('Smart Search'!$L$6)="",TRIM('Smart Search'!$L$6)="All",ISNUMBER(SEARCH(SUBSTITUTE(SUBSTITUTE(SUBSTITUTE(TRIM('Smart Search'!$L$6),"~","~~"),"*","~*"),"?","~?"),CA424))),OR('Smart Search'!$L$7="",AND(CB424&lt;&gt;0,CB424='Smart Search'!$L$7)),OR('Smart Search'!$L$8="",'Smart Search'!$L$8="All",TRIM(CC424)=TRIM('Smart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IF(A424="","",N(INDEX(Projects[Mech Inst],423)))</f>
        <v/>
      </c>
      <c r="BK424" s="5">
        <f>IF(A424="","",N(INDEX(Projects[Elec Inst],423)))</f>
        <v/>
      </c>
      <c r="BL424" s="5">
        <f>IF(A424="","",N(INDEX(Projects[Project Management],423)))</f>
        <v/>
      </c>
      <c r="BM424" s="5">
        <f>IF(A424="","",N(INDEX(Projects[Systems Eng],423)))</f>
        <v/>
      </c>
      <c r="BN424" s="5">
        <f>IF(A424="","",N(INDEX(Projects[Mechanical Eng],423)))</f>
        <v/>
      </c>
      <c r="BO424" s="5">
        <f>IF(A424="","",N(INDEX(Projects[Structural Engineering],423)))</f>
        <v/>
      </c>
      <c r="BP424" s="5">
        <f>IF(A424="","",N(INDEX(Projects[Site Sup],423)))</f>
        <v/>
      </c>
      <c r="BQ424" s="5">
        <f>IF(A424="","",N(INDEX(Projects[Controls Commissioning],423)))</f>
        <v/>
      </c>
      <c r="BR424" s="5">
        <f>IF(A424="","",N(INDEX(Projects[Systems Commissioning],423)))</f>
        <v/>
      </c>
      <c r="BS424" s="5">
        <f>IF(A424="","",N(INDEX(Projects[Service Commissioning],423)))</f>
        <v/>
      </c>
      <c r="BT424" s="5">
        <f>IF(A424="","",N(INDEX(Projects[Controls Eng],423)))</f>
        <v/>
      </c>
      <c r="BU424" s="5">
        <f>IF(A424="","",N(INDEX(Projects[Controls Purchase],423)))</f>
        <v/>
      </c>
      <c r="BV424" s="5">
        <f>IF(A424="","",N(INDEX(Projects[Software Eng],423)))</f>
        <v/>
      </c>
      <c r="BW424" s="5">
        <f>IF(A424="","",N(INDEX(Projects[Misc],423)))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  <c r="BZ424" s="5">
        <f>INDEX(Projects[Solution Type],423)&amp;""</f>
        <v/>
      </c>
      <c r="CA424" s="5">
        <f>INDEX(Projects[Client / Region],423)&amp;""</f>
        <v/>
      </c>
      <c r="CB424" s="5">
        <f>INDEX(Projects[Year],423)</f>
        <v/>
      </c>
      <c r="CC424" s="5">
        <f>INDEX(Projects[Won?],423)&amp;""</f>
        <v/>
      </c>
      <c r="CD424" s="5">
        <f>INDEX(Projects[Value (USD M)],423)</f>
        <v/>
      </c>
      <c r="CE424" s="5">
        <f>INDEX(Projects[MH Data Status],423)&amp;""</f>
        <v/>
      </c>
    </row>
    <row r="425" ht="15" customHeight="1" s="74">
      <c r="A425" s="66">
        <f>INDEX(Projects[Project ID *],424)&amp;""</f>
        <v/>
      </c>
      <c r="B425" s="66">
        <f>INDEX(Projects[Project Name *],424)&amp;""</f>
        <v/>
      </c>
      <c r="C425" s="66">
        <f>INDEX(Projects[MS Shuttles],424)</f>
        <v/>
      </c>
      <c r="D425" s="66">
        <f>INDEX(Projects[MS Tote Locations],424)</f>
        <v/>
      </c>
      <c r="E425" s="66">
        <f>INDEX(Projects[AS Robots],424)</f>
        <v/>
      </c>
      <c r="F425" s="66">
        <f>INDEX(Projects[AS Tote Locations],424)</f>
        <v/>
      </c>
      <c r="G425" s="66">
        <f>INDEX(Projects[PS Shuttles],424)</f>
        <v/>
      </c>
      <c r="H425" s="66">
        <f>INDEX(Projects[PS Pallet Locations],424)</f>
        <v/>
      </c>
      <c r="I425" s="66">
        <f>INDEX(Projects[SRM Cranes],424)</f>
        <v/>
      </c>
      <c r="J425" s="66">
        <f>INDEX(Projects[SRM Pallet Locations],424)</f>
        <v/>
      </c>
      <c r="K425" s="66">
        <f>INDEX(Projects[Case Conv (m)],424)</f>
        <v/>
      </c>
      <c r="L425" s="66">
        <f>INDEX(Projects[Pallet Conv (m)],424)</f>
        <v/>
      </c>
      <c r="M425" s="66">
        <f>INDEX(Projects[Mech Eng (wks)],424)</f>
        <v/>
      </c>
      <c r="N425" s="66">
        <f>INDEX(Projects[Controls Eng (wks)],424)</f>
        <v/>
      </c>
      <c r="O425" s="66">
        <f>INDEX(Projects[Systems Eng (wks)],424)</f>
        <v/>
      </c>
      <c r="P425" s="66">
        <f>INDEX(Projects[Software Eng (wks)],424)</f>
        <v/>
      </c>
      <c r="Q425" s="66">
        <f>INDEX(Projects[M&amp;E Installation (wks)],424)</f>
        <v/>
      </c>
      <c r="R425" s="66">
        <f>INDEX(Projects[Commissioning (wks)],424)</f>
        <v/>
      </c>
      <c r="S425" s="66">
        <f>INDEX(Projects[Total Timeline (wks)],424)</f>
        <v/>
      </c>
      <c r="T425" s="66">
        <f>INDEX(Projects[Currency],424)&amp;""</f>
        <v/>
      </c>
      <c r="U425" s="67">
        <f>INDEX(Projects[Value (M)],424)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INDEX(Projects[Automation Equipment],424)&amp;""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IF(AND(A425&lt;&gt;"",OR('Smart Search'!$L$5="",'Smart Search'!$L$5="All",TRIM(BZ425)=TRIM('Smart Search'!$L$5)),OR(TRIM('Smart Search'!$L$6)="",TRIM('Smart Search'!$L$6)="All",ISNUMBER(SEARCH(SUBSTITUTE(SUBSTITUTE(SUBSTITUTE(TRIM('Smart Search'!$L$6),"~","~~"),"*","~*"),"?","~?"),CA425))),OR('Smart Search'!$L$7="",AND(CB425&lt;&gt;0,CB425='Smart Search'!$L$7)),OR('Smart Search'!$L$8="",'Smart Search'!$L$8="All",TRIM(CC425)=TRIM('Smart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IF(A425="","",N(INDEX(Projects[Mech Inst],424)))</f>
        <v/>
      </c>
      <c r="BK425" s="5">
        <f>IF(A425="","",N(INDEX(Projects[Elec Inst],424)))</f>
        <v/>
      </c>
      <c r="BL425" s="5">
        <f>IF(A425="","",N(INDEX(Projects[Project Management],424)))</f>
        <v/>
      </c>
      <c r="BM425" s="5">
        <f>IF(A425="","",N(INDEX(Projects[Systems Eng],424)))</f>
        <v/>
      </c>
      <c r="BN425" s="5">
        <f>IF(A425="","",N(INDEX(Projects[Mechanical Eng],424)))</f>
        <v/>
      </c>
      <c r="BO425" s="5">
        <f>IF(A425="","",N(INDEX(Projects[Structural Engineering],424)))</f>
        <v/>
      </c>
      <c r="BP425" s="5">
        <f>IF(A425="","",N(INDEX(Projects[Site Sup],424)))</f>
        <v/>
      </c>
      <c r="BQ425" s="5">
        <f>IF(A425="","",N(INDEX(Projects[Controls Commissioning],424)))</f>
        <v/>
      </c>
      <c r="BR425" s="5">
        <f>IF(A425="","",N(INDEX(Projects[Systems Commissioning],424)))</f>
        <v/>
      </c>
      <c r="BS425" s="5">
        <f>IF(A425="","",N(INDEX(Projects[Service Commissioning],424)))</f>
        <v/>
      </c>
      <c r="BT425" s="5">
        <f>IF(A425="","",N(INDEX(Projects[Controls Eng],424)))</f>
        <v/>
      </c>
      <c r="BU425" s="5">
        <f>IF(A425="","",N(INDEX(Projects[Controls Purchase],424)))</f>
        <v/>
      </c>
      <c r="BV425" s="5">
        <f>IF(A425="","",N(INDEX(Projects[Software Eng],424)))</f>
        <v/>
      </c>
      <c r="BW425" s="5">
        <f>IF(A425="","",N(INDEX(Projects[Misc],424)))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  <c r="BZ425" s="5">
        <f>INDEX(Projects[Solution Type],424)&amp;""</f>
        <v/>
      </c>
      <c r="CA425" s="5">
        <f>INDEX(Projects[Client / Region],424)&amp;""</f>
        <v/>
      </c>
      <c r="CB425" s="5">
        <f>INDEX(Projects[Year],424)</f>
        <v/>
      </c>
      <c r="CC425" s="5">
        <f>INDEX(Projects[Won?],424)&amp;""</f>
        <v/>
      </c>
      <c r="CD425" s="5">
        <f>INDEX(Projects[Value (USD M)],424)</f>
        <v/>
      </c>
      <c r="CE425" s="5">
        <f>INDEX(Projects[MH Data Status],424)&amp;""</f>
        <v/>
      </c>
    </row>
    <row r="426" ht="15" customHeight="1" s="74">
      <c r="A426" s="66">
        <f>INDEX(Projects[Project ID *],425)&amp;""</f>
        <v/>
      </c>
      <c r="B426" s="66">
        <f>INDEX(Projects[Project Name *],425)&amp;""</f>
        <v/>
      </c>
      <c r="C426" s="66">
        <f>INDEX(Projects[MS Shuttles],425)</f>
        <v/>
      </c>
      <c r="D426" s="66">
        <f>INDEX(Projects[MS Tote Locations],425)</f>
        <v/>
      </c>
      <c r="E426" s="66">
        <f>INDEX(Projects[AS Robots],425)</f>
        <v/>
      </c>
      <c r="F426" s="66">
        <f>INDEX(Projects[AS Tote Locations],425)</f>
        <v/>
      </c>
      <c r="G426" s="66">
        <f>INDEX(Projects[PS Shuttles],425)</f>
        <v/>
      </c>
      <c r="H426" s="66">
        <f>INDEX(Projects[PS Pallet Locations],425)</f>
        <v/>
      </c>
      <c r="I426" s="66">
        <f>INDEX(Projects[SRM Cranes],425)</f>
        <v/>
      </c>
      <c r="J426" s="66">
        <f>INDEX(Projects[SRM Pallet Locations],425)</f>
        <v/>
      </c>
      <c r="K426" s="66">
        <f>INDEX(Projects[Case Conv (m)],425)</f>
        <v/>
      </c>
      <c r="L426" s="66">
        <f>INDEX(Projects[Pallet Conv (m)],425)</f>
        <v/>
      </c>
      <c r="M426" s="66">
        <f>INDEX(Projects[Mech Eng (wks)],425)</f>
        <v/>
      </c>
      <c r="N426" s="66">
        <f>INDEX(Projects[Controls Eng (wks)],425)</f>
        <v/>
      </c>
      <c r="O426" s="66">
        <f>INDEX(Projects[Systems Eng (wks)],425)</f>
        <v/>
      </c>
      <c r="P426" s="66">
        <f>INDEX(Projects[Software Eng (wks)],425)</f>
        <v/>
      </c>
      <c r="Q426" s="66">
        <f>INDEX(Projects[M&amp;E Installation (wks)],425)</f>
        <v/>
      </c>
      <c r="R426" s="66">
        <f>INDEX(Projects[Commissioning (wks)],425)</f>
        <v/>
      </c>
      <c r="S426" s="66">
        <f>INDEX(Projects[Total Timeline (wks)],425)</f>
        <v/>
      </c>
      <c r="T426" s="66">
        <f>INDEX(Projects[Currency],425)&amp;""</f>
        <v/>
      </c>
      <c r="U426" s="67">
        <f>INDEX(Projects[Value (M)],425)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INDEX(Projects[Automation Equipment],425)&amp;""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IF(AND(A426&lt;&gt;"",OR('Smart Search'!$L$5="",'Smart Search'!$L$5="All",TRIM(BZ426)=TRIM('Smart Search'!$L$5)),OR(TRIM('Smart Search'!$L$6)="",TRIM('Smart Search'!$L$6)="All",ISNUMBER(SEARCH(SUBSTITUTE(SUBSTITUTE(SUBSTITUTE(TRIM('Smart Search'!$L$6),"~","~~"),"*","~*"),"?","~?"),CA426))),OR('Smart Search'!$L$7="",AND(CB426&lt;&gt;0,CB426='Smart Search'!$L$7)),OR('Smart Search'!$L$8="",'Smart Search'!$L$8="All",TRIM(CC426)=TRIM('Smart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IF(A426="","",N(INDEX(Projects[Mech Inst],425)))</f>
        <v/>
      </c>
      <c r="BK426" s="5">
        <f>IF(A426="","",N(INDEX(Projects[Elec Inst],425)))</f>
        <v/>
      </c>
      <c r="BL426" s="5">
        <f>IF(A426="","",N(INDEX(Projects[Project Management],425)))</f>
        <v/>
      </c>
      <c r="BM426" s="5">
        <f>IF(A426="","",N(INDEX(Projects[Systems Eng],425)))</f>
        <v/>
      </c>
      <c r="BN426" s="5">
        <f>IF(A426="","",N(INDEX(Projects[Mechanical Eng],425)))</f>
        <v/>
      </c>
      <c r="BO426" s="5">
        <f>IF(A426="","",N(INDEX(Projects[Structural Engineering],425)))</f>
        <v/>
      </c>
      <c r="BP426" s="5">
        <f>IF(A426="","",N(INDEX(Projects[Site Sup],425)))</f>
        <v/>
      </c>
      <c r="BQ426" s="5">
        <f>IF(A426="","",N(INDEX(Projects[Controls Commissioning],425)))</f>
        <v/>
      </c>
      <c r="BR426" s="5">
        <f>IF(A426="","",N(INDEX(Projects[Systems Commissioning],425)))</f>
        <v/>
      </c>
      <c r="BS426" s="5">
        <f>IF(A426="","",N(INDEX(Projects[Service Commissioning],425)))</f>
        <v/>
      </c>
      <c r="BT426" s="5">
        <f>IF(A426="","",N(INDEX(Projects[Controls Eng],425)))</f>
        <v/>
      </c>
      <c r="BU426" s="5">
        <f>IF(A426="","",N(INDEX(Projects[Controls Purchase],425)))</f>
        <v/>
      </c>
      <c r="BV426" s="5">
        <f>IF(A426="","",N(INDEX(Projects[Software Eng],425)))</f>
        <v/>
      </c>
      <c r="BW426" s="5">
        <f>IF(A426="","",N(INDEX(Projects[Misc],425)))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  <c r="BZ426" s="5">
        <f>INDEX(Projects[Solution Type],425)&amp;""</f>
        <v/>
      </c>
      <c r="CA426" s="5">
        <f>INDEX(Projects[Client / Region],425)&amp;""</f>
        <v/>
      </c>
      <c r="CB426" s="5">
        <f>INDEX(Projects[Year],425)</f>
        <v/>
      </c>
      <c r="CC426" s="5">
        <f>INDEX(Projects[Won?],425)&amp;""</f>
        <v/>
      </c>
      <c r="CD426" s="5">
        <f>INDEX(Projects[Value (USD M)],425)</f>
        <v/>
      </c>
      <c r="CE426" s="5">
        <f>INDEX(Projects[MH Data Status],425)&amp;""</f>
        <v/>
      </c>
    </row>
    <row r="427" ht="15" customHeight="1" s="74">
      <c r="A427" s="66">
        <f>INDEX(Projects[Project ID *],426)&amp;""</f>
        <v/>
      </c>
      <c r="B427" s="66">
        <f>INDEX(Projects[Project Name *],426)&amp;""</f>
        <v/>
      </c>
      <c r="C427" s="66">
        <f>INDEX(Projects[MS Shuttles],426)</f>
        <v/>
      </c>
      <c r="D427" s="66">
        <f>INDEX(Projects[MS Tote Locations],426)</f>
        <v/>
      </c>
      <c r="E427" s="66">
        <f>INDEX(Projects[AS Robots],426)</f>
        <v/>
      </c>
      <c r="F427" s="66">
        <f>INDEX(Projects[AS Tote Locations],426)</f>
        <v/>
      </c>
      <c r="G427" s="66">
        <f>INDEX(Projects[PS Shuttles],426)</f>
        <v/>
      </c>
      <c r="H427" s="66">
        <f>INDEX(Projects[PS Pallet Locations],426)</f>
        <v/>
      </c>
      <c r="I427" s="66">
        <f>INDEX(Projects[SRM Cranes],426)</f>
        <v/>
      </c>
      <c r="J427" s="66">
        <f>INDEX(Projects[SRM Pallet Locations],426)</f>
        <v/>
      </c>
      <c r="K427" s="66">
        <f>INDEX(Projects[Case Conv (m)],426)</f>
        <v/>
      </c>
      <c r="L427" s="66">
        <f>INDEX(Projects[Pallet Conv (m)],426)</f>
        <v/>
      </c>
      <c r="M427" s="66">
        <f>INDEX(Projects[Mech Eng (wks)],426)</f>
        <v/>
      </c>
      <c r="N427" s="66">
        <f>INDEX(Projects[Controls Eng (wks)],426)</f>
        <v/>
      </c>
      <c r="O427" s="66">
        <f>INDEX(Projects[Systems Eng (wks)],426)</f>
        <v/>
      </c>
      <c r="P427" s="66">
        <f>INDEX(Projects[Software Eng (wks)],426)</f>
        <v/>
      </c>
      <c r="Q427" s="66">
        <f>INDEX(Projects[M&amp;E Installation (wks)],426)</f>
        <v/>
      </c>
      <c r="R427" s="66">
        <f>INDEX(Projects[Commissioning (wks)],426)</f>
        <v/>
      </c>
      <c r="S427" s="66">
        <f>INDEX(Projects[Total Timeline (wks)],426)</f>
        <v/>
      </c>
      <c r="T427" s="66">
        <f>INDEX(Projects[Currency],426)&amp;""</f>
        <v/>
      </c>
      <c r="U427" s="67">
        <f>INDEX(Projects[Value (M)],426)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INDEX(Projects[Automation Equipment],426)&amp;""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IF(AND(A427&lt;&gt;"",OR('Smart Search'!$L$5="",'Smart Search'!$L$5="All",TRIM(BZ427)=TRIM('Smart Search'!$L$5)),OR(TRIM('Smart Search'!$L$6)="",TRIM('Smart Search'!$L$6)="All",ISNUMBER(SEARCH(SUBSTITUTE(SUBSTITUTE(SUBSTITUTE(TRIM('Smart Search'!$L$6),"~","~~"),"*","~*"),"?","~?"),CA427))),OR('Smart Search'!$L$7="",AND(CB427&lt;&gt;0,CB427='Smart Search'!$L$7)),OR('Smart Search'!$L$8="",'Smart Search'!$L$8="All",TRIM(CC427)=TRIM('Smart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IF(A427="","",N(INDEX(Projects[Mech Inst],426)))</f>
        <v/>
      </c>
      <c r="BK427" s="5">
        <f>IF(A427="","",N(INDEX(Projects[Elec Inst],426)))</f>
        <v/>
      </c>
      <c r="BL427" s="5">
        <f>IF(A427="","",N(INDEX(Projects[Project Management],426)))</f>
        <v/>
      </c>
      <c r="BM427" s="5">
        <f>IF(A427="","",N(INDEX(Projects[Systems Eng],426)))</f>
        <v/>
      </c>
      <c r="BN427" s="5">
        <f>IF(A427="","",N(INDEX(Projects[Mechanical Eng],426)))</f>
        <v/>
      </c>
      <c r="BO427" s="5">
        <f>IF(A427="","",N(INDEX(Projects[Structural Engineering],426)))</f>
        <v/>
      </c>
      <c r="BP427" s="5">
        <f>IF(A427="","",N(INDEX(Projects[Site Sup],426)))</f>
        <v/>
      </c>
      <c r="BQ427" s="5">
        <f>IF(A427="","",N(INDEX(Projects[Controls Commissioning],426)))</f>
        <v/>
      </c>
      <c r="BR427" s="5">
        <f>IF(A427="","",N(INDEX(Projects[Systems Commissioning],426)))</f>
        <v/>
      </c>
      <c r="BS427" s="5">
        <f>IF(A427="","",N(INDEX(Projects[Service Commissioning],426)))</f>
        <v/>
      </c>
      <c r="BT427" s="5">
        <f>IF(A427="","",N(INDEX(Projects[Controls Eng],426)))</f>
        <v/>
      </c>
      <c r="BU427" s="5">
        <f>IF(A427="","",N(INDEX(Projects[Controls Purchase],426)))</f>
        <v/>
      </c>
      <c r="BV427" s="5">
        <f>IF(A427="","",N(INDEX(Projects[Software Eng],426)))</f>
        <v/>
      </c>
      <c r="BW427" s="5">
        <f>IF(A427="","",N(INDEX(Projects[Misc],426)))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  <c r="BZ427" s="5">
        <f>INDEX(Projects[Solution Type],426)&amp;""</f>
        <v/>
      </c>
      <c r="CA427" s="5">
        <f>INDEX(Projects[Client / Region],426)&amp;""</f>
        <v/>
      </c>
      <c r="CB427" s="5">
        <f>INDEX(Projects[Year],426)</f>
        <v/>
      </c>
      <c r="CC427" s="5">
        <f>INDEX(Projects[Won?],426)&amp;""</f>
        <v/>
      </c>
      <c r="CD427" s="5">
        <f>INDEX(Projects[Value (USD M)],426)</f>
        <v/>
      </c>
      <c r="CE427" s="5">
        <f>INDEX(Projects[MH Data Status],426)&amp;""</f>
        <v/>
      </c>
    </row>
    <row r="428" ht="15" customHeight="1" s="74">
      <c r="A428" s="66">
        <f>INDEX(Projects[Project ID *],427)&amp;""</f>
        <v/>
      </c>
      <c r="B428" s="66">
        <f>INDEX(Projects[Project Name *],427)&amp;""</f>
        <v/>
      </c>
      <c r="C428" s="66">
        <f>INDEX(Projects[MS Shuttles],427)</f>
        <v/>
      </c>
      <c r="D428" s="66">
        <f>INDEX(Projects[MS Tote Locations],427)</f>
        <v/>
      </c>
      <c r="E428" s="66">
        <f>INDEX(Projects[AS Robots],427)</f>
        <v/>
      </c>
      <c r="F428" s="66">
        <f>INDEX(Projects[AS Tote Locations],427)</f>
        <v/>
      </c>
      <c r="G428" s="66">
        <f>INDEX(Projects[PS Shuttles],427)</f>
        <v/>
      </c>
      <c r="H428" s="66">
        <f>INDEX(Projects[PS Pallet Locations],427)</f>
        <v/>
      </c>
      <c r="I428" s="66">
        <f>INDEX(Projects[SRM Cranes],427)</f>
        <v/>
      </c>
      <c r="J428" s="66">
        <f>INDEX(Projects[SRM Pallet Locations],427)</f>
        <v/>
      </c>
      <c r="K428" s="66">
        <f>INDEX(Projects[Case Conv (m)],427)</f>
        <v/>
      </c>
      <c r="L428" s="66">
        <f>INDEX(Projects[Pallet Conv (m)],427)</f>
        <v/>
      </c>
      <c r="M428" s="66">
        <f>INDEX(Projects[Mech Eng (wks)],427)</f>
        <v/>
      </c>
      <c r="N428" s="66">
        <f>INDEX(Projects[Controls Eng (wks)],427)</f>
        <v/>
      </c>
      <c r="O428" s="66">
        <f>INDEX(Projects[Systems Eng (wks)],427)</f>
        <v/>
      </c>
      <c r="P428" s="66">
        <f>INDEX(Projects[Software Eng (wks)],427)</f>
        <v/>
      </c>
      <c r="Q428" s="66">
        <f>INDEX(Projects[M&amp;E Installation (wks)],427)</f>
        <v/>
      </c>
      <c r="R428" s="66">
        <f>INDEX(Projects[Commissioning (wks)],427)</f>
        <v/>
      </c>
      <c r="S428" s="66">
        <f>INDEX(Projects[Total Timeline (wks)],427)</f>
        <v/>
      </c>
      <c r="T428" s="66">
        <f>INDEX(Projects[Currency],427)&amp;""</f>
        <v/>
      </c>
      <c r="U428" s="67">
        <f>INDEX(Projects[Value (M)],427)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INDEX(Projects[Automation Equipment],427)&amp;""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IF(AND(A428&lt;&gt;"",OR('Smart Search'!$L$5="",'Smart Search'!$L$5="All",TRIM(BZ428)=TRIM('Smart Search'!$L$5)),OR(TRIM('Smart Search'!$L$6)="",TRIM('Smart Search'!$L$6)="All",ISNUMBER(SEARCH(SUBSTITUTE(SUBSTITUTE(SUBSTITUTE(TRIM('Smart Search'!$L$6),"~","~~"),"*","~*"),"?","~?"),CA428))),OR('Smart Search'!$L$7="",AND(CB428&lt;&gt;0,CB428='Smart Search'!$L$7)),OR('Smart Search'!$L$8="",'Smart Search'!$L$8="All",TRIM(CC428)=TRIM('Smart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IF(A428="","",N(INDEX(Projects[Mech Inst],427)))</f>
        <v/>
      </c>
      <c r="BK428" s="5">
        <f>IF(A428="","",N(INDEX(Projects[Elec Inst],427)))</f>
        <v/>
      </c>
      <c r="BL428" s="5">
        <f>IF(A428="","",N(INDEX(Projects[Project Management],427)))</f>
        <v/>
      </c>
      <c r="BM428" s="5">
        <f>IF(A428="","",N(INDEX(Projects[Systems Eng],427)))</f>
        <v/>
      </c>
      <c r="BN428" s="5">
        <f>IF(A428="","",N(INDEX(Projects[Mechanical Eng],427)))</f>
        <v/>
      </c>
      <c r="BO428" s="5">
        <f>IF(A428="","",N(INDEX(Projects[Structural Engineering],427)))</f>
        <v/>
      </c>
      <c r="BP428" s="5">
        <f>IF(A428="","",N(INDEX(Projects[Site Sup],427)))</f>
        <v/>
      </c>
      <c r="BQ428" s="5">
        <f>IF(A428="","",N(INDEX(Projects[Controls Commissioning],427)))</f>
        <v/>
      </c>
      <c r="BR428" s="5">
        <f>IF(A428="","",N(INDEX(Projects[Systems Commissioning],427)))</f>
        <v/>
      </c>
      <c r="BS428" s="5">
        <f>IF(A428="","",N(INDEX(Projects[Service Commissioning],427)))</f>
        <v/>
      </c>
      <c r="BT428" s="5">
        <f>IF(A428="","",N(INDEX(Projects[Controls Eng],427)))</f>
        <v/>
      </c>
      <c r="BU428" s="5">
        <f>IF(A428="","",N(INDEX(Projects[Controls Purchase],427)))</f>
        <v/>
      </c>
      <c r="BV428" s="5">
        <f>IF(A428="","",N(INDEX(Projects[Software Eng],427)))</f>
        <v/>
      </c>
      <c r="BW428" s="5">
        <f>IF(A428="","",N(INDEX(Projects[Misc],427)))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  <c r="BZ428" s="5">
        <f>INDEX(Projects[Solution Type],427)&amp;""</f>
        <v/>
      </c>
      <c r="CA428" s="5">
        <f>INDEX(Projects[Client / Region],427)&amp;""</f>
        <v/>
      </c>
      <c r="CB428" s="5">
        <f>INDEX(Projects[Year],427)</f>
        <v/>
      </c>
      <c r="CC428" s="5">
        <f>INDEX(Projects[Won?],427)&amp;""</f>
        <v/>
      </c>
      <c r="CD428" s="5">
        <f>INDEX(Projects[Value (USD M)],427)</f>
        <v/>
      </c>
      <c r="CE428" s="5">
        <f>INDEX(Projects[MH Data Status],427)&amp;""</f>
        <v/>
      </c>
    </row>
    <row r="429" ht="15" customHeight="1" s="74">
      <c r="A429" s="66">
        <f>INDEX(Projects[Project ID *],428)&amp;""</f>
        <v/>
      </c>
      <c r="B429" s="66">
        <f>INDEX(Projects[Project Name *],428)&amp;""</f>
        <v/>
      </c>
      <c r="C429" s="66">
        <f>INDEX(Projects[MS Shuttles],428)</f>
        <v/>
      </c>
      <c r="D429" s="66">
        <f>INDEX(Projects[MS Tote Locations],428)</f>
        <v/>
      </c>
      <c r="E429" s="66">
        <f>INDEX(Projects[AS Robots],428)</f>
        <v/>
      </c>
      <c r="F429" s="66">
        <f>INDEX(Projects[AS Tote Locations],428)</f>
        <v/>
      </c>
      <c r="G429" s="66">
        <f>INDEX(Projects[PS Shuttles],428)</f>
        <v/>
      </c>
      <c r="H429" s="66">
        <f>INDEX(Projects[PS Pallet Locations],428)</f>
        <v/>
      </c>
      <c r="I429" s="66">
        <f>INDEX(Projects[SRM Cranes],428)</f>
        <v/>
      </c>
      <c r="J429" s="66">
        <f>INDEX(Projects[SRM Pallet Locations],428)</f>
        <v/>
      </c>
      <c r="K429" s="66">
        <f>INDEX(Projects[Case Conv (m)],428)</f>
        <v/>
      </c>
      <c r="L429" s="66">
        <f>INDEX(Projects[Pallet Conv (m)],428)</f>
        <v/>
      </c>
      <c r="M429" s="66">
        <f>INDEX(Projects[Mech Eng (wks)],428)</f>
        <v/>
      </c>
      <c r="N429" s="66">
        <f>INDEX(Projects[Controls Eng (wks)],428)</f>
        <v/>
      </c>
      <c r="O429" s="66">
        <f>INDEX(Projects[Systems Eng (wks)],428)</f>
        <v/>
      </c>
      <c r="P429" s="66">
        <f>INDEX(Projects[Software Eng (wks)],428)</f>
        <v/>
      </c>
      <c r="Q429" s="66">
        <f>INDEX(Projects[M&amp;E Installation (wks)],428)</f>
        <v/>
      </c>
      <c r="R429" s="66">
        <f>INDEX(Projects[Commissioning (wks)],428)</f>
        <v/>
      </c>
      <c r="S429" s="66">
        <f>INDEX(Projects[Total Timeline (wks)],428)</f>
        <v/>
      </c>
      <c r="T429" s="66">
        <f>INDEX(Projects[Currency],428)&amp;""</f>
        <v/>
      </c>
      <c r="U429" s="67">
        <f>INDEX(Projects[Value (M)],428)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INDEX(Projects[Automation Equipment],428)&amp;""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IF(AND(A429&lt;&gt;"",OR('Smart Search'!$L$5="",'Smart Search'!$L$5="All",TRIM(BZ429)=TRIM('Smart Search'!$L$5)),OR(TRIM('Smart Search'!$L$6)="",TRIM('Smart Search'!$L$6)="All",ISNUMBER(SEARCH(SUBSTITUTE(SUBSTITUTE(SUBSTITUTE(TRIM('Smart Search'!$L$6),"~","~~"),"*","~*"),"?","~?"),CA429))),OR('Smart Search'!$L$7="",AND(CB429&lt;&gt;0,CB429='Smart Search'!$L$7)),OR('Smart Search'!$L$8="",'Smart Search'!$L$8="All",TRIM(CC429)=TRIM('Smart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IF(A429="","",N(INDEX(Projects[Mech Inst],428)))</f>
        <v/>
      </c>
      <c r="BK429" s="5">
        <f>IF(A429="","",N(INDEX(Projects[Elec Inst],428)))</f>
        <v/>
      </c>
      <c r="BL429" s="5">
        <f>IF(A429="","",N(INDEX(Projects[Project Management],428)))</f>
        <v/>
      </c>
      <c r="BM429" s="5">
        <f>IF(A429="","",N(INDEX(Projects[Systems Eng],428)))</f>
        <v/>
      </c>
      <c r="BN429" s="5">
        <f>IF(A429="","",N(INDEX(Projects[Mechanical Eng],428)))</f>
        <v/>
      </c>
      <c r="BO429" s="5">
        <f>IF(A429="","",N(INDEX(Projects[Structural Engineering],428)))</f>
        <v/>
      </c>
      <c r="BP429" s="5">
        <f>IF(A429="","",N(INDEX(Projects[Site Sup],428)))</f>
        <v/>
      </c>
      <c r="BQ429" s="5">
        <f>IF(A429="","",N(INDEX(Projects[Controls Commissioning],428)))</f>
        <v/>
      </c>
      <c r="BR429" s="5">
        <f>IF(A429="","",N(INDEX(Projects[Systems Commissioning],428)))</f>
        <v/>
      </c>
      <c r="BS429" s="5">
        <f>IF(A429="","",N(INDEX(Projects[Service Commissioning],428)))</f>
        <v/>
      </c>
      <c r="BT429" s="5">
        <f>IF(A429="","",N(INDEX(Projects[Controls Eng],428)))</f>
        <v/>
      </c>
      <c r="BU429" s="5">
        <f>IF(A429="","",N(INDEX(Projects[Controls Purchase],428)))</f>
        <v/>
      </c>
      <c r="BV429" s="5">
        <f>IF(A429="","",N(INDEX(Projects[Software Eng],428)))</f>
        <v/>
      </c>
      <c r="BW429" s="5">
        <f>IF(A429="","",N(INDEX(Projects[Misc],428)))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  <c r="BZ429" s="5">
        <f>INDEX(Projects[Solution Type],428)&amp;""</f>
        <v/>
      </c>
      <c r="CA429" s="5">
        <f>INDEX(Projects[Client / Region],428)&amp;""</f>
        <v/>
      </c>
      <c r="CB429" s="5">
        <f>INDEX(Projects[Year],428)</f>
        <v/>
      </c>
      <c r="CC429" s="5">
        <f>INDEX(Projects[Won?],428)&amp;""</f>
        <v/>
      </c>
      <c r="CD429" s="5">
        <f>INDEX(Projects[Value (USD M)],428)</f>
        <v/>
      </c>
      <c r="CE429" s="5">
        <f>INDEX(Projects[MH Data Status],428)&amp;""</f>
        <v/>
      </c>
    </row>
    <row r="430" ht="15" customHeight="1" s="74">
      <c r="A430" s="66">
        <f>INDEX(Projects[Project ID *],429)&amp;""</f>
        <v/>
      </c>
      <c r="B430" s="66">
        <f>INDEX(Projects[Project Name *],429)&amp;""</f>
        <v/>
      </c>
      <c r="C430" s="66">
        <f>INDEX(Projects[MS Shuttles],429)</f>
        <v/>
      </c>
      <c r="D430" s="66">
        <f>INDEX(Projects[MS Tote Locations],429)</f>
        <v/>
      </c>
      <c r="E430" s="66">
        <f>INDEX(Projects[AS Robots],429)</f>
        <v/>
      </c>
      <c r="F430" s="66">
        <f>INDEX(Projects[AS Tote Locations],429)</f>
        <v/>
      </c>
      <c r="G430" s="66">
        <f>INDEX(Projects[PS Shuttles],429)</f>
        <v/>
      </c>
      <c r="H430" s="66">
        <f>INDEX(Projects[PS Pallet Locations],429)</f>
        <v/>
      </c>
      <c r="I430" s="66">
        <f>INDEX(Projects[SRM Cranes],429)</f>
        <v/>
      </c>
      <c r="J430" s="66">
        <f>INDEX(Projects[SRM Pallet Locations],429)</f>
        <v/>
      </c>
      <c r="K430" s="66">
        <f>INDEX(Projects[Case Conv (m)],429)</f>
        <v/>
      </c>
      <c r="L430" s="66">
        <f>INDEX(Projects[Pallet Conv (m)],429)</f>
        <v/>
      </c>
      <c r="M430" s="66">
        <f>INDEX(Projects[Mech Eng (wks)],429)</f>
        <v/>
      </c>
      <c r="N430" s="66">
        <f>INDEX(Projects[Controls Eng (wks)],429)</f>
        <v/>
      </c>
      <c r="O430" s="66">
        <f>INDEX(Projects[Systems Eng (wks)],429)</f>
        <v/>
      </c>
      <c r="P430" s="66">
        <f>INDEX(Projects[Software Eng (wks)],429)</f>
        <v/>
      </c>
      <c r="Q430" s="66">
        <f>INDEX(Projects[M&amp;E Installation (wks)],429)</f>
        <v/>
      </c>
      <c r="R430" s="66">
        <f>INDEX(Projects[Commissioning (wks)],429)</f>
        <v/>
      </c>
      <c r="S430" s="66">
        <f>INDEX(Projects[Total Timeline (wks)],429)</f>
        <v/>
      </c>
      <c r="T430" s="66">
        <f>INDEX(Projects[Currency],429)&amp;""</f>
        <v/>
      </c>
      <c r="U430" s="67">
        <f>INDEX(Projects[Value (M)],429)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INDEX(Projects[Automation Equipment],429)&amp;""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IF(AND(A430&lt;&gt;"",OR('Smart Search'!$L$5="",'Smart Search'!$L$5="All",TRIM(BZ430)=TRIM('Smart Search'!$L$5)),OR(TRIM('Smart Search'!$L$6)="",TRIM('Smart Search'!$L$6)="All",ISNUMBER(SEARCH(SUBSTITUTE(SUBSTITUTE(SUBSTITUTE(TRIM('Smart Search'!$L$6),"~","~~"),"*","~*"),"?","~?"),CA430))),OR('Smart Search'!$L$7="",AND(CB430&lt;&gt;0,CB430='Smart Search'!$L$7)),OR('Smart Search'!$L$8="",'Smart Search'!$L$8="All",TRIM(CC430)=TRIM('Smart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IF(A430="","",N(INDEX(Projects[Mech Inst],429)))</f>
        <v/>
      </c>
      <c r="BK430" s="5">
        <f>IF(A430="","",N(INDEX(Projects[Elec Inst],429)))</f>
        <v/>
      </c>
      <c r="BL430" s="5">
        <f>IF(A430="","",N(INDEX(Projects[Project Management],429)))</f>
        <v/>
      </c>
      <c r="BM430" s="5">
        <f>IF(A430="","",N(INDEX(Projects[Systems Eng],429)))</f>
        <v/>
      </c>
      <c r="BN430" s="5">
        <f>IF(A430="","",N(INDEX(Projects[Mechanical Eng],429)))</f>
        <v/>
      </c>
      <c r="BO430" s="5">
        <f>IF(A430="","",N(INDEX(Projects[Structural Engineering],429)))</f>
        <v/>
      </c>
      <c r="BP430" s="5">
        <f>IF(A430="","",N(INDEX(Projects[Site Sup],429)))</f>
        <v/>
      </c>
      <c r="BQ430" s="5">
        <f>IF(A430="","",N(INDEX(Projects[Controls Commissioning],429)))</f>
        <v/>
      </c>
      <c r="BR430" s="5">
        <f>IF(A430="","",N(INDEX(Projects[Systems Commissioning],429)))</f>
        <v/>
      </c>
      <c r="BS430" s="5">
        <f>IF(A430="","",N(INDEX(Projects[Service Commissioning],429)))</f>
        <v/>
      </c>
      <c r="BT430" s="5">
        <f>IF(A430="","",N(INDEX(Projects[Controls Eng],429)))</f>
        <v/>
      </c>
      <c r="BU430" s="5">
        <f>IF(A430="","",N(INDEX(Projects[Controls Purchase],429)))</f>
        <v/>
      </c>
      <c r="BV430" s="5">
        <f>IF(A430="","",N(INDEX(Projects[Software Eng],429)))</f>
        <v/>
      </c>
      <c r="BW430" s="5">
        <f>IF(A430="","",N(INDEX(Projects[Misc],429)))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  <c r="BZ430" s="5">
        <f>INDEX(Projects[Solution Type],429)&amp;""</f>
        <v/>
      </c>
      <c r="CA430" s="5">
        <f>INDEX(Projects[Client / Region],429)&amp;""</f>
        <v/>
      </c>
      <c r="CB430" s="5">
        <f>INDEX(Projects[Year],429)</f>
        <v/>
      </c>
      <c r="CC430" s="5">
        <f>INDEX(Projects[Won?],429)&amp;""</f>
        <v/>
      </c>
      <c r="CD430" s="5">
        <f>INDEX(Projects[Value (USD M)],429)</f>
        <v/>
      </c>
      <c r="CE430" s="5">
        <f>INDEX(Projects[MH Data Status],429)&amp;""</f>
        <v/>
      </c>
    </row>
    <row r="431" ht="15" customHeight="1" s="74">
      <c r="A431" s="66">
        <f>INDEX(Projects[Project ID *],430)&amp;""</f>
        <v/>
      </c>
      <c r="B431" s="66">
        <f>INDEX(Projects[Project Name *],430)&amp;""</f>
        <v/>
      </c>
      <c r="C431" s="66">
        <f>INDEX(Projects[MS Shuttles],430)</f>
        <v/>
      </c>
      <c r="D431" s="66">
        <f>INDEX(Projects[MS Tote Locations],430)</f>
        <v/>
      </c>
      <c r="E431" s="66">
        <f>INDEX(Projects[AS Robots],430)</f>
        <v/>
      </c>
      <c r="F431" s="66">
        <f>INDEX(Projects[AS Tote Locations],430)</f>
        <v/>
      </c>
      <c r="G431" s="66">
        <f>INDEX(Projects[PS Shuttles],430)</f>
        <v/>
      </c>
      <c r="H431" s="66">
        <f>INDEX(Projects[PS Pallet Locations],430)</f>
        <v/>
      </c>
      <c r="I431" s="66">
        <f>INDEX(Projects[SRM Cranes],430)</f>
        <v/>
      </c>
      <c r="J431" s="66">
        <f>INDEX(Projects[SRM Pallet Locations],430)</f>
        <v/>
      </c>
      <c r="K431" s="66">
        <f>INDEX(Projects[Case Conv (m)],430)</f>
        <v/>
      </c>
      <c r="L431" s="66">
        <f>INDEX(Projects[Pallet Conv (m)],430)</f>
        <v/>
      </c>
      <c r="M431" s="66">
        <f>INDEX(Projects[Mech Eng (wks)],430)</f>
        <v/>
      </c>
      <c r="N431" s="66">
        <f>INDEX(Projects[Controls Eng (wks)],430)</f>
        <v/>
      </c>
      <c r="O431" s="66">
        <f>INDEX(Projects[Systems Eng (wks)],430)</f>
        <v/>
      </c>
      <c r="P431" s="66">
        <f>INDEX(Projects[Software Eng (wks)],430)</f>
        <v/>
      </c>
      <c r="Q431" s="66">
        <f>INDEX(Projects[M&amp;E Installation (wks)],430)</f>
        <v/>
      </c>
      <c r="R431" s="66">
        <f>INDEX(Projects[Commissioning (wks)],430)</f>
        <v/>
      </c>
      <c r="S431" s="66">
        <f>INDEX(Projects[Total Timeline (wks)],430)</f>
        <v/>
      </c>
      <c r="T431" s="66">
        <f>INDEX(Projects[Currency],430)&amp;""</f>
        <v/>
      </c>
      <c r="U431" s="67">
        <f>INDEX(Projects[Value (M)],430)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INDEX(Projects[Automation Equipment],430)&amp;""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IF(AND(A431&lt;&gt;"",OR('Smart Search'!$L$5="",'Smart Search'!$L$5="All",TRIM(BZ431)=TRIM('Smart Search'!$L$5)),OR(TRIM('Smart Search'!$L$6)="",TRIM('Smart Search'!$L$6)="All",ISNUMBER(SEARCH(SUBSTITUTE(SUBSTITUTE(SUBSTITUTE(TRIM('Smart Search'!$L$6),"~","~~"),"*","~*"),"?","~?"),CA431))),OR('Smart Search'!$L$7="",AND(CB431&lt;&gt;0,CB431='Smart Search'!$L$7)),OR('Smart Search'!$L$8="",'Smart Search'!$L$8="All",TRIM(CC431)=TRIM('Smart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IF(A431="","",N(INDEX(Projects[Mech Inst],430)))</f>
        <v/>
      </c>
      <c r="BK431" s="5">
        <f>IF(A431="","",N(INDEX(Projects[Elec Inst],430)))</f>
        <v/>
      </c>
      <c r="BL431" s="5">
        <f>IF(A431="","",N(INDEX(Projects[Project Management],430)))</f>
        <v/>
      </c>
      <c r="BM431" s="5">
        <f>IF(A431="","",N(INDEX(Projects[Systems Eng],430)))</f>
        <v/>
      </c>
      <c r="BN431" s="5">
        <f>IF(A431="","",N(INDEX(Projects[Mechanical Eng],430)))</f>
        <v/>
      </c>
      <c r="BO431" s="5">
        <f>IF(A431="","",N(INDEX(Projects[Structural Engineering],430)))</f>
        <v/>
      </c>
      <c r="BP431" s="5">
        <f>IF(A431="","",N(INDEX(Projects[Site Sup],430)))</f>
        <v/>
      </c>
      <c r="BQ431" s="5">
        <f>IF(A431="","",N(INDEX(Projects[Controls Commissioning],430)))</f>
        <v/>
      </c>
      <c r="BR431" s="5">
        <f>IF(A431="","",N(INDEX(Projects[Systems Commissioning],430)))</f>
        <v/>
      </c>
      <c r="BS431" s="5">
        <f>IF(A431="","",N(INDEX(Projects[Service Commissioning],430)))</f>
        <v/>
      </c>
      <c r="BT431" s="5">
        <f>IF(A431="","",N(INDEX(Projects[Controls Eng],430)))</f>
        <v/>
      </c>
      <c r="BU431" s="5">
        <f>IF(A431="","",N(INDEX(Projects[Controls Purchase],430)))</f>
        <v/>
      </c>
      <c r="BV431" s="5">
        <f>IF(A431="","",N(INDEX(Projects[Software Eng],430)))</f>
        <v/>
      </c>
      <c r="BW431" s="5">
        <f>IF(A431="","",N(INDEX(Projects[Misc],430)))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  <c r="BZ431" s="5">
        <f>INDEX(Projects[Solution Type],430)&amp;""</f>
        <v/>
      </c>
      <c r="CA431" s="5">
        <f>INDEX(Projects[Client / Region],430)&amp;""</f>
        <v/>
      </c>
      <c r="CB431" s="5">
        <f>INDEX(Projects[Year],430)</f>
        <v/>
      </c>
      <c r="CC431" s="5">
        <f>INDEX(Projects[Won?],430)&amp;""</f>
        <v/>
      </c>
      <c r="CD431" s="5">
        <f>INDEX(Projects[Value (USD M)],430)</f>
        <v/>
      </c>
      <c r="CE431" s="5">
        <f>INDEX(Projects[MH Data Status],430)&amp;""</f>
        <v/>
      </c>
    </row>
    <row r="432" ht="15" customHeight="1" s="74">
      <c r="A432" s="66">
        <f>INDEX(Projects[Project ID *],431)&amp;""</f>
        <v/>
      </c>
      <c r="B432" s="66">
        <f>INDEX(Projects[Project Name *],431)&amp;""</f>
        <v/>
      </c>
      <c r="C432" s="66">
        <f>INDEX(Projects[MS Shuttles],431)</f>
        <v/>
      </c>
      <c r="D432" s="66">
        <f>INDEX(Projects[MS Tote Locations],431)</f>
        <v/>
      </c>
      <c r="E432" s="66">
        <f>INDEX(Projects[AS Robots],431)</f>
        <v/>
      </c>
      <c r="F432" s="66">
        <f>INDEX(Projects[AS Tote Locations],431)</f>
        <v/>
      </c>
      <c r="G432" s="66">
        <f>INDEX(Projects[PS Shuttles],431)</f>
        <v/>
      </c>
      <c r="H432" s="66">
        <f>INDEX(Projects[PS Pallet Locations],431)</f>
        <v/>
      </c>
      <c r="I432" s="66">
        <f>INDEX(Projects[SRM Cranes],431)</f>
        <v/>
      </c>
      <c r="J432" s="66">
        <f>INDEX(Projects[SRM Pallet Locations],431)</f>
        <v/>
      </c>
      <c r="K432" s="66">
        <f>INDEX(Projects[Case Conv (m)],431)</f>
        <v/>
      </c>
      <c r="L432" s="66">
        <f>INDEX(Projects[Pallet Conv (m)],431)</f>
        <v/>
      </c>
      <c r="M432" s="66">
        <f>INDEX(Projects[Mech Eng (wks)],431)</f>
        <v/>
      </c>
      <c r="N432" s="66">
        <f>INDEX(Projects[Controls Eng (wks)],431)</f>
        <v/>
      </c>
      <c r="O432" s="66">
        <f>INDEX(Projects[Systems Eng (wks)],431)</f>
        <v/>
      </c>
      <c r="P432" s="66">
        <f>INDEX(Projects[Software Eng (wks)],431)</f>
        <v/>
      </c>
      <c r="Q432" s="66">
        <f>INDEX(Projects[M&amp;E Installation (wks)],431)</f>
        <v/>
      </c>
      <c r="R432" s="66">
        <f>INDEX(Projects[Commissioning (wks)],431)</f>
        <v/>
      </c>
      <c r="S432" s="66">
        <f>INDEX(Projects[Total Timeline (wks)],431)</f>
        <v/>
      </c>
      <c r="T432" s="66">
        <f>INDEX(Projects[Currency],431)&amp;""</f>
        <v/>
      </c>
      <c r="U432" s="67">
        <f>INDEX(Projects[Value (M)],431)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INDEX(Projects[Automation Equipment],431)&amp;""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IF(AND(A432&lt;&gt;"",OR('Smart Search'!$L$5="",'Smart Search'!$L$5="All",TRIM(BZ432)=TRIM('Smart Search'!$L$5)),OR(TRIM('Smart Search'!$L$6)="",TRIM('Smart Search'!$L$6)="All",ISNUMBER(SEARCH(SUBSTITUTE(SUBSTITUTE(SUBSTITUTE(TRIM('Smart Search'!$L$6),"~","~~"),"*","~*"),"?","~?"),CA432))),OR('Smart Search'!$L$7="",AND(CB432&lt;&gt;0,CB432='Smart Search'!$L$7)),OR('Smart Search'!$L$8="",'Smart Search'!$L$8="All",TRIM(CC432)=TRIM('Smart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IF(A432="","",N(INDEX(Projects[Mech Inst],431)))</f>
        <v/>
      </c>
      <c r="BK432" s="5">
        <f>IF(A432="","",N(INDEX(Projects[Elec Inst],431)))</f>
        <v/>
      </c>
      <c r="BL432" s="5">
        <f>IF(A432="","",N(INDEX(Projects[Project Management],431)))</f>
        <v/>
      </c>
      <c r="BM432" s="5">
        <f>IF(A432="","",N(INDEX(Projects[Systems Eng],431)))</f>
        <v/>
      </c>
      <c r="BN432" s="5">
        <f>IF(A432="","",N(INDEX(Projects[Mechanical Eng],431)))</f>
        <v/>
      </c>
      <c r="BO432" s="5">
        <f>IF(A432="","",N(INDEX(Projects[Structural Engineering],431)))</f>
        <v/>
      </c>
      <c r="BP432" s="5">
        <f>IF(A432="","",N(INDEX(Projects[Site Sup],431)))</f>
        <v/>
      </c>
      <c r="BQ432" s="5">
        <f>IF(A432="","",N(INDEX(Projects[Controls Commissioning],431)))</f>
        <v/>
      </c>
      <c r="BR432" s="5">
        <f>IF(A432="","",N(INDEX(Projects[Systems Commissioning],431)))</f>
        <v/>
      </c>
      <c r="BS432" s="5">
        <f>IF(A432="","",N(INDEX(Projects[Service Commissioning],431)))</f>
        <v/>
      </c>
      <c r="BT432" s="5">
        <f>IF(A432="","",N(INDEX(Projects[Controls Eng],431)))</f>
        <v/>
      </c>
      <c r="BU432" s="5">
        <f>IF(A432="","",N(INDEX(Projects[Controls Purchase],431)))</f>
        <v/>
      </c>
      <c r="BV432" s="5">
        <f>IF(A432="","",N(INDEX(Projects[Software Eng],431)))</f>
        <v/>
      </c>
      <c r="BW432" s="5">
        <f>IF(A432="","",N(INDEX(Projects[Misc],431)))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  <c r="BZ432" s="5">
        <f>INDEX(Projects[Solution Type],431)&amp;""</f>
        <v/>
      </c>
      <c r="CA432" s="5">
        <f>INDEX(Projects[Client / Region],431)&amp;""</f>
        <v/>
      </c>
      <c r="CB432" s="5">
        <f>INDEX(Projects[Year],431)</f>
        <v/>
      </c>
      <c r="CC432" s="5">
        <f>INDEX(Projects[Won?],431)&amp;""</f>
        <v/>
      </c>
      <c r="CD432" s="5">
        <f>INDEX(Projects[Value (USD M)],431)</f>
        <v/>
      </c>
      <c r="CE432" s="5">
        <f>INDEX(Projects[MH Data Status],431)&amp;""</f>
        <v/>
      </c>
    </row>
    <row r="433" ht="15" customHeight="1" s="74">
      <c r="A433" s="66">
        <f>INDEX(Projects[Project ID *],432)&amp;""</f>
        <v/>
      </c>
      <c r="B433" s="66">
        <f>INDEX(Projects[Project Name *],432)&amp;""</f>
        <v/>
      </c>
      <c r="C433" s="66">
        <f>INDEX(Projects[MS Shuttles],432)</f>
        <v/>
      </c>
      <c r="D433" s="66">
        <f>INDEX(Projects[MS Tote Locations],432)</f>
        <v/>
      </c>
      <c r="E433" s="66">
        <f>INDEX(Projects[AS Robots],432)</f>
        <v/>
      </c>
      <c r="F433" s="66">
        <f>INDEX(Projects[AS Tote Locations],432)</f>
        <v/>
      </c>
      <c r="G433" s="66">
        <f>INDEX(Projects[PS Shuttles],432)</f>
        <v/>
      </c>
      <c r="H433" s="66">
        <f>INDEX(Projects[PS Pallet Locations],432)</f>
        <v/>
      </c>
      <c r="I433" s="66">
        <f>INDEX(Projects[SRM Cranes],432)</f>
        <v/>
      </c>
      <c r="J433" s="66">
        <f>INDEX(Projects[SRM Pallet Locations],432)</f>
        <v/>
      </c>
      <c r="K433" s="66">
        <f>INDEX(Projects[Case Conv (m)],432)</f>
        <v/>
      </c>
      <c r="L433" s="66">
        <f>INDEX(Projects[Pallet Conv (m)],432)</f>
        <v/>
      </c>
      <c r="M433" s="66">
        <f>INDEX(Projects[Mech Eng (wks)],432)</f>
        <v/>
      </c>
      <c r="N433" s="66">
        <f>INDEX(Projects[Controls Eng (wks)],432)</f>
        <v/>
      </c>
      <c r="O433" s="66">
        <f>INDEX(Projects[Systems Eng (wks)],432)</f>
        <v/>
      </c>
      <c r="P433" s="66">
        <f>INDEX(Projects[Software Eng (wks)],432)</f>
        <v/>
      </c>
      <c r="Q433" s="66">
        <f>INDEX(Projects[M&amp;E Installation (wks)],432)</f>
        <v/>
      </c>
      <c r="R433" s="66">
        <f>INDEX(Projects[Commissioning (wks)],432)</f>
        <v/>
      </c>
      <c r="S433" s="66">
        <f>INDEX(Projects[Total Timeline (wks)],432)</f>
        <v/>
      </c>
      <c r="T433" s="66">
        <f>INDEX(Projects[Currency],432)&amp;""</f>
        <v/>
      </c>
      <c r="U433" s="67">
        <f>INDEX(Projects[Value (M)],432)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INDEX(Projects[Automation Equipment],432)&amp;""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IF(AND(A433&lt;&gt;"",OR('Smart Search'!$L$5="",'Smart Search'!$L$5="All",TRIM(BZ433)=TRIM('Smart Search'!$L$5)),OR(TRIM('Smart Search'!$L$6)="",TRIM('Smart Search'!$L$6)="All",ISNUMBER(SEARCH(SUBSTITUTE(SUBSTITUTE(SUBSTITUTE(TRIM('Smart Search'!$L$6),"~","~~"),"*","~*"),"?","~?"),CA433))),OR('Smart Search'!$L$7="",AND(CB433&lt;&gt;0,CB433='Smart Search'!$L$7)),OR('Smart Search'!$L$8="",'Smart Search'!$L$8="All",TRIM(CC433)=TRIM('Smart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IF(A433="","",N(INDEX(Projects[Mech Inst],432)))</f>
        <v/>
      </c>
      <c r="BK433" s="5">
        <f>IF(A433="","",N(INDEX(Projects[Elec Inst],432)))</f>
        <v/>
      </c>
      <c r="BL433" s="5">
        <f>IF(A433="","",N(INDEX(Projects[Project Management],432)))</f>
        <v/>
      </c>
      <c r="BM433" s="5">
        <f>IF(A433="","",N(INDEX(Projects[Systems Eng],432)))</f>
        <v/>
      </c>
      <c r="BN433" s="5">
        <f>IF(A433="","",N(INDEX(Projects[Mechanical Eng],432)))</f>
        <v/>
      </c>
      <c r="BO433" s="5">
        <f>IF(A433="","",N(INDEX(Projects[Structural Engineering],432)))</f>
        <v/>
      </c>
      <c r="BP433" s="5">
        <f>IF(A433="","",N(INDEX(Projects[Site Sup],432)))</f>
        <v/>
      </c>
      <c r="BQ433" s="5">
        <f>IF(A433="","",N(INDEX(Projects[Controls Commissioning],432)))</f>
        <v/>
      </c>
      <c r="BR433" s="5">
        <f>IF(A433="","",N(INDEX(Projects[Systems Commissioning],432)))</f>
        <v/>
      </c>
      <c r="BS433" s="5">
        <f>IF(A433="","",N(INDEX(Projects[Service Commissioning],432)))</f>
        <v/>
      </c>
      <c r="BT433" s="5">
        <f>IF(A433="","",N(INDEX(Projects[Controls Eng],432)))</f>
        <v/>
      </c>
      <c r="BU433" s="5">
        <f>IF(A433="","",N(INDEX(Projects[Controls Purchase],432)))</f>
        <v/>
      </c>
      <c r="BV433" s="5">
        <f>IF(A433="","",N(INDEX(Projects[Software Eng],432)))</f>
        <v/>
      </c>
      <c r="BW433" s="5">
        <f>IF(A433="","",N(INDEX(Projects[Misc],432)))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  <c r="BZ433" s="5">
        <f>INDEX(Projects[Solution Type],432)&amp;""</f>
        <v/>
      </c>
      <c r="CA433" s="5">
        <f>INDEX(Projects[Client / Region],432)&amp;""</f>
        <v/>
      </c>
      <c r="CB433" s="5">
        <f>INDEX(Projects[Year],432)</f>
        <v/>
      </c>
      <c r="CC433" s="5">
        <f>INDEX(Projects[Won?],432)&amp;""</f>
        <v/>
      </c>
      <c r="CD433" s="5">
        <f>INDEX(Projects[Value (USD M)],432)</f>
        <v/>
      </c>
      <c r="CE433" s="5">
        <f>INDEX(Projects[MH Data Status],432)&amp;""</f>
        <v/>
      </c>
    </row>
    <row r="434" ht="15" customHeight="1" s="74">
      <c r="A434" s="66">
        <f>INDEX(Projects[Project ID *],433)&amp;""</f>
        <v/>
      </c>
      <c r="B434" s="66">
        <f>INDEX(Projects[Project Name *],433)&amp;""</f>
        <v/>
      </c>
      <c r="C434" s="66">
        <f>INDEX(Projects[MS Shuttles],433)</f>
        <v/>
      </c>
      <c r="D434" s="66">
        <f>INDEX(Projects[MS Tote Locations],433)</f>
        <v/>
      </c>
      <c r="E434" s="66">
        <f>INDEX(Projects[AS Robots],433)</f>
        <v/>
      </c>
      <c r="F434" s="66">
        <f>INDEX(Projects[AS Tote Locations],433)</f>
        <v/>
      </c>
      <c r="G434" s="66">
        <f>INDEX(Projects[PS Shuttles],433)</f>
        <v/>
      </c>
      <c r="H434" s="66">
        <f>INDEX(Projects[PS Pallet Locations],433)</f>
        <v/>
      </c>
      <c r="I434" s="66">
        <f>INDEX(Projects[SRM Cranes],433)</f>
        <v/>
      </c>
      <c r="J434" s="66">
        <f>INDEX(Projects[SRM Pallet Locations],433)</f>
        <v/>
      </c>
      <c r="K434" s="66">
        <f>INDEX(Projects[Case Conv (m)],433)</f>
        <v/>
      </c>
      <c r="L434" s="66">
        <f>INDEX(Projects[Pallet Conv (m)],433)</f>
        <v/>
      </c>
      <c r="M434" s="66">
        <f>INDEX(Projects[Mech Eng (wks)],433)</f>
        <v/>
      </c>
      <c r="N434" s="66">
        <f>INDEX(Projects[Controls Eng (wks)],433)</f>
        <v/>
      </c>
      <c r="O434" s="66">
        <f>INDEX(Projects[Systems Eng (wks)],433)</f>
        <v/>
      </c>
      <c r="P434" s="66">
        <f>INDEX(Projects[Software Eng (wks)],433)</f>
        <v/>
      </c>
      <c r="Q434" s="66">
        <f>INDEX(Projects[M&amp;E Installation (wks)],433)</f>
        <v/>
      </c>
      <c r="R434" s="66">
        <f>INDEX(Projects[Commissioning (wks)],433)</f>
        <v/>
      </c>
      <c r="S434" s="66">
        <f>INDEX(Projects[Total Timeline (wks)],433)</f>
        <v/>
      </c>
      <c r="T434" s="66">
        <f>INDEX(Projects[Currency],433)&amp;""</f>
        <v/>
      </c>
      <c r="U434" s="67">
        <f>INDEX(Projects[Value (M)],433)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INDEX(Projects[Automation Equipment],433)&amp;""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IF(AND(A434&lt;&gt;"",OR('Smart Search'!$L$5="",'Smart Search'!$L$5="All",TRIM(BZ434)=TRIM('Smart Search'!$L$5)),OR(TRIM('Smart Search'!$L$6)="",TRIM('Smart Search'!$L$6)="All",ISNUMBER(SEARCH(SUBSTITUTE(SUBSTITUTE(SUBSTITUTE(TRIM('Smart Search'!$L$6),"~","~~"),"*","~*"),"?","~?"),CA434))),OR('Smart Search'!$L$7="",AND(CB434&lt;&gt;0,CB434='Smart Search'!$L$7)),OR('Smart Search'!$L$8="",'Smart Search'!$L$8="All",TRIM(CC434)=TRIM('Smart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IF(A434="","",N(INDEX(Projects[Mech Inst],433)))</f>
        <v/>
      </c>
      <c r="BK434" s="5">
        <f>IF(A434="","",N(INDEX(Projects[Elec Inst],433)))</f>
        <v/>
      </c>
      <c r="BL434" s="5">
        <f>IF(A434="","",N(INDEX(Projects[Project Management],433)))</f>
        <v/>
      </c>
      <c r="BM434" s="5">
        <f>IF(A434="","",N(INDEX(Projects[Systems Eng],433)))</f>
        <v/>
      </c>
      <c r="BN434" s="5">
        <f>IF(A434="","",N(INDEX(Projects[Mechanical Eng],433)))</f>
        <v/>
      </c>
      <c r="BO434" s="5">
        <f>IF(A434="","",N(INDEX(Projects[Structural Engineering],433)))</f>
        <v/>
      </c>
      <c r="BP434" s="5">
        <f>IF(A434="","",N(INDEX(Projects[Site Sup],433)))</f>
        <v/>
      </c>
      <c r="BQ434" s="5">
        <f>IF(A434="","",N(INDEX(Projects[Controls Commissioning],433)))</f>
        <v/>
      </c>
      <c r="BR434" s="5">
        <f>IF(A434="","",N(INDEX(Projects[Systems Commissioning],433)))</f>
        <v/>
      </c>
      <c r="BS434" s="5">
        <f>IF(A434="","",N(INDEX(Projects[Service Commissioning],433)))</f>
        <v/>
      </c>
      <c r="BT434" s="5">
        <f>IF(A434="","",N(INDEX(Projects[Controls Eng],433)))</f>
        <v/>
      </c>
      <c r="BU434" s="5">
        <f>IF(A434="","",N(INDEX(Projects[Controls Purchase],433)))</f>
        <v/>
      </c>
      <c r="BV434" s="5">
        <f>IF(A434="","",N(INDEX(Projects[Software Eng],433)))</f>
        <v/>
      </c>
      <c r="BW434" s="5">
        <f>IF(A434="","",N(INDEX(Projects[Misc],433)))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  <c r="BZ434" s="5">
        <f>INDEX(Projects[Solution Type],433)&amp;""</f>
        <v/>
      </c>
      <c r="CA434" s="5">
        <f>INDEX(Projects[Client / Region],433)&amp;""</f>
        <v/>
      </c>
      <c r="CB434" s="5">
        <f>INDEX(Projects[Year],433)</f>
        <v/>
      </c>
      <c r="CC434" s="5">
        <f>INDEX(Projects[Won?],433)&amp;""</f>
        <v/>
      </c>
      <c r="CD434" s="5">
        <f>INDEX(Projects[Value (USD M)],433)</f>
        <v/>
      </c>
      <c r="CE434" s="5">
        <f>INDEX(Projects[MH Data Status],433)&amp;""</f>
        <v/>
      </c>
    </row>
    <row r="435" ht="15" customHeight="1" s="74">
      <c r="A435" s="66">
        <f>INDEX(Projects[Project ID *],434)&amp;""</f>
        <v/>
      </c>
      <c r="B435" s="66">
        <f>INDEX(Projects[Project Name *],434)&amp;""</f>
        <v/>
      </c>
      <c r="C435" s="66">
        <f>INDEX(Projects[MS Shuttles],434)</f>
        <v/>
      </c>
      <c r="D435" s="66">
        <f>INDEX(Projects[MS Tote Locations],434)</f>
        <v/>
      </c>
      <c r="E435" s="66">
        <f>INDEX(Projects[AS Robots],434)</f>
        <v/>
      </c>
      <c r="F435" s="66">
        <f>INDEX(Projects[AS Tote Locations],434)</f>
        <v/>
      </c>
      <c r="G435" s="66">
        <f>INDEX(Projects[PS Shuttles],434)</f>
        <v/>
      </c>
      <c r="H435" s="66">
        <f>INDEX(Projects[PS Pallet Locations],434)</f>
        <v/>
      </c>
      <c r="I435" s="66">
        <f>INDEX(Projects[SRM Cranes],434)</f>
        <v/>
      </c>
      <c r="J435" s="66">
        <f>INDEX(Projects[SRM Pallet Locations],434)</f>
        <v/>
      </c>
      <c r="K435" s="66">
        <f>INDEX(Projects[Case Conv (m)],434)</f>
        <v/>
      </c>
      <c r="L435" s="66">
        <f>INDEX(Projects[Pallet Conv (m)],434)</f>
        <v/>
      </c>
      <c r="M435" s="66">
        <f>INDEX(Projects[Mech Eng (wks)],434)</f>
        <v/>
      </c>
      <c r="N435" s="66">
        <f>INDEX(Projects[Controls Eng (wks)],434)</f>
        <v/>
      </c>
      <c r="O435" s="66">
        <f>INDEX(Projects[Systems Eng (wks)],434)</f>
        <v/>
      </c>
      <c r="P435" s="66">
        <f>INDEX(Projects[Software Eng (wks)],434)</f>
        <v/>
      </c>
      <c r="Q435" s="66">
        <f>INDEX(Projects[M&amp;E Installation (wks)],434)</f>
        <v/>
      </c>
      <c r="R435" s="66">
        <f>INDEX(Projects[Commissioning (wks)],434)</f>
        <v/>
      </c>
      <c r="S435" s="66">
        <f>INDEX(Projects[Total Timeline (wks)],434)</f>
        <v/>
      </c>
      <c r="T435" s="66">
        <f>INDEX(Projects[Currency],434)&amp;""</f>
        <v/>
      </c>
      <c r="U435" s="67">
        <f>INDEX(Projects[Value (M)],434)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INDEX(Projects[Automation Equipment],434)&amp;""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IF(AND(A435&lt;&gt;"",OR('Smart Search'!$L$5="",'Smart Search'!$L$5="All",TRIM(BZ435)=TRIM('Smart Search'!$L$5)),OR(TRIM('Smart Search'!$L$6)="",TRIM('Smart Search'!$L$6)="All",ISNUMBER(SEARCH(SUBSTITUTE(SUBSTITUTE(SUBSTITUTE(TRIM('Smart Search'!$L$6),"~","~~"),"*","~*"),"?","~?"),CA435))),OR('Smart Search'!$L$7="",AND(CB435&lt;&gt;0,CB435='Smart Search'!$L$7)),OR('Smart Search'!$L$8="",'Smart Search'!$L$8="All",TRIM(CC435)=TRIM('Smart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IF(A435="","",N(INDEX(Projects[Mech Inst],434)))</f>
        <v/>
      </c>
      <c r="BK435" s="5">
        <f>IF(A435="","",N(INDEX(Projects[Elec Inst],434)))</f>
        <v/>
      </c>
      <c r="BL435" s="5">
        <f>IF(A435="","",N(INDEX(Projects[Project Management],434)))</f>
        <v/>
      </c>
      <c r="BM435" s="5">
        <f>IF(A435="","",N(INDEX(Projects[Systems Eng],434)))</f>
        <v/>
      </c>
      <c r="BN435" s="5">
        <f>IF(A435="","",N(INDEX(Projects[Mechanical Eng],434)))</f>
        <v/>
      </c>
      <c r="BO435" s="5">
        <f>IF(A435="","",N(INDEX(Projects[Structural Engineering],434)))</f>
        <v/>
      </c>
      <c r="BP435" s="5">
        <f>IF(A435="","",N(INDEX(Projects[Site Sup],434)))</f>
        <v/>
      </c>
      <c r="BQ435" s="5">
        <f>IF(A435="","",N(INDEX(Projects[Controls Commissioning],434)))</f>
        <v/>
      </c>
      <c r="BR435" s="5">
        <f>IF(A435="","",N(INDEX(Projects[Systems Commissioning],434)))</f>
        <v/>
      </c>
      <c r="BS435" s="5">
        <f>IF(A435="","",N(INDEX(Projects[Service Commissioning],434)))</f>
        <v/>
      </c>
      <c r="BT435" s="5">
        <f>IF(A435="","",N(INDEX(Projects[Controls Eng],434)))</f>
        <v/>
      </c>
      <c r="BU435" s="5">
        <f>IF(A435="","",N(INDEX(Projects[Controls Purchase],434)))</f>
        <v/>
      </c>
      <c r="BV435" s="5">
        <f>IF(A435="","",N(INDEX(Projects[Software Eng],434)))</f>
        <v/>
      </c>
      <c r="BW435" s="5">
        <f>IF(A435="","",N(INDEX(Projects[Misc],434)))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  <c r="BZ435" s="5">
        <f>INDEX(Projects[Solution Type],434)&amp;""</f>
        <v/>
      </c>
      <c r="CA435" s="5">
        <f>INDEX(Projects[Client / Region],434)&amp;""</f>
        <v/>
      </c>
      <c r="CB435" s="5">
        <f>INDEX(Projects[Year],434)</f>
        <v/>
      </c>
      <c r="CC435" s="5">
        <f>INDEX(Projects[Won?],434)&amp;""</f>
        <v/>
      </c>
      <c r="CD435" s="5">
        <f>INDEX(Projects[Value (USD M)],434)</f>
        <v/>
      </c>
      <c r="CE435" s="5">
        <f>INDEX(Projects[MH Data Status],434)&amp;""</f>
        <v/>
      </c>
    </row>
    <row r="436" ht="15" customHeight="1" s="74">
      <c r="A436" s="66">
        <f>INDEX(Projects[Project ID *],435)&amp;""</f>
        <v/>
      </c>
      <c r="B436" s="66">
        <f>INDEX(Projects[Project Name *],435)&amp;""</f>
        <v/>
      </c>
      <c r="C436" s="66">
        <f>INDEX(Projects[MS Shuttles],435)</f>
        <v/>
      </c>
      <c r="D436" s="66">
        <f>INDEX(Projects[MS Tote Locations],435)</f>
        <v/>
      </c>
      <c r="E436" s="66">
        <f>INDEX(Projects[AS Robots],435)</f>
        <v/>
      </c>
      <c r="F436" s="66">
        <f>INDEX(Projects[AS Tote Locations],435)</f>
        <v/>
      </c>
      <c r="G436" s="66">
        <f>INDEX(Projects[PS Shuttles],435)</f>
        <v/>
      </c>
      <c r="H436" s="66">
        <f>INDEX(Projects[PS Pallet Locations],435)</f>
        <v/>
      </c>
      <c r="I436" s="66">
        <f>INDEX(Projects[SRM Cranes],435)</f>
        <v/>
      </c>
      <c r="J436" s="66">
        <f>INDEX(Projects[SRM Pallet Locations],435)</f>
        <v/>
      </c>
      <c r="K436" s="66">
        <f>INDEX(Projects[Case Conv (m)],435)</f>
        <v/>
      </c>
      <c r="L436" s="66">
        <f>INDEX(Projects[Pallet Conv (m)],435)</f>
        <v/>
      </c>
      <c r="M436" s="66">
        <f>INDEX(Projects[Mech Eng (wks)],435)</f>
        <v/>
      </c>
      <c r="N436" s="66">
        <f>INDEX(Projects[Controls Eng (wks)],435)</f>
        <v/>
      </c>
      <c r="O436" s="66">
        <f>INDEX(Projects[Systems Eng (wks)],435)</f>
        <v/>
      </c>
      <c r="P436" s="66">
        <f>INDEX(Projects[Software Eng (wks)],435)</f>
        <v/>
      </c>
      <c r="Q436" s="66">
        <f>INDEX(Projects[M&amp;E Installation (wks)],435)</f>
        <v/>
      </c>
      <c r="R436" s="66">
        <f>INDEX(Projects[Commissioning (wks)],435)</f>
        <v/>
      </c>
      <c r="S436" s="66">
        <f>INDEX(Projects[Total Timeline (wks)],435)</f>
        <v/>
      </c>
      <c r="T436" s="66">
        <f>INDEX(Projects[Currency],435)&amp;""</f>
        <v/>
      </c>
      <c r="U436" s="67">
        <f>INDEX(Projects[Value (M)],435)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INDEX(Projects[Automation Equipment],435)&amp;""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IF(AND(A436&lt;&gt;"",OR('Smart Search'!$L$5="",'Smart Search'!$L$5="All",TRIM(BZ436)=TRIM('Smart Search'!$L$5)),OR(TRIM('Smart Search'!$L$6)="",TRIM('Smart Search'!$L$6)="All",ISNUMBER(SEARCH(SUBSTITUTE(SUBSTITUTE(SUBSTITUTE(TRIM('Smart Search'!$L$6),"~","~~"),"*","~*"),"?","~?"),CA436))),OR('Smart Search'!$L$7="",AND(CB436&lt;&gt;0,CB436='Smart Search'!$L$7)),OR('Smart Search'!$L$8="",'Smart Search'!$L$8="All",TRIM(CC436)=TRIM('Smart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IF(A436="","",N(INDEX(Projects[Mech Inst],435)))</f>
        <v/>
      </c>
      <c r="BK436" s="5">
        <f>IF(A436="","",N(INDEX(Projects[Elec Inst],435)))</f>
        <v/>
      </c>
      <c r="BL436" s="5">
        <f>IF(A436="","",N(INDEX(Projects[Project Management],435)))</f>
        <v/>
      </c>
      <c r="BM436" s="5">
        <f>IF(A436="","",N(INDEX(Projects[Systems Eng],435)))</f>
        <v/>
      </c>
      <c r="BN436" s="5">
        <f>IF(A436="","",N(INDEX(Projects[Mechanical Eng],435)))</f>
        <v/>
      </c>
      <c r="BO436" s="5">
        <f>IF(A436="","",N(INDEX(Projects[Structural Engineering],435)))</f>
        <v/>
      </c>
      <c r="BP436" s="5">
        <f>IF(A436="","",N(INDEX(Projects[Site Sup],435)))</f>
        <v/>
      </c>
      <c r="BQ436" s="5">
        <f>IF(A436="","",N(INDEX(Projects[Controls Commissioning],435)))</f>
        <v/>
      </c>
      <c r="BR436" s="5">
        <f>IF(A436="","",N(INDEX(Projects[Systems Commissioning],435)))</f>
        <v/>
      </c>
      <c r="BS436" s="5">
        <f>IF(A436="","",N(INDEX(Projects[Service Commissioning],435)))</f>
        <v/>
      </c>
      <c r="BT436" s="5">
        <f>IF(A436="","",N(INDEX(Projects[Controls Eng],435)))</f>
        <v/>
      </c>
      <c r="BU436" s="5">
        <f>IF(A436="","",N(INDEX(Projects[Controls Purchase],435)))</f>
        <v/>
      </c>
      <c r="BV436" s="5">
        <f>IF(A436="","",N(INDEX(Projects[Software Eng],435)))</f>
        <v/>
      </c>
      <c r="BW436" s="5">
        <f>IF(A436="","",N(INDEX(Projects[Misc],435)))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  <c r="BZ436" s="5">
        <f>INDEX(Projects[Solution Type],435)&amp;""</f>
        <v/>
      </c>
      <c r="CA436" s="5">
        <f>INDEX(Projects[Client / Region],435)&amp;""</f>
        <v/>
      </c>
      <c r="CB436" s="5">
        <f>INDEX(Projects[Year],435)</f>
        <v/>
      </c>
      <c r="CC436" s="5">
        <f>INDEX(Projects[Won?],435)&amp;""</f>
        <v/>
      </c>
      <c r="CD436" s="5">
        <f>INDEX(Projects[Value (USD M)],435)</f>
        <v/>
      </c>
      <c r="CE436" s="5">
        <f>INDEX(Projects[MH Data Status],435)&amp;""</f>
        <v/>
      </c>
    </row>
    <row r="437" ht="15" customHeight="1" s="74">
      <c r="A437" s="66">
        <f>INDEX(Projects[Project ID *],436)&amp;""</f>
        <v/>
      </c>
      <c r="B437" s="66">
        <f>INDEX(Projects[Project Name *],436)&amp;""</f>
        <v/>
      </c>
      <c r="C437" s="66">
        <f>INDEX(Projects[MS Shuttles],436)</f>
        <v/>
      </c>
      <c r="D437" s="66">
        <f>INDEX(Projects[MS Tote Locations],436)</f>
        <v/>
      </c>
      <c r="E437" s="66">
        <f>INDEX(Projects[AS Robots],436)</f>
        <v/>
      </c>
      <c r="F437" s="66">
        <f>INDEX(Projects[AS Tote Locations],436)</f>
        <v/>
      </c>
      <c r="G437" s="66">
        <f>INDEX(Projects[PS Shuttles],436)</f>
        <v/>
      </c>
      <c r="H437" s="66">
        <f>INDEX(Projects[PS Pallet Locations],436)</f>
        <v/>
      </c>
      <c r="I437" s="66">
        <f>INDEX(Projects[SRM Cranes],436)</f>
        <v/>
      </c>
      <c r="J437" s="66">
        <f>INDEX(Projects[SRM Pallet Locations],436)</f>
        <v/>
      </c>
      <c r="K437" s="66">
        <f>INDEX(Projects[Case Conv (m)],436)</f>
        <v/>
      </c>
      <c r="L437" s="66">
        <f>INDEX(Projects[Pallet Conv (m)],436)</f>
        <v/>
      </c>
      <c r="M437" s="66">
        <f>INDEX(Projects[Mech Eng (wks)],436)</f>
        <v/>
      </c>
      <c r="N437" s="66">
        <f>INDEX(Projects[Controls Eng (wks)],436)</f>
        <v/>
      </c>
      <c r="O437" s="66">
        <f>INDEX(Projects[Systems Eng (wks)],436)</f>
        <v/>
      </c>
      <c r="P437" s="66">
        <f>INDEX(Projects[Software Eng (wks)],436)</f>
        <v/>
      </c>
      <c r="Q437" s="66">
        <f>INDEX(Projects[M&amp;E Installation (wks)],436)</f>
        <v/>
      </c>
      <c r="R437" s="66">
        <f>INDEX(Projects[Commissioning (wks)],436)</f>
        <v/>
      </c>
      <c r="S437" s="66">
        <f>INDEX(Projects[Total Timeline (wks)],436)</f>
        <v/>
      </c>
      <c r="T437" s="66">
        <f>INDEX(Projects[Currency],436)&amp;""</f>
        <v/>
      </c>
      <c r="U437" s="67">
        <f>INDEX(Projects[Value (M)],436)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INDEX(Projects[Automation Equipment],436)&amp;""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IF(AND(A437&lt;&gt;"",OR('Smart Search'!$L$5="",'Smart Search'!$L$5="All",TRIM(BZ437)=TRIM('Smart Search'!$L$5)),OR(TRIM('Smart Search'!$L$6)="",TRIM('Smart Search'!$L$6)="All",ISNUMBER(SEARCH(SUBSTITUTE(SUBSTITUTE(SUBSTITUTE(TRIM('Smart Search'!$L$6),"~","~~"),"*","~*"),"?","~?"),CA437))),OR('Smart Search'!$L$7="",AND(CB437&lt;&gt;0,CB437='Smart Search'!$L$7)),OR('Smart Search'!$L$8="",'Smart Search'!$L$8="All",TRIM(CC437)=TRIM('Smart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IF(A437="","",N(INDEX(Projects[Mech Inst],436)))</f>
        <v/>
      </c>
      <c r="BK437" s="5">
        <f>IF(A437="","",N(INDEX(Projects[Elec Inst],436)))</f>
        <v/>
      </c>
      <c r="BL437" s="5">
        <f>IF(A437="","",N(INDEX(Projects[Project Management],436)))</f>
        <v/>
      </c>
      <c r="BM437" s="5">
        <f>IF(A437="","",N(INDEX(Projects[Systems Eng],436)))</f>
        <v/>
      </c>
      <c r="BN437" s="5">
        <f>IF(A437="","",N(INDEX(Projects[Mechanical Eng],436)))</f>
        <v/>
      </c>
      <c r="BO437" s="5">
        <f>IF(A437="","",N(INDEX(Projects[Structural Engineering],436)))</f>
        <v/>
      </c>
      <c r="BP437" s="5">
        <f>IF(A437="","",N(INDEX(Projects[Site Sup],436)))</f>
        <v/>
      </c>
      <c r="BQ437" s="5">
        <f>IF(A437="","",N(INDEX(Projects[Controls Commissioning],436)))</f>
        <v/>
      </c>
      <c r="BR437" s="5">
        <f>IF(A437="","",N(INDEX(Projects[Systems Commissioning],436)))</f>
        <v/>
      </c>
      <c r="BS437" s="5">
        <f>IF(A437="","",N(INDEX(Projects[Service Commissioning],436)))</f>
        <v/>
      </c>
      <c r="BT437" s="5">
        <f>IF(A437="","",N(INDEX(Projects[Controls Eng],436)))</f>
        <v/>
      </c>
      <c r="BU437" s="5">
        <f>IF(A437="","",N(INDEX(Projects[Controls Purchase],436)))</f>
        <v/>
      </c>
      <c r="BV437" s="5">
        <f>IF(A437="","",N(INDEX(Projects[Software Eng],436)))</f>
        <v/>
      </c>
      <c r="BW437" s="5">
        <f>IF(A437="","",N(INDEX(Projects[Misc],436)))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  <c r="BZ437" s="5">
        <f>INDEX(Projects[Solution Type],436)&amp;""</f>
        <v/>
      </c>
      <c r="CA437" s="5">
        <f>INDEX(Projects[Client / Region],436)&amp;""</f>
        <v/>
      </c>
      <c r="CB437" s="5">
        <f>INDEX(Projects[Year],436)</f>
        <v/>
      </c>
      <c r="CC437" s="5">
        <f>INDEX(Projects[Won?],436)&amp;""</f>
        <v/>
      </c>
      <c r="CD437" s="5">
        <f>INDEX(Projects[Value (USD M)],436)</f>
        <v/>
      </c>
      <c r="CE437" s="5">
        <f>INDEX(Projects[MH Data Status],436)&amp;""</f>
        <v/>
      </c>
    </row>
    <row r="438" ht="15" customHeight="1" s="74">
      <c r="A438" s="66">
        <f>INDEX(Projects[Project ID *],437)&amp;""</f>
        <v/>
      </c>
      <c r="B438" s="66">
        <f>INDEX(Projects[Project Name *],437)&amp;""</f>
        <v/>
      </c>
      <c r="C438" s="66">
        <f>INDEX(Projects[MS Shuttles],437)</f>
        <v/>
      </c>
      <c r="D438" s="66">
        <f>INDEX(Projects[MS Tote Locations],437)</f>
        <v/>
      </c>
      <c r="E438" s="66">
        <f>INDEX(Projects[AS Robots],437)</f>
        <v/>
      </c>
      <c r="F438" s="66">
        <f>INDEX(Projects[AS Tote Locations],437)</f>
        <v/>
      </c>
      <c r="G438" s="66">
        <f>INDEX(Projects[PS Shuttles],437)</f>
        <v/>
      </c>
      <c r="H438" s="66">
        <f>INDEX(Projects[PS Pallet Locations],437)</f>
        <v/>
      </c>
      <c r="I438" s="66">
        <f>INDEX(Projects[SRM Cranes],437)</f>
        <v/>
      </c>
      <c r="J438" s="66">
        <f>INDEX(Projects[SRM Pallet Locations],437)</f>
        <v/>
      </c>
      <c r="K438" s="66">
        <f>INDEX(Projects[Case Conv (m)],437)</f>
        <v/>
      </c>
      <c r="L438" s="66">
        <f>INDEX(Projects[Pallet Conv (m)],437)</f>
        <v/>
      </c>
      <c r="M438" s="66">
        <f>INDEX(Projects[Mech Eng (wks)],437)</f>
        <v/>
      </c>
      <c r="N438" s="66">
        <f>INDEX(Projects[Controls Eng (wks)],437)</f>
        <v/>
      </c>
      <c r="O438" s="66">
        <f>INDEX(Projects[Systems Eng (wks)],437)</f>
        <v/>
      </c>
      <c r="P438" s="66">
        <f>INDEX(Projects[Software Eng (wks)],437)</f>
        <v/>
      </c>
      <c r="Q438" s="66">
        <f>INDEX(Projects[M&amp;E Installation (wks)],437)</f>
        <v/>
      </c>
      <c r="R438" s="66">
        <f>INDEX(Projects[Commissioning (wks)],437)</f>
        <v/>
      </c>
      <c r="S438" s="66">
        <f>INDEX(Projects[Total Timeline (wks)],437)</f>
        <v/>
      </c>
      <c r="T438" s="66">
        <f>INDEX(Projects[Currency],437)&amp;""</f>
        <v/>
      </c>
      <c r="U438" s="67">
        <f>INDEX(Projects[Value (M)],437)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INDEX(Projects[Automation Equipment],437)&amp;""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IF(AND(A438&lt;&gt;"",OR('Smart Search'!$L$5="",'Smart Search'!$L$5="All",TRIM(BZ438)=TRIM('Smart Search'!$L$5)),OR(TRIM('Smart Search'!$L$6)="",TRIM('Smart Search'!$L$6)="All",ISNUMBER(SEARCH(SUBSTITUTE(SUBSTITUTE(SUBSTITUTE(TRIM('Smart Search'!$L$6),"~","~~"),"*","~*"),"?","~?"),CA438))),OR('Smart Search'!$L$7="",AND(CB438&lt;&gt;0,CB438='Smart Search'!$L$7)),OR('Smart Search'!$L$8="",'Smart Search'!$L$8="All",TRIM(CC438)=TRIM('Smart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IF(A438="","",N(INDEX(Projects[Mech Inst],437)))</f>
        <v/>
      </c>
      <c r="BK438" s="5">
        <f>IF(A438="","",N(INDEX(Projects[Elec Inst],437)))</f>
        <v/>
      </c>
      <c r="BL438" s="5">
        <f>IF(A438="","",N(INDEX(Projects[Project Management],437)))</f>
        <v/>
      </c>
      <c r="BM438" s="5">
        <f>IF(A438="","",N(INDEX(Projects[Systems Eng],437)))</f>
        <v/>
      </c>
      <c r="BN438" s="5">
        <f>IF(A438="","",N(INDEX(Projects[Mechanical Eng],437)))</f>
        <v/>
      </c>
      <c r="BO438" s="5">
        <f>IF(A438="","",N(INDEX(Projects[Structural Engineering],437)))</f>
        <v/>
      </c>
      <c r="BP438" s="5">
        <f>IF(A438="","",N(INDEX(Projects[Site Sup],437)))</f>
        <v/>
      </c>
      <c r="BQ438" s="5">
        <f>IF(A438="","",N(INDEX(Projects[Controls Commissioning],437)))</f>
        <v/>
      </c>
      <c r="BR438" s="5">
        <f>IF(A438="","",N(INDEX(Projects[Systems Commissioning],437)))</f>
        <v/>
      </c>
      <c r="BS438" s="5">
        <f>IF(A438="","",N(INDEX(Projects[Service Commissioning],437)))</f>
        <v/>
      </c>
      <c r="BT438" s="5">
        <f>IF(A438="","",N(INDEX(Projects[Controls Eng],437)))</f>
        <v/>
      </c>
      <c r="BU438" s="5">
        <f>IF(A438="","",N(INDEX(Projects[Controls Purchase],437)))</f>
        <v/>
      </c>
      <c r="BV438" s="5">
        <f>IF(A438="","",N(INDEX(Projects[Software Eng],437)))</f>
        <v/>
      </c>
      <c r="BW438" s="5">
        <f>IF(A438="","",N(INDEX(Projects[Misc],437)))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  <c r="BZ438" s="5">
        <f>INDEX(Projects[Solution Type],437)&amp;""</f>
        <v/>
      </c>
      <c r="CA438" s="5">
        <f>INDEX(Projects[Client / Region],437)&amp;""</f>
        <v/>
      </c>
      <c r="CB438" s="5">
        <f>INDEX(Projects[Year],437)</f>
        <v/>
      </c>
      <c r="CC438" s="5">
        <f>INDEX(Projects[Won?],437)&amp;""</f>
        <v/>
      </c>
      <c r="CD438" s="5">
        <f>INDEX(Projects[Value (USD M)],437)</f>
        <v/>
      </c>
      <c r="CE438" s="5">
        <f>INDEX(Projects[MH Data Status],437)&amp;""</f>
        <v/>
      </c>
    </row>
    <row r="439" ht="15" customHeight="1" s="74">
      <c r="A439" s="66">
        <f>INDEX(Projects[Project ID *],438)&amp;""</f>
        <v/>
      </c>
      <c r="B439" s="66">
        <f>INDEX(Projects[Project Name *],438)&amp;""</f>
        <v/>
      </c>
      <c r="C439" s="66">
        <f>INDEX(Projects[MS Shuttles],438)</f>
        <v/>
      </c>
      <c r="D439" s="66">
        <f>INDEX(Projects[MS Tote Locations],438)</f>
        <v/>
      </c>
      <c r="E439" s="66">
        <f>INDEX(Projects[AS Robots],438)</f>
        <v/>
      </c>
      <c r="F439" s="66">
        <f>INDEX(Projects[AS Tote Locations],438)</f>
        <v/>
      </c>
      <c r="G439" s="66">
        <f>INDEX(Projects[PS Shuttles],438)</f>
        <v/>
      </c>
      <c r="H439" s="66">
        <f>INDEX(Projects[PS Pallet Locations],438)</f>
        <v/>
      </c>
      <c r="I439" s="66">
        <f>INDEX(Projects[SRM Cranes],438)</f>
        <v/>
      </c>
      <c r="J439" s="66">
        <f>INDEX(Projects[SRM Pallet Locations],438)</f>
        <v/>
      </c>
      <c r="K439" s="66">
        <f>INDEX(Projects[Case Conv (m)],438)</f>
        <v/>
      </c>
      <c r="L439" s="66">
        <f>INDEX(Projects[Pallet Conv (m)],438)</f>
        <v/>
      </c>
      <c r="M439" s="66">
        <f>INDEX(Projects[Mech Eng (wks)],438)</f>
        <v/>
      </c>
      <c r="N439" s="66">
        <f>INDEX(Projects[Controls Eng (wks)],438)</f>
        <v/>
      </c>
      <c r="O439" s="66">
        <f>INDEX(Projects[Systems Eng (wks)],438)</f>
        <v/>
      </c>
      <c r="P439" s="66">
        <f>INDEX(Projects[Software Eng (wks)],438)</f>
        <v/>
      </c>
      <c r="Q439" s="66">
        <f>INDEX(Projects[M&amp;E Installation (wks)],438)</f>
        <v/>
      </c>
      <c r="R439" s="66">
        <f>INDEX(Projects[Commissioning (wks)],438)</f>
        <v/>
      </c>
      <c r="S439" s="66">
        <f>INDEX(Projects[Total Timeline (wks)],438)</f>
        <v/>
      </c>
      <c r="T439" s="66">
        <f>INDEX(Projects[Currency],438)&amp;""</f>
        <v/>
      </c>
      <c r="U439" s="67">
        <f>INDEX(Projects[Value (M)],438)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INDEX(Projects[Automation Equipment],438)&amp;""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IF(AND(A439&lt;&gt;"",OR('Smart Search'!$L$5="",'Smart Search'!$L$5="All",TRIM(BZ439)=TRIM('Smart Search'!$L$5)),OR(TRIM('Smart Search'!$L$6)="",TRIM('Smart Search'!$L$6)="All",ISNUMBER(SEARCH(SUBSTITUTE(SUBSTITUTE(SUBSTITUTE(TRIM('Smart Search'!$L$6),"~","~~"),"*","~*"),"?","~?"),CA439))),OR('Smart Search'!$L$7="",AND(CB439&lt;&gt;0,CB439='Smart Search'!$L$7)),OR('Smart Search'!$L$8="",'Smart Search'!$L$8="All",TRIM(CC439)=TRIM('Smart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IF(A439="","",N(INDEX(Projects[Mech Inst],438)))</f>
        <v/>
      </c>
      <c r="BK439" s="5">
        <f>IF(A439="","",N(INDEX(Projects[Elec Inst],438)))</f>
        <v/>
      </c>
      <c r="BL439" s="5">
        <f>IF(A439="","",N(INDEX(Projects[Project Management],438)))</f>
        <v/>
      </c>
      <c r="BM439" s="5">
        <f>IF(A439="","",N(INDEX(Projects[Systems Eng],438)))</f>
        <v/>
      </c>
      <c r="BN439" s="5">
        <f>IF(A439="","",N(INDEX(Projects[Mechanical Eng],438)))</f>
        <v/>
      </c>
      <c r="BO439" s="5">
        <f>IF(A439="","",N(INDEX(Projects[Structural Engineering],438)))</f>
        <v/>
      </c>
      <c r="BP439" s="5">
        <f>IF(A439="","",N(INDEX(Projects[Site Sup],438)))</f>
        <v/>
      </c>
      <c r="BQ439" s="5">
        <f>IF(A439="","",N(INDEX(Projects[Controls Commissioning],438)))</f>
        <v/>
      </c>
      <c r="BR439" s="5">
        <f>IF(A439="","",N(INDEX(Projects[Systems Commissioning],438)))</f>
        <v/>
      </c>
      <c r="BS439" s="5">
        <f>IF(A439="","",N(INDEX(Projects[Service Commissioning],438)))</f>
        <v/>
      </c>
      <c r="BT439" s="5">
        <f>IF(A439="","",N(INDEX(Projects[Controls Eng],438)))</f>
        <v/>
      </c>
      <c r="BU439" s="5">
        <f>IF(A439="","",N(INDEX(Projects[Controls Purchase],438)))</f>
        <v/>
      </c>
      <c r="BV439" s="5">
        <f>IF(A439="","",N(INDEX(Projects[Software Eng],438)))</f>
        <v/>
      </c>
      <c r="BW439" s="5">
        <f>IF(A439="","",N(INDEX(Projects[Misc],438)))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  <c r="BZ439" s="5">
        <f>INDEX(Projects[Solution Type],438)&amp;""</f>
        <v/>
      </c>
      <c r="CA439" s="5">
        <f>INDEX(Projects[Client / Region],438)&amp;""</f>
        <v/>
      </c>
      <c r="CB439" s="5">
        <f>INDEX(Projects[Year],438)</f>
        <v/>
      </c>
      <c r="CC439" s="5">
        <f>INDEX(Projects[Won?],438)&amp;""</f>
        <v/>
      </c>
      <c r="CD439" s="5">
        <f>INDEX(Projects[Value (USD M)],438)</f>
        <v/>
      </c>
      <c r="CE439" s="5">
        <f>INDEX(Projects[MH Data Status],438)&amp;""</f>
        <v/>
      </c>
    </row>
    <row r="440" ht="15" customHeight="1" s="74">
      <c r="A440" s="66">
        <f>INDEX(Projects[Project ID *],439)&amp;""</f>
        <v/>
      </c>
      <c r="B440" s="66">
        <f>INDEX(Projects[Project Name *],439)&amp;""</f>
        <v/>
      </c>
      <c r="C440" s="66">
        <f>INDEX(Projects[MS Shuttles],439)</f>
        <v/>
      </c>
      <c r="D440" s="66">
        <f>INDEX(Projects[MS Tote Locations],439)</f>
        <v/>
      </c>
      <c r="E440" s="66">
        <f>INDEX(Projects[AS Robots],439)</f>
        <v/>
      </c>
      <c r="F440" s="66">
        <f>INDEX(Projects[AS Tote Locations],439)</f>
        <v/>
      </c>
      <c r="G440" s="66">
        <f>INDEX(Projects[PS Shuttles],439)</f>
        <v/>
      </c>
      <c r="H440" s="66">
        <f>INDEX(Projects[PS Pallet Locations],439)</f>
        <v/>
      </c>
      <c r="I440" s="66">
        <f>INDEX(Projects[SRM Cranes],439)</f>
        <v/>
      </c>
      <c r="J440" s="66">
        <f>INDEX(Projects[SRM Pallet Locations],439)</f>
        <v/>
      </c>
      <c r="K440" s="66">
        <f>INDEX(Projects[Case Conv (m)],439)</f>
        <v/>
      </c>
      <c r="L440" s="66">
        <f>INDEX(Projects[Pallet Conv (m)],439)</f>
        <v/>
      </c>
      <c r="M440" s="66">
        <f>INDEX(Projects[Mech Eng (wks)],439)</f>
        <v/>
      </c>
      <c r="N440" s="66">
        <f>INDEX(Projects[Controls Eng (wks)],439)</f>
        <v/>
      </c>
      <c r="O440" s="66">
        <f>INDEX(Projects[Systems Eng (wks)],439)</f>
        <v/>
      </c>
      <c r="P440" s="66">
        <f>INDEX(Projects[Software Eng (wks)],439)</f>
        <v/>
      </c>
      <c r="Q440" s="66">
        <f>INDEX(Projects[M&amp;E Installation (wks)],439)</f>
        <v/>
      </c>
      <c r="R440" s="66">
        <f>INDEX(Projects[Commissioning (wks)],439)</f>
        <v/>
      </c>
      <c r="S440" s="66">
        <f>INDEX(Projects[Total Timeline (wks)],439)</f>
        <v/>
      </c>
      <c r="T440" s="66">
        <f>INDEX(Projects[Currency],439)&amp;""</f>
        <v/>
      </c>
      <c r="U440" s="67">
        <f>INDEX(Projects[Value (M)],439)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INDEX(Projects[Automation Equipment],439)&amp;""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IF(AND(A440&lt;&gt;"",OR('Smart Search'!$L$5="",'Smart Search'!$L$5="All",TRIM(BZ440)=TRIM('Smart Search'!$L$5)),OR(TRIM('Smart Search'!$L$6)="",TRIM('Smart Search'!$L$6)="All",ISNUMBER(SEARCH(SUBSTITUTE(SUBSTITUTE(SUBSTITUTE(TRIM('Smart Search'!$L$6),"~","~~"),"*","~*"),"?","~?"),CA440))),OR('Smart Search'!$L$7="",AND(CB440&lt;&gt;0,CB440='Smart Search'!$L$7)),OR('Smart Search'!$L$8="",'Smart Search'!$L$8="All",TRIM(CC440)=TRIM('Smart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IF(A440="","",N(INDEX(Projects[Mech Inst],439)))</f>
        <v/>
      </c>
      <c r="BK440" s="5">
        <f>IF(A440="","",N(INDEX(Projects[Elec Inst],439)))</f>
        <v/>
      </c>
      <c r="BL440" s="5">
        <f>IF(A440="","",N(INDEX(Projects[Project Management],439)))</f>
        <v/>
      </c>
      <c r="BM440" s="5">
        <f>IF(A440="","",N(INDEX(Projects[Systems Eng],439)))</f>
        <v/>
      </c>
      <c r="BN440" s="5">
        <f>IF(A440="","",N(INDEX(Projects[Mechanical Eng],439)))</f>
        <v/>
      </c>
      <c r="BO440" s="5">
        <f>IF(A440="","",N(INDEX(Projects[Structural Engineering],439)))</f>
        <v/>
      </c>
      <c r="BP440" s="5">
        <f>IF(A440="","",N(INDEX(Projects[Site Sup],439)))</f>
        <v/>
      </c>
      <c r="BQ440" s="5">
        <f>IF(A440="","",N(INDEX(Projects[Controls Commissioning],439)))</f>
        <v/>
      </c>
      <c r="BR440" s="5">
        <f>IF(A440="","",N(INDEX(Projects[Systems Commissioning],439)))</f>
        <v/>
      </c>
      <c r="BS440" s="5">
        <f>IF(A440="","",N(INDEX(Projects[Service Commissioning],439)))</f>
        <v/>
      </c>
      <c r="BT440" s="5">
        <f>IF(A440="","",N(INDEX(Projects[Controls Eng],439)))</f>
        <v/>
      </c>
      <c r="BU440" s="5">
        <f>IF(A440="","",N(INDEX(Projects[Controls Purchase],439)))</f>
        <v/>
      </c>
      <c r="BV440" s="5">
        <f>IF(A440="","",N(INDEX(Projects[Software Eng],439)))</f>
        <v/>
      </c>
      <c r="BW440" s="5">
        <f>IF(A440="","",N(INDEX(Projects[Misc],439)))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  <c r="BZ440" s="5">
        <f>INDEX(Projects[Solution Type],439)&amp;""</f>
        <v/>
      </c>
      <c r="CA440" s="5">
        <f>INDEX(Projects[Client / Region],439)&amp;""</f>
        <v/>
      </c>
      <c r="CB440" s="5">
        <f>INDEX(Projects[Year],439)</f>
        <v/>
      </c>
      <c r="CC440" s="5">
        <f>INDEX(Projects[Won?],439)&amp;""</f>
        <v/>
      </c>
      <c r="CD440" s="5">
        <f>INDEX(Projects[Value (USD M)],439)</f>
        <v/>
      </c>
      <c r="CE440" s="5">
        <f>INDEX(Projects[MH Data Status],439)&amp;""</f>
        <v/>
      </c>
    </row>
    <row r="441" ht="15" customHeight="1" s="74">
      <c r="A441" s="66">
        <f>INDEX(Projects[Project ID *],440)&amp;""</f>
        <v/>
      </c>
      <c r="B441" s="66">
        <f>INDEX(Projects[Project Name *],440)&amp;""</f>
        <v/>
      </c>
      <c r="C441" s="66">
        <f>INDEX(Projects[MS Shuttles],440)</f>
        <v/>
      </c>
      <c r="D441" s="66">
        <f>INDEX(Projects[MS Tote Locations],440)</f>
        <v/>
      </c>
      <c r="E441" s="66">
        <f>INDEX(Projects[AS Robots],440)</f>
        <v/>
      </c>
      <c r="F441" s="66">
        <f>INDEX(Projects[AS Tote Locations],440)</f>
        <v/>
      </c>
      <c r="G441" s="66">
        <f>INDEX(Projects[PS Shuttles],440)</f>
        <v/>
      </c>
      <c r="H441" s="66">
        <f>INDEX(Projects[PS Pallet Locations],440)</f>
        <v/>
      </c>
      <c r="I441" s="66">
        <f>INDEX(Projects[SRM Cranes],440)</f>
        <v/>
      </c>
      <c r="J441" s="66">
        <f>INDEX(Projects[SRM Pallet Locations],440)</f>
        <v/>
      </c>
      <c r="K441" s="66">
        <f>INDEX(Projects[Case Conv (m)],440)</f>
        <v/>
      </c>
      <c r="L441" s="66">
        <f>INDEX(Projects[Pallet Conv (m)],440)</f>
        <v/>
      </c>
      <c r="M441" s="66">
        <f>INDEX(Projects[Mech Eng (wks)],440)</f>
        <v/>
      </c>
      <c r="N441" s="66">
        <f>INDEX(Projects[Controls Eng (wks)],440)</f>
        <v/>
      </c>
      <c r="O441" s="66">
        <f>INDEX(Projects[Systems Eng (wks)],440)</f>
        <v/>
      </c>
      <c r="P441" s="66">
        <f>INDEX(Projects[Software Eng (wks)],440)</f>
        <v/>
      </c>
      <c r="Q441" s="66">
        <f>INDEX(Projects[M&amp;E Installation (wks)],440)</f>
        <v/>
      </c>
      <c r="R441" s="66">
        <f>INDEX(Projects[Commissioning (wks)],440)</f>
        <v/>
      </c>
      <c r="S441" s="66">
        <f>INDEX(Projects[Total Timeline (wks)],440)</f>
        <v/>
      </c>
      <c r="T441" s="66">
        <f>INDEX(Projects[Currency],440)&amp;""</f>
        <v/>
      </c>
      <c r="U441" s="67">
        <f>INDEX(Projects[Value (M)],440)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INDEX(Projects[Automation Equipment],440)&amp;""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IF(AND(A441&lt;&gt;"",OR('Smart Search'!$L$5="",'Smart Search'!$L$5="All",TRIM(BZ441)=TRIM('Smart Search'!$L$5)),OR(TRIM('Smart Search'!$L$6)="",TRIM('Smart Search'!$L$6)="All",ISNUMBER(SEARCH(SUBSTITUTE(SUBSTITUTE(SUBSTITUTE(TRIM('Smart Search'!$L$6),"~","~~"),"*","~*"),"?","~?"),CA441))),OR('Smart Search'!$L$7="",AND(CB441&lt;&gt;0,CB441='Smart Search'!$L$7)),OR('Smart Search'!$L$8="",'Smart Search'!$L$8="All",TRIM(CC441)=TRIM('Smart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IF(A441="","",N(INDEX(Projects[Mech Inst],440)))</f>
        <v/>
      </c>
      <c r="BK441" s="5">
        <f>IF(A441="","",N(INDEX(Projects[Elec Inst],440)))</f>
        <v/>
      </c>
      <c r="BL441" s="5">
        <f>IF(A441="","",N(INDEX(Projects[Project Management],440)))</f>
        <v/>
      </c>
      <c r="BM441" s="5">
        <f>IF(A441="","",N(INDEX(Projects[Systems Eng],440)))</f>
        <v/>
      </c>
      <c r="BN441" s="5">
        <f>IF(A441="","",N(INDEX(Projects[Mechanical Eng],440)))</f>
        <v/>
      </c>
      <c r="BO441" s="5">
        <f>IF(A441="","",N(INDEX(Projects[Structural Engineering],440)))</f>
        <v/>
      </c>
      <c r="BP441" s="5">
        <f>IF(A441="","",N(INDEX(Projects[Site Sup],440)))</f>
        <v/>
      </c>
      <c r="BQ441" s="5">
        <f>IF(A441="","",N(INDEX(Projects[Controls Commissioning],440)))</f>
        <v/>
      </c>
      <c r="BR441" s="5">
        <f>IF(A441="","",N(INDEX(Projects[Systems Commissioning],440)))</f>
        <v/>
      </c>
      <c r="BS441" s="5">
        <f>IF(A441="","",N(INDEX(Projects[Service Commissioning],440)))</f>
        <v/>
      </c>
      <c r="BT441" s="5">
        <f>IF(A441="","",N(INDEX(Projects[Controls Eng],440)))</f>
        <v/>
      </c>
      <c r="BU441" s="5">
        <f>IF(A441="","",N(INDEX(Projects[Controls Purchase],440)))</f>
        <v/>
      </c>
      <c r="BV441" s="5">
        <f>IF(A441="","",N(INDEX(Projects[Software Eng],440)))</f>
        <v/>
      </c>
      <c r="BW441" s="5">
        <f>IF(A441="","",N(INDEX(Projects[Misc],440)))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  <c r="BZ441" s="5">
        <f>INDEX(Projects[Solution Type],440)&amp;""</f>
        <v/>
      </c>
      <c r="CA441" s="5">
        <f>INDEX(Projects[Client / Region],440)&amp;""</f>
        <v/>
      </c>
      <c r="CB441" s="5">
        <f>INDEX(Projects[Year],440)</f>
        <v/>
      </c>
      <c r="CC441" s="5">
        <f>INDEX(Projects[Won?],440)&amp;""</f>
        <v/>
      </c>
      <c r="CD441" s="5">
        <f>INDEX(Projects[Value (USD M)],440)</f>
        <v/>
      </c>
      <c r="CE441" s="5">
        <f>INDEX(Projects[MH Data Status],440)&amp;""</f>
        <v/>
      </c>
    </row>
    <row r="442" ht="15" customHeight="1" s="74">
      <c r="A442" s="66">
        <f>INDEX(Projects[Project ID *],441)&amp;""</f>
        <v/>
      </c>
      <c r="B442" s="66">
        <f>INDEX(Projects[Project Name *],441)&amp;""</f>
        <v/>
      </c>
      <c r="C442" s="66">
        <f>INDEX(Projects[MS Shuttles],441)</f>
        <v/>
      </c>
      <c r="D442" s="66">
        <f>INDEX(Projects[MS Tote Locations],441)</f>
        <v/>
      </c>
      <c r="E442" s="66">
        <f>INDEX(Projects[AS Robots],441)</f>
        <v/>
      </c>
      <c r="F442" s="66">
        <f>INDEX(Projects[AS Tote Locations],441)</f>
        <v/>
      </c>
      <c r="G442" s="66">
        <f>INDEX(Projects[PS Shuttles],441)</f>
        <v/>
      </c>
      <c r="H442" s="66">
        <f>INDEX(Projects[PS Pallet Locations],441)</f>
        <v/>
      </c>
      <c r="I442" s="66">
        <f>INDEX(Projects[SRM Cranes],441)</f>
        <v/>
      </c>
      <c r="J442" s="66">
        <f>INDEX(Projects[SRM Pallet Locations],441)</f>
        <v/>
      </c>
      <c r="K442" s="66">
        <f>INDEX(Projects[Case Conv (m)],441)</f>
        <v/>
      </c>
      <c r="L442" s="66">
        <f>INDEX(Projects[Pallet Conv (m)],441)</f>
        <v/>
      </c>
      <c r="M442" s="66">
        <f>INDEX(Projects[Mech Eng (wks)],441)</f>
        <v/>
      </c>
      <c r="N442" s="66">
        <f>INDEX(Projects[Controls Eng (wks)],441)</f>
        <v/>
      </c>
      <c r="O442" s="66">
        <f>INDEX(Projects[Systems Eng (wks)],441)</f>
        <v/>
      </c>
      <c r="P442" s="66">
        <f>INDEX(Projects[Software Eng (wks)],441)</f>
        <v/>
      </c>
      <c r="Q442" s="66">
        <f>INDEX(Projects[M&amp;E Installation (wks)],441)</f>
        <v/>
      </c>
      <c r="R442" s="66">
        <f>INDEX(Projects[Commissioning (wks)],441)</f>
        <v/>
      </c>
      <c r="S442" s="66">
        <f>INDEX(Projects[Total Timeline (wks)],441)</f>
        <v/>
      </c>
      <c r="T442" s="66">
        <f>INDEX(Projects[Currency],441)&amp;""</f>
        <v/>
      </c>
      <c r="U442" s="67">
        <f>INDEX(Projects[Value (M)],441)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INDEX(Projects[Automation Equipment],441)&amp;""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IF(AND(A442&lt;&gt;"",OR('Smart Search'!$L$5="",'Smart Search'!$L$5="All",TRIM(BZ442)=TRIM('Smart Search'!$L$5)),OR(TRIM('Smart Search'!$L$6)="",TRIM('Smart Search'!$L$6)="All",ISNUMBER(SEARCH(SUBSTITUTE(SUBSTITUTE(SUBSTITUTE(TRIM('Smart Search'!$L$6),"~","~~"),"*","~*"),"?","~?"),CA442))),OR('Smart Search'!$L$7="",AND(CB442&lt;&gt;0,CB442='Smart Search'!$L$7)),OR('Smart Search'!$L$8="",'Smart Search'!$L$8="All",TRIM(CC442)=TRIM('Smart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IF(A442="","",N(INDEX(Projects[Mech Inst],441)))</f>
        <v/>
      </c>
      <c r="BK442" s="5">
        <f>IF(A442="","",N(INDEX(Projects[Elec Inst],441)))</f>
        <v/>
      </c>
      <c r="BL442" s="5">
        <f>IF(A442="","",N(INDEX(Projects[Project Management],441)))</f>
        <v/>
      </c>
      <c r="BM442" s="5">
        <f>IF(A442="","",N(INDEX(Projects[Systems Eng],441)))</f>
        <v/>
      </c>
      <c r="BN442" s="5">
        <f>IF(A442="","",N(INDEX(Projects[Mechanical Eng],441)))</f>
        <v/>
      </c>
      <c r="BO442" s="5">
        <f>IF(A442="","",N(INDEX(Projects[Structural Engineering],441)))</f>
        <v/>
      </c>
      <c r="BP442" s="5">
        <f>IF(A442="","",N(INDEX(Projects[Site Sup],441)))</f>
        <v/>
      </c>
      <c r="BQ442" s="5">
        <f>IF(A442="","",N(INDEX(Projects[Controls Commissioning],441)))</f>
        <v/>
      </c>
      <c r="BR442" s="5">
        <f>IF(A442="","",N(INDEX(Projects[Systems Commissioning],441)))</f>
        <v/>
      </c>
      <c r="BS442" s="5">
        <f>IF(A442="","",N(INDEX(Projects[Service Commissioning],441)))</f>
        <v/>
      </c>
      <c r="BT442" s="5">
        <f>IF(A442="","",N(INDEX(Projects[Controls Eng],441)))</f>
        <v/>
      </c>
      <c r="BU442" s="5">
        <f>IF(A442="","",N(INDEX(Projects[Controls Purchase],441)))</f>
        <v/>
      </c>
      <c r="BV442" s="5">
        <f>IF(A442="","",N(INDEX(Projects[Software Eng],441)))</f>
        <v/>
      </c>
      <c r="BW442" s="5">
        <f>IF(A442="","",N(INDEX(Projects[Misc],441)))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  <c r="BZ442" s="5">
        <f>INDEX(Projects[Solution Type],441)&amp;""</f>
        <v/>
      </c>
      <c r="CA442" s="5">
        <f>INDEX(Projects[Client / Region],441)&amp;""</f>
        <v/>
      </c>
      <c r="CB442" s="5">
        <f>INDEX(Projects[Year],441)</f>
        <v/>
      </c>
      <c r="CC442" s="5">
        <f>INDEX(Projects[Won?],441)&amp;""</f>
        <v/>
      </c>
      <c r="CD442" s="5">
        <f>INDEX(Projects[Value (USD M)],441)</f>
        <v/>
      </c>
      <c r="CE442" s="5">
        <f>INDEX(Projects[MH Data Status],441)&amp;""</f>
        <v/>
      </c>
    </row>
    <row r="443" ht="15" customHeight="1" s="74">
      <c r="A443" s="66">
        <f>INDEX(Projects[Project ID *],442)&amp;""</f>
        <v/>
      </c>
      <c r="B443" s="66">
        <f>INDEX(Projects[Project Name *],442)&amp;""</f>
        <v/>
      </c>
      <c r="C443" s="66">
        <f>INDEX(Projects[MS Shuttles],442)</f>
        <v/>
      </c>
      <c r="D443" s="66">
        <f>INDEX(Projects[MS Tote Locations],442)</f>
        <v/>
      </c>
      <c r="E443" s="66">
        <f>INDEX(Projects[AS Robots],442)</f>
        <v/>
      </c>
      <c r="F443" s="66">
        <f>INDEX(Projects[AS Tote Locations],442)</f>
        <v/>
      </c>
      <c r="G443" s="66">
        <f>INDEX(Projects[PS Shuttles],442)</f>
        <v/>
      </c>
      <c r="H443" s="66">
        <f>INDEX(Projects[PS Pallet Locations],442)</f>
        <v/>
      </c>
      <c r="I443" s="66">
        <f>INDEX(Projects[SRM Cranes],442)</f>
        <v/>
      </c>
      <c r="J443" s="66">
        <f>INDEX(Projects[SRM Pallet Locations],442)</f>
        <v/>
      </c>
      <c r="K443" s="66">
        <f>INDEX(Projects[Case Conv (m)],442)</f>
        <v/>
      </c>
      <c r="L443" s="66">
        <f>INDEX(Projects[Pallet Conv (m)],442)</f>
        <v/>
      </c>
      <c r="M443" s="66">
        <f>INDEX(Projects[Mech Eng (wks)],442)</f>
        <v/>
      </c>
      <c r="N443" s="66">
        <f>INDEX(Projects[Controls Eng (wks)],442)</f>
        <v/>
      </c>
      <c r="O443" s="66">
        <f>INDEX(Projects[Systems Eng (wks)],442)</f>
        <v/>
      </c>
      <c r="P443" s="66">
        <f>INDEX(Projects[Software Eng (wks)],442)</f>
        <v/>
      </c>
      <c r="Q443" s="66">
        <f>INDEX(Projects[M&amp;E Installation (wks)],442)</f>
        <v/>
      </c>
      <c r="R443" s="66">
        <f>INDEX(Projects[Commissioning (wks)],442)</f>
        <v/>
      </c>
      <c r="S443" s="66">
        <f>INDEX(Projects[Total Timeline (wks)],442)</f>
        <v/>
      </c>
      <c r="T443" s="66">
        <f>INDEX(Projects[Currency],442)&amp;""</f>
        <v/>
      </c>
      <c r="U443" s="67">
        <f>INDEX(Projects[Value (M)],442)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INDEX(Projects[Automation Equipment],442)&amp;""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IF(AND(A443&lt;&gt;"",OR('Smart Search'!$L$5="",'Smart Search'!$L$5="All",TRIM(BZ443)=TRIM('Smart Search'!$L$5)),OR(TRIM('Smart Search'!$L$6)="",TRIM('Smart Search'!$L$6)="All",ISNUMBER(SEARCH(SUBSTITUTE(SUBSTITUTE(SUBSTITUTE(TRIM('Smart Search'!$L$6),"~","~~"),"*","~*"),"?","~?"),CA443))),OR('Smart Search'!$L$7="",AND(CB443&lt;&gt;0,CB443='Smart Search'!$L$7)),OR('Smart Search'!$L$8="",'Smart Search'!$L$8="All",TRIM(CC443)=TRIM('Smart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IF(A443="","",N(INDEX(Projects[Mech Inst],442)))</f>
        <v/>
      </c>
      <c r="BK443" s="5">
        <f>IF(A443="","",N(INDEX(Projects[Elec Inst],442)))</f>
        <v/>
      </c>
      <c r="BL443" s="5">
        <f>IF(A443="","",N(INDEX(Projects[Project Management],442)))</f>
        <v/>
      </c>
      <c r="BM443" s="5">
        <f>IF(A443="","",N(INDEX(Projects[Systems Eng],442)))</f>
        <v/>
      </c>
      <c r="BN443" s="5">
        <f>IF(A443="","",N(INDEX(Projects[Mechanical Eng],442)))</f>
        <v/>
      </c>
      <c r="BO443" s="5">
        <f>IF(A443="","",N(INDEX(Projects[Structural Engineering],442)))</f>
        <v/>
      </c>
      <c r="BP443" s="5">
        <f>IF(A443="","",N(INDEX(Projects[Site Sup],442)))</f>
        <v/>
      </c>
      <c r="BQ443" s="5">
        <f>IF(A443="","",N(INDEX(Projects[Controls Commissioning],442)))</f>
        <v/>
      </c>
      <c r="BR443" s="5">
        <f>IF(A443="","",N(INDEX(Projects[Systems Commissioning],442)))</f>
        <v/>
      </c>
      <c r="BS443" s="5">
        <f>IF(A443="","",N(INDEX(Projects[Service Commissioning],442)))</f>
        <v/>
      </c>
      <c r="BT443" s="5">
        <f>IF(A443="","",N(INDEX(Projects[Controls Eng],442)))</f>
        <v/>
      </c>
      <c r="BU443" s="5">
        <f>IF(A443="","",N(INDEX(Projects[Controls Purchase],442)))</f>
        <v/>
      </c>
      <c r="BV443" s="5">
        <f>IF(A443="","",N(INDEX(Projects[Software Eng],442)))</f>
        <v/>
      </c>
      <c r="BW443" s="5">
        <f>IF(A443="","",N(INDEX(Projects[Misc],442)))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  <c r="BZ443" s="5">
        <f>INDEX(Projects[Solution Type],442)&amp;""</f>
        <v/>
      </c>
      <c r="CA443" s="5">
        <f>INDEX(Projects[Client / Region],442)&amp;""</f>
        <v/>
      </c>
      <c r="CB443" s="5">
        <f>INDEX(Projects[Year],442)</f>
        <v/>
      </c>
      <c r="CC443" s="5">
        <f>INDEX(Projects[Won?],442)&amp;""</f>
        <v/>
      </c>
      <c r="CD443" s="5">
        <f>INDEX(Projects[Value (USD M)],442)</f>
        <v/>
      </c>
      <c r="CE443" s="5">
        <f>INDEX(Projects[MH Data Status],442)&amp;""</f>
        <v/>
      </c>
    </row>
    <row r="444" ht="15" customHeight="1" s="74">
      <c r="A444" s="66">
        <f>INDEX(Projects[Project ID *],443)&amp;""</f>
        <v/>
      </c>
      <c r="B444" s="66">
        <f>INDEX(Projects[Project Name *],443)&amp;""</f>
        <v/>
      </c>
      <c r="C444" s="66">
        <f>INDEX(Projects[MS Shuttles],443)</f>
        <v/>
      </c>
      <c r="D444" s="66">
        <f>INDEX(Projects[MS Tote Locations],443)</f>
        <v/>
      </c>
      <c r="E444" s="66">
        <f>INDEX(Projects[AS Robots],443)</f>
        <v/>
      </c>
      <c r="F444" s="66">
        <f>INDEX(Projects[AS Tote Locations],443)</f>
        <v/>
      </c>
      <c r="G444" s="66">
        <f>INDEX(Projects[PS Shuttles],443)</f>
        <v/>
      </c>
      <c r="H444" s="66">
        <f>INDEX(Projects[PS Pallet Locations],443)</f>
        <v/>
      </c>
      <c r="I444" s="66">
        <f>INDEX(Projects[SRM Cranes],443)</f>
        <v/>
      </c>
      <c r="J444" s="66">
        <f>INDEX(Projects[SRM Pallet Locations],443)</f>
        <v/>
      </c>
      <c r="K444" s="66">
        <f>INDEX(Projects[Case Conv (m)],443)</f>
        <v/>
      </c>
      <c r="L444" s="66">
        <f>INDEX(Projects[Pallet Conv (m)],443)</f>
        <v/>
      </c>
      <c r="M444" s="66">
        <f>INDEX(Projects[Mech Eng (wks)],443)</f>
        <v/>
      </c>
      <c r="N444" s="66">
        <f>INDEX(Projects[Controls Eng (wks)],443)</f>
        <v/>
      </c>
      <c r="O444" s="66">
        <f>INDEX(Projects[Systems Eng (wks)],443)</f>
        <v/>
      </c>
      <c r="P444" s="66">
        <f>INDEX(Projects[Software Eng (wks)],443)</f>
        <v/>
      </c>
      <c r="Q444" s="66">
        <f>INDEX(Projects[M&amp;E Installation (wks)],443)</f>
        <v/>
      </c>
      <c r="R444" s="66">
        <f>INDEX(Projects[Commissioning (wks)],443)</f>
        <v/>
      </c>
      <c r="S444" s="66">
        <f>INDEX(Projects[Total Timeline (wks)],443)</f>
        <v/>
      </c>
      <c r="T444" s="66">
        <f>INDEX(Projects[Currency],443)&amp;""</f>
        <v/>
      </c>
      <c r="U444" s="67">
        <f>INDEX(Projects[Value (M)],443)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INDEX(Projects[Automation Equipment],443)&amp;""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IF(AND(A444&lt;&gt;"",OR('Smart Search'!$L$5="",'Smart Search'!$L$5="All",TRIM(BZ444)=TRIM('Smart Search'!$L$5)),OR(TRIM('Smart Search'!$L$6)="",TRIM('Smart Search'!$L$6)="All",ISNUMBER(SEARCH(SUBSTITUTE(SUBSTITUTE(SUBSTITUTE(TRIM('Smart Search'!$L$6),"~","~~"),"*","~*"),"?","~?"),CA444))),OR('Smart Search'!$L$7="",AND(CB444&lt;&gt;0,CB444='Smart Search'!$L$7)),OR('Smart Search'!$L$8="",'Smart Search'!$L$8="All",TRIM(CC444)=TRIM('Smart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IF(A444="","",N(INDEX(Projects[Mech Inst],443)))</f>
        <v/>
      </c>
      <c r="BK444" s="5">
        <f>IF(A444="","",N(INDEX(Projects[Elec Inst],443)))</f>
        <v/>
      </c>
      <c r="BL444" s="5">
        <f>IF(A444="","",N(INDEX(Projects[Project Management],443)))</f>
        <v/>
      </c>
      <c r="BM444" s="5">
        <f>IF(A444="","",N(INDEX(Projects[Systems Eng],443)))</f>
        <v/>
      </c>
      <c r="BN444" s="5">
        <f>IF(A444="","",N(INDEX(Projects[Mechanical Eng],443)))</f>
        <v/>
      </c>
      <c r="BO444" s="5">
        <f>IF(A444="","",N(INDEX(Projects[Structural Engineering],443)))</f>
        <v/>
      </c>
      <c r="BP444" s="5">
        <f>IF(A444="","",N(INDEX(Projects[Site Sup],443)))</f>
        <v/>
      </c>
      <c r="BQ444" s="5">
        <f>IF(A444="","",N(INDEX(Projects[Controls Commissioning],443)))</f>
        <v/>
      </c>
      <c r="BR444" s="5">
        <f>IF(A444="","",N(INDEX(Projects[Systems Commissioning],443)))</f>
        <v/>
      </c>
      <c r="BS444" s="5">
        <f>IF(A444="","",N(INDEX(Projects[Service Commissioning],443)))</f>
        <v/>
      </c>
      <c r="BT444" s="5">
        <f>IF(A444="","",N(INDEX(Projects[Controls Eng],443)))</f>
        <v/>
      </c>
      <c r="BU444" s="5">
        <f>IF(A444="","",N(INDEX(Projects[Controls Purchase],443)))</f>
        <v/>
      </c>
      <c r="BV444" s="5">
        <f>IF(A444="","",N(INDEX(Projects[Software Eng],443)))</f>
        <v/>
      </c>
      <c r="BW444" s="5">
        <f>IF(A444="","",N(INDEX(Projects[Misc],443)))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  <c r="BZ444" s="5">
        <f>INDEX(Projects[Solution Type],443)&amp;""</f>
        <v/>
      </c>
      <c r="CA444" s="5">
        <f>INDEX(Projects[Client / Region],443)&amp;""</f>
        <v/>
      </c>
      <c r="CB444" s="5">
        <f>INDEX(Projects[Year],443)</f>
        <v/>
      </c>
      <c r="CC444" s="5">
        <f>INDEX(Projects[Won?],443)&amp;""</f>
        <v/>
      </c>
      <c r="CD444" s="5">
        <f>INDEX(Projects[Value (USD M)],443)</f>
        <v/>
      </c>
      <c r="CE444" s="5">
        <f>INDEX(Projects[MH Data Status],443)&amp;""</f>
        <v/>
      </c>
    </row>
    <row r="445" ht="15" customHeight="1" s="74">
      <c r="A445" s="66">
        <f>INDEX(Projects[Project ID *],444)&amp;""</f>
        <v/>
      </c>
      <c r="B445" s="66">
        <f>INDEX(Projects[Project Name *],444)&amp;""</f>
        <v/>
      </c>
      <c r="C445" s="66">
        <f>INDEX(Projects[MS Shuttles],444)</f>
        <v/>
      </c>
      <c r="D445" s="66">
        <f>INDEX(Projects[MS Tote Locations],444)</f>
        <v/>
      </c>
      <c r="E445" s="66">
        <f>INDEX(Projects[AS Robots],444)</f>
        <v/>
      </c>
      <c r="F445" s="66">
        <f>INDEX(Projects[AS Tote Locations],444)</f>
        <v/>
      </c>
      <c r="G445" s="66">
        <f>INDEX(Projects[PS Shuttles],444)</f>
        <v/>
      </c>
      <c r="H445" s="66">
        <f>INDEX(Projects[PS Pallet Locations],444)</f>
        <v/>
      </c>
      <c r="I445" s="66">
        <f>INDEX(Projects[SRM Cranes],444)</f>
        <v/>
      </c>
      <c r="J445" s="66">
        <f>INDEX(Projects[SRM Pallet Locations],444)</f>
        <v/>
      </c>
      <c r="K445" s="66">
        <f>INDEX(Projects[Case Conv (m)],444)</f>
        <v/>
      </c>
      <c r="L445" s="66">
        <f>INDEX(Projects[Pallet Conv (m)],444)</f>
        <v/>
      </c>
      <c r="M445" s="66">
        <f>INDEX(Projects[Mech Eng (wks)],444)</f>
        <v/>
      </c>
      <c r="N445" s="66">
        <f>INDEX(Projects[Controls Eng (wks)],444)</f>
        <v/>
      </c>
      <c r="O445" s="66">
        <f>INDEX(Projects[Systems Eng (wks)],444)</f>
        <v/>
      </c>
      <c r="P445" s="66">
        <f>INDEX(Projects[Software Eng (wks)],444)</f>
        <v/>
      </c>
      <c r="Q445" s="66">
        <f>INDEX(Projects[M&amp;E Installation (wks)],444)</f>
        <v/>
      </c>
      <c r="R445" s="66">
        <f>INDEX(Projects[Commissioning (wks)],444)</f>
        <v/>
      </c>
      <c r="S445" s="66">
        <f>INDEX(Projects[Total Timeline (wks)],444)</f>
        <v/>
      </c>
      <c r="T445" s="66">
        <f>INDEX(Projects[Currency],444)&amp;""</f>
        <v/>
      </c>
      <c r="U445" s="67">
        <f>INDEX(Projects[Value (M)],444)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INDEX(Projects[Automation Equipment],444)&amp;""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IF(AND(A445&lt;&gt;"",OR('Smart Search'!$L$5="",'Smart Search'!$L$5="All",TRIM(BZ445)=TRIM('Smart Search'!$L$5)),OR(TRIM('Smart Search'!$L$6)="",TRIM('Smart Search'!$L$6)="All",ISNUMBER(SEARCH(SUBSTITUTE(SUBSTITUTE(SUBSTITUTE(TRIM('Smart Search'!$L$6),"~","~~"),"*","~*"),"?","~?"),CA445))),OR('Smart Search'!$L$7="",AND(CB445&lt;&gt;0,CB445='Smart Search'!$L$7)),OR('Smart Search'!$L$8="",'Smart Search'!$L$8="All",TRIM(CC445)=TRIM('Smart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IF(A445="","",N(INDEX(Projects[Mech Inst],444)))</f>
        <v/>
      </c>
      <c r="BK445" s="5">
        <f>IF(A445="","",N(INDEX(Projects[Elec Inst],444)))</f>
        <v/>
      </c>
      <c r="BL445" s="5">
        <f>IF(A445="","",N(INDEX(Projects[Project Management],444)))</f>
        <v/>
      </c>
      <c r="BM445" s="5">
        <f>IF(A445="","",N(INDEX(Projects[Systems Eng],444)))</f>
        <v/>
      </c>
      <c r="BN445" s="5">
        <f>IF(A445="","",N(INDEX(Projects[Mechanical Eng],444)))</f>
        <v/>
      </c>
      <c r="BO445" s="5">
        <f>IF(A445="","",N(INDEX(Projects[Structural Engineering],444)))</f>
        <v/>
      </c>
      <c r="BP445" s="5">
        <f>IF(A445="","",N(INDEX(Projects[Site Sup],444)))</f>
        <v/>
      </c>
      <c r="BQ445" s="5">
        <f>IF(A445="","",N(INDEX(Projects[Controls Commissioning],444)))</f>
        <v/>
      </c>
      <c r="BR445" s="5">
        <f>IF(A445="","",N(INDEX(Projects[Systems Commissioning],444)))</f>
        <v/>
      </c>
      <c r="BS445" s="5">
        <f>IF(A445="","",N(INDEX(Projects[Service Commissioning],444)))</f>
        <v/>
      </c>
      <c r="BT445" s="5">
        <f>IF(A445="","",N(INDEX(Projects[Controls Eng],444)))</f>
        <v/>
      </c>
      <c r="BU445" s="5">
        <f>IF(A445="","",N(INDEX(Projects[Controls Purchase],444)))</f>
        <v/>
      </c>
      <c r="BV445" s="5">
        <f>IF(A445="","",N(INDEX(Projects[Software Eng],444)))</f>
        <v/>
      </c>
      <c r="BW445" s="5">
        <f>IF(A445="","",N(INDEX(Projects[Misc],444)))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  <c r="BZ445" s="5">
        <f>INDEX(Projects[Solution Type],444)&amp;""</f>
        <v/>
      </c>
      <c r="CA445" s="5">
        <f>INDEX(Projects[Client / Region],444)&amp;""</f>
        <v/>
      </c>
      <c r="CB445" s="5">
        <f>INDEX(Projects[Year],444)</f>
        <v/>
      </c>
      <c r="CC445" s="5">
        <f>INDEX(Projects[Won?],444)&amp;""</f>
        <v/>
      </c>
      <c r="CD445" s="5">
        <f>INDEX(Projects[Value (USD M)],444)</f>
        <v/>
      </c>
      <c r="CE445" s="5">
        <f>INDEX(Projects[MH Data Status],444)&amp;""</f>
        <v/>
      </c>
    </row>
    <row r="446" ht="15" customHeight="1" s="74">
      <c r="A446" s="66">
        <f>INDEX(Projects[Project ID *],445)&amp;""</f>
        <v/>
      </c>
      <c r="B446" s="66">
        <f>INDEX(Projects[Project Name *],445)&amp;""</f>
        <v/>
      </c>
      <c r="C446" s="66">
        <f>INDEX(Projects[MS Shuttles],445)</f>
        <v/>
      </c>
      <c r="D446" s="66">
        <f>INDEX(Projects[MS Tote Locations],445)</f>
        <v/>
      </c>
      <c r="E446" s="66">
        <f>INDEX(Projects[AS Robots],445)</f>
        <v/>
      </c>
      <c r="F446" s="66">
        <f>INDEX(Projects[AS Tote Locations],445)</f>
        <v/>
      </c>
      <c r="G446" s="66">
        <f>INDEX(Projects[PS Shuttles],445)</f>
        <v/>
      </c>
      <c r="H446" s="66">
        <f>INDEX(Projects[PS Pallet Locations],445)</f>
        <v/>
      </c>
      <c r="I446" s="66">
        <f>INDEX(Projects[SRM Cranes],445)</f>
        <v/>
      </c>
      <c r="J446" s="66">
        <f>INDEX(Projects[SRM Pallet Locations],445)</f>
        <v/>
      </c>
      <c r="K446" s="66">
        <f>INDEX(Projects[Case Conv (m)],445)</f>
        <v/>
      </c>
      <c r="L446" s="66">
        <f>INDEX(Projects[Pallet Conv (m)],445)</f>
        <v/>
      </c>
      <c r="M446" s="66">
        <f>INDEX(Projects[Mech Eng (wks)],445)</f>
        <v/>
      </c>
      <c r="N446" s="66">
        <f>INDEX(Projects[Controls Eng (wks)],445)</f>
        <v/>
      </c>
      <c r="O446" s="66">
        <f>INDEX(Projects[Systems Eng (wks)],445)</f>
        <v/>
      </c>
      <c r="P446" s="66">
        <f>INDEX(Projects[Software Eng (wks)],445)</f>
        <v/>
      </c>
      <c r="Q446" s="66">
        <f>INDEX(Projects[M&amp;E Installation (wks)],445)</f>
        <v/>
      </c>
      <c r="R446" s="66">
        <f>INDEX(Projects[Commissioning (wks)],445)</f>
        <v/>
      </c>
      <c r="S446" s="66">
        <f>INDEX(Projects[Total Timeline (wks)],445)</f>
        <v/>
      </c>
      <c r="T446" s="66">
        <f>INDEX(Projects[Currency],445)&amp;""</f>
        <v/>
      </c>
      <c r="U446" s="67">
        <f>INDEX(Projects[Value (M)],445)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INDEX(Projects[Automation Equipment],445)&amp;""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IF(AND(A446&lt;&gt;"",OR('Smart Search'!$L$5="",'Smart Search'!$L$5="All",TRIM(BZ446)=TRIM('Smart Search'!$L$5)),OR(TRIM('Smart Search'!$L$6)="",TRIM('Smart Search'!$L$6)="All",ISNUMBER(SEARCH(SUBSTITUTE(SUBSTITUTE(SUBSTITUTE(TRIM('Smart Search'!$L$6),"~","~~"),"*","~*"),"?","~?"),CA446))),OR('Smart Search'!$L$7="",AND(CB446&lt;&gt;0,CB446='Smart Search'!$L$7)),OR('Smart Search'!$L$8="",'Smart Search'!$L$8="All",TRIM(CC446)=TRIM('Smart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IF(A446="","",N(INDEX(Projects[Mech Inst],445)))</f>
        <v/>
      </c>
      <c r="BK446" s="5">
        <f>IF(A446="","",N(INDEX(Projects[Elec Inst],445)))</f>
        <v/>
      </c>
      <c r="BL446" s="5">
        <f>IF(A446="","",N(INDEX(Projects[Project Management],445)))</f>
        <v/>
      </c>
      <c r="BM446" s="5">
        <f>IF(A446="","",N(INDEX(Projects[Systems Eng],445)))</f>
        <v/>
      </c>
      <c r="BN446" s="5">
        <f>IF(A446="","",N(INDEX(Projects[Mechanical Eng],445)))</f>
        <v/>
      </c>
      <c r="BO446" s="5">
        <f>IF(A446="","",N(INDEX(Projects[Structural Engineering],445)))</f>
        <v/>
      </c>
      <c r="BP446" s="5">
        <f>IF(A446="","",N(INDEX(Projects[Site Sup],445)))</f>
        <v/>
      </c>
      <c r="BQ446" s="5">
        <f>IF(A446="","",N(INDEX(Projects[Controls Commissioning],445)))</f>
        <v/>
      </c>
      <c r="BR446" s="5">
        <f>IF(A446="","",N(INDEX(Projects[Systems Commissioning],445)))</f>
        <v/>
      </c>
      <c r="BS446" s="5">
        <f>IF(A446="","",N(INDEX(Projects[Service Commissioning],445)))</f>
        <v/>
      </c>
      <c r="BT446" s="5">
        <f>IF(A446="","",N(INDEX(Projects[Controls Eng],445)))</f>
        <v/>
      </c>
      <c r="BU446" s="5">
        <f>IF(A446="","",N(INDEX(Projects[Controls Purchase],445)))</f>
        <v/>
      </c>
      <c r="BV446" s="5">
        <f>IF(A446="","",N(INDEX(Projects[Software Eng],445)))</f>
        <v/>
      </c>
      <c r="BW446" s="5">
        <f>IF(A446="","",N(INDEX(Projects[Misc],445)))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  <c r="BZ446" s="5">
        <f>INDEX(Projects[Solution Type],445)&amp;""</f>
        <v/>
      </c>
      <c r="CA446" s="5">
        <f>INDEX(Projects[Client / Region],445)&amp;""</f>
        <v/>
      </c>
      <c r="CB446" s="5">
        <f>INDEX(Projects[Year],445)</f>
        <v/>
      </c>
      <c r="CC446" s="5">
        <f>INDEX(Projects[Won?],445)&amp;""</f>
        <v/>
      </c>
      <c r="CD446" s="5">
        <f>INDEX(Projects[Value (USD M)],445)</f>
        <v/>
      </c>
      <c r="CE446" s="5">
        <f>INDEX(Projects[MH Data Status],445)&amp;""</f>
        <v/>
      </c>
    </row>
    <row r="447" ht="15" customHeight="1" s="74">
      <c r="A447" s="66">
        <f>INDEX(Projects[Project ID *],446)&amp;""</f>
        <v/>
      </c>
      <c r="B447" s="66">
        <f>INDEX(Projects[Project Name *],446)&amp;""</f>
        <v/>
      </c>
      <c r="C447" s="66">
        <f>INDEX(Projects[MS Shuttles],446)</f>
        <v/>
      </c>
      <c r="D447" s="66">
        <f>INDEX(Projects[MS Tote Locations],446)</f>
        <v/>
      </c>
      <c r="E447" s="66">
        <f>INDEX(Projects[AS Robots],446)</f>
        <v/>
      </c>
      <c r="F447" s="66">
        <f>INDEX(Projects[AS Tote Locations],446)</f>
        <v/>
      </c>
      <c r="G447" s="66">
        <f>INDEX(Projects[PS Shuttles],446)</f>
        <v/>
      </c>
      <c r="H447" s="66">
        <f>INDEX(Projects[PS Pallet Locations],446)</f>
        <v/>
      </c>
      <c r="I447" s="66">
        <f>INDEX(Projects[SRM Cranes],446)</f>
        <v/>
      </c>
      <c r="J447" s="66">
        <f>INDEX(Projects[SRM Pallet Locations],446)</f>
        <v/>
      </c>
      <c r="K447" s="66">
        <f>INDEX(Projects[Case Conv (m)],446)</f>
        <v/>
      </c>
      <c r="L447" s="66">
        <f>INDEX(Projects[Pallet Conv (m)],446)</f>
        <v/>
      </c>
      <c r="M447" s="66">
        <f>INDEX(Projects[Mech Eng (wks)],446)</f>
        <v/>
      </c>
      <c r="N447" s="66">
        <f>INDEX(Projects[Controls Eng (wks)],446)</f>
        <v/>
      </c>
      <c r="O447" s="66">
        <f>INDEX(Projects[Systems Eng (wks)],446)</f>
        <v/>
      </c>
      <c r="P447" s="66">
        <f>INDEX(Projects[Software Eng (wks)],446)</f>
        <v/>
      </c>
      <c r="Q447" s="66">
        <f>INDEX(Projects[M&amp;E Installation (wks)],446)</f>
        <v/>
      </c>
      <c r="R447" s="66">
        <f>INDEX(Projects[Commissioning (wks)],446)</f>
        <v/>
      </c>
      <c r="S447" s="66">
        <f>INDEX(Projects[Total Timeline (wks)],446)</f>
        <v/>
      </c>
      <c r="T447" s="66">
        <f>INDEX(Projects[Currency],446)&amp;""</f>
        <v/>
      </c>
      <c r="U447" s="67">
        <f>INDEX(Projects[Value (M)],446)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INDEX(Projects[Automation Equipment],446)&amp;""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IF(AND(A447&lt;&gt;"",OR('Smart Search'!$L$5="",'Smart Search'!$L$5="All",TRIM(BZ447)=TRIM('Smart Search'!$L$5)),OR(TRIM('Smart Search'!$L$6)="",TRIM('Smart Search'!$L$6)="All",ISNUMBER(SEARCH(SUBSTITUTE(SUBSTITUTE(SUBSTITUTE(TRIM('Smart Search'!$L$6),"~","~~"),"*","~*"),"?","~?"),CA447))),OR('Smart Search'!$L$7="",AND(CB447&lt;&gt;0,CB447='Smart Search'!$L$7)),OR('Smart Search'!$L$8="",'Smart Search'!$L$8="All",TRIM(CC447)=TRIM('Smart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IF(A447="","",N(INDEX(Projects[Mech Inst],446)))</f>
        <v/>
      </c>
      <c r="BK447" s="5">
        <f>IF(A447="","",N(INDEX(Projects[Elec Inst],446)))</f>
        <v/>
      </c>
      <c r="BL447" s="5">
        <f>IF(A447="","",N(INDEX(Projects[Project Management],446)))</f>
        <v/>
      </c>
      <c r="BM447" s="5">
        <f>IF(A447="","",N(INDEX(Projects[Systems Eng],446)))</f>
        <v/>
      </c>
      <c r="BN447" s="5">
        <f>IF(A447="","",N(INDEX(Projects[Mechanical Eng],446)))</f>
        <v/>
      </c>
      <c r="BO447" s="5">
        <f>IF(A447="","",N(INDEX(Projects[Structural Engineering],446)))</f>
        <v/>
      </c>
      <c r="BP447" s="5">
        <f>IF(A447="","",N(INDEX(Projects[Site Sup],446)))</f>
        <v/>
      </c>
      <c r="BQ447" s="5">
        <f>IF(A447="","",N(INDEX(Projects[Controls Commissioning],446)))</f>
        <v/>
      </c>
      <c r="BR447" s="5">
        <f>IF(A447="","",N(INDEX(Projects[Systems Commissioning],446)))</f>
        <v/>
      </c>
      <c r="BS447" s="5">
        <f>IF(A447="","",N(INDEX(Projects[Service Commissioning],446)))</f>
        <v/>
      </c>
      <c r="BT447" s="5">
        <f>IF(A447="","",N(INDEX(Projects[Controls Eng],446)))</f>
        <v/>
      </c>
      <c r="BU447" s="5">
        <f>IF(A447="","",N(INDEX(Projects[Controls Purchase],446)))</f>
        <v/>
      </c>
      <c r="BV447" s="5">
        <f>IF(A447="","",N(INDEX(Projects[Software Eng],446)))</f>
        <v/>
      </c>
      <c r="BW447" s="5">
        <f>IF(A447="","",N(INDEX(Projects[Misc],446)))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  <c r="BZ447" s="5">
        <f>INDEX(Projects[Solution Type],446)&amp;""</f>
        <v/>
      </c>
      <c r="CA447" s="5">
        <f>INDEX(Projects[Client / Region],446)&amp;""</f>
        <v/>
      </c>
      <c r="CB447" s="5">
        <f>INDEX(Projects[Year],446)</f>
        <v/>
      </c>
      <c r="CC447" s="5">
        <f>INDEX(Projects[Won?],446)&amp;""</f>
        <v/>
      </c>
      <c r="CD447" s="5">
        <f>INDEX(Projects[Value (USD M)],446)</f>
        <v/>
      </c>
      <c r="CE447" s="5">
        <f>INDEX(Projects[MH Data Status],446)&amp;""</f>
        <v/>
      </c>
    </row>
    <row r="448" ht="15" customHeight="1" s="74">
      <c r="A448" s="66">
        <f>INDEX(Projects[Project ID *],447)&amp;""</f>
        <v/>
      </c>
      <c r="B448" s="66">
        <f>INDEX(Projects[Project Name *],447)&amp;""</f>
        <v/>
      </c>
      <c r="C448" s="66">
        <f>INDEX(Projects[MS Shuttles],447)</f>
        <v/>
      </c>
      <c r="D448" s="66">
        <f>INDEX(Projects[MS Tote Locations],447)</f>
        <v/>
      </c>
      <c r="E448" s="66">
        <f>INDEX(Projects[AS Robots],447)</f>
        <v/>
      </c>
      <c r="F448" s="66">
        <f>INDEX(Projects[AS Tote Locations],447)</f>
        <v/>
      </c>
      <c r="G448" s="66">
        <f>INDEX(Projects[PS Shuttles],447)</f>
        <v/>
      </c>
      <c r="H448" s="66">
        <f>INDEX(Projects[PS Pallet Locations],447)</f>
        <v/>
      </c>
      <c r="I448" s="66">
        <f>INDEX(Projects[SRM Cranes],447)</f>
        <v/>
      </c>
      <c r="J448" s="66">
        <f>INDEX(Projects[SRM Pallet Locations],447)</f>
        <v/>
      </c>
      <c r="K448" s="66">
        <f>INDEX(Projects[Case Conv (m)],447)</f>
        <v/>
      </c>
      <c r="L448" s="66">
        <f>INDEX(Projects[Pallet Conv (m)],447)</f>
        <v/>
      </c>
      <c r="M448" s="66">
        <f>INDEX(Projects[Mech Eng (wks)],447)</f>
        <v/>
      </c>
      <c r="N448" s="66">
        <f>INDEX(Projects[Controls Eng (wks)],447)</f>
        <v/>
      </c>
      <c r="O448" s="66">
        <f>INDEX(Projects[Systems Eng (wks)],447)</f>
        <v/>
      </c>
      <c r="P448" s="66">
        <f>INDEX(Projects[Software Eng (wks)],447)</f>
        <v/>
      </c>
      <c r="Q448" s="66">
        <f>INDEX(Projects[M&amp;E Installation (wks)],447)</f>
        <v/>
      </c>
      <c r="R448" s="66">
        <f>INDEX(Projects[Commissioning (wks)],447)</f>
        <v/>
      </c>
      <c r="S448" s="66">
        <f>INDEX(Projects[Total Timeline (wks)],447)</f>
        <v/>
      </c>
      <c r="T448" s="66">
        <f>INDEX(Projects[Currency],447)&amp;""</f>
        <v/>
      </c>
      <c r="U448" s="67">
        <f>INDEX(Projects[Value (M)],447)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INDEX(Projects[Automation Equipment],447)&amp;""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IF(AND(A448&lt;&gt;"",OR('Smart Search'!$L$5="",'Smart Search'!$L$5="All",TRIM(BZ448)=TRIM('Smart Search'!$L$5)),OR(TRIM('Smart Search'!$L$6)="",TRIM('Smart Search'!$L$6)="All",ISNUMBER(SEARCH(SUBSTITUTE(SUBSTITUTE(SUBSTITUTE(TRIM('Smart Search'!$L$6),"~","~~"),"*","~*"),"?","~?"),CA448))),OR('Smart Search'!$L$7="",AND(CB448&lt;&gt;0,CB448='Smart Search'!$L$7)),OR('Smart Search'!$L$8="",'Smart Search'!$L$8="All",TRIM(CC448)=TRIM('Smart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IF(A448="","",N(INDEX(Projects[Mech Inst],447)))</f>
        <v/>
      </c>
      <c r="BK448" s="5">
        <f>IF(A448="","",N(INDEX(Projects[Elec Inst],447)))</f>
        <v/>
      </c>
      <c r="BL448" s="5">
        <f>IF(A448="","",N(INDEX(Projects[Project Management],447)))</f>
        <v/>
      </c>
      <c r="BM448" s="5">
        <f>IF(A448="","",N(INDEX(Projects[Systems Eng],447)))</f>
        <v/>
      </c>
      <c r="BN448" s="5">
        <f>IF(A448="","",N(INDEX(Projects[Mechanical Eng],447)))</f>
        <v/>
      </c>
      <c r="BO448" s="5">
        <f>IF(A448="","",N(INDEX(Projects[Structural Engineering],447)))</f>
        <v/>
      </c>
      <c r="BP448" s="5">
        <f>IF(A448="","",N(INDEX(Projects[Site Sup],447)))</f>
        <v/>
      </c>
      <c r="BQ448" s="5">
        <f>IF(A448="","",N(INDEX(Projects[Controls Commissioning],447)))</f>
        <v/>
      </c>
      <c r="BR448" s="5">
        <f>IF(A448="","",N(INDEX(Projects[Systems Commissioning],447)))</f>
        <v/>
      </c>
      <c r="BS448" s="5">
        <f>IF(A448="","",N(INDEX(Projects[Service Commissioning],447)))</f>
        <v/>
      </c>
      <c r="BT448" s="5">
        <f>IF(A448="","",N(INDEX(Projects[Controls Eng],447)))</f>
        <v/>
      </c>
      <c r="BU448" s="5">
        <f>IF(A448="","",N(INDEX(Projects[Controls Purchase],447)))</f>
        <v/>
      </c>
      <c r="BV448" s="5">
        <f>IF(A448="","",N(INDEX(Projects[Software Eng],447)))</f>
        <v/>
      </c>
      <c r="BW448" s="5">
        <f>IF(A448="","",N(INDEX(Projects[Misc],447)))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  <c r="BZ448" s="5">
        <f>INDEX(Projects[Solution Type],447)&amp;""</f>
        <v/>
      </c>
      <c r="CA448" s="5">
        <f>INDEX(Projects[Client / Region],447)&amp;""</f>
        <v/>
      </c>
      <c r="CB448" s="5">
        <f>INDEX(Projects[Year],447)</f>
        <v/>
      </c>
      <c r="CC448" s="5">
        <f>INDEX(Projects[Won?],447)&amp;""</f>
        <v/>
      </c>
      <c r="CD448" s="5">
        <f>INDEX(Projects[Value (USD M)],447)</f>
        <v/>
      </c>
      <c r="CE448" s="5">
        <f>INDEX(Projects[MH Data Status],447)&amp;""</f>
        <v/>
      </c>
    </row>
    <row r="449" ht="15" customHeight="1" s="74">
      <c r="A449" s="66">
        <f>INDEX(Projects[Project ID *],448)&amp;""</f>
        <v/>
      </c>
      <c r="B449" s="66">
        <f>INDEX(Projects[Project Name *],448)&amp;""</f>
        <v/>
      </c>
      <c r="C449" s="66">
        <f>INDEX(Projects[MS Shuttles],448)</f>
        <v/>
      </c>
      <c r="D449" s="66">
        <f>INDEX(Projects[MS Tote Locations],448)</f>
        <v/>
      </c>
      <c r="E449" s="66">
        <f>INDEX(Projects[AS Robots],448)</f>
        <v/>
      </c>
      <c r="F449" s="66">
        <f>INDEX(Projects[AS Tote Locations],448)</f>
        <v/>
      </c>
      <c r="G449" s="66">
        <f>INDEX(Projects[PS Shuttles],448)</f>
        <v/>
      </c>
      <c r="H449" s="66">
        <f>INDEX(Projects[PS Pallet Locations],448)</f>
        <v/>
      </c>
      <c r="I449" s="66">
        <f>INDEX(Projects[SRM Cranes],448)</f>
        <v/>
      </c>
      <c r="J449" s="66">
        <f>INDEX(Projects[SRM Pallet Locations],448)</f>
        <v/>
      </c>
      <c r="K449" s="66">
        <f>INDEX(Projects[Case Conv (m)],448)</f>
        <v/>
      </c>
      <c r="L449" s="66">
        <f>INDEX(Projects[Pallet Conv (m)],448)</f>
        <v/>
      </c>
      <c r="M449" s="66">
        <f>INDEX(Projects[Mech Eng (wks)],448)</f>
        <v/>
      </c>
      <c r="N449" s="66">
        <f>INDEX(Projects[Controls Eng (wks)],448)</f>
        <v/>
      </c>
      <c r="O449" s="66">
        <f>INDEX(Projects[Systems Eng (wks)],448)</f>
        <v/>
      </c>
      <c r="P449" s="66">
        <f>INDEX(Projects[Software Eng (wks)],448)</f>
        <v/>
      </c>
      <c r="Q449" s="66">
        <f>INDEX(Projects[M&amp;E Installation (wks)],448)</f>
        <v/>
      </c>
      <c r="R449" s="66">
        <f>INDEX(Projects[Commissioning (wks)],448)</f>
        <v/>
      </c>
      <c r="S449" s="66">
        <f>INDEX(Projects[Total Timeline (wks)],448)</f>
        <v/>
      </c>
      <c r="T449" s="66">
        <f>INDEX(Projects[Currency],448)&amp;""</f>
        <v/>
      </c>
      <c r="U449" s="67">
        <f>INDEX(Projects[Value (M)],448)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INDEX(Projects[Automation Equipment],448)&amp;""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IF(AND(A449&lt;&gt;"",OR('Smart Search'!$L$5="",'Smart Search'!$L$5="All",TRIM(BZ449)=TRIM('Smart Search'!$L$5)),OR(TRIM('Smart Search'!$L$6)="",TRIM('Smart Search'!$L$6)="All",ISNUMBER(SEARCH(SUBSTITUTE(SUBSTITUTE(SUBSTITUTE(TRIM('Smart Search'!$L$6),"~","~~"),"*","~*"),"?","~?"),CA449))),OR('Smart Search'!$L$7="",AND(CB449&lt;&gt;0,CB449='Smart Search'!$L$7)),OR('Smart Search'!$L$8="",'Smart Search'!$L$8="All",TRIM(CC449)=TRIM('Smart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IF(A449="","",N(INDEX(Projects[Mech Inst],448)))</f>
        <v/>
      </c>
      <c r="BK449" s="5">
        <f>IF(A449="","",N(INDEX(Projects[Elec Inst],448)))</f>
        <v/>
      </c>
      <c r="BL449" s="5">
        <f>IF(A449="","",N(INDEX(Projects[Project Management],448)))</f>
        <v/>
      </c>
      <c r="BM449" s="5">
        <f>IF(A449="","",N(INDEX(Projects[Systems Eng],448)))</f>
        <v/>
      </c>
      <c r="BN449" s="5">
        <f>IF(A449="","",N(INDEX(Projects[Mechanical Eng],448)))</f>
        <v/>
      </c>
      <c r="BO449" s="5">
        <f>IF(A449="","",N(INDEX(Projects[Structural Engineering],448)))</f>
        <v/>
      </c>
      <c r="BP449" s="5">
        <f>IF(A449="","",N(INDEX(Projects[Site Sup],448)))</f>
        <v/>
      </c>
      <c r="BQ449" s="5">
        <f>IF(A449="","",N(INDEX(Projects[Controls Commissioning],448)))</f>
        <v/>
      </c>
      <c r="BR449" s="5">
        <f>IF(A449="","",N(INDEX(Projects[Systems Commissioning],448)))</f>
        <v/>
      </c>
      <c r="BS449" s="5">
        <f>IF(A449="","",N(INDEX(Projects[Service Commissioning],448)))</f>
        <v/>
      </c>
      <c r="BT449" s="5">
        <f>IF(A449="","",N(INDEX(Projects[Controls Eng],448)))</f>
        <v/>
      </c>
      <c r="BU449" s="5">
        <f>IF(A449="","",N(INDEX(Projects[Controls Purchase],448)))</f>
        <v/>
      </c>
      <c r="BV449" s="5">
        <f>IF(A449="","",N(INDEX(Projects[Software Eng],448)))</f>
        <v/>
      </c>
      <c r="BW449" s="5">
        <f>IF(A449="","",N(INDEX(Projects[Misc],448)))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  <c r="BZ449" s="5">
        <f>INDEX(Projects[Solution Type],448)&amp;""</f>
        <v/>
      </c>
      <c r="CA449" s="5">
        <f>INDEX(Projects[Client / Region],448)&amp;""</f>
        <v/>
      </c>
      <c r="CB449" s="5">
        <f>INDEX(Projects[Year],448)</f>
        <v/>
      </c>
      <c r="CC449" s="5">
        <f>INDEX(Projects[Won?],448)&amp;""</f>
        <v/>
      </c>
      <c r="CD449" s="5">
        <f>INDEX(Projects[Value (USD M)],448)</f>
        <v/>
      </c>
      <c r="CE449" s="5">
        <f>INDEX(Projects[MH Data Status],448)&amp;""</f>
        <v/>
      </c>
    </row>
    <row r="450" ht="15" customHeight="1" s="74">
      <c r="A450" s="66">
        <f>INDEX(Projects[Project ID *],449)&amp;""</f>
        <v/>
      </c>
      <c r="B450" s="66">
        <f>INDEX(Projects[Project Name *],449)&amp;""</f>
        <v/>
      </c>
      <c r="C450" s="66">
        <f>INDEX(Projects[MS Shuttles],449)</f>
        <v/>
      </c>
      <c r="D450" s="66">
        <f>INDEX(Projects[MS Tote Locations],449)</f>
        <v/>
      </c>
      <c r="E450" s="66">
        <f>INDEX(Projects[AS Robots],449)</f>
        <v/>
      </c>
      <c r="F450" s="66">
        <f>INDEX(Projects[AS Tote Locations],449)</f>
        <v/>
      </c>
      <c r="G450" s="66">
        <f>INDEX(Projects[PS Shuttles],449)</f>
        <v/>
      </c>
      <c r="H450" s="66">
        <f>INDEX(Projects[PS Pallet Locations],449)</f>
        <v/>
      </c>
      <c r="I450" s="66">
        <f>INDEX(Projects[SRM Cranes],449)</f>
        <v/>
      </c>
      <c r="J450" s="66">
        <f>INDEX(Projects[SRM Pallet Locations],449)</f>
        <v/>
      </c>
      <c r="K450" s="66">
        <f>INDEX(Projects[Case Conv (m)],449)</f>
        <v/>
      </c>
      <c r="L450" s="66">
        <f>INDEX(Projects[Pallet Conv (m)],449)</f>
        <v/>
      </c>
      <c r="M450" s="66">
        <f>INDEX(Projects[Mech Eng (wks)],449)</f>
        <v/>
      </c>
      <c r="N450" s="66">
        <f>INDEX(Projects[Controls Eng (wks)],449)</f>
        <v/>
      </c>
      <c r="O450" s="66">
        <f>INDEX(Projects[Systems Eng (wks)],449)</f>
        <v/>
      </c>
      <c r="P450" s="66">
        <f>INDEX(Projects[Software Eng (wks)],449)</f>
        <v/>
      </c>
      <c r="Q450" s="66">
        <f>INDEX(Projects[M&amp;E Installation (wks)],449)</f>
        <v/>
      </c>
      <c r="R450" s="66">
        <f>INDEX(Projects[Commissioning (wks)],449)</f>
        <v/>
      </c>
      <c r="S450" s="66">
        <f>INDEX(Projects[Total Timeline (wks)],449)</f>
        <v/>
      </c>
      <c r="T450" s="66">
        <f>INDEX(Projects[Currency],449)&amp;""</f>
        <v/>
      </c>
      <c r="U450" s="67">
        <f>INDEX(Projects[Value (M)],449)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INDEX(Projects[Automation Equipment],449)&amp;""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IF(AND(A450&lt;&gt;"",OR('Smart Search'!$L$5="",'Smart Search'!$L$5="All",TRIM(BZ450)=TRIM('Smart Search'!$L$5)),OR(TRIM('Smart Search'!$L$6)="",TRIM('Smart Search'!$L$6)="All",ISNUMBER(SEARCH(SUBSTITUTE(SUBSTITUTE(SUBSTITUTE(TRIM('Smart Search'!$L$6),"~","~~"),"*","~*"),"?","~?"),CA450))),OR('Smart Search'!$L$7="",AND(CB450&lt;&gt;0,CB450='Smart Search'!$L$7)),OR('Smart Search'!$L$8="",'Smart Search'!$L$8="All",TRIM(CC450)=TRIM('Smart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IF(A450="","",N(INDEX(Projects[Mech Inst],449)))</f>
        <v/>
      </c>
      <c r="BK450" s="5">
        <f>IF(A450="","",N(INDEX(Projects[Elec Inst],449)))</f>
        <v/>
      </c>
      <c r="BL450" s="5">
        <f>IF(A450="","",N(INDEX(Projects[Project Management],449)))</f>
        <v/>
      </c>
      <c r="BM450" s="5">
        <f>IF(A450="","",N(INDEX(Projects[Systems Eng],449)))</f>
        <v/>
      </c>
      <c r="BN450" s="5">
        <f>IF(A450="","",N(INDEX(Projects[Mechanical Eng],449)))</f>
        <v/>
      </c>
      <c r="BO450" s="5">
        <f>IF(A450="","",N(INDEX(Projects[Structural Engineering],449)))</f>
        <v/>
      </c>
      <c r="BP450" s="5">
        <f>IF(A450="","",N(INDEX(Projects[Site Sup],449)))</f>
        <v/>
      </c>
      <c r="BQ450" s="5">
        <f>IF(A450="","",N(INDEX(Projects[Controls Commissioning],449)))</f>
        <v/>
      </c>
      <c r="BR450" s="5">
        <f>IF(A450="","",N(INDEX(Projects[Systems Commissioning],449)))</f>
        <v/>
      </c>
      <c r="BS450" s="5">
        <f>IF(A450="","",N(INDEX(Projects[Service Commissioning],449)))</f>
        <v/>
      </c>
      <c r="BT450" s="5">
        <f>IF(A450="","",N(INDEX(Projects[Controls Eng],449)))</f>
        <v/>
      </c>
      <c r="BU450" s="5">
        <f>IF(A450="","",N(INDEX(Projects[Controls Purchase],449)))</f>
        <v/>
      </c>
      <c r="BV450" s="5">
        <f>IF(A450="","",N(INDEX(Projects[Software Eng],449)))</f>
        <v/>
      </c>
      <c r="BW450" s="5">
        <f>IF(A450="","",N(INDEX(Projects[Misc],449)))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  <c r="BZ450" s="5">
        <f>INDEX(Projects[Solution Type],449)&amp;""</f>
        <v/>
      </c>
      <c r="CA450" s="5">
        <f>INDEX(Projects[Client / Region],449)&amp;""</f>
        <v/>
      </c>
      <c r="CB450" s="5">
        <f>INDEX(Projects[Year],449)</f>
        <v/>
      </c>
      <c r="CC450" s="5">
        <f>INDEX(Projects[Won?],449)&amp;""</f>
        <v/>
      </c>
      <c r="CD450" s="5">
        <f>INDEX(Projects[Value (USD M)],449)</f>
        <v/>
      </c>
      <c r="CE450" s="5">
        <f>INDEX(Projects[MH Data Status],449)&amp;""</f>
        <v/>
      </c>
    </row>
    <row r="451" ht="15" customHeight="1" s="74">
      <c r="A451" s="66">
        <f>INDEX(Projects[Project ID *],450)&amp;""</f>
        <v/>
      </c>
      <c r="B451" s="66">
        <f>INDEX(Projects[Project Name *],450)&amp;""</f>
        <v/>
      </c>
      <c r="C451" s="66">
        <f>INDEX(Projects[MS Shuttles],450)</f>
        <v/>
      </c>
      <c r="D451" s="66">
        <f>INDEX(Projects[MS Tote Locations],450)</f>
        <v/>
      </c>
      <c r="E451" s="66">
        <f>INDEX(Projects[AS Robots],450)</f>
        <v/>
      </c>
      <c r="F451" s="66">
        <f>INDEX(Projects[AS Tote Locations],450)</f>
        <v/>
      </c>
      <c r="G451" s="66">
        <f>INDEX(Projects[PS Shuttles],450)</f>
        <v/>
      </c>
      <c r="H451" s="66">
        <f>INDEX(Projects[PS Pallet Locations],450)</f>
        <v/>
      </c>
      <c r="I451" s="66">
        <f>INDEX(Projects[SRM Cranes],450)</f>
        <v/>
      </c>
      <c r="J451" s="66">
        <f>INDEX(Projects[SRM Pallet Locations],450)</f>
        <v/>
      </c>
      <c r="K451" s="66">
        <f>INDEX(Projects[Case Conv (m)],450)</f>
        <v/>
      </c>
      <c r="L451" s="66">
        <f>INDEX(Projects[Pallet Conv (m)],450)</f>
        <v/>
      </c>
      <c r="M451" s="66">
        <f>INDEX(Projects[Mech Eng (wks)],450)</f>
        <v/>
      </c>
      <c r="N451" s="66">
        <f>INDEX(Projects[Controls Eng (wks)],450)</f>
        <v/>
      </c>
      <c r="O451" s="66">
        <f>INDEX(Projects[Systems Eng (wks)],450)</f>
        <v/>
      </c>
      <c r="P451" s="66">
        <f>INDEX(Projects[Software Eng (wks)],450)</f>
        <v/>
      </c>
      <c r="Q451" s="66">
        <f>INDEX(Projects[M&amp;E Installation (wks)],450)</f>
        <v/>
      </c>
      <c r="R451" s="66">
        <f>INDEX(Projects[Commissioning (wks)],450)</f>
        <v/>
      </c>
      <c r="S451" s="66">
        <f>INDEX(Projects[Total Timeline (wks)],450)</f>
        <v/>
      </c>
      <c r="T451" s="66">
        <f>INDEX(Projects[Currency],450)&amp;""</f>
        <v/>
      </c>
      <c r="U451" s="67">
        <f>INDEX(Projects[Value (M)],450)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INDEX(Projects[Automation Equipment],450)&amp;""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IF(AND(A451&lt;&gt;"",OR('Smart Search'!$L$5="",'Smart Search'!$L$5="All",TRIM(BZ451)=TRIM('Smart Search'!$L$5)),OR(TRIM('Smart Search'!$L$6)="",TRIM('Smart Search'!$L$6)="All",ISNUMBER(SEARCH(SUBSTITUTE(SUBSTITUTE(SUBSTITUTE(TRIM('Smart Search'!$L$6),"~","~~"),"*","~*"),"?","~?"),CA451))),OR('Smart Search'!$L$7="",AND(CB451&lt;&gt;0,CB451='Smart Search'!$L$7)),OR('Smart Search'!$L$8="",'Smart Search'!$L$8="All",TRIM(CC451)=TRIM('Smart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IF(A451="","",N(INDEX(Projects[Mech Inst],450)))</f>
        <v/>
      </c>
      <c r="BK451" s="5">
        <f>IF(A451="","",N(INDEX(Projects[Elec Inst],450)))</f>
        <v/>
      </c>
      <c r="BL451" s="5">
        <f>IF(A451="","",N(INDEX(Projects[Project Management],450)))</f>
        <v/>
      </c>
      <c r="BM451" s="5">
        <f>IF(A451="","",N(INDEX(Projects[Systems Eng],450)))</f>
        <v/>
      </c>
      <c r="BN451" s="5">
        <f>IF(A451="","",N(INDEX(Projects[Mechanical Eng],450)))</f>
        <v/>
      </c>
      <c r="BO451" s="5">
        <f>IF(A451="","",N(INDEX(Projects[Structural Engineering],450)))</f>
        <v/>
      </c>
      <c r="BP451" s="5">
        <f>IF(A451="","",N(INDEX(Projects[Site Sup],450)))</f>
        <v/>
      </c>
      <c r="BQ451" s="5">
        <f>IF(A451="","",N(INDEX(Projects[Controls Commissioning],450)))</f>
        <v/>
      </c>
      <c r="BR451" s="5">
        <f>IF(A451="","",N(INDEX(Projects[Systems Commissioning],450)))</f>
        <v/>
      </c>
      <c r="BS451" s="5">
        <f>IF(A451="","",N(INDEX(Projects[Service Commissioning],450)))</f>
        <v/>
      </c>
      <c r="BT451" s="5">
        <f>IF(A451="","",N(INDEX(Projects[Controls Eng],450)))</f>
        <v/>
      </c>
      <c r="BU451" s="5">
        <f>IF(A451="","",N(INDEX(Projects[Controls Purchase],450)))</f>
        <v/>
      </c>
      <c r="BV451" s="5">
        <f>IF(A451="","",N(INDEX(Projects[Software Eng],450)))</f>
        <v/>
      </c>
      <c r="BW451" s="5">
        <f>IF(A451="","",N(INDEX(Projects[Misc],450)))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  <c r="BZ451" s="5">
        <f>INDEX(Projects[Solution Type],450)&amp;""</f>
        <v/>
      </c>
      <c r="CA451" s="5">
        <f>INDEX(Projects[Client / Region],450)&amp;""</f>
        <v/>
      </c>
      <c r="CB451" s="5">
        <f>INDEX(Projects[Year],450)</f>
        <v/>
      </c>
      <c r="CC451" s="5">
        <f>INDEX(Projects[Won?],450)&amp;""</f>
        <v/>
      </c>
      <c r="CD451" s="5">
        <f>INDEX(Projects[Value (USD M)],450)</f>
        <v/>
      </c>
      <c r="CE451" s="5">
        <f>INDEX(Projects[MH Data Status],450)&amp;""</f>
        <v/>
      </c>
    </row>
    <row r="452" ht="15" customHeight="1" s="74">
      <c r="A452" s="66">
        <f>INDEX(Projects[Project ID *],451)&amp;""</f>
        <v/>
      </c>
      <c r="B452" s="66">
        <f>INDEX(Projects[Project Name *],451)&amp;""</f>
        <v/>
      </c>
      <c r="C452" s="66">
        <f>INDEX(Projects[MS Shuttles],451)</f>
        <v/>
      </c>
      <c r="D452" s="66">
        <f>INDEX(Projects[MS Tote Locations],451)</f>
        <v/>
      </c>
      <c r="E452" s="66">
        <f>INDEX(Projects[AS Robots],451)</f>
        <v/>
      </c>
      <c r="F452" s="66">
        <f>INDEX(Projects[AS Tote Locations],451)</f>
        <v/>
      </c>
      <c r="G452" s="66">
        <f>INDEX(Projects[PS Shuttles],451)</f>
        <v/>
      </c>
      <c r="H452" s="66">
        <f>INDEX(Projects[PS Pallet Locations],451)</f>
        <v/>
      </c>
      <c r="I452" s="66">
        <f>INDEX(Projects[SRM Cranes],451)</f>
        <v/>
      </c>
      <c r="J452" s="66">
        <f>INDEX(Projects[SRM Pallet Locations],451)</f>
        <v/>
      </c>
      <c r="K452" s="66">
        <f>INDEX(Projects[Case Conv (m)],451)</f>
        <v/>
      </c>
      <c r="L452" s="66">
        <f>INDEX(Projects[Pallet Conv (m)],451)</f>
        <v/>
      </c>
      <c r="M452" s="66">
        <f>INDEX(Projects[Mech Eng (wks)],451)</f>
        <v/>
      </c>
      <c r="N452" s="66">
        <f>INDEX(Projects[Controls Eng (wks)],451)</f>
        <v/>
      </c>
      <c r="O452" s="66">
        <f>INDEX(Projects[Systems Eng (wks)],451)</f>
        <v/>
      </c>
      <c r="P452" s="66">
        <f>INDEX(Projects[Software Eng (wks)],451)</f>
        <v/>
      </c>
      <c r="Q452" s="66">
        <f>INDEX(Projects[M&amp;E Installation (wks)],451)</f>
        <v/>
      </c>
      <c r="R452" s="66">
        <f>INDEX(Projects[Commissioning (wks)],451)</f>
        <v/>
      </c>
      <c r="S452" s="66">
        <f>INDEX(Projects[Total Timeline (wks)],451)</f>
        <v/>
      </c>
      <c r="T452" s="66">
        <f>INDEX(Projects[Currency],451)&amp;""</f>
        <v/>
      </c>
      <c r="U452" s="67">
        <f>INDEX(Projects[Value (M)],451)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INDEX(Projects[Automation Equipment],451)&amp;""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IF(AND(A452&lt;&gt;"",OR('Smart Search'!$L$5="",'Smart Search'!$L$5="All",TRIM(BZ452)=TRIM('Smart Search'!$L$5)),OR(TRIM('Smart Search'!$L$6)="",TRIM('Smart Search'!$L$6)="All",ISNUMBER(SEARCH(SUBSTITUTE(SUBSTITUTE(SUBSTITUTE(TRIM('Smart Search'!$L$6),"~","~~"),"*","~*"),"?","~?"),CA452))),OR('Smart Search'!$L$7="",AND(CB452&lt;&gt;0,CB452='Smart Search'!$L$7)),OR('Smart Search'!$L$8="",'Smart Search'!$L$8="All",TRIM(CC452)=TRIM('Smart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IF(A452="","",N(INDEX(Projects[Mech Inst],451)))</f>
        <v/>
      </c>
      <c r="BK452" s="5">
        <f>IF(A452="","",N(INDEX(Projects[Elec Inst],451)))</f>
        <v/>
      </c>
      <c r="BL452" s="5">
        <f>IF(A452="","",N(INDEX(Projects[Project Management],451)))</f>
        <v/>
      </c>
      <c r="BM452" s="5">
        <f>IF(A452="","",N(INDEX(Projects[Systems Eng],451)))</f>
        <v/>
      </c>
      <c r="BN452" s="5">
        <f>IF(A452="","",N(INDEX(Projects[Mechanical Eng],451)))</f>
        <v/>
      </c>
      <c r="BO452" s="5">
        <f>IF(A452="","",N(INDEX(Projects[Structural Engineering],451)))</f>
        <v/>
      </c>
      <c r="BP452" s="5">
        <f>IF(A452="","",N(INDEX(Projects[Site Sup],451)))</f>
        <v/>
      </c>
      <c r="BQ452" s="5">
        <f>IF(A452="","",N(INDEX(Projects[Controls Commissioning],451)))</f>
        <v/>
      </c>
      <c r="BR452" s="5">
        <f>IF(A452="","",N(INDEX(Projects[Systems Commissioning],451)))</f>
        <v/>
      </c>
      <c r="BS452" s="5">
        <f>IF(A452="","",N(INDEX(Projects[Service Commissioning],451)))</f>
        <v/>
      </c>
      <c r="BT452" s="5">
        <f>IF(A452="","",N(INDEX(Projects[Controls Eng],451)))</f>
        <v/>
      </c>
      <c r="BU452" s="5">
        <f>IF(A452="","",N(INDEX(Projects[Controls Purchase],451)))</f>
        <v/>
      </c>
      <c r="BV452" s="5">
        <f>IF(A452="","",N(INDEX(Projects[Software Eng],451)))</f>
        <v/>
      </c>
      <c r="BW452" s="5">
        <f>IF(A452="","",N(INDEX(Projects[Misc],451)))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  <c r="BZ452" s="5">
        <f>INDEX(Projects[Solution Type],451)&amp;""</f>
        <v/>
      </c>
      <c r="CA452" s="5">
        <f>INDEX(Projects[Client / Region],451)&amp;""</f>
        <v/>
      </c>
      <c r="CB452" s="5">
        <f>INDEX(Projects[Year],451)</f>
        <v/>
      </c>
      <c r="CC452" s="5">
        <f>INDEX(Projects[Won?],451)&amp;""</f>
        <v/>
      </c>
      <c r="CD452" s="5">
        <f>INDEX(Projects[Value (USD M)],451)</f>
        <v/>
      </c>
      <c r="CE452" s="5">
        <f>INDEX(Projects[MH Data Status],451)&amp;""</f>
        <v/>
      </c>
    </row>
    <row r="453" ht="15" customHeight="1" s="74">
      <c r="A453" s="66">
        <f>INDEX(Projects[Project ID *],452)&amp;""</f>
        <v/>
      </c>
      <c r="B453" s="66">
        <f>INDEX(Projects[Project Name *],452)&amp;""</f>
        <v/>
      </c>
      <c r="C453" s="66">
        <f>INDEX(Projects[MS Shuttles],452)</f>
        <v/>
      </c>
      <c r="D453" s="66">
        <f>INDEX(Projects[MS Tote Locations],452)</f>
        <v/>
      </c>
      <c r="E453" s="66">
        <f>INDEX(Projects[AS Robots],452)</f>
        <v/>
      </c>
      <c r="F453" s="66">
        <f>INDEX(Projects[AS Tote Locations],452)</f>
        <v/>
      </c>
      <c r="G453" s="66">
        <f>INDEX(Projects[PS Shuttles],452)</f>
        <v/>
      </c>
      <c r="H453" s="66">
        <f>INDEX(Projects[PS Pallet Locations],452)</f>
        <v/>
      </c>
      <c r="I453" s="66">
        <f>INDEX(Projects[SRM Cranes],452)</f>
        <v/>
      </c>
      <c r="J453" s="66">
        <f>INDEX(Projects[SRM Pallet Locations],452)</f>
        <v/>
      </c>
      <c r="K453" s="66">
        <f>INDEX(Projects[Case Conv (m)],452)</f>
        <v/>
      </c>
      <c r="L453" s="66">
        <f>INDEX(Projects[Pallet Conv (m)],452)</f>
        <v/>
      </c>
      <c r="M453" s="66">
        <f>INDEX(Projects[Mech Eng (wks)],452)</f>
        <v/>
      </c>
      <c r="N453" s="66">
        <f>INDEX(Projects[Controls Eng (wks)],452)</f>
        <v/>
      </c>
      <c r="O453" s="66">
        <f>INDEX(Projects[Systems Eng (wks)],452)</f>
        <v/>
      </c>
      <c r="P453" s="66">
        <f>INDEX(Projects[Software Eng (wks)],452)</f>
        <v/>
      </c>
      <c r="Q453" s="66">
        <f>INDEX(Projects[M&amp;E Installation (wks)],452)</f>
        <v/>
      </c>
      <c r="R453" s="66">
        <f>INDEX(Projects[Commissioning (wks)],452)</f>
        <v/>
      </c>
      <c r="S453" s="66">
        <f>INDEX(Projects[Total Timeline (wks)],452)</f>
        <v/>
      </c>
      <c r="T453" s="66">
        <f>INDEX(Projects[Currency],452)&amp;""</f>
        <v/>
      </c>
      <c r="U453" s="67">
        <f>INDEX(Projects[Value (M)],452)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INDEX(Projects[Automation Equipment],452)&amp;""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IF(AND(A453&lt;&gt;"",OR('Smart Search'!$L$5="",'Smart Search'!$L$5="All",TRIM(BZ453)=TRIM('Smart Search'!$L$5)),OR(TRIM('Smart Search'!$L$6)="",TRIM('Smart Search'!$L$6)="All",ISNUMBER(SEARCH(SUBSTITUTE(SUBSTITUTE(SUBSTITUTE(TRIM('Smart Search'!$L$6),"~","~~"),"*","~*"),"?","~?"),CA453))),OR('Smart Search'!$L$7="",AND(CB453&lt;&gt;0,CB453='Smart Search'!$L$7)),OR('Smart Search'!$L$8="",'Smart Search'!$L$8="All",TRIM(CC453)=TRIM('Smart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IF(A453="","",N(INDEX(Projects[Mech Inst],452)))</f>
        <v/>
      </c>
      <c r="BK453" s="5">
        <f>IF(A453="","",N(INDEX(Projects[Elec Inst],452)))</f>
        <v/>
      </c>
      <c r="BL453" s="5">
        <f>IF(A453="","",N(INDEX(Projects[Project Management],452)))</f>
        <v/>
      </c>
      <c r="BM453" s="5">
        <f>IF(A453="","",N(INDEX(Projects[Systems Eng],452)))</f>
        <v/>
      </c>
      <c r="BN453" s="5">
        <f>IF(A453="","",N(INDEX(Projects[Mechanical Eng],452)))</f>
        <v/>
      </c>
      <c r="BO453" s="5">
        <f>IF(A453="","",N(INDEX(Projects[Structural Engineering],452)))</f>
        <v/>
      </c>
      <c r="BP453" s="5">
        <f>IF(A453="","",N(INDEX(Projects[Site Sup],452)))</f>
        <v/>
      </c>
      <c r="BQ453" s="5">
        <f>IF(A453="","",N(INDEX(Projects[Controls Commissioning],452)))</f>
        <v/>
      </c>
      <c r="BR453" s="5">
        <f>IF(A453="","",N(INDEX(Projects[Systems Commissioning],452)))</f>
        <v/>
      </c>
      <c r="BS453" s="5">
        <f>IF(A453="","",N(INDEX(Projects[Service Commissioning],452)))</f>
        <v/>
      </c>
      <c r="BT453" s="5">
        <f>IF(A453="","",N(INDEX(Projects[Controls Eng],452)))</f>
        <v/>
      </c>
      <c r="BU453" s="5">
        <f>IF(A453="","",N(INDEX(Projects[Controls Purchase],452)))</f>
        <v/>
      </c>
      <c r="BV453" s="5">
        <f>IF(A453="","",N(INDEX(Projects[Software Eng],452)))</f>
        <v/>
      </c>
      <c r="BW453" s="5">
        <f>IF(A453="","",N(INDEX(Projects[Misc],452)))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  <c r="BZ453" s="5">
        <f>INDEX(Projects[Solution Type],452)&amp;""</f>
        <v/>
      </c>
      <c r="CA453" s="5">
        <f>INDEX(Projects[Client / Region],452)&amp;""</f>
        <v/>
      </c>
      <c r="CB453" s="5">
        <f>INDEX(Projects[Year],452)</f>
        <v/>
      </c>
      <c r="CC453" s="5">
        <f>INDEX(Projects[Won?],452)&amp;""</f>
        <v/>
      </c>
      <c r="CD453" s="5">
        <f>INDEX(Projects[Value (USD M)],452)</f>
        <v/>
      </c>
      <c r="CE453" s="5">
        <f>INDEX(Projects[MH Data Status],452)&amp;""</f>
        <v/>
      </c>
    </row>
    <row r="454" ht="15" customHeight="1" s="74">
      <c r="A454" s="66">
        <f>INDEX(Projects[Project ID *],453)&amp;""</f>
        <v/>
      </c>
      <c r="B454" s="66">
        <f>INDEX(Projects[Project Name *],453)&amp;""</f>
        <v/>
      </c>
      <c r="C454" s="66">
        <f>INDEX(Projects[MS Shuttles],453)</f>
        <v/>
      </c>
      <c r="D454" s="66">
        <f>INDEX(Projects[MS Tote Locations],453)</f>
        <v/>
      </c>
      <c r="E454" s="66">
        <f>INDEX(Projects[AS Robots],453)</f>
        <v/>
      </c>
      <c r="F454" s="66">
        <f>INDEX(Projects[AS Tote Locations],453)</f>
        <v/>
      </c>
      <c r="G454" s="66">
        <f>INDEX(Projects[PS Shuttles],453)</f>
        <v/>
      </c>
      <c r="H454" s="66">
        <f>INDEX(Projects[PS Pallet Locations],453)</f>
        <v/>
      </c>
      <c r="I454" s="66">
        <f>INDEX(Projects[SRM Cranes],453)</f>
        <v/>
      </c>
      <c r="J454" s="66">
        <f>INDEX(Projects[SRM Pallet Locations],453)</f>
        <v/>
      </c>
      <c r="K454" s="66">
        <f>INDEX(Projects[Case Conv (m)],453)</f>
        <v/>
      </c>
      <c r="L454" s="66">
        <f>INDEX(Projects[Pallet Conv (m)],453)</f>
        <v/>
      </c>
      <c r="M454" s="66">
        <f>INDEX(Projects[Mech Eng (wks)],453)</f>
        <v/>
      </c>
      <c r="N454" s="66">
        <f>INDEX(Projects[Controls Eng (wks)],453)</f>
        <v/>
      </c>
      <c r="O454" s="66">
        <f>INDEX(Projects[Systems Eng (wks)],453)</f>
        <v/>
      </c>
      <c r="P454" s="66">
        <f>INDEX(Projects[Software Eng (wks)],453)</f>
        <v/>
      </c>
      <c r="Q454" s="66">
        <f>INDEX(Projects[M&amp;E Installation (wks)],453)</f>
        <v/>
      </c>
      <c r="R454" s="66">
        <f>INDEX(Projects[Commissioning (wks)],453)</f>
        <v/>
      </c>
      <c r="S454" s="66">
        <f>INDEX(Projects[Total Timeline (wks)],453)</f>
        <v/>
      </c>
      <c r="T454" s="66">
        <f>INDEX(Projects[Currency],453)&amp;""</f>
        <v/>
      </c>
      <c r="U454" s="67">
        <f>INDEX(Projects[Value (M)],453)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INDEX(Projects[Automation Equipment],453)&amp;""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IF(AND(A454&lt;&gt;"",OR('Smart Search'!$L$5="",'Smart Search'!$L$5="All",TRIM(BZ454)=TRIM('Smart Search'!$L$5)),OR(TRIM('Smart Search'!$L$6)="",TRIM('Smart Search'!$L$6)="All",ISNUMBER(SEARCH(SUBSTITUTE(SUBSTITUTE(SUBSTITUTE(TRIM('Smart Search'!$L$6),"~","~~"),"*","~*"),"?","~?"),CA454))),OR('Smart Search'!$L$7="",AND(CB454&lt;&gt;0,CB454='Smart Search'!$L$7)),OR('Smart Search'!$L$8="",'Smart Search'!$L$8="All",TRIM(CC454)=TRIM('Smart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IF(A454="","",N(INDEX(Projects[Mech Inst],453)))</f>
        <v/>
      </c>
      <c r="BK454" s="5">
        <f>IF(A454="","",N(INDEX(Projects[Elec Inst],453)))</f>
        <v/>
      </c>
      <c r="BL454" s="5">
        <f>IF(A454="","",N(INDEX(Projects[Project Management],453)))</f>
        <v/>
      </c>
      <c r="BM454" s="5">
        <f>IF(A454="","",N(INDEX(Projects[Systems Eng],453)))</f>
        <v/>
      </c>
      <c r="BN454" s="5">
        <f>IF(A454="","",N(INDEX(Projects[Mechanical Eng],453)))</f>
        <v/>
      </c>
      <c r="BO454" s="5">
        <f>IF(A454="","",N(INDEX(Projects[Structural Engineering],453)))</f>
        <v/>
      </c>
      <c r="BP454" s="5">
        <f>IF(A454="","",N(INDEX(Projects[Site Sup],453)))</f>
        <v/>
      </c>
      <c r="BQ454" s="5">
        <f>IF(A454="","",N(INDEX(Projects[Controls Commissioning],453)))</f>
        <v/>
      </c>
      <c r="BR454" s="5">
        <f>IF(A454="","",N(INDEX(Projects[Systems Commissioning],453)))</f>
        <v/>
      </c>
      <c r="BS454" s="5">
        <f>IF(A454="","",N(INDEX(Projects[Service Commissioning],453)))</f>
        <v/>
      </c>
      <c r="BT454" s="5">
        <f>IF(A454="","",N(INDEX(Projects[Controls Eng],453)))</f>
        <v/>
      </c>
      <c r="BU454" s="5">
        <f>IF(A454="","",N(INDEX(Projects[Controls Purchase],453)))</f>
        <v/>
      </c>
      <c r="BV454" s="5">
        <f>IF(A454="","",N(INDEX(Projects[Software Eng],453)))</f>
        <v/>
      </c>
      <c r="BW454" s="5">
        <f>IF(A454="","",N(INDEX(Projects[Misc],453)))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  <c r="BZ454" s="5">
        <f>INDEX(Projects[Solution Type],453)&amp;""</f>
        <v/>
      </c>
      <c r="CA454" s="5">
        <f>INDEX(Projects[Client / Region],453)&amp;""</f>
        <v/>
      </c>
      <c r="CB454" s="5">
        <f>INDEX(Projects[Year],453)</f>
        <v/>
      </c>
      <c r="CC454" s="5">
        <f>INDEX(Projects[Won?],453)&amp;""</f>
        <v/>
      </c>
      <c r="CD454" s="5">
        <f>INDEX(Projects[Value (USD M)],453)</f>
        <v/>
      </c>
      <c r="CE454" s="5">
        <f>INDEX(Projects[MH Data Status],453)&amp;""</f>
        <v/>
      </c>
    </row>
    <row r="455" ht="15" customHeight="1" s="74">
      <c r="A455" s="66">
        <f>INDEX(Projects[Project ID *],454)&amp;""</f>
        <v/>
      </c>
      <c r="B455" s="66">
        <f>INDEX(Projects[Project Name *],454)&amp;""</f>
        <v/>
      </c>
      <c r="C455" s="66">
        <f>INDEX(Projects[MS Shuttles],454)</f>
        <v/>
      </c>
      <c r="D455" s="66">
        <f>INDEX(Projects[MS Tote Locations],454)</f>
        <v/>
      </c>
      <c r="E455" s="66">
        <f>INDEX(Projects[AS Robots],454)</f>
        <v/>
      </c>
      <c r="F455" s="66">
        <f>INDEX(Projects[AS Tote Locations],454)</f>
        <v/>
      </c>
      <c r="G455" s="66">
        <f>INDEX(Projects[PS Shuttles],454)</f>
        <v/>
      </c>
      <c r="H455" s="66">
        <f>INDEX(Projects[PS Pallet Locations],454)</f>
        <v/>
      </c>
      <c r="I455" s="66">
        <f>INDEX(Projects[SRM Cranes],454)</f>
        <v/>
      </c>
      <c r="J455" s="66">
        <f>INDEX(Projects[SRM Pallet Locations],454)</f>
        <v/>
      </c>
      <c r="K455" s="66">
        <f>INDEX(Projects[Case Conv (m)],454)</f>
        <v/>
      </c>
      <c r="L455" s="66">
        <f>INDEX(Projects[Pallet Conv (m)],454)</f>
        <v/>
      </c>
      <c r="M455" s="66">
        <f>INDEX(Projects[Mech Eng (wks)],454)</f>
        <v/>
      </c>
      <c r="N455" s="66">
        <f>INDEX(Projects[Controls Eng (wks)],454)</f>
        <v/>
      </c>
      <c r="O455" s="66">
        <f>INDEX(Projects[Systems Eng (wks)],454)</f>
        <v/>
      </c>
      <c r="P455" s="66">
        <f>INDEX(Projects[Software Eng (wks)],454)</f>
        <v/>
      </c>
      <c r="Q455" s="66">
        <f>INDEX(Projects[M&amp;E Installation (wks)],454)</f>
        <v/>
      </c>
      <c r="R455" s="66">
        <f>INDEX(Projects[Commissioning (wks)],454)</f>
        <v/>
      </c>
      <c r="S455" s="66">
        <f>INDEX(Projects[Total Timeline (wks)],454)</f>
        <v/>
      </c>
      <c r="T455" s="66">
        <f>INDEX(Projects[Currency],454)&amp;""</f>
        <v/>
      </c>
      <c r="U455" s="67">
        <f>INDEX(Projects[Value (M)],454)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INDEX(Projects[Automation Equipment],454)&amp;""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IF(AND(A455&lt;&gt;"",OR('Smart Search'!$L$5="",'Smart Search'!$L$5="All",TRIM(BZ455)=TRIM('Smart Search'!$L$5)),OR(TRIM('Smart Search'!$L$6)="",TRIM('Smart Search'!$L$6)="All",ISNUMBER(SEARCH(SUBSTITUTE(SUBSTITUTE(SUBSTITUTE(TRIM('Smart Search'!$L$6),"~","~~"),"*","~*"),"?","~?"),CA455))),OR('Smart Search'!$L$7="",AND(CB455&lt;&gt;0,CB455='Smart Search'!$L$7)),OR('Smart Search'!$L$8="",'Smart Search'!$L$8="All",TRIM(CC455)=TRIM('Smart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IF(A455="","",N(INDEX(Projects[Mech Inst],454)))</f>
        <v/>
      </c>
      <c r="BK455" s="5">
        <f>IF(A455="","",N(INDEX(Projects[Elec Inst],454)))</f>
        <v/>
      </c>
      <c r="BL455" s="5">
        <f>IF(A455="","",N(INDEX(Projects[Project Management],454)))</f>
        <v/>
      </c>
      <c r="BM455" s="5">
        <f>IF(A455="","",N(INDEX(Projects[Systems Eng],454)))</f>
        <v/>
      </c>
      <c r="BN455" s="5">
        <f>IF(A455="","",N(INDEX(Projects[Mechanical Eng],454)))</f>
        <v/>
      </c>
      <c r="BO455" s="5">
        <f>IF(A455="","",N(INDEX(Projects[Structural Engineering],454)))</f>
        <v/>
      </c>
      <c r="BP455" s="5">
        <f>IF(A455="","",N(INDEX(Projects[Site Sup],454)))</f>
        <v/>
      </c>
      <c r="BQ455" s="5">
        <f>IF(A455="","",N(INDEX(Projects[Controls Commissioning],454)))</f>
        <v/>
      </c>
      <c r="BR455" s="5">
        <f>IF(A455="","",N(INDEX(Projects[Systems Commissioning],454)))</f>
        <v/>
      </c>
      <c r="BS455" s="5">
        <f>IF(A455="","",N(INDEX(Projects[Service Commissioning],454)))</f>
        <v/>
      </c>
      <c r="BT455" s="5">
        <f>IF(A455="","",N(INDEX(Projects[Controls Eng],454)))</f>
        <v/>
      </c>
      <c r="BU455" s="5">
        <f>IF(A455="","",N(INDEX(Projects[Controls Purchase],454)))</f>
        <v/>
      </c>
      <c r="BV455" s="5">
        <f>IF(A455="","",N(INDEX(Projects[Software Eng],454)))</f>
        <v/>
      </c>
      <c r="BW455" s="5">
        <f>IF(A455="","",N(INDEX(Projects[Misc],454)))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  <c r="BZ455" s="5">
        <f>INDEX(Projects[Solution Type],454)&amp;""</f>
        <v/>
      </c>
      <c r="CA455" s="5">
        <f>INDEX(Projects[Client / Region],454)&amp;""</f>
        <v/>
      </c>
      <c r="CB455" s="5">
        <f>INDEX(Projects[Year],454)</f>
        <v/>
      </c>
      <c r="CC455" s="5">
        <f>INDEX(Projects[Won?],454)&amp;""</f>
        <v/>
      </c>
      <c r="CD455" s="5">
        <f>INDEX(Projects[Value (USD M)],454)</f>
        <v/>
      </c>
      <c r="CE455" s="5">
        <f>INDEX(Projects[MH Data Status],454)&amp;""</f>
        <v/>
      </c>
    </row>
    <row r="456" ht="15" customHeight="1" s="74">
      <c r="A456" s="66">
        <f>INDEX(Projects[Project ID *],455)&amp;""</f>
        <v/>
      </c>
      <c r="B456" s="66">
        <f>INDEX(Projects[Project Name *],455)&amp;""</f>
        <v/>
      </c>
      <c r="C456" s="66">
        <f>INDEX(Projects[MS Shuttles],455)</f>
        <v/>
      </c>
      <c r="D456" s="66">
        <f>INDEX(Projects[MS Tote Locations],455)</f>
        <v/>
      </c>
      <c r="E456" s="66">
        <f>INDEX(Projects[AS Robots],455)</f>
        <v/>
      </c>
      <c r="F456" s="66">
        <f>INDEX(Projects[AS Tote Locations],455)</f>
        <v/>
      </c>
      <c r="G456" s="66">
        <f>INDEX(Projects[PS Shuttles],455)</f>
        <v/>
      </c>
      <c r="H456" s="66">
        <f>INDEX(Projects[PS Pallet Locations],455)</f>
        <v/>
      </c>
      <c r="I456" s="66">
        <f>INDEX(Projects[SRM Cranes],455)</f>
        <v/>
      </c>
      <c r="J456" s="66">
        <f>INDEX(Projects[SRM Pallet Locations],455)</f>
        <v/>
      </c>
      <c r="K456" s="66">
        <f>INDEX(Projects[Case Conv (m)],455)</f>
        <v/>
      </c>
      <c r="L456" s="66">
        <f>INDEX(Projects[Pallet Conv (m)],455)</f>
        <v/>
      </c>
      <c r="M456" s="66">
        <f>INDEX(Projects[Mech Eng (wks)],455)</f>
        <v/>
      </c>
      <c r="N456" s="66">
        <f>INDEX(Projects[Controls Eng (wks)],455)</f>
        <v/>
      </c>
      <c r="O456" s="66">
        <f>INDEX(Projects[Systems Eng (wks)],455)</f>
        <v/>
      </c>
      <c r="P456" s="66">
        <f>INDEX(Projects[Software Eng (wks)],455)</f>
        <v/>
      </c>
      <c r="Q456" s="66">
        <f>INDEX(Projects[M&amp;E Installation (wks)],455)</f>
        <v/>
      </c>
      <c r="R456" s="66">
        <f>INDEX(Projects[Commissioning (wks)],455)</f>
        <v/>
      </c>
      <c r="S456" s="66">
        <f>INDEX(Projects[Total Timeline (wks)],455)</f>
        <v/>
      </c>
      <c r="T456" s="66">
        <f>INDEX(Projects[Currency],455)&amp;""</f>
        <v/>
      </c>
      <c r="U456" s="67">
        <f>INDEX(Projects[Value (M)],455)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INDEX(Projects[Automation Equipment],455)&amp;""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IF(AND(A456&lt;&gt;"",OR('Smart Search'!$L$5="",'Smart Search'!$L$5="All",TRIM(BZ456)=TRIM('Smart Search'!$L$5)),OR(TRIM('Smart Search'!$L$6)="",TRIM('Smart Search'!$L$6)="All",ISNUMBER(SEARCH(SUBSTITUTE(SUBSTITUTE(SUBSTITUTE(TRIM('Smart Search'!$L$6),"~","~~"),"*","~*"),"?","~?"),CA456))),OR('Smart Search'!$L$7="",AND(CB456&lt;&gt;0,CB456='Smart Search'!$L$7)),OR('Smart Search'!$L$8="",'Smart Search'!$L$8="All",TRIM(CC456)=TRIM('Smart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IF(A456="","",N(INDEX(Projects[Mech Inst],455)))</f>
        <v/>
      </c>
      <c r="BK456" s="5">
        <f>IF(A456="","",N(INDEX(Projects[Elec Inst],455)))</f>
        <v/>
      </c>
      <c r="BL456" s="5">
        <f>IF(A456="","",N(INDEX(Projects[Project Management],455)))</f>
        <v/>
      </c>
      <c r="BM456" s="5">
        <f>IF(A456="","",N(INDEX(Projects[Systems Eng],455)))</f>
        <v/>
      </c>
      <c r="BN456" s="5">
        <f>IF(A456="","",N(INDEX(Projects[Mechanical Eng],455)))</f>
        <v/>
      </c>
      <c r="BO456" s="5">
        <f>IF(A456="","",N(INDEX(Projects[Structural Engineering],455)))</f>
        <v/>
      </c>
      <c r="BP456" s="5">
        <f>IF(A456="","",N(INDEX(Projects[Site Sup],455)))</f>
        <v/>
      </c>
      <c r="BQ456" s="5">
        <f>IF(A456="","",N(INDEX(Projects[Controls Commissioning],455)))</f>
        <v/>
      </c>
      <c r="BR456" s="5">
        <f>IF(A456="","",N(INDEX(Projects[Systems Commissioning],455)))</f>
        <v/>
      </c>
      <c r="BS456" s="5">
        <f>IF(A456="","",N(INDEX(Projects[Service Commissioning],455)))</f>
        <v/>
      </c>
      <c r="BT456" s="5">
        <f>IF(A456="","",N(INDEX(Projects[Controls Eng],455)))</f>
        <v/>
      </c>
      <c r="BU456" s="5">
        <f>IF(A456="","",N(INDEX(Projects[Controls Purchase],455)))</f>
        <v/>
      </c>
      <c r="BV456" s="5">
        <f>IF(A456="","",N(INDEX(Projects[Software Eng],455)))</f>
        <v/>
      </c>
      <c r="BW456" s="5">
        <f>IF(A456="","",N(INDEX(Projects[Misc],455)))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  <c r="BZ456" s="5">
        <f>INDEX(Projects[Solution Type],455)&amp;""</f>
        <v/>
      </c>
      <c r="CA456" s="5">
        <f>INDEX(Projects[Client / Region],455)&amp;""</f>
        <v/>
      </c>
      <c r="CB456" s="5">
        <f>INDEX(Projects[Year],455)</f>
        <v/>
      </c>
      <c r="CC456" s="5">
        <f>INDEX(Projects[Won?],455)&amp;""</f>
        <v/>
      </c>
      <c r="CD456" s="5">
        <f>INDEX(Projects[Value (USD M)],455)</f>
        <v/>
      </c>
      <c r="CE456" s="5">
        <f>INDEX(Projects[MH Data Status],455)&amp;""</f>
        <v/>
      </c>
    </row>
    <row r="457" ht="15" customHeight="1" s="74">
      <c r="A457" s="66">
        <f>INDEX(Projects[Project ID *],456)&amp;""</f>
        <v/>
      </c>
      <c r="B457" s="66">
        <f>INDEX(Projects[Project Name *],456)&amp;""</f>
        <v/>
      </c>
      <c r="C457" s="66">
        <f>INDEX(Projects[MS Shuttles],456)</f>
        <v/>
      </c>
      <c r="D457" s="66">
        <f>INDEX(Projects[MS Tote Locations],456)</f>
        <v/>
      </c>
      <c r="E457" s="66">
        <f>INDEX(Projects[AS Robots],456)</f>
        <v/>
      </c>
      <c r="F457" s="66">
        <f>INDEX(Projects[AS Tote Locations],456)</f>
        <v/>
      </c>
      <c r="G457" s="66">
        <f>INDEX(Projects[PS Shuttles],456)</f>
        <v/>
      </c>
      <c r="H457" s="66">
        <f>INDEX(Projects[PS Pallet Locations],456)</f>
        <v/>
      </c>
      <c r="I457" s="66">
        <f>INDEX(Projects[SRM Cranes],456)</f>
        <v/>
      </c>
      <c r="J457" s="66">
        <f>INDEX(Projects[SRM Pallet Locations],456)</f>
        <v/>
      </c>
      <c r="K457" s="66">
        <f>INDEX(Projects[Case Conv (m)],456)</f>
        <v/>
      </c>
      <c r="L457" s="66">
        <f>INDEX(Projects[Pallet Conv (m)],456)</f>
        <v/>
      </c>
      <c r="M457" s="66">
        <f>INDEX(Projects[Mech Eng (wks)],456)</f>
        <v/>
      </c>
      <c r="N457" s="66">
        <f>INDEX(Projects[Controls Eng (wks)],456)</f>
        <v/>
      </c>
      <c r="O457" s="66">
        <f>INDEX(Projects[Systems Eng (wks)],456)</f>
        <v/>
      </c>
      <c r="P457" s="66">
        <f>INDEX(Projects[Software Eng (wks)],456)</f>
        <v/>
      </c>
      <c r="Q457" s="66">
        <f>INDEX(Projects[M&amp;E Installation (wks)],456)</f>
        <v/>
      </c>
      <c r="R457" s="66">
        <f>INDEX(Projects[Commissioning (wks)],456)</f>
        <v/>
      </c>
      <c r="S457" s="66">
        <f>INDEX(Projects[Total Timeline (wks)],456)</f>
        <v/>
      </c>
      <c r="T457" s="66">
        <f>INDEX(Projects[Currency],456)&amp;""</f>
        <v/>
      </c>
      <c r="U457" s="67">
        <f>INDEX(Projects[Value (M)],456)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INDEX(Projects[Automation Equipment],456)&amp;""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IF(AND(A457&lt;&gt;"",OR('Smart Search'!$L$5="",'Smart Search'!$L$5="All",TRIM(BZ457)=TRIM('Smart Search'!$L$5)),OR(TRIM('Smart Search'!$L$6)="",TRIM('Smart Search'!$L$6)="All",ISNUMBER(SEARCH(SUBSTITUTE(SUBSTITUTE(SUBSTITUTE(TRIM('Smart Search'!$L$6),"~","~~"),"*","~*"),"?","~?"),CA457))),OR('Smart Search'!$L$7="",AND(CB457&lt;&gt;0,CB457='Smart Search'!$L$7)),OR('Smart Search'!$L$8="",'Smart Search'!$L$8="All",TRIM(CC457)=TRIM('Smart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IF(A457="","",N(INDEX(Projects[Mech Inst],456)))</f>
        <v/>
      </c>
      <c r="BK457" s="5">
        <f>IF(A457="","",N(INDEX(Projects[Elec Inst],456)))</f>
        <v/>
      </c>
      <c r="BL457" s="5">
        <f>IF(A457="","",N(INDEX(Projects[Project Management],456)))</f>
        <v/>
      </c>
      <c r="BM457" s="5">
        <f>IF(A457="","",N(INDEX(Projects[Systems Eng],456)))</f>
        <v/>
      </c>
      <c r="BN457" s="5">
        <f>IF(A457="","",N(INDEX(Projects[Mechanical Eng],456)))</f>
        <v/>
      </c>
      <c r="BO457" s="5">
        <f>IF(A457="","",N(INDEX(Projects[Structural Engineering],456)))</f>
        <v/>
      </c>
      <c r="BP457" s="5">
        <f>IF(A457="","",N(INDEX(Projects[Site Sup],456)))</f>
        <v/>
      </c>
      <c r="BQ457" s="5">
        <f>IF(A457="","",N(INDEX(Projects[Controls Commissioning],456)))</f>
        <v/>
      </c>
      <c r="BR457" s="5">
        <f>IF(A457="","",N(INDEX(Projects[Systems Commissioning],456)))</f>
        <v/>
      </c>
      <c r="BS457" s="5">
        <f>IF(A457="","",N(INDEX(Projects[Service Commissioning],456)))</f>
        <v/>
      </c>
      <c r="BT457" s="5">
        <f>IF(A457="","",N(INDEX(Projects[Controls Eng],456)))</f>
        <v/>
      </c>
      <c r="BU457" s="5">
        <f>IF(A457="","",N(INDEX(Projects[Controls Purchase],456)))</f>
        <v/>
      </c>
      <c r="BV457" s="5">
        <f>IF(A457="","",N(INDEX(Projects[Software Eng],456)))</f>
        <v/>
      </c>
      <c r="BW457" s="5">
        <f>IF(A457="","",N(INDEX(Projects[Misc],456)))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  <c r="BZ457" s="5">
        <f>INDEX(Projects[Solution Type],456)&amp;""</f>
        <v/>
      </c>
      <c r="CA457" s="5">
        <f>INDEX(Projects[Client / Region],456)&amp;""</f>
        <v/>
      </c>
      <c r="CB457" s="5">
        <f>INDEX(Projects[Year],456)</f>
        <v/>
      </c>
      <c r="CC457" s="5">
        <f>INDEX(Projects[Won?],456)&amp;""</f>
        <v/>
      </c>
      <c r="CD457" s="5">
        <f>INDEX(Projects[Value (USD M)],456)</f>
        <v/>
      </c>
      <c r="CE457" s="5">
        <f>INDEX(Projects[MH Data Status],456)&amp;""</f>
        <v/>
      </c>
    </row>
    <row r="458" ht="15" customHeight="1" s="74">
      <c r="A458" s="66">
        <f>INDEX(Projects[Project ID *],457)&amp;""</f>
        <v/>
      </c>
      <c r="B458" s="66">
        <f>INDEX(Projects[Project Name *],457)&amp;""</f>
        <v/>
      </c>
      <c r="C458" s="66">
        <f>INDEX(Projects[MS Shuttles],457)</f>
        <v/>
      </c>
      <c r="D458" s="66">
        <f>INDEX(Projects[MS Tote Locations],457)</f>
        <v/>
      </c>
      <c r="E458" s="66">
        <f>INDEX(Projects[AS Robots],457)</f>
        <v/>
      </c>
      <c r="F458" s="66">
        <f>INDEX(Projects[AS Tote Locations],457)</f>
        <v/>
      </c>
      <c r="G458" s="66">
        <f>INDEX(Projects[PS Shuttles],457)</f>
        <v/>
      </c>
      <c r="H458" s="66">
        <f>INDEX(Projects[PS Pallet Locations],457)</f>
        <v/>
      </c>
      <c r="I458" s="66">
        <f>INDEX(Projects[SRM Cranes],457)</f>
        <v/>
      </c>
      <c r="J458" s="66">
        <f>INDEX(Projects[SRM Pallet Locations],457)</f>
        <v/>
      </c>
      <c r="K458" s="66">
        <f>INDEX(Projects[Case Conv (m)],457)</f>
        <v/>
      </c>
      <c r="L458" s="66">
        <f>INDEX(Projects[Pallet Conv (m)],457)</f>
        <v/>
      </c>
      <c r="M458" s="66">
        <f>INDEX(Projects[Mech Eng (wks)],457)</f>
        <v/>
      </c>
      <c r="N458" s="66">
        <f>INDEX(Projects[Controls Eng (wks)],457)</f>
        <v/>
      </c>
      <c r="O458" s="66">
        <f>INDEX(Projects[Systems Eng (wks)],457)</f>
        <v/>
      </c>
      <c r="P458" s="66">
        <f>INDEX(Projects[Software Eng (wks)],457)</f>
        <v/>
      </c>
      <c r="Q458" s="66">
        <f>INDEX(Projects[M&amp;E Installation (wks)],457)</f>
        <v/>
      </c>
      <c r="R458" s="66">
        <f>INDEX(Projects[Commissioning (wks)],457)</f>
        <v/>
      </c>
      <c r="S458" s="66">
        <f>INDEX(Projects[Total Timeline (wks)],457)</f>
        <v/>
      </c>
      <c r="T458" s="66">
        <f>INDEX(Projects[Currency],457)&amp;""</f>
        <v/>
      </c>
      <c r="U458" s="67">
        <f>INDEX(Projects[Value (M)],457)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INDEX(Projects[Automation Equipment],457)&amp;""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IF(AND(A458&lt;&gt;"",OR('Smart Search'!$L$5="",'Smart Search'!$L$5="All",TRIM(BZ458)=TRIM('Smart Search'!$L$5)),OR(TRIM('Smart Search'!$L$6)="",TRIM('Smart Search'!$L$6)="All",ISNUMBER(SEARCH(SUBSTITUTE(SUBSTITUTE(SUBSTITUTE(TRIM('Smart Search'!$L$6),"~","~~"),"*","~*"),"?","~?"),CA458))),OR('Smart Search'!$L$7="",AND(CB458&lt;&gt;0,CB458='Smart Search'!$L$7)),OR('Smart Search'!$L$8="",'Smart Search'!$L$8="All",TRIM(CC458)=TRIM('Smart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IF(A458="","",N(INDEX(Projects[Mech Inst],457)))</f>
        <v/>
      </c>
      <c r="BK458" s="5">
        <f>IF(A458="","",N(INDEX(Projects[Elec Inst],457)))</f>
        <v/>
      </c>
      <c r="BL458" s="5">
        <f>IF(A458="","",N(INDEX(Projects[Project Management],457)))</f>
        <v/>
      </c>
      <c r="BM458" s="5">
        <f>IF(A458="","",N(INDEX(Projects[Systems Eng],457)))</f>
        <v/>
      </c>
      <c r="BN458" s="5">
        <f>IF(A458="","",N(INDEX(Projects[Mechanical Eng],457)))</f>
        <v/>
      </c>
      <c r="BO458" s="5">
        <f>IF(A458="","",N(INDEX(Projects[Structural Engineering],457)))</f>
        <v/>
      </c>
      <c r="BP458" s="5">
        <f>IF(A458="","",N(INDEX(Projects[Site Sup],457)))</f>
        <v/>
      </c>
      <c r="BQ458" s="5">
        <f>IF(A458="","",N(INDEX(Projects[Controls Commissioning],457)))</f>
        <v/>
      </c>
      <c r="BR458" s="5">
        <f>IF(A458="","",N(INDEX(Projects[Systems Commissioning],457)))</f>
        <v/>
      </c>
      <c r="BS458" s="5">
        <f>IF(A458="","",N(INDEX(Projects[Service Commissioning],457)))</f>
        <v/>
      </c>
      <c r="BT458" s="5">
        <f>IF(A458="","",N(INDEX(Projects[Controls Eng],457)))</f>
        <v/>
      </c>
      <c r="BU458" s="5">
        <f>IF(A458="","",N(INDEX(Projects[Controls Purchase],457)))</f>
        <v/>
      </c>
      <c r="BV458" s="5">
        <f>IF(A458="","",N(INDEX(Projects[Software Eng],457)))</f>
        <v/>
      </c>
      <c r="BW458" s="5">
        <f>IF(A458="","",N(INDEX(Projects[Misc],457)))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  <c r="BZ458" s="5">
        <f>INDEX(Projects[Solution Type],457)&amp;""</f>
        <v/>
      </c>
      <c r="CA458" s="5">
        <f>INDEX(Projects[Client / Region],457)&amp;""</f>
        <v/>
      </c>
      <c r="CB458" s="5">
        <f>INDEX(Projects[Year],457)</f>
        <v/>
      </c>
      <c r="CC458" s="5">
        <f>INDEX(Projects[Won?],457)&amp;""</f>
        <v/>
      </c>
      <c r="CD458" s="5">
        <f>INDEX(Projects[Value (USD M)],457)</f>
        <v/>
      </c>
      <c r="CE458" s="5">
        <f>INDEX(Projects[MH Data Status],457)&amp;""</f>
        <v/>
      </c>
    </row>
    <row r="459" ht="15" customHeight="1" s="74">
      <c r="A459" s="66">
        <f>INDEX(Projects[Project ID *],458)&amp;""</f>
        <v/>
      </c>
      <c r="B459" s="66">
        <f>INDEX(Projects[Project Name *],458)&amp;""</f>
        <v/>
      </c>
      <c r="C459" s="66">
        <f>INDEX(Projects[MS Shuttles],458)</f>
        <v/>
      </c>
      <c r="D459" s="66">
        <f>INDEX(Projects[MS Tote Locations],458)</f>
        <v/>
      </c>
      <c r="E459" s="66">
        <f>INDEX(Projects[AS Robots],458)</f>
        <v/>
      </c>
      <c r="F459" s="66">
        <f>INDEX(Projects[AS Tote Locations],458)</f>
        <v/>
      </c>
      <c r="G459" s="66">
        <f>INDEX(Projects[PS Shuttles],458)</f>
        <v/>
      </c>
      <c r="H459" s="66">
        <f>INDEX(Projects[PS Pallet Locations],458)</f>
        <v/>
      </c>
      <c r="I459" s="66">
        <f>INDEX(Projects[SRM Cranes],458)</f>
        <v/>
      </c>
      <c r="J459" s="66">
        <f>INDEX(Projects[SRM Pallet Locations],458)</f>
        <v/>
      </c>
      <c r="K459" s="66">
        <f>INDEX(Projects[Case Conv (m)],458)</f>
        <v/>
      </c>
      <c r="L459" s="66">
        <f>INDEX(Projects[Pallet Conv (m)],458)</f>
        <v/>
      </c>
      <c r="M459" s="66">
        <f>INDEX(Projects[Mech Eng (wks)],458)</f>
        <v/>
      </c>
      <c r="N459" s="66">
        <f>INDEX(Projects[Controls Eng (wks)],458)</f>
        <v/>
      </c>
      <c r="O459" s="66">
        <f>INDEX(Projects[Systems Eng (wks)],458)</f>
        <v/>
      </c>
      <c r="P459" s="66">
        <f>INDEX(Projects[Software Eng (wks)],458)</f>
        <v/>
      </c>
      <c r="Q459" s="66">
        <f>INDEX(Projects[M&amp;E Installation (wks)],458)</f>
        <v/>
      </c>
      <c r="R459" s="66">
        <f>INDEX(Projects[Commissioning (wks)],458)</f>
        <v/>
      </c>
      <c r="S459" s="66">
        <f>INDEX(Projects[Total Timeline (wks)],458)</f>
        <v/>
      </c>
      <c r="T459" s="66">
        <f>INDEX(Projects[Currency],458)&amp;""</f>
        <v/>
      </c>
      <c r="U459" s="67">
        <f>INDEX(Projects[Value (M)],458)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INDEX(Projects[Automation Equipment],458)&amp;""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IF(AND(A459&lt;&gt;"",OR('Smart Search'!$L$5="",'Smart Search'!$L$5="All",TRIM(BZ459)=TRIM('Smart Search'!$L$5)),OR(TRIM('Smart Search'!$L$6)="",TRIM('Smart Search'!$L$6)="All",ISNUMBER(SEARCH(SUBSTITUTE(SUBSTITUTE(SUBSTITUTE(TRIM('Smart Search'!$L$6),"~","~~"),"*","~*"),"?","~?"),CA459))),OR('Smart Search'!$L$7="",AND(CB459&lt;&gt;0,CB459='Smart Search'!$L$7)),OR('Smart Search'!$L$8="",'Smart Search'!$L$8="All",TRIM(CC459)=TRIM('Smart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IF(A459="","",N(INDEX(Projects[Mech Inst],458)))</f>
        <v/>
      </c>
      <c r="BK459" s="5">
        <f>IF(A459="","",N(INDEX(Projects[Elec Inst],458)))</f>
        <v/>
      </c>
      <c r="BL459" s="5">
        <f>IF(A459="","",N(INDEX(Projects[Project Management],458)))</f>
        <v/>
      </c>
      <c r="BM459" s="5">
        <f>IF(A459="","",N(INDEX(Projects[Systems Eng],458)))</f>
        <v/>
      </c>
      <c r="BN459" s="5">
        <f>IF(A459="","",N(INDEX(Projects[Mechanical Eng],458)))</f>
        <v/>
      </c>
      <c r="BO459" s="5">
        <f>IF(A459="","",N(INDEX(Projects[Structural Engineering],458)))</f>
        <v/>
      </c>
      <c r="BP459" s="5">
        <f>IF(A459="","",N(INDEX(Projects[Site Sup],458)))</f>
        <v/>
      </c>
      <c r="BQ459" s="5">
        <f>IF(A459="","",N(INDEX(Projects[Controls Commissioning],458)))</f>
        <v/>
      </c>
      <c r="BR459" s="5">
        <f>IF(A459="","",N(INDEX(Projects[Systems Commissioning],458)))</f>
        <v/>
      </c>
      <c r="BS459" s="5">
        <f>IF(A459="","",N(INDEX(Projects[Service Commissioning],458)))</f>
        <v/>
      </c>
      <c r="BT459" s="5">
        <f>IF(A459="","",N(INDEX(Projects[Controls Eng],458)))</f>
        <v/>
      </c>
      <c r="BU459" s="5">
        <f>IF(A459="","",N(INDEX(Projects[Controls Purchase],458)))</f>
        <v/>
      </c>
      <c r="BV459" s="5">
        <f>IF(A459="","",N(INDEX(Projects[Software Eng],458)))</f>
        <v/>
      </c>
      <c r="BW459" s="5">
        <f>IF(A459="","",N(INDEX(Projects[Misc],458)))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  <c r="BZ459" s="5">
        <f>INDEX(Projects[Solution Type],458)&amp;""</f>
        <v/>
      </c>
      <c r="CA459" s="5">
        <f>INDEX(Projects[Client / Region],458)&amp;""</f>
        <v/>
      </c>
      <c r="CB459" s="5">
        <f>INDEX(Projects[Year],458)</f>
        <v/>
      </c>
      <c r="CC459" s="5">
        <f>INDEX(Projects[Won?],458)&amp;""</f>
        <v/>
      </c>
      <c r="CD459" s="5">
        <f>INDEX(Projects[Value (USD M)],458)</f>
        <v/>
      </c>
      <c r="CE459" s="5">
        <f>INDEX(Projects[MH Data Status],458)&amp;""</f>
        <v/>
      </c>
    </row>
    <row r="460" ht="15" customHeight="1" s="74">
      <c r="A460" s="66">
        <f>INDEX(Projects[Project ID *],459)&amp;""</f>
        <v/>
      </c>
      <c r="B460" s="66">
        <f>INDEX(Projects[Project Name *],459)&amp;""</f>
        <v/>
      </c>
      <c r="C460" s="66">
        <f>INDEX(Projects[MS Shuttles],459)</f>
        <v/>
      </c>
      <c r="D460" s="66">
        <f>INDEX(Projects[MS Tote Locations],459)</f>
        <v/>
      </c>
      <c r="E460" s="66">
        <f>INDEX(Projects[AS Robots],459)</f>
        <v/>
      </c>
      <c r="F460" s="66">
        <f>INDEX(Projects[AS Tote Locations],459)</f>
        <v/>
      </c>
      <c r="G460" s="66">
        <f>INDEX(Projects[PS Shuttles],459)</f>
        <v/>
      </c>
      <c r="H460" s="66">
        <f>INDEX(Projects[PS Pallet Locations],459)</f>
        <v/>
      </c>
      <c r="I460" s="66">
        <f>INDEX(Projects[SRM Cranes],459)</f>
        <v/>
      </c>
      <c r="J460" s="66">
        <f>INDEX(Projects[SRM Pallet Locations],459)</f>
        <v/>
      </c>
      <c r="K460" s="66">
        <f>INDEX(Projects[Case Conv (m)],459)</f>
        <v/>
      </c>
      <c r="L460" s="66">
        <f>INDEX(Projects[Pallet Conv (m)],459)</f>
        <v/>
      </c>
      <c r="M460" s="66">
        <f>INDEX(Projects[Mech Eng (wks)],459)</f>
        <v/>
      </c>
      <c r="N460" s="66">
        <f>INDEX(Projects[Controls Eng (wks)],459)</f>
        <v/>
      </c>
      <c r="O460" s="66">
        <f>INDEX(Projects[Systems Eng (wks)],459)</f>
        <v/>
      </c>
      <c r="P460" s="66">
        <f>INDEX(Projects[Software Eng (wks)],459)</f>
        <v/>
      </c>
      <c r="Q460" s="66">
        <f>INDEX(Projects[M&amp;E Installation (wks)],459)</f>
        <v/>
      </c>
      <c r="R460" s="66">
        <f>INDEX(Projects[Commissioning (wks)],459)</f>
        <v/>
      </c>
      <c r="S460" s="66">
        <f>INDEX(Projects[Total Timeline (wks)],459)</f>
        <v/>
      </c>
      <c r="T460" s="66">
        <f>INDEX(Projects[Currency],459)&amp;""</f>
        <v/>
      </c>
      <c r="U460" s="67">
        <f>INDEX(Projects[Value (M)],459)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INDEX(Projects[Automation Equipment],459)&amp;""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IF(AND(A460&lt;&gt;"",OR('Smart Search'!$L$5="",'Smart Search'!$L$5="All",TRIM(BZ460)=TRIM('Smart Search'!$L$5)),OR(TRIM('Smart Search'!$L$6)="",TRIM('Smart Search'!$L$6)="All",ISNUMBER(SEARCH(SUBSTITUTE(SUBSTITUTE(SUBSTITUTE(TRIM('Smart Search'!$L$6),"~","~~"),"*","~*"),"?","~?"),CA460))),OR('Smart Search'!$L$7="",AND(CB460&lt;&gt;0,CB460='Smart Search'!$L$7)),OR('Smart Search'!$L$8="",'Smart Search'!$L$8="All",TRIM(CC460)=TRIM('Smart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IF(A460="","",N(INDEX(Projects[Mech Inst],459)))</f>
        <v/>
      </c>
      <c r="BK460" s="5">
        <f>IF(A460="","",N(INDEX(Projects[Elec Inst],459)))</f>
        <v/>
      </c>
      <c r="BL460" s="5">
        <f>IF(A460="","",N(INDEX(Projects[Project Management],459)))</f>
        <v/>
      </c>
      <c r="BM460" s="5">
        <f>IF(A460="","",N(INDEX(Projects[Systems Eng],459)))</f>
        <v/>
      </c>
      <c r="BN460" s="5">
        <f>IF(A460="","",N(INDEX(Projects[Mechanical Eng],459)))</f>
        <v/>
      </c>
      <c r="BO460" s="5">
        <f>IF(A460="","",N(INDEX(Projects[Structural Engineering],459)))</f>
        <v/>
      </c>
      <c r="BP460" s="5">
        <f>IF(A460="","",N(INDEX(Projects[Site Sup],459)))</f>
        <v/>
      </c>
      <c r="BQ460" s="5">
        <f>IF(A460="","",N(INDEX(Projects[Controls Commissioning],459)))</f>
        <v/>
      </c>
      <c r="BR460" s="5">
        <f>IF(A460="","",N(INDEX(Projects[Systems Commissioning],459)))</f>
        <v/>
      </c>
      <c r="BS460" s="5">
        <f>IF(A460="","",N(INDEX(Projects[Service Commissioning],459)))</f>
        <v/>
      </c>
      <c r="BT460" s="5">
        <f>IF(A460="","",N(INDEX(Projects[Controls Eng],459)))</f>
        <v/>
      </c>
      <c r="BU460" s="5">
        <f>IF(A460="","",N(INDEX(Projects[Controls Purchase],459)))</f>
        <v/>
      </c>
      <c r="BV460" s="5">
        <f>IF(A460="","",N(INDEX(Projects[Software Eng],459)))</f>
        <v/>
      </c>
      <c r="BW460" s="5">
        <f>IF(A460="","",N(INDEX(Projects[Misc],459)))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  <c r="BZ460" s="5">
        <f>INDEX(Projects[Solution Type],459)&amp;""</f>
        <v/>
      </c>
      <c r="CA460" s="5">
        <f>INDEX(Projects[Client / Region],459)&amp;""</f>
        <v/>
      </c>
      <c r="CB460" s="5">
        <f>INDEX(Projects[Year],459)</f>
        <v/>
      </c>
      <c r="CC460" s="5">
        <f>INDEX(Projects[Won?],459)&amp;""</f>
        <v/>
      </c>
      <c r="CD460" s="5">
        <f>INDEX(Projects[Value (USD M)],459)</f>
        <v/>
      </c>
      <c r="CE460" s="5">
        <f>INDEX(Projects[MH Data Status],459)&amp;""</f>
        <v/>
      </c>
    </row>
    <row r="461" ht="15" customHeight="1" s="74">
      <c r="A461" s="66">
        <f>INDEX(Projects[Project ID *],460)&amp;""</f>
        <v/>
      </c>
      <c r="B461" s="66">
        <f>INDEX(Projects[Project Name *],460)&amp;""</f>
        <v/>
      </c>
      <c r="C461" s="66">
        <f>INDEX(Projects[MS Shuttles],460)</f>
        <v/>
      </c>
      <c r="D461" s="66">
        <f>INDEX(Projects[MS Tote Locations],460)</f>
        <v/>
      </c>
      <c r="E461" s="66">
        <f>INDEX(Projects[AS Robots],460)</f>
        <v/>
      </c>
      <c r="F461" s="66">
        <f>INDEX(Projects[AS Tote Locations],460)</f>
        <v/>
      </c>
      <c r="G461" s="66">
        <f>INDEX(Projects[PS Shuttles],460)</f>
        <v/>
      </c>
      <c r="H461" s="66">
        <f>INDEX(Projects[PS Pallet Locations],460)</f>
        <v/>
      </c>
      <c r="I461" s="66">
        <f>INDEX(Projects[SRM Cranes],460)</f>
        <v/>
      </c>
      <c r="J461" s="66">
        <f>INDEX(Projects[SRM Pallet Locations],460)</f>
        <v/>
      </c>
      <c r="K461" s="66">
        <f>INDEX(Projects[Case Conv (m)],460)</f>
        <v/>
      </c>
      <c r="L461" s="66">
        <f>INDEX(Projects[Pallet Conv (m)],460)</f>
        <v/>
      </c>
      <c r="M461" s="66">
        <f>INDEX(Projects[Mech Eng (wks)],460)</f>
        <v/>
      </c>
      <c r="N461" s="66">
        <f>INDEX(Projects[Controls Eng (wks)],460)</f>
        <v/>
      </c>
      <c r="O461" s="66">
        <f>INDEX(Projects[Systems Eng (wks)],460)</f>
        <v/>
      </c>
      <c r="P461" s="66">
        <f>INDEX(Projects[Software Eng (wks)],460)</f>
        <v/>
      </c>
      <c r="Q461" s="66">
        <f>INDEX(Projects[M&amp;E Installation (wks)],460)</f>
        <v/>
      </c>
      <c r="R461" s="66">
        <f>INDEX(Projects[Commissioning (wks)],460)</f>
        <v/>
      </c>
      <c r="S461" s="66">
        <f>INDEX(Projects[Total Timeline (wks)],460)</f>
        <v/>
      </c>
      <c r="T461" s="66">
        <f>INDEX(Projects[Currency],460)&amp;""</f>
        <v/>
      </c>
      <c r="U461" s="67">
        <f>INDEX(Projects[Value (M)],460)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INDEX(Projects[Automation Equipment],460)&amp;""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IF(AND(A461&lt;&gt;"",OR('Smart Search'!$L$5="",'Smart Search'!$L$5="All",TRIM(BZ461)=TRIM('Smart Search'!$L$5)),OR(TRIM('Smart Search'!$L$6)="",TRIM('Smart Search'!$L$6)="All",ISNUMBER(SEARCH(SUBSTITUTE(SUBSTITUTE(SUBSTITUTE(TRIM('Smart Search'!$L$6),"~","~~"),"*","~*"),"?","~?"),CA461))),OR('Smart Search'!$L$7="",AND(CB461&lt;&gt;0,CB461='Smart Search'!$L$7)),OR('Smart Search'!$L$8="",'Smart Search'!$L$8="All",TRIM(CC461)=TRIM('Smart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IF(A461="","",N(INDEX(Projects[Mech Inst],460)))</f>
        <v/>
      </c>
      <c r="BK461" s="5">
        <f>IF(A461="","",N(INDEX(Projects[Elec Inst],460)))</f>
        <v/>
      </c>
      <c r="BL461" s="5">
        <f>IF(A461="","",N(INDEX(Projects[Project Management],460)))</f>
        <v/>
      </c>
      <c r="BM461" s="5">
        <f>IF(A461="","",N(INDEX(Projects[Systems Eng],460)))</f>
        <v/>
      </c>
      <c r="BN461" s="5">
        <f>IF(A461="","",N(INDEX(Projects[Mechanical Eng],460)))</f>
        <v/>
      </c>
      <c r="BO461" s="5">
        <f>IF(A461="","",N(INDEX(Projects[Structural Engineering],460)))</f>
        <v/>
      </c>
      <c r="BP461" s="5">
        <f>IF(A461="","",N(INDEX(Projects[Site Sup],460)))</f>
        <v/>
      </c>
      <c r="BQ461" s="5">
        <f>IF(A461="","",N(INDEX(Projects[Controls Commissioning],460)))</f>
        <v/>
      </c>
      <c r="BR461" s="5">
        <f>IF(A461="","",N(INDEX(Projects[Systems Commissioning],460)))</f>
        <v/>
      </c>
      <c r="BS461" s="5">
        <f>IF(A461="","",N(INDEX(Projects[Service Commissioning],460)))</f>
        <v/>
      </c>
      <c r="BT461" s="5">
        <f>IF(A461="","",N(INDEX(Projects[Controls Eng],460)))</f>
        <v/>
      </c>
      <c r="BU461" s="5">
        <f>IF(A461="","",N(INDEX(Projects[Controls Purchase],460)))</f>
        <v/>
      </c>
      <c r="BV461" s="5">
        <f>IF(A461="","",N(INDEX(Projects[Software Eng],460)))</f>
        <v/>
      </c>
      <c r="BW461" s="5">
        <f>IF(A461="","",N(INDEX(Projects[Misc],460)))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  <c r="BZ461" s="5">
        <f>INDEX(Projects[Solution Type],460)&amp;""</f>
        <v/>
      </c>
      <c r="CA461" s="5">
        <f>INDEX(Projects[Client / Region],460)&amp;""</f>
        <v/>
      </c>
      <c r="CB461" s="5">
        <f>INDEX(Projects[Year],460)</f>
        <v/>
      </c>
      <c r="CC461" s="5">
        <f>INDEX(Projects[Won?],460)&amp;""</f>
        <v/>
      </c>
      <c r="CD461" s="5">
        <f>INDEX(Projects[Value (USD M)],460)</f>
        <v/>
      </c>
      <c r="CE461" s="5">
        <f>INDEX(Projects[MH Data Status],460)&amp;""</f>
        <v/>
      </c>
    </row>
    <row r="462" ht="15" customHeight="1" s="74">
      <c r="A462" s="66">
        <f>INDEX(Projects[Project ID *],461)&amp;""</f>
        <v/>
      </c>
      <c r="B462" s="66">
        <f>INDEX(Projects[Project Name *],461)&amp;""</f>
        <v/>
      </c>
      <c r="C462" s="66">
        <f>INDEX(Projects[MS Shuttles],461)</f>
        <v/>
      </c>
      <c r="D462" s="66">
        <f>INDEX(Projects[MS Tote Locations],461)</f>
        <v/>
      </c>
      <c r="E462" s="66">
        <f>INDEX(Projects[AS Robots],461)</f>
        <v/>
      </c>
      <c r="F462" s="66">
        <f>INDEX(Projects[AS Tote Locations],461)</f>
        <v/>
      </c>
      <c r="G462" s="66">
        <f>INDEX(Projects[PS Shuttles],461)</f>
        <v/>
      </c>
      <c r="H462" s="66">
        <f>INDEX(Projects[PS Pallet Locations],461)</f>
        <v/>
      </c>
      <c r="I462" s="66">
        <f>INDEX(Projects[SRM Cranes],461)</f>
        <v/>
      </c>
      <c r="J462" s="66">
        <f>INDEX(Projects[SRM Pallet Locations],461)</f>
        <v/>
      </c>
      <c r="K462" s="66">
        <f>INDEX(Projects[Case Conv (m)],461)</f>
        <v/>
      </c>
      <c r="L462" s="66">
        <f>INDEX(Projects[Pallet Conv (m)],461)</f>
        <v/>
      </c>
      <c r="M462" s="66">
        <f>INDEX(Projects[Mech Eng (wks)],461)</f>
        <v/>
      </c>
      <c r="N462" s="66">
        <f>INDEX(Projects[Controls Eng (wks)],461)</f>
        <v/>
      </c>
      <c r="O462" s="66">
        <f>INDEX(Projects[Systems Eng (wks)],461)</f>
        <v/>
      </c>
      <c r="P462" s="66">
        <f>INDEX(Projects[Software Eng (wks)],461)</f>
        <v/>
      </c>
      <c r="Q462" s="66">
        <f>INDEX(Projects[M&amp;E Installation (wks)],461)</f>
        <v/>
      </c>
      <c r="R462" s="66">
        <f>INDEX(Projects[Commissioning (wks)],461)</f>
        <v/>
      </c>
      <c r="S462" s="66">
        <f>INDEX(Projects[Total Timeline (wks)],461)</f>
        <v/>
      </c>
      <c r="T462" s="66">
        <f>INDEX(Projects[Currency],461)&amp;""</f>
        <v/>
      </c>
      <c r="U462" s="67">
        <f>INDEX(Projects[Value (M)],461)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INDEX(Projects[Automation Equipment],461)&amp;""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IF(AND(A462&lt;&gt;"",OR('Smart Search'!$L$5="",'Smart Search'!$L$5="All",TRIM(BZ462)=TRIM('Smart Search'!$L$5)),OR(TRIM('Smart Search'!$L$6)="",TRIM('Smart Search'!$L$6)="All",ISNUMBER(SEARCH(SUBSTITUTE(SUBSTITUTE(SUBSTITUTE(TRIM('Smart Search'!$L$6),"~","~~"),"*","~*"),"?","~?"),CA462))),OR('Smart Search'!$L$7="",AND(CB462&lt;&gt;0,CB462='Smart Search'!$L$7)),OR('Smart Search'!$L$8="",'Smart Search'!$L$8="All",TRIM(CC462)=TRIM('Smart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IF(A462="","",N(INDEX(Projects[Mech Inst],461)))</f>
        <v/>
      </c>
      <c r="BK462" s="5">
        <f>IF(A462="","",N(INDEX(Projects[Elec Inst],461)))</f>
        <v/>
      </c>
      <c r="BL462" s="5">
        <f>IF(A462="","",N(INDEX(Projects[Project Management],461)))</f>
        <v/>
      </c>
      <c r="BM462" s="5">
        <f>IF(A462="","",N(INDEX(Projects[Systems Eng],461)))</f>
        <v/>
      </c>
      <c r="BN462" s="5">
        <f>IF(A462="","",N(INDEX(Projects[Mechanical Eng],461)))</f>
        <v/>
      </c>
      <c r="BO462" s="5">
        <f>IF(A462="","",N(INDEX(Projects[Structural Engineering],461)))</f>
        <v/>
      </c>
      <c r="BP462" s="5">
        <f>IF(A462="","",N(INDEX(Projects[Site Sup],461)))</f>
        <v/>
      </c>
      <c r="BQ462" s="5">
        <f>IF(A462="","",N(INDEX(Projects[Controls Commissioning],461)))</f>
        <v/>
      </c>
      <c r="BR462" s="5">
        <f>IF(A462="","",N(INDEX(Projects[Systems Commissioning],461)))</f>
        <v/>
      </c>
      <c r="BS462" s="5">
        <f>IF(A462="","",N(INDEX(Projects[Service Commissioning],461)))</f>
        <v/>
      </c>
      <c r="BT462" s="5">
        <f>IF(A462="","",N(INDEX(Projects[Controls Eng],461)))</f>
        <v/>
      </c>
      <c r="BU462" s="5">
        <f>IF(A462="","",N(INDEX(Projects[Controls Purchase],461)))</f>
        <v/>
      </c>
      <c r="BV462" s="5">
        <f>IF(A462="","",N(INDEX(Projects[Software Eng],461)))</f>
        <v/>
      </c>
      <c r="BW462" s="5">
        <f>IF(A462="","",N(INDEX(Projects[Misc],461)))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  <c r="BZ462" s="5">
        <f>INDEX(Projects[Solution Type],461)&amp;""</f>
        <v/>
      </c>
      <c r="CA462" s="5">
        <f>INDEX(Projects[Client / Region],461)&amp;""</f>
        <v/>
      </c>
      <c r="CB462" s="5">
        <f>INDEX(Projects[Year],461)</f>
        <v/>
      </c>
      <c r="CC462" s="5">
        <f>INDEX(Projects[Won?],461)&amp;""</f>
        <v/>
      </c>
      <c r="CD462" s="5">
        <f>INDEX(Projects[Value (USD M)],461)</f>
        <v/>
      </c>
      <c r="CE462" s="5">
        <f>INDEX(Projects[MH Data Status],461)&amp;""</f>
        <v/>
      </c>
    </row>
    <row r="463" ht="15" customHeight="1" s="74">
      <c r="A463" s="66">
        <f>INDEX(Projects[Project ID *],462)&amp;""</f>
        <v/>
      </c>
      <c r="B463" s="66">
        <f>INDEX(Projects[Project Name *],462)&amp;""</f>
        <v/>
      </c>
      <c r="C463" s="66">
        <f>INDEX(Projects[MS Shuttles],462)</f>
        <v/>
      </c>
      <c r="D463" s="66">
        <f>INDEX(Projects[MS Tote Locations],462)</f>
        <v/>
      </c>
      <c r="E463" s="66">
        <f>INDEX(Projects[AS Robots],462)</f>
        <v/>
      </c>
      <c r="F463" s="66">
        <f>INDEX(Projects[AS Tote Locations],462)</f>
        <v/>
      </c>
      <c r="G463" s="66">
        <f>INDEX(Projects[PS Shuttles],462)</f>
        <v/>
      </c>
      <c r="H463" s="66">
        <f>INDEX(Projects[PS Pallet Locations],462)</f>
        <v/>
      </c>
      <c r="I463" s="66">
        <f>INDEX(Projects[SRM Cranes],462)</f>
        <v/>
      </c>
      <c r="J463" s="66">
        <f>INDEX(Projects[SRM Pallet Locations],462)</f>
        <v/>
      </c>
      <c r="K463" s="66">
        <f>INDEX(Projects[Case Conv (m)],462)</f>
        <v/>
      </c>
      <c r="L463" s="66">
        <f>INDEX(Projects[Pallet Conv (m)],462)</f>
        <v/>
      </c>
      <c r="M463" s="66">
        <f>INDEX(Projects[Mech Eng (wks)],462)</f>
        <v/>
      </c>
      <c r="N463" s="66">
        <f>INDEX(Projects[Controls Eng (wks)],462)</f>
        <v/>
      </c>
      <c r="O463" s="66">
        <f>INDEX(Projects[Systems Eng (wks)],462)</f>
        <v/>
      </c>
      <c r="P463" s="66">
        <f>INDEX(Projects[Software Eng (wks)],462)</f>
        <v/>
      </c>
      <c r="Q463" s="66">
        <f>INDEX(Projects[M&amp;E Installation (wks)],462)</f>
        <v/>
      </c>
      <c r="R463" s="66">
        <f>INDEX(Projects[Commissioning (wks)],462)</f>
        <v/>
      </c>
      <c r="S463" s="66">
        <f>INDEX(Projects[Total Timeline (wks)],462)</f>
        <v/>
      </c>
      <c r="T463" s="66">
        <f>INDEX(Projects[Currency],462)&amp;""</f>
        <v/>
      </c>
      <c r="U463" s="67">
        <f>INDEX(Projects[Value (M)],462)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INDEX(Projects[Automation Equipment],462)&amp;""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IF(AND(A463&lt;&gt;"",OR('Smart Search'!$L$5="",'Smart Search'!$L$5="All",TRIM(BZ463)=TRIM('Smart Search'!$L$5)),OR(TRIM('Smart Search'!$L$6)="",TRIM('Smart Search'!$L$6)="All",ISNUMBER(SEARCH(SUBSTITUTE(SUBSTITUTE(SUBSTITUTE(TRIM('Smart Search'!$L$6),"~","~~"),"*","~*"),"?","~?"),CA463))),OR('Smart Search'!$L$7="",AND(CB463&lt;&gt;0,CB463='Smart Search'!$L$7)),OR('Smart Search'!$L$8="",'Smart Search'!$L$8="All",TRIM(CC463)=TRIM('Smart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IF(A463="","",N(INDEX(Projects[Mech Inst],462)))</f>
        <v/>
      </c>
      <c r="BK463" s="5">
        <f>IF(A463="","",N(INDEX(Projects[Elec Inst],462)))</f>
        <v/>
      </c>
      <c r="BL463" s="5">
        <f>IF(A463="","",N(INDEX(Projects[Project Management],462)))</f>
        <v/>
      </c>
      <c r="BM463" s="5">
        <f>IF(A463="","",N(INDEX(Projects[Systems Eng],462)))</f>
        <v/>
      </c>
      <c r="BN463" s="5">
        <f>IF(A463="","",N(INDEX(Projects[Mechanical Eng],462)))</f>
        <v/>
      </c>
      <c r="BO463" s="5">
        <f>IF(A463="","",N(INDEX(Projects[Structural Engineering],462)))</f>
        <v/>
      </c>
      <c r="BP463" s="5">
        <f>IF(A463="","",N(INDEX(Projects[Site Sup],462)))</f>
        <v/>
      </c>
      <c r="BQ463" s="5">
        <f>IF(A463="","",N(INDEX(Projects[Controls Commissioning],462)))</f>
        <v/>
      </c>
      <c r="BR463" s="5">
        <f>IF(A463="","",N(INDEX(Projects[Systems Commissioning],462)))</f>
        <v/>
      </c>
      <c r="BS463" s="5">
        <f>IF(A463="","",N(INDEX(Projects[Service Commissioning],462)))</f>
        <v/>
      </c>
      <c r="BT463" s="5">
        <f>IF(A463="","",N(INDEX(Projects[Controls Eng],462)))</f>
        <v/>
      </c>
      <c r="BU463" s="5">
        <f>IF(A463="","",N(INDEX(Projects[Controls Purchase],462)))</f>
        <v/>
      </c>
      <c r="BV463" s="5">
        <f>IF(A463="","",N(INDEX(Projects[Software Eng],462)))</f>
        <v/>
      </c>
      <c r="BW463" s="5">
        <f>IF(A463="","",N(INDEX(Projects[Misc],462)))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  <c r="BZ463" s="5">
        <f>INDEX(Projects[Solution Type],462)&amp;""</f>
        <v/>
      </c>
      <c r="CA463" s="5">
        <f>INDEX(Projects[Client / Region],462)&amp;""</f>
        <v/>
      </c>
      <c r="CB463" s="5">
        <f>INDEX(Projects[Year],462)</f>
        <v/>
      </c>
      <c r="CC463" s="5">
        <f>INDEX(Projects[Won?],462)&amp;""</f>
        <v/>
      </c>
      <c r="CD463" s="5">
        <f>INDEX(Projects[Value (USD M)],462)</f>
        <v/>
      </c>
      <c r="CE463" s="5">
        <f>INDEX(Projects[MH Data Status],462)&amp;""</f>
        <v/>
      </c>
    </row>
    <row r="464" ht="15" customHeight="1" s="74">
      <c r="A464" s="66">
        <f>INDEX(Projects[Project ID *],463)&amp;""</f>
        <v/>
      </c>
      <c r="B464" s="66">
        <f>INDEX(Projects[Project Name *],463)&amp;""</f>
        <v/>
      </c>
      <c r="C464" s="66">
        <f>INDEX(Projects[MS Shuttles],463)</f>
        <v/>
      </c>
      <c r="D464" s="66">
        <f>INDEX(Projects[MS Tote Locations],463)</f>
        <v/>
      </c>
      <c r="E464" s="66">
        <f>INDEX(Projects[AS Robots],463)</f>
        <v/>
      </c>
      <c r="F464" s="66">
        <f>INDEX(Projects[AS Tote Locations],463)</f>
        <v/>
      </c>
      <c r="G464" s="66">
        <f>INDEX(Projects[PS Shuttles],463)</f>
        <v/>
      </c>
      <c r="H464" s="66">
        <f>INDEX(Projects[PS Pallet Locations],463)</f>
        <v/>
      </c>
      <c r="I464" s="66">
        <f>INDEX(Projects[SRM Cranes],463)</f>
        <v/>
      </c>
      <c r="J464" s="66">
        <f>INDEX(Projects[SRM Pallet Locations],463)</f>
        <v/>
      </c>
      <c r="K464" s="66">
        <f>INDEX(Projects[Case Conv (m)],463)</f>
        <v/>
      </c>
      <c r="L464" s="66">
        <f>INDEX(Projects[Pallet Conv (m)],463)</f>
        <v/>
      </c>
      <c r="M464" s="66">
        <f>INDEX(Projects[Mech Eng (wks)],463)</f>
        <v/>
      </c>
      <c r="N464" s="66">
        <f>INDEX(Projects[Controls Eng (wks)],463)</f>
        <v/>
      </c>
      <c r="O464" s="66">
        <f>INDEX(Projects[Systems Eng (wks)],463)</f>
        <v/>
      </c>
      <c r="P464" s="66">
        <f>INDEX(Projects[Software Eng (wks)],463)</f>
        <v/>
      </c>
      <c r="Q464" s="66">
        <f>INDEX(Projects[M&amp;E Installation (wks)],463)</f>
        <v/>
      </c>
      <c r="R464" s="66">
        <f>INDEX(Projects[Commissioning (wks)],463)</f>
        <v/>
      </c>
      <c r="S464" s="66">
        <f>INDEX(Projects[Total Timeline (wks)],463)</f>
        <v/>
      </c>
      <c r="T464" s="66">
        <f>INDEX(Projects[Currency],463)&amp;""</f>
        <v/>
      </c>
      <c r="U464" s="67">
        <f>INDEX(Projects[Value (M)],463)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INDEX(Projects[Automation Equipment],463)&amp;""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IF(AND(A464&lt;&gt;"",OR('Smart Search'!$L$5="",'Smart Search'!$L$5="All",TRIM(BZ464)=TRIM('Smart Search'!$L$5)),OR(TRIM('Smart Search'!$L$6)="",TRIM('Smart Search'!$L$6)="All",ISNUMBER(SEARCH(SUBSTITUTE(SUBSTITUTE(SUBSTITUTE(TRIM('Smart Search'!$L$6),"~","~~"),"*","~*"),"?","~?"),CA464))),OR('Smart Search'!$L$7="",AND(CB464&lt;&gt;0,CB464='Smart Search'!$L$7)),OR('Smart Search'!$L$8="",'Smart Search'!$L$8="All",TRIM(CC464)=TRIM('Smart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IF(A464="","",N(INDEX(Projects[Mech Inst],463)))</f>
        <v/>
      </c>
      <c r="BK464" s="5">
        <f>IF(A464="","",N(INDEX(Projects[Elec Inst],463)))</f>
        <v/>
      </c>
      <c r="BL464" s="5">
        <f>IF(A464="","",N(INDEX(Projects[Project Management],463)))</f>
        <v/>
      </c>
      <c r="BM464" s="5">
        <f>IF(A464="","",N(INDEX(Projects[Systems Eng],463)))</f>
        <v/>
      </c>
      <c r="BN464" s="5">
        <f>IF(A464="","",N(INDEX(Projects[Mechanical Eng],463)))</f>
        <v/>
      </c>
      <c r="BO464" s="5">
        <f>IF(A464="","",N(INDEX(Projects[Structural Engineering],463)))</f>
        <v/>
      </c>
      <c r="BP464" s="5">
        <f>IF(A464="","",N(INDEX(Projects[Site Sup],463)))</f>
        <v/>
      </c>
      <c r="BQ464" s="5">
        <f>IF(A464="","",N(INDEX(Projects[Controls Commissioning],463)))</f>
        <v/>
      </c>
      <c r="BR464" s="5">
        <f>IF(A464="","",N(INDEX(Projects[Systems Commissioning],463)))</f>
        <v/>
      </c>
      <c r="BS464" s="5">
        <f>IF(A464="","",N(INDEX(Projects[Service Commissioning],463)))</f>
        <v/>
      </c>
      <c r="BT464" s="5">
        <f>IF(A464="","",N(INDEX(Projects[Controls Eng],463)))</f>
        <v/>
      </c>
      <c r="BU464" s="5">
        <f>IF(A464="","",N(INDEX(Projects[Controls Purchase],463)))</f>
        <v/>
      </c>
      <c r="BV464" s="5">
        <f>IF(A464="","",N(INDEX(Projects[Software Eng],463)))</f>
        <v/>
      </c>
      <c r="BW464" s="5">
        <f>IF(A464="","",N(INDEX(Projects[Misc],463)))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  <c r="BZ464" s="5">
        <f>INDEX(Projects[Solution Type],463)&amp;""</f>
        <v/>
      </c>
      <c r="CA464" s="5">
        <f>INDEX(Projects[Client / Region],463)&amp;""</f>
        <v/>
      </c>
      <c r="CB464" s="5">
        <f>INDEX(Projects[Year],463)</f>
        <v/>
      </c>
      <c r="CC464" s="5">
        <f>INDEX(Projects[Won?],463)&amp;""</f>
        <v/>
      </c>
      <c r="CD464" s="5">
        <f>INDEX(Projects[Value (USD M)],463)</f>
        <v/>
      </c>
      <c r="CE464" s="5">
        <f>INDEX(Projects[MH Data Status],463)&amp;""</f>
        <v/>
      </c>
    </row>
    <row r="465" ht="15" customHeight="1" s="74">
      <c r="A465" s="66">
        <f>INDEX(Projects[Project ID *],464)&amp;""</f>
        <v/>
      </c>
      <c r="B465" s="66">
        <f>INDEX(Projects[Project Name *],464)&amp;""</f>
        <v/>
      </c>
      <c r="C465" s="66">
        <f>INDEX(Projects[MS Shuttles],464)</f>
        <v/>
      </c>
      <c r="D465" s="66">
        <f>INDEX(Projects[MS Tote Locations],464)</f>
        <v/>
      </c>
      <c r="E465" s="66">
        <f>INDEX(Projects[AS Robots],464)</f>
        <v/>
      </c>
      <c r="F465" s="66">
        <f>INDEX(Projects[AS Tote Locations],464)</f>
        <v/>
      </c>
      <c r="G465" s="66">
        <f>INDEX(Projects[PS Shuttles],464)</f>
        <v/>
      </c>
      <c r="H465" s="66">
        <f>INDEX(Projects[PS Pallet Locations],464)</f>
        <v/>
      </c>
      <c r="I465" s="66">
        <f>INDEX(Projects[SRM Cranes],464)</f>
        <v/>
      </c>
      <c r="J465" s="66">
        <f>INDEX(Projects[SRM Pallet Locations],464)</f>
        <v/>
      </c>
      <c r="K465" s="66">
        <f>INDEX(Projects[Case Conv (m)],464)</f>
        <v/>
      </c>
      <c r="L465" s="66">
        <f>INDEX(Projects[Pallet Conv (m)],464)</f>
        <v/>
      </c>
      <c r="M465" s="66">
        <f>INDEX(Projects[Mech Eng (wks)],464)</f>
        <v/>
      </c>
      <c r="N465" s="66">
        <f>INDEX(Projects[Controls Eng (wks)],464)</f>
        <v/>
      </c>
      <c r="O465" s="66">
        <f>INDEX(Projects[Systems Eng (wks)],464)</f>
        <v/>
      </c>
      <c r="P465" s="66">
        <f>INDEX(Projects[Software Eng (wks)],464)</f>
        <v/>
      </c>
      <c r="Q465" s="66">
        <f>INDEX(Projects[M&amp;E Installation (wks)],464)</f>
        <v/>
      </c>
      <c r="R465" s="66">
        <f>INDEX(Projects[Commissioning (wks)],464)</f>
        <v/>
      </c>
      <c r="S465" s="66">
        <f>INDEX(Projects[Total Timeline (wks)],464)</f>
        <v/>
      </c>
      <c r="T465" s="66">
        <f>INDEX(Projects[Currency],464)&amp;""</f>
        <v/>
      </c>
      <c r="U465" s="67">
        <f>INDEX(Projects[Value (M)],464)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INDEX(Projects[Automation Equipment],464)&amp;""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IF(AND(A465&lt;&gt;"",OR('Smart Search'!$L$5="",'Smart Search'!$L$5="All",TRIM(BZ465)=TRIM('Smart Search'!$L$5)),OR(TRIM('Smart Search'!$L$6)="",TRIM('Smart Search'!$L$6)="All",ISNUMBER(SEARCH(SUBSTITUTE(SUBSTITUTE(SUBSTITUTE(TRIM('Smart Search'!$L$6),"~","~~"),"*","~*"),"?","~?"),CA465))),OR('Smart Search'!$L$7="",AND(CB465&lt;&gt;0,CB465='Smart Search'!$L$7)),OR('Smart Search'!$L$8="",'Smart Search'!$L$8="All",TRIM(CC465)=TRIM('Smart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IF(A465="","",N(INDEX(Projects[Mech Inst],464)))</f>
        <v/>
      </c>
      <c r="BK465" s="5">
        <f>IF(A465="","",N(INDEX(Projects[Elec Inst],464)))</f>
        <v/>
      </c>
      <c r="BL465" s="5">
        <f>IF(A465="","",N(INDEX(Projects[Project Management],464)))</f>
        <v/>
      </c>
      <c r="BM465" s="5">
        <f>IF(A465="","",N(INDEX(Projects[Systems Eng],464)))</f>
        <v/>
      </c>
      <c r="BN465" s="5">
        <f>IF(A465="","",N(INDEX(Projects[Mechanical Eng],464)))</f>
        <v/>
      </c>
      <c r="BO465" s="5">
        <f>IF(A465="","",N(INDEX(Projects[Structural Engineering],464)))</f>
        <v/>
      </c>
      <c r="BP465" s="5">
        <f>IF(A465="","",N(INDEX(Projects[Site Sup],464)))</f>
        <v/>
      </c>
      <c r="BQ465" s="5">
        <f>IF(A465="","",N(INDEX(Projects[Controls Commissioning],464)))</f>
        <v/>
      </c>
      <c r="BR465" s="5">
        <f>IF(A465="","",N(INDEX(Projects[Systems Commissioning],464)))</f>
        <v/>
      </c>
      <c r="BS465" s="5">
        <f>IF(A465="","",N(INDEX(Projects[Service Commissioning],464)))</f>
        <v/>
      </c>
      <c r="BT465" s="5">
        <f>IF(A465="","",N(INDEX(Projects[Controls Eng],464)))</f>
        <v/>
      </c>
      <c r="BU465" s="5">
        <f>IF(A465="","",N(INDEX(Projects[Controls Purchase],464)))</f>
        <v/>
      </c>
      <c r="BV465" s="5">
        <f>IF(A465="","",N(INDEX(Projects[Software Eng],464)))</f>
        <v/>
      </c>
      <c r="BW465" s="5">
        <f>IF(A465="","",N(INDEX(Projects[Misc],464)))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  <c r="BZ465" s="5">
        <f>INDEX(Projects[Solution Type],464)&amp;""</f>
        <v/>
      </c>
      <c r="CA465" s="5">
        <f>INDEX(Projects[Client / Region],464)&amp;""</f>
        <v/>
      </c>
      <c r="CB465" s="5">
        <f>INDEX(Projects[Year],464)</f>
        <v/>
      </c>
      <c r="CC465" s="5">
        <f>INDEX(Projects[Won?],464)&amp;""</f>
        <v/>
      </c>
      <c r="CD465" s="5">
        <f>INDEX(Projects[Value (USD M)],464)</f>
        <v/>
      </c>
      <c r="CE465" s="5">
        <f>INDEX(Projects[MH Data Status],464)&amp;""</f>
        <v/>
      </c>
    </row>
    <row r="466" ht="15" customHeight="1" s="74">
      <c r="A466" s="66">
        <f>INDEX(Projects[Project ID *],465)&amp;""</f>
        <v/>
      </c>
      <c r="B466" s="66">
        <f>INDEX(Projects[Project Name *],465)&amp;""</f>
        <v/>
      </c>
      <c r="C466" s="66">
        <f>INDEX(Projects[MS Shuttles],465)</f>
        <v/>
      </c>
      <c r="D466" s="66">
        <f>INDEX(Projects[MS Tote Locations],465)</f>
        <v/>
      </c>
      <c r="E466" s="66">
        <f>INDEX(Projects[AS Robots],465)</f>
        <v/>
      </c>
      <c r="F466" s="66">
        <f>INDEX(Projects[AS Tote Locations],465)</f>
        <v/>
      </c>
      <c r="G466" s="66">
        <f>INDEX(Projects[PS Shuttles],465)</f>
        <v/>
      </c>
      <c r="H466" s="66">
        <f>INDEX(Projects[PS Pallet Locations],465)</f>
        <v/>
      </c>
      <c r="I466" s="66">
        <f>INDEX(Projects[SRM Cranes],465)</f>
        <v/>
      </c>
      <c r="J466" s="66">
        <f>INDEX(Projects[SRM Pallet Locations],465)</f>
        <v/>
      </c>
      <c r="K466" s="66">
        <f>INDEX(Projects[Case Conv (m)],465)</f>
        <v/>
      </c>
      <c r="L466" s="66">
        <f>INDEX(Projects[Pallet Conv (m)],465)</f>
        <v/>
      </c>
      <c r="M466" s="66">
        <f>INDEX(Projects[Mech Eng (wks)],465)</f>
        <v/>
      </c>
      <c r="N466" s="66">
        <f>INDEX(Projects[Controls Eng (wks)],465)</f>
        <v/>
      </c>
      <c r="O466" s="66">
        <f>INDEX(Projects[Systems Eng (wks)],465)</f>
        <v/>
      </c>
      <c r="P466" s="66">
        <f>INDEX(Projects[Software Eng (wks)],465)</f>
        <v/>
      </c>
      <c r="Q466" s="66">
        <f>INDEX(Projects[M&amp;E Installation (wks)],465)</f>
        <v/>
      </c>
      <c r="R466" s="66">
        <f>INDEX(Projects[Commissioning (wks)],465)</f>
        <v/>
      </c>
      <c r="S466" s="66">
        <f>INDEX(Projects[Total Timeline (wks)],465)</f>
        <v/>
      </c>
      <c r="T466" s="66">
        <f>INDEX(Projects[Currency],465)&amp;""</f>
        <v/>
      </c>
      <c r="U466" s="67">
        <f>INDEX(Projects[Value (M)],465)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INDEX(Projects[Automation Equipment],465)&amp;""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IF(AND(A466&lt;&gt;"",OR('Smart Search'!$L$5="",'Smart Search'!$L$5="All",TRIM(BZ466)=TRIM('Smart Search'!$L$5)),OR(TRIM('Smart Search'!$L$6)="",TRIM('Smart Search'!$L$6)="All",ISNUMBER(SEARCH(SUBSTITUTE(SUBSTITUTE(SUBSTITUTE(TRIM('Smart Search'!$L$6),"~","~~"),"*","~*"),"?","~?"),CA466))),OR('Smart Search'!$L$7="",AND(CB466&lt;&gt;0,CB466='Smart Search'!$L$7)),OR('Smart Search'!$L$8="",'Smart Search'!$L$8="All",TRIM(CC466)=TRIM('Smart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IF(A466="","",N(INDEX(Projects[Mech Inst],465)))</f>
        <v/>
      </c>
      <c r="BK466" s="5">
        <f>IF(A466="","",N(INDEX(Projects[Elec Inst],465)))</f>
        <v/>
      </c>
      <c r="BL466" s="5">
        <f>IF(A466="","",N(INDEX(Projects[Project Management],465)))</f>
        <v/>
      </c>
      <c r="BM466" s="5">
        <f>IF(A466="","",N(INDEX(Projects[Systems Eng],465)))</f>
        <v/>
      </c>
      <c r="BN466" s="5">
        <f>IF(A466="","",N(INDEX(Projects[Mechanical Eng],465)))</f>
        <v/>
      </c>
      <c r="BO466" s="5">
        <f>IF(A466="","",N(INDEX(Projects[Structural Engineering],465)))</f>
        <v/>
      </c>
      <c r="BP466" s="5">
        <f>IF(A466="","",N(INDEX(Projects[Site Sup],465)))</f>
        <v/>
      </c>
      <c r="BQ466" s="5">
        <f>IF(A466="","",N(INDEX(Projects[Controls Commissioning],465)))</f>
        <v/>
      </c>
      <c r="BR466" s="5">
        <f>IF(A466="","",N(INDEX(Projects[Systems Commissioning],465)))</f>
        <v/>
      </c>
      <c r="BS466" s="5">
        <f>IF(A466="","",N(INDEX(Projects[Service Commissioning],465)))</f>
        <v/>
      </c>
      <c r="BT466" s="5">
        <f>IF(A466="","",N(INDEX(Projects[Controls Eng],465)))</f>
        <v/>
      </c>
      <c r="BU466" s="5">
        <f>IF(A466="","",N(INDEX(Projects[Controls Purchase],465)))</f>
        <v/>
      </c>
      <c r="BV466" s="5">
        <f>IF(A466="","",N(INDEX(Projects[Software Eng],465)))</f>
        <v/>
      </c>
      <c r="BW466" s="5">
        <f>IF(A466="","",N(INDEX(Projects[Misc],465)))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  <c r="BZ466" s="5">
        <f>INDEX(Projects[Solution Type],465)&amp;""</f>
        <v/>
      </c>
      <c r="CA466" s="5">
        <f>INDEX(Projects[Client / Region],465)&amp;""</f>
        <v/>
      </c>
      <c r="CB466" s="5">
        <f>INDEX(Projects[Year],465)</f>
        <v/>
      </c>
      <c r="CC466" s="5">
        <f>INDEX(Projects[Won?],465)&amp;""</f>
        <v/>
      </c>
      <c r="CD466" s="5">
        <f>INDEX(Projects[Value (USD M)],465)</f>
        <v/>
      </c>
      <c r="CE466" s="5">
        <f>INDEX(Projects[MH Data Status],465)&amp;""</f>
        <v/>
      </c>
    </row>
    <row r="467" ht="15" customHeight="1" s="74">
      <c r="A467" s="66">
        <f>INDEX(Projects[Project ID *],466)&amp;""</f>
        <v/>
      </c>
      <c r="B467" s="66">
        <f>INDEX(Projects[Project Name *],466)&amp;""</f>
        <v/>
      </c>
      <c r="C467" s="66">
        <f>INDEX(Projects[MS Shuttles],466)</f>
        <v/>
      </c>
      <c r="D467" s="66">
        <f>INDEX(Projects[MS Tote Locations],466)</f>
        <v/>
      </c>
      <c r="E467" s="66">
        <f>INDEX(Projects[AS Robots],466)</f>
        <v/>
      </c>
      <c r="F467" s="66">
        <f>INDEX(Projects[AS Tote Locations],466)</f>
        <v/>
      </c>
      <c r="G467" s="66">
        <f>INDEX(Projects[PS Shuttles],466)</f>
        <v/>
      </c>
      <c r="H467" s="66">
        <f>INDEX(Projects[PS Pallet Locations],466)</f>
        <v/>
      </c>
      <c r="I467" s="66">
        <f>INDEX(Projects[SRM Cranes],466)</f>
        <v/>
      </c>
      <c r="J467" s="66">
        <f>INDEX(Projects[SRM Pallet Locations],466)</f>
        <v/>
      </c>
      <c r="K467" s="66">
        <f>INDEX(Projects[Case Conv (m)],466)</f>
        <v/>
      </c>
      <c r="L467" s="66">
        <f>INDEX(Projects[Pallet Conv (m)],466)</f>
        <v/>
      </c>
      <c r="M467" s="66">
        <f>INDEX(Projects[Mech Eng (wks)],466)</f>
        <v/>
      </c>
      <c r="N467" s="66">
        <f>INDEX(Projects[Controls Eng (wks)],466)</f>
        <v/>
      </c>
      <c r="O467" s="66">
        <f>INDEX(Projects[Systems Eng (wks)],466)</f>
        <v/>
      </c>
      <c r="P467" s="66">
        <f>INDEX(Projects[Software Eng (wks)],466)</f>
        <v/>
      </c>
      <c r="Q467" s="66">
        <f>INDEX(Projects[M&amp;E Installation (wks)],466)</f>
        <v/>
      </c>
      <c r="R467" s="66">
        <f>INDEX(Projects[Commissioning (wks)],466)</f>
        <v/>
      </c>
      <c r="S467" s="66">
        <f>INDEX(Projects[Total Timeline (wks)],466)</f>
        <v/>
      </c>
      <c r="T467" s="66">
        <f>INDEX(Projects[Currency],466)&amp;""</f>
        <v/>
      </c>
      <c r="U467" s="67">
        <f>INDEX(Projects[Value (M)],466)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INDEX(Projects[Automation Equipment],466)&amp;""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IF(AND(A467&lt;&gt;"",OR('Smart Search'!$L$5="",'Smart Search'!$L$5="All",TRIM(BZ467)=TRIM('Smart Search'!$L$5)),OR(TRIM('Smart Search'!$L$6)="",TRIM('Smart Search'!$L$6)="All",ISNUMBER(SEARCH(SUBSTITUTE(SUBSTITUTE(SUBSTITUTE(TRIM('Smart Search'!$L$6),"~","~~"),"*","~*"),"?","~?"),CA467))),OR('Smart Search'!$L$7="",AND(CB467&lt;&gt;0,CB467='Smart Search'!$L$7)),OR('Smart Search'!$L$8="",'Smart Search'!$L$8="All",TRIM(CC467)=TRIM('Smart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IF(A467="","",N(INDEX(Projects[Mech Inst],466)))</f>
        <v/>
      </c>
      <c r="BK467" s="5">
        <f>IF(A467="","",N(INDEX(Projects[Elec Inst],466)))</f>
        <v/>
      </c>
      <c r="BL467" s="5">
        <f>IF(A467="","",N(INDEX(Projects[Project Management],466)))</f>
        <v/>
      </c>
      <c r="BM467" s="5">
        <f>IF(A467="","",N(INDEX(Projects[Systems Eng],466)))</f>
        <v/>
      </c>
      <c r="BN467" s="5">
        <f>IF(A467="","",N(INDEX(Projects[Mechanical Eng],466)))</f>
        <v/>
      </c>
      <c r="BO467" s="5">
        <f>IF(A467="","",N(INDEX(Projects[Structural Engineering],466)))</f>
        <v/>
      </c>
      <c r="BP467" s="5">
        <f>IF(A467="","",N(INDEX(Projects[Site Sup],466)))</f>
        <v/>
      </c>
      <c r="BQ467" s="5">
        <f>IF(A467="","",N(INDEX(Projects[Controls Commissioning],466)))</f>
        <v/>
      </c>
      <c r="BR467" s="5">
        <f>IF(A467="","",N(INDEX(Projects[Systems Commissioning],466)))</f>
        <v/>
      </c>
      <c r="BS467" s="5">
        <f>IF(A467="","",N(INDEX(Projects[Service Commissioning],466)))</f>
        <v/>
      </c>
      <c r="BT467" s="5">
        <f>IF(A467="","",N(INDEX(Projects[Controls Eng],466)))</f>
        <v/>
      </c>
      <c r="BU467" s="5">
        <f>IF(A467="","",N(INDEX(Projects[Controls Purchase],466)))</f>
        <v/>
      </c>
      <c r="BV467" s="5">
        <f>IF(A467="","",N(INDEX(Projects[Software Eng],466)))</f>
        <v/>
      </c>
      <c r="BW467" s="5">
        <f>IF(A467="","",N(INDEX(Projects[Misc],466)))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  <c r="BZ467" s="5">
        <f>INDEX(Projects[Solution Type],466)&amp;""</f>
        <v/>
      </c>
      <c r="CA467" s="5">
        <f>INDEX(Projects[Client / Region],466)&amp;""</f>
        <v/>
      </c>
      <c r="CB467" s="5">
        <f>INDEX(Projects[Year],466)</f>
        <v/>
      </c>
      <c r="CC467" s="5">
        <f>INDEX(Projects[Won?],466)&amp;""</f>
        <v/>
      </c>
      <c r="CD467" s="5">
        <f>INDEX(Projects[Value (USD M)],466)</f>
        <v/>
      </c>
      <c r="CE467" s="5">
        <f>INDEX(Projects[MH Data Status],466)&amp;""</f>
        <v/>
      </c>
    </row>
    <row r="468" ht="15" customHeight="1" s="74">
      <c r="A468" s="66">
        <f>INDEX(Projects[Project ID *],467)&amp;""</f>
        <v/>
      </c>
      <c r="B468" s="66">
        <f>INDEX(Projects[Project Name *],467)&amp;""</f>
        <v/>
      </c>
      <c r="C468" s="66">
        <f>INDEX(Projects[MS Shuttles],467)</f>
        <v/>
      </c>
      <c r="D468" s="66">
        <f>INDEX(Projects[MS Tote Locations],467)</f>
        <v/>
      </c>
      <c r="E468" s="66">
        <f>INDEX(Projects[AS Robots],467)</f>
        <v/>
      </c>
      <c r="F468" s="66">
        <f>INDEX(Projects[AS Tote Locations],467)</f>
        <v/>
      </c>
      <c r="G468" s="66">
        <f>INDEX(Projects[PS Shuttles],467)</f>
        <v/>
      </c>
      <c r="H468" s="66">
        <f>INDEX(Projects[PS Pallet Locations],467)</f>
        <v/>
      </c>
      <c r="I468" s="66">
        <f>INDEX(Projects[SRM Cranes],467)</f>
        <v/>
      </c>
      <c r="J468" s="66">
        <f>INDEX(Projects[SRM Pallet Locations],467)</f>
        <v/>
      </c>
      <c r="K468" s="66">
        <f>INDEX(Projects[Case Conv (m)],467)</f>
        <v/>
      </c>
      <c r="L468" s="66">
        <f>INDEX(Projects[Pallet Conv (m)],467)</f>
        <v/>
      </c>
      <c r="M468" s="66">
        <f>INDEX(Projects[Mech Eng (wks)],467)</f>
        <v/>
      </c>
      <c r="N468" s="66">
        <f>INDEX(Projects[Controls Eng (wks)],467)</f>
        <v/>
      </c>
      <c r="O468" s="66">
        <f>INDEX(Projects[Systems Eng (wks)],467)</f>
        <v/>
      </c>
      <c r="P468" s="66">
        <f>INDEX(Projects[Software Eng (wks)],467)</f>
        <v/>
      </c>
      <c r="Q468" s="66">
        <f>INDEX(Projects[M&amp;E Installation (wks)],467)</f>
        <v/>
      </c>
      <c r="R468" s="66">
        <f>INDEX(Projects[Commissioning (wks)],467)</f>
        <v/>
      </c>
      <c r="S468" s="66">
        <f>INDEX(Projects[Total Timeline (wks)],467)</f>
        <v/>
      </c>
      <c r="T468" s="66">
        <f>INDEX(Projects[Currency],467)&amp;""</f>
        <v/>
      </c>
      <c r="U468" s="67">
        <f>INDEX(Projects[Value (M)],467)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INDEX(Projects[Automation Equipment],467)&amp;""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IF(AND(A468&lt;&gt;"",OR('Smart Search'!$L$5="",'Smart Search'!$L$5="All",TRIM(BZ468)=TRIM('Smart Search'!$L$5)),OR(TRIM('Smart Search'!$L$6)="",TRIM('Smart Search'!$L$6)="All",ISNUMBER(SEARCH(SUBSTITUTE(SUBSTITUTE(SUBSTITUTE(TRIM('Smart Search'!$L$6),"~","~~"),"*","~*"),"?","~?"),CA468))),OR('Smart Search'!$L$7="",AND(CB468&lt;&gt;0,CB468='Smart Search'!$L$7)),OR('Smart Search'!$L$8="",'Smart Search'!$L$8="All",TRIM(CC468)=TRIM('Smart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IF(A468="","",N(INDEX(Projects[Mech Inst],467)))</f>
        <v/>
      </c>
      <c r="BK468" s="5">
        <f>IF(A468="","",N(INDEX(Projects[Elec Inst],467)))</f>
        <v/>
      </c>
      <c r="BL468" s="5">
        <f>IF(A468="","",N(INDEX(Projects[Project Management],467)))</f>
        <v/>
      </c>
      <c r="BM468" s="5">
        <f>IF(A468="","",N(INDEX(Projects[Systems Eng],467)))</f>
        <v/>
      </c>
      <c r="BN468" s="5">
        <f>IF(A468="","",N(INDEX(Projects[Mechanical Eng],467)))</f>
        <v/>
      </c>
      <c r="BO468" s="5">
        <f>IF(A468="","",N(INDEX(Projects[Structural Engineering],467)))</f>
        <v/>
      </c>
      <c r="BP468" s="5">
        <f>IF(A468="","",N(INDEX(Projects[Site Sup],467)))</f>
        <v/>
      </c>
      <c r="BQ468" s="5">
        <f>IF(A468="","",N(INDEX(Projects[Controls Commissioning],467)))</f>
        <v/>
      </c>
      <c r="BR468" s="5">
        <f>IF(A468="","",N(INDEX(Projects[Systems Commissioning],467)))</f>
        <v/>
      </c>
      <c r="BS468" s="5">
        <f>IF(A468="","",N(INDEX(Projects[Service Commissioning],467)))</f>
        <v/>
      </c>
      <c r="BT468" s="5">
        <f>IF(A468="","",N(INDEX(Projects[Controls Eng],467)))</f>
        <v/>
      </c>
      <c r="BU468" s="5">
        <f>IF(A468="","",N(INDEX(Projects[Controls Purchase],467)))</f>
        <v/>
      </c>
      <c r="BV468" s="5">
        <f>IF(A468="","",N(INDEX(Projects[Software Eng],467)))</f>
        <v/>
      </c>
      <c r="BW468" s="5">
        <f>IF(A468="","",N(INDEX(Projects[Misc],467)))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  <c r="BZ468" s="5">
        <f>INDEX(Projects[Solution Type],467)&amp;""</f>
        <v/>
      </c>
      <c r="CA468" s="5">
        <f>INDEX(Projects[Client / Region],467)&amp;""</f>
        <v/>
      </c>
      <c r="CB468" s="5">
        <f>INDEX(Projects[Year],467)</f>
        <v/>
      </c>
      <c r="CC468" s="5">
        <f>INDEX(Projects[Won?],467)&amp;""</f>
        <v/>
      </c>
      <c r="CD468" s="5">
        <f>INDEX(Projects[Value (USD M)],467)</f>
        <v/>
      </c>
      <c r="CE468" s="5">
        <f>INDEX(Projects[MH Data Status],467)&amp;""</f>
        <v/>
      </c>
    </row>
    <row r="469" ht="15" customHeight="1" s="74">
      <c r="A469" s="66">
        <f>INDEX(Projects[Project ID *],468)&amp;""</f>
        <v/>
      </c>
      <c r="B469" s="66">
        <f>INDEX(Projects[Project Name *],468)&amp;""</f>
        <v/>
      </c>
      <c r="C469" s="66">
        <f>INDEX(Projects[MS Shuttles],468)</f>
        <v/>
      </c>
      <c r="D469" s="66">
        <f>INDEX(Projects[MS Tote Locations],468)</f>
        <v/>
      </c>
      <c r="E469" s="66">
        <f>INDEX(Projects[AS Robots],468)</f>
        <v/>
      </c>
      <c r="F469" s="66">
        <f>INDEX(Projects[AS Tote Locations],468)</f>
        <v/>
      </c>
      <c r="G469" s="66">
        <f>INDEX(Projects[PS Shuttles],468)</f>
        <v/>
      </c>
      <c r="H469" s="66">
        <f>INDEX(Projects[PS Pallet Locations],468)</f>
        <v/>
      </c>
      <c r="I469" s="66">
        <f>INDEX(Projects[SRM Cranes],468)</f>
        <v/>
      </c>
      <c r="J469" s="66">
        <f>INDEX(Projects[SRM Pallet Locations],468)</f>
        <v/>
      </c>
      <c r="K469" s="66">
        <f>INDEX(Projects[Case Conv (m)],468)</f>
        <v/>
      </c>
      <c r="L469" s="66">
        <f>INDEX(Projects[Pallet Conv (m)],468)</f>
        <v/>
      </c>
      <c r="M469" s="66">
        <f>INDEX(Projects[Mech Eng (wks)],468)</f>
        <v/>
      </c>
      <c r="N469" s="66">
        <f>INDEX(Projects[Controls Eng (wks)],468)</f>
        <v/>
      </c>
      <c r="O469" s="66">
        <f>INDEX(Projects[Systems Eng (wks)],468)</f>
        <v/>
      </c>
      <c r="P469" s="66">
        <f>INDEX(Projects[Software Eng (wks)],468)</f>
        <v/>
      </c>
      <c r="Q469" s="66">
        <f>INDEX(Projects[M&amp;E Installation (wks)],468)</f>
        <v/>
      </c>
      <c r="R469" s="66">
        <f>INDEX(Projects[Commissioning (wks)],468)</f>
        <v/>
      </c>
      <c r="S469" s="66">
        <f>INDEX(Projects[Total Timeline (wks)],468)</f>
        <v/>
      </c>
      <c r="T469" s="66">
        <f>INDEX(Projects[Currency],468)&amp;""</f>
        <v/>
      </c>
      <c r="U469" s="67">
        <f>INDEX(Projects[Value (M)],468)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INDEX(Projects[Automation Equipment],468)&amp;""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IF(AND(A469&lt;&gt;"",OR('Smart Search'!$L$5="",'Smart Search'!$L$5="All",TRIM(BZ469)=TRIM('Smart Search'!$L$5)),OR(TRIM('Smart Search'!$L$6)="",TRIM('Smart Search'!$L$6)="All",ISNUMBER(SEARCH(SUBSTITUTE(SUBSTITUTE(SUBSTITUTE(TRIM('Smart Search'!$L$6),"~","~~"),"*","~*"),"?","~?"),CA469))),OR('Smart Search'!$L$7="",AND(CB469&lt;&gt;0,CB469='Smart Search'!$L$7)),OR('Smart Search'!$L$8="",'Smart Search'!$L$8="All",TRIM(CC469)=TRIM('Smart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IF(A469="","",N(INDEX(Projects[Mech Inst],468)))</f>
        <v/>
      </c>
      <c r="BK469" s="5">
        <f>IF(A469="","",N(INDEX(Projects[Elec Inst],468)))</f>
        <v/>
      </c>
      <c r="BL469" s="5">
        <f>IF(A469="","",N(INDEX(Projects[Project Management],468)))</f>
        <v/>
      </c>
      <c r="BM469" s="5">
        <f>IF(A469="","",N(INDEX(Projects[Systems Eng],468)))</f>
        <v/>
      </c>
      <c r="BN469" s="5">
        <f>IF(A469="","",N(INDEX(Projects[Mechanical Eng],468)))</f>
        <v/>
      </c>
      <c r="BO469" s="5">
        <f>IF(A469="","",N(INDEX(Projects[Structural Engineering],468)))</f>
        <v/>
      </c>
      <c r="BP469" s="5">
        <f>IF(A469="","",N(INDEX(Projects[Site Sup],468)))</f>
        <v/>
      </c>
      <c r="BQ469" s="5">
        <f>IF(A469="","",N(INDEX(Projects[Controls Commissioning],468)))</f>
        <v/>
      </c>
      <c r="BR469" s="5">
        <f>IF(A469="","",N(INDEX(Projects[Systems Commissioning],468)))</f>
        <v/>
      </c>
      <c r="BS469" s="5">
        <f>IF(A469="","",N(INDEX(Projects[Service Commissioning],468)))</f>
        <v/>
      </c>
      <c r="BT469" s="5">
        <f>IF(A469="","",N(INDEX(Projects[Controls Eng],468)))</f>
        <v/>
      </c>
      <c r="BU469" s="5">
        <f>IF(A469="","",N(INDEX(Projects[Controls Purchase],468)))</f>
        <v/>
      </c>
      <c r="BV469" s="5">
        <f>IF(A469="","",N(INDEX(Projects[Software Eng],468)))</f>
        <v/>
      </c>
      <c r="BW469" s="5">
        <f>IF(A469="","",N(INDEX(Projects[Misc],468)))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  <c r="BZ469" s="5">
        <f>INDEX(Projects[Solution Type],468)&amp;""</f>
        <v/>
      </c>
      <c r="CA469" s="5">
        <f>INDEX(Projects[Client / Region],468)&amp;""</f>
        <v/>
      </c>
      <c r="CB469" s="5">
        <f>INDEX(Projects[Year],468)</f>
        <v/>
      </c>
      <c r="CC469" s="5">
        <f>INDEX(Projects[Won?],468)&amp;""</f>
        <v/>
      </c>
      <c r="CD469" s="5">
        <f>INDEX(Projects[Value (USD M)],468)</f>
        <v/>
      </c>
      <c r="CE469" s="5">
        <f>INDEX(Projects[MH Data Status],468)&amp;""</f>
        <v/>
      </c>
    </row>
    <row r="470" ht="15" customHeight="1" s="74">
      <c r="A470" s="66">
        <f>INDEX(Projects[Project ID *],469)&amp;""</f>
        <v/>
      </c>
      <c r="B470" s="66">
        <f>INDEX(Projects[Project Name *],469)&amp;""</f>
        <v/>
      </c>
      <c r="C470" s="66">
        <f>INDEX(Projects[MS Shuttles],469)</f>
        <v/>
      </c>
      <c r="D470" s="66">
        <f>INDEX(Projects[MS Tote Locations],469)</f>
        <v/>
      </c>
      <c r="E470" s="66">
        <f>INDEX(Projects[AS Robots],469)</f>
        <v/>
      </c>
      <c r="F470" s="66">
        <f>INDEX(Projects[AS Tote Locations],469)</f>
        <v/>
      </c>
      <c r="G470" s="66">
        <f>INDEX(Projects[PS Shuttles],469)</f>
        <v/>
      </c>
      <c r="H470" s="66">
        <f>INDEX(Projects[PS Pallet Locations],469)</f>
        <v/>
      </c>
      <c r="I470" s="66">
        <f>INDEX(Projects[SRM Cranes],469)</f>
        <v/>
      </c>
      <c r="J470" s="66">
        <f>INDEX(Projects[SRM Pallet Locations],469)</f>
        <v/>
      </c>
      <c r="K470" s="66">
        <f>INDEX(Projects[Case Conv (m)],469)</f>
        <v/>
      </c>
      <c r="L470" s="66">
        <f>INDEX(Projects[Pallet Conv (m)],469)</f>
        <v/>
      </c>
      <c r="M470" s="66">
        <f>INDEX(Projects[Mech Eng (wks)],469)</f>
        <v/>
      </c>
      <c r="N470" s="66">
        <f>INDEX(Projects[Controls Eng (wks)],469)</f>
        <v/>
      </c>
      <c r="O470" s="66">
        <f>INDEX(Projects[Systems Eng (wks)],469)</f>
        <v/>
      </c>
      <c r="P470" s="66">
        <f>INDEX(Projects[Software Eng (wks)],469)</f>
        <v/>
      </c>
      <c r="Q470" s="66">
        <f>INDEX(Projects[M&amp;E Installation (wks)],469)</f>
        <v/>
      </c>
      <c r="R470" s="66">
        <f>INDEX(Projects[Commissioning (wks)],469)</f>
        <v/>
      </c>
      <c r="S470" s="66">
        <f>INDEX(Projects[Total Timeline (wks)],469)</f>
        <v/>
      </c>
      <c r="T470" s="66">
        <f>INDEX(Projects[Currency],469)&amp;""</f>
        <v/>
      </c>
      <c r="U470" s="67">
        <f>INDEX(Projects[Value (M)],469)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INDEX(Projects[Automation Equipment],469)&amp;""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IF(AND(A470&lt;&gt;"",OR('Smart Search'!$L$5="",'Smart Search'!$L$5="All",TRIM(BZ470)=TRIM('Smart Search'!$L$5)),OR(TRIM('Smart Search'!$L$6)="",TRIM('Smart Search'!$L$6)="All",ISNUMBER(SEARCH(SUBSTITUTE(SUBSTITUTE(SUBSTITUTE(TRIM('Smart Search'!$L$6),"~","~~"),"*","~*"),"?","~?"),CA470))),OR('Smart Search'!$L$7="",AND(CB470&lt;&gt;0,CB470='Smart Search'!$L$7)),OR('Smart Search'!$L$8="",'Smart Search'!$L$8="All",TRIM(CC470)=TRIM('Smart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IF(A470="","",N(INDEX(Projects[Mech Inst],469)))</f>
        <v/>
      </c>
      <c r="BK470" s="5">
        <f>IF(A470="","",N(INDEX(Projects[Elec Inst],469)))</f>
        <v/>
      </c>
      <c r="BL470" s="5">
        <f>IF(A470="","",N(INDEX(Projects[Project Management],469)))</f>
        <v/>
      </c>
      <c r="BM470" s="5">
        <f>IF(A470="","",N(INDEX(Projects[Systems Eng],469)))</f>
        <v/>
      </c>
      <c r="BN470" s="5">
        <f>IF(A470="","",N(INDEX(Projects[Mechanical Eng],469)))</f>
        <v/>
      </c>
      <c r="BO470" s="5">
        <f>IF(A470="","",N(INDEX(Projects[Structural Engineering],469)))</f>
        <v/>
      </c>
      <c r="BP470" s="5">
        <f>IF(A470="","",N(INDEX(Projects[Site Sup],469)))</f>
        <v/>
      </c>
      <c r="BQ470" s="5">
        <f>IF(A470="","",N(INDEX(Projects[Controls Commissioning],469)))</f>
        <v/>
      </c>
      <c r="BR470" s="5">
        <f>IF(A470="","",N(INDEX(Projects[Systems Commissioning],469)))</f>
        <v/>
      </c>
      <c r="BS470" s="5">
        <f>IF(A470="","",N(INDEX(Projects[Service Commissioning],469)))</f>
        <v/>
      </c>
      <c r="BT470" s="5">
        <f>IF(A470="","",N(INDEX(Projects[Controls Eng],469)))</f>
        <v/>
      </c>
      <c r="BU470" s="5">
        <f>IF(A470="","",N(INDEX(Projects[Controls Purchase],469)))</f>
        <v/>
      </c>
      <c r="BV470" s="5">
        <f>IF(A470="","",N(INDEX(Projects[Software Eng],469)))</f>
        <v/>
      </c>
      <c r="BW470" s="5">
        <f>IF(A470="","",N(INDEX(Projects[Misc],469)))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  <c r="BZ470" s="5">
        <f>INDEX(Projects[Solution Type],469)&amp;""</f>
        <v/>
      </c>
      <c r="CA470" s="5">
        <f>INDEX(Projects[Client / Region],469)&amp;""</f>
        <v/>
      </c>
      <c r="CB470" s="5">
        <f>INDEX(Projects[Year],469)</f>
        <v/>
      </c>
      <c r="CC470" s="5">
        <f>INDEX(Projects[Won?],469)&amp;""</f>
        <v/>
      </c>
      <c r="CD470" s="5">
        <f>INDEX(Projects[Value (USD M)],469)</f>
        <v/>
      </c>
      <c r="CE470" s="5">
        <f>INDEX(Projects[MH Data Status],469)&amp;""</f>
        <v/>
      </c>
    </row>
    <row r="471" ht="15" customHeight="1" s="74">
      <c r="A471" s="66">
        <f>INDEX(Projects[Project ID *],470)&amp;""</f>
        <v/>
      </c>
      <c r="B471" s="66">
        <f>INDEX(Projects[Project Name *],470)&amp;""</f>
        <v/>
      </c>
      <c r="C471" s="66">
        <f>INDEX(Projects[MS Shuttles],470)</f>
        <v/>
      </c>
      <c r="D471" s="66">
        <f>INDEX(Projects[MS Tote Locations],470)</f>
        <v/>
      </c>
      <c r="E471" s="66">
        <f>INDEX(Projects[AS Robots],470)</f>
        <v/>
      </c>
      <c r="F471" s="66">
        <f>INDEX(Projects[AS Tote Locations],470)</f>
        <v/>
      </c>
      <c r="G471" s="66">
        <f>INDEX(Projects[PS Shuttles],470)</f>
        <v/>
      </c>
      <c r="H471" s="66">
        <f>INDEX(Projects[PS Pallet Locations],470)</f>
        <v/>
      </c>
      <c r="I471" s="66">
        <f>INDEX(Projects[SRM Cranes],470)</f>
        <v/>
      </c>
      <c r="J471" s="66">
        <f>INDEX(Projects[SRM Pallet Locations],470)</f>
        <v/>
      </c>
      <c r="K471" s="66">
        <f>INDEX(Projects[Case Conv (m)],470)</f>
        <v/>
      </c>
      <c r="L471" s="66">
        <f>INDEX(Projects[Pallet Conv (m)],470)</f>
        <v/>
      </c>
      <c r="M471" s="66">
        <f>INDEX(Projects[Mech Eng (wks)],470)</f>
        <v/>
      </c>
      <c r="N471" s="66">
        <f>INDEX(Projects[Controls Eng (wks)],470)</f>
        <v/>
      </c>
      <c r="O471" s="66">
        <f>INDEX(Projects[Systems Eng (wks)],470)</f>
        <v/>
      </c>
      <c r="P471" s="66">
        <f>INDEX(Projects[Software Eng (wks)],470)</f>
        <v/>
      </c>
      <c r="Q471" s="66">
        <f>INDEX(Projects[M&amp;E Installation (wks)],470)</f>
        <v/>
      </c>
      <c r="R471" s="66">
        <f>INDEX(Projects[Commissioning (wks)],470)</f>
        <v/>
      </c>
      <c r="S471" s="66">
        <f>INDEX(Projects[Total Timeline (wks)],470)</f>
        <v/>
      </c>
      <c r="T471" s="66">
        <f>INDEX(Projects[Currency],470)&amp;""</f>
        <v/>
      </c>
      <c r="U471" s="67">
        <f>INDEX(Projects[Value (M)],470)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INDEX(Projects[Automation Equipment],470)&amp;""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IF(AND(A471&lt;&gt;"",OR('Smart Search'!$L$5="",'Smart Search'!$L$5="All",TRIM(BZ471)=TRIM('Smart Search'!$L$5)),OR(TRIM('Smart Search'!$L$6)="",TRIM('Smart Search'!$L$6)="All",ISNUMBER(SEARCH(SUBSTITUTE(SUBSTITUTE(SUBSTITUTE(TRIM('Smart Search'!$L$6),"~","~~"),"*","~*"),"?","~?"),CA471))),OR('Smart Search'!$L$7="",AND(CB471&lt;&gt;0,CB471='Smart Search'!$L$7)),OR('Smart Search'!$L$8="",'Smart Search'!$L$8="All",TRIM(CC471)=TRIM('Smart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IF(A471="","",N(INDEX(Projects[Mech Inst],470)))</f>
        <v/>
      </c>
      <c r="BK471" s="5">
        <f>IF(A471="","",N(INDEX(Projects[Elec Inst],470)))</f>
        <v/>
      </c>
      <c r="BL471" s="5">
        <f>IF(A471="","",N(INDEX(Projects[Project Management],470)))</f>
        <v/>
      </c>
      <c r="BM471" s="5">
        <f>IF(A471="","",N(INDEX(Projects[Systems Eng],470)))</f>
        <v/>
      </c>
      <c r="BN471" s="5">
        <f>IF(A471="","",N(INDEX(Projects[Mechanical Eng],470)))</f>
        <v/>
      </c>
      <c r="BO471" s="5">
        <f>IF(A471="","",N(INDEX(Projects[Structural Engineering],470)))</f>
        <v/>
      </c>
      <c r="BP471" s="5">
        <f>IF(A471="","",N(INDEX(Projects[Site Sup],470)))</f>
        <v/>
      </c>
      <c r="BQ471" s="5">
        <f>IF(A471="","",N(INDEX(Projects[Controls Commissioning],470)))</f>
        <v/>
      </c>
      <c r="BR471" s="5">
        <f>IF(A471="","",N(INDEX(Projects[Systems Commissioning],470)))</f>
        <v/>
      </c>
      <c r="BS471" s="5">
        <f>IF(A471="","",N(INDEX(Projects[Service Commissioning],470)))</f>
        <v/>
      </c>
      <c r="BT471" s="5">
        <f>IF(A471="","",N(INDEX(Projects[Controls Eng],470)))</f>
        <v/>
      </c>
      <c r="BU471" s="5">
        <f>IF(A471="","",N(INDEX(Projects[Controls Purchase],470)))</f>
        <v/>
      </c>
      <c r="BV471" s="5">
        <f>IF(A471="","",N(INDEX(Projects[Software Eng],470)))</f>
        <v/>
      </c>
      <c r="BW471" s="5">
        <f>IF(A471="","",N(INDEX(Projects[Misc],470)))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  <c r="BZ471" s="5">
        <f>INDEX(Projects[Solution Type],470)&amp;""</f>
        <v/>
      </c>
      <c r="CA471" s="5">
        <f>INDEX(Projects[Client / Region],470)&amp;""</f>
        <v/>
      </c>
      <c r="CB471" s="5">
        <f>INDEX(Projects[Year],470)</f>
        <v/>
      </c>
      <c r="CC471" s="5">
        <f>INDEX(Projects[Won?],470)&amp;""</f>
        <v/>
      </c>
      <c r="CD471" s="5">
        <f>INDEX(Projects[Value (USD M)],470)</f>
        <v/>
      </c>
      <c r="CE471" s="5">
        <f>INDEX(Projects[MH Data Status],470)&amp;""</f>
        <v/>
      </c>
    </row>
    <row r="472" ht="15" customHeight="1" s="74">
      <c r="A472" s="66">
        <f>INDEX(Projects[Project ID *],471)&amp;""</f>
        <v/>
      </c>
      <c r="B472" s="66">
        <f>INDEX(Projects[Project Name *],471)&amp;""</f>
        <v/>
      </c>
      <c r="C472" s="66">
        <f>INDEX(Projects[MS Shuttles],471)</f>
        <v/>
      </c>
      <c r="D472" s="66">
        <f>INDEX(Projects[MS Tote Locations],471)</f>
        <v/>
      </c>
      <c r="E472" s="66">
        <f>INDEX(Projects[AS Robots],471)</f>
        <v/>
      </c>
      <c r="F472" s="66">
        <f>INDEX(Projects[AS Tote Locations],471)</f>
        <v/>
      </c>
      <c r="G472" s="66">
        <f>INDEX(Projects[PS Shuttles],471)</f>
        <v/>
      </c>
      <c r="H472" s="66">
        <f>INDEX(Projects[PS Pallet Locations],471)</f>
        <v/>
      </c>
      <c r="I472" s="66">
        <f>INDEX(Projects[SRM Cranes],471)</f>
        <v/>
      </c>
      <c r="J472" s="66">
        <f>INDEX(Projects[SRM Pallet Locations],471)</f>
        <v/>
      </c>
      <c r="K472" s="66">
        <f>INDEX(Projects[Case Conv (m)],471)</f>
        <v/>
      </c>
      <c r="L472" s="66">
        <f>INDEX(Projects[Pallet Conv (m)],471)</f>
        <v/>
      </c>
      <c r="M472" s="66">
        <f>INDEX(Projects[Mech Eng (wks)],471)</f>
        <v/>
      </c>
      <c r="N472" s="66">
        <f>INDEX(Projects[Controls Eng (wks)],471)</f>
        <v/>
      </c>
      <c r="O472" s="66">
        <f>INDEX(Projects[Systems Eng (wks)],471)</f>
        <v/>
      </c>
      <c r="P472" s="66">
        <f>INDEX(Projects[Software Eng (wks)],471)</f>
        <v/>
      </c>
      <c r="Q472" s="66">
        <f>INDEX(Projects[M&amp;E Installation (wks)],471)</f>
        <v/>
      </c>
      <c r="R472" s="66">
        <f>INDEX(Projects[Commissioning (wks)],471)</f>
        <v/>
      </c>
      <c r="S472" s="66">
        <f>INDEX(Projects[Total Timeline (wks)],471)</f>
        <v/>
      </c>
      <c r="T472" s="66">
        <f>INDEX(Projects[Currency],471)&amp;""</f>
        <v/>
      </c>
      <c r="U472" s="67">
        <f>INDEX(Projects[Value (M)],471)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INDEX(Projects[Automation Equipment],471)&amp;""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IF(AND(A472&lt;&gt;"",OR('Smart Search'!$L$5="",'Smart Search'!$L$5="All",TRIM(BZ472)=TRIM('Smart Search'!$L$5)),OR(TRIM('Smart Search'!$L$6)="",TRIM('Smart Search'!$L$6)="All",ISNUMBER(SEARCH(SUBSTITUTE(SUBSTITUTE(SUBSTITUTE(TRIM('Smart Search'!$L$6),"~","~~"),"*","~*"),"?","~?"),CA472))),OR('Smart Search'!$L$7="",AND(CB472&lt;&gt;0,CB472='Smart Search'!$L$7)),OR('Smart Search'!$L$8="",'Smart Search'!$L$8="All",TRIM(CC472)=TRIM('Smart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IF(A472="","",N(INDEX(Projects[Mech Inst],471)))</f>
        <v/>
      </c>
      <c r="BK472" s="5">
        <f>IF(A472="","",N(INDEX(Projects[Elec Inst],471)))</f>
        <v/>
      </c>
      <c r="BL472" s="5">
        <f>IF(A472="","",N(INDEX(Projects[Project Management],471)))</f>
        <v/>
      </c>
      <c r="BM472" s="5">
        <f>IF(A472="","",N(INDEX(Projects[Systems Eng],471)))</f>
        <v/>
      </c>
      <c r="BN472" s="5">
        <f>IF(A472="","",N(INDEX(Projects[Mechanical Eng],471)))</f>
        <v/>
      </c>
      <c r="BO472" s="5">
        <f>IF(A472="","",N(INDEX(Projects[Structural Engineering],471)))</f>
        <v/>
      </c>
      <c r="BP472" s="5">
        <f>IF(A472="","",N(INDEX(Projects[Site Sup],471)))</f>
        <v/>
      </c>
      <c r="BQ472" s="5">
        <f>IF(A472="","",N(INDEX(Projects[Controls Commissioning],471)))</f>
        <v/>
      </c>
      <c r="BR472" s="5">
        <f>IF(A472="","",N(INDEX(Projects[Systems Commissioning],471)))</f>
        <v/>
      </c>
      <c r="BS472" s="5">
        <f>IF(A472="","",N(INDEX(Projects[Service Commissioning],471)))</f>
        <v/>
      </c>
      <c r="BT472" s="5">
        <f>IF(A472="","",N(INDEX(Projects[Controls Eng],471)))</f>
        <v/>
      </c>
      <c r="BU472" s="5">
        <f>IF(A472="","",N(INDEX(Projects[Controls Purchase],471)))</f>
        <v/>
      </c>
      <c r="BV472" s="5">
        <f>IF(A472="","",N(INDEX(Projects[Software Eng],471)))</f>
        <v/>
      </c>
      <c r="BW472" s="5">
        <f>IF(A472="","",N(INDEX(Projects[Misc],471)))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  <c r="BZ472" s="5">
        <f>INDEX(Projects[Solution Type],471)&amp;""</f>
        <v/>
      </c>
      <c r="CA472" s="5">
        <f>INDEX(Projects[Client / Region],471)&amp;""</f>
        <v/>
      </c>
      <c r="CB472" s="5">
        <f>INDEX(Projects[Year],471)</f>
        <v/>
      </c>
      <c r="CC472" s="5">
        <f>INDEX(Projects[Won?],471)&amp;""</f>
        <v/>
      </c>
      <c r="CD472" s="5">
        <f>INDEX(Projects[Value (USD M)],471)</f>
        <v/>
      </c>
      <c r="CE472" s="5">
        <f>INDEX(Projects[MH Data Status],471)&amp;""</f>
        <v/>
      </c>
    </row>
    <row r="473" ht="15" customHeight="1" s="74">
      <c r="A473" s="66">
        <f>INDEX(Projects[Project ID *],472)&amp;""</f>
        <v/>
      </c>
      <c r="B473" s="66">
        <f>INDEX(Projects[Project Name *],472)&amp;""</f>
        <v/>
      </c>
      <c r="C473" s="66">
        <f>INDEX(Projects[MS Shuttles],472)</f>
        <v/>
      </c>
      <c r="D473" s="66">
        <f>INDEX(Projects[MS Tote Locations],472)</f>
        <v/>
      </c>
      <c r="E473" s="66">
        <f>INDEX(Projects[AS Robots],472)</f>
        <v/>
      </c>
      <c r="F473" s="66">
        <f>INDEX(Projects[AS Tote Locations],472)</f>
        <v/>
      </c>
      <c r="G473" s="66">
        <f>INDEX(Projects[PS Shuttles],472)</f>
        <v/>
      </c>
      <c r="H473" s="66">
        <f>INDEX(Projects[PS Pallet Locations],472)</f>
        <v/>
      </c>
      <c r="I473" s="66">
        <f>INDEX(Projects[SRM Cranes],472)</f>
        <v/>
      </c>
      <c r="J473" s="66">
        <f>INDEX(Projects[SRM Pallet Locations],472)</f>
        <v/>
      </c>
      <c r="K473" s="66">
        <f>INDEX(Projects[Case Conv (m)],472)</f>
        <v/>
      </c>
      <c r="L473" s="66">
        <f>INDEX(Projects[Pallet Conv (m)],472)</f>
        <v/>
      </c>
      <c r="M473" s="66">
        <f>INDEX(Projects[Mech Eng (wks)],472)</f>
        <v/>
      </c>
      <c r="N473" s="66">
        <f>INDEX(Projects[Controls Eng (wks)],472)</f>
        <v/>
      </c>
      <c r="O473" s="66">
        <f>INDEX(Projects[Systems Eng (wks)],472)</f>
        <v/>
      </c>
      <c r="P473" s="66">
        <f>INDEX(Projects[Software Eng (wks)],472)</f>
        <v/>
      </c>
      <c r="Q473" s="66">
        <f>INDEX(Projects[M&amp;E Installation (wks)],472)</f>
        <v/>
      </c>
      <c r="R473" s="66">
        <f>INDEX(Projects[Commissioning (wks)],472)</f>
        <v/>
      </c>
      <c r="S473" s="66">
        <f>INDEX(Projects[Total Timeline (wks)],472)</f>
        <v/>
      </c>
      <c r="T473" s="66">
        <f>INDEX(Projects[Currency],472)&amp;""</f>
        <v/>
      </c>
      <c r="U473" s="67">
        <f>INDEX(Projects[Value (M)],472)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INDEX(Projects[Automation Equipment],472)&amp;""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IF(AND(A473&lt;&gt;"",OR('Smart Search'!$L$5="",'Smart Search'!$L$5="All",TRIM(BZ473)=TRIM('Smart Search'!$L$5)),OR(TRIM('Smart Search'!$L$6)="",TRIM('Smart Search'!$L$6)="All",ISNUMBER(SEARCH(SUBSTITUTE(SUBSTITUTE(SUBSTITUTE(TRIM('Smart Search'!$L$6),"~","~~"),"*","~*"),"?","~?"),CA473))),OR('Smart Search'!$L$7="",AND(CB473&lt;&gt;0,CB473='Smart Search'!$L$7)),OR('Smart Search'!$L$8="",'Smart Search'!$L$8="All",TRIM(CC473)=TRIM('Smart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IF(A473="","",N(INDEX(Projects[Mech Inst],472)))</f>
        <v/>
      </c>
      <c r="BK473" s="5">
        <f>IF(A473="","",N(INDEX(Projects[Elec Inst],472)))</f>
        <v/>
      </c>
      <c r="BL473" s="5">
        <f>IF(A473="","",N(INDEX(Projects[Project Management],472)))</f>
        <v/>
      </c>
      <c r="BM473" s="5">
        <f>IF(A473="","",N(INDEX(Projects[Systems Eng],472)))</f>
        <v/>
      </c>
      <c r="BN473" s="5">
        <f>IF(A473="","",N(INDEX(Projects[Mechanical Eng],472)))</f>
        <v/>
      </c>
      <c r="BO473" s="5">
        <f>IF(A473="","",N(INDEX(Projects[Structural Engineering],472)))</f>
        <v/>
      </c>
      <c r="BP473" s="5">
        <f>IF(A473="","",N(INDEX(Projects[Site Sup],472)))</f>
        <v/>
      </c>
      <c r="BQ473" s="5">
        <f>IF(A473="","",N(INDEX(Projects[Controls Commissioning],472)))</f>
        <v/>
      </c>
      <c r="BR473" s="5">
        <f>IF(A473="","",N(INDEX(Projects[Systems Commissioning],472)))</f>
        <v/>
      </c>
      <c r="BS473" s="5">
        <f>IF(A473="","",N(INDEX(Projects[Service Commissioning],472)))</f>
        <v/>
      </c>
      <c r="BT473" s="5">
        <f>IF(A473="","",N(INDEX(Projects[Controls Eng],472)))</f>
        <v/>
      </c>
      <c r="BU473" s="5">
        <f>IF(A473="","",N(INDEX(Projects[Controls Purchase],472)))</f>
        <v/>
      </c>
      <c r="BV473" s="5">
        <f>IF(A473="","",N(INDEX(Projects[Software Eng],472)))</f>
        <v/>
      </c>
      <c r="BW473" s="5">
        <f>IF(A473="","",N(INDEX(Projects[Misc],472)))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  <c r="BZ473" s="5">
        <f>INDEX(Projects[Solution Type],472)&amp;""</f>
        <v/>
      </c>
      <c r="CA473" s="5">
        <f>INDEX(Projects[Client / Region],472)&amp;""</f>
        <v/>
      </c>
      <c r="CB473" s="5">
        <f>INDEX(Projects[Year],472)</f>
        <v/>
      </c>
      <c r="CC473" s="5">
        <f>INDEX(Projects[Won?],472)&amp;""</f>
        <v/>
      </c>
      <c r="CD473" s="5">
        <f>INDEX(Projects[Value (USD M)],472)</f>
        <v/>
      </c>
      <c r="CE473" s="5">
        <f>INDEX(Projects[MH Data Status],472)&amp;""</f>
        <v/>
      </c>
    </row>
    <row r="474" ht="15" customHeight="1" s="74">
      <c r="A474" s="66">
        <f>INDEX(Projects[Project ID *],473)&amp;""</f>
        <v/>
      </c>
      <c r="B474" s="66">
        <f>INDEX(Projects[Project Name *],473)&amp;""</f>
        <v/>
      </c>
      <c r="C474" s="66">
        <f>INDEX(Projects[MS Shuttles],473)</f>
        <v/>
      </c>
      <c r="D474" s="66">
        <f>INDEX(Projects[MS Tote Locations],473)</f>
        <v/>
      </c>
      <c r="E474" s="66">
        <f>INDEX(Projects[AS Robots],473)</f>
        <v/>
      </c>
      <c r="F474" s="66">
        <f>INDEX(Projects[AS Tote Locations],473)</f>
        <v/>
      </c>
      <c r="G474" s="66">
        <f>INDEX(Projects[PS Shuttles],473)</f>
        <v/>
      </c>
      <c r="H474" s="66">
        <f>INDEX(Projects[PS Pallet Locations],473)</f>
        <v/>
      </c>
      <c r="I474" s="66">
        <f>INDEX(Projects[SRM Cranes],473)</f>
        <v/>
      </c>
      <c r="J474" s="66">
        <f>INDEX(Projects[SRM Pallet Locations],473)</f>
        <v/>
      </c>
      <c r="K474" s="66">
        <f>INDEX(Projects[Case Conv (m)],473)</f>
        <v/>
      </c>
      <c r="L474" s="66">
        <f>INDEX(Projects[Pallet Conv (m)],473)</f>
        <v/>
      </c>
      <c r="M474" s="66">
        <f>INDEX(Projects[Mech Eng (wks)],473)</f>
        <v/>
      </c>
      <c r="N474" s="66">
        <f>INDEX(Projects[Controls Eng (wks)],473)</f>
        <v/>
      </c>
      <c r="O474" s="66">
        <f>INDEX(Projects[Systems Eng (wks)],473)</f>
        <v/>
      </c>
      <c r="P474" s="66">
        <f>INDEX(Projects[Software Eng (wks)],473)</f>
        <v/>
      </c>
      <c r="Q474" s="66">
        <f>INDEX(Projects[M&amp;E Installation (wks)],473)</f>
        <v/>
      </c>
      <c r="R474" s="66">
        <f>INDEX(Projects[Commissioning (wks)],473)</f>
        <v/>
      </c>
      <c r="S474" s="66">
        <f>INDEX(Projects[Total Timeline (wks)],473)</f>
        <v/>
      </c>
      <c r="T474" s="66">
        <f>INDEX(Projects[Currency],473)&amp;""</f>
        <v/>
      </c>
      <c r="U474" s="67">
        <f>INDEX(Projects[Value (M)],473)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INDEX(Projects[Automation Equipment],473)&amp;""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IF(AND(A474&lt;&gt;"",OR('Smart Search'!$L$5="",'Smart Search'!$L$5="All",TRIM(BZ474)=TRIM('Smart Search'!$L$5)),OR(TRIM('Smart Search'!$L$6)="",TRIM('Smart Search'!$L$6)="All",ISNUMBER(SEARCH(SUBSTITUTE(SUBSTITUTE(SUBSTITUTE(TRIM('Smart Search'!$L$6),"~","~~"),"*","~*"),"?","~?"),CA474))),OR('Smart Search'!$L$7="",AND(CB474&lt;&gt;0,CB474='Smart Search'!$L$7)),OR('Smart Search'!$L$8="",'Smart Search'!$L$8="All",TRIM(CC474)=TRIM('Smart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IF(A474="","",N(INDEX(Projects[Mech Inst],473)))</f>
        <v/>
      </c>
      <c r="BK474" s="5">
        <f>IF(A474="","",N(INDEX(Projects[Elec Inst],473)))</f>
        <v/>
      </c>
      <c r="BL474" s="5">
        <f>IF(A474="","",N(INDEX(Projects[Project Management],473)))</f>
        <v/>
      </c>
      <c r="BM474" s="5">
        <f>IF(A474="","",N(INDEX(Projects[Systems Eng],473)))</f>
        <v/>
      </c>
      <c r="BN474" s="5">
        <f>IF(A474="","",N(INDEX(Projects[Mechanical Eng],473)))</f>
        <v/>
      </c>
      <c r="BO474" s="5">
        <f>IF(A474="","",N(INDEX(Projects[Structural Engineering],473)))</f>
        <v/>
      </c>
      <c r="BP474" s="5">
        <f>IF(A474="","",N(INDEX(Projects[Site Sup],473)))</f>
        <v/>
      </c>
      <c r="BQ474" s="5">
        <f>IF(A474="","",N(INDEX(Projects[Controls Commissioning],473)))</f>
        <v/>
      </c>
      <c r="BR474" s="5">
        <f>IF(A474="","",N(INDEX(Projects[Systems Commissioning],473)))</f>
        <v/>
      </c>
      <c r="BS474" s="5">
        <f>IF(A474="","",N(INDEX(Projects[Service Commissioning],473)))</f>
        <v/>
      </c>
      <c r="BT474" s="5">
        <f>IF(A474="","",N(INDEX(Projects[Controls Eng],473)))</f>
        <v/>
      </c>
      <c r="BU474" s="5">
        <f>IF(A474="","",N(INDEX(Projects[Controls Purchase],473)))</f>
        <v/>
      </c>
      <c r="BV474" s="5">
        <f>IF(A474="","",N(INDEX(Projects[Software Eng],473)))</f>
        <v/>
      </c>
      <c r="BW474" s="5">
        <f>IF(A474="","",N(INDEX(Projects[Misc],473)))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  <c r="BZ474" s="5">
        <f>INDEX(Projects[Solution Type],473)&amp;""</f>
        <v/>
      </c>
      <c r="CA474" s="5">
        <f>INDEX(Projects[Client / Region],473)&amp;""</f>
        <v/>
      </c>
      <c r="CB474" s="5">
        <f>INDEX(Projects[Year],473)</f>
        <v/>
      </c>
      <c r="CC474" s="5">
        <f>INDEX(Projects[Won?],473)&amp;""</f>
        <v/>
      </c>
      <c r="CD474" s="5">
        <f>INDEX(Projects[Value (USD M)],473)</f>
        <v/>
      </c>
      <c r="CE474" s="5">
        <f>INDEX(Projects[MH Data Status],473)&amp;""</f>
        <v/>
      </c>
    </row>
    <row r="475" ht="15" customHeight="1" s="74">
      <c r="A475" s="66">
        <f>INDEX(Projects[Project ID *],474)&amp;""</f>
        <v/>
      </c>
      <c r="B475" s="66">
        <f>INDEX(Projects[Project Name *],474)&amp;""</f>
        <v/>
      </c>
      <c r="C475" s="66">
        <f>INDEX(Projects[MS Shuttles],474)</f>
        <v/>
      </c>
      <c r="D475" s="66">
        <f>INDEX(Projects[MS Tote Locations],474)</f>
        <v/>
      </c>
      <c r="E475" s="66">
        <f>INDEX(Projects[AS Robots],474)</f>
        <v/>
      </c>
      <c r="F475" s="66">
        <f>INDEX(Projects[AS Tote Locations],474)</f>
        <v/>
      </c>
      <c r="G475" s="66">
        <f>INDEX(Projects[PS Shuttles],474)</f>
        <v/>
      </c>
      <c r="H475" s="66">
        <f>INDEX(Projects[PS Pallet Locations],474)</f>
        <v/>
      </c>
      <c r="I475" s="66">
        <f>INDEX(Projects[SRM Cranes],474)</f>
        <v/>
      </c>
      <c r="J475" s="66">
        <f>INDEX(Projects[SRM Pallet Locations],474)</f>
        <v/>
      </c>
      <c r="K475" s="66">
        <f>INDEX(Projects[Case Conv (m)],474)</f>
        <v/>
      </c>
      <c r="L475" s="66">
        <f>INDEX(Projects[Pallet Conv (m)],474)</f>
        <v/>
      </c>
      <c r="M475" s="66">
        <f>INDEX(Projects[Mech Eng (wks)],474)</f>
        <v/>
      </c>
      <c r="N475" s="66">
        <f>INDEX(Projects[Controls Eng (wks)],474)</f>
        <v/>
      </c>
      <c r="O475" s="66">
        <f>INDEX(Projects[Systems Eng (wks)],474)</f>
        <v/>
      </c>
      <c r="P475" s="66">
        <f>INDEX(Projects[Software Eng (wks)],474)</f>
        <v/>
      </c>
      <c r="Q475" s="66">
        <f>INDEX(Projects[M&amp;E Installation (wks)],474)</f>
        <v/>
      </c>
      <c r="R475" s="66">
        <f>INDEX(Projects[Commissioning (wks)],474)</f>
        <v/>
      </c>
      <c r="S475" s="66">
        <f>INDEX(Projects[Total Timeline (wks)],474)</f>
        <v/>
      </c>
      <c r="T475" s="66">
        <f>INDEX(Projects[Currency],474)&amp;""</f>
        <v/>
      </c>
      <c r="U475" s="67">
        <f>INDEX(Projects[Value (M)],474)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INDEX(Projects[Automation Equipment],474)&amp;""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IF(AND(A475&lt;&gt;"",OR('Smart Search'!$L$5="",'Smart Search'!$L$5="All",TRIM(BZ475)=TRIM('Smart Search'!$L$5)),OR(TRIM('Smart Search'!$L$6)="",TRIM('Smart Search'!$L$6)="All",ISNUMBER(SEARCH(SUBSTITUTE(SUBSTITUTE(SUBSTITUTE(TRIM('Smart Search'!$L$6),"~","~~"),"*","~*"),"?","~?"),CA475))),OR('Smart Search'!$L$7="",AND(CB475&lt;&gt;0,CB475='Smart Search'!$L$7)),OR('Smart Search'!$L$8="",'Smart Search'!$L$8="All",TRIM(CC475)=TRIM('Smart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IF(A475="","",N(INDEX(Projects[Mech Inst],474)))</f>
        <v/>
      </c>
      <c r="BK475" s="5">
        <f>IF(A475="","",N(INDEX(Projects[Elec Inst],474)))</f>
        <v/>
      </c>
      <c r="BL475" s="5">
        <f>IF(A475="","",N(INDEX(Projects[Project Management],474)))</f>
        <v/>
      </c>
      <c r="BM475" s="5">
        <f>IF(A475="","",N(INDEX(Projects[Systems Eng],474)))</f>
        <v/>
      </c>
      <c r="BN475" s="5">
        <f>IF(A475="","",N(INDEX(Projects[Mechanical Eng],474)))</f>
        <v/>
      </c>
      <c r="BO475" s="5">
        <f>IF(A475="","",N(INDEX(Projects[Structural Engineering],474)))</f>
        <v/>
      </c>
      <c r="BP475" s="5">
        <f>IF(A475="","",N(INDEX(Projects[Site Sup],474)))</f>
        <v/>
      </c>
      <c r="BQ475" s="5">
        <f>IF(A475="","",N(INDEX(Projects[Controls Commissioning],474)))</f>
        <v/>
      </c>
      <c r="BR475" s="5">
        <f>IF(A475="","",N(INDEX(Projects[Systems Commissioning],474)))</f>
        <v/>
      </c>
      <c r="BS475" s="5">
        <f>IF(A475="","",N(INDEX(Projects[Service Commissioning],474)))</f>
        <v/>
      </c>
      <c r="BT475" s="5">
        <f>IF(A475="","",N(INDEX(Projects[Controls Eng],474)))</f>
        <v/>
      </c>
      <c r="BU475" s="5">
        <f>IF(A475="","",N(INDEX(Projects[Controls Purchase],474)))</f>
        <v/>
      </c>
      <c r="BV475" s="5">
        <f>IF(A475="","",N(INDEX(Projects[Software Eng],474)))</f>
        <v/>
      </c>
      <c r="BW475" s="5">
        <f>IF(A475="","",N(INDEX(Projects[Misc],474)))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  <c r="BZ475" s="5">
        <f>INDEX(Projects[Solution Type],474)&amp;""</f>
        <v/>
      </c>
      <c r="CA475" s="5">
        <f>INDEX(Projects[Client / Region],474)&amp;""</f>
        <v/>
      </c>
      <c r="CB475" s="5">
        <f>INDEX(Projects[Year],474)</f>
        <v/>
      </c>
      <c r="CC475" s="5">
        <f>INDEX(Projects[Won?],474)&amp;""</f>
        <v/>
      </c>
      <c r="CD475" s="5">
        <f>INDEX(Projects[Value (USD M)],474)</f>
        <v/>
      </c>
      <c r="CE475" s="5">
        <f>INDEX(Projects[MH Data Status],474)&amp;""</f>
        <v/>
      </c>
    </row>
    <row r="476" ht="15" customHeight="1" s="74">
      <c r="A476" s="66">
        <f>INDEX(Projects[Project ID *],475)&amp;""</f>
        <v/>
      </c>
      <c r="B476" s="66">
        <f>INDEX(Projects[Project Name *],475)&amp;""</f>
        <v/>
      </c>
      <c r="C476" s="66">
        <f>INDEX(Projects[MS Shuttles],475)</f>
        <v/>
      </c>
      <c r="D476" s="66">
        <f>INDEX(Projects[MS Tote Locations],475)</f>
        <v/>
      </c>
      <c r="E476" s="66">
        <f>INDEX(Projects[AS Robots],475)</f>
        <v/>
      </c>
      <c r="F476" s="66">
        <f>INDEX(Projects[AS Tote Locations],475)</f>
        <v/>
      </c>
      <c r="G476" s="66">
        <f>INDEX(Projects[PS Shuttles],475)</f>
        <v/>
      </c>
      <c r="H476" s="66">
        <f>INDEX(Projects[PS Pallet Locations],475)</f>
        <v/>
      </c>
      <c r="I476" s="66">
        <f>INDEX(Projects[SRM Cranes],475)</f>
        <v/>
      </c>
      <c r="J476" s="66">
        <f>INDEX(Projects[SRM Pallet Locations],475)</f>
        <v/>
      </c>
      <c r="K476" s="66">
        <f>INDEX(Projects[Case Conv (m)],475)</f>
        <v/>
      </c>
      <c r="L476" s="66">
        <f>INDEX(Projects[Pallet Conv (m)],475)</f>
        <v/>
      </c>
      <c r="M476" s="66">
        <f>INDEX(Projects[Mech Eng (wks)],475)</f>
        <v/>
      </c>
      <c r="N476" s="66">
        <f>INDEX(Projects[Controls Eng (wks)],475)</f>
        <v/>
      </c>
      <c r="O476" s="66">
        <f>INDEX(Projects[Systems Eng (wks)],475)</f>
        <v/>
      </c>
      <c r="P476" s="66">
        <f>INDEX(Projects[Software Eng (wks)],475)</f>
        <v/>
      </c>
      <c r="Q476" s="66">
        <f>INDEX(Projects[M&amp;E Installation (wks)],475)</f>
        <v/>
      </c>
      <c r="R476" s="66">
        <f>INDEX(Projects[Commissioning (wks)],475)</f>
        <v/>
      </c>
      <c r="S476" s="66">
        <f>INDEX(Projects[Total Timeline (wks)],475)</f>
        <v/>
      </c>
      <c r="T476" s="66">
        <f>INDEX(Projects[Currency],475)&amp;""</f>
        <v/>
      </c>
      <c r="U476" s="67">
        <f>INDEX(Projects[Value (M)],475)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INDEX(Projects[Automation Equipment],475)&amp;""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IF(AND(A476&lt;&gt;"",OR('Smart Search'!$L$5="",'Smart Search'!$L$5="All",TRIM(BZ476)=TRIM('Smart Search'!$L$5)),OR(TRIM('Smart Search'!$L$6)="",TRIM('Smart Search'!$L$6)="All",ISNUMBER(SEARCH(SUBSTITUTE(SUBSTITUTE(SUBSTITUTE(TRIM('Smart Search'!$L$6),"~","~~"),"*","~*"),"?","~?"),CA476))),OR('Smart Search'!$L$7="",AND(CB476&lt;&gt;0,CB476='Smart Search'!$L$7)),OR('Smart Search'!$L$8="",'Smart Search'!$L$8="All",TRIM(CC476)=TRIM('Smart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IF(A476="","",N(INDEX(Projects[Mech Inst],475)))</f>
        <v/>
      </c>
      <c r="BK476" s="5">
        <f>IF(A476="","",N(INDEX(Projects[Elec Inst],475)))</f>
        <v/>
      </c>
      <c r="BL476" s="5">
        <f>IF(A476="","",N(INDEX(Projects[Project Management],475)))</f>
        <v/>
      </c>
      <c r="BM476" s="5">
        <f>IF(A476="","",N(INDEX(Projects[Systems Eng],475)))</f>
        <v/>
      </c>
      <c r="BN476" s="5">
        <f>IF(A476="","",N(INDEX(Projects[Mechanical Eng],475)))</f>
        <v/>
      </c>
      <c r="BO476" s="5">
        <f>IF(A476="","",N(INDEX(Projects[Structural Engineering],475)))</f>
        <v/>
      </c>
      <c r="BP476" s="5">
        <f>IF(A476="","",N(INDEX(Projects[Site Sup],475)))</f>
        <v/>
      </c>
      <c r="BQ476" s="5">
        <f>IF(A476="","",N(INDEX(Projects[Controls Commissioning],475)))</f>
        <v/>
      </c>
      <c r="BR476" s="5">
        <f>IF(A476="","",N(INDEX(Projects[Systems Commissioning],475)))</f>
        <v/>
      </c>
      <c r="BS476" s="5">
        <f>IF(A476="","",N(INDEX(Projects[Service Commissioning],475)))</f>
        <v/>
      </c>
      <c r="BT476" s="5">
        <f>IF(A476="","",N(INDEX(Projects[Controls Eng],475)))</f>
        <v/>
      </c>
      <c r="BU476" s="5">
        <f>IF(A476="","",N(INDEX(Projects[Controls Purchase],475)))</f>
        <v/>
      </c>
      <c r="BV476" s="5">
        <f>IF(A476="","",N(INDEX(Projects[Software Eng],475)))</f>
        <v/>
      </c>
      <c r="BW476" s="5">
        <f>IF(A476="","",N(INDEX(Projects[Misc],475)))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  <c r="BZ476" s="5">
        <f>INDEX(Projects[Solution Type],475)&amp;""</f>
        <v/>
      </c>
      <c r="CA476" s="5">
        <f>INDEX(Projects[Client / Region],475)&amp;""</f>
        <v/>
      </c>
      <c r="CB476" s="5">
        <f>INDEX(Projects[Year],475)</f>
        <v/>
      </c>
      <c r="CC476" s="5">
        <f>INDEX(Projects[Won?],475)&amp;""</f>
        <v/>
      </c>
      <c r="CD476" s="5">
        <f>INDEX(Projects[Value (USD M)],475)</f>
        <v/>
      </c>
      <c r="CE476" s="5">
        <f>INDEX(Projects[MH Data Status],475)&amp;""</f>
        <v/>
      </c>
    </row>
    <row r="477" ht="15" customHeight="1" s="74">
      <c r="A477" s="66">
        <f>INDEX(Projects[Project ID *],476)&amp;""</f>
        <v/>
      </c>
      <c r="B477" s="66">
        <f>INDEX(Projects[Project Name *],476)&amp;""</f>
        <v/>
      </c>
      <c r="C477" s="66">
        <f>INDEX(Projects[MS Shuttles],476)</f>
        <v/>
      </c>
      <c r="D477" s="66">
        <f>INDEX(Projects[MS Tote Locations],476)</f>
        <v/>
      </c>
      <c r="E477" s="66">
        <f>INDEX(Projects[AS Robots],476)</f>
        <v/>
      </c>
      <c r="F477" s="66">
        <f>INDEX(Projects[AS Tote Locations],476)</f>
        <v/>
      </c>
      <c r="G477" s="66">
        <f>INDEX(Projects[PS Shuttles],476)</f>
        <v/>
      </c>
      <c r="H477" s="66">
        <f>INDEX(Projects[PS Pallet Locations],476)</f>
        <v/>
      </c>
      <c r="I477" s="66">
        <f>INDEX(Projects[SRM Cranes],476)</f>
        <v/>
      </c>
      <c r="J477" s="66">
        <f>INDEX(Projects[SRM Pallet Locations],476)</f>
        <v/>
      </c>
      <c r="K477" s="66">
        <f>INDEX(Projects[Case Conv (m)],476)</f>
        <v/>
      </c>
      <c r="L477" s="66">
        <f>INDEX(Projects[Pallet Conv (m)],476)</f>
        <v/>
      </c>
      <c r="M477" s="66">
        <f>INDEX(Projects[Mech Eng (wks)],476)</f>
        <v/>
      </c>
      <c r="N477" s="66">
        <f>INDEX(Projects[Controls Eng (wks)],476)</f>
        <v/>
      </c>
      <c r="O477" s="66">
        <f>INDEX(Projects[Systems Eng (wks)],476)</f>
        <v/>
      </c>
      <c r="P477" s="66">
        <f>INDEX(Projects[Software Eng (wks)],476)</f>
        <v/>
      </c>
      <c r="Q477" s="66">
        <f>INDEX(Projects[M&amp;E Installation (wks)],476)</f>
        <v/>
      </c>
      <c r="R477" s="66">
        <f>INDEX(Projects[Commissioning (wks)],476)</f>
        <v/>
      </c>
      <c r="S477" s="66">
        <f>INDEX(Projects[Total Timeline (wks)],476)</f>
        <v/>
      </c>
      <c r="T477" s="66">
        <f>INDEX(Projects[Currency],476)&amp;""</f>
        <v/>
      </c>
      <c r="U477" s="67">
        <f>INDEX(Projects[Value (M)],476)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INDEX(Projects[Automation Equipment],476)&amp;""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IF(AND(A477&lt;&gt;"",OR('Smart Search'!$L$5="",'Smart Search'!$L$5="All",TRIM(BZ477)=TRIM('Smart Search'!$L$5)),OR(TRIM('Smart Search'!$L$6)="",TRIM('Smart Search'!$L$6)="All",ISNUMBER(SEARCH(SUBSTITUTE(SUBSTITUTE(SUBSTITUTE(TRIM('Smart Search'!$L$6),"~","~~"),"*","~*"),"?","~?"),CA477))),OR('Smart Search'!$L$7="",AND(CB477&lt;&gt;0,CB477='Smart Search'!$L$7)),OR('Smart Search'!$L$8="",'Smart Search'!$L$8="All",TRIM(CC477)=TRIM('Smart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IF(A477="","",N(INDEX(Projects[Mech Inst],476)))</f>
        <v/>
      </c>
      <c r="BK477" s="5">
        <f>IF(A477="","",N(INDEX(Projects[Elec Inst],476)))</f>
        <v/>
      </c>
      <c r="BL477" s="5">
        <f>IF(A477="","",N(INDEX(Projects[Project Management],476)))</f>
        <v/>
      </c>
      <c r="BM477" s="5">
        <f>IF(A477="","",N(INDEX(Projects[Systems Eng],476)))</f>
        <v/>
      </c>
      <c r="BN477" s="5">
        <f>IF(A477="","",N(INDEX(Projects[Mechanical Eng],476)))</f>
        <v/>
      </c>
      <c r="BO477" s="5">
        <f>IF(A477="","",N(INDEX(Projects[Structural Engineering],476)))</f>
        <v/>
      </c>
      <c r="BP477" s="5">
        <f>IF(A477="","",N(INDEX(Projects[Site Sup],476)))</f>
        <v/>
      </c>
      <c r="BQ477" s="5">
        <f>IF(A477="","",N(INDEX(Projects[Controls Commissioning],476)))</f>
        <v/>
      </c>
      <c r="BR477" s="5">
        <f>IF(A477="","",N(INDEX(Projects[Systems Commissioning],476)))</f>
        <v/>
      </c>
      <c r="BS477" s="5">
        <f>IF(A477="","",N(INDEX(Projects[Service Commissioning],476)))</f>
        <v/>
      </c>
      <c r="BT477" s="5">
        <f>IF(A477="","",N(INDEX(Projects[Controls Eng],476)))</f>
        <v/>
      </c>
      <c r="BU477" s="5">
        <f>IF(A477="","",N(INDEX(Projects[Controls Purchase],476)))</f>
        <v/>
      </c>
      <c r="BV477" s="5">
        <f>IF(A477="","",N(INDEX(Projects[Software Eng],476)))</f>
        <v/>
      </c>
      <c r="BW477" s="5">
        <f>IF(A477="","",N(INDEX(Projects[Misc],476)))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  <c r="BZ477" s="5">
        <f>INDEX(Projects[Solution Type],476)&amp;""</f>
        <v/>
      </c>
      <c r="CA477" s="5">
        <f>INDEX(Projects[Client / Region],476)&amp;""</f>
        <v/>
      </c>
      <c r="CB477" s="5">
        <f>INDEX(Projects[Year],476)</f>
        <v/>
      </c>
      <c r="CC477" s="5">
        <f>INDEX(Projects[Won?],476)&amp;""</f>
        <v/>
      </c>
      <c r="CD477" s="5">
        <f>INDEX(Projects[Value (USD M)],476)</f>
        <v/>
      </c>
      <c r="CE477" s="5">
        <f>INDEX(Projects[MH Data Status],476)&amp;""</f>
        <v/>
      </c>
    </row>
    <row r="478" ht="15" customHeight="1" s="74">
      <c r="A478" s="66">
        <f>INDEX(Projects[Project ID *],477)&amp;""</f>
        <v/>
      </c>
      <c r="B478" s="66">
        <f>INDEX(Projects[Project Name *],477)&amp;""</f>
        <v/>
      </c>
      <c r="C478" s="66">
        <f>INDEX(Projects[MS Shuttles],477)</f>
        <v/>
      </c>
      <c r="D478" s="66">
        <f>INDEX(Projects[MS Tote Locations],477)</f>
        <v/>
      </c>
      <c r="E478" s="66">
        <f>INDEX(Projects[AS Robots],477)</f>
        <v/>
      </c>
      <c r="F478" s="66">
        <f>INDEX(Projects[AS Tote Locations],477)</f>
        <v/>
      </c>
      <c r="G478" s="66">
        <f>INDEX(Projects[PS Shuttles],477)</f>
        <v/>
      </c>
      <c r="H478" s="66">
        <f>INDEX(Projects[PS Pallet Locations],477)</f>
        <v/>
      </c>
      <c r="I478" s="66">
        <f>INDEX(Projects[SRM Cranes],477)</f>
        <v/>
      </c>
      <c r="J478" s="66">
        <f>INDEX(Projects[SRM Pallet Locations],477)</f>
        <v/>
      </c>
      <c r="K478" s="66">
        <f>INDEX(Projects[Case Conv (m)],477)</f>
        <v/>
      </c>
      <c r="L478" s="66">
        <f>INDEX(Projects[Pallet Conv (m)],477)</f>
        <v/>
      </c>
      <c r="M478" s="66">
        <f>INDEX(Projects[Mech Eng (wks)],477)</f>
        <v/>
      </c>
      <c r="N478" s="66">
        <f>INDEX(Projects[Controls Eng (wks)],477)</f>
        <v/>
      </c>
      <c r="O478" s="66">
        <f>INDEX(Projects[Systems Eng (wks)],477)</f>
        <v/>
      </c>
      <c r="P478" s="66">
        <f>INDEX(Projects[Software Eng (wks)],477)</f>
        <v/>
      </c>
      <c r="Q478" s="66">
        <f>INDEX(Projects[M&amp;E Installation (wks)],477)</f>
        <v/>
      </c>
      <c r="R478" s="66">
        <f>INDEX(Projects[Commissioning (wks)],477)</f>
        <v/>
      </c>
      <c r="S478" s="66">
        <f>INDEX(Projects[Total Timeline (wks)],477)</f>
        <v/>
      </c>
      <c r="T478" s="66">
        <f>INDEX(Projects[Currency],477)&amp;""</f>
        <v/>
      </c>
      <c r="U478" s="67">
        <f>INDEX(Projects[Value (M)],477)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INDEX(Projects[Automation Equipment],477)&amp;""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IF(AND(A478&lt;&gt;"",OR('Smart Search'!$L$5="",'Smart Search'!$L$5="All",TRIM(BZ478)=TRIM('Smart Search'!$L$5)),OR(TRIM('Smart Search'!$L$6)="",TRIM('Smart Search'!$L$6)="All",ISNUMBER(SEARCH(SUBSTITUTE(SUBSTITUTE(SUBSTITUTE(TRIM('Smart Search'!$L$6),"~","~~"),"*","~*"),"?","~?"),CA478))),OR('Smart Search'!$L$7="",AND(CB478&lt;&gt;0,CB478='Smart Search'!$L$7)),OR('Smart Search'!$L$8="",'Smart Search'!$L$8="All",TRIM(CC478)=TRIM('Smart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IF(A478="","",N(INDEX(Projects[Mech Inst],477)))</f>
        <v/>
      </c>
      <c r="BK478" s="5">
        <f>IF(A478="","",N(INDEX(Projects[Elec Inst],477)))</f>
        <v/>
      </c>
      <c r="BL478" s="5">
        <f>IF(A478="","",N(INDEX(Projects[Project Management],477)))</f>
        <v/>
      </c>
      <c r="BM478" s="5">
        <f>IF(A478="","",N(INDEX(Projects[Systems Eng],477)))</f>
        <v/>
      </c>
      <c r="BN478" s="5">
        <f>IF(A478="","",N(INDEX(Projects[Mechanical Eng],477)))</f>
        <v/>
      </c>
      <c r="BO478" s="5">
        <f>IF(A478="","",N(INDEX(Projects[Structural Engineering],477)))</f>
        <v/>
      </c>
      <c r="BP478" s="5">
        <f>IF(A478="","",N(INDEX(Projects[Site Sup],477)))</f>
        <v/>
      </c>
      <c r="BQ478" s="5">
        <f>IF(A478="","",N(INDEX(Projects[Controls Commissioning],477)))</f>
        <v/>
      </c>
      <c r="BR478" s="5">
        <f>IF(A478="","",N(INDEX(Projects[Systems Commissioning],477)))</f>
        <v/>
      </c>
      <c r="BS478" s="5">
        <f>IF(A478="","",N(INDEX(Projects[Service Commissioning],477)))</f>
        <v/>
      </c>
      <c r="BT478" s="5">
        <f>IF(A478="","",N(INDEX(Projects[Controls Eng],477)))</f>
        <v/>
      </c>
      <c r="BU478" s="5">
        <f>IF(A478="","",N(INDEX(Projects[Controls Purchase],477)))</f>
        <v/>
      </c>
      <c r="BV478" s="5">
        <f>IF(A478="","",N(INDEX(Projects[Software Eng],477)))</f>
        <v/>
      </c>
      <c r="BW478" s="5">
        <f>IF(A478="","",N(INDEX(Projects[Misc],477)))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  <c r="BZ478" s="5">
        <f>INDEX(Projects[Solution Type],477)&amp;""</f>
        <v/>
      </c>
      <c r="CA478" s="5">
        <f>INDEX(Projects[Client / Region],477)&amp;""</f>
        <v/>
      </c>
      <c r="CB478" s="5">
        <f>INDEX(Projects[Year],477)</f>
        <v/>
      </c>
      <c r="CC478" s="5">
        <f>INDEX(Projects[Won?],477)&amp;""</f>
        <v/>
      </c>
      <c r="CD478" s="5">
        <f>INDEX(Projects[Value (USD M)],477)</f>
        <v/>
      </c>
      <c r="CE478" s="5">
        <f>INDEX(Projects[MH Data Status],477)&amp;""</f>
        <v/>
      </c>
    </row>
    <row r="479" ht="15" customHeight="1" s="74">
      <c r="A479" s="66">
        <f>INDEX(Projects[Project ID *],478)&amp;""</f>
        <v/>
      </c>
      <c r="B479" s="66">
        <f>INDEX(Projects[Project Name *],478)&amp;""</f>
        <v/>
      </c>
      <c r="C479" s="66">
        <f>INDEX(Projects[MS Shuttles],478)</f>
        <v/>
      </c>
      <c r="D479" s="66">
        <f>INDEX(Projects[MS Tote Locations],478)</f>
        <v/>
      </c>
      <c r="E479" s="66">
        <f>INDEX(Projects[AS Robots],478)</f>
        <v/>
      </c>
      <c r="F479" s="66">
        <f>INDEX(Projects[AS Tote Locations],478)</f>
        <v/>
      </c>
      <c r="G479" s="66">
        <f>INDEX(Projects[PS Shuttles],478)</f>
        <v/>
      </c>
      <c r="H479" s="66">
        <f>INDEX(Projects[PS Pallet Locations],478)</f>
        <v/>
      </c>
      <c r="I479" s="66">
        <f>INDEX(Projects[SRM Cranes],478)</f>
        <v/>
      </c>
      <c r="J479" s="66">
        <f>INDEX(Projects[SRM Pallet Locations],478)</f>
        <v/>
      </c>
      <c r="K479" s="66">
        <f>INDEX(Projects[Case Conv (m)],478)</f>
        <v/>
      </c>
      <c r="L479" s="66">
        <f>INDEX(Projects[Pallet Conv (m)],478)</f>
        <v/>
      </c>
      <c r="M479" s="66">
        <f>INDEX(Projects[Mech Eng (wks)],478)</f>
        <v/>
      </c>
      <c r="N479" s="66">
        <f>INDEX(Projects[Controls Eng (wks)],478)</f>
        <v/>
      </c>
      <c r="O479" s="66">
        <f>INDEX(Projects[Systems Eng (wks)],478)</f>
        <v/>
      </c>
      <c r="P479" s="66">
        <f>INDEX(Projects[Software Eng (wks)],478)</f>
        <v/>
      </c>
      <c r="Q479" s="66">
        <f>INDEX(Projects[M&amp;E Installation (wks)],478)</f>
        <v/>
      </c>
      <c r="R479" s="66">
        <f>INDEX(Projects[Commissioning (wks)],478)</f>
        <v/>
      </c>
      <c r="S479" s="66">
        <f>INDEX(Projects[Total Timeline (wks)],478)</f>
        <v/>
      </c>
      <c r="T479" s="66">
        <f>INDEX(Projects[Currency],478)&amp;""</f>
        <v/>
      </c>
      <c r="U479" s="67">
        <f>INDEX(Projects[Value (M)],478)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INDEX(Projects[Automation Equipment],478)&amp;""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IF(AND(A479&lt;&gt;"",OR('Smart Search'!$L$5="",'Smart Search'!$L$5="All",TRIM(BZ479)=TRIM('Smart Search'!$L$5)),OR(TRIM('Smart Search'!$L$6)="",TRIM('Smart Search'!$L$6)="All",ISNUMBER(SEARCH(SUBSTITUTE(SUBSTITUTE(SUBSTITUTE(TRIM('Smart Search'!$L$6),"~","~~"),"*","~*"),"?","~?"),CA479))),OR('Smart Search'!$L$7="",AND(CB479&lt;&gt;0,CB479='Smart Search'!$L$7)),OR('Smart Search'!$L$8="",'Smart Search'!$L$8="All",TRIM(CC479)=TRIM('Smart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IF(A479="","",N(INDEX(Projects[Mech Inst],478)))</f>
        <v/>
      </c>
      <c r="BK479" s="5">
        <f>IF(A479="","",N(INDEX(Projects[Elec Inst],478)))</f>
        <v/>
      </c>
      <c r="BL479" s="5">
        <f>IF(A479="","",N(INDEX(Projects[Project Management],478)))</f>
        <v/>
      </c>
      <c r="BM479" s="5">
        <f>IF(A479="","",N(INDEX(Projects[Systems Eng],478)))</f>
        <v/>
      </c>
      <c r="BN479" s="5">
        <f>IF(A479="","",N(INDEX(Projects[Mechanical Eng],478)))</f>
        <v/>
      </c>
      <c r="BO479" s="5">
        <f>IF(A479="","",N(INDEX(Projects[Structural Engineering],478)))</f>
        <v/>
      </c>
      <c r="BP479" s="5">
        <f>IF(A479="","",N(INDEX(Projects[Site Sup],478)))</f>
        <v/>
      </c>
      <c r="BQ479" s="5">
        <f>IF(A479="","",N(INDEX(Projects[Controls Commissioning],478)))</f>
        <v/>
      </c>
      <c r="BR479" s="5">
        <f>IF(A479="","",N(INDEX(Projects[Systems Commissioning],478)))</f>
        <v/>
      </c>
      <c r="BS479" s="5">
        <f>IF(A479="","",N(INDEX(Projects[Service Commissioning],478)))</f>
        <v/>
      </c>
      <c r="BT479" s="5">
        <f>IF(A479="","",N(INDEX(Projects[Controls Eng],478)))</f>
        <v/>
      </c>
      <c r="BU479" s="5">
        <f>IF(A479="","",N(INDEX(Projects[Controls Purchase],478)))</f>
        <v/>
      </c>
      <c r="BV479" s="5">
        <f>IF(A479="","",N(INDEX(Projects[Software Eng],478)))</f>
        <v/>
      </c>
      <c r="BW479" s="5">
        <f>IF(A479="","",N(INDEX(Projects[Misc],478)))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  <c r="BZ479" s="5">
        <f>INDEX(Projects[Solution Type],478)&amp;""</f>
        <v/>
      </c>
      <c r="CA479" s="5">
        <f>INDEX(Projects[Client / Region],478)&amp;""</f>
        <v/>
      </c>
      <c r="CB479" s="5">
        <f>INDEX(Projects[Year],478)</f>
        <v/>
      </c>
      <c r="CC479" s="5">
        <f>INDEX(Projects[Won?],478)&amp;""</f>
        <v/>
      </c>
      <c r="CD479" s="5">
        <f>INDEX(Projects[Value (USD M)],478)</f>
        <v/>
      </c>
      <c r="CE479" s="5">
        <f>INDEX(Projects[MH Data Status],478)&amp;""</f>
        <v/>
      </c>
    </row>
    <row r="480" ht="15" customHeight="1" s="74">
      <c r="A480" s="66">
        <f>INDEX(Projects[Project ID *],479)&amp;""</f>
        <v/>
      </c>
      <c r="B480" s="66">
        <f>INDEX(Projects[Project Name *],479)&amp;""</f>
        <v/>
      </c>
      <c r="C480" s="66">
        <f>INDEX(Projects[MS Shuttles],479)</f>
        <v/>
      </c>
      <c r="D480" s="66">
        <f>INDEX(Projects[MS Tote Locations],479)</f>
        <v/>
      </c>
      <c r="E480" s="66">
        <f>INDEX(Projects[AS Robots],479)</f>
        <v/>
      </c>
      <c r="F480" s="66">
        <f>INDEX(Projects[AS Tote Locations],479)</f>
        <v/>
      </c>
      <c r="G480" s="66">
        <f>INDEX(Projects[PS Shuttles],479)</f>
        <v/>
      </c>
      <c r="H480" s="66">
        <f>INDEX(Projects[PS Pallet Locations],479)</f>
        <v/>
      </c>
      <c r="I480" s="66">
        <f>INDEX(Projects[SRM Cranes],479)</f>
        <v/>
      </c>
      <c r="J480" s="66">
        <f>INDEX(Projects[SRM Pallet Locations],479)</f>
        <v/>
      </c>
      <c r="K480" s="66">
        <f>INDEX(Projects[Case Conv (m)],479)</f>
        <v/>
      </c>
      <c r="L480" s="66">
        <f>INDEX(Projects[Pallet Conv (m)],479)</f>
        <v/>
      </c>
      <c r="M480" s="66">
        <f>INDEX(Projects[Mech Eng (wks)],479)</f>
        <v/>
      </c>
      <c r="N480" s="66">
        <f>INDEX(Projects[Controls Eng (wks)],479)</f>
        <v/>
      </c>
      <c r="O480" s="66">
        <f>INDEX(Projects[Systems Eng (wks)],479)</f>
        <v/>
      </c>
      <c r="P480" s="66">
        <f>INDEX(Projects[Software Eng (wks)],479)</f>
        <v/>
      </c>
      <c r="Q480" s="66">
        <f>INDEX(Projects[M&amp;E Installation (wks)],479)</f>
        <v/>
      </c>
      <c r="R480" s="66">
        <f>INDEX(Projects[Commissioning (wks)],479)</f>
        <v/>
      </c>
      <c r="S480" s="66">
        <f>INDEX(Projects[Total Timeline (wks)],479)</f>
        <v/>
      </c>
      <c r="T480" s="66">
        <f>INDEX(Projects[Currency],479)&amp;""</f>
        <v/>
      </c>
      <c r="U480" s="67">
        <f>INDEX(Projects[Value (M)],479)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INDEX(Projects[Automation Equipment],479)&amp;""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IF(AND(A480&lt;&gt;"",OR('Smart Search'!$L$5="",'Smart Search'!$L$5="All",TRIM(BZ480)=TRIM('Smart Search'!$L$5)),OR(TRIM('Smart Search'!$L$6)="",TRIM('Smart Search'!$L$6)="All",ISNUMBER(SEARCH(SUBSTITUTE(SUBSTITUTE(SUBSTITUTE(TRIM('Smart Search'!$L$6),"~","~~"),"*","~*"),"?","~?"),CA480))),OR('Smart Search'!$L$7="",AND(CB480&lt;&gt;0,CB480='Smart Search'!$L$7)),OR('Smart Search'!$L$8="",'Smart Search'!$L$8="All",TRIM(CC480)=TRIM('Smart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IF(A480="","",N(INDEX(Projects[Mech Inst],479)))</f>
        <v/>
      </c>
      <c r="BK480" s="5">
        <f>IF(A480="","",N(INDEX(Projects[Elec Inst],479)))</f>
        <v/>
      </c>
      <c r="BL480" s="5">
        <f>IF(A480="","",N(INDEX(Projects[Project Management],479)))</f>
        <v/>
      </c>
      <c r="BM480" s="5">
        <f>IF(A480="","",N(INDEX(Projects[Systems Eng],479)))</f>
        <v/>
      </c>
      <c r="BN480" s="5">
        <f>IF(A480="","",N(INDEX(Projects[Mechanical Eng],479)))</f>
        <v/>
      </c>
      <c r="BO480" s="5">
        <f>IF(A480="","",N(INDEX(Projects[Structural Engineering],479)))</f>
        <v/>
      </c>
      <c r="BP480" s="5">
        <f>IF(A480="","",N(INDEX(Projects[Site Sup],479)))</f>
        <v/>
      </c>
      <c r="BQ480" s="5">
        <f>IF(A480="","",N(INDEX(Projects[Controls Commissioning],479)))</f>
        <v/>
      </c>
      <c r="BR480" s="5">
        <f>IF(A480="","",N(INDEX(Projects[Systems Commissioning],479)))</f>
        <v/>
      </c>
      <c r="BS480" s="5">
        <f>IF(A480="","",N(INDEX(Projects[Service Commissioning],479)))</f>
        <v/>
      </c>
      <c r="BT480" s="5">
        <f>IF(A480="","",N(INDEX(Projects[Controls Eng],479)))</f>
        <v/>
      </c>
      <c r="BU480" s="5">
        <f>IF(A480="","",N(INDEX(Projects[Controls Purchase],479)))</f>
        <v/>
      </c>
      <c r="BV480" s="5">
        <f>IF(A480="","",N(INDEX(Projects[Software Eng],479)))</f>
        <v/>
      </c>
      <c r="BW480" s="5">
        <f>IF(A480="","",N(INDEX(Projects[Misc],479)))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  <c r="BZ480" s="5">
        <f>INDEX(Projects[Solution Type],479)&amp;""</f>
        <v/>
      </c>
      <c r="CA480" s="5">
        <f>INDEX(Projects[Client / Region],479)&amp;""</f>
        <v/>
      </c>
      <c r="CB480" s="5">
        <f>INDEX(Projects[Year],479)</f>
        <v/>
      </c>
      <c r="CC480" s="5">
        <f>INDEX(Projects[Won?],479)&amp;""</f>
        <v/>
      </c>
      <c r="CD480" s="5">
        <f>INDEX(Projects[Value (USD M)],479)</f>
        <v/>
      </c>
      <c r="CE480" s="5">
        <f>INDEX(Projects[MH Data Status],479)&amp;""</f>
        <v/>
      </c>
    </row>
    <row r="481" ht="15" customHeight="1" s="74">
      <c r="A481" s="66">
        <f>INDEX(Projects[Project ID *],480)&amp;""</f>
        <v/>
      </c>
      <c r="B481" s="66">
        <f>INDEX(Projects[Project Name *],480)&amp;""</f>
        <v/>
      </c>
      <c r="C481" s="66">
        <f>INDEX(Projects[MS Shuttles],480)</f>
        <v/>
      </c>
      <c r="D481" s="66">
        <f>INDEX(Projects[MS Tote Locations],480)</f>
        <v/>
      </c>
      <c r="E481" s="66">
        <f>INDEX(Projects[AS Robots],480)</f>
        <v/>
      </c>
      <c r="F481" s="66">
        <f>INDEX(Projects[AS Tote Locations],480)</f>
        <v/>
      </c>
      <c r="G481" s="66">
        <f>INDEX(Projects[PS Shuttles],480)</f>
        <v/>
      </c>
      <c r="H481" s="66">
        <f>INDEX(Projects[PS Pallet Locations],480)</f>
        <v/>
      </c>
      <c r="I481" s="66">
        <f>INDEX(Projects[SRM Cranes],480)</f>
        <v/>
      </c>
      <c r="J481" s="66">
        <f>INDEX(Projects[SRM Pallet Locations],480)</f>
        <v/>
      </c>
      <c r="K481" s="66">
        <f>INDEX(Projects[Case Conv (m)],480)</f>
        <v/>
      </c>
      <c r="L481" s="66">
        <f>INDEX(Projects[Pallet Conv (m)],480)</f>
        <v/>
      </c>
      <c r="M481" s="66">
        <f>INDEX(Projects[Mech Eng (wks)],480)</f>
        <v/>
      </c>
      <c r="N481" s="66">
        <f>INDEX(Projects[Controls Eng (wks)],480)</f>
        <v/>
      </c>
      <c r="O481" s="66">
        <f>INDEX(Projects[Systems Eng (wks)],480)</f>
        <v/>
      </c>
      <c r="P481" s="66">
        <f>INDEX(Projects[Software Eng (wks)],480)</f>
        <v/>
      </c>
      <c r="Q481" s="66">
        <f>INDEX(Projects[M&amp;E Installation (wks)],480)</f>
        <v/>
      </c>
      <c r="R481" s="66">
        <f>INDEX(Projects[Commissioning (wks)],480)</f>
        <v/>
      </c>
      <c r="S481" s="66">
        <f>INDEX(Projects[Total Timeline (wks)],480)</f>
        <v/>
      </c>
      <c r="T481" s="66">
        <f>INDEX(Projects[Currency],480)&amp;""</f>
        <v/>
      </c>
      <c r="U481" s="67">
        <f>INDEX(Projects[Value (M)],480)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INDEX(Projects[Automation Equipment],480)&amp;""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IF(AND(A481&lt;&gt;"",OR('Smart Search'!$L$5="",'Smart Search'!$L$5="All",TRIM(BZ481)=TRIM('Smart Search'!$L$5)),OR(TRIM('Smart Search'!$L$6)="",TRIM('Smart Search'!$L$6)="All",ISNUMBER(SEARCH(SUBSTITUTE(SUBSTITUTE(SUBSTITUTE(TRIM('Smart Search'!$L$6),"~","~~"),"*","~*"),"?","~?"),CA481))),OR('Smart Search'!$L$7="",AND(CB481&lt;&gt;0,CB481='Smart Search'!$L$7)),OR('Smart Search'!$L$8="",'Smart Search'!$L$8="All",TRIM(CC481)=TRIM('Smart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IF(A481="","",N(INDEX(Projects[Mech Inst],480)))</f>
        <v/>
      </c>
      <c r="BK481" s="5">
        <f>IF(A481="","",N(INDEX(Projects[Elec Inst],480)))</f>
        <v/>
      </c>
      <c r="BL481" s="5">
        <f>IF(A481="","",N(INDEX(Projects[Project Management],480)))</f>
        <v/>
      </c>
      <c r="BM481" s="5">
        <f>IF(A481="","",N(INDEX(Projects[Systems Eng],480)))</f>
        <v/>
      </c>
      <c r="BN481" s="5">
        <f>IF(A481="","",N(INDEX(Projects[Mechanical Eng],480)))</f>
        <v/>
      </c>
      <c r="BO481" s="5">
        <f>IF(A481="","",N(INDEX(Projects[Structural Engineering],480)))</f>
        <v/>
      </c>
      <c r="BP481" s="5">
        <f>IF(A481="","",N(INDEX(Projects[Site Sup],480)))</f>
        <v/>
      </c>
      <c r="BQ481" s="5">
        <f>IF(A481="","",N(INDEX(Projects[Controls Commissioning],480)))</f>
        <v/>
      </c>
      <c r="BR481" s="5">
        <f>IF(A481="","",N(INDEX(Projects[Systems Commissioning],480)))</f>
        <v/>
      </c>
      <c r="BS481" s="5">
        <f>IF(A481="","",N(INDEX(Projects[Service Commissioning],480)))</f>
        <v/>
      </c>
      <c r="BT481" s="5">
        <f>IF(A481="","",N(INDEX(Projects[Controls Eng],480)))</f>
        <v/>
      </c>
      <c r="BU481" s="5">
        <f>IF(A481="","",N(INDEX(Projects[Controls Purchase],480)))</f>
        <v/>
      </c>
      <c r="BV481" s="5">
        <f>IF(A481="","",N(INDEX(Projects[Software Eng],480)))</f>
        <v/>
      </c>
      <c r="BW481" s="5">
        <f>IF(A481="","",N(INDEX(Projects[Misc],480)))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  <c r="BZ481" s="5">
        <f>INDEX(Projects[Solution Type],480)&amp;""</f>
        <v/>
      </c>
      <c r="CA481" s="5">
        <f>INDEX(Projects[Client / Region],480)&amp;""</f>
        <v/>
      </c>
      <c r="CB481" s="5">
        <f>INDEX(Projects[Year],480)</f>
        <v/>
      </c>
      <c r="CC481" s="5">
        <f>INDEX(Projects[Won?],480)&amp;""</f>
        <v/>
      </c>
      <c r="CD481" s="5">
        <f>INDEX(Projects[Value (USD M)],480)</f>
        <v/>
      </c>
      <c r="CE481" s="5">
        <f>INDEX(Projects[MH Data Status],480)&amp;""</f>
        <v/>
      </c>
    </row>
    <row r="482" ht="15" customHeight="1" s="74">
      <c r="A482" s="66">
        <f>INDEX(Projects[Project ID *],481)&amp;""</f>
        <v/>
      </c>
      <c r="B482" s="66">
        <f>INDEX(Projects[Project Name *],481)&amp;""</f>
        <v/>
      </c>
      <c r="C482" s="66">
        <f>INDEX(Projects[MS Shuttles],481)</f>
        <v/>
      </c>
      <c r="D482" s="66">
        <f>INDEX(Projects[MS Tote Locations],481)</f>
        <v/>
      </c>
      <c r="E482" s="66">
        <f>INDEX(Projects[AS Robots],481)</f>
        <v/>
      </c>
      <c r="F482" s="66">
        <f>INDEX(Projects[AS Tote Locations],481)</f>
        <v/>
      </c>
      <c r="G482" s="66">
        <f>INDEX(Projects[PS Shuttles],481)</f>
        <v/>
      </c>
      <c r="H482" s="66">
        <f>INDEX(Projects[PS Pallet Locations],481)</f>
        <v/>
      </c>
      <c r="I482" s="66">
        <f>INDEX(Projects[SRM Cranes],481)</f>
        <v/>
      </c>
      <c r="J482" s="66">
        <f>INDEX(Projects[SRM Pallet Locations],481)</f>
        <v/>
      </c>
      <c r="K482" s="66">
        <f>INDEX(Projects[Case Conv (m)],481)</f>
        <v/>
      </c>
      <c r="L482" s="66">
        <f>INDEX(Projects[Pallet Conv (m)],481)</f>
        <v/>
      </c>
      <c r="M482" s="66">
        <f>INDEX(Projects[Mech Eng (wks)],481)</f>
        <v/>
      </c>
      <c r="N482" s="66">
        <f>INDEX(Projects[Controls Eng (wks)],481)</f>
        <v/>
      </c>
      <c r="O482" s="66">
        <f>INDEX(Projects[Systems Eng (wks)],481)</f>
        <v/>
      </c>
      <c r="P482" s="66">
        <f>INDEX(Projects[Software Eng (wks)],481)</f>
        <v/>
      </c>
      <c r="Q482" s="66">
        <f>INDEX(Projects[M&amp;E Installation (wks)],481)</f>
        <v/>
      </c>
      <c r="R482" s="66">
        <f>INDEX(Projects[Commissioning (wks)],481)</f>
        <v/>
      </c>
      <c r="S482" s="66">
        <f>INDEX(Projects[Total Timeline (wks)],481)</f>
        <v/>
      </c>
      <c r="T482" s="66">
        <f>INDEX(Projects[Currency],481)&amp;""</f>
        <v/>
      </c>
      <c r="U482" s="67">
        <f>INDEX(Projects[Value (M)],481)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INDEX(Projects[Automation Equipment],481)&amp;""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IF(AND(A482&lt;&gt;"",OR('Smart Search'!$L$5="",'Smart Search'!$L$5="All",TRIM(BZ482)=TRIM('Smart Search'!$L$5)),OR(TRIM('Smart Search'!$L$6)="",TRIM('Smart Search'!$L$6)="All",ISNUMBER(SEARCH(SUBSTITUTE(SUBSTITUTE(SUBSTITUTE(TRIM('Smart Search'!$L$6),"~","~~"),"*","~*"),"?","~?"),CA482))),OR('Smart Search'!$L$7="",AND(CB482&lt;&gt;0,CB482='Smart Search'!$L$7)),OR('Smart Search'!$L$8="",'Smart Search'!$L$8="All",TRIM(CC482)=TRIM('Smart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IF(A482="","",N(INDEX(Projects[Mech Inst],481)))</f>
        <v/>
      </c>
      <c r="BK482" s="5">
        <f>IF(A482="","",N(INDEX(Projects[Elec Inst],481)))</f>
        <v/>
      </c>
      <c r="BL482" s="5">
        <f>IF(A482="","",N(INDEX(Projects[Project Management],481)))</f>
        <v/>
      </c>
      <c r="BM482" s="5">
        <f>IF(A482="","",N(INDEX(Projects[Systems Eng],481)))</f>
        <v/>
      </c>
      <c r="BN482" s="5">
        <f>IF(A482="","",N(INDEX(Projects[Mechanical Eng],481)))</f>
        <v/>
      </c>
      <c r="BO482" s="5">
        <f>IF(A482="","",N(INDEX(Projects[Structural Engineering],481)))</f>
        <v/>
      </c>
      <c r="BP482" s="5">
        <f>IF(A482="","",N(INDEX(Projects[Site Sup],481)))</f>
        <v/>
      </c>
      <c r="BQ482" s="5">
        <f>IF(A482="","",N(INDEX(Projects[Controls Commissioning],481)))</f>
        <v/>
      </c>
      <c r="BR482" s="5">
        <f>IF(A482="","",N(INDEX(Projects[Systems Commissioning],481)))</f>
        <v/>
      </c>
      <c r="BS482" s="5">
        <f>IF(A482="","",N(INDEX(Projects[Service Commissioning],481)))</f>
        <v/>
      </c>
      <c r="BT482" s="5">
        <f>IF(A482="","",N(INDEX(Projects[Controls Eng],481)))</f>
        <v/>
      </c>
      <c r="BU482" s="5">
        <f>IF(A482="","",N(INDEX(Projects[Controls Purchase],481)))</f>
        <v/>
      </c>
      <c r="BV482" s="5">
        <f>IF(A482="","",N(INDEX(Projects[Software Eng],481)))</f>
        <v/>
      </c>
      <c r="BW482" s="5">
        <f>IF(A482="","",N(INDEX(Projects[Misc],481)))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  <c r="BZ482" s="5">
        <f>INDEX(Projects[Solution Type],481)&amp;""</f>
        <v/>
      </c>
      <c r="CA482" s="5">
        <f>INDEX(Projects[Client / Region],481)&amp;""</f>
        <v/>
      </c>
      <c r="CB482" s="5">
        <f>INDEX(Projects[Year],481)</f>
        <v/>
      </c>
      <c r="CC482" s="5">
        <f>INDEX(Projects[Won?],481)&amp;""</f>
        <v/>
      </c>
      <c r="CD482" s="5">
        <f>INDEX(Projects[Value (USD M)],481)</f>
        <v/>
      </c>
      <c r="CE482" s="5">
        <f>INDEX(Projects[MH Data Status],481)&amp;""</f>
        <v/>
      </c>
    </row>
    <row r="483" ht="15" customHeight="1" s="74">
      <c r="A483" s="66">
        <f>INDEX(Projects[Project ID *],482)&amp;""</f>
        <v/>
      </c>
      <c r="B483" s="66">
        <f>INDEX(Projects[Project Name *],482)&amp;""</f>
        <v/>
      </c>
      <c r="C483" s="66">
        <f>INDEX(Projects[MS Shuttles],482)</f>
        <v/>
      </c>
      <c r="D483" s="66">
        <f>INDEX(Projects[MS Tote Locations],482)</f>
        <v/>
      </c>
      <c r="E483" s="66">
        <f>INDEX(Projects[AS Robots],482)</f>
        <v/>
      </c>
      <c r="F483" s="66">
        <f>INDEX(Projects[AS Tote Locations],482)</f>
        <v/>
      </c>
      <c r="G483" s="66">
        <f>INDEX(Projects[PS Shuttles],482)</f>
        <v/>
      </c>
      <c r="H483" s="66">
        <f>INDEX(Projects[PS Pallet Locations],482)</f>
        <v/>
      </c>
      <c r="I483" s="66">
        <f>INDEX(Projects[SRM Cranes],482)</f>
        <v/>
      </c>
      <c r="J483" s="66">
        <f>INDEX(Projects[SRM Pallet Locations],482)</f>
        <v/>
      </c>
      <c r="K483" s="66">
        <f>INDEX(Projects[Case Conv (m)],482)</f>
        <v/>
      </c>
      <c r="L483" s="66">
        <f>INDEX(Projects[Pallet Conv (m)],482)</f>
        <v/>
      </c>
      <c r="M483" s="66">
        <f>INDEX(Projects[Mech Eng (wks)],482)</f>
        <v/>
      </c>
      <c r="N483" s="66">
        <f>INDEX(Projects[Controls Eng (wks)],482)</f>
        <v/>
      </c>
      <c r="O483" s="66">
        <f>INDEX(Projects[Systems Eng (wks)],482)</f>
        <v/>
      </c>
      <c r="P483" s="66">
        <f>INDEX(Projects[Software Eng (wks)],482)</f>
        <v/>
      </c>
      <c r="Q483" s="66">
        <f>INDEX(Projects[M&amp;E Installation (wks)],482)</f>
        <v/>
      </c>
      <c r="R483" s="66">
        <f>INDEX(Projects[Commissioning (wks)],482)</f>
        <v/>
      </c>
      <c r="S483" s="66">
        <f>INDEX(Projects[Total Timeline (wks)],482)</f>
        <v/>
      </c>
      <c r="T483" s="66">
        <f>INDEX(Projects[Currency],482)&amp;""</f>
        <v/>
      </c>
      <c r="U483" s="67">
        <f>INDEX(Projects[Value (M)],482)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INDEX(Projects[Automation Equipment],482)&amp;""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IF(AND(A483&lt;&gt;"",OR('Smart Search'!$L$5="",'Smart Search'!$L$5="All",TRIM(BZ483)=TRIM('Smart Search'!$L$5)),OR(TRIM('Smart Search'!$L$6)="",TRIM('Smart Search'!$L$6)="All",ISNUMBER(SEARCH(SUBSTITUTE(SUBSTITUTE(SUBSTITUTE(TRIM('Smart Search'!$L$6),"~","~~"),"*","~*"),"?","~?"),CA483))),OR('Smart Search'!$L$7="",AND(CB483&lt;&gt;0,CB483='Smart Search'!$L$7)),OR('Smart Search'!$L$8="",'Smart Search'!$L$8="All",TRIM(CC483)=TRIM('Smart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IF(A483="","",N(INDEX(Projects[Mech Inst],482)))</f>
        <v/>
      </c>
      <c r="BK483" s="5">
        <f>IF(A483="","",N(INDEX(Projects[Elec Inst],482)))</f>
        <v/>
      </c>
      <c r="BL483" s="5">
        <f>IF(A483="","",N(INDEX(Projects[Project Management],482)))</f>
        <v/>
      </c>
      <c r="BM483" s="5">
        <f>IF(A483="","",N(INDEX(Projects[Systems Eng],482)))</f>
        <v/>
      </c>
      <c r="BN483" s="5">
        <f>IF(A483="","",N(INDEX(Projects[Mechanical Eng],482)))</f>
        <v/>
      </c>
      <c r="BO483" s="5">
        <f>IF(A483="","",N(INDEX(Projects[Structural Engineering],482)))</f>
        <v/>
      </c>
      <c r="BP483" s="5">
        <f>IF(A483="","",N(INDEX(Projects[Site Sup],482)))</f>
        <v/>
      </c>
      <c r="BQ483" s="5">
        <f>IF(A483="","",N(INDEX(Projects[Controls Commissioning],482)))</f>
        <v/>
      </c>
      <c r="BR483" s="5">
        <f>IF(A483="","",N(INDEX(Projects[Systems Commissioning],482)))</f>
        <v/>
      </c>
      <c r="BS483" s="5">
        <f>IF(A483="","",N(INDEX(Projects[Service Commissioning],482)))</f>
        <v/>
      </c>
      <c r="BT483" s="5">
        <f>IF(A483="","",N(INDEX(Projects[Controls Eng],482)))</f>
        <v/>
      </c>
      <c r="BU483" s="5">
        <f>IF(A483="","",N(INDEX(Projects[Controls Purchase],482)))</f>
        <v/>
      </c>
      <c r="BV483" s="5">
        <f>IF(A483="","",N(INDEX(Projects[Software Eng],482)))</f>
        <v/>
      </c>
      <c r="BW483" s="5">
        <f>IF(A483="","",N(INDEX(Projects[Misc],482)))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  <c r="BZ483" s="5">
        <f>INDEX(Projects[Solution Type],482)&amp;""</f>
        <v/>
      </c>
      <c r="CA483" s="5">
        <f>INDEX(Projects[Client / Region],482)&amp;""</f>
        <v/>
      </c>
      <c r="CB483" s="5">
        <f>INDEX(Projects[Year],482)</f>
        <v/>
      </c>
      <c r="CC483" s="5">
        <f>INDEX(Projects[Won?],482)&amp;""</f>
        <v/>
      </c>
      <c r="CD483" s="5">
        <f>INDEX(Projects[Value (USD M)],482)</f>
        <v/>
      </c>
      <c r="CE483" s="5">
        <f>INDEX(Projects[MH Data Status],482)&amp;""</f>
        <v/>
      </c>
    </row>
    <row r="484" ht="15" customHeight="1" s="74">
      <c r="A484" s="66">
        <f>INDEX(Projects[Project ID *],483)&amp;""</f>
        <v/>
      </c>
      <c r="B484" s="66">
        <f>INDEX(Projects[Project Name *],483)&amp;""</f>
        <v/>
      </c>
      <c r="C484" s="66">
        <f>INDEX(Projects[MS Shuttles],483)</f>
        <v/>
      </c>
      <c r="D484" s="66">
        <f>INDEX(Projects[MS Tote Locations],483)</f>
        <v/>
      </c>
      <c r="E484" s="66">
        <f>INDEX(Projects[AS Robots],483)</f>
        <v/>
      </c>
      <c r="F484" s="66">
        <f>INDEX(Projects[AS Tote Locations],483)</f>
        <v/>
      </c>
      <c r="G484" s="66">
        <f>INDEX(Projects[PS Shuttles],483)</f>
        <v/>
      </c>
      <c r="H484" s="66">
        <f>INDEX(Projects[PS Pallet Locations],483)</f>
        <v/>
      </c>
      <c r="I484" s="66">
        <f>INDEX(Projects[SRM Cranes],483)</f>
        <v/>
      </c>
      <c r="J484" s="66">
        <f>INDEX(Projects[SRM Pallet Locations],483)</f>
        <v/>
      </c>
      <c r="K484" s="66">
        <f>INDEX(Projects[Case Conv (m)],483)</f>
        <v/>
      </c>
      <c r="L484" s="66">
        <f>INDEX(Projects[Pallet Conv (m)],483)</f>
        <v/>
      </c>
      <c r="M484" s="66">
        <f>INDEX(Projects[Mech Eng (wks)],483)</f>
        <v/>
      </c>
      <c r="N484" s="66">
        <f>INDEX(Projects[Controls Eng (wks)],483)</f>
        <v/>
      </c>
      <c r="O484" s="66">
        <f>INDEX(Projects[Systems Eng (wks)],483)</f>
        <v/>
      </c>
      <c r="P484" s="66">
        <f>INDEX(Projects[Software Eng (wks)],483)</f>
        <v/>
      </c>
      <c r="Q484" s="66">
        <f>INDEX(Projects[M&amp;E Installation (wks)],483)</f>
        <v/>
      </c>
      <c r="R484" s="66">
        <f>INDEX(Projects[Commissioning (wks)],483)</f>
        <v/>
      </c>
      <c r="S484" s="66">
        <f>INDEX(Projects[Total Timeline (wks)],483)</f>
        <v/>
      </c>
      <c r="T484" s="66">
        <f>INDEX(Projects[Currency],483)&amp;""</f>
        <v/>
      </c>
      <c r="U484" s="67">
        <f>INDEX(Projects[Value (M)],483)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INDEX(Projects[Automation Equipment],483)&amp;""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IF(AND(A484&lt;&gt;"",OR('Smart Search'!$L$5="",'Smart Search'!$L$5="All",TRIM(BZ484)=TRIM('Smart Search'!$L$5)),OR(TRIM('Smart Search'!$L$6)="",TRIM('Smart Search'!$L$6)="All",ISNUMBER(SEARCH(SUBSTITUTE(SUBSTITUTE(SUBSTITUTE(TRIM('Smart Search'!$L$6),"~","~~"),"*","~*"),"?","~?"),CA484))),OR('Smart Search'!$L$7="",AND(CB484&lt;&gt;0,CB484='Smart Search'!$L$7)),OR('Smart Search'!$L$8="",'Smart Search'!$L$8="All",TRIM(CC484)=TRIM('Smart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IF(A484="","",N(INDEX(Projects[Mech Inst],483)))</f>
        <v/>
      </c>
      <c r="BK484" s="5">
        <f>IF(A484="","",N(INDEX(Projects[Elec Inst],483)))</f>
        <v/>
      </c>
      <c r="BL484" s="5">
        <f>IF(A484="","",N(INDEX(Projects[Project Management],483)))</f>
        <v/>
      </c>
      <c r="BM484" s="5">
        <f>IF(A484="","",N(INDEX(Projects[Systems Eng],483)))</f>
        <v/>
      </c>
      <c r="BN484" s="5">
        <f>IF(A484="","",N(INDEX(Projects[Mechanical Eng],483)))</f>
        <v/>
      </c>
      <c r="BO484" s="5">
        <f>IF(A484="","",N(INDEX(Projects[Structural Engineering],483)))</f>
        <v/>
      </c>
      <c r="BP484" s="5">
        <f>IF(A484="","",N(INDEX(Projects[Site Sup],483)))</f>
        <v/>
      </c>
      <c r="BQ484" s="5">
        <f>IF(A484="","",N(INDEX(Projects[Controls Commissioning],483)))</f>
        <v/>
      </c>
      <c r="BR484" s="5">
        <f>IF(A484="","",N(INDEX(Projects[Systems Commissioning],483)))</f>
        <v/>
      </c>
      <c r="BS484" s="5">
        <f>IF(A484="","",N(INDEX(Projects[Service Commissioning],483)))</f>
        <v/>
      </c>
      <c r="BT484" s="5">
        <f>IF(A484="","",N(INDEX(Projects[Controls Eng],483)))</f>
        <v/>
      </c>
      <c r="BU484" s="5">
        <f>IF(A484="","",N(INDEX(Projects[Controls Purchase],483)))</f>
        <v/>
      </c>
      <c r="BV484" s="5">
        <f>IF(A484="","",N(INDEX(Projects[Software Eng],483)))</f>
        <v/>
      </c>
      <c r="BW484" s="5">
        <f>IF(A484="","",N(INDEX(Projects[Misc],483)))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  <c r="BZ484" s="5">
        <f>INDEX(Projects[Solution Type],483)&amp;""</f>
        <v/>
      </c>
      <c r="CA484" s="5">
        <f>INDEX(Projects[Client / Region],483)&amp;""</f>
        <v/>
      </c>
      <c r="CB484" s="5">
        <f>INDEX(Projects[Year],483)</f>
        <v/>
      </c>
      <c r="CC484" s="5">
        <f>INDEX(Projects[Won?],483)&amp;""</f>
        <v/>
      </c>
      <c r="CD484" s="5">
        <f>INDEX(Projects[Value (USD M)],483)</f>
        <v/>
      </c>
      <c r="CE484" s="5">
        <f>INDEX(Projects[MH Data Status],483)&amp;""</f>
        <v/>
      </c>
    </row>
    <row r="485" ht="15" customHeight="1" s="74">
      <c r="A485" s="66">
        <f>INDEX(Projects[Project ID *],484)&amp;""</f>
        <v/>
      </c>
      <c r="B485" s="66">
        <f>INDEX(Projects[Project Name *],484)&amp;""</f>
        <v/>
      </c>
      <c r="C485" s="66">
        <f>INDEX(Projects[MS Shuttles],484)</f>
        <v/>
      </c>
      <c r="D485" s="66">
        <f>INDEX(Projects[MS Tote Locations],484)</f>
        <v/>
      </c>
      <c r="E485" s="66">
        <f>INDEX(Projects[AS Robots],484)</f>
        <v/>
      </c>
      <c r="F485" s="66">
        <f>INDEX(Projects[AS Tote Locations],484)</f>
        <v/>
      </c>
      <c r="G485" s="66">
        <f>INDEX(Projects[PS Shuttles],484)</f>
        <v/>
      </c>
      <c r="H485" s="66">
        <f>INDEX(Projects[PS Pallet Locations],484)</f>
        <v/>
      </c>
      <c r="I485" s="66">
        <f>INDEX(Projects[SRM Cranes],484)</f>
        <v/>
      </c>
      <c r="J485" s="66">
        <f>INDEX(Projects[SRM Pallet Locations],484)</f>
        <v/>
      </c>
      <c r="K485" s="66">
        <f>INDEX(Projects[Case Conv (m)],484)</f>
        <v/>
      </c>
      <c r="L485" s="66">
        <f>INDEX(Projects[Pallet Conv (m)],484)</f>
        <v/>
      </c>
      <c r="M485" s="66">
        <f>INDEX(Projects[Mech Eng (wks)],484)</f>
        <v/>
      </c>
      <c r="N485" s="66">
        <f>INDEX(Projects[Controls Eng (wks)],484)</f>
        <v/>
      </c>
      <c r="O485" s="66">
        <f>INDEX(Projects[Systems Eng (wks)],484)</f>
        <v/>
      </c>
      <c r="P485" s="66">
        <f>INDEX(Projects[Software Eng (wks)],484)</f>
        <v/>
      </c>
      <c r="Q485" s="66">
        <f>INDEX(Projects[M&amp;E Installation (wks)],484)</f>
        <v/>
      </c>
      <c r="R485" s="66">
        <f>INDEX(Projects[Commissioning (wks)],484)</f>
        <v/>
      </c>
      <c r="S485" s="66">
        <f>INDEX(Projects[Total Timeline (wks)],484)</f>
        <v/>
      </c>
      <c r="T485" s="66">
        <f>INDEX(Projects[Currency],484)&amp;""</f>
        <v/>
      </c>
      <c r="U485" s="67">
        <f>INDEX(Projects[Value (M)],484)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INDEX(Projects[Automation Equipment],484)&amp;""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IF(AND(A485&lt;&gt;"",OR('Smart Search'!$L$5="",'Smart Search'!$L$5="All",TRIM(BZ485)=TRIM('Smart Search'!$L$5)),OR(TRIM('Smart Search'!$L$6)="",TRIM('Smart Search'!$L$6)="All",ISNUMBER(SEARCH(SUBSTITUTE(SUBSTITUTE(SUBSTITUTE(TRIM('Smart Search'!$L$6),"~","~~"),"*","~*"),"?","~?"),CA485))),OR('Smart Search'!$L$7="",AND(CB485&lt;&gt;0,CB485='Smart Search'!$L$7)),OR('Smart Search'!$L$8="",'Smart Search'!$L$8="All",TRIM(CC485)=TRIM('Smart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IF(A485="","",N(INDEX(Projects[Mech Inst],484)))</f>
        <v/>
      </c>
      <c r="BK485" s="5">
        <f>IF(A485="","",N(INDEX(Projects[Elec Inst],484)))</f>
        <v/>
      </c>
      <c r="BL485" s="5">
        <f>IF(A485="","",N(INDEX(Projects[Project Management],484)))</f>
        <v/>
      </c>
      <c r="BM485" s="5">
        <f>IF(A485="","",N(INDEX(Projects[Systems Eng],484)))</f>
        <v/>
      </c>
      <c r="BN485" s="5">
        <f>IF(A485="","",N(INDEX(Projects[Mechanical Eng],484)))</f>
        <v/>
      </c>
      <c r="BO485" s="5">
        <f>IF(A485="","",N(INDEX(Projects[Structural Engineering],484)))</f>
        <v/>
      </c>
      <c r="BP485" s="5">
        <f>IF(A485="","",N(INDEX(Projects[Site Sup],484)))</f>
        <v/>
      </c>
      <c r="BQ485" s="5">
        <f>IF(A485="","",N(INDEX(Projects[Controls Commissioning],484)))</f>
        <v/>
      </c>
      <c r="BR485" s="5">
        <f>IF(A485="","",N(INDEX(Projects[Systems Commissioning],484)))</f>
        <v/>
      </c>
      <c r="BS485" s="5">
        <f>IF(A485="","",N(INDEX(Projects[Service Commissioning],484)))</f>
        <v/>
      </c>
      <c r="BT485" s="5">
        <f>IF(A485="","",N(INDEX(Projects[Controls Eng],484)))</f>
        <v/>
      </c>
      <c r="BU485" s="5">
        <f>IF(A485="","",N(INDEX(Projects[Controls Purchase],484)))</f>
        <v/>
      </c>
      <c r="BV485" s="5">
        <f>IF(A485="","",N(INDEX(Projects[Software Eng],484)))</f>
        <v/>
      </c>
      <c r="BW485" s="5">
        <f>IF(A485="","",N(INDEX(Projects[Misc],484)))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  <c r="BZ485" s="5">
        <f>INDEX(Projects[Solution Type],484)&amp;""</f>
        <v/>
      </c>
      <c r="CA485" s="5">
        <f>INDEX(Projects[Client / Region],484)&amp;""</f>
        <v/>
      </c>
      <c r="CB485" s="5">
        <f>INDEX(Projects[Year],484)</f>
        <v/>
      </c>
      <c r="CC485" s="5">
        <f>INDEX(Projects[Won?],484)&amp;""</f>
        <v/>
      </c>
      <c r="CD485" s="5">
        <f>INDEX(Projects[Value (USD M)],484)</f>
        <v/>
      </c>
      <c r="CE485" s="5">
        <f>INDEX(Projects[MH Data Status],484)&amp;""</f>
        <v/>
      </c>
    </row>
    <row r="486" ht="15" customHeight="1" s="74">
      <c r="A486" s="66">
        <f>INDEX(Projects[Project ID *],485)&amp;""</f>
        <v/>
      </c>
      <c r="B486" s="66">
        <f>INDEX(Projects[Project Name *],485)&amp;""</f>
        <v/>
      </c>
      <c r="C486" s="66">
        <f>INDEX(Projects[MS Shuttles],485)</f>
        <v/>
      </c>
      <c r="D486" s="66">
        <f>INDEX(Projects[MS Tote Locations],485)</f>
        <v/>
      </c>
      <c r="E486" s="66">
        <f>INDEX(Projects[AS Robots],485)</f>
        <v/>
      </c>
      <c r="F486" s="66">
        <f>INDEX(Projects[AS Tote Locations],485)</f>
        <v/>
      </c>
      <c r="G486" s="66">
        <f>INDEX(Projects[PS Shuttles],485)</f>
        <v/>
      </c>
      <c r="H486" s="66">
        <f>INDEX(Projects[PS Pallet Locations],485)</f>
        <v/>
      </c>
      <c r="I486" s="66">
        <f>INDEX(Projects[SRM Cranes],485)</f>
        <v/>
      </c>
      <c r="J486" s="66">
        <f>INDEX(Projects[SRM Pallet Locations],485)</f>
        <v/>
      </c>
      <c r="K486" s="66">
        <f>INDEX(Projects[Case Conv (m)],485)</f>
        <v/>
      </c>
      <c r="L486" s="66">
        <f>INDEX(Projects[Pallet Conv (m)],485)</f>
        <v/>
      </c>
      <c r="M486" s="66">
        <f>INDEX(Projects[Mech Eng (wks)],485)</f>
        <v/>
      </c>
      <c r="N486" s="66">
        <f>INDEX(Projects[Controls Eng (wks)],485)</f>
        <v/>
      </c>
      <c r="O486" s="66">
        <f>INDEX(Projects[Systems Eng (wks)],485)</f>
        <v/>
      </c>
      <c r="P486" s="66">
        <f>INDEX(Projects[Software Eng (wks)],485)</f>
        <v/>
      </c>
      <c r="Q486" s="66">
        <f>INDEX(Projects[M&amp;E Installation (wks)],485)</f>
        <v/>
      </c>
      <c r="R486" s="66">
        <f>INDEX(Projects[Commissioning (wks)],485)</f>
        <v/>
      </c>
      <c r="S486" s="66">
        <f>INDEX(Projects[Total Timeline (wks)],485)</f>
        <v/>
      </c>
      <c r="T486" s="66">
        <f>INDEX(Projects[Currency],485)&amp;""</f>
        <v/>
      </c>
      <c r="U486" s="67">
        <f>INDEX(Projects[Value (M)],485)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INDEX(Projects[Automation Equipment],485)&amp;""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IF(AND(A486&lt;&gt;"",OR('Smart Search'!$L$5="",'Smart Search'!$L$5="All",TRIM(BZ486)=TRIM('Smart Search'!$L$5)),OR(TRIM('Smart Search'!$L$6)="",TRIM('Smart Search'!$L$6)="All",ISNUMBER(SEARCH(SUBSTITUTE(SUBSTITUTE(SUBSTITUTE(TRIM('Smart Search'!$L$6),"~","~~"),"*","~*"),"?","~?"),CA486))),OR('Smart Search'!$L$7="",AND(CB486&lt;&gt;0,CB486='Smart Search'!$L$7)),OR('Smart Search'!$L$8="",'Smart Search'!$L$8="All",TRIM(CC486)=TRIM('Smart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IF(A486="","",N(INDEX(Projects[Mech Inst],485)))</f>
        <v/>
      </c>
      <c r="BK486" s="5">
        <f>IF(A486="","",N(INDEX(Projects[Elec Inst],485)))</f>
        <v/>
      </c>
      <c r="BL486" s="5">
        <f>IF(A486="","",N(INDEX(Projects[Project Management],485)))</f>
        <v/>
      </c>
      <c r="BM486" s="5">
        <f>IF(A486="","",N(INDEX(Projects[Systems Eng],485)))</f>
        <v/>
      </c>
      <c r="BN486" s="5">
        <f>IF(A486="","",N(INDEX(Projects[Mechanical Eng],485)))</f>
        <v/>
      </c>
      <c r="BO486" s="5">
        <f>IF(A486="","",N(INDEX(Projects[Structural Engineering],485)))</f>
        <v/>
      </c>
      <c r="BP486" s="5">
        <f>IF(A486="","",N(INDEX(Projects[Site Sup],485)))</f>
        <v/>
      </c>
      <c r="BQ486" s="5">
        <f>IF(A486="","",N(INDEX(Projects[Controls Commissioning],485)))</f>
        <v/>
      </c>
      <c r="BR486" s="5">
        <f>IF(A486="","",N(INDEX(Projects[Systems Commissioning],485)))</f>
        <v/>
      </c>
      <c r="BS486" s="5">
        <f>IF(A486="","",N(INDEX(Projects[Service Commissioning],485)))</f>
        <v/>
      </c>
      <c r="BT486" s="5">
        <f>IF(A486="","",N(INDEX(Projects[Controls Eng],485)))</f>
        <v/>
      </c>
      <c r="BU486" s="5">
        <f>IF(A486="","",N(INDEX(Projects[Controls Purchase],485)))</f>
        <v/>
      </c>
      <c r="BV486" s="5">
        <f>IF(A486="","",N(INDEX(Projects[Software Eng],485)))</f>
        <v/>
      </c>
      <c r="BW486" s="5">
        <f>IF(A486="","",N(INDEX(Projects[Misc],485)))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  <c r="BZ486" s="5">
        <f>INDEX(Projects[Solution Type],485)&amp;""</f>
        <v/>
      </c>
      <c r="CA486" s="5">
        <f>INDEX(Projects[Client / Region],485)&amp;""</f>
        <v/>
      </c>
      <c r="CB486" s="5">
        <f>INDEX(Projects[Year],485)</f>
        <v/>
      </c>
      <c r="CC486" s="5">
        <f>INDEX(Projects[Won?],485)&amp;""</f>
        <v/>
      </c>
      <c r="CD486" s="5">
        <f>INDEX(Projects[Value (USD M)],485)</f>
        <v/>
      </c>
      <c r="CE486" s="5">
        <f>INDEX(Projects[MH Data Status],485)&amp;""</f>
        <v/>
      </c>
    </row>
    <row r="487" ht="15" customHeight="1" s="74">
      <c r="A487" s="66">
        <f>INDEX(Projects[Project ID *],486)&amp;""</f>
        <v/>
      </c>
      <c r="B487" s="66">
        <f>INDEX(Projects[Project Name *],486)&amp;""</f>
        <v/>
      </c>
      <c r="C487" s="66">
        <f>INDEX(Projects[MS Shuttles],486)</f>
        <v/>
      </c>
      <c r="D487" s="66">
        <f>INDEX(Projects[MS Tote Locations],486)</f>
        <v/>
      </c>
      <c r="E487" s="66">
        <f>INDEX(Projects[AS Robots],486)</f>
        <v/>
      </c>
      <c r="F487" s="66">
        <f>INDEX(Projects[AS Tote Locations],486)</f>
        <v/>
      </c>
      <c r="G487" s="66">
        <f>INDEX(Projects[PS Shuttles],486)</f>
        <v/>
      </c>
      <c r="H487" s="66">
        <f>INDEX(Projects[PS Pallet Locations],486)</f>
        <v/>
      </c>
      <c r="I487" s="66">
        <f>INDEX(Projects[SRM Cranes],486)</f>
        <v/>
      </c>
      <c r="J487" s="66">
        <f>INDEX(Projects[SRM Pallet Locations],486)</f>
        <v/>
      </c>
      <c r="K487" s="66">
        <f>INDEX(Projects[Case Conv (m)],486)</f>
        <v/>
      </c>
      <c r="L487" s="66">
        <f>INDEX(Projects[Pallet Conv (m)],486)</f>
        <v/>
      </c>
      <c r="M487" s="66">
        <f>INDEX(Projects[Mech Eng (wks)],486)</f>
        <v/>
      </c>
      <c r="N487" s="66">
        <f>INDEX(Projects[Controls Eng (wks)],486)</f>
        <v/>
      </c>
      <c r="O487" s="66">
        <f>INDEX(Projects[Systems Eng (wks)],486)</f>
        <v/>
      </c>
      <c r="P487" s="66">
        <f>INDEX(Projects[Software Eng (wks)],486)</f>
        <v/>
      </c>
      <c r="Q487" s="66">
        <f>INDEX(Projects[M&amp;E Installation (wks)],486)</f>
        <v/>
      </c>
      <c r="R487" s="66">
        <f>INDEX(Projects[Commissioning (wks)],486)</f>
        <v/>
      </c>
      <c r="S487" s="66">
        <f>INDEX(Projects[Total Timeline (wks)],486)</f>
        <v/>
      </c>
      <c r="T487" s="66">
        <f>INDEX(Projects[Currency],486)&amp;""</f>
        <v/>
      </c>
      <c r="U487" s="67">
        <f>INDEX(Projects[Value (M)],486)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INDEX(Projects[Automation Equipment],486)&amp;""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IF(AND(A487&lt;&gt;"",OR('Smart Search'!$L$5="",'Smart Search'!$L$5="All",TRIM(BZ487)=TRIM('Smart Search'!$L$5)),OR(TRIM('Smart Search'!$L$6)="",TRIM('Smart Search'!$L$6)="All",ISNUMBER(SEARCH(SUBSTITUTE(SUBSTITUTE(SUBSTITUTE(TRIM('Smart Search'!$L$6),"~","~~"),"*","~*"),"?","~?"),CA487))),OR('Smart Search'!$L$7="",AND(CB487&lt;&gt;0,CB487='Smart Search'!$L$7)),OR('Smart Search'!$L$8="",'Smart Search'!$L$8="All",TRIM(CC487)=TRIM('Smart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IF(A487="","",N(INDEX(Projects[Mech Inst],486)))</f>
        <v/>
      </c>
      <c r="BK487" s="5">
        <f>IF(A487="","",N(INDEX(Projects[Elec Inst],486)))</f>
        <v/>
      </c>
      <c r="BL487" s="5">
        <f>IF(A487="","",N(INDEX(Projects[Project Management],486)))</f>
        <v/>
      </c>
      <c r="BM487" s="5">
        <f>IF(A487="","",N(INDEX(Projects[Systems Eng],486)))</f>
        <v/>
      </c>
      <c r="BN487" s="5">
        <f>IF(A487="","",N(INDEX(Projects[Mechanical Eng],486)))</f>
        <v/>
      </c>
      <c r="BO487" s="5">
        <f>IF(A487="","",N(INDEX(Projects[Structural Engineering],486)))</f>
        <v/>
      </c>
      <c r="BP487" s="5">
        <f>IF(A487="","",N(INDEX(Projects[Site Sup],486)))</f>
        <v/>
      </c>
      <c r="BQ487" s="5">
        <f>IF(A487="","",N(INDEX(Projects[Controls Commissioning],486)))</f>
        <v/>
      </c>
      <c r="BR487" s="5">
        <f>IF(A487="","",N(INDEX(Projects[Systems Commissioning],486)))</f>
        <v/>
      </c>
      <c r="BS487" s="5">
        <f>IF(A487="","",N(INDEX(Projects[Service Commissioning],486)))</f>
        <v/>
      </c>
      <c r="BT487" s="5">
        <f>IF(A487="","",N(INDEX(Projects[Controls Eng],486)))</f>
        <v/>
      </c>
      <c r="BU487" s="5">
        <f>IF(A487="","",N(INDEX(Projects[Controls Purchase],486)))</f>
        <v/>
      </c>
      <c r="BV487" s="5">
        <f>IF(A487="","",N(INDEX(Projects[Software Eng],486)))</f>
        <v/>
      </c>
      <c r="BW487" s="5">
        <f>IF(A487="","",N(INDEX(Projects[Misc],486)))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  <c r="BZ487" s="5">
        <f>INDEX(Projects[Solution Type],486)&amp;""</f>
        <v/>
      </c>
      <c r="CA487" s="5">
        <f>INDEX(Projects[Client / Region],486)&amp;""</f>
        <v/>
      </c>
      <c r="CB487" s="5">
        <f>INDEX(Projects[Year],486)</f>
        <v/>
      </c>
      <c r="CC487" s="5">
        <f>INDEX(Projects[Won?],486)&amp;""</f>
        <v/>
      </c>
      <c r="CD487" s="5">
        <f>INDEX(Projects[Value (USD M)],486)</f>
        <v/>
      </c>
      <c r="CE487" s="5">
        <f>INDEX(Projects[MH Data Status],486)&amp;""</f>
        <v/>
      </c>
    </row>
    <row r="488" ht="15" customHeight="1" s="74">
      <c r="A488" s="66">
        <f>INDEX(Projects[Project ID *],487)&amp;""</f>
        <v/>
      </c>
      <c r="B488" s="66">
        <f>INDEX(Projects[Project Name *],487)&amp;""</f>
        <v/>
      </c>
      <c r="C488" s="66">
        <f>INDEX(Projects[MS Shuttles],487)</f>
        <v/>
      </c>
      <c r="D488" s="66">
        <f>INDEX(Projects[MS Tote Locations],487)</f>
        <v/>
      </c>
      <c r="E488" s="66">
        <f>INDEX(Projects[AS Robots],487)</f>
        <v/>
      </c>
      <c r="F488" s="66">
        <f>INDEX(Projects[AS Tote Locations],487)</f>
        <v/>
      </c>
      <c r="G488" s="66">
        <f>INDEX(Projects[PS Shuttles],487)</f>
        <v/>
      </c>
      <c r="H488" s="66">
        <f>INDEX(Projects[PS Pallet Locations],487)</f>
        <v/>
      </c>
      <c r="I488" s="66">
        <f>INDEX(Projects[SRM Cranes],487)</f>
        <v/>
      </c>
      <c r="J488" s="66">
        <f>INDEX(Projects[SRM Pallet Locations],487)</f>
        <v/>
      </c>
      <c r="K488" s="66">
        <f>INDEX(Projects[Case Conv (m)],487)</f>
        <v/>
      </c>
      <c r="L488" s="66">
        <f>INDEX(Projects[Pallet Conv (m)],487)</f>
        <v/>
      </c>
      <c r="M488" s="66">
        <f>INDEX(Projects[Mech Eng (wks)],487)</f>
        <v/>
      </c>
      <c r="N488" s="66">
        <f>INDEX(Projects[Controls Eng (wks)],487)</f>
        <v/>
      </c>
      <c r="O488" s="66">
        <f>INDEX(Projects[Systems Eng (wks)],487)</f>
        <v/>
      </c>
      <c r="P488" s="66">
        <f>INDEX(Projects[Software Eng (wks)],487)</f>
        <v/>
      </c>
      <c r="Q488" s="66">
        <f>INDEX(Projects[M&amp;E Installation (wks)],487)</f>
        <v/>
      </c>
      <c r="R488" s="66">
        <f>INDEX(Projects[Commissioning (wks)],487)</f>
        <v/>
      </c>
      <c r="S488" s="66">
        <f>INDEX(Projects[Total Timeline (wks)],487)</f>
        <v/>
      </c>
      <c r="T488" s="66">
        <f>INDEX(Projects[Currency],487)&amp;""</f>
        <v/>
      </c>
      <c r="U488" s="67">
        <f>INDEX(Projects[Value (M)],487)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INDEX(Projects[Automation Equipment],487)&amp;""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IF(AND(A488&lt;&gt;"",OR('Smart Search'!$L$5="",'Smart Search'!$L$5="All",TRIM(BZ488)=TRIM('Smart Search'!$L$5)),OR(TRIM('Smart Search'!$L$6)="",TRIM('Smart Search'!$L$6)="All",ISNUMBER(SEARCH(SUBSTITUTE(SUBSTITUTE(SUBSTITUTE(TRIM('Smart Search'!$L$6),"~","~~"),"*","~*"),"?","~?"),CA488))),OR('Smart Search'!$L$7="",AND(CB488&lt;&gt;0,CB488='Smart Search'!$L$7)),OR('Smart Search'!$L$8="",'Smart Search'!$L$8="All",TRIM(CC488)=TRIM('Smart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IF(A488="","",N(INDEX(Projects[Mech Inst],487)))</f>
        <v/>
      </c>
      <c r="BK488" s="5">
        <f>IF(A488="","",N(INDEX(Projects[Elec Inst],487)))</f>
        <v/>
      </c>
      <c r="BL488" s="5">
        <f>IF(A488="","",N(INDEX(Projects[Project Management],487)))</f>
        <v/>
      </c>
      <c r="BM488" s="5">
        <f>IF(A488="","",N(INDEX(Projects[Systems Eng],487)))</f>
        <v/>
      </c>
      <c r="BN488" s="5">
        <f>IF(A488="","",N(INDEX(Projects[Mechanical Eng],487)))</f>
        <v/>
      </c>
      <c r="BO488" s="5">
        <f>IF(A488="","",N(INDEX(Projects[Structural Engineering],487)))</f>
        <v/>
      </c>
      <c r="BP488" s="5">
        <f>IF(A488="","",N(INDEX(Projects[Site Sup],487)))</f>
        <v/>
      </c>
      <c r="BQ488" s="5">
        <f>IF(A488="","",N(INDEX(Projects[Controls Commissioning],487)))</f>
        <v/>
      </c>
      <c r="BR488" s="5">
        <f>IF(A488="","",N(INDEX(Projects[Systems Commissioning],487)))</f>
        <v/>
      </c>
      <c r="BS488" s="5">
        <f>IF(A488="","",N(INDEX(Projects[Service Commissioning],487)))</f>
        <v/>
      </c>
      <c r="BT488" s="5">
        <f>IF(A488="","",N(INDEX(Projects[Controls Eng],487)))</f>
        <v/>
      </c>
      <c r="BU488" s="5">
        <f>IF(A488="","",N(INDEX(Projects[Controls Purchase],487)))</f>
        <v/>
      </c>
      <c r="BV488" s="5">
        <f>IF(A488="","",N(INDEX(Projects[Software Eng],487)))</f>
        <v/>
      </c>
      <c r="BW488" s="5">
        <f>IF(A488="","",N(INDEX(Projects[Misc],487)))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  <c r="BZ488" s="5">
        <f>INDEX(Projects[Solution Type],487)&amp;""</f>
        <v/>
      </c>
      <c r="CA488" s="5">
        <f>INDEX(Projects[Client / Region],487)&amp;""</f>
        <v/>
      </c>
      <c r="CB488" s="5">
        <f>INDEX(Projects[Year],487)</f>
        <v/>
      </c>
      <c r="CC488" s="5">
        <f>INDEX(Projects[Won?],487)&amp;""</f>
        <v/>
      </c>
      <c r="CD488" s="5">
        <f>INDEX(Projects[Value (USD M)],487)</f>
        <v/>
      </c>
      <c r="CE488" s="5">
        <f>INDEX(Projects[MH Data Status],487)&amp;""</f>
        <v/>
      </c>
    </row>
    <row r="489" ht="15" customHeight="1" s="74">
      <c r="A489" s="66">
        <f>INDEX(Projects[Project ID *],488)&amp;""</f>
        <v/>
      </c>
      <c r="B489" s="66">
        <f>INDEX(Projects[Project Name *],488)&amp;""</f>
        <v/>
      </c>
      <c r="C489" s="66">
        <f>INDEX(Projects[MS Shuttles],488)</f>
        <v/>
      </c>
      <c r="D489" s="66">
        <f>INDEX(Projects[MS Tote Locations],488)</f>
        <v/>
      </c>
      <c r="E489" s="66">
        <f>INDEX(Projects[AS Robots],488)</f>
        <v/>
      </c>
      <c r="F489" s="66">
        <f>INDEX(Projects[AS Tote Locations],488)</f>
        <v/>
      </c>
      <c r="G489" s="66">
        <f>INDEX(Projects[PS Shuttles],488)</f>
        <v/>
      </c>
      <c r="H489" s="66">
        <f>INDEX(Projects[PS Pallet Locations],488)</f>
        <v/>
      </c>
      <c r="I489" s="66">
        <f>INDEX(Projects[SRM Cranes],488)</f>
        <v/>
      </c>
      <c r="J489" s="66">
        <f>INDEX(Projects[SRM Pallet Locations],488)</f>
        <v/>
      </c>
      <c r="K489" s="66">
        <f>INDEX(Projects[Case Conv (m)],488)</f>
        <v/>
      </c>
      <c r="L489" s="66">
        <f>INDEX(Projects[Pallet Conv (m)],488)</f>
        <v/>
      </c>
      <c r="M489" s="66">
        <f>INDEX(Projects[Mech Eng (wks)],488)</f>
        <v/>
      </c>
      <c r="N489" s="66">
        <f>INDEX(Projects[Controls Eng (wks)],488)</f>
        <v/>
      </c>
      <c r="O489" s="66">
        <f>INDEX(Projects[Systems Eng (wks)],488)</f>
        <v/>
      </c>
      <c r="P489" s="66">
        <f>INDEX(Projects[Software Eng (wks)],488)</f>
        <v/>
      </c>
      <c r="Q489" s="66">
        <f>INDEX(Projects[M&amp;E Installation (wks)],488)</f>
        <v/>
      </c>
      <c r="R489" s="66">
        <f>INDEX(Projects[Commissioning (wks)],488)</f>
        <v/>
      </c>
      <c r="S489" s="66">
        <f>INDEX(Projects[Total Timeline (wks)],488)</f>
        <v/>
      </c>
      <c r="T489" s="66">
        <f>INDEX(Projects[Currency],488)&amp;""</f>
        <v/>
      </c>
      <c r="U489" s="67">
        <f>INDEX(Projects[Value (M)],488)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INDEX(Projects[Automation Equipment],488)&amp;""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IF(AND(A489&lt;&gt;"",OR('Smart Search'!$L$5="",'Smart Search'!$L$5="All",TRIM(BZ489)=TRIM('Smart Search'!$L$5)),OR(TRIM('Smart Search'!$L$6)="",TRIM('Smart Search'!$L$6)="All",ISNUMBER(SEARCH(SUBSTITUTE(SUBSTITUTE(SUBSTITUTE(TRIM('Smart Search'!$L$6),"~","~~"),"*","~*"),"?","~?"),CA489))),OR('Smart Search'!$L$7="",AND(CB489&lt;&gt;0,CB489='Smart Search'!$L$7)),OR('Smart Search'!$L$8="",'Smart Search'!$L$8="All",TRIM(CC489)=TRIM('Smart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IF(A489="","",N(INDEX(Projects[Mech Inst],488)))</f>
        <v/>
      </c>
      <c r="BK489" s="5">
        <f>IF(A489="","",N(INDEX(Projects[Elec Inst],488)))</f>
        <v/>
      </c>
      <c r="BL489" s="5">
        <f>IF(A489="","",N(INDEX(Projects[Project Management],488)))</f>
        <v/>
      </c>
      <c r="BM489" s="5">
        <f>IF(A489="","",N(INDEX(Projects[Systems Eng],488)))</f>
        <v/>
      </c>
      <c r="BN489" s="5">
        <f>IF(A489="","",N(INDEX(Projects[Mechanical Eng],488)))</f>
        <v/>
      </c>
      <c r="BO489" s="5">
        <f>IF(A489="","",N(INDEX(Projects[Structural Engineering],488)))</f>
        <v/>
      </c>
      <c r="BP489" s="5">
        <f>IF(A489="","",N(INDEX(Projects[Site Sup],488)))</f>
        <v/>
      </c>
      <c r="BQ489" s="5">
        <f>IF(A489="","",N(INDEX(Projects[Controls Commissioning],488)))</f>
        <v/>
      </c>
      <c r="BR489" s="5">
        <f>IF(A489="","",N(INDEX(Projects[Systems Commissioning],488)))</f>
        <v/>
      </c>
      <c r="BS489" s="5">
        <f>IF(A489="","",N(INDEX(Projects[Service Commissioning],488)))</f>
        <v/>
      </c>
      <c r="BT489" s="5">
        <f>IF(A489="","",N(INDEX(Projects[Controls Eng],488)))</f>
        <v/>
      </c>
      <c r="BU489" s="5">
        <f>IF(A489="","",N(INDEX(Projects[Controls Purchase],488)))</f>
        <v/>
      </c>
      <c r="BV489" s="5">
        <f>IF(A489="","",N(INDEX(Projects[Software Eng],488)))</f>
        <v/>
      </c>
      <c r="BW489" s="5">
        <f>IF(A489="","",N(INDEX(Projects[Misc],488)))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  <c r="BZ489" s="5">
        <f>INDEX(Projects[Solution Type],488)&amp;""</f>
        <v/>
      </c>
      <c r="CA489" s="5">
        <f>INDEX(Projects[Client / Region],488)&amp;""</f>
        <v/>
      </c>
      <c r="CB489" s="5">
        <f>INDEX(Projects[Year],488)</f>
        <v/>
      </c>
      <c r="CC489" s="5">
        <f>INDEX(Projects[Won?],488)&amp;""</f>
        <v/>
      </c>
      <c r="CD489" s="5">
        <f>INDEX(Projects[Value (USD M)],488)</f>
        <v/>
      </c>
      <c r="CE489" s="5">
        <f>INDEX(Projects[MH Data Status],488)&amp;""</f>
        <v/>
      </c>
    </row>
    <row r="490" ht="15" customHeight="1" s="74">
      <c r="A490" s="66">
        <f>INDEX(Projects[Project ID *],489)&amp;""</f>
        <v/>
      </c>
      <c r="B490" s="66">
        <f>INDEX(Projects[Project Name *],489)&amp;""</f>
        <v/>
      </c>
      <c r="C490" s="66">
        <f>INDEX(Projects[MS Shuttles],489)</f>
        <v/>
      </c>
      <c r="D490" s="66">
        <f>INDEX(Projects[MS Tote Locations],489)</f>
        <v/>
      </c>
      <c r="E490" s="66">
        <f>INDEX(Projects[AS Robots],489)</f>
        <v/>
      </c>
      <c r="F490" s="66">
        <f>INDEX(Projects[AS Tote Locations],489)</f>
        <v/>
      </c>
      <c r="G490" s="66">
        <f>INDEX(Projects[PS Shuttles],489)</f>
        <v/>
      </c>
      <c r="H490" s="66">
        <f>INDEX(Projects[PS Pallet Locations],489)</f>
        <v/>
      </c>
      <c r="I490" s="66">
        <f>INDEX(Projects[SRM Cranes],489)</f>
        <v/>
      </c>
      <c r="J490" s="66">
        <f>INDEX(Projects[SRM Pallet Locations],489)</f>
        <v/>
      </c>
      <c r="K490" s="66">
        <f>INDEX(Projects[Case Conv (m)],489)</f>
        <v/>
      </c>
      <c r="L490" s="66">
        <f>INDEX(Projects[Pallet Conv (m)],489)</f>
        <v/>
      </c>
      <c r="M490" s="66">
        <f>INDEX(Projects[Mech Eng (wks)],489)</f>
        <v/>
      </c>
      <c r="N490" s="66">
        <f>INDEX(Projects[Controls Eng (wks)],489)</f>
        <v/>
      </c>
      <c r="O490" s="66">
        <f>INDEX(Projects[Systems Eng (wks)],489)</f>
        <v/>
      </c>
      <c r="P490" s="66">
        <f>INDEX(Projects[Software Eng (wks)],489)</f>
        <v/>
      </c>
      <c r="Q490" s="66">
        <f>INDEX(Projects[M&amp;E Installation (wks)],489)</f>
        <v/>
      </c>
      <c r="R490" s="66">
        <f>INDEX(Projects[Commissioning (wks)],489)</f>
        <v/>
      </c>
      <c r="S490" s="66">
        <f>INDEX(Projects[Total Timeline (wks)],489)</f>
        <v/>
      </c>
      <c r="T490" s="66">
        <f>INDEX(Projects[Currency],489)&amp;""</f>
        <v/>
      </c>
      <c r="U490" s="67">
        <f>INDEX(Projects[Value (M)],489)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INDEX(Projects[Automation Equipment],489)&amp;""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IF(AND(A490&lt;&gt;"",OR('Smart Search'!$L$5="",'Smart Search'!$L$5="All",TRIM(BZ490)=TRIM('Smart Search'!$L$5)),OR(TRIM('Smart Search'!$L$6)="",TRIM('Smart Search'!$L$6)="All",ISNUMBER(SEARCH(SUBSTITUTE(SUBSTITUTE(SUBSTITUTE(TRIM('Smart Search'!$L$6),"~","~~"),"*","~*"),"?","~?"),CA490))),OR('Smart Search'!$L$7="",AND(CB490&lt;&gt;0,CB490='Smart Search'!$L$7)),OR('Smart Search'!$L$8="",'Smart Search'!$L$8="All",TRIM(CC490)=TRIM('Smart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IF(A490="","",N(INDEX(Projects[Mech Inst],489)))</f>
        <v/>
      </c>
      <c r="BK490" s="5">
        <f>IF(A490="","",N(INDEX(Projects[Elec Inst],489)))</f>
        <v/>
      </c>
      <c r="BL490" s="5">
        <f>IF(A490="","",N(INDEX(Projects[Project Management],489)))</f>
        <v/>
      </c>
      <c r="BM490" s="5">
        <f>IF(A490="","",N(INDEX(Projects[Systems Eng],489)))</f>
        <v/>
      </c>
      <c r="BN490" s="5">
        <f>IF(A490="","",N(INDEX(Projects[Mechanical Eng],489)))</f>
        <v/>
      </c>
      <c r="BO490" s="5">
        <f>IF(A490="","",N(INDEX(Projects[Structural Engineering],489)))</f>
        <v/>
      </c>
      <c r="BP490" s="5">
        <f>IF(A490="","",N(INDEX(Projects[Site Sup],489)))</f>
        <v/>
      </c>
      <c r="BQ490" s="5">
        <f>IF(A490="","",N(INDEX(Projects[Controls Commissioning],489)))</f>
        <v/>
      </c>
      <c r="BR490" s="5">
        <f>IF(A490="","",N(INDEX(Projects[Systems Commissioning],489)))</f>
        <v/>
      </c>
      <c r="BS490" s="5">
        <f>IF(A490="","",N(INDEX(Projects[Service Commissioning],489)))</f>
        <v/>
      </c>
      <c r="BT490" s="5">
        <f>IF(A490="","",N(INDEX(Projects[Controls Eng],489)))</f>
        <v/>
      </c>
      <c r="BU490" s="5">
        <f>IF(A490="","",N(INDEX(Projects[Controls Purchase],489)))</f>
        <v/>
      </c>
      <c r="BV490" s="5">
        <f>IF(A490="","",N(INDEX(Projects[Software Eng],489)))</f>
        <v/>
      </c>
      <c r="BW490" s="5">
        <f>IF(A490="","",N(INDEX(Projects[Misc],489)))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  <c r="BZ490" s="5">
        <f>INDEX(Projects[Solution Type],489)&amp;""</f>
        <v/>
      </c>
      <c r="CA490" s="5">
        <f>INDEX(Projects[Client / Region],489)&amp;""</f>
        <v/>
      </c>
      <c r="CB490" s="5">
        <f>INDEX(Projects[Year],489)</f>
        <v/>
      </c>
      <c r="CC490" s="5">
        <f>INDEX(Projects[Won?],489)&amp;""</f>
        <v/>
      </c>
      <c r="CD490" s="5">
        <f>INDEX(Projects[Value (USD M)],489)</f>
        <v/>
      </c>
      <c r="CE490" s="5">
        <f>INDEX(Projects[MH Data Status],489)&amp;""</f>
        <v/>
      </c>
    </row>
    <row r="491" ht="15" customHeight="1" s="74">
      <c r="A491" s="66">
        <f>INDEX(Projects[Project ID *],490)&amp;""</f>
        <v/>
      </c>
      <c r="B491" s="66">
        <f>INDEX(Projects[Project Name *],490)&amp;""</f>
        <v/>
      </c>
      <c r="C491" s="66">
        <f>INDEX(Projects[MS Shuttles],490)</f>
        <v/>
      </c>
      <c r="D491" s="66">
        <f>INDEX(Projects[MS Tote Locations],490)</f>
        <v/>
      </c>
      <c r="E491" s="66">
        <f>INDEX(Projects[AS Robots],490)</f>
        <v/>
      </c>
      <c r="F491" s="66">
        <f>INDEX(Projects[AS Tote Locations],490)</f>
        <v/>
      </c>
      <c r="G491" s="66">
        <f>INDEX(Projects[PS Shuttles],490)</f>
        <v/>
      </c>
      <c r="H491" s="66">
        <f>INDEX(Projects[PS Pallet Locations],490)</f>
        <v/>
      </c>
      <c r="I491" s="66">
        <f>INDEX(Projects[SRM Cranes],490)</f>
        <v/>
      </c>
      <c r="J491" s="66">
        <f>INDEX(Projects[SRM Pallet Locations],490)</f>
        <v/>
      </c>
      <c r="K491" s="66">
        <f>INDEX(Projects[Case Conv (m)],490)</f>
        <v/>
      </c>
      <c r="L491" s="66">
        <f>INDEX(Projects[Pallet Conv (m)],490)</f>
        <v/>
      </c>
      <c r="M491" s="66">
        <f>INDEX(Projects[Mech Eng (wks)],490)</f>
        <v/>
      </c>
      <c r="N491" s="66">
        <f>INDEX(Projects[Controls Eng (wks)],490)</f>
        <v/>
      </c>
      <c r="O491" s="66">
        <f>INDEX(Projects[Systems Eng (wks)],490)</f>
        <v/>
      </c>
      <c r="P491" s="66">
        <f>INDEX(Projects[Software Eng (wks)],490)</f>
        <v/>
      </c>
      <c r="Q491" s="66">
        <f>INDEX(Projects[M&amp;E Installation (wks)],490)</f>
        <v/>
      </c>
      <c r="R491" s="66">
        <f>INDEX(Projects[Commissioning (wks)],490)</f>
        <v/>
      </c>
      <c r="S491" s="66">
        <f>INDEX(Projects[Total Timeline (wks)],490)</f>
        <v/>
      </c>
      <c r="T491" s="66">
        <f>INDEX(Projects[Currency],490)&amp;""</f>
        <v/>
      </c>
      <c r="U491" s="67">
        <f>INDEX(Projects[Value (M)],490)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INDEX(Projects[Automation Equipment],490)&amp;""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IF(AND(A491&lt;&gt;"",OR('Smart Search'!$L$5="",'Smart Search'!$L$5="All",TRIM(BZ491)=TRIM('Smart Search'!$L$5)),OR(TRIM('Smart Search'!$L$6)="",TRIM('Smart Search'!$L$6)="All",ISNUMBER(SEARCH(SUBSTITUTE(SUBSTITUTE(SUBSTITUTE(TRIM('Smart Search'!$L$6),"~","~~"),"*","~*"),"?","~?"),CA491))),OR('Smart Search'!$L$7="",AND(CB491&lt;&gt;0,CB491='Smart Search'!$L$7)),OR('Smart Search'!$L$8="",'Smart Search'!$L$8="All",TRIM(CC491)=TRIM('Smart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IF(A491="","",N(INDEX(Projects[Mech Inst],490)))</f>
        <v/>
      </c>
      <c r="BK491" s="5">
        <f>IF(A491="","",N(INDEX(Projects[Elec Inst],490)))</f>
        <v/>
      </c>
      <c r="BL491" s="5">
        <f>IF(A491="","",N(INDEX(Projects[Project Management],490)))</f>
        <v/>
      </c>
      <c r="BM491" s="5">
        <f>IF(A491="","",N(INDEX(Projects[Systems Eng],490)))</f>
        <v/>
      </c>
      <c r="BN491" s="5">
        <f>IF(A491="","",N(INDEX(Projects[Mechanical Eng],490)))</f>
        <v/>
      </c>
      <c r="BO491" s="5">
        <f>IF(A491="","",N(INDEX(Projects[Structural Engineering],490)))</f>
        <v/>
      </c>
      <c r="BP491" s="5">
        <f>IF(A491="","",N(INDEX(Projects[Site Sup],490)))</f>
        <v/>
      </c>
      <c r="BQ491" s="5">
        <f>IF(A491="","",N(INDEX(Projects[Controls Commissioning],490)))</f>
        <v/>
      </c>
      <c r="BR491" s="5">
        <f>IF(A491="","",N(INDEX(Projects[Systems Commissioning],490)))</f>
        <v/>
      </c>
      <c r="BS491" s="5">
        <f>IF(A491="","",N(INDEX(Projects[Service Commissioning],490)))</f>
        <v/>
      </c>
      <c r="BT491" s="5">
        <f>IF(A491="","",N(INDEX(Projects[Controls Eng],490)))</f>
        <v/>
      </c>
      <c r="BU491" s="5">
        <f>IF(A491="","",N(INDEX(Projects[Controls Purchase],490)))</f>
        <v/>
      </c>
      <c r="BV491" s="5">
        <f>IF(A491="","",N(INDEX(Projects[Software Eng],490)))</f>
        <v/>
      </c>
      <c r="BW491" s="5">
        <f>IF(A491="","",N(INDEX(Projects[Misc],490)))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  <c r="BZ491" s="5">
        <f>INDEX(Projects[Solution Type],490)&amp;""</f>
        <v/>
      </c>
      <c r="CA491" s="5">
        <f>INDEX(Projects[Client / Region],490)&amp;""</f>
        <v/>
      </c>
      <c r="CB491" s="5">
        <f>INDEX(Projects[Year],490)</f>
        <v/>
      </c>
      <c r="CC491" s="5">
        <f>INDEX(Projects[Won?],490)&amp;""</f>
        <v/>
      </c>
      <c r="CD491" s="5">
        <f>INDEX(Projects[Value (USD M)],490)</f>
        <v/>
      </c>
      <c r="CE491" s="5">
        <f>INDEX(Projects[MH Data Status],490)&amp;""</f>
        <v/>
      </c>
    </row>
    <row r="492" ht="15" customHeight="1" s="74">
      <c r="A492" s="66">
        <f>INDEX(Projects[Project ID *],491)&amp;""</f>
        <v/>
      </c>
      <c r="B492" s="66">
        <f>INDEX(Projects[Project Name *],491)&amp;""</f>
        <v/>
      </c>
      <c r="C492" s="66">
        <f>INDEX(Projects[MS Shuttles],491)</f>
        <v/>
      </c>
      <c r="D492" s="66">
        <f>INDEX(Projects[MS Tote Locations],491)</f>
        <v/>
      </c>
      <c r="E492" s="66">
        <f>INDEX(Projects[AS Robots],491)</f>
        <v/>
      </c>
      <c r="F492" s="66">
        <f>INDEX(Projects[AS Tote Locations],491)</f>
        <v/>
      </c>
      <c r="G492" s="66">
        <f>INDEX(Projects[PS Shuttles],491)</f>
        <v/>
      </c>
      <c r="H492" s="66">
        <f>INDEX(Projects[PS Pallet Locations],491)</f>
        <v/>
      </c>
      <c r="I492" s="66">
        <f>INDEX(Projects[SRM Cranes],491)</f>
        <v/>
      </c>
      <c r="J492" s="66">
        <f>INDEX(Projects[SRM Pallet Locations],491)</f>
        <v/>
      </c>
      <c r="K492" s="66">
        <f>INDEX(Projects[Case Conv (m)],491)</f>
        <v/>
      </c>
      <c r="L492" s="66">
        <f>INDEX(Projects[Pallet Conv (m)],491)</f>
        <v/>
      </c>
      <c r="M492" s="66">
        <f>INDEX(Projects[Mech Eng (wks)],491)</f>
        <v/>
      </c>
      <c r="N492" s="66">
        <f>INDEX(Projects[Controls Eng (wks)],491)</f>
        <v/>
      </c>
      <c r="O492" s="66">
        <f>INDEX(Projects[Systems Eng (wks)],491)</f>
        <v/>
      </c>
      <c r="P492" s="66">
        <f>INDEX(Projects[Software Eng (wks)],491)</f>
        <v/>
      </c>
      <c r="Q492" s="66">
        <f>INDEX(Projects[M&amp;E Installation (wks)],491)</f>
        <v/>
      </c>
      <c r="R492" s="66">
        <f>INDEX(Projects[Commissioning (wks)],491)</f>
        <v/>
      </c>
      <c r="S492" s="66">
        <f>INDEX(Projects[Total Timeline (wks)],491)</f>
        <v/>
      </c>
      <c r="T492" s="66">
        <f>INDEX(Projects[Currency],491)&amp;""</f>
        <v/>
      </c>
      <c r="U492" s="67">
        <f>INDEX(Projects[Value (M)],491)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INDEX(Projects[Automation Equipment],491)&amp;""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IF(AND(A492&lt;&gt;"",OR('Smart Search'!$L$5="",'Smart Search'!$L$5="All",TRIM(BZ492)=TRIM('Smart Search'!$L$5)),OR(TRIM('Smart Search'!$L$6)="",TRIM('Smart Search'!$L$6)="All",ISNUMBER(SEARCH(SUBSTITUTE(SUBSTITUTE(SUBSTITUTE(TRIM('Smart Search'!$L$6),"~","~~"),"*","~*"),"?","~?"),CA492))),OR('Smart Search'!$L$7="",AND(CB492&lt;&gt;0,CB492='Smart Search'!$L$7)),OR('Smart Search'!$L$8="",'Smart Search'!$L$8="All",TRIM(CC492)=TRIM('Smart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IF(A492="","",N(INDEX(Projects[Mech Inst],491)))</f>
        <v/>
      </c>
      <c r="BK492" s="5">
        <f>IF(A492="","",N(INDEX(Projects[Elec Inst],491)))</f>
        <v/>
      </c>
      <c r="BL492" s="5">
        <f>IF(A492="","",N(INDEX(Projects[Project Management],491)))</f>
        <v/>
      </c>
      <c r="BM492" s="5">
        <f>IF(A492="","",N(INDEX(Projects[Systems Eng],491)))</f>
        <v/>
      </c>
      <c r="BN492" s="5">
        <f>IF(A492="","",N(INDEX(Projects[Mechanical Eng],491)))</f>
        <v/>
      </c>
      <c r="BO492" s="5">
        <f>IF(A492="","",N(INDEX(Projects[Structural Engineering],491)))</f>
        <v/>
      </c>
      <c r="BP492" s="5">
        <f>IF(A492="","",N(INDEX(Projects[Site Sup],491)))</f>
        <v/>
      </c>
      <c r="BQ492" s="5">
        <f>IF(A492="","",N(INDEX(Projects[Controls Commissioning],491)))</f>
        <v/>
      </c>
      <c r="BR492" s="5">
        <f>IF(A492="","",N(INDEX(Projects[Systems Commissioning],491)))</f>
        <v/>
      </c>
      <c r="BS492" s="5">
        <f>IF(A492="","",N(INDEX(Projects[Service Commissioning],491)))</f>
        <v/>
      </c>
      <c r="BT492" s="5">
        <f>IF(A492="","",N(INDEX(Projects[Controls Eng],491)))</f>
        <v/>
      </c>
      <c r="BU492" s="5">
        <f>IF(A492="","",N(INDEX(Projects[Controls Purchase],491)))</f>
        <v/>
      </c>
      <c r="BV492" s="5">
        <f>IF(A492="","",N(INDEX(Projects[Software Eng],491)))</f>
        <v/>
      </c>
      <c r="BW492" s="5">
        <f>IF(A492="","",N(INDEX(Projects[Misc],491)))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  <c r="BZ492" s="5">
        <f>INDEX(Projects[Solution Type],491)&amp;""</f>
        <v/>
      </c>
      <c r="CA492" s="5">
        <f>INDEX(Projects[Client / Region],491)&amp;""</f>
        <v/>
      </c>
      <c r="CB492" s="5">
        <f>INDEX(Projects[Year],491)</f>
        <v/>
      </c>
      <c r="CC492" s="5">
        <f>INDEX(Projects[Won?],491)&amp;""</f>
        <v/>
      </c>
      <c r="CD492" s="5">
        <f>INDEX(Projects[Value (USD M)],491)</f>
        <v/>
      </c>
      <c r="CE492" s="5">
        <f>INDEX(Projects[MH Data Status],491)&amp;""</f>
        <v/>
      </c>
    </row>
    <row r="493" ht="15" customHeight="1" s="74">
      <c r="A493" s="66">
        <f>INDEX(Projects[Project ID *],492)&amp;""</f>
        <v/>
      </c>
      <c r="B493" s="66">
        <f>INDEX(Projects[Project Name *],492)&amp;""</f>
        <v/>
      </c>
      <c r="C493" s="66">
        <f>INDEX(Projects[MS Shuttles],492)</f>
        <v/>
      </c>
      <c r="D493" s="66">
        <f>INDEX(Projects[MS Tote Locations],492)</f>
        <v/>
      </c>
      <c r="E493" s="66">
        <f>INDEX(Projects[AS Robots],492)</f>
        <v/>
      </c>
      <c r="F493" s="66">
        <f>INDEX(Projects[AS Tote Locations],492)</f>
        <v/>
      </c>
      <c r="G493" s="66">
        <f>INDEX(Projects[PS Shuttles],492)</f>
        <v/>
      </c>
      <c r="H493" s="66">
        <f>INDEX(Projects[PS Pallet Locations],492)</f>
        <v/>
      </c>
      <c r="I493" s="66">
        <f>INDEX(Projects[SRM Cranes],492)</f>
        <v/>
      </c>
      <c r="J493" s="66">
        <f>INDEX(Projects[SRM Pallet Locations],492)</f>
        <v/>
      </c>
      <c r="K493" s="66">
        <f>INDEX(Projects[Case Conv (m)],492)</f>
        <v/>
      </c>
      <c r="L493" s="66">
        <f>INDEX(Projects[Pallet Conv (m)],492)</f>
        <v/>
      </c>
      <c r="M493" s="66">
        <f>INDEX(Projects[Mech Eng (wks)],492)</f>
        <v/>
      </c>
      <c r="N493" s="66">
        <f>INDEX(Projects[Controls Eng (wks)],492)</f>
        <v/>
      </c>
      <c r="O493" s="66">
        <f>INDEX(Projects[Systems Eng (wks)],492)</f>
        <v/>
      </c>
      <c r="P493" s="66">
        <f>INDEX(Projects[Software Eng (wks)],492)</f>
        <v/>
      </c>
      <c r="Q493" s="66">
        <f>INDEX(Projects[M&amp;E Installation (wks)],492)</f>
        <v/>
      </c>
      <c r="R493" s="66">
        <f>INDEX(Projects[Commissioning (wks)],492)</f>
        <v/>
      </c>
      <c r="S493" s="66">
        <f>INDEX(Projects[Total Timeline (wks)],492)</f>
        <v/>
      </c>
      <c r="T493" s="66">
        <f>INDEX(Projects[Currency],492)&amp;""</f>
        <v/>
      </c>
      <c r="U493" s="67">
        <f>INDEX(Projects[Value (M)],492)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INDEX(Projects[Automation Equipment],492)&amp;""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IF(AND(A493&lt;&gt;"",OR('Smart Search'!$L$5="",'Smart Search'!$L$5="All",TRIM(BZ493)=TRIM('Smart Search'!$L$5)),OR(TRIM('Smart Search'!$L$6)="",TRIM('Smart Search'!$L$6)="All",ISNUMBER(SEARCH(SUBSTITUTE(SUBSTITUTE(SUBSTITUTE(TRIM('Smart Search'!$L$6),"~","~~"),"*","~*"),"?","~?"),CA493))),OR('Smart Search'!$L$7="",AND(CB493&lt;&gt;0,CB493='Smart Search'!$L$7)),OR('Smart Search'!$L$8="",'Smart Search'!$L$8="All",TRIM(CC493)=TRIM('Smart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IF(A493="","",N(INDEX(Projects[Mech Inst],492)))</f>
        <v/>
      </c>
      <c r="BK493" s="5">
        <f>IF(A493="","",N(INDEX(Projects[Elec Inst],492)))</f>
        <v/>
      </c>
      <c r="BL493" s="5">
        <f>IF(A493="","",N(INDEX(Projects[Project Management],492)))</f>
        <v/>
      </c>
      <c r="BM493" s="5">
        <f>IF(A493="","",N(INDEX(Projects[Systems Eng],492)))</f>
        <v/>
      </c>
      <c r="BN493" s="5">
        <f>IF(A493="","",N(INDEX(Projects[Mechanical Eng],492)))</f>
        <v/>
      </c>
      <c r="BO493" s="5">
        <f>IF(A493="","",N(INDEX(Projects[Structural Engineering],492)))</f>
        <v/>
      </c>
      <c r="BP493" s="5">
        <f>IF(A493="","",N(INDEX(Projects[Site Sup],492)))</f>
        <v/>
      </c>
      <c r="BQ493" s="5">
        <f>IF(A493="","",N(INDEX(Projects[Controls Commissioning],492)))</f>
        <v/>
      </c>
      <c r="BR493" s="5">
        <f>IF(A493="","",N(INDEX(Projects[Systems Commissioning],492)))</f>
        <v/>
      </c>
      <c r="BS493" s="5">
        <f>IF(A493="","",N(INDEX(Projects[Service Commissioning],492)))</f>
        <v/>
      </c>
      <c r="BT493" s="5">
        <f>IF(A493="","",N(INDEX(Projects[Controls Eng],492)))</f>
        <v/>
      </c>
      <c r="BU493" s="5">
        <f>IF(A493="","",N(INDEX(Projects[Controls Purchase],492)))</f>
        <v/>
      </c>
      <c r="BV493" s="5">
        <f>IF(A493="","",N(INDEX(Projects[Software Eng],492)))</f>
        <v/>
      </c>
      <c r="BW493" s="5">
        <f>IF(A493="","",N(INDEX(Projects[Misc],492)))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  <c r="BZ493" s="5">
        <f>INDEX(Projects[Solution Type],492)&amp;""</f>
        <v/>
      </c>
      <c r="CA493" s="5">
        <f>INDEX(Projects[Client / Region],492)&amp;""</f>
        <v/>
      </c>
      <c r="CB493" s="5">
        <f>INDEX(Projects[Year],492)</f>
        <v/>
      </c>
      <c r="CC493" s="5">
        <f>INDEX(Projects[Won?],492)&amp;""</f>
        <v/>
      </c>
      <c r="CD493" s="5">
        <f>INDEX(Projects[Value (USD M)],492)</f>
        <v/>
      </c>
      <c r="CE493" s="5">
        <f>INDEX(Projects[MH Data Status],492)&amp;""</f>
        <v/>
      </c>
    </row>
    <row r="494" ht="15" customHeight="1" s="74">
      <c r="A494" s="66">
        <f>INDEX(Projects[Project ID *],493)&amp;""</f>
        <v/>
      </c>
      <c r="B494" s="66">
        <f>INDEX(Projects[Project Name *],493)&amp;""</f>
        <v/>
      </c>
      <c r="C494" s="66">
        <f>INDEX(Projects[MS Shuttles],493)</f>
        <v/>
      </c>
      <c r="D494" s="66">
        <f>INDEX(Projects[MS Tote Locations],493)</f>
        <v/>
      </c>
      <c r="E494" s="66">
        <f>INDEX(Projects[AS Robots],493)</f>
        <v/>
      </c>
      <c r="F494" s="66">
        <f>INDEX(Projects[AS Tote Locations],493)</f>
        <v/>
      </c>
      <c r="G494" s="66">
        <f>INDEX(Projects[PS Shuttles],493)</f>
        <v/>
      </c>
      <c r="H494" s="66">
        <f>INDEX(Projects[PS Pallet Locations],493)</f>
        <v/>
      </c>
      <c r="I494" s="66">
        <f>INDEX(Projects[SRM Cranes],493)</f>
        <v/>
      </c>
      <c r="J494" s="66">
        <f>INDEX(Projects[SRM Pallet Locations],493)</f>
        <v/>
      </c>
      <c r="K494" s="66">
        <f>INDEX(Projects[Case Conv (m)],493)</f>
        <v/>
      </c>
      <c r="L494" s="66">
        <f>INDEX(Projects[Pallet Conv (m)],493)</f>
        <v/>
      </c>
      <c r="M494" s="66">
        <f>INDEX(Projects[Mech Eng (wks)],493)</f>
        <v/>
      </c>
      <c r="N494" s="66">
        <f>INDEX(Projects[Controls Eng (wks)],493)</f>
        <v/>
      </c>
      <c r="O494" s="66">
        <f>INDEX(Projects[Systems Eng (wks)],493)</f>
        <v/>
      </c>
      <c r="P494" s="66">
        <f>INDEX(Projects[Software Eng (wks)],493)</f>
        <v/>
      </c>
      <c r="Q494" s="66">
        <f>INDEX(Projects[M&amp;E Installation (wks)],493)</f>
        <v/>
      </c>
      <c r="R494" s="66">
        <f>INDEX(Projects[Commissioning (wks)],493)</f>
        <v/>
      </c>
      <c r="S494" s="66">
        <f>INDEX(Projects[Total Timeline (wks)],493)</f>
        <v/>
      </c>
      <c r="T494" s="66">
        <f>INDEX(Projects[Currency],493)&amp;""</f>
        <v/>
      </c>
      <c r="U494" s="67">
        <f>INDEX(Projects[Value (M)],493)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INDEX(Projects[Automation Equipment],493)&amp;""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IF(AND(A494&lt;&gt;"",OR('Smart Search'!$L$5="",'Smart Search'!$L$5="All",TRIM(BZ494)=TRIM('Smart Search'!$L$5)),OR(TRIM('Smart Search'!$L$6)="",TRIM('Smart Search'!$L$6)="All",ISNUMBER(SEARCH(SUBSTITUTE(SUBSTITUTE(SUBSTITUTE(TRIM('Smart Search'!$L$6),"~","~~"),"*","~*"),"?","~?"),CA494))),OR('Smart Search'!$L$7="",AND(CB494&lt;&gt;0,CB494='Smart Search'!$L$7)),OR('Smart Search'!$L$8="",'Smart Search'!$L$8="All",TRIM(CC494)=TRIM('Smart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IF(A494="","",N(INDEX(Projects[Mech Inst],493)))</f>
        <v/>
      </c>
      <c r="BK494" s="5">
        <f>IF(A494="","",N(INDEX(Projects[Elec Inst],493)))</f>
        <v/>
      </c>
      <c r="BL494" s="5">
        <f>IF(A494="","",N(INDEX(Projects[Project Management],493)))</f>
        <v/>
      </c>
      <c r="BM494" s="5">
        <f>IF(A494="","",N(INDEX(Projects[Systems Eng],493)))</f>
        <v/>
      </c>
      <c r="BN494" s="5">
        <f>IF(A494="","",N(INDEX(Projects[Mechanical Eng],493)))</f>
        <v/>
      </c>
      <c r="BO494" s="5">
        <f>IF(A494="","",N(INDEX(Projects[Structural Engineering],493)))</f>
        <v/>
      </c>
      <c r="BP494" s="5">
        <f>IF(A494="","",N(INDEX(Projects[Site Sup],493)))</f>
        <v/>
      </c>
      <c r="BQ494" s="5">
        <f>IF(A494="","",N(INDEX(Projects[Controls Commissioning],493)))</f>
        <v/>
      </c>
      <c r="BR494" s="5">
        <f>IF(A494="","",N(INDEX(Projects[Systems Commissioning],493)))</f>
        <v/>
      </c>
      <c r="BS494" s="5">
        <f>IF(A494="","",N(INDEX(Projects[Service Commissioning],493)))</f>
        <v/>
      </c>
      <c r="BT494" s="5">
        <f>IF(A494="","",N(INDEX(Projects[Controls Eng],493)))</f>
        <v/>
      </c>
      <c r="BU494" s="5">
        <f>IF(A494="","",N(INDEX(Projects[Controls Purchase],493)))</f>
        <v/>
      </c>
      <c r="BV494" s="5">
        <f>IF(A494="","",N(INDEX(Projects[Software Eng],493)))</f>
        <v/>
      </c>
      <c r="BW494" s="5">
        <f>IF(A494="","",N(INDEX(Projects[Misc],493)))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  <c r="BZ494" s="5">
        <f>INDEX(Projects[Solution Type],493)&amp;""</f>
        <v/>
      </c>
      <c r="CA494" s="5">
        <f>INDEX(Projects[Client / Region],493)&amp;""</f>
        <v/>
      </c>
      <c r="CB494" s="5">
        <f>INDEX(Projects[Year],493)</f>
        <v/>
      </c>
      <c r="CC494" s="5">
        <f>INDEX(Projects[Won?],493)&amp;""</f>
        <v/>
      </c>
      <c r="CD494" s="5">
        <f>INDEX(Projects[Value (USD M)],493)</f>
        <v/>
      </c>
      <c r="CE494" s="5">
        <f>INDEX(Projects[MH Data Status],493)&amp;""</f>
        <v/>
      </c>
    </row>
    <row r="495" ht="15" customHeight="1" s="74">
      <c r="A495" s="66">
        <f>INDEX(Projects[Project ID *],494)&amp;""</f>
        <v/>
      </c>
      <c r="B495" s="66">
        <f>INDEX(Projects[Project Name *],494)&amp;""</f>
        <v/>
      </c>
      <c r="C495" s="66">
        <f>INDEX(Projects[MS Shuttles],494)</f>
        <v/>
      </c>
      <c r="D495" s="66">
        <f>INDEX(Projects[MS Tote Locations],494)</f>
        <v/>
      </c>
      <c r="E495" s="66">
        <f>INDEX(Projects[AS Robots],494)</f>
        <v/>
      </c>
      <c r="F495" s="66">
        <f>INDEX(Projects[AS Tote Locations],494)</f>
        <v/>
      </c>
      <c r="G495" s="66">
        <f>INDEX(Projects[PS Shuttles],494)</f>
        <v/>
      </c>
      <c r="H495" s="66">
        <f>INDEX(Projects[PS Pallet Locations],494)</f>
        <v/>
      </c>
      <c r="I495" s="66">
        <f>INDEX(Projects[SRM Cranes],494)</f>
        <v/>
      </c>
      <c r="J495" s="66">
        <f>INDEX(Projects[SRM Pallet Locations],494)</f>
        <v/>
      </c>
      <c r="K495" s="66">
        <f>INDEX(Projects[Case Conv (m)],494)</f>
        <v/>
      </c>
      <c r="L495" s="66">
        <f>INDEX(Projects[Pallet Conv (m)],494)</f>
        <v/>
      </c>
      <c r="M495" s="66">
        <f>INDEX(Projects[Mech Eng (wks)],494)</f>
        <v/>
      </c>
      <c r="N495" s="66">
        <f>INDEX(Projects[Controls Eng (wks)],494)</f>
        <v/>
      </c>
      <c r="O495" s="66">
        <f>INDEX(Projects[Systems Eng (wks)],494)</f>
        <v/>
      </c>
      <c r="P495" s="66">
        <f>INDEX(Projects[Software Eng (wks)],494)</f>
        <v/>
      </c>
      <c r="Q495" s="66">
        <f>INDEX(Projects[M&amp;E Installation (wks)],494)</f>
        <v/>
      </c>
      <c r="R495" s="66">
        <f>INDEX(Projects[Commissioning (wks)],494)</f>
        <v/>
      </c>
      <c r="S495" s="66">
        <f>INDEX(Projects[Total Timeline (wks)],494)</f>
        <v/>
      </c>
      <c r="T495" s="66">
        <f>INDEX(Projects[Currency],494)&amp;""</f>
        <v/>
      </c>
      <c r="U495" s="67">
        <f>INDEX(Projects[Value (M)],494)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INDEX(Projects[Automation Equipment],494)&amp;""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IF(AND(A495&lt;&gt;"",OR('Smart Search'!$L$5="",'Smart Search'!$L$5="All",TRIM(BZ495)=TRIM('Smart Search'!$L$5)),OR(TRIM('Smart Search'!$L$6)="",TRIM('Smart Search'!$L$6)="All",ISNUMBER(SEARCH(SUBSTITUTE(SUBSTITUTE(SUBSTITUTE(TRIM('Smart Search'!$L$6),"~","~~"),"*","~*"),"?","~?"),CA495))),OR('Smart Search'!$L$7="",AND(CB495&lt;&gt;0,CB495='Smart Search'!$L$7)),OR('Smart Search'!$L$8="",'Smart Search'!$L$8="All",TRIM(CC495)=TRIM('Smart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IF(A495="","",N(INDEX(Projects[Mech Inst],494)))</f>
        <v/>
      </c>
      <c r="BK495" s="5">
        <f>IF(A495="","",N(INDEX(Projects[Elec Inst],494)))</f>
        <v/>
      </c>
      <c r="BL495" s="5">
        <f>IF(A495="","",N(INDEX(Projects[Project Management],494)))</f>
        <v/>
      </c>
      <c r="BM495" s="5">
        <f>IF(A495="","",N(INDEX(Projects[Systems Eng],494)))</f>
        <v/>
      </c>
      <c r="BN495" s="5">
        <f>IF(A495="","",N(INDEX(Projects[Mechanical Eng],494)))</f>
        <v/>
      </c>
      <c r="BO495" s="5">
        <f>IF(A495="","",N(INDEX(Projects[Structural Engineering],494)))</f>
        <v/>
      </c>
      <c r="BP495" s="5">
        <f>IF(A495="","",N(INDEX(Projects[Site Sup],494)))</f>
        <v/>
      </c>
      <c r="BQ495" s="5">
        <f>IF(A495="","",N(INDEX(Projects[Controls Commissioning],494)))</f>
        <v/>
      </c>
      <c r="BR495" s="5">
        <f>IF(A495="","",N(INDEX(Projects[Systems Commissioning],494)))</f>
        <v/>
      </c>
      <c r="BS495" s="5">
        <f>IF(A495="","",N(INDEX(Projects[Service Commissioning],494)))</f>
        <v/>
      </c>
      <c r="BT495" s="5">
        <f>IF(A495="","",N(INDEX(Projects[Controls Eng],494)))</f>
        <v/>
      </c>
      <c r="BU495" s="5">
        <f>IF(A495="","",N(INDEX(Projects[Controls Purchase],494)))</f>
        <v/>
      </c>
      <c r="BV495" s="5">
        <f>IF(A495="","",N(INDEX(Projects[Software Eng],494)))</f>
        <v/>
      </c>
      <c r="BW495" s="5">
        <f>IF(A495="","",N(INDEX(Projects[Misc],494)))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  <c r="BZ495" s="5">
        <f>INDEX(Projects[Solution Type],494)&amp;""</f>
        <v/>
      </c>
      <c r="CA495" s="5">
        <f>INDEX(Projects[Client / Region],494)&amp;""</f>
        <v/>
      </c>
      <c r="CB495" s="5">
        <f>INDEX(Projects[Year],494)</f>
        <v/>
      </c>
      <c r="CC495" s="5">
        <f>INDEX(Projects[Won?],494)&amp;""</f>
        <v/>
      </c>
      <c r="CD495" s="5">
        <f>INDEX(Projects[Value (USD M)],494)</f>
        <v/>
      </c>
      <c r="CE495" s="5">
        <f>INDEX(Projects[MH Data Status],494)&amp;""</f>
        <v/>
      </c>
    </row>
    <row r="496" ht="15" customHeight="1" s="74">
      <c r="A496" s="66">
        <f>INDEX(Projects[Project ID *],495)&amp;""</f>
        <v/>
      </c>
      <c r="B496" s="66">
        <f>INDEX(Projects[Project Name *],495)&amp;""</f>
        <v/>
      </c>
      <c r="C496" s="66">
        <f>INDEX(Projects[MS Shuttles],495)</f>
        <v/>
      </c>
      <c r="D496" s="66">
        <f>INDEX(Projects[MS Tote Locations],495)</f>
        <v/>
      </c>
      <c r="E496" s="66">
        <f>INDEX(Projects[AS Robots],495)</f>
        <v/>
      </c>
      <c r="F496" s="66">
        <f>INDEX(Projects[AS Tote Locations],495)</f>
        <v/>
      </c>
      <c r="G496" s="66">
        <f>INDEX(Projects[PS Shuttles],495)</f>
        <v/>
      </c>
      <c r="H496" s="66">
        <f>INDEX(Projects[PS Pallet Locations],495)</f>
        <v/>
      </c>
      <c r="I496" s="66">
        <f>INDEX(Projects[SRM Cranes],495)</f>
        <v/>
      </c>
      <c r="J496" s="66">
        <f>INDEX(Projects[SRM Pallet Locations],495)</f>
        <v/>
      </c>
      <c r="K496" s="66">
        <f>INDEX(Projects[Case Conv (m)],495)</f>
        <v/>
      </c>
      <c r="L496" s="66">
        <f>INDEX(Projects[Pallet Conv (m)],495)</f>
        <v/>
      </c>
      <c r="M496" s="66">
        <f>INDEX(Projects[Mech Eng (wks)],495)</f>
        <v/>
      </c>
      <c r="N496" s="66">
        <f>INDEX(Projects[Controls Eng (wks)],495)</f>
        <v/>
      </c>
      <c r="O496" s="66">
        <f>INDEX(Projects[Systems Eng (wks)],495)</f>
        <v/>
      </c>
      <c r="P496" s="66">
        <f>INDEX(Projects[Software Eng (wks)],495)</f>
        <v/>
      </c>
      <c r="Q496" s="66">
        <f>INDEX(Projects[M&amp;E Installation (wks)],495)</f>
        <v/>
      </c>
      <c r="R496" s="66">
        <f>INDEX(Projects[Commissioning (wks)],495)</f>
        <v/>
      </c>
      <c r="S496" s="66">
        <f>INDEX(Projects[Total Timeline (wks)],495)</f>
        <v/>
      </c>
      <c r="T496" s="66">
        <f>INDEX(Projects[Currency],495)&amp;""</f>
        <v/>
      </c>
      <c r="U496" s="67">
        <f>INDEX(Projects[Value (M)],495)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INDEX(Projects[Automation Equipment],495)&amp;""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IF(AND(A496&lt;&gt;"",OR('Smart Search'!$L$5="",'Smart Search'!$L$5="All",TRIM(BZ496)=TRIM('Smart Search'!$L$5)),OR(TRIM('Smart Search'!$L$6)="",TRIM('Smart Search'!$L$6)="All",ISNUMBER(SEARCH(SUBSTITUTE(SUBSTITUTE(SUBSTITUTE(TRIM('Smart Search'!$L$6),"~","~~"),"*","~*"),"?","~?"),CA496))),OR('Smart Search'!$L$7="",AND(CB496&lt;&gt;0,CB496='Smart Search'!$L$7)),OR('Smart Search'!$L$8="",'Smart Search'!$L$8="All",TRIM(CC496)=TRIM('Smart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IF(A496="","",N(INDEX(Projects[Mech Inst],495)))</f>
        <v/>
      </c>
      <c r="BK496" s="5">
        <f>IF(A496="","",N(INDEX(Projects[Elec Inst],495)))</f>
        <v/>
      </c>
      <c r="BL496" s="5">
        <f>IF(A496="","",N(INDEX(Projects[Project Management],495)))</f>
        <v/>
      </c>
      <c r="BM496" s="5">
        <f>IF(A496="","",N(INDEX(Projects[Systems Eng],495)))</f>
        <v/>
      </c>
      <c r="BN496" s="5">
        <f>IF(A496="","",N(INDEX(Projects[Mechanical Eng],495)))</f>
        <v/>
      </c>
      <c r="BO496" s="5">
        <f>IF(A496="","",N(INDEX(Projects[Structural Engineering],495)))</f>
        <v/>
      </c>
      <c r="BP496" s="5">
        <f>IF(A496="","",N(INDEX(Projects[Site Sup],495)))</f>
        <v/>
      </c>
      <c r="BQ496" s="5">
        <f>IF(A496="","",N(INDEX(Projects[Controls Commissioning],495)))</f>
        <v/>
      </c>
      <c r="BR496" s="5">
        <f>IF(A496="","",N(INDEX(Projects[Systems Commissioning],495)))</f>
        <v/>
      </c>
      <c r="BS496" s="5">
        <f>IF(A496="","",N(INDEX(Projects[Service Commissioning],495)))</f>
        <v/>
      </c>
      <c r="BT496" s="5">
        <f>IF(A496="","",N(INDEX(Projects[Controls Eng],495)))</f>
        <v/>
      </c>
      <c r="BU496" s="5">
        <f>IF(A496="","",N(INDEX(Projects[Controls Purchase],495)))</f>
        <v/>
      </c>
      <c r="BV496" s="5">
        <f>IF(A496="","",N(INDEX(Projects[Software Eng],495)))</f>
        <v/>
      </c>
      <c r="BW496" s="5">
        <f>IF(A496="","",N(INDEX(Projects[Misc],495)))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  <c r="BZ496" s="5">
        <f>INDEX(Projects[Solution Type],495)&amp;""</f>
        <v/>
      </c>
      <c r="CA496" s="5">
        <f>INDEX(Projects[Client / Region],495)&amp;""</f>
        <v/>
      </c>
      <c r="CB496" s="5">
        <f>INDEX(Projects[Year],495)</f>
        <v/>
      </c>
      <c r="CC496" s="5">
        <f>INDEX(Projects[Won?],495)&amp;""</f>
        <v/>
      </c>
      <c r="CD496" s="5">
        <f>INDEX(Projects[Value (USD M)],495)</f>
        <v/>
      </c>
      <c r="CE496" s="5">
        <f>INDEX(Projects[MH Data Status],495)&amp;""</f>
        <v/>
      </c>
    </row>
    <row r="497" ht="15" customHeight="1" s="74">
      <c r="A497" s="66">
        <f>INDEX(Projects[Project ID *],496)&amp;""</f>
        <v/>
      </c>
      <c r="B497" s="66">
        <f>INDEX(Projects[Project Name *],496)&amp;""</f>
        <v/>
      </c>
      <c r="C497" s="66">
        <f>INDEX(Projects[MS Shuttles],496)</f>
        <v/>
      </c>
      <c r="D497" s="66">
        <f>INDEX(Projects[MS Tote Locations],496)</f>
        <v/>
      </c>
      <c r="E497" s="66">
        <f>INDEX(Projects[AS Robots],496)</f>
        <v/>
      </c>
      <c r="F497" s="66">
        <f>INDEX(Projects[AS Tote Locations],496)</f>
        <v/>
      </c>
      <c r="G497" s="66">
        <f>INDEX(Projects[PS Shuttles],496)</f>
        <v/>
      </c>
      <c r="H497" s="66">
        <f>INDEX(Projects[PS Pallet Locations],496)</f>
        <v/>
      </c>
      <c r="I497" s="66">
        <f>INDEX(Projects[SRM Cranes],496)</f>
        <v/>
      </c>
      <c r="J497" s="66">
        <f>INDEX(Projects[SRM Pallet Locations],496)</f>
        <v/>
      </c>
      <c r="K497" s="66">
        <f>INDEX(Projects[Case Conv (m)],496)</f>
        <v/>
      </c>
      <c r="L497" s="66">
        <f>INDEX(Projects[Pallet Conv (m)],496)</f>
        <v/>
      </c>
      <c r="M497" s="66">
        <f>INDEX(Projects[Mech Eng (wks)],496)</f>
        <v/>
      </c>
      <c r="N497" s="66">
        <f>INDEX(Projects[Controls Eng (wks)],496)</f>
        <v/>
      </c>
      <c r="O497" s="66">
        <f>INDEX(Projects[Systems Eng (wks)],496)</f>
        <v/>
      </c>
      <c r="P497" s="66">
        <f>INDEX(Projects[Software Eng (wks)],496)</f>
        <v/>
      </c>
      <c r="Q497" s="66">
        <f>INDEX(Projects[M&amp;E Installation (wks)],496)</f>
        <v/>
      </c>
      <c r="R497" s="66">
        <f>INDEX(Projects[Commissioning (wks)],496)</f>
        <v/>
      </c>
      <c r="S497" s="66">
        <f>INDEX(Projects[Total Timeline (wks)],496)</f>
        <v/>
      </c>
      <c r="T497" s="66">
        <f>INDEX(Projects[Currency],496)&amp;""</f>
        <v/>
      </c>
      <c r="U497" s="67">
        <f>INDEX(Projects[Value (M)],496)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INDEX(Projects[Automation Equipment],496)&amp;""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IF(AND(A497&lt;&gt;"",OR('Smart Search'!$L$5="",'Smart Search'!$L$5="All",TRIM(BZ497)=TRIM('Smart Search'!$L$5)),OR(TRIM('Smart Search'!$L$6)="",TRIM('Smart Search'!$L$6)="All",ISNUMBER(SEARCH(SUBSTITUTE(SUBSTITUTE(SUBSTITUTE(TRIM('Smart Search'!$L$6),"~","~~"),"*","~*"),"?","~?"),CA497))),OR('Smart Search'!$L$7="",AND(CB497&lt;&gt;0,CB497='Smart Search'!$L$7)),OR('Smart Search'!$L$8="",'Smart Search'!$L$8="All",TRIM(CC497)=TRIM('Smart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IF(A497="","",N(INDEX(Projects[Mech Inst],496)))</f>
        <v/>
      </c>
      <c r="BK497" s="5">
        <f>IF(A497="","",N(INDEX(Projects[Elec Inst],496)))</f>
        <v/>
      </c>
      <c r="BL497" s="5">
        <f>IF(A497="","",N(INDEX(Projects[Project Management],496)))</f>
        <v/>
      </c>
      <c r="BM497" s="5">
        <f>IF(A497="","",N(INDEX(Projects[Systems Eng],496)))</f>
        <v/>
      </c>
      <c r="BN497" s="5">
        <f>IF(A497="","",N(INDEX(Projects[Mechanical Eng],496)))</f>
        <v/>
      </c>
      <c r="BO497" s="5">
        <f>IF(A497="","",N(INDEX(Projects[Structural Engineering],496)))</f>
        <v/>
      </c>
      <c r="BP497" s="5">
        <f>IF(A497="","",N(INDEX(Projects[Site Sup],496)))</f>
        <v/>
      </c>
      <c r="BQ497" s="5">
        <f>IF(A497="","",N(INDEX(Projects[Controls Commissioning],496)))</f>
        <v/>
      </c>
      <c r="BR497" s="5">
        <f>IF(A497="","",N(INDEX(Projects[Systems Commissioning],496)))</f>
        <v/>
      </c>
      <c r="BS497" s="5">
        <f>IF(A497="","",N(INDEX(Projects[Service Commissioning],496)))</f>
        <v/>
      </c>
      <c r="BT497" s="5">
        <f>IF(A497="","",N(INDEX(Projects[Controls Eng],496)))</f>
        <v/>
      </c>
      <c r="BU497" s="5">
        <f>IF(A497="","",N(INDEX(Projects[Controls Purchase],496)))</f>
        <v/>
      </c>
      <c r="BV497" s="5">
        <f>IF(A497="","",N(INDEX(Projects[Software Eng],496)))</f>
        <v/>
      </c>
      <c r="BW497" s="5">
        <f>IF(A497="","",N(INDEX(Projects[Misc],496)))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  <c r="BZ497" s="5">
        <f>INDEX(Projects[Solution Type],496)&amp;""</f>
        <v/>
      </c>
      <c r="CA497" s="5">
        <f>INDEX(Projects[Client / Region],496)&amp;""</f>
        <v/>
      </c>
      <c r="CB497" s="5">
        <f>INDEX(Projects[Year],496)</f>
        <v/>
      </c>
      <c r="CC497" s="5">
        <f>INDEX(Projects[Won?],496)&amp;""</f>
        <v/>
      </c>
      <c r="CD497" s="5">
        <f>INDEX(Projects[Value (USD M)],496)</f>
        <v/>
      </c>
      <c r="CE497" s="5">
        <f>INDEX(Projects[MH Data Status],496)&amp;""</f>
        <v/>
      </c>
    </row>
    <row r="498" ht="15" customHeight="1" s="74">
      <c r="A498" s="66">
        <f>INDEX(Projects[Project ID *],497)&amp;""</f>
        <v/>
      </c>
      <c r="B498" s="66">
        <f>INDEX(Projects[Project Name *],497)&amp;""</f>
        <v/>
      </c>
      <c r="C498" s="66">
        <f>INDEX(Projects[MS Shuttles],497)</f>
        <v/>
      </c>
      <c r="D498" s="66">
        <f>INDEX(Projects[MS Tote Locations],497)</f>
        <v/>
      </c>
      <c r="E498" s="66">
        <f>INDEX(Projects[AS Robots],497)</f>
        <v/>
      </c>
      <c r="F498" s="66">
        <f>INDEX(Projects[AS Tote Locations],497)</f>
        <v/>
      </c>
      <c r="G498" s="66">
        <f>INDEX(Projects[PS Shuttles],497)</f>
        <v/>
      </c>
      <c r="H498" s="66">
        <f>INDEX(Projects[PS Pallet Locations],497)</f>
        <v/>
      </c>
      <c r="I498" s="66">
        <f>INDEX(Projects[SRM Cranes],497)</f>
        <v/>
      </c>
      <c r="J498" s="66">
        <f>INDEX(Projects[SRM Pallet Locations],497)</f>
        <v/>
      </c>
      <c r="K498" s="66">
        <f>INDEX(Projects[Case Conv (m)],497)</f>
        <v/>
      </c>
      <c r="L498" s="66">
        <f>INDEX(Projects[Pallet Conv (m)],497)</f>
        <v/>
      </c>
      <c r="M498" s="66">
        <f>INDEX(Projects[Mech Eng (wks)],497)</f>
        <v/>
      </c>
      <c r="N498" s="66">
        <f>INDEX(Projects[Controls Eng (wks)],497)</f>
        <v/>
      </c>
      <c r="O498" s="66">
        <f>INDEX(Projects[Systems Eng (wks)],497)</f>
        <v/>
      </c>
      <c r="P498" s="66">
        <f>INDEX(Projects[Software Eng (wks)],497)</f>
        <v/>
      </c>
      <c r="Q498" s="66">
        <f>INDEX(Projects[M&amp;E Installation (wks)],497)</f>
        <v/>
      </c>
      <c r="R498" s="66">
        <f>INDEX(Projects[Commissioning (wks)],497)</f>
        <v/>
      </c>
      <c r="S498" s="66">
        <f>INDEX(Projects[Total Timeline (wks)],497)</f>
        <v/>
      </c>
      <c r="T498" s="66">
        <f>INDEX(Projects[Currency],497)&amp;""</f>
        <v/>
      </c>
      <c r="U498" s="67">
        <f>INDEX(Projects[Value (M)],497)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INDEX(Projects[Automation Equipment],497)&amp;""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IF(AND(A498&lt;&gt;"",OR('Smart Search'!$L$5="",'Smart Search'!$L$5="All",TRIM(BZ498)=TRIM('Smart Search'!$L$5)),OR(TRIM('Smart Search'!$L$6)="",TRIM('Smart Search'!$L$6)="All",ISNUMBER(SEARCH(SUBSTITUTE(SUBSTITUTE(SUBSTITUTE(TRIM('Smart Search'!$L$6),"~","~~"),"*","~*"),"?","~?"),CA498))),OR('Smart Search'!$L$7="",AND(CB498&lt;&gt;0,CB498='Smart Search'!$L$7)),OR('Smart Search'!$L$8="",'Smart Search'!$L$8="All",TRIM(CC498)=TRIM('Smart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IF(A498="","",N(INDEX(Projects[Mech Inst],497)))</f>
        <v/>
      </c>
      <c r="BK498" s="5">
        <f>IF(A498="","",N(INDEX(Projects[Elec Inst],497)))</f>
        <v/>
      </c>
      <c r="BL498" s="5">
        <f>IF(A498="","",N(INDEX(Projects[Project Management],497)))</f>
        <v/>
      </c>
      <c r="BM498" s="5">
        <f>IF(A498="","",N(INDEX(Projects[Systems Eng],497)))</f>
        <v/>
      </c>
      <c r="BN498" s="5">
        <f>IF(A498="","",N(INDEX(Projects[Mechanical Eng],497)))</f>
        <v/>
      </c>
      <c r="BO498" s="5">
        <f>IF(A498="","",N(INDEX(Projects[Structural Engineering],497)))</f>
        <v/>
      </c>
      <c r="BP498" s="5">
        <f>IF(A498="","",N(INDEX(Projects[Site Sup],497)))</f>
        <v/>
      </c>
      <c r="BQ498" s="5">
        <f>IF(A498="","",N(INDEX(Projects[Controls Commissioning],497)))</f>
        <v/>
      </c>
      <c r="BR498" s="5">
        <f>IF(A498="","",N(INDEX(Projects[Systems Commissioning],497)))</f>
        <v/>
      </c>
      <c r="BS498" s="5">
        <f>IF(A498="","",N(INDEX(Projects[Service Commissioning],497)))</f>
        <v/>
      </c>
      <c r="BT498" s="5">
        <f>IF(A498="","",N(INDEX(Projects[Controls Eng],497)))</f>
        <v/>
      </c>
      <c r="BU498" s="5">
        <f>IF(A498="","",N(INDEX(Projects[Controls Purchase],497)))</f>
        <v/>
      </c>
      <c r="BV498" s="5">
        <f>IF(A498="","",N(INDEX(Projects[Software Eng],497)))</f>
        <v/>
      </c>
      <c r="BW498" s="5">
        <f>IF(A498="","",N(INDEX(Projects[Misc],497)))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  <c r="BZ498" s="5">
        <f>INDEX(Projects[Solution Type],497)&amp;""</f>
        <v/>
      </c>
      <c r="CA498" s="5">
        <f>INDEX(Projects[Client / Region],497)&amp;""</f>
        <v/>
      </c>
      <c r="CB498" s="5">
        <f>INDEX(Projects[Year],497)</f>
        <v/>
      </c>
      <c r="CC498" s="5">
        <f>INDEX(Projects[Won?],497)&amp;""</f>
        <v/>
      </c>
      <c r="CD498" s="5">
        <f>INDEX(Projects[Value (USD M)],497)</f>
        <v/>
      </c>
      <c r="CE498" s="5">
        <f>INDEX(Projects[MH Data Status],497)&amp;""</f>
        <v/>
      </c>
    </row>
    <row r="499" ht="15" customHeight="1" s="74">
      <c r="A499" s="66">
        <f>INDEX(Projects[Project ID *],498)&amp;""</f>
        <v/>
      </c>
      <c r="B499" s="66">
        <f>INDEX(Projects[Project Name *],498)&amp;""</f>
        <v/>
      </c>
      <c r="C499" s="66">
        <f>INDEX(Projects[MS Shuttles],498)</f>
        <v/>
      </c>
      <c r="D499" s="66">
        <f>INDEX(Projects[MS Tote Locations],498)</f>
        <v/>
      </c>
      <c r="E499" s="66">
        <f>INDEX(Projects[AS Robots],498)</f>
        <v/>
      </c>
      <c r="F499" s="66">
        <f>INDEX(Projects[AS Tote Locations],498)</f>
        <v/>
      </c>
      <c r="G499" s="66">
        <f>INDEX(Projects[PS Shuttles],498)</f>
        <v/>
      </c>
      <c r="H499" s="66">
        <f>INDEX(Projects[PS Pallet Locations],498)</f>
        <v/>
      </c>
      <c r="I499" s="66">
        <f>INDEX(Projects[SRM Cranes],498)</f>
        <v/>
      </c>
      <c r="J499" s="66">
        <f>INDEX(Projects[SRM Pallet Locations],498)</f>
        <v/>
      </c>
      <c r="K499" s="66">
        <f>INDEX(Projects[Case Conv (m)],498)</f>
        <v/>
      </c>
      <c r="L499" s="66">
        <f>INDEX(Projects[Pallet Conv (m)],498)</f>
        <v/>
      </c>
      <c r="M499" s="66">
        <f>INDEX(Projects[Mech Eng (wks)],498)</f>
        <v/>
      </c>
      <c r="N499" s="66">
        <f>INDEX(Projects[Controls Eng (wks)],498)</f>
        <v/>
      </c>
      <c r="O499" s="66">
        <f>INDEX(Projects[Systems Eng (wks)],498)</f>
        <v/>
      </c>
      <c r="P499" s="66">
        <f>INDEX(Projects[Software Eng (wks)],498)</f>
        <v/>
      </c>
      <c r="Q499" s="66">
        <f>INDEX(Projects[M&amp;E Installation (wks)],498)</f>
        <v/>
      </c>
      <c r="R499" s="66">
        <f>INDEX(Projects[Commissioning (wks)],498)</f>
        <v/>
      </c>
      <c r="S499" s="66">
        <f>INDEX(Projects[Total Timeline (wks)],498)</f>
        <v/>
      </c>
      <c r="T499" s="66">
        <f>INDEX(Projects[Currency],498)&amp;""</f>
        <v/>
      </c>
      <c r="U499" s="67">
        <f>INDEX(Projects[Value (M)],498)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INDEX(Projects[Automation Equipment],498)&amp;""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IF(AND(A499&lt;&gt;"",OR('Smart Search'!$L$5="",'Smart Search'!$L$5="All",TRIM(BZ499)=TRIM('Smart Search'!$L$5)),OR(TRIM('Smart Search'!$L$6)="",TRIM('Smart Search'!$L$6)="All",ISNUMBER(SEARCH(SUBSTITUTE(SUBSTITUTE(SUBSTITUTE(TRIM('Smart Search'!$L$6),"~","~~"),"*","~*"),"?","~?"),CA499))),OR('Smart Search'!$L$7="",AND(CB499&lt;&gt;0,CB499='Smart Search'!$L$7)),OR('Smart Search'!$L$8="",'Smart Search'!$L$8="All",TRIM(CC499)=TRIM('Smart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IF(A499="","",N(INDEX(Projects[Mech Inst],498)))</f>
        <v/>
      </c>
      <c r="BK499" s="5">
        <f>IF(A499="","",N(INDEX(Projects[Elec Inst],498)))</f>
        <v/>
      </c>
      <c r="BL499" s="5">
        <f>IF(A499="","",N(INDEX(Projects[Project Management],498)))</f>
        <v/>
      </c>
      <c r="BM499" s="5">
        <f>IF(A499="","",N(INDEX(Projects[Systems Eng],498)))</f>
        <v/>
      </c>
      <c r="BN499" s="5">
        <f>IF(A499="","",N(INDEX(Projects[Mechanical Eng],498)))</f>
        <v/>
      </c>
      <c r="BO499" s="5">
        <f>IF(A499="","",N(INDEX(Projects[Structural Engineering],498)))</f>
        <v/>
      </c>
      <c r="BP499" s="5">
        <f>IF(A499="","",N(INDEX(Projects[Site Sup],498)))</f>
        <v/>
      </c>
      <c r="BQ499" s="5">
        <f>IF(A499="","",N(INDEX(Projects[Controls Commissioning],498)))</f>
        <v/>
      </c>
      <c r="BR499" s="5">
        <f>IF(A499="","",N(INDEX(Projects[Systems Commissioning],498)))</f>
        <v/>
      </c>
      <c r="BS499" s="5">
        <f>IF(A499="","",N(INDEX(Projects[Service Commissioning],498)))</f>
        <v/>
      </c>
      <c r="BT499" s="5">
        <f>IF(A499="","",N(INDEX(Projects[Controls Eng],498)))</f>
        <v/>
      </c>
      <c r="BU499" s="5">
        <f>IF(A499="","",N(INDEX(Projects[Controls Purchase],498)))</f>
        <v/>
      </c>
      <c r="BV499" s="5">
        <f>IF(A499="","",N(INDEX(Projects[Software Eng],498)))</f>
        <v/>
      </c>
      <c r="BW499" s="5">
        <f>IF(A499="","",N(INDEX(Projects[Misc],498)))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  <c r="BZ499" s="5">
        <f>INDEX(Projects[Solution Type],498)&amp;""</f>
        <v/>
      </c>
      <c r="CA499" s="5">
        <f>INDEX(Projects[Client / Region],498)&amp;""</f>
        <v/>
      </c>
      <c r="CB499" s="5">
        <f>INDEX(Projects[Year],498)</f>
        <v/>
      </c>
      <c r="CC499" s="5">
        <f>INDEX(Projects[Won?],498)&amp;""</f>
        <v/>
      </c>
      <c r="CD499" s="5">
        <f>INDEX(Projects[Value (USD M)],498)</f>
        <v/>
      </c>
      <c r="CE499" s="5">
        <f>INDEX(Projects[MH Data Status],498)&amp;""</f>
        <v/>
      </c>
    </row>
    <row r="500" ht="15" customHeight="1" s="74">
      <c r="A500" s="66">
        <f>INDEX(Projects[Project ID *],499)&amp;""</f>
        <v/>
      </c>
      <c r="B500" s="66">
        <f>INDEX(Projects[Project Name *],499)&amp;""</f>
        <v/>
      </c>
      <c r="C500" s="66">
        <f>INDEX(Projects[MS Shuttles],499)</f>
        <v/>
      </c>
      <c r="D500" s="66">
        <f>INDEX(Projects[MS Tote Locations],499)</f>
        <v/>
      </c>
      <c r="E500" s="66">
        <f>INDEX(Projects[AS Robots],499)</f>
        <v/>
      </c>
      <c r="F500" s="66">
        <f>INDEX(Projects[AS Tote Locations],499)</f>
        <v/>
      </c>
      <c r="G500" s="66">
        <f>INDEX(Projects[PS Shuttles],499)</f>
        <v/>
      </c>
      <c r="H500" s="66">
        <f>INDEX(Projects[PS Pallet Locations],499)</f>
        <v/>
      </c>
      <c r="I500" s="66">
        <f>INDEX(Projects[SRM Cranes],499)</f>
        <v/>
      </c>
      <c r="J500" s="66">
        <f>INDEX(Projects[SRM Pallet Locations],499)</f>
        <v/>
      </c>
      <c r="K500" s="66">
        <f>INDEX(Projects[Case Conv (m)],499)</f>
        <v/>
      </c>
      <c r="L500" s="66">
        <f>INDEX(Projects[Pallet Conv (m)],499)</f>
        <v/>
      </c>
      <c r="M500" s="66">
        <f>INDEX(Projects[Mech Eng (wks)],499)</f>
        <v/>
      </c>
      <c r="N500" s="66">
        <f>INDEX(Projects[Controls Eng (wks)],499)</f>
        <v/>
      </c>
      <c r="O500" s="66">
        <f>INDEX(Projects[Systems Eng (wks)],499)</f>
        <v/>
      </c>
      <c r="P500" s="66">
        <f>INDEX(Projects[Software Eng (wks)],499)</f>
        <v/>
      </c>
      <c r="Q500" s="66">
        <f>INDEX(Projects[M&amp;E Installation (wks)],499)</f>
        <v/>
      </c>
      <c r="R500" s="66">
        <f>INDEX(Projects[Commissioning (wks)],499)</f>
        <v/>
      </c>
      <c r="S500" s="66">
        <f>INDEX(Projects[Total Timeline (wks)],499)</f>
        <v/>
      </c>
      <c r="T500" s="66">
        <f>INDEX(Projects[Currency],499)&amp;""</f>
        <v/>
      </c>
      <c r="U500" s="67">
        <f>INDEX(Projects[Value (M)],499)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INDEX(Projects[Automation Equipment],499)&amp;""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IF(AND(A500&lt;&gt;"",OR('Smart Search'!$L$5="",'Smart Search'!$L$5="All",TRIM(BZ500)=TRIM('Smart Search'!$L$5)),OR(TRIM('Smart Search'!$L$6)="",TRIM('Smart Search'!$L$6)="All",ISNUMBER(SEARCH(SUBSTITUTE(SUBSTITUTE(SUBSTITUTE(TRIM('Smart Search'!$L$6),"~","~~"),"*","~*"),"?","~?"),CA500))),OR('Smart Search'!$L$7="",AND(CB500&lt;&gt;0,CB500='Smart Search'!$L$7)),OR('Smart Search'!$L$8="",'Smart Search'!$L$8="All",TRIM(CC500)=TRIM('Smart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IF(A500="","",N(INDEX(Projects[Mech Inst],499)))</f>
        <v/>
      </c>
      <c r="BK500" s="5">
        <f>IF(A500="","",N(INDEX(Projects[Elec Inst],499)))</f>
        <v/>
      </c>
      <c r="BL500" s="5">
        <f>IF(A500="","",N(INDEX(Projects[Project Management],499)))</f>
        <v/>
      </c>
      <c r="BM500" s="5">
        <f>IF(A500="","",N(INDEX(Projects[Systems Eng],499)))</f>
        <v/>
      </c>
      <c r="BN500" s="5">
        <f>IF(A500="","",N(INDEX(Projects[Mechanical Eng],499)))</f>
        <v/>
      </c>
      <c r="BO500" s="5">
        <f>IF(A500="","",N(INDEX(Projects[Structural Engineering],499)))</f>
        <v/>
      </c>
      <c r="BP500" s="5">
        <f>IF(A500="","",N(INDEX(Projects[Site Sup],499)))</f>
        <v/>
      </c>
      <c r="BQ500" s="5">
        <f>IF(A500="","",N(INDEX(Projects[Controls Commissioning],499)))</f>
        <v/>
      </c>
      <c r="BR500" s="5">
        <f>IF(A500="","",N(INDEX(Projects[Systems Commissioning],499)))</f>
        <v/>
      </c>
      <c r="BS500" s="5">
        <f>IF(A500="","",N(INDEX(Projects[Service Commissioning],499)))</f>
        <v/>
      </c>
      <c r="BT500" s="5">
        <f>IF(A500="","",N(INDEX(Projects[Controls Eng],499)))</f>
        <v/>
      </c>
      <c r="BU500" s="5">
        <f>IF(A500="","",N(INDEX(Projects[Controls Purchase],499)))</f>
        <v/>
      </c>
      <c r="BV500" s="5">
        <f>IF(A500="","",N(INDEX(Projects[Software Eng],499)))</f>
        <v/>
      </c>
      <c r="BW500" s="5">
        <f>IF(A500="","",N(INDEX(Projects[Misc],499)))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  <c r="BZ500" s="5">
        <f>INDEX(Projects[Solution Type],499)&amp;""</f>
        <v/>
      </c>
      <c r="CA500" s="5">
        <f>INDEX(Projects[Client / Region],499)&amp;""</f>
        <v/>
      </c>
      <c r="CB500" s="5">
        <f>INDEX(Projects[Year],499)</f>
        <v/>
      </c>
      <c r="CC500" s="5">
        <f>INDEX(Projects[Won?],499)&amp;""</f>
        <v/>
      </c>
      <c r="CD500" s="5">
        <f>INDEX(Projects[Value (USD M)],499)</f>
        <v/>
      </c>
      <c r="CE500" s="5">
        <f>INDEX(Projects[MH Data Status],499)&amp;""</f>
        <v/>
      </c>
    </row>
    <row r="501" ht="15" customHeight="1" s="74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7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5" t="n"/>
      <c r="BG501" s="5" t="n"/>
      <c r="BH501" s="5" t="n"/>
      <c r="BI501" s="5" t="n"/>
      <c r="BJ501" s="5" t="n"/>
      <c r="BK501" s="5" t="n"/>
      <c r="BL501" s="5" t="n"/>
      <c r="BM501" s="5" t="n"/>
      <c r="BN501" s="5" t="n"/>
      <c r="BO501" s="5" t="n"/>
      <c r="BP501" s="5" t="n"/>
      <c r="BQ501" s="5" t="n"/>
      <c r="BR501" s="5" t="n"/>
      <c r="BS501" s="5" t="n"/>
      <c r="BT501" s="5" t="n"/>
      <c r="BU501" s="5" t="n"/>
      <c r="BV501" s="5" t="n"/>
      <c r="BW501" s="5" t="n"/>
      <c r="BX501" s="5" t="n"/>
      <c r="BY501" s="5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52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72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73" t="n"/>
      <c r="C3" s="174" t="inlineStr">
        <is>
          <t xml:space="preserve">  RANK 1  —  Best Match</t>
        </is>
      </c>
      <c r="I3" s="153" t="n"/>
      <c r="J3" s="175" t="inlineStr">
        <is>
          <t xml:space="preserve">  RANK 2  —  2nd Match</t>
        </is>
      </c>
      <c r="P3" s="153" t="n"/>
      <c r="Q3" s="176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7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IFERROR(INDEX(_Helper!CA2:CA501,MATCH(LARGE(_Helper!BH2:BH501,1),_Helper!BH2:BH501,0)),"-")</f>
        <v/>
      </c>
      <c r="D8" s="91" t="n"/>
      <c r="E8" s="91" t="n"/>
      <c r="F8" s="91" t="n"/>
      <c r="G8" s="91" t="n"/>
      <c r="H8" s="91" t="n"/>
      <c r="I8" s="7" t="n"/>
      <c r="J8" s="136">
        <f>IFERROR(INDEX(_Helper!CA2:CA501,MATCH(LARGE(_Helper!BH2:BH501,2),_Helper!BH2:BH501,0)),"-")</f>
        <v/>
      </c>
      <c r="K8" s="91" t="n"/>
      <c r="L8" s="91" t="n"/>
      <c r="M8" s="91" t="n"/>
      <c r="N8" s="91" t="n"/>
      <c r="O8" s="91" t="n"/>
      <c r="P8" s="7" t="n"/>
      <c r="Q8" s="138">
        <f>IFERROR(INDEX(_Helper!CA2:CA501,MATCH(LARGE(_Helper!BH2:BH501,3),_Helper!BH2:BH501,0)),"-")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Solution Type</t>
        </is>
      </c>
      <c r="B9" s="91" t="n"/>
      <c r="C9" s="135">
        <f>IFERROR(IF(INDEX(_Helper!BZ2:BZ501,MATCH(LARGE(_Helper!BH2:BH501,1),_Helper!BH2:BH501,0))="","(not set)",INDEX(_Helper!BZ2:BZ501,MATCH(LARGE(_Helper!BH2:BH501,1),_Helper!BH2:BH501,0))),"-")</f>
        <v/>
      </c>
      <c r="D9" s="91" t="n"/>
      <c r="E9" s="91" t="n"/>
      <c r="F9" s="91" t="n"/>
      <c r="G9" s="91" t="n"/>
      <c r="H9" s="91" t="n"/>
      <c r="I9" s="8" t="n"/>
      <c r="J9" s="136">
        <f>IFERROR(IF(INDEX(_Helper!BZ2:BZ501,MATCH(LARGE(_Helper!BH2:BH501,2),_Helper!BH2:BH501,0))="","(not set)",INDEX(_Helper!BZ2:BZ501,MATCH(LARGE(_Helper!BH2:BH501,2),_Helper!BH2:BH501,0))),"-")</f>
        <v/>
      </c>
      <c r="K9" s="91" t="n"/>
      <c r="L9" s="91" t="n"/>
      <c r="M9" s="91" t="n"/>
      <c r="N9" s="91" t="n"/>
      <c r="O9" s="91" t="n"/>
      <c r="P9" s="8" t="n"/>
      <c r="Q9" s="138">
        <f>IFERROR(IF(INDEX(_Helper!BZ2:BZ501,MATCH(LARGE(_Helper!BH2:BH501,3),_Helper!BH2:BH501,0))="","(not set)",INDEX(_Helper!BZ2:BZ501,MATCH(LARGE(_Helper!BH2:BH501,3),_Helper!BH2:BH501,0))),"-")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Year</t>
        </is>
      </c>
      <c r="B10" s="91" t="n"/>
      <c r="C10" s="135">
        <f>IFERROR(INDEX(_Helper!CB2:CB501,MATCH(LARGE(_Helper!BH2:BH501,1),_Helper!BH2:BH501,0)),"-")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IFERROR(INDEX(_Helper!CB2:CB501,MATCH(LARGE(_Helper!BH2:BH501,2),_Helper!BH2:BH501,0)),"-")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IFERROR(INDEX(_Helper!CB2:CB501,MATCH(LARGE(_Helper!BH2:BH501,3),_Helper!BH2:BH501,0)),"-")</f>
        <v/>
      </c>
      <c r="R10" s="91" t="n"/>
      <c r="S10" s="91" t="n"/>
      <c r="T10" s="91" t="n"/>
      <c r="U10" s="91" t="n"/>
      <c r="V10" s="91" t="n"/>
    </row>
    <row r="11" ht="19.5" customHeight="1" s="74">
      <c r="A11" s="137" t="inlineStr">
        <is>
          <t>Project Value</t>
        </is>
      </c>
      <c r="B11" s="91" t="n"/>
      <c r="C11" s="135">
        <f>IFERROR(INDEX(_Helper!T2:T501,MATCH(LARGE(_Helper!BH2:BH501,1),_Helper!BH2:BH501,0))&amp;" "&amp;TEXT(INDEX(_Helper!U2:U501,MATCH(LARGE(_Helper!BH2:BH501,1),_Helper!BH2:BH501,0)),"#,##0.00")&amp;" M","-")</f>
        <v/>
      </c>
      <c r="D11" s="91" t="n"/>
      <c r="E11" s="91" t="n"/>
      <c r="F11" s="91" t="n"/>
      <c r="G11" s="91" t="n"/>
      <c r="H11" s="91" t="n"/>
      <c r="I11" s="8" t="n"/>
      <c r="J11" s="136">
        <f>IFERROR(INDEX(_Helper!T2:T501,MATCH(LARGE(_Helper!BH2:BH501,2),_Helper!BH2:BH501,0))&amp;" "&amp;TEXT(INDEX(_Helper!U2:U501,MATCH(LARGE(_Helper!BH2:BH501,2),_Helper!BH2:BH501,0)),"#,##0.00")&amp;" M","-")</f>
        <v/>
      </c>
      <c r="K11" s="91" t="n"/>
      <c r="L11" s="91" t="n"/>
      <c r="M11" s="91" t="n"/>
      <c r="N11" s="91" t="n"/>
      <c r="O11" s="91" t="n"/>
      <c r="P11" s="8" t="n"/>
      <c r="Q11" s="138">
        <f>IFERROR(INDEX(_Helper!T2:T501,MATCH(LARGE(_Helper!BH2:BH501,3),_Helper!BH2:BH501,0))&amp;" "&amp;TEXT(INDEX(_Helper!U2:U501,MATCH(LARGE(_Helper!BH2:BH501,3),_Helper!BH2:BH501,0)),"#,##0.00")&amp;" M","-")</f>
        <v/>
      </c>
      <c r="R11" s="91" t="n"/>
      <c r="S11" s="91" t="n"/>
      <c r="T11" s="91" t="n"/>
      <c r="U11" s="91" t="n"/>
      <c r="V11" s="91" t="n"/>
    </row>
    <row r="12" ht="19.5" customHeight="1" s="74">
      <c r="A12" s="140" t="inlineStr">
        <is>
          <t>Value (USD equiv.)</t>
        </is>
      </c>
      <c r="B12" s="91" t="n"/>
      <c r="C12" s="135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D12" s="91" t="n"/>
      <c r="E12" s="91" t="n"/>
      <c r="F12" s="91" t="n"/>
      <c r="G12" s="91" t="n"/>
      <c r="H12" s="91" t="n"/>
      <c r="I12" s="7" t="n"/>
      <c r="J12" s="136">
        <f>IFERROR(IF(INDEX(_Helper!A2:A501,MATCH(LARGE(_Helper!BH2:BH501,2),_Helper!BH2:BH501,0))="","-",IF(ISNUMBER(INDEX(_Helper!CD2:CD501,MATCH(LARGE(_Helper!BH2:BH501,2),_Helper!BH2:BH501,0))),"≈ USD "&amp;TEXT(INDEX(_Helper!CD2:CD501,MATCH(LARGE(_Helper!BH2:BH501,2),_Helper!BH2:BH501,0)),"#,##0.00")&amp;" M","USD n/a")),"-")</f>
        <v/>
      </c>
      <c r="K12" s="91" t="n"/>
      <c r="L12" s="91" t="n"/>
      <c r="M12" s="91" t="n"/>
      <c r="N12" s="91" t="n"/>
      <c r="O12" s="91" t="n"/>
      <c r="P12" s="7" t="n"/>
      <c r="Q12" s="138">
        <f>IFERROR(IF(INDEX(_Helper!A2:A501,MATCH(LARGE(_Helper!BH2:BH501,3),_Helper!BH2:BH501,0))="","-",IF(ISNUMBER(INDEX(_Helper!CD2:CD501,MATCH(LARGE(_Helper!BH2:BH501,3),_Helper!BH2:BH501,0))),"≈ USD "&amp;TEXT(INDEX(_Helper!CD2:CD501,MATCH(LARGE(_Helper!BH2:BH501,3),_Helper!BH2:BH501,0)),"#,##0.00")&amp;" M","USD n/a")),"-")</f>
        <v/>
      </c>
      <c r="R12" s="91" t="n"/>
      <c r="S12" s="91" t="n"/>
      <c r="T12" s="91" t="n"/>
      <c r="U12" s="91" t="n"/>
      <c r="V12" s="91" t="n"/>
    </row>
    <row r="13" ht="19.5" customHeight="1" s="74">
      <c r="A13" s="177" t="inlineStr">
        <is>
          <t xml:space="preserve">  SYSTEM SPECIFICATIONS</t>
        </is>
      </c>
    </row>
    <row r="14" ht="19.5" customHeight="1" s="74">
      <c r="A14" s="140" t="inlineStr">
        <is>
          <t>MS Shuttles</t>
        </is>
      </c>
      <c r="B14" s="91" t="n"/>
      <c r="C14" s="135">
        <f>IFERROR(INDEX(_Helper!C2:C501,MATCH(LARGE(_Helper!BH2:BH501,1),_Helper!BH2:BH501,0)),"-")</f>
        <v/>
      </c>
      <c r="D14" s="91" t="n"/>
      <c r="E14" s="91" t="n"/>
      <c r="F14" s="91" t="n"/>
      <c r="G14" s="91" t="n"/>
      <c r="H14" s="91" t="n"/>
      <c r="I14" s="7" t="n"/>
      <c r="J14" s="136">
        <f>IFERROR(INDEX(_Helper!C2:C501,MATCH(LARGE(_Helper!BH2:BH501,2),_Helper!BH2:BH501,0)),"-")</f>
        <v/>
      </c>
      <c r="K14" s="91" t="n"/>
      <c r="L14" s="91" t="n"/>
      <c r="M14" s="91" t="n"/>
      <c r="N14" s="91" t="n"/>
      <c r="O14" s="91" t="n"/>
      <c r="P14" s="7" t="n"/>
      <c r="Q14" s="138">
        <f>IFERROR(INDEX(_Helper!C2:C501,MATCH(LARGE(_Helper!BH2:BH501,3),_Helper!BH2:BH501,0)),"-")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37" t="inlineStr">
        <is>
          <t>MS Tote Locations</t>
        </is>
      </c>
      <c r="B15" s="91" t="n"/>
      <c r="C15" s="135">
        <f>IFERROR(INDEX(_Helper!D2:D501,MATCH(LARGE(_Helper!BH2:BH501,1),_Helper!BH2:BH501,0)),"-")</f>
        <v/>
      </c>
      <c r="D15" s="91" t="n"/>
      <c r="E15" s="91" t="n"/>
      <c r="F15" s="91" t="n"/>
      <c r="G15" s="91" t="n"/>
      <c r="H15" s="91" t="n"/>
      <c r="I15" s="8" t="n"/>
      <c r="J15" s="136">
        <f>IFERROR(INDEX(_Helper!D2:D501,MATCH(LARGE(_Helper!BH2:BH501,2),_Helper!BH2:BH501,0)),"-")</f>
        <v/>
      </c>
      <c r="K15" s="91" t="n"/>
      <c r="L15" s="91" t="n"/>
      <c r="M15" s="91" t="n"/>
      <c r="N15" s="91" t="n"/>
      <c r="O15" s="91" t="n"/>
      <c r="P15" s="8" t="n"/>
      <c r="Q15" s="138">
        <f>IFERROR(INDEX(_Helper!D2:D501,MATCH(LARGE(_Helper!BH2:BH501,3),_Helper!BH2:BH501,0)),"-")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40" t="inlineStr">
        <is>
          <t>AS Robots</t>
        </is>
      </c>
      <c r="B16" s="91" t="n"/>
      <c r="C16" s="135">
        <f>IFERROR(INDEX(_Helper!E2:E501,MATCH(LARGE(_Helper!BH2:BH501,1),_Helper!BH2:BH501,0)),"-")</f>
        <v/>
      </c>
      <c r="D16" s="91" t="n"/>
      <c r="E16" s="91" t="n"/>
      <c r="F16" s="91" t="n"/>
      <c r="G16" s="91" t="n"/>
      <c r="H16" s="91" t="n"/>
      <c r="I16" s="7" t="n"/>
      <c r="J16" s="136">
        <f>IFERROR(INDEX(_Helper!E2:E501,MATCH(LARGE(_Helper!BH2:BH501,2),_Helper!BH2:BH501,0)),"-")</f>
        <v/>
      </c>
      <c r="K16" s="91" t="n"/>
      <c r="L16" s="91" t="n"/>
      <c r="M16" s="91" t="n"/>
      <c r="N16" s="91" t="n"/>
      <c r="O16" s="91" t="n"/>
      <c r="P16" s="7" t="n"/>
      <c r="Q16" s="138">
        <f>IFERROR(INDEX(_Helper!E2:E501,MATCH(LARGE(_Helper!BH2:BH501,3),_Helper!BH2:BH501,0)),"-")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37" t="inlineStr">
        <is>
          <t>AS Tote Locations</t>
        </is>
      </c>
      <c r="B17" s="91" t="n"/>
      <c r="C17" s="135">
        <f>IFERROR(INDEX(_Helper!F2:F501,MATCH(LARGE(_Helper!BH2:BH501,1),_Helper!BH2:BH501,0)),"-")</f>
        <v/>
      </c>
      <c r="D17" s="91" t="n"/>
      <c r="E17" s="91" t="n"/>
      <c r="F17" s="91" t="n"/>
      <c r="G17" s="91" t="n"/>
      <c r="H17" s="91" t="n"/>
      <c r="I17" s="8" t="n"/>
      <c r="J17" s="136">
        <f>IFERROR(INDEX(_Helper!F2:F501,MATCH(LARGE(_Helper!BH2:BH501,2),_Helper!BH2:BH501,0)),"-")</f>
        <v/>
      </c>
      <c r="K17" s="91" t="n"/>
      <c r="L17" s="91" t="n"/>
      <c r="M17" s="91" t="n"/>
      <c r="N17" s="91" t="n"/>
      <c r="O17" s="91" t="n"/>
      <c r="P17" s="8" t="n"/>
      <c r="Q17" s="138">
        <f>IFERROR(INDEX(_Helper!F2:F501,MATCH(LARGE(_Helper!BH2:BH501,3),_Helper!BH2:BH501,0)),"-")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40" t="inlineStr">
        <is>
          <t>PS Shuttles</t>
        </is>
      </c>
      <c r="B18" s="91" t="n"/>
      <c r="C18" s="135">
        <f>IFERROR(INDEX(_Helper!G2:G501,MATCH(LARGE(_Helper!BH2:BH501,1),_Helper!BH2:BH501,0)),"-")</f>
        <v/>
      </c>
      <c r="D18" s="91" t="n"/>
      <c r="E18" s="91" t="n"/>
      <c r="F18" s="91" t="n"/>
      <c r="G18" s="91" t="n"/>
      <c r="H18" s="91" t="n"/>
      <c r="I18" s="7" t="n"/>
      <c r="J18" s="136">
        <f>IFERROR(INDEX(_Helper!G2:G501,MATCH(LARGE(_Helper!BH2:BH501,2),_Helper!BH2:BH501,0)),"-")</f>
        <v/>
      </c>
      <c r="K18" s="91" t="n"/>
      <c r="L18" s="91" t="n"/>
      <c r="M18" s="91" t="n"/>
      <c r="N18" s="91" t="n"/>
      <c r="O18" s="91" t="n"/>
      <c r="P18" s="7" t="n"/>
      <c r="Q18" s="138">
        <f>IFERROR(INDEX(_Helper!G2:G501,MATCH(LARGE(_Helper!BH2:BH501,3),_Helper!BH2:BH501,0)),"-")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37" t="inlineStr">
        <is>
          <t>PS Pallet Locations</t>
        </is>
      </c>
      <c r="B19" s="91" t="n"/>
      <c r="C19" s="135">
        <f>IFERROR(INDEX(_Helper!H2:H501,MATCH(LARGE(_Helper!BH2:BH501,1),_Helper!BH2:BH501,0)),"-")</f>
        <v/>
      </c>
      <c r="D19" s="91" t="n"/>
      <c r="E19" s="91" t="n"/>
      <c r="F19" s="91" t="n"/>
      <c r="G19" s="91" t="n"/>
      <c r="H19" s="91" t="n"/>
      <c r="I19" s="8" t="n"/>
      <c r="J19" s="136">
        <f>IFERROR(INDEX(_Helper!H2:H501,MATCH(LARGE(_Helper!BH2:BH501,2),_Helper!BH2:BH501,0)),"-")</f>
        <v/>
      </c>
      <c r="K19" s="91" t="n"/>
      <c r="L19" s="91" t="n"/>
      <c r="M19" s="91" t="n"/>
      <c r="N19" s="91" t="n"/>
      <c r="O19" s="91" t="n"/>
      <c r="P19" s="8" t="n"/>
      <c r="Q19" s="138">
        <f>IFERROR(INDEX(_Helper!H2:H501,MATCH(LARGE(_Helper!BH2:BH501,3),_Helper!BH2:BH501,0)),"-")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40" t="inlineStr">
        <is>
          <t>SRM Cranes</t>
        </is>
      </c>
      <c r="B20" s="91" t="n"/>
      <c r="C20" s="135">
        <f>IFERROR(INDEX(_Helper!I2:I501,MATCH(LARGE(_Helper!BH2:BH501,1),_Helper!BH2:BH501,0)),"-")</f>
        <v/>
      </c>
      <c r="D20" s="91" t="n"/>
      <c r="E20" s="91" t="n"/>
      <c r="F20" s="91" t="n"/>
      <c r="G20" s="91" t="n"/>
      <c r="H20" s="91" t="n"/>
      <c r="I20" s="7" t="n"/>
      <c r="J20" s="136">
        <f>IFERROR(INDEX(_Helper!I2:I501,MATCH(LARGE(_Helper!BH2:BH501,2),_Helper!BH2:BH501,0)),"-")</f>
        <v/>
      </c>
      <c r="K20" s="91" t="n"/>
      <c r="L20" s="91" t="n"/>
      <c r="M20" s="91" t="n"/>
      <c r="N20" s="91" t="n"/>
      <c r="O20" s="91" t="n"/>
      <c r="P20" s="7" t="n"/>
      <c r="Q20" s="138">
        <f>IFERROR(INDEX(_Helper!I2:I501,MATCH(LARGE(_Helper!BH2:BH501,3),_Helper!BH2:BH501,0)),"-")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37" t="inlineStr">
        <is>
          <t>SRM Pallet Locations</t>
        </is>
      </c>
      <c r="B21" s="91" t="n"/>
      <c r="C21" s="135">
        <f>IFERROR(INDEX(_Helper!J2:J501,MATCH(LARGE(_Helper!BH2:BH501,1),_Helper!BH2:BH501,0)),"-")</f>
        <v/>
      </c>
      <c r="D21" s="91" t="n"/>
      <c r="E21" s="91" t="n"/>
      <c r="F21" s="91" t="n"/>
      <c r="G21" s="91" t="n"/>
      <c r="H21" s="91" t="n"/>
      <c r="I21" s="8" t="n"/>
      <c r="J21" s="136">
        <f>IFERROR(INDEX(_Helper!J2:J501,MATCH(LARGE(_Helper!BH2:BH501,2),_Helper!BH2:BH501,0)),"-")</f>
        <v/>
      </c>
      <c r="K21" s="91" t="n"/>
      <c r="L21" s="91" t="n"/>
      <c r="M21" s="91" t="n"/>
      <c r="N21" s="91" t="n"/>
      <c r="O21" s="91" t="n"/>
      <c r="P21" s="8" t="n"/>
      <c r="Q21" s="138">
        <f>IFERROR(INDEX(_Helper!J2:J501,MATCH(LARGE(_Helper!BH2:BH501,3),_Helper!BH2:BH501,0)),"-")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40" t="inlineStr">
        <is>
          <t>Case Conveyor (m)</t>
        </is>
      </c>
      <c r="B22" s="91" t="n"/>
      <c r="C22" s="135">
        <f>IFERROR(INDEX(_Helper!K2:K501,MATCH(LARGE(_Helper!BH2:BH501,1),_Helper!BH2:BH501,0)),"-")</f>
        <v/>
      </c>
      <c r="D22" s="91" t="n"/>
      <c r="E22" s="91" t="n"/>
      <c r="F22" s="91" t="n"/>
      <c r="G22" s="91" t="n"/>
      <c r="H22" s="91" t="n"/>
      <c r="I22" s="7" t="n"/>
      <c r="J22" s="136">
        <f>IFERROR(INDEX(_Helper!K2:K501,MATCH(LARGE(_Helper!BH2:BH501,2),_Helper!BH2:BH501,0)),"-")</f>
        <v/>
      </c>
      <c r="K22" s="91" t="n"/>
      <c r="L22" s="91" t="n"/>
      <c r="M22" s="91" t="n"/>
      <c r="N22" s="91" t="n"/>
      <c r="O22" s="91" t="n"/>
      <c r="P22" s="7" t="n"/>
      <c r="Q22" s="138">
        <f>IFERROR(INDEX(_Helper!K2:K501,MATCH(LARGE(_Helper!BH2:BH501,3),_Helper!BH2:BH501,0)),"-")</f>
        <v/>
      </c>
      <c r="R22" s="91" t="n"/>
      <c r="S22" s="91" t="n"/>
      <c r="T22" s="91" t="n"/>
      <c r="U22" s="91" t="n"/>
      <c r="V22" s="91" t="n"/>
    </row>
    <row r="23" ht="19.5" customHeight="1" s="74">
      <c r="A23" s="137" t="inlineStr">
        <is>
          <t>Pallet Conveyor (m)</t>
        </is>
      </c>
      <c r="B23" s="91" t="n"/>
      <c r="C23" s="135">
        <f>IFERROR(INDEX(_Helper!L2:L501,MATCH(LARGE(_Helper!BH2:BH501,1),_Helper!BH2:BH501,0)),"-")</f>
        <v/>
      </c>
      <c r="D23" s="91" t="n"/>
      <c r="E23" s="91" t="n"/>
      <c r="F23" s="91" t="n"/>
      <c r="G23" s="91" t="n"/>
      <c r="H23" s="91" t="n"/>
      <c r="I23" s="8" t="n"/>
      <c r="J23" s="136">
        <f>IFERROR(INDEX(_Helper!L2:L501,MATCH(LARGE(_Helper!BH2:BH501,2),_Helper!BH2:BH501,0)),"-")</f>
        <v/>
      </c>
      <c r="K23" s="91" t="n"/>
      <c r="L23" s="91" t="n"/>
      <c r="M23" s="91" t="n"/>
      <c r="N23" s="91" t="n"/>
      <c r="O23" s="91" t="n"/>
      <c r="P23" s="8" t="n"/>
      <c r="Q23" s="138">
        <f>IFERROR(INDEX(_Helper!L2:L501,MATCH(LARGE(_Helper!BH2:BH501,3),_Helper!BH2:BH501,0)),"-")</f>
        <v/>
      </c>
      <c r="R23" s="91" t="n"/>
      <c r="S23" s="91" t="n"/>
      <c r="T23" s="91" t="n"/>
      <c r="U23" s="91" t="n"/>
      <c r="V23" s="91" t="n"/>
    </row>
    <row r="24" ht="19.5" customHeight="1" s="74">
      <c r="A24" s="177" t="inlineStr">
        <is>
          <t xml:space="preserve">  SCHEDULE  (weeks)</t>
        </is>
      </c>
    </row>
    <row r="25" ht="19.5" customHeight="1" s="74">
      <c r="A25" s="140" t="inlineStr">
        <is>
          <t>Mechanical Engineering</t>
        </is>
      </c>
      <c r="B25" s="91" t="n"/>
      <c r="C25" s="135">
        <f>IFERROR(INDEX(_Helper!M2:M501,MATCH(LARGE(_Helper!BH2:BH501,1),_Helper!BH2:BH501,0)),"-")</f>
        <v/>
      </c>
      <c r="D25" s="91" t="n"/>
      <c r="E25" s="91" t="n"/>
      <c r="F25" s="91" t="n"/>
      <c r="G25" s="91" t="n"/>
      <c r="H25" s="91" t="n"/>
      <c r="I25" s="7" t="n"/>
      <c r="J25" s="136">
        <f>IFERROR(INDEX(_Helper!M2:M501,MATCH(LARGE(_Helper!BH2:BH501,2),_Helper!BH2:BH501,0)),"-")</f>
        <v/>
      </c>
      <c r="K25" s="91" t="n"/>
      <c r="L25" s="91" t="n"/>
      <c r="M25" s="91" t="n"/>
      <c r="N25" s="91" t="n"/>
      <c r="O25" s="91" t="n"/>
      <c r="P25" s="7" t="n"/>
      <c r="Q25" s="138">
        <f>IFERROR(INDEX(_Helper!M2:M501,MATCH(LARGE(_Helper!BH2:BH501,3),_Helper!BH2:BH501,0)),"-")</f>
        <v/>
      </c>
      <c r="R25" s="91" t="n"/>
      <c r="S25" s="91" t="n"/>
      <c r="T25" s="91" t="n"/>
      <c r="U25" s="91" t="n"/>
      <c r="V25" s="91" t="n"/>
    </row>
    <row r="26" ht="19.5" customHeight="1" s="74">
      <c r="A26" s="137" t="inlineStr">
        <is>
          <t>Controls Engineering</t>
        </is>
      </c>
      <c r="B26" s="91" t="n"/>
      <c r="C26" s="135">
        <f>IFERROR(INDEX(_Helper!N2:N501,MATCH(LARGE(_Helper!BH2:BH501,1),_Helper!BH2:BH501,0)),"-")</f>
        <v/>
      </c>
      <c r="D26" s="91" t="n"/>
      <c r="E26" s="91" t="n"/>
      <c r="F26" s="91" t="n"/>
      <c r="G26" s="91" t="n"/>
      <c r="H26" s="91" t="n"/>
      <c r="I26" s="8" t="n"/>
      <c r="J26" s="136">
        <f>IFERROR(INDEX(_Helper!N2:N501,MATCH(LARGE(_Helper!BH2:BH501,2),_Helper!BH2:BH501,0)),"-")</f>
        <v/>
      </c>
      <c r="K26" s="91" t="n"/>
      <c r="L26" s="91" t="n"/>
      <c r="M26" s="91" t="n"/>
      <c r="N26" s="91" t="n"/>
      <c r="O26" s="91" t="n"/>
      <c r="P26" s="8" t="n"/>
      <c r="Q26" s="138">
        <f>IFERROR(INDEX(_Helper!N2:N501,MATCH(LARGE(_Helper!BH2:BH501,3),_Helper!BH2:BH501,0)),"-")</f>
        <v/>
      </c>
      <c r="R26" s="91" t="n"/>
      <c r="S26" s="91" t="n"/>
      <c r="T26" s="91" t="n"/>
      <c r="U26" s="91" t="n"/>
      <c r="V26" s="91" t="n"/>
    </row>
    <row r="27" ht="19.5" customHeight="1" s="74">
      <c r="A27" s="140" t="inlineStr">
        <is>
          <t>Systems Engineering</t>
        </is>
      </c>
      <c r="B27" s="91" t="n"/>
      <c r="C27" s="135">
        <f>IFERROR(INDEX(_Helper!O2:O501,MATCH(LARGE(_Helper!BH2:BH501,1),_Helper!BH2:BH501,0)),"-")</f>
        <v/>
      </c>
      <c r="D27" s="91" t="n"/>
      <c r="E27" s="91" t="n"/>
      <c r="F27" s="91" t="n"/>
      <c r="G27" s="91" t="n"/>
      <c r="H27" s="91" t="n"/>
      <c r="I27" s="7" t="n"/>
      <c r="J27" s="136">
        <f>IFERROR(INDEX(_Helper!O2:O501,MATCH(LARGE(_Helper!BH2:BH501,2),_Helper!BH2:BH501,0)),"-")</f>
        <v/>
      </c>
      <c r="K27" s="91" t="n"/>
      <c r="L27" s="91" t="n"/>
      <c r="M27" s="91" t="n"/>
      <c r="N27" s="91" t="n"/>
      <c r="O27" s="91" t="n"/>
      <c r="P27" s="7" t="n"/>
      <c r="Q27" s="138">
        <f>IFERROR(INDEX(_Helper!O2:O501,MATCH(LARGE(_Helper!BH2:BH501,3),_Helper!BH2:BH501,0)),"-")</f>
        <v/>
      </c>
      <c r="R27" s="91" t="n"/>
      <c r="S27" s="91" t="n"/>
      <c r="T27" s="91" t="n"/>
      <c r="U27" s="91" t="n"/>
      <c r="V27" s="91" t="n"/>
    </row>
    <row r="28" ht="19.5" customHeight="1" s="74">
      <c r="A28" s="137" t="inlineStr">
        <is>
          <t>Software Engineering</t>
        </is>
      </c>
      <c r="B28" s="91" t="n"/>
      <c r="C28" s="135">
        <f>IFERROR(INDEX(_Helper!P2:P501,MATCH(LARGE(_Helper!BH2:BH501,1),_Helper!BH2:BH501,0)),"-")</f>
        <v/>
      </c>
      <c r="D28" s="91" t="n"/>
      <c r="E28" s="91" t="n"/>
      <c r="F28" s="91" t="n"/>
      <c r="G28" s="91" t="n"/>
      <c r="H28" s="91" t="n"/>
      <c r="I28" s="8" t="n"/>
      <c r="J28" s="136">
        <f>IFERROR(INDEX(_Helper!P2:P501,MATCH(LARGE(_Helper!BH2:BH501,2),_Helper!BH2:BH501,0)),"-")</f>
        <v/>
      </c>
      <c r="K28" s="91" t="n"/>
      <c r="L28" s="91" t="n"/>
      <c r="M28" s="91" t="n"/>
      <c r="N28" s="91" t="n"/>
      <c r="O28" s="91" t="n"/>
      <c r="P28" s="8" t="n"/>
      <c r="Q28" s="138">
        <f>IFERROR(INDEX(_Helper!P2:P501,MATCH(LARGE(_Helper!BH2:BH501,3),_Helper!BH2:BH501,0)),"-")</f>
        <v/>
      </c>
      <c r="R28" s="91" t="n"/>
      <c r="S28" s="91" t="n"/>
      <c r="T28" s="91" t="n"/>
      <c r="U28" s="91" t="n"/>
      <c r="V28" s="91" t="n"/>
    </row>
    <row r="29" ht="19.5" customHeight="1" s="74">
      <c r="A29" s="140" t="inlineStr">
        <is>
          <t>M&amp;E Installation</t>
        </is>
      </c>
      <c r="B29" s="91" t="n"/>
      <c r="C29" s="135">
        <f>IFERROR(INDEX(_Helper!Q2:Q501,MATCH(LARGE(_Helper!BH2:BH501,1),_Helper!BH2:BH501,0)),"-")</f>
        <v/>
      </c>
      <c r="D29" s="91" t="n"/>
      <c r="E29" s="91" t="n"/>
      <c r="F29" s="91" t="n"/>
      <c r="G29" s="91" t="n"/>
      <c r="H29" s="91" t="n"/>
      <c r="I29" s="7" t="n"/>
      <c r="J29" s="136">
        <f>IFERROR(INDEX(_Helper!Q2:Q501,MATCH(LARGE(_Helper!BH2:BH501,2),_Helper!BH2:BH501,0)),"-")</f>
        <v/>
      </c>
      <c r="K29" s="91" t="n"/>
      <c r="L29" s="91" t="n"/>
      <c r="M29" s="91" t="n"/>
      <c r="N29" s="91" t="n"/>
      <c r="O29" s="91" t="n"/>
      <c r="P29" s="7" t="n"/>
      <c r="Q29" s="138">
        <f>IFERROR(INDEX(_Helper!Q2:Q501,MATCH(LARGE(_Helper!BH2:BH501,3),_Helper!BH2:BH501,0)),"-")</f>
        <v/>
      </c>
      <c r="R29" s="91" t="n"/>
      <c r="S29" s="91" t="n"/>
      <c r="T29" s="91" t="n"/>
      <c r="U29" s="91" t="n"/>
      <c r="V29" s="91" t="n"/>
    </row>
    <row r="30" ht="19.5" customHeight="1" s="74">
      <c r="A30" s="137" t="inlineStr">
        <is>
          <t>Commissioning</t>
        </is>
      </c>
      <c r="B30" s="91" t="n"/>
      <c r="C30" s="135">
        <f>IFERROR(INDEX(_Helper!R2:R501,MATCH(LARGE(_Helper!BH2:BH501,1),_Helper!BH2:BH501,0)),"-")</f>
        <v/>
      </c>
      <c r="D30" s="91" t="n"/>
      <c r="E30" s="91" t="n"/>
      <c r="F30" s="91" t="n"/>
      <c r="G30" s="91" t="n"/>
      <c r="H30" s="91" t="n"/>
      <c r="I30" s="8" t="n"/>
      <c r="J30" s="136">
        <f>IFERROR(INDEX(_Helper!R2:R501,MATCH(LARGE(_Helper!BH2:BH501,2),_Helper!BH2:BH501,0)),"-")</f>
        <v/>
      </c>
      <c r="K30" s="91" t="n"/>
      <c r="L30" s="91" t="n"/>
      <c r="M30" s="91" t="n"/>
      <c r="N30" s="91" t="n"/>
      <c r="O30" s="91" t="n"/>
      <c r="P30" s="8" t="n"/>
      <c r="Q30" s="138">
        <f>IFERROR(INDEX(_Helper!R2:R501,MATCH(LARGE(_Helper!BH2:BH501,3),_Helper!BH2:BH501,0)),"-")</f>
        <v/>
      </c>
      <c r="R30" s="91" t="n"/>
      <c r="S30" s="91" t="n"/>
      <c r="T30" s="91" t="n"/>
      <c r="U30" s="91" t="n"/>
      <c r="V30" s="91" t="n"/>
    </row>
    <row r="31" ht="19.5" customHeight="1" s="74">
      <c r="A31" s="134" t="inlineStr">
        <is>
          <t>TOTAL PROJECT TIMELINE</t>
        </is>
      </c>
      <c r="B31" s="91" t="n"/>
      <c r="C31" s="150">
        <f>IFERROR(INDEX(_Helper!S2:S501,MATCH(LARGE(_Helper!BH2:BH501,1),_Helper!BH2:BH501,0)),"-")</f>
        <v/>
      </c>
      <c r="D31" s="91" t="n"/>
      <c r="E31" s="91" t="n"/>
      <c r="F31" s="91" t="n"/>
      <c r="G31" s="91" t="n"/>
      <c r="H31" s="91" t="n"/>
      <c r="I31" s="9" t="n"/>
      <c r="J31" s="146">
        <f>IFERROR(INDEX(_Helper!S2:S501,MATCH(LARGE(_Helper!BH2:BH501,2),_Helper!BH2:BH501,0)),"-")</f>
        <v/>
      </c>
      <c r="K31" s="91" t="n"/>
      <c r="L31" s="91" t="n"/>
      <c r="M31" s="91" t="n"/>
      <c r="N31" s="91" t="n"/>
      <c r="O31" s="91" t="n"/>
      <c r="P31" s="9" t="n"/>
      <c r="Q31" s="151">
        <f>IFERROR(INDEX(_Helper!S2:S501,MATCH(LARGE(_Helper!BH2:BH501,3),_Helper!BH2:BH501,0)),"-")</f>
        <v/>
      </c>
      <c r="R31" s="91" t="n"/>
      <c r="S31" s="91" t="n"/>
      <c r="T31" s="91" t="n"/>
      <c r="U31" s="91" t="n"/>
      <c r="V31" s="91" t="n"/>
    </row>
    <row r="32" ht="19.5" customHeight="1" s="74">
      <c r="A32" s="177" t="inlineStr">
        <is>
          <t xml:space="preserve">  MANHOUR COST  (% of project cost)</t>
        </is>
      </c>
    </row>
    <row r="33" ht="19.5" customHeight="1" s="74">
      <c r="A33" s="140" t="inlineStr">
        <is>
          <t>Mechanical Installation</t>
        </is>
      </c>
      <c r="B33" s="91" t="n"/>
      <c r="C33" s="178">
        <f>IFERROR(IF(OR(INDEX(_Helper!CE2:CE501,MATCH(LARGE(_Helper!BH2:BH501,1),_Helper!BH2:BH501,0))="No data",N(INDEX(_Helper!BX2:BX501,MATCH(LARGE(_Helper!BH2:BH501,1),_Helper!BH2:BH501,0)))=0),"—",INDEX(_Helper!BJ2:BJ501,MATCH(LARGE(_Helper!BH2:BH501,1),_Helper!BH2:BH501,0))),"-")</f>
        <v/>
      </c>
      <c r="D33" s="91" t="n"/>
      <c r="E33" s="91" t="n"/>
      <c r="F33" s="91" t="n"/>
      <c r="G33" s="91" t="n"/>
      <c r="H33" s="91" t="n"/>
      <c r="I33" s="7" t="n"/>
      <c r="J33" s="179">
        <f>IFERROR(IF(OR(INDEX(_Helper!CE2:CE501,MATCH(LARGE(_Helper!BH2:BH501,2),_Helper!BH2:BH501,0))="No data",N(INDEX(_Helper!BX2:BX501,MATCH(LARGE(_Helper!BH2:BH501,2),_Helper!BH2:BH501,0)))=0),"—",INDEX(_Helper!BJ2:BJ501,MATCH(LARGE(_Helper!BH2:BH501,2),_Helper!BH2:BH501,0))),"-")</f>
        <v/>
      </c>
      <c r="K33" s="91" t="n"/>
      <c r="L33" s="91" t="n"/>
      <c r="M33" s="91" t="n"/>
      <c r="N33" s="91" t="n"/>
      <c r="O33" s="91" t="n"/>
      <c r="P33" s="7" t="n"/>
      <c r="Q33" s="180">
        <f>IFERROR(IF(OR(INDEX(_Helper!CE2:CE501,MATCH(LARGE(_Helper!BH2:BH501,3),_Helper!BH2:BH501,0))="No data",N(INDEX(_Helper!BX2:BX501,MATCH(LARGE(_Helper!BH2:BH501,3),_Helper!BH2:BH501,0)))=0),"—",INDEX(_Helper!BJ2:BJ501,MATCH(LARGE(_Helper!BH2:BH501,3),_Helper!BH2:BH501,0))),"-")</f>
        <v/>
      </c>
      <c r="R33" s="91" t="n"/>
      <c r="S33" s="91" t="n"/>
      <c r="T33" s="91" t="n"/>
      <c r="U33" s="91" t="n"/>
      <c r="V33" s="91" t="n"/>
    </row>
    <row r="34" ht="19.5" customHeight="1" s="74">
      <c r="A34" s="137" t="inlineStr">
        <is>
          <t>Electrical Installation</t>
        </is>
      </c>
      <c r="B34" s="91" t="n"/>
      <c r="C34" s="178">
        <f>IFERROR(IF(OR(INDEX(_Helper!CE2:CE501,MATCH(LARGE(_Helper!BH2:BH501,1),_Helper!BH2:BH501,0))="No data",N(INDEX(_Helper!BX2:BX501,MATCH(LARGE(_Helper!BH2:BH501,1),_Helper!BH2:BH501,0)))=0),"—",INDEX(_Helper!BK2:BK501,MATCH(LARGE(_Helper!BH2:BH501,1),_Helper!BH2:BH501,0))),"-")</f>
        <v/>
      </c>
      <c r="D34" s="91" t="n"/>
      <c r="E34" s="91" t="n"/>
      <c r="F34" s="91" t="n"/>
      <c r="G34" s="91" t="n"/>
      <c r="H34" s="91" t="n"/>
      <c r="I34" s="8" t="n"/>
      <c r="J34" s="179">
        <f>IFERROR(IF(OR(INDEX(_Helper!CE2:CE501,MATCH(LARGE(_Helper!BH2:BH501,2),_Helper!BH2:BH501,0))="No data",N(INDEX(_Helper!BX2:BX501,MATCH(LARGE(_Helper!BH2:BH501,2),_Helper!BH2:BH501,0)))=0),"—",INDEX(_Helper!BK2:BK501,MATCH(LARGE(_Helper!BH2:BH501,2),_Helper!BH2:BH501,0))),"-")</f>
        <v/>
      </c>
      <c r="K34" s="91" t="n"/>
      <c r="L34" s="91" t="n"/>
      <c r="M34" s="91" t="n"/>
      <c r="N34" s="91" t="n"/>
      <c r="O34" s="91" t="n"/>
      <c r="P34" s="8" t="n"/>
      <c r="Q34" s="180">
        <f>IFERROR(IF(OR(INDEX(_Helper!CE2:CE501,MATCH(LARGE(_Helper!BH2:BH501,3),_Helper!BH2:BH501,0))="No data",N(INDEX(_Helper!BX2:BX501,MATCH(LARGE(_Helper!BH2:BH501,3),_Helper!BH2:BH501,0)))=0),"—",INDEX(_Helper!BK2:BK501,MATCH(LARGE(_Helper!BH2:BH501,3),_Helper!BH2:BH501,0))),"-")</f>
        <v/>
      </c>
      <c r="R34" s="91" t="n"/>
      <c r="S34" s="91" t="n"/>
      <c r="T34" s="91" t="n"/>
      <c r="U34" s="91" t="n"/>
      <c r="V34" s="91" t="n"/>
    </row>
    <row r="35" ht="19.5" customHeight="1" s="74">
      <c r="A35" s="140" t="inlineStr">
        <is>
          <t>Project Management</t>
        </is>
      </c>
      <c r="B35" s="91" t="n"/>
      <c r="C35" s="178">
        <f>IFERROR(IF(OR(INDEX(_Helper!CE2:CE501,MATCH(LARGE(_Helper!BH2:BH501,1),_Helper!BH2:BH501,0))="No data",N(INDEX(_Helper!BX2:BX501,MATCH(LARGE(_Helper!BH2:BH501,1),_Helper!BH2:BH501,0)))=0),"—",INDEX(_Helper!BL2:BL501,MATCH(LARGE(_Helper!BH2:BH501,1),_Helper!BH2:BH501,0))),"-")</f>
        <v/>
      </c>
      <c r="D35" s="91" t="n"/>
      <c r="E35" s="91" t="n"/>
      <c r="F35" s="91" t="n"/>
      <c r="G35" s="91" t="n"/>
      <c r="H35" s="91" t="n"/>
      <c r="I35" s="7" t="n"/>
      <c r="J35" s="179">
        <f>IFERROR(IF(OR(INDEX(_Helper!CE2:CE501,MATCH(LARGE(_Helper!BH2:BH501,2),_Helper!BH2:BH501,0))="No data",N(INDEX(_Helper!BX2:BX501,MATCH(LARGE(_Helper!BH2:BH501,2),_Helper!BH2:BH501,0)))=0),"—",INDEX(_Helper!BL2:BL501,MATCH(LARGE(_Helper!BH2:BH501,2),_Helper!BH2:BH501,0))),"-")</f>
        <v/>
      </c>
      <c r="K35" s="91" t="n"/>
      <c r="L35" s="91" t="n"/>
      <c r="M35" s="91" t="n"/>
      <c r="N35" s="91" t="n"/>
      <c r="O35" s="91" t="n"/>
      <c r="P35" s="7" t="n"/>
      <c r="Q35" s="180">
        <f>IFERROR(IF(OR(INDEX(_Helper!CE2:CE501,MATCH(LARGE(_Helper!BH2:BH501,3),_Helper!BH2:BH501,0))="No data",N(INDEX(_Helper!BX2:BX501,MATCH(LARGE(_Helper!BH2:BH501,3),_Helper!BH2:BH501,0)))=0),"—",INDEX(_Helper!BL2:BL501,MATCH(LARGE(_Helper!BH2:BH501,3),_Helper!BH2:BH501,0))),"-")</f>
        <v/>
      </c>
      <c r="R35" s="91" t="n"/>
      <c r="S35" s="91" t="n"/>
      <c r="T35" s="91" t="n"/>
      <c r="U35" s="91" t="n"/>
      <c r="V35" s="91" t="n"/>
    </row>
    <row r="36" ht="19.5" customHeight="1" s="74">
      <c r="A36" s="137" t="inlineStr">
        <is>
          <t>Systems Engineering</t>
        </is>
      </c>
      <c r="B36" s="91" t="n"/>
      <c r="C36" s="178">
        <f>IFERROR(IF(OR(INDEX(_Helper!CE2:CE501,MATCH(LARGE(_Helper!BH2:BH501,1),_Helper!BH2:BH501,0))="No data",N(INDEX(_Helper!BX2:BX501,MATCH(LARGE(_Helper!BH2:BH501,1),_Helper!BH2:BH501,0)))=0),"—",INDEX(_Helper!BM2:BM501,MATCH(LARGE(_Helper!BH2:BH501,1),_Helper!BH2:BH501,0))),"-")</f>
        <v/>
      </c>
      <c r="D36" s="91" t="n"/>
      <c r="E36" s="91" t="n"/>
      <c r="F36" s="91" t="n"/>
      <c r="G36" s="91" t="n"/>
      <c r="H36" s="91" t="n"/>
      <c r="I36" s="8" t="n"/>
      <c r="J36" s="179">
        <f>IFERROR(IF(OR(INDEX(_Helper!CE2:CE501,MATCH(LARGE(_Helper!BH2:BH501,2),_Helper!BH2:BH501,0))="No data",N(INDEX(_Helper!BX2:BX501,MATCH(LARGE(_Helper!BH2:BH501,2),_Helper!BH2:BH501,0)))=0),"—",INDEX(_Helper!BM2:BM501,MATCH(LARGE(_Helper!BH2:BH501,2),_Helper!BH2:BH501,0))),"-")</f>
        <v/>
      </c>
      <c r="K36" s="91" t="n"/>
      <c r="L36" s="91" t="n"/>
      <c r="M36" s="91" t="n"/>
      <c r="N36" s="91" t="n"/>
      <c r="O36" s="91" t="n"/>
      <c r="P36" s="8" t="n"/>
      <c r="Q36" s="180">
        <f>IFERROR(IF(OR(INDEX(_Helper!CE2:CE501,MATCH(LARGE(_Helper!BH2:BH501,3),_Helper!BH2:BH501,0))="No data",N(INDEX(_Helper!BX2:BX501,MATCH(LARGE(_Helper!BH2:BH501,3),_Helper!BH2:BH501,0)))=0),"—",INDEX(_Helper!BM2:BM501,MATCH(LARGE(_Helper!BH2:BH501,3),_Helper!BH2:BH501,0))),"-")</f>
        <v/>
      </c>
      <c r="R36" s="91" t="n"/>
      <c r="S36" s="91" t="n"/>
      <c r="T36" s="91" t="n"/>
      <c r="U36" s="91" t="n"/>
      <c r="V36" s="91" t="n"/>
    </row>
    <row r="37" ht="19.5" customHeight="1" s="74">
      <c r="A37" s="140" t="inlineStr">
        <is>
          <t>Mechanical Engineering</t>
        </is>
      </c>
      <c r="B37" s="91" t="n"/>
      <c r="C37" s="178">
        <f>IFERROR(IF(OR(INDEX(_Helper!CE2:CE501,MATCH(LARGE(_Helper!BH2:BH501,1),_Helper!BH2:BH501,0))="No data",N(INDEX(_Helper!BX2:BX501,MATCH(LARGE(_Helper!BH2:BH501,1),_Helper!BH2:BH501,0)))=0),"—",INDEX(_Helper!BN2:BN501,MATCH(LARGE(_Helper!BH2:BH501,1),_Helper!BH2:BH501,0))),"-")</f>
        <v/>
      </c>
      <c r="D37" s="91" t="n"/>
      <c r="E37" s="91" t="n"/>
      <c r="F37" s="91" t="n"/>
      <c r="G37" s="91" t="n"/>
      <c r="H37" s="91" t="n"/>
      <c r="I37" s="7" t="n"/>
      <c r="J37" s="179">
        <f>IFERROR(IF(OR(INDEX(_Helper!CE2:CE501,MATCH(LARGE(_Helper!BH2:BH501,2),_Helper!BH2:BH501,0))="No data",N(INDEX(_Helper!BX2:BX501,MATCH(LARGE(_Helper!BH2:BH501,2),_Helper!BH2:BH501,0)))=0),"—",INDEX(_Helper!BN2:BN501,MATCH(LARGE(_Helper!BH2:BH501,2),_Helper!BH2:BH501,0))),"-")</f>
        <v/>
      </c>
      <c r="K37" s="91" t="n"/>
      <c r="L37" s="91" t="n"/>
      <c r="M37" s="91" t="n"/>
      <c r="N37" s="91" t="n"/>
      <c r="O37" s="91" t="n"/>
      <c r="P37" s="7" t="n"/>
      <c r="Q37" s="180">
        <f>IFERROR(IF(OR(INDEX(_Helper!CE2:CE501,MATCH(LARGE(_Helper!BH2:BH501,3),_Helper!BH2:BH501,0))="No data",N(INDEX(_Helper!BX2:BX501,MATCH(LARGE(_Helper!BH2:BH501,3),_Helper!BH2:BH501,0)))=0),"—",INDEX(_Helper!BN2:BN501,MATCH(LARGE(_Helper!BH2:BH501,3),_Helper!BH2:BH501,0))),"-")</f>
        <v/>
      </c>
      <c r="R37" s="91" t="n"/>
      <c r="S37" s="91" t="n"/>
      <c r="T37" s="91" t="n"/>
      <c r="U37" s="91" t="n"/>
      <c r="V37" s="91" t="n"/>
    </row>
    <row r="38" ht="19.5" customHeight="1" s="74">
      <c r="A38" s="137" t="inlineStr">
        <is>
          <t>Structural Engineering</t>
        </is>
      </c>
      <c r="B38" s="91" t="n"/>
      <c r="C38" s="178">
        <f>IFERROR(IF(OR(INDEX(_Helper!CE2:CE501,MATCH(LARGE(_Helper!BH2:BH501,1),_Helper!BH2:BH501,0))="No data",N(INDEX(_Helper!BX2:BX501,MATCH(LARGE(_Helper!BH2:BH501,1),_Helper!BH2:BH501,0)))=0),"—",INDEX(_Helper!BO2:BO501,MATCH(LARGE(_Helper!BH2:BH501,1),_Helper!BH2:BH501,0))),"-")</f>
        <v/>
      </c>
      <c r="D38" s="91" t="n"/>
      <c r="E38" s="91" t="n"/>
      <c r="F38" s="91" t="n"/>
      <c r="G38" s="91" t="n"/>
      <c r="H38" s="91" t="n"/>
      <c r="I38" s="8" t="n"/>
      <c r="J38" s="179">
        <f>IFERROR(IF(OR(INDEX(_Helper!CE2:CE501,MATCH(LARGE(_Helper!BH2:BH501,2),_Helper!BH2:BH501,0))="No data",N(INDEX(_Helper!BX2:BX501,MATCH(LARGE(_Helper!BH2:BH501,2),_Helper!BH2:BH501,0)))=0),"—",INDEX(_Helper!BO2:BO501,MATCH(LARGE(_Helper!BH2:BH501,2),_Helper!BH2:BH501,0))),"-")</f>
        <v/>
      </c>
      <c r="K38" s="91" t="n"/>
      <c r="L38" s="91" t="n"/>
      <c r="M38" s="91" t="n"/>
      <c r="N38" s="91" t="n"/>
      <c r="O38" s="91" t="n"/>
      <c r="P38" s="8" t="n"/>
      <c r="Q38" s="180">
        <f>IFERROR(IF(OR(INDEX(_Helper!CE2:CE501,MATCH(LARGE(_Helper!BH2:BH501,3),_Helper!BH2:BH501,0))="No data",N(INDEX(_Helper!BX2:BX501,MATCH(LARGE(_Helper!BH2:BH501,3),_Helper!BH2:BH501,0)))=0),"—",INDEX(_Helper!BO2:BO501,MATCH(LARGE(_Helper!BH2:BH501,3),_Helper!BH2:BH501,0))),"-")</f>
        <v/>
      </c>
      <c r="R38" s="91" t="n"/>
      <c r="S38" s="91" t="n"/>
      <c r="T38" s="91" t="n"/>
      <c r="U38" s="91" t="n"/>
      <c r="V38" s="91" t="n"/>
    </row>
    <row r="39" ht="19.5" customHeight="1" s="74">
      <c r="A39" s="140" t="inlineStr">
        <is>
          <t>Site Supervision</t>
        </is>
      </c>
      <c r="B39" s="91" t="n"/>
      <c r="C39" s="178">
        <f>IFERROR(IF(OR(INDEX(_Helper!CE2:CE501,MATCH(LARGE(_Helper!BH2:BH501,1),_Helper!BH2:BH501,0))="No data",N(INDEX(_Helper!BX2:BX501,MATCH(LARGE(_Helper!BH2:BH501,1),_Helper!BH2:BH501,0)))=0),"—",INDEX(_Helper!BP2:BP501,MATCH(LARGE(_Helper!BH2:BH501,1),_Helper!BH2:BH501,0))),"-")</f>
        <v/>
      </c>
      <c r="D39" s="91" t="n"/>
      <c r="E39" s="91" t="n"/>
      <c r="F39" s="91" t="n"/>
      <c r="G39" s="91" t="n"/>
      <c r="H39" s="91" t="n"/>
      <c r="I39" s="7" t="n"/>
      <c r="J39" s="179">
        <f>IFERROR(IF(OR(INDEX(_Helper!CE2:CE501,MATCH(LARGE(_Helper!BH2:BH501,2),_Helper!BH2:BH501,0))="No data",N(INDEX(_Helper!BX2:BX501,MATCH(LARGE(_Helper!BH2:BH501,2),_Helper!BH2:BH501,0)))=0),"—",INDEX(_Helper!BP2:BP501,MATCH(LARGE(_Helper!BH2:BH501,2),_Helper!BH2:BH501,0))),"-")</f>
        <v/>
      </c>
      <c r="K39" s="91" t="n"/>
      <c r="L39" s="91" t="n"/>
      <c r="M39" s="91" t="n"/>
      <c r="N39" s="91" t="n"/>
      <c r="O39" s="91" t="n"/>
      <c r="P39" s="7" t="n"/>
      <c r="Q39" s="180">
        <f>IFERROR(IF(OR(INDEX(_Helper!CE2:CE501,MATCH(LARGE(_Helper!BH2:BH501,3),_Helper!BH2:BH501,0))="No data",N(INDEX(_Helper!BX2:BX501,MATCH(LARGE(_Helper!BH2:BH501,3),_Helper!BH2:BH501,0)))=0),"—",INDEX(_Helper!BP2:BP501,MATCH(LARGE(_Helper!BH2:BH501,3),_Helper!BH2:BH501,0))),"-")</f>
        <v/>
      </c>
      <c r="R39" s="91" t="n"/>
      <c r="S39" s="91" t="n"/>
      <c r="T39" s="91" t="n"/>
      <c r="U39" s="91" t="n"/>
      <c r="V39" s="91" t="n"/>
    </row>
    <row r="40" ht="19.5" customHeight="1" s="74">
      <c r="A40" s="137" t="inlineStr">
        <is>
          <t>Controls Commissioning</t>
        </is>
      </c>
      <c r="B40" s="91" t="n"/>
      <c r="C40" s="178">
        <f>IFERROR(IF(OR(INDEX(_Helper!CE2:CE501,MATCH(LARGE(_Helper!BH2:BH501,1),_Helper!BH2:BH501,0))="No data",N(INDEX(_Helper!BX2:BX501,MATCH(LARGE(_Helper!BH2:BH501,1),_Helper!BH2:BH501,0)))=0),"—",INDEX(_Helper!BQ2:BQ501,MATCH(LARGE(_Helper!BH2:BH501,1),_Helper!BH2:BH501,0))),"-")</f>
        <v/>
      </c>
      <c r="D40" s="91" t="n"/>
      <c r="E40" s="91" t="n"/>
      <c r="F40" s="91" t="n"/>
      <c r="G40" s="91" t="n"/>
      <c r="H40" s="91" t="n"/>
      <c r="I40" s="8" t="n"/>
      <c r="J40" s="179">
        <f>IFERROR(IF(OR(INDEX(_Helper!CE2:CE501,MATCH(LARGE(_Helper!BH2:BH501,2),_Helper!BH2:BH501,0))="No data",N(INDEX(_Helper!BX2:BX501,MATCH(LARGE(_Helper!BH2:BH501,2),_Helper!BH2:BH501,0)))=0),"—",INDEX(_Helper!BQ2:BQ501,MATCH(LARGE(_Helper!BH2:BH501,2),_Helper!BH2:BH501,0))),"-")</f>
        <v/>
      </c>
      <c r="K40" s="91" t="n"/>
      <c r="L40" s="91" t="n"/>
      <c r="M40" s="91" t="n"/>
      <c r="N40" s="91" t="n"/>
      <c r="O40" s="91" t="n"/>
      <c r="P40" s="8" t="n"/>
      <c r="Q40" s="180">
        <f>IFERROR(IF(OR(INDEX(_Helper!CE2:CE501,MATCH(LARGE(_Helper!BH2:BH501,3),_Helper!BH2:BH501,0))="No data",N(INDEX(_Helper!BX2:BX501,MATCH(LARGE(_Helper!BH2:BH501,3),_Helper!BH2:BH501,0)))=0),"—",INDEX(_Helper!BQ2:BQ501,MATCH(LARGE(_Helper!BH2:BH501,3),_Helper!BH2:BH501,0))),"-")</f>
        <v/>
      </c>
      <c r="R40" s="91" t="n"/>
      <c r="S40" s="91" t="n"/>
      <c r="T40" s="91" t="n"/>
      <c r="U40" s="91" t="n"/>
      <c r="V40" s="91" t="n"/>
    </row>
    <row r="41" ht="19.5" customHeight="1" s="74">
      <c r="A41" s="140" t="inlineStr">
        <is>
          <t>Systems Commissioning</t>
        </is>
      </c>
      <c r="B41" s="91" t="n"/>
      <c r="C41" s="178">
        <f>IFERROR(IF(OR(INDEX(_Helper!CE2:CE501,MATCH(LARGE(_Helper!BH2:BH501,1),_Helper!BH2:BH501,0))="No data",N(INDEX(_Helper!BX2:BX501,MATCH(LARGE(_Helper!BH2:BH501,1),_Helper!BH2:BH501,0)))=0),"—",INDEX(_Helper!BR2:BR501,MATCH(LARGE(_Helper!BH2:BH501,1),_Helper!BH2:BH501,0))),"-")</f>
        <v/>
      </c>
      <c r="D41" s="91" t="n"/>
      <c r="E41" s="91" t="n"/>
      <c r="F41" s="91" t="n"/>
      <c r="G41" s="91" t="n"/>
      <c r="H41" s="91" t="n"/>
      <c r="I41" s="7" t="n"/>
      <c r="J41" s="179">
        <f>IFERROR(IF(OR(INDEX(_Helper!CE2:CE501,MATCH(LARGE(_Helper!BH2:BH501,2),_Helper!BH2:BH501,0))="No data",N(INDEX(_Helper!BX2:BX501,MATCH(LARGE(_Helper!BH2:BH501,2),_Helper!BH2:BH501,0)))=0),"—",INDEX(_Helper!BR2:BR501,MATCH(LARGE(_Helper!BH2:BH501,2),_Helper!BH2:BH501,0))),"-")</f>
        <v/>
      </c>
      <c r="K41" s="91" t="n"/>
      <c r="L41" s="91" t="n"/>
      <c r="M41" s="91" t="n"/>
      <c r="N41" s="91" t="n"/>
      <c r="O41" s="91" t="n"/>
      <c r="P41" s="7" t="n"/>
      <c r="Q41" s="180">
        <f>IFERROR(IF(OR(INDEX(_Helper!CE2:CE501,MATCH(LARGE(_Helper!BH2:BH501,3),_Helper!BH2:BH501,0))="No data",N(INDEX(_Helper!BX2:BX501,MATCH(LARGE(_Helper!BH2:BH501,3),_Helper!BH2:BH501,0)))=0),"—",INDEX(_Helper!BR2:BR501,MATCH(LARGE(_Helper!BH2:BH501,3),_Helper!BH2:BH501,0))),"-")</f>
        <v/>
      </c>
      <c r="R41" s="91" t="n"/>
      <c r="S41" s="91" t="n"/>
      <c r="T41" s="91" t="n"/>
      <c r="U41" s="91" t="n"/>
      <c r="V41" s="91" t="n"/>
    </row>
    <row r="42" ht="19.5" customHeight="1" s="74">
      <c r="A42" s="137" t="inlineStr">
        <is>
          <t>Service Commissioning</t>
        </is>
      </c>
      <c r="B42" s="91" t="n"/>
      <c r="C42" s="178">
        <f>IFERROR(IF(OR(INDEX(_Helper!CE2:CE501,MATCH(LARGE(_Helper!BH2:BH501,1),_Helper!BH2:BH501,0))="No data",N(INDEX(_Helper!BX2:BX501,MATCH(LARGE(_Helper!BH2:BH501,1),_Helper!BH2:BH501,0)))=0),"—",INDEX(_Helper!BS2:BS501,MATCH(LARGE(_Helper!BH2:BH501,1),_Helper!BH2:BH501,0))),"-")</f>
        <v/>
      </c>
      <c r="D42" s="91" t="n"/>
      <c r="E42" s="91" t="n"/>
      <c r="F42" s="91" t="n"/>
      <c r="G42" s="91" t="n"/>
      <c r="H42" s="91" t="n"/>
      <c r="I42" s="8" t="n"/>
      <c r="J42" s="179">
        <f>IFERROR(IF(OR(INDEX(_Helper!CE2:CE501,MATCH(LARGE(_Helper!BH2:BH501,2),_Helper!BH2:BH501,0))="No data",N(INDEX(_Helper!BX2:BX501,MATCH(LARGE(_Helper!BH2:BH501,2),_Helper!BH2:BH501,0)))=0),"—",INDEX(_Helper!BS2:BS501,MATCH(LARGE(_Helper!BH2:BH501,2),_Helper!BH2:BH501,0))),"-")</f>
        <v/>
      </c>
      <c r="K42" s="91" t="n"/>
      <c r="L42" s="91" t="n"/>
      <c r="M42" s="91" t="n"/>
      <c r="N42" s="91" t="n"/>
      <c r="O42" s="91" t="n"/>
      <c r="P42" s="8" t="n"/>
      <c r="Q42" s="180">
        <f>IFERROR(IF(OR(INDEX(_Helper!CE2:CE501,MATCH(LARGE(_Helper!BH2:BH501,3),_Helper!BH2:BH501,0))="No data",N(INDEX(_Helper!BX2:BX501,MATCH(LARGE(_Helper!BH2:BH501,3),_Helper!BH2:BH501,0)))=0),"—",INDEX(_Helper!BS2:BS501,MATCH(LARGE(_Helper!BH2:BH501,3),_Helper!BH2:BH501,0))),"-")</f>
        <v/>
      </c>
      <c r="R42" s="91" t="n"/>
      <c r="S42" s="91" t="n"/>
      <c r="T42" s="91" t="n"/>
      <c r="U42" s="91" t="n"/>
      <c r="V42" s="91" t="n"/>
    </row>
    <row r="43" ht="19.5" customHeight="1" s="74">
      <c r="A43" s="140" t="inlineStr">
        <is>
          <t>Controls Engineering</t>
        </is>
      </c>
      <c r="B43" s="91" t="n"/>
      <c r="C43" s="178">
        <f>IFERROR(IF(OR(INDEX(_Helper!CE2:CE501,MATCH(LARGE(_Helper!BH2:BH501,1),_Helper!BH2:BH501,0))="No data",N(INDEX(_Helper!BX2:BX501,MATCH(LARGE(_Helper!BH2:BH501,1),_Helper!BH2:BH501,0)))=0),"—",INDEX(_Helper!BT2:BT501,MATCH(LARGE(_Helper!BH2:BH501,1),_Helper!BH2:BH501,0))),"-")</f>
        <v/>
      </c>
      <c r="D43" s="91" t="n"/>
      <c r="E43" s="91" t="n"/>
      <c r="F43" s="91" t="n"/>
      <c r="G43" s="91" t="n"/>
      <c r="H43" s="91" t="n"/>
      <c r="I43" s="7" t="n"/>
      <c r="J43" s="179">
        <f>IFERROR(IF(OR(INDEX(_Helper!CE2:CE501,MATCH(LARGE(_Helper!BH2:BH501,2),_Helper!BH2:BH501,0))="No data",N(INDEX(_Helper!BX2:BX501,MATCH(LARGE(_Helper!BH2:BH501,2),_Helper!BH2:BH501,0)))=0),"—",INDEX(_Helper!BT2:BT501,MATCH(LARGE(_Helper!BH2:BH501,2),_Helper!BH2:BH501,0))),"-")</f>
        <v/>
      </c>
      <c r="K43" s="91" t="n"/>
      <c r="L43" s="91" t="n"/>
      <c r="M43" s="91" t="n"/>
      <c r="N43" s="91" t="n"/>
      <c r="O43" s="91" t="n"/>
      <c r="P43" s="7" t="n"/>
      <c r="Q43" s="180">
        <f>IFERROR(IF(OR(INDEX(_Helper!CE2:CE501,MATCH(LARGE(_Helper!BH2:BH501,3),_Helper!BH2:BH501,0))="No data",N(INDEX(_Helper!BX2:BX501,MATCH(LARGE(_Helper!BH2:BH501,3),_Helper!BH2:BH501,0)))=0),"—",INDEX(_Helper!BT2:BT501,MATCH(LARGE(_Helper!BH2:BH501,3),_Helper!BH2:BH501,0))),"-")</f>
        <v/>
      </c>
      <c r="R43" s="91" t="n"/>
      <c r="S43" s="91" t="n"/>
      <c r="T43" s="91" t="n"/>
      <c r="U43" s="91" t="n"/>
      <c r="V43" s="91" t="n"/>
    </row>
    <row r="44" ht="19.5" customHeight="1" s="74">
      <c r="A44" s="137" t="inlineStr">
        <is>
          <t>Controls Purchase</t>
        </is>
      </c>
      <c r="B44" s="91" t="n"/>
      <c r="C44" s="178">
        <f>IFERROR(IF(OR(INDEX(_Helper!CE2:CE501,MATCH(LARGE(_Helper!BH2:BH501,1),_Helper!BH2:BH501,0))="No data",N(INDEX(_Helper!BX2:BX501,MATCH(LARGE(_Helper!BH2:BH501,1),_Helper!BH2:BH501,0)))=0),"—",INDEX(_Helper!BU2:BU501,MATCH(LARGE(_Helper!BH2:BH501,1),_Helper!BH2:BH501,0))),"-")</f>
        <v/>
      </c>
      <c r="D44" s="91" t="n"/>
      <c r="E44" s="91" t="n"/>
      <c r="F44" s="91" t="n"/>
      <c r="G44" s="91" t="n"/>
      <c r="H44" s="91" t="n"/>
      <c r="I44" s="8" t="n"/>
      <c r="J44" s="179">
        <f>IFERROR(IF(OR(INDEX(_Helper!CE2:CE501,MATCH(LARGE(_Helper!BH2:BH501,2),_Helper!BH2:BH501,0))="No data",N(INDEX(_Helper!BX2:BX501,MATCH(LARGE(_Helper!BH2:BH501,2),_Helper!BH2:BH501,0)))=0),"—",INDEX(_Helper!BU2:BU501,MATCH(LARGE(_Helper!BH2:BH501,2),_Helper!BH2:BH501,0))),"-")</f>
        <v/>
      </c>
      <c r="K44" s="91" t="n"/>
      <c r="L44" s="91" t="n"/>
      <c r="M44" s="91" t="n"/>
      <c r="N44" s="91" t="n"/>
      <c r="O44" s="91" t="n"/>
      <c r="P44" s="8" t="n"/>
      <c r="Q44" s="180">
        <f>IFERROR(IF(OR(INDEX(_Helper!CE2:CE501,MATCH(LARGE(_Helper!BH2:BH501,3),_Helper!BH2:BH501,0))="No data",N(INDEX(_Helper!BX2:BX501,MATCH(LARGE(_Helper!BH2:BH501,3),_Helper!BH2:BH501,0)))=0),"—",INDEX(_Helper!BU2:BU501,MATCH(LARGE(_Helper!BH2:BH501,3),_Helper!BH2:BH501,0))),"-")</f>
        <v/>
      </c>
      <c r="R44" s="91" t="n"/>
      <c r="S44" s="91" t="n"/>
      <c r="T44" s="91" t="n"/>
      <c r="U44" s="91" t="n"/>
      <c r="V44" s="91" t="n"/>
    </row>
    <row r="45" ht="19.5" customHeight="1" s="74">
      <c r="A45" s="140" t="inlineStr">
        <is>
          <t>Software Engineering</t>
        </is>
      </c>
      <c r="B45" s="91" t="n"/>
      <c r="C45" s="178">
        <f>IFERROR(IF(OR(INDEX(_Helper!CE2:CE501,MATCH(LARGE(_Helper!BH2:BH501,1),_Helper!BH2:BH501,0))="No data",N(INDEX(_Helper!BX2:BX501,MATCH(LARGE(_Helper!BH2:BH501,1),_Helper!BH2:BH501,0)))=0),"—",INDEX(_Helper!BV2:BV501,MATCH(LARGE(_Helper!BH2:BH501,1),_Helper!BH2:BH501,0))),"-")</f>
        <v/>
      </c>
      <c r="D45" s="91" t="n"/>
      <c r="E45" s="91" t="n"/>
      <c r="F45" s="91" t="n"/>
      <c r="G45" s="91" t="n"/>
      <c r="H45" s="91" t="n"/>
      <c r="I45" s="7" t="n"/>
      <c r="J45" s="179">
        <f>IFERROR(IF(OR(INDEX(_Helper!CE2:CE501,MATCH(LARGE(_Helper!BH2:BH501,2),_Helper!BH2:BH501,0))="No data",N(INDEX(_Helper!BX2:BX501,MATCH(LARGE(_Helper!BH2:BH501,2),_Helper!BH2:BH501,0)))=0),"—",INDEX(_Helper!BV2:BV501,MATCH(LARGE(_Helper!BH2:BH501,2),_Helper!BH2:BH501,0))),"-")</f>
        <v/>
      </c>
      <c r="K45" s="91" t="n"/>
      <c r="L45" s="91" t="n"/>
      <c r="M45" s="91" t="n"/>
      <c r="N45" s="91" t="n"/>
      <c r="O45" s="91" t="n"/>
      <c r="P45" s="7" t="n"/>
      <c r="Q45" s="180">
        <f>IFERROR(IF(OR(INDEX(_Helper!CE2:CE501,MATCH(LARGE(_Helper!BH2:BH501,3),_Helper!BH2:BH501,0))="No data",N(INDEX(_Helper!BX2:BX501,MATCH(LARGE(_Helper!BH2:BH501,3),_Helper!BH2:BH501,0)))=0),"—",INDEX(_Helper!BV2:BV501,MATCH(LARGE(_Helper!BH2:BH501,3),_Helper!BH2:BH501,0))),"-")</f>
        <v/>
      </c>
      <c r="R45" s="91" t="n"/>
      <c r="S45" s="91" t="n"/>
      <c r="T45" s="91" t="n"/>
      <c r="U45" s="91" t="n"/>
      <c r="V45" s="91" t="n"/>
    </row>
    <row r="46" ht="19.5" customHeight="1" s="74">
      <c r="A46" s="137" t="inlineStr">
        <is>
          <t>Miscellaneous</t>
        </is>
      </c>
      <c r="B46" s="91" t="n"/>
      <c r="C46" s="178">
        <f>IFERROR(IF(OR(INDEX(_Helper!CE2:CE501,MATCH(LARGE(_Helper!BH2:BH501,1),_Helper!BH2:BH501,0))="No data",N(INDEX(_Helper!BX2:BX501,MATCH(LARGE(_Helper!BH2:BH501,1),_Helper!BH2:BH501,0)))=0),"—",INDEX(_Helper!BW2:BW501,MATCH(LARGE(_Helper!BH2:BH501,1),_Helper!BH2:BH501,0))),"-")</f>
        <v/>
      </c>
      <c r="D46" s="91" t="n"/>
      <c r="E46" s="91" t="n"/>
      <c r="F46" s="91" t="n"/>
      <c r="G46" s="91" t="n"/>
      <c r="H46" s="91" t="n"/>
      <c r="I46" s="8" t="n"/>
      <c r="J46" s="179">
        <f>IFERROR(IF(OR(INDEX(_Helper!CE2:CE501,MATCH(LARGE(_Helper!BH2:BH501,2),_Helper!BH2:BH501,0))="No data",N(INDEX(_Helper!BX2:BX501,MATCH(LARGE(_Helper!BH2:BH501,2),_Helper!BH2:BH501,0)))=0),"—",INDEX(_Helper!BW2:BW501,MATCH(LARGE(_Helper!BH2:BH501,2),_Helper!BH2:BH501,0))),"-")</f>
        <v/>
      </c>
      <c r="K46" s="91" t="n"/>
      <c r="L46" s="91" t="n"/>
      <c r="M46" s="91" t="n"/>
      <c r="N46" s="91" t="n"/>
      <c r="O46" s="91" t="n"/>
      <c r="P46" s="8" t="n"/>
      <c r="Q46" s="180">
        <f>IFERROR(IF(OR(INDEX(_Helper!CE2:CE501,MATCH(LARGE(_Helper!BH2:BH501,3),_Helper!BH2:BH501,0))="No data",N(INDEX(_Helper!BX2:BX501,MATCH(LARGE(_Helper!BH2:BH501,3),_Helper!BH2:BH501,0)))=0),"—",INDEX(_Helper!BW2:BW501,MATCH(LARGE(_Helper!BH2:BH501,3),_Helper!BH2:BH501,0))),"-")</f>
        <v/>
      </c>
      <c r="R46" s="91" t="n"/>
      <c r="S46" s="91" t="n"/>
      <c r="T46" s="91" t="n"/>
      <c r="U46" s="91" t="n"/>
      <c r="V46" s="91" t="n"/>
    </row>
    <row r="47" ht="19.5" customHeight="1" s="74">
      <c r="A47" s="134" t="inlineStr">
        <is>
          <t>TOTAL MANHOUR COST</t>
        </is>
      </c>
      <c r="B47" s="91" t="n"/>
      <c r="C47" s="181">
        <f>IFERROR(IF(OR(INDEX(_Helper!CE2:CE501,MATCH(LARGE(_Helper!BH2:BH501,1),_Helper!BH2:BH501,0))="No data",N(INDEX(_Helper!BX2:BX501,MATCH(LARGE(_Helper!BH2:BH501,1),_Helper!BH2:BH501,0)))=0),"No manhour data",INDEX(_Helper!BX2:BX501,MATCH(LARGE(_Helper!BH2:BH501,1),_Helper!BH2:BH501,0))),"-")</f>
        <v/>
      </c>
      <c r="D47" s="91" t="n"/>
      <c r="E47" s="91" t="n"/>
      <c r="F47" s="91" t="n"/>
      <c r="G47" s="91" t="n"/>
      <c r="H47" s="91" t="n"/>
      <c r="I47" s="9" t="n"/>
      <c r="J47" s="182">
        <f>IFERROR(IF(OR(INDEX(_Helper!CE2:CE501,MATCH(LARGE(_Helper!BH2:BH501,2),_Helper!BH2:BH501,0))="No data",N(INDEX(_Helper!BX2:BX501,MATCH(LARGE(_Helper!BH2:BH501,2),_Helper!BH2:BH501,0)))=0),"No manhour data",INDEX(_Helper!BX2:BX501,MATCH(LARGE(_Helper!BH2:BH501,2),_Helper!BH2:BH501,0))),"-")</f>
        <v/>
      </c>
      <c r="K47" s="91" t="n"/>
      <c r="L47" s="91" t="n"/>
      <c r="M47" s="91" t="n"/>
      <c r="N47" s="91" t="n"/>
      <c r="O47" s="91" t="n"/>
      <c r="P47" s="9" t="n"/>
      <c r="Q47" s="183">
        <f>IFERROR(IF(OR(INDEX(_Helper!CE2:CE501,MATCH(LARGE(_Helper!BH2:BH501,3),_Helper!BH2:BH501,0))="No data",N(INDEX(_Helper!BX2:BX501,MATCH(LARGE(_Helper!BH2:BH501,3),_Helper!BH2:BH501,0)))=0),"No manhour data",INDEX(_Helper!BX2:BX501,MATCH(LARGE(_Helper!BH2:BH501,3),_Helper!BH2:BH501,0))),"-")</f>
        <v/>
      </c>
      <c r="R47" s="91" t="n"/>
      <c r="S47" s="91" t="n"/>
      <c r="T47" s="91" t="n"/>
      <c r="U47" s="91" t="n"/>
      <c r="V47" s="91" t="n"/>
    </row>
    <row r="48" ht="19.5" customHeight="1" s="74">
      <c r="A48" s="140" t="inlineStr">
        <is>
          <t>Manhour data status</t>
        </is>
      </c>
      <c r="B48" s="91" t="n"/>
      <c r="C48" s="135">
        <f>IFERROR(IF(INDEX(_Helper!CE2:CE501,MATCH(LARGE(_Helper!BH2:BH501,1),_Helper!BH2:BH501,0))="","(not set)",INDEX(_Helper!CE2:CE501,MATCH(LARGE(_Helper!BH2:BH501,1),_Helper!BH2:BH501,0))),"-")</f>
        <v/>
      </c>
      <c r="D48" s="91" t="n"/>
      <c r="E48" s="91" t="n"/>
      <c r="F48" s="91" t="n"/>
      <c r="G48" s="91" t="n"/>
      <c r="H48" s="91" t="n"/>
      <c r="I48" s="7" t="n"/>
      <c r="J48" s="136">
        <f>IFERROR(IF(INDEX(_Helper!CE2:CE501,MATCH(LARGE(_Helper!BH2:BH501,2),_Helper!BH2:BH501,0))="","(not set)",INDEX(_Helper!CE2:CE501,MATCH(LARGE(_Helper!BH2:BH501,2),_Helper!BH2:BH501,0))),"-")</f>
        <v/>
      </c>
      <c r="K48" s="91" t="n"/>
      <c r="L48" s="91" t="n"/>
      <c r="M48" s="91" t="n"/>
      <c r="N48" s="91" t="n"/>
      <c r="O48" s="91" t="n"/>
      <c r="P48" s="7" t="n"/>
      <c r="Q48" s="138">
        <f>IFERROR(IF(INDEX(_Helper!CE2:CE501,MATCH(LARGE(_Helper!BH2:BH501,3),_Helper!BH2:BH501,0))="","(not set)",INDEX(_Helper!CE2:CE501,MATCH(LARGE(_Helper!BH2:BH501,3),_Helper!BH2:BH501,0))),"-")</f>
        <v/>
      </c>
      <c r="R48" s="91" t="n"/>
      <c r="S48" s="91" t="n"/>
      <c r="T48" s="91" t="n"/>
      <c r="U48" s="91" t="n"/>
      <c r="V48" s="91" t="n"/>
    </row>
    <row r="49" ht="19.5" customHeight="1" s="74">
      <c r="A49" s="177" t="inlineStr">
        <is>
          <t xml:space="preserve">  AUTOMATION EQUIPMENT &amp; NOTES</t>
        </is>
      </c>
    </row>
    <row r="50" ht="39.75" customHeight="1" s="74">
      <c r="A50" s="140" t="inlineStr">
        <is>
          <t>Automation Equipment</t>
        </is>
      </c>
      <c r="B50" s="91" t="n"/>
      <c r="C50" s="135">
        <f>IFERROR(INDEX(_Helper!AZ2:AZ501,MATCH(LARGE(_Helper!BH2:BH501,1),_Helper!BH2:BH501,0)),"-")</f>
        <v/>
      </c>
      <c r="D50" s="91" t="n"/>
      <c r="E50" s="91" t="n"/>
      <c r="F50" s="91" t="n"/>
      <c r="G50" s="91" t="n"/>
      <c r="H50" s="91" t="n"/>
      <c r="I50" s="7" t="n"/>
      <c r="J50" s="136">
        <f>IFERROR(INDEX(_Helper!AZ2:AZ501,MATCH(LARGE(_Helper!BH2:BH501,2),_Helper!BH2:BH501,0)),"-")</f>
        <v/>
      </c>
      <c r="K50" s="91" t="n"/>
      <c r="L50" s="91" t="n"/>
      <c r="M50" s="91" t="n"/>
      <c r="N50" s="91" t="n"/>
      <c r="O50" s="91" t="n"/>
      <c r="P50" s="7" t="n"/>
      <c r="Q50" s="138">
        <f>IFERROR(INDEX(_Helper!AZ2:AZ501,MATCH(LARGE(_Helper!BH2:BH501,3),_Helper!BH2:BH501,0)),"-")</f>
        <v/>
      </c>
      <c r="R50" s="91" t="n"/>
      <c r="S50" s="91" t="n"/>
      <c r="T50" s="91" t="n"/>
      <c r="U50" s="91" t="n"/>
      <c r="V50" s="91" t="n"/>
    </row>
    <row r="51" ht="49.5" customHeight="1" s="74">
      <c r="A51" s="137" t="inlineStr">
        <is>
          <t>Notes / Lessons Learned</t>
        </is>
      </c>
      <c r="B51" s="91" t="n"/>
      <c r="C51" s="135">
        <f>IFERROR(INDEX(Projects[Notes / Lessons Learned],MATCH(LARGE(_Helper!BH2:BH501,1),_Helper!BH2:BH501,0))&amp;"","-")</f>
        <v/>
      </c>
      <c r="D51" s="91" t="n"/>
      <c r="E51" s="91" t="n"/>
      <c r="F51" s="91" t="n"/>
      <c r="G51" s="91" t="n"/>
      <c r="H51" s="91" t="n"/>
      <c r="I51" s="8" t="n"/>
      <c r="J51" s="136">
        <f>IFERROR(INDEX(Projects[Notes / Lessons Learned],MATCH(LARGE(_Helper!BH2:BH501,2),_Helper!BH2:BH501,0))&amp;"","-")</f>
        <v/>
      </c>
      <c r="K51" s="91" t="n"/>
      <c r="L51" s="91" t="n"/>
      <c r="M51" s="91" t="n"/>
      <c r="N51" s="91" t="n"/>
      <c r="O51" s="91" t="n"/>
      <c r="P51" s="8" t="n"/>
      <c r="Q51" s="138">
        <f>IFERROR(INDEX(Projects[Notes / Lessons Learned],MATCH(LARGE(_Helper!BH2:BH501,3),_Helper!BH2:BH501,0))&amp;"","-")</f>
        <v/>
      </c>
      <c r="R51" s="91" t="n"/>
      <c r="S51" s="91" t="n"/>
      <c r="T51" s="91" t="n"/>
      <c r="U51" s="91" t="n"/>
      <c r="V51" s="91" t="n"/>
    </row>
    <row r="52" ht="18" customHeight="1" s="74">
      <c r="A52" s="184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84">
    <mergeCell ref="C25:H25"/>
    <mergeCell ref="J15:O15"/>
    <mergeCell ref="A15:B15"/>
    <mergeCell ref="Q10:V10"/>
    <mergeCell ref="Q19:V19"/>
    <mergeCell ref="A5:V5"/>
    <mergeCell ref="C9:H9"/>
    <mergeCell ref="A32:V32"/>
    <mergeCell ref="A51:B51"/>
    <mergeCell ref="C11:H11"/>
    <mergeCell ref="C46:H46"/>
    <mergeCell ref="J7:O7"/>
    <mergeCell ref="A7:B7"/>
    <mergeCell ref="A13:V13"/>
    <mergeCell ref="Q22:V22"/>
    <mergeCell ref="A41:B41"/>
    <mergeCell ref="J41:O41"/>
    <mergeCell ref="Q44:V44"/>
    <mergeCell ref="C39:H39"/>
    <mergeCell ref="C48:H48"/>
    <mergeCell ref="A27:B27"/>
    <mergeCell ref="J43:O43"/>
    <mergeCell ref="A24:V24"/>
    <mergeCell ref="C38:H38"/>
    <mergeCell ref="J33:O33"/>
    <mergeCell ref="Q45:V45"/>
    <mergeCell ref="A33:B33"/>
    <mergeCell ref="J42:O42"/>
    <mergeCell ref="A42:B42"/>
    <mergeCell ref="J17:O17"/>
    <mergeCell ref="A17:B17"/>
    <mergeCell ref="Q7:V7"/>
    <mergeCell ref="Q47:V47"/>
    <mergeCell ref="Q21:V21"/>
    <mergeCell ref="A22:B22"/>
    <mergeCell ref="C15:H15"/>
    <mergeCell ref="A35:B35"/>
    <mergeCell ref="J44:O44"/>
    <mergeCell ref="J19:O19"/>
    <mergeCell ref="A19:B19"/>
    <mergeCell ref="J28:O28"/>
    <mergeCell ref="A28:B28"/>
    <mergeCell ref="J9:O9"/>
    <mergeCell ref="C26:H26"/>
    <mergeCell ref="A9:B9"/>
    <mergeCell ref="Q8:V8"/>
    <mergeCell ref="A39:B39"/>
    <mergeCell ref="A2:V2"/>
    <mergeCell ref="J30:O30"/>
    <mergeCell ref="A48:B48"/>
    <mergeCell ref="A30:B30"/>
    <mergeCell ref="C10:H10"/>
    <mergeCell ref="C16:H16"/>
    <mergeCell ref="C41:H41"/>
    <mergeCell ref="C50:H50"/>
    <mergeCell ref="Q51:V51"/>
    <mergeCell ref="A11:B11"/>
    <mergeCell ref="A45:B45"/>
    <mergeCell ref="Q35:V35"/>
    <mergeCell ref="Q50:V50"/>
    <mergeCell ref="C43:H43"/>
    <mergeCell ref="J4:O4"/>
    <mergeCell ref="Q34:V34"/>
    <mergeCell ref="C36:H36"/>
    <mergeCell ref="Q9:V9"/>
    <mergeCell ref="Q27:V27"/>
    <mergeCell ref="A37:B37"/>
    <mergeCell ref="A46:B46"/>
    <mergeCell ref="Q36:V36"/>
    <mergeCell ref="Q30:V30"/>
    <mergeCell ref="J47:O47"/>
    <mergeCell ref="Q17:V17"/>
    <mergeCell ref="Q11:V11"/>
    <mergeCell ref="A26:B26"/>
    <mergeCell ref="C19:H19"/>
    <mergeCell ref="C28:H28"/>
    <mergeCell ref="C37:H37"/>
    <mergeCell ref="J18:O18"/>
    <mergeCell ref="J8:O8"/>
    <mergeCell ref="A8:B8"/>
    <mergeCell ref="Q3:V3"/>
    <mergeCell ref="C30:H30"/>
    <mergeCell ref="Q12:V12"/>
    <mergeCell ref="C6:H6"/>
    <mergeCell ref="C14:H14"/>
    <mergeCell ref="J6:O6"/>
    <mergeCell ref="J10:O10"/>
    <mergeCell ref="A10:B10"/>
    <mergeCell ref="C4:H4"/>
    <mergeCell ref="J34:O34"/>
    <mergeCell ref="A34:B34"/>
    <mergeCell ref="Q38:V38"/>
    <mergeCell ref="J27:O27"/>
    <mergeCell ref="C40:H40"/>
    <mergeCell ref="J36:O36"/>
    <mergeCell ref="A36:B36"/>
    <mergeCell ref="J45:O45"/>
    <mergeCell ref="Q26:V26"/>
    <mergeCell ref="Q40:V40"/>
    <mergeCell ref="J11:O11"/>
    <mergeCell ref="J20:O20"/>
    <mergeCell ref="C27:H27"/>
    <mergeCell ref="J22:O22"/>
    <mergeCell ref="J31:O31"/>
    <mergeCell ref="C8:H8"/>
    <mergeCell ref="C17:H17"/>
    <mergeCell ref="A3:B3"/>
    <mergeCell ref="J12:O12"/>
    <mergeCell ref="J46:O46"/>
    <mergeCell ref="A12:B12"/>
    <mergeCell ref="J21:O21"/>
    <mergeCell ref="A21:B21"/>
    <mergeCell ref="J51:O51"/>
    <mergeCell ref="A1:V1"/>
    <mergeCell ref="J48:O48"/>
    <mergeCell ref="A14:B14"/>
    <mergeCell ref="J23:O23"/>
    <mergeCell ref="C3:H3"/>
    <mergeCell ref="A23:B23"/>
    <mergeCell ref="C34:H34"/>
    <mergeCell ref="A4:B4"/>
    <mergeCell ref="J38:O38"/>
    <mergeCell ref="A38:B38"/>
    <mergeCell ref="Q28:V28"/>
    <mergeCell ref="A43:B43"/>
    <mergeCell ref="Q37:V37"/>
    <mergeCell ref="C45:H45"/>
    <mergeCell ref="J40:O40"/>
    <mergeCell ref="C20:H20"/>
    <mergeCell ref="A40:B40"/>
    <mergeCell ref="Q39:V39"/>
    <mergeCell ref="C29:H29"/>
    <mergeCell ref="C47:H47"/>
    <mergeCell ref="Q20:V20"/>
    <mergeCell ref="Q14:V14"/>
    <mergeCell ref="Q29:V29"/>
    <mergeCell ref="C44:H44"/>
    <mergeCell ref="Q23:V23"/>
    <mergeCell ref="C22:H22"/>
    <mergeCell ref="C31:H31"/>
    <mergeCell ref="Q4:V4"/>
    <mergeCell ref="J26:O26"/>
    <mergeCell ref="C12:H12"/>
    <mergeCell ref="J35:O35"/>
    <mergeCell ref="Q31:V31"/>
    <mergeCell ref="C21:H21"/>
    <mergeCell ref="A6:B6"/>
    <mergeCell ref="J16:O16"/>
    <mergeCell ref="C51:H51"/>
    <mergeCell ref="A52:V52"/>
    <mergeCell ref="A16:B16"/>
    <mergeCell ref="Q6:V6"/>
    <mergeCell ref="J25:O25"/>
    <mergeCell ref="Q46:V46"/>
    <mergeCell ref="Q15:V15"/>
    <mergeCell ref="A25:B25"/>
    <mergeCell ref="C23:H23"/>
    <mergeCell ref="A18:B18"/>
    <mergeCell ref="Q48:V48"/>
    <mergeCell ref="C7:H7"/>
    <mergeCell ref="J50:O50"/>
    <mergeCell ref="J3:O3"/>
    <mergeCell ref="A50:B50"/>
    <mergeCell ref="A49:V49"/>
    <mergeCell ref="Q41:V41"/>
    <mergeCell ref="A47:B47"/>
    <mergeCell ref="C18:H18"/>
    <mergeCell ref="J39:O39"/>
    <mergeCell ref="Q16:V16"/>
    <mergeCell ref="Q25:V25"/>
    <mergeCell ref="Q43:V43"/>
    <mergeCell ref="C33:H33"/>
    <mergeCell ref="A20:B20"/>
    <mergeCell ref="J14:O14"/>
    <mergeCell ref="J29:O29"/>
    <mergeCell ref="A29:B29"/>
    <mergeCell ref="C42:H42"/>
    <mergeCell ref="J37:O37"/>
    <mergeCell ref="Q18:V18"/>
    <mergeCell ref="Q33:V33"/>
    <mergeCell ref="Q42:V42"/>
    <mergeCell ref="C35:H35"/>
    <mergeCell ref="A44:B44"/>
    <mergeCell ref="A31:B3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7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style="74" min="1" max="1"/>
    <col width="16" customWidth="1" style="74" min="2" max="2"/>
    <col width="16" customWidth="1" style="74" min="3" max="3"/>
    <col width="14" customWidth="1" style="74" min="4" max="4"/>
  </cols>
  <sheetData>
    <row r="1" ht="36" customHeight="1" s="74">
      <c r="A1" s="172" t="inlineStr">
        <is>
          <t>DEMATIC  |  FX Rates</t>
        </is>
      </c>
    </row>
    <row r="2">
      <c r="A2" s="156" t="inlineStr">
        <is>
          <t>USD value of one unit of each currency, used for Value (USD M) in the Project Database. Blue cells are inputs.</t>
        </is>
      </c>
    </row>
    <row r="4" ht="30" customHeight="1" s="74">
      <c r="A4" s="23" t="inlineStr">
        <is>
          <t>Currency</t>
        </is>
      </c>
      <c r="B4" s="23" t="inlineStr">
        <is>
          <t>USD per unit</t>
        </is>
      </c>
      <c r="C4" s="23" t="inlineStr">
        <is>
          <t>Units per USD</t>
        </is>
      </c>
      <c r="D4" s="23" t="inlineStr">
        <is>
          <t>Rate date</t>
        </is>
      </c>
    </row>
    <row r="5">
      <c r="A5" s="185" t="inlineStr">
        <is>
          <t>USD</t>
        </is>
      </c>
      <c r="B5" s="186" t="n">
        <v>1</v>
      </c>
      <c r="C5" s="187">
        <f>IF(B5&gt;0,1/B5,"")</f>
        <v/>
      </c>
      <c r="D5" s="188" t="n">
        <v>46290</v>
      </c>
    </row>
    <row r="6">
      <c r="A6" s="185" t="inlineStr">
        <is>
          <t>EUR</t>
        </is>
      </c>
      <c r="B6" s="186" t="n">
        <v>1.136965</v>
      </c>
      <c r="C6" s="187">
        <f>IF(B6&gt;0,1/B6,"")</f>
        <v/>
      </c>
      <c r="D6" s="188" t="n">
        <v>46290</v>
      </c>
    </row>
    <row r="7">
      <c r="A7" s="185" t="inlineStr">
        <is>
          <t>SGD</t>
        </is>
      </c>
      <c r="B7" s="186" t="n">
        <v>0.781627</v>
      </c>
      <c r="C7" s="187">
        <f>IF(B7&gt;0,1/B7,"")</f>
        <v/>
      </c>
      <c r="D7" s="188" t="n">
        <v>46290</v>
      </c>
    </row>
    <row r="8">
      <c r="A8" s="185" t="inlineStr">
        <is>
          <t>AUD</t>
        </is>
      </c>
      <c r="B8" s="186" t="n">
        <v>0.701303</v>
      </c>
      <c r="C8" s="187">
        <f>IF(B8&gt;0,1/B8,"")</f>
        <v/>
      </c>
      <c r="D8" s="188" t="n">
        <v>46290</v>
      </c>
    </row>
    <row r="9">
      <c r="A9" s="185" t="inlineStr">
        <is>
          <t>GBP</t>
        </is>
      </c>
      <c r="B9" s="186" t="n">
        <v>1.32115</v>
      </c>
      <c r="C9" s="187">
        <f>IF(B9&gt;0,1/B9,"")</f>
        <v/>
      </c>
      <c r="D9" s="188" t="n">
        <v>46290</v>
      </c>
    </row>
    <row r="10">
      <c r="A10" s="185" t="inlineStr">
        <is>
          <t>JPY</t>
        </is>
      </c>
      <c r="B10" s="186" t="n">
        <v>0.006314</v>
      </c>
      <c r="C10" s="187">
        <f>IF(B10&gt;0,1/B10,"")</f>
        <v/>
      </c>
      <c r="D10" s="188" t="n">
        <v>46290</v>
      </c>
    </row>
    <row r="11">
      <c r="A11" s="185" t="inlineStr">
        <is>
          <t>CNY</t>
        </is>
      </c>
      <c r="B11" s="186" t="n">
        <v>0.148965</v>
      </c>
      <c r="C11" s="187">
        <f>IF(B11&gt;0,1/B11,"")</f>
        <v/>
      </c>
      <c r="D11" s="188" t="n">
        <v>46290</v>
      </c>
    </row>
    <row r="12">
      <c r="A12" s="185" t="inlineStr">
        <is>
          <t>INR</t>
        </is>
      </c>
      <c r="B12" s="186" t="n">
        <v>0.010424</v>
      </c>
      <c r="C12" s="187">
        <f>IF(B12&gt;0,1/B12,"")</f>
        <v/>
      </c>
      <c r="D12" s="188" t="n">
        <v>46290</v>
      </c>
    </row>
    <row r="13">
      <c r="A13" s="185" t="inlineStr">
        <is>
          <t>MYR</t>
        </is>
      </c>
      <c r="B13" s="186" t="n">
        <v>0.245222</v>
      </c>
      <c r="C13" s="187">
        <f>IF(B13&gt;0,1/B13,"")</f>
        <v/>
      </c>
      <c r="D13" s="188" t="n">
        <v>46290</v>
      </c>
    </row>
    <row r="14">
      <c r="A14" s="185" t="inlineStr">
        <is>
          <t>THB</t>
        </is>
      </c>
      <c r="B14" s="186" t="n">
        <v>0.029894</v>
      </c>
      <c r="C14" s="187">
        <f>IF(B14&gt;0,1/B14,"")</f>
        <v/>
      </c>
      <c r="D14" s="188" t="n">
        <v>46290</v>
      </c>
    </row>
    <row r="16" ht="30" customHeight="1" s="74">
      <c r="A16" s="189" t="inlineStr">
        <is>
          <t>Source: daily reference rates from the fawazahmed0/exchange-api project, npm package @fawazahmed0/currency-api v2026.9.25, dated 2026-09-25. Replace with your company’s planning rates if you have them.</t>
        </is>
      </c>
    </row>
    <row r="17" ht="30" customHeight="1" s="74">
      <c r="A17" s="189" t="inlineStr">
        <is>
          <t>Every project is converted at these rates, whatever its year, so USD values are for rough comparison only.</t>
        </is>
      </c>
    </row>
  </sheetData>
  <mergeCells count="4">
    <mergeCell ref="A1:D1"/>
    <mergeCell ref="A16:D16"/>
    <mergeCell ref="A2:D2"/>
    <mergeCell ref="A17:D17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FF2E2E2C"/>
    <outlinePr summaryBelow="1" summaryRight="1"/>
    <pageSetUpPr/>
  </sheetPr>
  <dimension ref="A1:B63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72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8" t="inlineStr">
        <is>
          <t xml:space="preserve">  HOW THE SMART SEARCH WORKS</t>
        </is>
      </c>
    </row>
    <row r="4" ht="15.75" customHeight="1" s="74">
      <c r="A4" s="190" t="inlineStr">
        <is>
          <t xml:space="preserve">   Step 1:  Set Include? to YES for every system in your project, NO for the rest.</t>
        </is>
      </c>
    </row>
    <row r="5" ht="15.75" customHeight="1" s="74">
      <c r="A5" s="190" t="inlineStr">
        <is>
          <t xml:space="preserve">   Step 2:  Enter your quantities for the included systems.</t>
        </is>
      </c>
    </row>
    <row r="6" ht="15.75" customHeight="1" s="74">
      <c r="A6" s="190" t="inlineStr">
        <is>
          <t xml:space="preserve">   The tool automatically distributes equal weight across all active parameters and ranks the database.</t>
        </is>
      </c>
    </row>
    <row r="7" ht="15.75" customHeight="1" s="74">
      <c r="A7" s="190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8" t="inlineStr">
        <is>
          <t xml:space="preserve">  MATCH SCORE EXPLAINED</t>
        </is>
      </c>
    </row>
    <row r="10" ht="15.75" customHeight="1" s="74">
      <c r="A10" s="190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90" t="inlineStr">
        <is>
          <t xml:space="preserve">   All active parameters receive equal weight.  Final score = average of all active parameter scores.</t>
        </is>
      </c>
    </row>
    <row r="12" ht="15.75" customHeight="1" s="74">
      <c r="A12" s="190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90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90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8" t="inlineStr">
        <is>
          <t xml:space="preserve">  SYSTEMS SUPPORTED</t>
        </is>
      </c>
    </row>
    <row r="16" ht="15.75" customHeight="1" s="74">
      <c r="A16" s="190" t="inlineStr">
        <is>
          <t xml:space="preserve">   Multishuttle    — Shuttles + Tote Locations</t>
        </is>
      </c>
    </row>
    <row r="17" ht="15.75" customHeight="1" s="74">
      <c r="A17" s="190" t="inlineStr">
        <is>
          <t xml:space="preserve">   AutoStore       — Robots + Tote Locations</t>
        </is>
      </c>
    </row>
    <row r="18" ht="15.75" customHeight="1" s="74">
      <c r="A18" s="190" t="inlineStr">
        <is>
          <t xml:space="preserve">   Pallet Shuttle  — Shuttles + Pallet Locations</t>
        </is>
      </c>
    </row>
    <row r="19" ht="15.75" customHeight="1" s="74">
      <c r="A19" s="190" t="inlineStr">
        <is>
          <t xml:space="preserve">   SRM Crane       — Cranes + Pallet Locations</t>
        </is>
      </c>
    </row>
    <row r="20" ht="15.75" customHeight="1" s="74">
      <c r="A20" s="190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8" t="inlineStr">
        <is>
          <t xml:space="preserve">  ADDING A PROJECT TO THE DATABASE</t>
        </is>
      </c>
    </row>
    <row r="23" ht="15.75" customHeight="1" s="74">
      <c r="A23" s="190" t="inlineStr">
        <is>
          <t xml:space="preserve">   1.  Go to 'Project Database' and fill in the next empty row.</t>
        </is>
      </c>
    </row>
    <row r="24" ht="15.75" customHeight="1" s="74">
      <c r="A24" s="190" t="inlineStr">
        <is>
          <t xml:space="preserve">   2.  Enter data only for systems used — leave other system columns blank.</t>
        </is>
      </c>
    </row>
    <row r="25" ht="15.75" customHeight="1" s="74">
      <c r="A25" s="190" t="inlineStr">
        <is>
          <t xml:space="preserve">   3.  All schedule phases are in WEEKS.</t>
        </is>
      </c>
    </row>
    <row r="26" ht="15.75" customHeight="1" s="74">
      <c r="A26" s="190" t="inlineStr">
        <is>
          <t xml:space="preserve">   4.  Total Timeline is the actual start-to-finish duration in weeks. Enter it yourself: phases overlap, so it is not a sum of the phase durations.</t>
        </is>
      </c>
    </row>
    <row r="27" ht="15.75" customHeight="1" s="74">
      <c r="A27" s="190" t="inlineStr">
        <is>
          <t xml:space="preserve">   5.  Project Value is in MILLIONS — enter a number only (22.9), not '22.9M'. Select Currency from the dropdown.</t>
        </is>
      </c>
    </row>
    <row r="28" ht="15.75" customHeight="1" s="74">
      <c r="A28" s="190" t="inlineStr">
        <is>
          <t xml:space="preserve">   6.  Select the Solution Type from the dropdown in column D.</t>
        </is>
      </c>
    </row>
    <row r="29" ht="21.75" customHeight="1" s="74">
      <c r="A29" s="191" t="n"/>
    </row>
    <row r="30" ht="15.75" customHeight="1" s="74">
      <c r="A30" s="168" t="inlineStr">
        <is>
          <t xml:space="preserve">  MANHOUR COST (% OF PROJECT COST)</t>
        </is>
      </c>
    </row>
    <row r="31" ht="15.75" customHeight="1" s="74">
      <c r="A31" s="190" t="inlineStr">
        <is>
          <t xml:space="preserve">   Database columns AD–AQ hold fourteen manhour cost categories, each as a % of project cost:</t>
        </is>
      </c>
    </row>
    <row r="32" ht="15.75" customHeight="1" s="74">
      <c r="A32" s="190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90" t="inlineStr">
        <is>
          <t xml:space="preserve">   Enter these as percentages (type 5% or 0.05 — not 5). Values must be between 0% and 100%.</t>
        </is>
      </c>
    </row>
    <row r="34" ht="15.75" customHeight="1" s="74">
      <c r="A34" s="190" t="inlineStr">
        <is>
          <t xml:space="preserve">   Smart Search shows all fourteen categories individually in the Estimated Schedule section,</t>
        </is>
      </c>
    </row>
    <row r="35" ht="15.75" customHeight="1" s="74">
      <c r="A35" s="190" t="inlineStr">
        <is>
          <t xml:space="preserve">   below Project Value, as a % of the closest match's project cost.</t>
        </is>
      </c>
    </row>
    <row r="36">
      <c r="A36" s="154" t="inlineStr">
        <is>
          <t xml:space="preserve">   A project marked No data, or with every manhour cell blank or 0, shows “No manhour data” instead of percentages.</t>
        </is>
      </c>
    </row>
    <row r="38" ht="26.1" customHeight="1" s="74">
      <c r="A38" s="191" t="inlineStr">
        <is>
          <t>OPTIONAL SEARCH FILTERS</t>
        </is>
      </c>
    </row>
    <row r="39" ht="26.1" customHeight="1" s="74">
      <c r="A39" s="191" t="inlineStr">
        <is>
          <t>Use the four optional filters beside the Smart Search inputs. Blank or All includes all projects.</t>
        </is>
      </c>
    </row>
    <row r="40" ht="26.1" customHeight="1" s="74">
      <c r="A40" s="191" t="inlineStr">
        <is>
          <t>Solution Type and Won status: select a dropdown value. Year: enter an exact year (2000-2099), or clear it.</t>
        </is>
      </c>
    </row>
    <row r="41" ht="26.1" customHeight="1" s="74">
      <c r="A41" s="191" t="inlineStr">
        <is>
          <t>Region: enter text found in Client / Region, e.g. ME matches Turkey ME and KSA ME. Matching ignores letter case.</t>
        </is>
      </c>
    </row>
    <row r="42" ht="26.1" customHeight="1" s="74">
      <c r="A42" s="191" t="inlineStr">
        <is>
          <t>All selected filters must match. Projects with missing data are excluded only when that field is filtered.</t>
        </is>
      </c>
    </row>
    <row r="43" ht="26.1" customHeight="1" s="74">
      <c r="A43" s="191" t="inlineStr">
        <is>
          <t>The top five, closest-match estimate and top-three comparison all use the filtered results.</t>
        </is>
      </c>
    </row>
    <row r="44" ht="26.1" customHeight="1" s="74">
      <c r="A44" s="191" t="inlineStr">
        <is>
          <t>If no projects match, broaden or clear filters. Populate Solution Type in the database before filtering by it.</t>
        </is>
      </c>
    </row>
    <row r="46" ht="15.75" customHeight="1" s="74">
      <c r="A46" s="168" t="inlineStr">
        <is>
          <t xml:space="preserve">  PROJECT DATABASE TABLE</t>
        </is>
      </c>
    </row>
    <row r="47" ht="15.75" customHeight="1" s="74">
      <c r="A47" s="190" t="inlineStr">
        <is>
          <t xml:space="preserve">   The Project Database is an Excel Table named Projects. Use the header buttons to sort or filter.</t>
        </is>
      </c>
    </row>
    <row r="48" ht="15.75" customHeight="1" s="74">
      <c r="A48" s="190" t="inlineStr">
        <is>
          <t xml:space="preserve">   Add a project in the first empty row inside the table. Capacity: 499 projects (rows 6–504).</t>
        </is>
      </c>
    </row>
    <row r="49" ht="15.75" customHeight="1" s="74">
      <c r="A49" s="190" t="inlineStr">
        <is>
          <t xml:space="preserve">   Formulas find columns by header name, so inserting, moving or renaming columns in Excel is safe.</t>
        </is>
      </c>
    </row>
    <row r="50" ht="15.75" customHeight="1" s="74">
      <c r="A50" s="190" t="inlineStr">
        <is>
          <t xml:space="preserve">   Deleting a column that formulas use still breaks them, and a new manhour category must be added to Smart Search.</t>
        </is>
      </c>
    </row>
    <row r="52" ht="15.75" customHeight="1" s="74">
      <c r="A52" s="168" t="inlineStr">
        <is>
          <t xml:space="preserve">  PROJECT VALUE IN USD</t>
        </is>
      </c>
    </row>
    <row r="53" ht="15.75" customHeight="1" s="74">
      <c r="A53" s="190" t="inlineStr">
        <is>
          <t xml:space="preserve">   Value (USD M), column Z, is calculated: Value (M) × the rate on the FX Rates sheet. Do not type in it.</t>
        </is>
      </c>
    </row>
    <row r="54" ht="15.75" customHeight="1" s="74">
      <c r="A54" s="190" t="inlineStr">
        <is>
          <t xml:space="preserve">   Keep rates up to date on FX Rates (USD per one unit). A currency with no rate shows “No rate”.</t>
        </is>
      </c>
    </row>
    <row r="55" ht="15.75" customHeight="1" s="74">
      <c r="A55" s="190" t="inlineStr">
        <is>
          <t xml:space="preserve">   Every project is converted at the same current rate, so treat USD values as a rough comparison.</t>
        </is>
      </c>
    </row>
    <row r="57" ht="15.75" customHeight="1" s="74">
      <c r="A57" s="168" t="inlineStr">
        <is>
          <t xml:space="preserve">  MANHOUR DATA STATUS</t>
        </is>
      </c>
    </row>
    <row r="58" ht="15.75" customHeight="1" s="74">
      <c r="A58" s="190" t="inlineStr">
        <is>
          <t xml:space="preserve">   MH Data Status (column AR) records how far to trust each project’s manhour figures:</t>
        </is>
      </c>
    </row>
    <row r="59" ht="15.75" customHeight="1" s="74">
      <c r="A59" s="190" t="inlineStr">
        <is>
          <t xml:space="preserve">   Real = actual % of project cost.   Unverified = older figures not yet checked.   No data = none entered.</t>
        </is>
      </c>
    </row>
    <row r="60" ht="15.75" customHeight="1" s="74">
      <c r="A60" s="190" t="inlineStr">
        <is>
          <t xml:space="preserve">   Smart Search shows the closest match’s status above its manhour profile; Project Comparison lists it per match.</t>
        </is>
      </c>
    </row>
    <row r="62" ht="15.75" customHeight="1" s="74">
      <c r="A62" s="168" t="inlineStr">
        <is>
          <t xml:space="preserve">  VERSION</t>
        </is>
      </c>
    </row>
    <row r="63" ht="15.75" customHeight="1" s="74">
      <c r="A63" s="190" t="inlineStr">
        <is>
          <t xml:space="preserve">   This is version v42 (2026-09-25). The Change Log sheet lists every change.</t>
        </is>
      </c>
    </row>
  </sheetData>
  <mergeCells count="55">
    <mergeCell ref="A48:B48"/>
    <mergeCell ref="A30:B30"/>
    <mergeCell ref="A24:B24"/>
    <mergeCell ref="A15:B15"/>
    <mergeCell ref="A59:B59"/>
    <mergeCell ref="A60:B60"/>
    <mergeCell ref="A11:B11"/>
    <mergeCell ref="A49:B49"/>
    <mergeCell ref="A1:B1"/>
    <mergeCell ref="A6:B6"/>
    <mergeCell ref="A16:B16"/>
    <mergeCell ref="A54:B54"/>
    <mergeCell ref="A7:B7"/>
    <mergeCell ref="A25:B25"/>
    <mergeCell ref="A41:B41"/>
    <mergeCell ref="A46:B46"/>
    <mergeCell ref="A18:B18"/>
    <mergeCell ref="A27:B27"/>
    <mergeCell ref="A3:B3"/>
    <mergeCell ref="A55:B55"/>
    <mergeCell ref="A12:B12"/>
    <mergeCell ref="A50:B50"/>
    <mergeCell ref="A26:B26"/>
    <mergeCell ref="A2:B2"/>
    <mergeCell ref="A57:B57"/>
    <mergeCell ref="A33:B33"/>
    <mergeCell ref="A47:B47"/>
    <mergeCell ref="A42:B42"/>
    <mergeCell ref="A5:B5"/>
    <mergeCell ref="A32:B32"/>
    <mergeCell ref="A14:B14"/>
    <mergeCell ref="A23:B23"/>
    <mergeCell ref="A17:B17"/>
    <mergeCell ref="A22:B22"/>
    <mergeCell ref="A53:B53"/>
    <mergeCell ref="A35:B35"/>
    <mergeCell ref="A4:B4"/>
    <mergeCell ref="A62:B62"/>
    <mergeCell ref="A20:B20"/>
    <mergeCell ref="A38:B38"/>
    <mergeCell ref="A29:B29"/>
    <mergeCell ref="A52:B52"/>
    <mergeCell ref="A43:B43"/>
    <mergeCell ref="A19:B19"/>
    <mergeCell ref="A63:B63"/>
    <mergeCell ref="A10:B10"/>
    <mergeCell ref="A28:B28"/>
    <mergeCell ref="A13:B13"/>
    <mergeCell ref="A44:B44"/>
    <mergeCell ref="A40:B40"/>
    <mergeCell ref="A9:B9"/>
    <mergeCell ref="A31:B31"/>
    <mergeCell ref="A58:B58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D1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0" customWidth="1" style="74" min="1" max="1"/>
    <col width="12" customWidth="1" style="74" min="2" max="2"/>
    <col width="13" customWidth="1" style="74" min="3" max="3"/>
    <col width="95" customWidth="1" style="74" min="4" max="4"/>
  </cols>
  <sheetData>
    <row r="1" ht="36" customHeight="1" s="74">
      <c r="A1" s="172" t="inlineStr">
        <is>
          <t>DEMATIC  |  Change Log</t>
        </is>
      </c>
    </row>
    <row r="2">
      <c r="A2" s="156" t="inlineStr">
        <is>
          <t>Current version: v42  (2026-09-25). Newest first. Git commits are in the Thor repository.</t>
        </is>
      </c>
    </row>
    <row r="4" ht="24" customHeight="1" s="74">
      <c r="A4" s="23" t="inlineStr">
        <is>
          <t>Version</t>
        </is>
      </c>
      <c r="B4" s="23" t="inlineStr">
        <is>
          <t>Date</t>
        </is>
      </c>
      <c r="C4" s="23" t="inlineStr">
        <is>
          <t>Git commit</t>
        </is>
      </c>
      <c r="D4" s="23" t="inlineStr">
        <is>
          <t>Changes</t>
        </is>
      </c>
    </row>
    <row r="5" ht="150" customHeight="1" s="74">
      <c r="A5" s="192" t="inlineStr">
        <is>
          <t>v42</t>
        </is>
      </c>
      <c r="B5" s="192" t="inlineStr">
        <is>
          <t>2026-09-25</t>
        </is>
      </c>
      <c r="C5" s="192" t="inlineStr">
        <is>
          <t>this version</t>
        </is>
      </c>
      <c r="D5" s="193" t="inlineStr">
        <is>
          <t>• Keyword search: the 7th keyword is now searched (it was skipped).
• Reset macro also clears the four optional filters.
• Instructions: Total Timeline is the actual duration, not a formula.
• Project Database is an Excel Table (Projects); formulas find columns by header name.
• FX Rates sheet and Value (USD M) column; USD equivalents shown in results.
• MH Data Status column (Real / Unverified / No data), shown beside the manhour profile.
• Projects without manhour data show “No manhour data” instead of 0.0%.
• Solution Type shown in the top 5, the closest match and Project Comparison.
• Project Comparison: manhour breakdown for the top 3 matches.
• This Change Log and a version label on Smart Search.</t>
        </is>
      </c>
    </row>
    <row r="6" ht="18" customHeight="1" s="74">
      <c r="A6" s="192" t="inlineStr">
        <is>
          <t>v41b</t>
        </is>
      </c>
      <c r="B6" s="192" t="inlineStr">
        <is>
          <t>2026-09-25</t>
        </is>
      </c>
      <c r="C6" s="192" t="inlineStr">
        <is>
          <t>bec03d1</t>
        </is>
      </c>
      <c r="D6" s="193" t="inlineStr">
        <is>
          <t>• Instructions updated for manhour % of project cost.</t>
        </is>
      </c>
    </row>
    <row r="7" ht="30" customHeight="1" s="74">
      <c r="A7" s="192" t="inlineStr">
        <is>
          <t>v41b</t>
        </is>
      </c>
      <c r="B7" s="192" t="inlineStr">
        <is>
          <t>2026-09-25</t>
        </is>
      </c>
      <c r="C7" s="192" t="inlineStr">
        <is>
          <t>82818c0</t>
        </is>
      </c>
      <c r="D7" s="193" t="inlineStr">
        <is>
          <t>• Manhour costs recorded as % of project cost; real figures for five projects.
• Solution Types filled in; Estimated Cost column removed from Smart Search.</t>
        </is>
      </c>
    </row>
    <row r="8" ht="18" customHeight="1" s="74">
      <c r="A8" s="192" t="inlineStr">
        <is>
          <t>v41</t>
        </is>
      </c>
      <c r="B8" s="192" t="inlineStr">
        <is>
          <t>2026-09-11</t>
        </is>
      </c>
      <c r="C8" s="192" t="inlineStr">
        <is>
          <t>d11ec72</t>
        </is>
      </c>
      <c r="D8" s="193" t="inlineStr">
        <is>
          <t>• Optional search filters: Solution Type, region, year, won status.</t>
        </is>
      </c>
    </row>
    <row r="9" ht="18" customHeight="1" s="74">
      <c r="A9" s="192" t="inlineStr">
        <is>
          <t>v41</t>
        </is>
      </c>
      <c r="B9" s="192" t="inlineStr">
        <is>
          <t>2026-09-09</t>
        </is>
      </c>
      <c r="C9" s="192" t="inlineStr">
        <is>
          <t>3d48e82</t>
        </is>
      </c>
      <c r="D9" s="193" t="inlineStr">
        <is>
          <t>• Solution Type column with dropdown added to the database.</t>
        </is>
      </c>
    </row>
    <row r="10" ht="18" customHeight="1" s="74">
      <c r="A10" s="192" t="inlineStr">
        <is>
          <t>v41</t>
        </is>
      </c>
      <c r="B10" s="192" t="inlineStr">
        <is>
          <t>2026-08-27</t>
        </is>
      </c>
      <c r="C10" s="192" t="inlineStr">
        <is>
          <t>e34cc0c</t>
        </is>
      </c>
      <c r="D10" s="193" t="inlineStr">
        <is>
          <t>• Misc manhour category carried through to Smart Search.</t>
        </is>
      </c>
    </row>
    <row r="11" ht="18" customHeight="1" s="74">
      <c r="A11" s="192" t="inlineStr">
        <is>
          <t>v41</t>
        </is>
      </c>
      <c r="B11" s="192" t="inlineStr">
        <is>
          <t>2026-08-27</t>
        </is>
      </c>
      <c r="C11" s="192" t="inlineStr">
        <is>
          <t>b2569f1</t>
        </is>
      </c>
      <c r="D11" s="193" t="inlineStr">
        <is>
          <t>• Smart Search and Project Comparison repaired after the manhour column update (broken references, 13 categories).</t>
        </is>
      </c>
    </row>
  </sheetData>
  <mergeCells count="2">
    <mergeCell ref="A1:D1"/>
    <mergeCell ref="A2:D2"/>
  </mergeCell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2026-09-25T06:11:51Z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