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Instructions" sheetId="5" state="visible" r:id="rId5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2">
    <numFmt numFmtId="164" formatCode="#,##0.00&quot; M&quot;"/>
    <numFmt numFmtId="165" formatCode="0.0%"/>
  </numFmts>
  <fonts count="37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</fonts>
  <fills count="28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76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AP504" headerRowCount="1">
  <autoFilter ref="A5:AP504"/>
  <tableColumns count="42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Automation Equipment"/>
    <tableColumn id="27" name="Notes / Lessons Learned"/>
    <tableColumn id="28" name="ID Check"/>
    <tableColumn id="29" name="Mech Inst"/>
    <tableColumn id="30" name="Elec Inst"/>
    <tableColumn id="31" name="Project Management"/>
    <tableColumn id="32" name="Systems Eng"/>
    <tableColumn id="33" name="Mechanical Eng"/>
    <tableColumn id="34" name="Structural Engineering"/>
    <tableColumn id="35" name="Site Sup"/>
    <tableColumn id="36" name="Controls Commissioning"/>
    <tableColumn id="37" name="Systems Commissioning"/>
    <tableColumn id="38" name="Service Commissioning"/>
    <tableColumn id="39" name="Controls Eng"/>
    <tableColumn id="40" name="Controls Purchase"/>
    <tableColumn id="41" name="Software Eng"/>
    <tableColumn id="42" name="Misc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Q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44.5546875" customWidth="1" style="74" min="26" max="26"/>
    <col width="50" customWidth="1" style="74" min="27" max="27"/>
    <col width="14" customWidth="1" style="74" min="28" max="28"/>
    <col width="11.33203125" customWidth="1" style="74" min="29" max="29"/>
    <col width="10.33203125" customWidth="1" style="74" min="30" max="30"/>
    <col width="8.44140625" customWidth="1" style="74" min="31" max="31"/>
    <col width="11" customWidth="1" style="74" min="32" max="32"/>
    <col width="13" customWidth="1" style="74" min="33" max="33"/>
    <col width="9.5546875" customWidth="1" style="74" min="35" max="35"/>
    <col width="17.33203125" customWidth="1" style="74" min="36" max="36"/>
    <col width="11.44140625" customWidth="1" style="74" min="39" max="39"/>
    <col width="10" customWidth="1" style="74" min="41" max="41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82" t="inlineStr">
        <is>
          <t>ATTRIBUTES</t>
        </is>
      </c>
      <c r="AA3" s="72" t="n"/>
      <c r="AB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21" t="n"/>
      <c r="AA4" s="21" t="n"/>
      <c r="AB4" s="21" t="n"/>
      <c r="AC4" s="22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82" t="inlineStr">
        <is>
          <t>Automation Equipment</t>
        </is>
      </c>
      <c r="AA5" s="82" t="inlineStr">
        <is>
          <t>Notes / Lessons Learned</t>
        </is>
      </c>
      <c r="AB5" s="30" t="inlineStr">
        <is>
          <t>ID Check</t>
        </is>
      </c>
      <c r="AC5" s="31" t="inlineStr">
        <is>
          <t>Mech Inst</t>
        </is>
      </c>
      <c r="AD5" s="31" t="inlineStr">
        <is>
          <t>Elec Inst</t>
        </is>
      </c>
      <c r="AE5" s="31" t="inlineStr">
        <is>
          <t>Project Management</t>
        </is>
      </c>
      <c r="AF5" s="31" t="inlineStr">
        <is>
          <t>Systems Eng</t>
        </is>
      </c>
      <c r="AG5" s="31" t="inlineStr">
        <is>
          <t>Mechanical Eng</t>
        </is>
      </c>
      <c r="AH5" s="31" t="inlineStr">
        <is>
          <t>Structural Engineering</t>
        </is>
      </c>
      <c r="AI5" s="31" t="inlineStr">
        <is>
          <t>Site Sup</t>
        </is>
      </c>
      <c r="AJ5" s="31" t="inlineStr">
        <is>
          <t>Controls Commissioning</t>
        </is>
      </c>
      <c r="AK5" s="31" t="inlineStr">
        <is>
          <t>Systems Commissioning</t>
        </is>
      </c>
      <c r="AL5" s="31" t="inlineStr">
        <is>
          <t>Service Commissioning</t>
        </is>
      </c>
      <c r="AM5" s="31" t="inlineStr">
        <is>
          <t>Controls Eng</t>
        </is>
      </c>
      <c r="AN5" s="31" t="inlineStr">
        <is>
          <t>Controls Purchase</t>
        </is>
      </c>
      <c r="AO5" s="31" t="inlineStr">
        <is>
          <t>Software Eng</t>
        </is>
      </c>
      <c r="AP5" s="31" t="inlineStr">
        <is>
          <t>Misc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32" t="inlineStr">
        <is>
          <t>Hybotics APP Autobagger Carton Reducting Lidding Sealer Tote Stacker DeStacker MCS</t>
        </is>
      </c>
      <c r="AA6" s="32" t="n"/>
      <c r="AB6" s="36">
        <f>IF(A6="","",IF(COUNTIF($A$6:$A$504,A6)&gt;1,"⚠ Duplicate",""))</f>
        <v/>
      </c>
      <c r="AC6" s="37" t="n">
        <v>0</v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10" t="n"/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38" t="inlineStr">
        <is>
          <t xml:space="preserve">SRM BK25 </t>
        </is>
      </c>
      <c r="AA7" s="38" t="inlineStr">
        <is>
          <t>2 SRM Cranes in 1 Aisle Configuration</t>
        </is>
      </c>
      <c r="AB7" s="41">
        <f>IF(A7="","",IF(COUNTIF($A$6:$A$504,A7)&gt;1,"⚠ Duplicate",""))</f>
        <v/>
      </c>
      <c r="AC7" s="42" t="n">
        <v>0.011</v>
      </c>
      <c r="AD7" s="42" t="n">
        <v>0.011</v>
      </c>
      <c r="AE7" s="42" t="n">
        <v>0.011</v>
      </c>
      <c r="AF7" s="42" t="n">
        <v>0.004</v>
      </c>
      <c r="AG7" s="42" t="n">
        <v>0.01</v>
      </c>
      <c r="AH7" s="42" t="n">
        <v>0.008</v>
      </c>
      <c r="AI7" s="42" t="n">
        <v>0.008</v>
      </c>
      <c r="AJ7" s="42" t="n">
        <v>0.021</v>
      </c>
      <c r="AK7" s="42" t="n">
        <v>0.021</v>
      </c>
      <c r="AL7" s="42" t="n">
        <v>0.021</v>
      </c>
      <c r="AM7" s="42" t="n">
        <v>0.03</v>
      </c>
      <c r="AN7" s="42" t="n">
        <v>0.03</v>
      </c>
      <c r="AO7" s="42" t="n">
        <v>0.003</v>
      </c>
      <c r="AP7" s="37" t="n">
        <v>0.001</v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32" t="inlineStr">
        <is>
          <t>AutoStore</t>
        </is>
      </c>
      <c r="AA8" s="32" t="n"/>
      <c r="AB8" s="36">
        <f>IF(A8="","",IF(COUNTIF($A$6:$A$504,A8)&gt;1,"⚠ Duplicate",""))</f>
        <v/>
      </c>
      <c r="AC8" s="43" t="n">
        <v>0.05</v>
      </c>
      <c r="AD8" s="43" t="n">
        <v>0.05</v>
      </c>
      <c r="AE8" s="43" t="n">
        <v>0.05</v>
      </c>
      <c r="AF8" s="43" t="n">
        <v>0.07000000000000001</v>
      </c>
      <c r="AG8" s="43" t="n">
        <v>0.09</v>
      </c>
      <c r="AH8" s="43" t="n">
        <v>0.06</v>
      </c>
      <c r="AI8" s="43" t="n">
        <v>0.06</v>
      </c>
      <c r="AJ8" s="43" t="n">
        <v>0.01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0.04</v>
      </c>
      <c r="AP8" s="37" t="n">
        <v>0.001</v>
      </c>
      <c r="AQ8" s="10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38" t="inlineStr">
        <is>
          <t>AutoStore</t>
        </is>
      </c>
      <c r="AA9" s="38" t="n"/>
      <c r="AB9" s="41">
        <f>IF(A9="","",IF(COUNTIF($A$6:$A$504,A9)&gt;1,"⚠ Duplicate",""))</f>
        <v/>
      </c>
      <c r="AC9" s="42" t="n">
        <v>0.05</v>
      </c>
      <c r="AD9" s="42" t="n">
        <v>0.05</v>
      </c>
      <c r="AE9" s="42" t="n">
        <v>0.05</v>
      </c>
      <c r="AF9" s="42" t="n">
        <v>0.07000000000000001</v>
      </c>
      <c r="AG9" s="42" t="n">
        <v>0.09</v>
      </c>
      <c r="AH9" s="42" t="n">
        <v>0.06</v>
      </c>
      <c r="AI9" s="42" t="n">
        <v>0.06</v>
      </c>
      <c r="AJ9" s="42" t="n">
        <v>0.01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0.04</v>
      </c>
      <c r="AP9" s="37" t="n">
        <v>0.001</v>
      </c>
      <c r="AQ9" s="10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32" t="inlineStr">
        <is>
          <t>AutoStore</t>
        </is>
      </c>
      <c r="AA10" s="32" t="n"/>
      <c r="AB10" s="36">
        <f>IF(A10="","",IF(COUNTIF($A$6:$A$504,A10)&gt;1,"⚠ Duplicate",""))</f>
        <v/>
      </c>
      <c r="AC10" s="43" t="n">
        <v>0.05</v>
      </c>
      <c r="AD10" s="43" t="n">
        <v>0.05</v>
      </c>
      <c r="AE10" s="43" t="n">
        <v>0.05</v>
      </c>
      <c r="AF10" s="43" t="n">
        <v>0.07000000000000001</v>
      </c>
      <c r="AG10" s="43" t="n">
        <v>0.09</v>
      </c>
      <c r="AH10" s="43" t="n">
        <v>0.06</v>
      </c>
      <c r="AI10" s="43" t="n">
        <v>0.06</v>
      </c>
      <c r="AJ10" s="43" t="n">
        <v>0.01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0.04</v>
      </c>
      <c r="AP10" s="37" t="n">
        <v>0.001</v>
      </c>
      <c r="AQ10" s="10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38" t="inlineStr">
        <is>
          <t>DMS MCS Elten Tote Palletising Case Lidding</t>
        </is>
      </c>
      <c r="AA11" s="38" t="n"/>
      <c r="AB11" s="41">
        <f>IF(A11="","",IF(COUNTIF($A$6:$A$504,A11)&gt;1,"⚠ Duplicate",""))</f>
        <v/>
      </c>
      <c r="AC11" s="37" t="n">
        <v>0</v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10" t="n"/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32" t="inlineStr">
        <is>
          <t>2 Way Shuttle BK25</t>
        </is>
      </c>
      <c r="AA12" s="32" t="n"/>
      <c r="AB12" s="36">
        <f>IF(A12="","",IF(COUNTIF($A$6:$A$504,A12)&gt;1,"⚠ Duplicate",""))</f>
        <v/>
      </c>
      <c r="AC12" s="37" t="n">
        <v>0</v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10" t="n"/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38" t="inlineStr">
        <is>
          <t>DMS</t>
        </is>
      </c>
      <c r="AA13" s="38" t="n"/>
      <c r="AB13" s="41">
        <f>IF(A13="","",IF(COUNTIF($A$6:$A$504,A13)&gt;1,"⚠ Duplicate",""))</f>
        <v/>
      </c>
      <c r="AC13" s="42" t="n">
        <v>0.05</v>
      </c>
      <c r="AD13" s="42" t="n">
        <v>0.05</v>
      </c>
      <c r="AE13" s="42" t="n">
        <v>0.05</v>
      </c>
      <c r="AF13" s="42" t="n">
        <v>0.07000000000000001</v>
      </c>
      <c r="AG13" s="42" t="n">
        <v>0.09</v>
      </c>
      <c r="AH13" s="42" t="n">
        <v>0.06</v>
      </c>
      <c r="AI13" s="42" t="n">
        <v>0.06</v>
      </c>
      <c r="AJ13" s="42" t="n">
        <v>0.01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0.04</v>
      </c>
      <c r="AP13" s="37" t="n">
        <v>0.001</v>
      </c>
      <c r="AQ13" s="10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32" t="inlineStr">
        <is>
          <t>MCS</t>
        </is>
      </c>
      <c r="AA14" s="32" t="n"/>
      <c r="AB14" s="36">
        <f>IF(A14="","",IF(COUNTIF($A$6:$A$504,A14)&gt;1,"⚠ Duplicate",""))</f>
        <v/>
      </c>
      <c r="AC14" s="43" t="n">
        <v>0.05</v>
      </c>
      <c r="AD14" s="43" t="n">
        <v>0.05</v>
      </c>
      <c r="AE14" s="43" t="n">
        <v>0.05</v>
      </c>
      <c r="AF14" s="43" t="n">
        <v>0.07000000000000001</v>
      </c>
      <c r="AG14" s="43" t="n">
        <v>0.09</v>
      </c>
      <c r="AH14" s="43" t="n">
        <v>0.06</v>
      </c>
      <c r="AI14" s="43" t="n">
        <v>0.06</v>
      </c>
      <c r="AJ14" s="43" t="n">
        <v>0.01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0.04</v>
      </c>
      <c r="AP14" s="37" t="n">
        <v>0.001</v>
      </c>
      <c r="AQ14" s="10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38" t="inlineStr">
        <is>
          <t>4WS Pallet</t>
        </is>
      </c>
      <c r="AA15" s="38" t="n"/>
      <c r="AB15" s="41">
        <f>IF(A15="","",IF(COUNTIF($A$6:$A$504,A15)&gt;1,"⚠ Duplicate",""))</f>
        <v/>
      </c>
      <c r="AC15" s="42" t="n">
        <v>0.05</v>
      </c>
      <c r="AD15" s="42" t="n">
        <v>0.05</v>
      </c>
      <c r="AE15" s="42" t="n">
        <v>0.05</v>
      </c>
      <c r="AF15" s="42" t="n">
        <v>0.07000000000000001</v>
      </c>
      <c r="AG15" s="42" t="n">
        <v>0.09</v>
      </c>
      <c r="AH15" s="42" t="n">
        <v>0.06</v>
      </c>
      <c r="AI15" s="42" t="n">
        <v>0.06</v>
      </c>
      <c r="AJ15" s="42" t="n">
        <v>0.01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0.04</v>
      </c>
      <c r="AP15" s="37" t="n">
        <v>0.001</v>
      </c>
      <c r="AQ15" s="10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32" t="inlineStr">
        <is>
          <t>Autostore</t>
        </is>
      </c>
      <c r="AA16" s="32" t="n"/>
      <c r="AB16" s="36">
        <f>IF(A16="","",IF(COUNTIF($A$6:$A$504,A16)&gt;1,"⚠ Duplicate",""))</f>
        <v/>
      </c>
      <c r="AC16" s="37" t="n">
        <v>0</v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10" t="n"/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38" t="inlineStr">
        <is>
          <t>Autostore</t>
        </is>
      </c>
      <c r="AA17" s="38" t="n"/>
      <c r="AB17" s="41">
        <f>IF(A17="","",IF(COUNTIF($A$6:$A$504,A17)&gt;1,"⚠ Duplicate",""))</f>
        <v/>
      </c>
      <c r="AC17" s="37" t="n">
        <v>0</v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10" t="n"/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32" t="n"/>
      <c r="AA18" s="32" t="n"/>
      <c r="AB18" s="36">
        <f>IF(A18="","",IF(COUNTIF($A$6:$A$504,A18)&gt;1,"⚠ Duplicate",""))</f>
        <v/>
      </c>
      <c r="AC18" s="43" t="n">
        <v>0.05</v>
      </c>
      <c r="AD18" s="43" t="n">
        <v>0.05</v>
      </c>
      <c r="AE18" s="43" t="n">
        <v>0.05</v>
      </c>
      <c r="AF18" s="43" t="n">
        <v>0.07000000000000001</v>
      </c>
      <c r="AG18" s="43" t="n">
        <v>0.09</v>
      </c>
      <c r="AH18" s="43" t="n">
        <v>0.06</v>
      </c>
      <c r="AI18" s="43" t="n">
        <v>0.06</v>
      </c>
      <c r="AJ18" s="43" t="n">
        <v>0.01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0.04</v>
      </c>
      <c r="AP18" s="37" t="n">
        <v>0.001</v>
      </c>
      <c r="AQ18" s="10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38" t="inlineStr">
        <is>
          <t xml:space="preserve">SRM BK25 Shuttlecar RGV </t>
        </is>
      </c>
      <c r="AA19" s="38" t="n"/>
      <c r="AB19" s="41">
        <f>IF(A19="","",IF(COUNTIF($A$6:$A$504,A19)&gt;1,"⚠ Duplicate",""))</f>
        <v/>
      </c>
      <c r="AC19" s="37" t="n">
        <v>0</v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68" t="n"/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32" t="inlineStr">
        <is>
          <t>SRM BK25 MCS DMS AMCAP MCP FMCF RGV LIFTER PALLET ELTEN SCHWINGHANDL NORIN SUZHOU MARKEM IMAJE METTLER TOLEDO</t>
        </is>
      </c>
      <c r="AA20" s="32" t="n"/>
      <c r="AB20" s="36">
        <f>IF(A20="","",IF(COUNTIF($A$6:$A$504,A20)&gt;1,"⚠ Duplicate",""))</f>
        <v/>
      </c>
      <c r="AC20" s="37" t="n">
        <v>0</v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10" t="n"/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38" t="inlineStr">
        <is>
          <t>Autostore</t>
        </is>
      </c>
      <c r="AA21" s="38" t="n"/>
      <c r="AB21" s="41">
        <f>IF(A21="","",IF(COUNTIF($A$6:$A$504,A21)&gt;1,"⚠ Duplicate",""))</f>
        <v/>
      </c>
      <c r="AC21" s="42" t="n">
        <v>0.05</v>
      </c>
      <c r="AD21" s="42" t="n">
        <v>0.05</v>
      </c>
      <c r="AE21" s="42" t="n">
        <v>0.05</v>
      </c>
      <c r="AF21" s="42" t="n">
        <v>0.07000000000000001</v>
      </c>
      <c r="AG21" s="42" t="n">
        <v>0.09</v>
      </c>
      <c r="AH21" s="42" t="n">
        <v>0.06</v>
      </c>
      <c r="AI21" s="42" t="n">
        <v>0.06</v>
      </c>
      <c r="AJ21" s="42" t="n">
        <v>0.01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0.04</v>
      </c>
      <c r="AP21" s="37" t="n">
        <v>0.001</v>
      </c>
      <c r="AQ21" s="10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32" t="inlineStr">
        <is>
          <t>XB Sorter CBS crossbelt MCS</t>
        </is>
      </c>
      <c r="AA22" s="32" t="n"/>
      <c r="AB22" s="36">
        <f>IF(A22="","",IF(COUNTIF($A$6:$A$504,A22)&gt;1,"⚠ Duplicate",""))</f>
        <v/>
      </c>
      <c r="AC22" s="37" t="n">
        <v>0</v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10" t="n"/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38" t="inlineStr">
        <is>
          <t xml:space="preserve">SRM BK25 </t>
        </is>
      </c>
      <c r="AA23" s="38" t="n"/>
      <c r="AB23" s="41">
        <f>IF(A23="","",IF(COUNTIF($A$6:$A$504,A23)&gt;1,"⚠ Duplicate",""))</f>
        <v/>
      </c>
      <c r="AC23" s="42" t="n">
        <v>0.05</v>
      </c>
      <c r="AD23" s="42" t="n">
        <v>0.05</v>
      </c>
      <c r="AE23" s="42" t="n">
        <v>0.05</v>
      </c>
      <c r="AF23" s="42" t="n">
        <v>0.07000000000000001</v>
      </c>
      <c r="AG23" s="42" t="n">
        <v>0.09</v>
      </c>
      <c r="AH23" s="42" t="n">
        <v>0.06</v>
      </c>
      <c r="AI23" s="42" t="n">
        <v>0.06</v>
      </c>
      <c r="AJ23" s="42" t="n">
        <v>0.01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0.04</v>
      </c>
      <c r="AP23" s="37" t="n">
        <v>0.001</v>
      </c>
      <c r="AQ23" s="10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32" t="inlineStr">
        <is>
          <t>ASRS MCS DMS</t>
        </is>
      </c>
      <c r="AA24" s="32" t="n"/>
      <c r="AB24" s="36">
        <f>IF(A24="","",IF(COUNTIF($A$6:$A$504,A24)&gt;1,"⚠ Duplicate",""))</f>
        <v/>
      </c>
      <c r="AC24" s="43" t="n">
        <v>0.05</v>
      </c>
      <c r="AD24" s="43" t="n">
        <v>0.05</v>
      </c>
      <c r="AE24" s="43" t="n">
        <v>0.05</v>
      </c>
      <c r="AF24" s="43" t="n">
        <v>0.07000000000000001</v>
      </c>
      <c r="AG24" s="43" t="n">
        <v>0.09</v>
      </c>
      <c r="AH24" s="43" t="n">
        <v>0.06</v>
      </c>
      <c r="AI24" s="43" t="n">
        <v>0.06</v>
      </c>
      <c r="AJ24" s="43" t="n">
        <v>0.01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0.04</v>
      </c>
      <c r="AP24" s="37" t="n">
        <v>0.001</v>
      </c>
      <c r="AQ24" s="10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38" t="inlineStr">
        <is>
          <t>SRM BK25</t>
        </is>
      </c>
      <c r="AA25" s="38" t="n"/>
      <c r="AB25" s="41">
        <f>IF(A25="","",IF(COUNTIF($A$6:$A$504,A25)&gt;1,"⚠ Duplicate",""))</f>
        <v/>
      </c>
      <c r="AC25" s="42" t="n">
        <v>0.05</v>
      </c>
      <c r="AD25" s="42" t="n">
        <v>0.05</v>
      </c>
      <c r="AE25" s="42" t="n">
        <v>0.05</v>
      </c>
      <c r="AF25" s="42" t="n">
        <v>0.07000000000000001</v>
      </c>
      <c r="AG25" s="42" t="n">
        <v>0.09</v>
      </c>
      <c r="AH25" s="42" t="n">
        <v>0.06</v>
      </c>
      <c r="AI25" s="42" t="n">
        <v>0.06</v>
      </c>
      <c r="AJ25" s="42" t="n">
        <v>0.01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0.04</v>
      </c>
      <c r="AP25" s="37" t="n">
        <v>0.001</v>
      </c>
      <c r="AQ25" s="10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32" t="inlineStr">
        <is>
          <t>SRM BK25 MCS DMS AMCAP MCP FMCF RGV LIFTER PALLET ELTEN SCHWINGHANDL NORIN SUZHOU MARKEM IMAJE METTLER TOLEDO</t>
        </is>
      </c>
      <c r="AA26" s="32" t="inlineStr">
        <is>
          <t>Actual timeline is much, much worse compared to handover</t>
        </is>
      </c>
      <c r="AB26" s="36">
        <f>IF(A26="","",IF(COUNTIF($A$6:$A$504,A26)&gt;1,"⚠ Duplicate",""))</f>
        <v/>
      </c>
      <c r="AC26" s="37" t="n">
        <v>0</v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10" t="n"/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38" t="inlineStr">
        <is>
          <t>SRM BK25 Shuttlecar</t>
        </is>
      </c>
      <c r="AA27" s="38" t="n"/>
      <c r="AB27" s="41">
        <f>IF(A27="","",IF(COUNTIF($A$6:$A$504,A27)&gt;1,"⚠ Duplicate",""))</f>
        <v/>
      </c>
      <c r="AC27" s="37" t="n">
        <v>0</v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10" t="n"/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32" t="inlineStr">
        <is>
          <t>Autostore</t>
        </is>
      </c>
      <c r="AA28" s="32" t="n"/>
      <c r="AB28" s="36">
        <f>IF(A28="","",IF(COUNTIF($A$6:$A$504,A28)&gt;1,"⚠ Duplicate",""))</f>
        <v/>
      </c>
      <c r="AC28" s="37" t="n">
        <v>0</v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10" t="n"/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38" t="inlineStr">
        <is>
          <t>Autostore MCS</t>
        </is>
      </c>
      <c r="AA29" s="38" t="n"/>
      <c r="AB29" s="41">
        <f>IF(A29="","",IF(COUNTIF($A$6:$A$504,A29)&gt;1,"⚠ Duplicate",""))</f>
        <v/>
      </c>
      <c r="AC29" s="37" t="n">
        <v>0</v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10" t="n"/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32" t="inlineStr">
        <is>
          <t>Autostore PTL</t>
        </is>
      </c>
      <c r="AA30" s="32" t="n"/>
      <c r="AB30" s="36">
        <f>IF(A30="","",IF(COUNTIF($A$6:$A$504,A30)&gt;1,"⚠ Duplicate",""))</f>
        <v/>
      </c>
      <c r="AC30" s="43" t="n">
        <v>0.05985533802247048</v>
      </c>
      <c r="AD30" s="43" t="n">
        <v>0</v>
      </c>
      <c r="AE30" s="43" t="n">
        <v>0.04870852701722641</v>
      </c>
      <c r="AF30" s="43" t="n">
        <v>0.005023804116824426</v>
      </c>
      <c r="AG30" s="43" t="n">
        <v>0.08714148677968518</v>
      </c>
      <c r="AH30" s="43" t="n">
        <v>0</v>
      </c>
      <c r="AI30" s="43" t="n">
        <v>0.03602870021356722</v>
      </c>
      <c r="AJ30" s="43" t="n">
        <v>0.0007519604156778079</v>
      </c>
      <c r="AK30" s="43" t="n">
        <v>0</v>
      </c>
      <c r="AL30" s="43" t="n">
        <v>0.02176747645695123</v>
      </c>
      <c r="AM30" s="43" t="n">
        <v>0.002879828389139048</v>
      </c>
      <c r="AN30" s="43" t="n">
        <v>0</v>
      </c>
      <c r="AO30" s="43" t="n">
        <v>0.07060868402455088</v>
      </c>
      <c r="AP30" s="37" t="n">
        <v>0.02288249766353828</v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38" t="inlineStr">
        <is>
          <t>XB Sorter CBS crossbelt MCS PTL Mezzanine Rack</t>
        </is>
      </c>
      <c r="AA31" s="38" t="n"/>
      <c r="AB31" s="41">
        <f>IF(A31="","",IF(COUNTIF($A$6:$A$504,A31)&gt;1,"⚠ Duplicate",""))</f>
        <v/>
      </c>
      <c r="AC31" s="37" t="n">
        <v>0</v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10" t="n"/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32" t="inlineStr">
        <is>
          <t xml:space="preserve">XB Sorter CBS crossbelt MCS </t>
        </is>
      </c>
      <c r="AA32" s="32" t="inlineStr">
        <is>
          <t>Purely sortation system only</t>
        </is>
      </c>
      <c r="AB32" s="36">
        <f>IF(A32="","",IF(COUNTIF($A$6:$A$504,A32)&gt;1,"⚠ Duplicate",""))</f>
        <v/>
      </c>
      <c r="AC32" s="43" t="n">
        <v>0.05</v>
      </c>
      <c r="AD32" s="43" t="n">
        <v>0.05</v>
      </c>
      <c r="AE32" s="43" t="n">
        <v>0.05</v>
      </c>
      <c r="AF32" s="43" t="n">
        <v>0.07000000000000001</v>
      </c>
      <c r="AG32" s="43" t="n">
        <v>0.09</v>
      </c>
      <c r="AH32" s="43" t="n">
        <v>0.06</v>
      </c>
      <c r="AI32" s="43" t="n">
        <v>0.06</v>
      </c>
      <c r="AJ32" s="43" t="n">
        <v>0.01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0.04</v>
      </c>
      <c r="AP32" s="37" t="n">
        <v>0.001</v>
      </c>
      <c r="AQ32" s="10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38" t="inlineStr">
        <is>
          <t>SRM BK25 MCS DMS 2WS AMCAP MCP FMCF RGV LIFTER PALLET ELTEN SCHWINGHANDL NORIN SUZHOU MARKEM IMAJE METTLER TOLEDO KAIXIN</t>
        </is>
      </c>
      <c r="AA33" s="38" t="n"/>
      <c r="AB33" s="41">
        <f>IF(A33="","",IF(COUNTIF($A$6:$A$504,A33)&gt;1,"⚠ Duplicate",""))</f>
        <v/>
      </c>
      <c r="AC33" s="37" t="n">
        <v>0</v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10" t="n"/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32" t="inlineStr">
        <is>
          <t>SRM  BK25 DMS MCS ELTEN QIMAROX Mezz PTL Robot Layer Picker</t>
        </is>
      </c>
      <c r="AA34" s="32" t="n"/>
      <c r="AB34" s="36">
        <f>IF(A34="","",IF(COUNTIF($A$6:$A$504,A34)&gt;1,"⚠ Duplicate",""))</f>
        <v/>
      </c>
      <c r="AC34" s="37" t="n">
        <v>0</v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10" t="n"/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38" t="inlineStr">
        <is>
          <t>Autostore</t>
        </is>
      </c>
      <c r="AA35" s="38" t="n"/>
      <c r="AB35" s="41">
        <f>IF(A35="","",IF(COUNTIF($A$6:$A$504,A35)&gt;1,"⚠ Duplicate",""))</f>
        <v/>
      </c>
      <c r="AC35" s="37" t="n">
        <v>0</v>
      </c>
      <c r="AD35" s="37" t="n">
        <v>0</v>
      </c>
      <c r="AE35" s="37" t="n">
        <v>0.04872205363088507</v>
      </c>
      <c r="AF35" s="37" t="n">
        <v>0</v>
      </c>
      <c r="AG35" s="37" t="n">
        <v>0.00628505670706197</v>
      </c>
      <c r="AH35" s="37" t="n">
        <v>0</v>
      </c>
      <c r="AI35" s="37" t="n">
        <v>0.02412028341525975</v>
      </c>
      <c r="AJ35" s="37" t="n">
        <v>0.08882880145980918</v>
      </c>
      <c r="AK35" s="37" t="n">
        <v>0</v>
      </c>
      <c r="AL35" s="37" t="n">
        <v>0</v>
      </c>
      <c r="AM35" s="37" t="n">
        <v>0</v>
      </c>
      <c r="AN35" s="37" t="n">
        <v>0</v>
      </c>
      <c r="AO35" s="37" t="n">
        <v>0.02466168959396852</v>
      </c>
      <c r="AP35" s="37" t="n">
        <v>0</v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32" t="inlineStr">
        <is>
          <t>SRM BK25</t>
        </is>
      </c>
      <c r="AA36" s="32" t="inlineStr">
        <is>
          <t>Racking not in scope</t>
        </is>
      </c>
      <c r="AB36" s="36">
        <f>IF(A36="","",IF(COUNTIF($A$6:$A$504,A36)&gt;1,"⚠ Duplicate",""))</f>
        <v/>
      </c>
      <c r="AC36" s="43" t="n">
        <v>0.03963368956135951</v>
      </c>
      <c r="AD36" s="43" t="n">
        <v>0.03064751543143669</v>
      </c>
      <c r="AE36" s="43" t="n">
        <v>0.05305254388165813</v>
      </c>
      <c r="AF36" s="43" t="n">
        <v>0.003816509500807946</v>
      </c>
      <c r="AG36" s="43" t="n">
        <v>0.01538381475811512</v>
      </c>
      <c r="AH36" s="43" t="n">
        <v>0</v>
      </c>
      <c r="AI36" s="43" t="n">
        <v>0.02036504009462588</v>
      </c>
      <c r="AJ36" s="43" t="n">
        <v>0.02504583169153374</v>
      </c>
      <c r="AK36" s="43" t="n">
        <v>0.004009411108903849</v>
      </c>
      <c r="AL36" s="43" t="n">
        <v>0.01035387219753341</v>
      </c>
      <c r="AM36" s="43" t="n">
        <v>0.03458066536155243</v>
      </c>
      <c r="AN36" s="43" t="n">
        <v>0.04804784179532302</v>
      </c>
      <c r="AO36" s="43" t="n">
        <v>0.0230248248254304</v>
      </c>
      <c r="AP36" s="37" t="n">
        <v>0.002444267322475879</v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38" t="inlineStr">
        <is>
          <t>Autostore</t>
        </is>
      </c>
      <c r="AA37" s="38" t="n"/>
      <c r="AB37" s="41">
        <f>IF(A37="","",IF(COUNTIF($A$6:$A$504,A37)&gt;1,"⚠ Duplicate",""))</f>
        <v/>
      </c>
      <c r="AC37" s="37" t="n">
        <v>0.03444602869956017</v>
      </c>
      <c r="AD37" s="37" t="n">
        <v>0</v>
      </c>
      <c r="AE37" s="37" t="n">
        <v>0.03257704845718964</v>
      </c>
      <c r="AF37" s="37" t="n">
        <v>0</v>
      </c>
      <c r="AG37" s="37" t="n">
        <v>0.03643363590853829</v>
      </c>
      <c r="AH37" s="37" t="n">
        <v>0</v>
      </c>
      <c r="AI37" s="37" t="n">
        <v>0.01501799918725192</v>
      </c>
      <c r="AJ37" s="37" t="n">
        <v>0</v>
      </c>
      <c r="AK37" s="37" t="n">
        <v>0</v>
      </c>
      <c r="AL37" s="37" t="n">
        <v>0.0002521243361430617</v>
      </c>
      <c r="AM37" s="37" t="n">
        <v>0.004086945559514623</v>
      </c>
      <c r="AN37" s="37" t="n">
        <v>0</v>
      </c>
      <c r="AO37" s="37" t="n">
        <v>0.09428801895920387</v>
      </c>
      <c r="AP37" s="37" t="n">
        <v>4.438077898621939e-05</v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32" t="inlineStr">
        <is>
          <t>Autostore</t>
        </is>
      </c>
      <c r="AA38" s="32" t="inlineStr">
        <is>
          <t>First Plexus project, longer everything.</t>
        </is>
      </c>
      <c r="AB38" s="36">
        <f>IF(A38="","",IF(COUNTIF($A$6:$A$504,A38)&gt;1,"⚠ Duplicate",""))</f>
        <v/>
      </c>
      <c r="AC38" s="37" t="n">
        <v>0.03058565202536138</v>
      </c>
      <c r="AD38" s="37" t="n">
        <v>0.00663291136018963</v>
      </c>
      <c r="AE38" s="37" t="n">
        <v>0.05198480292583055</v>
      </c>
      <c r="AF38" s="37" t="n">
        <v>0</v>
      </c>
      <c r="AG38" s="37" t="n">
        <v>0.005716881067445528</v>
      </c>
      <c r="AH38" s="37" t="n">
        <v>0</v>
      </c>
      <c r="AI38" s="37" t="n">
        <v>0.01031931406655589</v>
      </c>
      <c r="AJ38" s="37" t="n">
        <v>0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0.1442547011430668</v>
      </c>
      <c r="AP38" s="37" t="n">
        <v>0</v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38" t="inlineStr">
        <is>
          <t>Autostore MCS</t>
        </is>
      </c>
      <c r="AA39" s="38" t="inlineStr">
        <is>
          <t xml:space="preserve">Delayed progressive shipment schedule, 35 weeks additional on top of total timeline </t>
        </is>
      </c>
      <c r="AB39" s="41">
        <f>IF(A39="","",IF(COUNTIF($A$6:$A$504,A39)&gt;1,"⚠ Duplicate",""))</f>
        <v/>
      </c>
      <c r="AC39" s="37" t="n">
        <v>0</v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10" t="n"/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32" t="inlineStr">
        <is>
          <t>XB Sorter CBS crossbelt MCS DMS BK25 PTL Mezzanine Selective Rack</t>
        </is>
      </c>
      <c r="AA40" s="32" t="n"/>
      <c r="AB40" s="36">
        <f>IF(A40="","",IF(COUNTIF($A$6:$A$504,A40)&gt;1,"⚠ Duplicate",""))</f>
        <v/>
      </c>
      <c r="AC40" s="37" t="n">
        <v>0</v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10" t="n"/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38" t="inlineStr">
        <is>
          <t>XB Sorter CBS Crossbelt MCS Libiao Mezzanine</t>
        </is>
      </c>
      <c r="AA41" s="38" t="n"/>
      <c r="AB41" s="41">
        <f>IF(A41="","",IF(COUNTIF($A$6:$A$504,A41)&gt;1,"⚠ Duplicate",""))</f>
        <v/>
      </c>
      <c r="AC41" s="37" t="n">
        <v>0</v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10" t="n"/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32" t="inlineStr">
        <is>
          <t>4WS Pallet + AMR</t>
        </is>
      </c>
      <c r="AA42" s="32" t="n"/>
      <c r="AB42" s="36">
        <f>IF(A42="","",IF(COUNTIF($A$6:$A$504,A42)&gt;1,"⚠ Duplicate",""))</f>
        <v/>
      </c>
      <c r="AC42" s="43" t="n">
        <v>0.05</v>
      </c>
      <c r="AD42" s="43" t="n">
        <v>0.05</v>
      </c>
      <c r="AE42" s="43" t="n">
        <v>0.05</v>
      </c>
      <c r="AF42" s="43" t="n">
        <v>0.07000000000000001</v>
      </c>
      <c r="AG42" s="43" t="n">
        <v>0.09</v>
      </c>
      <c r="AH42" s="43" t="n">
        <v>0.06</v>
      </c>
      <c r="AI42" s="43" t="n">
        <v>0.06</v>
      </c>
      <c r="AJ42" s="43" t="n">
        <v>0.01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0.04</v>
      </c>
      <c r="AP42" s="37" t="n">
        <v>0.001</v>
      </c>
      <c r="AQ42" s="10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38" t="inlineStr">
        <is>
          <t>ASRS, DMS, Layer Picker</t>
        </is>
      </c>
      <c r="AA43" s="38" t="inlineStr">
        <is>
          <t>ASRS Rack Clad not Dematic scope, DMS Racking under Dematic scope</t>
        </is>
      </c>
      <c r="AB43" s="41">
        <f>IF(A43="","",IF(COUNTIF($A$6:$A$504,A43)&gt;1,"⚠ Duplicate",""))</f>
        <v/>
      </c>
      <c r="AC43" s="42" t="n">
        <v>0.052</v>
      </c>
      <c r="AD43" s="42" t="n">
        <v>0.052</v>
      </c>
      <c r="AE43" s="42" t="n">
        <v>0.052</v>
      </c>
      <c r="AF43" s="42" t="n">
        <v>0.008</v>
      </c>
      <c r="AG43" s="42" t="n">
        <v>0.022</v>
      </c>
      <c r="AH43" s="42" t="n">
        <v>0.01</v>
      </c>
      <c r="AI43" s="42" t="n">
        <v>0.01</v>
      </c>
      <c r="AJ43" s="42" t="n">
        <v>0.031</v>
      </c>
      <c r="AK43" s="42" t="n">
        <v>0.031</v>
      </c>
      <c r="AL43" s="42" t="n">
        <v>0.031</v>
      </c>
      <c r="AM43" s="42" t="n">
        <v>0.038</v>
      </c>
      <c r="AN43" s="42" t="n">
        <v>0.038</v>
      </c>
      <c r="AO43" s="42" t="n">
        <v>0</v>
      </c>
      <c r="AP43" s="37" t="n">
        <v>0.001</v>
      </c>
      <c r="AQ43" s="10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32" t="inlineStr">
        <is>
          <t>MCS</t>
        </is>
      </c>
      <c r="AA44" s="32" t="inlineStr">
        <is>
          <t>Zone Route Picking</t>
        </is>
      </c>
      <c r="AB44" s="36">
        <f>IF(A44="","",IF(COUNTIF($A$6:$A$504,A44)&gt;1,"⚠ Duplicate",""))</f>
        <v/>
      </c>
      <c r="AC44" s="37" t="n">
        <v>0</v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10" t="n"/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38" t="inlineStr">
        <is>
          <t>ML SRM MCS BK25 DMS</t>
        </is>
      </c>
      <c r="AA45" s="38" t="inlineStr">
        <is>
          <t>2 Aisle Miniload</t>
        </is>
      </c>
      <c r="AB45" s="41">
        <f>IF(A45="","",IF(COUNTIF($A$6:$A$504,A45)&gt;1,"⚠ Duplicate",""))</f>
        <v/>
      </c>
      <c r="AC45" s="37" t="n">
        <v>0</v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10" t="n"/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38" t="n"/>
      <c r="AA46" s="38" t="n"/>
      <c r="AB46" s="41">
        <f>IF(A46="","",IF(COUNTIF($A$6:$A$504,A46)&gt;1,"⚠ Duplicate",""))</f>
        <v/>
      </c>
      <c r="AC46" s="42" t="n"/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32" t="n"/>
      <c r="AA47" s="32" t="n"/>
      <c r="AB47" s="36">
        <f>IF(A47="","",IF(COUNTIF($A$6:$A$504,A47)&gt;1,"⚠ Duplicate",""))</f>
        <v/>
      </c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38" t="n"/>
      <c r="AA48" s="38" t="n"/>
      <c r="AB48" s="41">
        <f>IF(A48="","",IF(COUNTIF($A$6:$A$504,A48)&gt;1,"⚠ Duplicate",""))</f>
        <v/>
      </c>
      <c r="AC48" s="42" t="n"/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32" t="n"/>
      <c r="AA49" s="32" t="n"/>
      <c r="AB49" s="36">
        <f>IF(A49="","",IF(COUNTIF($A$6:$A$504,A49)&gt;1,"⚠ Duplicate",""))</f>
        <v/>
      </c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38" t="n"/>
      <c r="AA50" s="38" t="n"/>
      <c r="AB50" s="41">
        <f>IF(A50="","",IF(COUNTIF($A$6:$A$504,A50)&gt;1,"⚠ Duplicate",""))</f>
        <v/>
      </c>
      <c r="AC50" s="42" t="n"/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32" t="n"/>
      <c r="AA51" s="32" t="n"/>
      <c r="AB51" s="36">
        <f>IF(A51="","",IF(COUNTIF($A$6:$A$504,A51)&gt;1,"⚠ Duplicate",""))</f>
        <v/>
      </c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38" t="n"/>
      <c r="AA52" s="38" t="n"/>
      <c r="AB52" s="41">
        <f>IF(A52="","",IF(COUNTIF($A$6:$A$504,A52)&gt;1,"⚠ Duplicate",""))</f>
        <v/>
      </c>
      <c r="AC52" s="42" t="n"/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32" t="n"/>
      <c r="AA53" s="32" t="n"/>
      <c r="AB53" s="36">
        <f>IF(A53="","",IF(COUNTIF($A$6:$A$504,A53)&gt;1,"⚠ Duplicate",""))</f>
        <v/>
      </c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38" t="n"/>
      <c r="AA54" s="38" t="n"/>
      <c r="AB54" s="41">
        <f>IF(A54="","",IF(COUNTIF($A$6:$A$504,A54)&gt;1,"⚠ Duplicate",""))</f>
        <v/>
      </c>
      <c r="AC54" s="42" t="n"/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32" t="n"/>
      <c r="AA55" s="32" t="n"/>
      <c r="AB55" s="36">
        <f>IF(A55="","",IF(COUNTIF($A$6:$A$504,A55)&gt;1,"⚠ Duplicate",""))</f>
        <v/>
      </c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38" t="n"/>
      <c r="AA56" s="38" t="n"/>
      <c r="AB56" s="41">
        <f>IF(A56="","",IF(COUNTIF($A$6:$A$504,A56)&gt;1,"⚠ Duplicate",""))</f>
        <v/>
      </c>
      <c r="AC56" s="42" t="n"/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32" t="n"/>
      <c r="AA57" s="32" t="n"/>
      <c r="AB57" s="36">
        <f>IF(A57="","",IF(COUNTIF($A$6:$A$504,A57)&gt;1,"⚠ Duplicate",""))</f>
        <v/>
      </c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38" t="n"/>
      <c r="AA58" s="38" t="n"/>
      <c r="AB58" s="41">
        <f>IF(A58="","",IF(COUNTIF($A$6:$A$504,A58)&gt;1,"⚠ Duplicate",""))</f>
        <v/>
      </c>
      <c r="AC58" s="42" t="n"/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32" t="n"/>
      <c r="AA59" s="32" t="n"/>
      <c r="AB59" s="36">
        <f>IF(A59="","",IF(COUNTIF($A$6:$A$504,A59)&gt;1,"⚠ Duplicate",""))</f>
        <v/>
      </c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38" t="n"/>
      <c r="AA60" s="38" t="n"/>
      <c r="AB60" s="41">
        <f>IF(A60="","",IF(COUNTIF($A$6:$A$504,A60)&gt;1,"⚠ Duplicate",""))</f>
        <v/>
      </c>
      <c r="AC60" s="42" t="n"/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32" t="n"/>
      <c r="AA61" s="32" t="n"/>
      <c r="AB61" s="36">
        <f>IF(A61="","",IF(COUNTIF($A$6:$A$504,A61)&gt;1,"⚠ Duplicate",""))</f>
        <v/>
      </c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38" t="n"/>
      <c r="AA62" s="38" t="n"/>
      <c r="AB62" s="41">
        <f>IF(A62="","",IF(COUNTIF($A$6:$A$504,A62)&gt;1,"⚠ Duplicate",""))</f>
        <v/>
      </c>
      <c r="AC62" s="42" t="n"/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32" t="n"/>
      <c r="AA63" s="32" t="n"/>
      <c r="AB63" s="36">
        <f>IF(A63="","",IF(COUNTIF($A$6:$A$504,A63)&gt;1,"⚠ Duplicate",""))</f>
        <v/>
      </c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38" t="n"/>
      <c r="AA64" s="38" t="n"/>
      <c r="AB64" s="41">
        <f>IF(A64="","",IF(COUNTIF($A$6:$A$504,A64)&gt;1,"⚠ Duplicate",""))</f>
        <v/>
      </c>
      <c r="AC64" s="42" t="n"/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32" t="n"/>
      <c r="AA65" s="32" t="n"/>
      <c r="AB65" s="36">
        <f>IF(A65="","",IF(COUNTIF($A$6:$A$504,A65)&gt;1,"⚠ Duplicate",""))</f>
        <v/>
      </c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38" t="n"/>
      <c r="AA66" s="38" t="n"/>
      <c r="AB66" s="41">
        <f>IF(A66="","",IF(COUNTIF($A$6:$A$504,A66)&gt;1,"⚠ Duplicate",""))</f>
        <v/>
      </c>
      <c r="AC66" s="42" t="n"/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32" t="n"/>
      <c r="AA67" s="32" t="n"/>
      <c r="AB67" s="36">
        <f>IF(A67="","",IF(COUNTIF($A$6:$A$504,A67)&gt;1,"⚠ Duplicate",""))</f>
        <v/>
      </c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38" t="n"/>
      <c r="AA68" s="38" t="n"/>
      <c r="AB68" s="41">
        <f>IF(A68="","",IF(COUNTIF($A$6:$A$504,A68)&gt;1,"⚠ Duplicate",""))</f>
        <v/>
      </c>
      <c r="AC68" s="42" t="n"/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32" t="n"/>
      <c r="AA69" s="32" t="n"/>
      <c r="AB69" s="36">
        <f>IF(A69="","",IF(COUNTIF($A$6:$A$504,A69)&gt;1,"⚠ Duplicate",""))</f>
        <v/>
      </c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38" t="n"/>
      <c r="AA70" s="38" t="n"/>
      <c r="AB70" s="41">
        <f>IF(A70="","",IF(COUNTIF($A$6:$A$504,A70)&gt;1,"⚠ Duplicate",""))</f>
        <v/>
      </c>
      <c r="AC70" s="42" t="n"/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32" t="n"/>
      <c r="AA71" s="32" t="n"/>
      <c r="AB71" s="36">
        <f>IF(A71="","",IF(COUNTIF($A$6:$A$504,A71)&gt;1,"⚠ Duplicate",""))</f>
        <v/>
      </c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38" t="n"/>
      <c r="AA72" s="38" t="n"/>
      <c r="AB72" s="41">
        <f>IF(A72="","",IF(COUNTIF($A$6:$A$504,A72)&gt;1,"⚠ Duplicate",""))</f>
        <v/>
      </c>
      <c r="AC72" s="42" t="n"/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32" t="n"/>
      <c r="AA73" s="32" t="n"/>
      <c r="AB73" s="36">
        <f>IF(A73="","",IF(COUNTIF($A$6:$A$504,A73)&gt;1,"⚠ Duplicate",""))</f>
        <v/>
      </c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38" t="n"/>
      <c r="AA74" s="38" t="n"/>
      <c r="AB74" s="41">
        <f>IF(A74="","",IF(COUNTIF($A$6:$A$504,A74)&gt;1,"⚠ Duplicate",""))</f>
        <v/>
      </c>
      <c r="AC74" s="42" t="n"/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32" t="n"/>
      <c r="AA75" s="32" t="n"/>
      <c r="AB75" s="36">
        <f>IF(A75="","",IF(COUNTIF($A$6:$A$504,A75)&gt;1,"⚠ Duplicate",""))</f>
        <v/>
      </c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38" t="n"/>
      <c r="AA76" s="38" t="n"/>
      <c r="AB76" s="41">
        <f>IF(A76="","",IF(COUNTIF($A$6:$A$504,A76)&gt;1,"⚠ Duplicate",""))</f>
        <v/>
      </c>
      <c r="AC76" s="42" t="n"/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32" t="n"/>
      <c r="AA77" s="32" t="n"/>
      <c r="AB77" s="36">
        <f>IF(A77="","",IF(COUNTIF($A$6:$A$504,A77)&gt;1,"⚠ Duplicate",""))</f>
        <v/>
      </c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38" t="n"/>
      <c r="AA78" s="38" t="n"/>
      <c r="AB78" s="41">
        <f>IF(A78="","",IF(COUNTIF($A$6:$A$504,A78)&gt;1,"⚠ Duplicate",""))</f>
        <v/>
      </c>
      <c r="AC78" s="42" t="n"/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32" t="n"/>
      <c r="AA79" s="32" t="n"/>
      <c r="AB79" s="36">
        <f>IF(A79="","",IF(COUNTIF($A$6:$A$504,A79)&gt;1,"⚠ Duplicate",""))</f>
        <v/>
      </c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38" t="n"/>
      <c r="AA80" s="38" t="n"/>
      <c r="AB80" s="41">
        <f>IF(A80="","",IF(COUNTIF($A$6:$A$504,A80)&gt;1,"⚠ Duplicate",""))</f>
        <v/>
      </c>
      <c r="AC80" s="42" t="n"/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32" t="n"/>
      <c r="AA81" s="32" t="n"/>
      <c r="AB81" s="36">
        <f>IF(A81="","",IF(COUNTIF($A$6:$A$504,A81)&gt;1,"⚠ Duplicate",""))</f>
        <v/>
      </c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38" t="n"/>
      <c r="AA82" s="38" t="n"/>
      <c r="AB82" s="41">
        <f>IF(A82="","",IF(COUNTIF($A$6:$A$504,A82)&gt;1,"⚠ Duplicate",""))</f>
        <v/>
      </c>
      <c r="AC82" s="42" t="n"/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32" t="n"/>
      <c r="AA83" s="32" t="n"/>
      <c r="AB83" s="36">
        <f>IF(A83="","",IF(COUNTIF($A$6:$A$504,A83)&gt;1,"⚠ Duplicate",""))</f>
        <v/>
      </c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38" t="n"/>
      <c r="AA84" s="38" t="n"/>
      <c r="AB84" s="41">
        <f>IF(A84="","",IF(COUNTIF($A$6:$A$504,A84)&gt;1,"⚠ Duplicate",""))</f>
        <v/>
      </c>
      <c r="AC84" s="42" t="n"/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32" t="n"/>
      <c r="AA85" s="32" t="n"/>
      <c r="AB85" s="36">
        <f>IF(A85="","",IF(COUNTIF($A$6:$A$504,A85)&gt;1,"⚠ Duplicate",""))</f>
        <v/>
      </c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38" t="n"/>
      <c r="AA86" s="38" t="n"/>
      <c r="AB86" s="41">
        <f>IF(A86="","",IF(COUNTIF($A$6:$A$504,A86)&gt;1,"⚠ Duplicate",""))</f>
        <v/>
      </c>
      <c r="AC86" s="42" t="n"/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32" t="n"/>
      <c r="AA87" s="32" t="n"/>
      <c r="AB87" s="36">
        <f>IF(A87="","",IF(COUNTIF($A$6:$A$504,A87)&gt;1,"⚠ Duplicate",""))</f>
        <v/>
      </c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38" t="n"/>
      <c r="AA88" s="38" t="n"/>
      <c r="AB88" s="41">
        <f>IF(A88="","",IF(COUNTIF($A$6:$A$504,A88)&gt;1,"⚠ Duplicate",""))</f>
        <v/>
      </c>
      <c r="AC88" s="42" t="n"/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32" t="n"/>
      <c r="AA89" s="32" t="n"/>
      <c r="AB89" s="36">
        <f>IF(A89="","",IF(COUNTIF($A$6:$A$504,A89)&gt;1,"⚠ Duplicate",""))</f>
        <v/>
      </c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38" t="n"/>
      <c r="AA90" s="38" t="n"/>
      <c r="AB90" s="41">
        <f>IF(A90="","",IF(COUNTIF($A$6:$A$504,A90)&gt;1,"⚠ Duplicate",""))</f>
        <v/>
      </c>
      <c r="AC90" s="42" t="n"/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32" t="n"/>
      <c r="AA91" s="32" t="n"/>
      <c r="AB91" s="36">
        <f>IF(A91="","",IF(COUNTIF($A$6:$A$504,A91)&gt;1,"⚠ Duplicate",""))</f>
        <v/>
      </c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38" t="n"/>
      <c r="AA92" s="38" t="n"/>
      <c r="AB92" s="41">
        <f>IF(A92="","",IF(COUNTIF($A$6:$A$504,A92)&gt;1,"⚠ Duplicate",""))</f>
        <v/>
      </c>
      <c r="AC92" s="42" t="n"/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32" t="n"/>
      <c r="AA93" s="32" t="n"/>
      <c r="AB93" s="36">
        <f>IF(A93="","",IF(COUNTIF($A$6:$A$504,A93)&gt;1,"⚠ Duplicate",""))</f>
        <v/>
      </c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38" t="n"/>
      <c r="AA94" s="38" t="n"/>
      <c r="AB94" s="41">
        <f>IF(A94="","",IF(COUNTIF($A$6:$A$504,A94)&gt;1,"⚠ Duplicate",""))</f>
        <v/>
      </c>
      <c r="AC94" s="42" t="n"/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32" t="n"/>
      <c r="AA95" s="32" t="n"/>
      <c r="AB95" s="36">
        <f>IF(A95="","",IF(COUNTIF($A$6:$A$504,A95)&gt;1,"⚠ Duplicate",""))</f>
        <v/>
      </c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38" t="n"/>
      <c r="AA96" s="38" t="n"/>
      <c r="AB96" s="41">
        <f>IF(A96="","",IF(COUNTIF($A$6:$A$504,A96)&gt;1,"⚠ Duplicate",""))</f>
        <v/>
      </c>
      <c r="AC96" s="42" t="n"/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32" t="n"/>
      <c r="AA97" s="32" t="n"/>
      <c r="AB97" s="36">
        <f>IF(A97="","",IF(COUNTIF($A$6:$A$504,A97)&gt;1,"⚠ Duplicate",""))</f>
        <v/>
      </c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38" t="n"/>
      <c r="AA98" s="38" t="n"/>
      <c r="AB98" s="41">
        <f>IF(A98="","",IF(COUNTIF($A$6:$A$504,A98)&gt;1,"⚠ Duplicate",""))</f>
        <v/>
      </c>
      <c r="AC98" s="42" t="n"/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32" t="n"/>
      <c r="AA99" s="32" t="n"/>
      <c r="AB99" s="36">
        <f>IF(A99="","",IF(COUNTIF($A$6:$A$504,A99)&gt;1,"⚠ Duplicate",""))</f>
        <v/>
      </c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38" t="n"/>
      <c r="AA100" s="38" t="n"/>
      <c r="AB100" s="41">
        <f>IF(A100="","",IF(COUNTIF($A$6:$A$504,A100)&gt;1,"⚠ Duplicate",""))</f>
        <v/>
      </c>
      <c r="AC100" s="42" t="n"/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32" t="n"/>
      <c r="AA101" s="32" t="n"/>
      <c r="AB101" s="36">
        <f>IF(A101="","",IF(COUNTIF($A$6:$A$504,A101)&gt;1,"⚠ Duplicate",""))</f>
        <v/>
      </c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38" t="n"/>
      <c r="AA102" s="38" t="n"/>
      <c r="AB102" s="41">
        <f>IF(A102="","",IF(COUNTIF($A$6:$A$504,A102)&gt;1,"⚠ Duplicate",""))</f>
        <v/>
      </c>
      <c r="AC102" s="42" t="n"/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32" t="n"/>
      <c r="AA103" s="32" t="n"/>
      <c r="AB103" s="36">
        <f>IF(A103="","",IF(COUNTIF($A$6:$A$504,A103)&gt;1,"⚠ Duplicate",""))</f>
        <v/>
      </c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38" t="n"/>
      <c r="AA104" s="38" t="n"/>
      <c r="AB104" s="41">
        <f>IF(A104="","",IF(COUNTIF($A$6:$A$504,A104)&gt;1,"⚠ Duplicate",""))</f>
        <v/>
      </c>
      <c r="AC104" s="42" t="n"/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32" t="n"/>
      <c r="AA105" s="32" t="n"/>
      <c r="AB105" s="36">
        <f>IF(A105="","",IF(COUNTIF($A$6:$A$504,A105)&gt;1,"⚠ Duplicate",""))</f>
        <v/>
      </c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38" t="n"/>
      <c r="AA106" s="38" t="n"/>
      <c r="AB106" s="41">
        <f>IF(A106="","",IF(COUNTIF($A$6:$A$504,A106)&gt;1,"⚠ Duplicate",""))</f>
        <v/>
      </c>
      <c r="AC106" s="42" t="n"/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32" t="n"/>
      <c r="AA107" s="32" t="n"/>
      <c r="AB107" s="36">
        <f>IF(A107="","",IF(COUNTIF($A$6:$A$504,A107)&gt;1,"⚠ Duplicate",""))</f>
        <v/>
      </c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38" t="n"/>
      <c r="AA108" s="38" t="n"/>
      <c r="AB108" s="41">
        <f>IF(A108="","",IF(COUNTIF($A$6:$A$504,A108)&gt;1,"⚠ Duplicate",""))</f>
        <v/>
      </c>
      <c r="AC108" s="42" t="n"/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32" t="n"/>
      <c r="AA109" s="32" t="n"/>
      <c r="AB109" s="36">
        <f>IF(A109="","",IF(COUNTIF($A$6:$A$504,A109)&gt;1,"⚠ Duplicate",""))</f>
        <v/>
      </c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38" t="n"/>
      <c r="AA110" s="38" t="n"/>
      <c r="AB110" s="41">
        <f>IF(A110="","",IF(COUNTIF($A$6:$A$504,A110)&gt;1,"⚠ Duplicate",""))</f>
        <v/>
      </c>
      <c r="AC110" s="42" t="n"/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32" t="n"/>
      <c r="AA111" s="32" t="n"/>
      <c r="AB111" s="36">
        <f>IF(A111="","",IF(COUNTIF($A$6:$A$504,A111)&gt;1,"⚠ Duplicate",""))</f>
        <v/>
      </c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38" t="n"/>
      <c r="AA112" s="38" t="n"/>
      <c r="AB112" s="41">
        <f>IF(A112="","",IF(COUNTIF($A$6:$A$504,A112)&gt;1,"⚠ Duplicate",""))</f>
        <v/>
      </c>
      <c r="AC112" s="42" t="n"/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32" t="n"/>
      <c r="AA113" s="32" t="n"/>
      <c r="AB113" s="36">
        <f>IF(A113="","",IF(COUNTIF($A$6:$A$504,A113)&gt;1,"⚠ Duplicate",""))</f>
        <v/>
      </c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38" t="n"/>
      <c r="AA114" s="38" t="n"/>
      <c r="AB114" s="41">
        <f>IF(A114="","",IF(COUNTIF($A$6:$A$504,A114)&gt;1,"⚠ Duplicate",""))</f>
        <v/>
      </c>
      <c r="AC114" s="42" t="n"/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32" t="n"/>
      <c r="AA115" s="32" t="n"/>
      <c r="AB115" s="36">
        <f>IF(A115="","",IF(COUNTIF($A$6:$A$504,A115)&gt;1,"⚠ Duplicate",""))</f>
        <v/>
      </c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38" t="n"/>
      <c r="AA116" s="38" t="n"/>
      <c r="AB116" s="41">
        <f>IF(A116="","",IF(COUNTIF($A$6:$A$504,A116)&gt;1,"⚠ Duplicate",""))</f>
        <v/>
      </c>
      <c r="AC116" s="42" t="n"/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32" t="n"/>
      <c r="AA117" s="32" t="n"/>
      <c r="AB117" s="36">
        <f>IF(A117="","",IF(COUNTIF($A$6:$A$504,A117)&gt;1,"⚠ Duplicate",""))</f>
        <v/>
      </c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38" t="n"/>
      <c r="AA118" s="38" t="n"/>
      <c r="AB118" s="41">
        <f>IF(A118="","",IF(COUNTIF($A$6:$A$504,A118)&gt;1,"⚠ Duplicate",""))</f>
        <v/>
      </c>
      <c r="AC118" s="42" t="n"/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32" t="n"/>
      <c r="AA119" s="32" t="n"/>
      <c r="AB119" s="36">
        <f>IF(A119="","",IF(COUNTIF($A$6:$A$504,A119)&gt;1,"⚠ Duplicate",""))</f>
        <v/>
      </c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38" t="n"/>
      <c r="AA120" s="38" t="n"/>
      <c r="AB120" s="41">
        <f>IF(A120="","",IF(COUNTIF($A$6:$A$504,A120)&gt;1,"⚠ Duplicate",""))</f>
        <v/>
      </c>
      <c r="AC120" s="42" t="n"/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32" t="n"/>
      <c r="AA121" s="32" t="n"/>
      <c r="AB121" s="36">
        <f>IF(A121="","",IF(COUNTIF($A$6:$A$504,A121)&gt;1,"⚠ Duplicate",""))</f>
        <v/>
      </c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38" t="n"/>
      <c r="AA122" s="38" t="n"/>
      <c r="AB122" s="41">
        <f>IF(A122="","",IF(COUNTIF($A$6:$A$504,A122)&gt;1,"⚠ Duplicate",""))</f>
        <v/>
      </c>
      <c r="AC122" s="42" t="n"/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32" t="n"/>
      <c r="AA123" s="32" t="n"/>
      <c r="AB123" s="36">
        <f>IF(A123="","",IF(COUNTIF($A$6:$A$504,A123)&gt;1,"⚠ Duplicate",""))</f>
        <v/>
      </c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38" t="n"/>
      <c r="AA124" s="38" t="n"/>
      <c r="AB124" s="41">
        <f>IF(A124="","",IF(COUNTIF($A$6:$A$504,A124)&gt;1,"⚠ Duplicate",""))</f>
        <v/>
      </c>
      <c r="AC124" s="42" t="n"/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32" t="n"/>
      <c r="AA125" s="32" t="n"/>
      <c r="AB125" s="36">
        <f>IF(A125="","",IF(COUNTIF($A$6:$A$504,A125)&gt;1,"⚠ Duplicate",""))</f>
        <v/>
      </c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38" t="n"/>
      <c r="AA126" s="38" t="n"/>
      <c r="AB126" s="41">
        <f>IF(A126="","",IF(COUNTIF($A$6:$A$504,A126)&gt;1,"⚠ Duplicate",""))</f>
        <v/>
      </c>
      <c r="AC126" s="42" t="n"/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32" t="n"/>
      <c r="AA127" s="32" t="n"/>
      <c r="AB127" s="36">
        <f>IF(A127="","",IF(COUNTIF($A$6:$A$504,A127)&gt;1,"⚠ Duplicate",""))</f>
        <v/>
      </c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38" t="n"/>
      <c r="AA128" s="38" t="n"/>
      <c r="AB128" s="41">
        <f>IF(A128="","",IF(COUNTIF($A$6:$A$504,A128)&gt;1,"⚠ Duplicate",""))</f>
        <v/>
      </c>
      <c r="AC128" s="42" t="n"/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32" t="n"/>
      <c r="AA129" s="32" t="n"/>
      <c r="AB129" s="36">
        <f>IF(A129="","",IF(COUNTIF($A$6:$A$504,A129)&gt;1,"⚠ Duplicate",""))</f>
        <v/>
      </c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38" t="n"/>
      <c r="AA130" s="38" t="n"/>
      <c r="AB130" s="41">
        <f>IF(A130="","",IF(COUNTIF($A$6:$A$504,A130)&gt;1,"⚠ Duplicate",""))</f>
        <v/>
      </c>
      <c r="AC130" s="42" t="n"/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32" t="n"/>
      <c r="AA131" s="32" t="n"/>
      <c r="AB131" s="36">
        <f>IF(A131="","",IF(COUNTIF($A$6:$A$504,A131)&gt;1,"⚠ Duplicate",""))</f>
        <v/>
      </c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38" t="n"/>
      <c r="AA132" s="38" t="n"/>
      <c r="AB132" s="41">
        <f>IF(A132="","",IF(COUNTIF($A$6:$A$504,A132)&gt;1,"⚠ Duplicate",""))</f>
        <v/>
      </c>
      <c r="AC132" s="42" t="n"/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32" t="n"/>
      <c r="AA133" s="32" t="n"/>
      <c r="AB133" s="36">
        <f>IF(A133="","",IF(COUNTIF($A$6:$A$504,A133)&gt;1,"⚠ Duplicate",""))</f>
        <v/>
      </c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38" t="n"/>
      <c r="AA134" s="38" t="n"/>
      <c r="AB134" s="41">
        <f>IF(A134="","",IF(COUNTIF($A$6:$A$504,A134)&gt;1,"⚠ Duplicate",""))</f>
        <v/>
      </c>
      <c r="AC134" s="42" t="n"/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32" t="n"/>
      <c r="AA135" s="32" t="n"/>
      <c r="AB135" s="36">
        <f>IF(A135="","",IF(COUNTIF($A$6:$A$504,A135)&gt;1,"⚠ Duplicate",""))</f>
        <v/>
      </c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38" t="n"/>
      <c r="AA136" s="38" t="n"/>
      <c r="AB136" s="41">
        <f>IF(A136="","",IF(COUNTIF($A$6:$A$504,A136)&gt;1,"⚠ Duplicate",""))</f>
        <v/>
      </c>
      <c r="AC136" s="42" t="n"/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32" t="n"/>
      <c r="AA137" s="32" t="n"/>
      <c r="AB137" s="36">
        <f>IF(A137="","",IF(COUNTIF($A$6:$A$504,A137)&gt;1,"⚠ Duplicate",""))</f>
        <v/>
      </c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38" t="n"/>
      <c r="AA138" s="38" t="n"/>
      <c r="AB138" s="41">
        <f>IF(A138="","",IF(COUNTIF($A$6:$A$504,A138)&gt;1,"⚠ Duplicate",""))</f>
        <v/>
      </c>
      <c r="AC138" s="42" t="n"/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32" t="n"/>
      <c r="AA139" s="32" t="n"/>
      <c r="AB139" s="36">
        <f>IF(A139="","",IF(COUNTIF($A$6:$A$504,A139)&gt;1,"⚠ Duplicate",""))</f>
        <v/>
      </c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38" t="n"/>
      <c r="AA140" s="38" t="n"/>
      <c r="AB140" s="41">
        <f>IF(A140="","",IF(COUNTIF($A$6:$A$504,A140)&gt;1,"⚠ Duplicate",""))</f>
        <v/>
      </c>
      <c r="AC140" s="42" t="n"/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32" t="n"/>
      <c r="AA141" s="32" t="n"/>
      <c r="AB141" s="36">
        <f>IF(A141="","",IF(COUNTIF($A$6:$A$504,A141)&gt;1,"⚠ Duplicate",""))</f>
        <v/>
      </c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38" t="n"/>
      <c r="AA142" s="38" t="n"/>
      <c r="AB142" s="41">
        <f>IF(A142="","",IF(COUNTIF($A$6:$A$504,A142)&gt;1,"⚠ Duplicate",""))</f>
        <v/>
      </c>
      <c r="AC142" s="42" t="n"/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32" t="n"/>
      <c r="AA143" s="32" t="n"/>
      <c r="AB143" s="36">
        <f>IF(A143="","",IF(COUNTIF($A$6:$A$504,A143)&gt;1,"⚠ Duplicate",""))</f>
        <v/>
      </c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38" t="n"/>
      <c r="AA144" s="38" t="n"/>
      <c r="AB144" s="41">
        <f>IF(A144="","",IF(COUNTIF($A$6:$A$504,A144)&gt;1,"⚠ Duplicate",""))</f>
        <v/>
      </c>
      <c r="AC144" s="42" t="n"/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32" t="n"/>
      <c r="AA145" s="32" t="n"/>
      <c r="AB145" s="36">
        <f>IF(A145="","",IF(COUNTIF($A$6:$A$504,A145)&gt;1,"⚠ Duplicate",""))</f>
        <v/>
      </c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38" t="n"/>
      <c r="AA146" s="38" t="n"/>
      <c r="AB146" s="41">
        <f>IF(A146="","",IF(COUNTIF($A$6:$A$504,A146)&gt;1,"⚠ Duplicate",""))</f>
        <v/>
      </c>
      <c r="AC146" s="42" t="n"/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32" t="n"/>
      <c r="AA147" s="32" t="n"/>
      <c r="AB147" s="36">
        <f>IF(A147="","",IF(COUNTIF($A$6:$A$504,A147)&gt;1,"⚠ Duplicate",""))</f>
        <v/>
      </c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38" t="n"/>
      <c r="AA148" s="38" t="n"/>
      <c r="AB148" s="41">
        <f>IF(A148="","",IF(COUNTIF($A$6:$A$504,A148)&gt;1,"⚠ Duplicate",""))</f>
        <v/>
      </c>
      <c r="AC148" s="42" t="n"/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32" t="n"/>
      <c r="AA149" s="32" t="n"/>
      <c r="AB149" s="36">
        <f>IF(A149="","",IF(COUNTIF($A$6:$A$504,A149)&gt;1,"⚠ Duplicate",""))</f>
        <v/>
      </c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38" t="n"/>
      <c r="AA150" s="38" t="n"/>
      <c r="AB150" s="41">
        <f>IF(A150="","",IF(COUNTIF($A$6:$A$504,A150)&gt;1,"⚠ Duplicate",""))</f>
        <v/>
      </c>
      <c r="AC150" s="42" t="n"/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32" t="n"/>
      <c r="AA151" s="32" t="n"/>
      <c r="AB151" s="36">
        <f>IF(A151="","",IF(COUNTIF($A$6:$A$504,A151)&gt;1,"⚠ Duplicate",""))</f>
        <v/>
      </c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38" t="n"/>
      <c r="AA152" s="38" t="n"/>
      <c r="AB152" s="41">
        <f>IF(A152="","",IF(COUNTIF($A$6:$A$504,A152)&gt;1,"⚠ Duplicate",""))</f>
        <v/>
      </c>
      <c r="AC152" s="42" t="n"/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32" t="n"/>
      <c r="AA153" s="32" t="n"/>
      <c r="AB153" s="36">
        <f>IF(A153="","",IF(COUNTIF($A$6:$A$504,A153)&gt;1,"⚠ Duplicate",""))</f>
        <v/>
      </c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38" t="n"/>
      <c r="AA154" s="38" t="n"/>
      <c r="AB154" s="41">
        <f>IF(A154="","",IF(COUNTIF($A$6:$A$504,A154)&gt;1,"⚠ Duplicate",""))</f>
        <v/>
      </c>
      <c r="AC154" s="42" t="n"/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32" t="n"/>
      <c r="AA155" s="32" t="n"/>
      <c r="AB155" s="36">
        <f>IF(A155="","",IF(COUNTIF($A$6:$A$504,A155)&gt;1,"⚠ Duplicate",""))</f>
        <v/>
      </c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38" t="n"/>
      <c r="AA156" s="38" t="n"/>
      <c r="AB156" s="41">
        <f>IF(A156="","",IF(COUNTIF($A$6:$A$504,A156)&gt;1,"⚠ Duplicate",""))</f>
        <v/>
      </c>
      <c r="AC156" s="42" t="n"/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32" t="n"/>
      <c r="AA157" s="32" t="n"/>
      <c r="AB157" s="36">
        <f>IF(A157="","",IF(COUNTIF($A$6:$A$504,A157)&gt;1,"⚠ Duplicate",""))</f>
        <v/>
      </c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38" t="n"/>
      <c r="AA158" s="38" t="n"/>
      <c r="AB158" s="41">
        <f>IF(A158="","",IF(COUNTIF($A$6:$A$504,A158)&gt;1,"⚠ Duplicate",""))</f>
        <v/>
      </c>
      <c r="AC158" s="42" t="n"/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32" t="n"/>
      <c r="AA159" s="32" t="n"/>
      <c r="AB159" s="36">
        <f>IF(A159="","",IF(COUNTIF($A$6:$A$504,A159)&gt;1,"⚠ Duplicate",""))</f>
        <v/>
      </c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38" t="n"/>
      <c r="AA160" s="38" t="n"/>
      <c r="AB160" s="41">
        <f>IF(A160="","",IF(COUNTIF($A$6:$A$504,A160)&gt;1,"⚠ Duplicate",""))</f>
        <v/>
      </c>
      <c r="AC160" s="42" t="n"/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32" t="n"/>
      <c r="AA161" s="32" t="n"/>
      <c r="AB161" s="36">
        <f>IF(A161="","",IF(COUNTIF($A$6:$A$504,A161)&gt;1,"⚠ Duplicate",""))</f>
        <v/>
      </c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38" t="n"/>
      <c r="AA162" s="38" t="n"/>
      <c r="AB162" s="41">
        <f>IF(A162="","",IF(COUNTIF($A$6:$A$504,A162)&gt;1,"⚠ Duplicate",""))</f>
        <v/>
      </c>
      <c r="AC162" s="42" t="n"/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32" t="n"/>
      <c r="AA163" s="32" t="n"/>
      <c r="AB163" s="36">
        <f>IF(A163="","",IF(COUNTIF($A$6:$A$504,A163)&gt;1,"⚠ Duplicate",""))</f>
        <v/>
      </c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38" t="n"/>
      <c r="AA164" s="38" t="n"/>
      <c r="AB164" s="41">
        <f>IF(A164="","",IF(COUNTIF($A$6:$A$504,A164)&gt;1,"⚠ Duplicate",""))</f>
        <v/>
      </c>
      <c r="AC164" s="42" t="n"/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32" t="n"/>
      <c r="AA165" s="32" t="n"/>
      <c r="AB165" s="36">
        <f>IF(A165="","",IF(COUNTIF($A$6:$A$504,A165)&gt;1,"⚠ Duplicate",""))</f>
        <v/>
      </c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38" t="n"/>
      <c r="AA166" s="38" t="n"/>
      <c r="AB166" s="41">
        <f>IF(A166="","",IF(COUNTIF($A$6:$A$504,A166)&gt;1,"⚠ Duplicate",""))</f>
        <v/>
      </c>
      <c r="AC166" s="42" t="n"/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32" t="n"/>
      <c r="AA167" s="32" t="n"/>
      <c r="AB167" s="36">
        <f>IF(A167="","",IF(COUNTIF($A$6:$A$504,A167)&gt;1,"⚠ Duplicate",""))</f>
        <v/>
      </c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38" t="n"/>
      <c r="AA168" s="38" t="n"/>
      <c r="AB168" s="41">
        <f>IF(A168="","",IF(COUNTIF($A$6:$A$504,A168)&gt;1,"⚠ Duplicate",""))</f>
        <v/>
      </c>
      <c r="AC168" s="42" t="n"/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32" t="n"/>
      <c r="AA169" s="32" t="n"/>
      <c r="AB169" s="36">
        <f>IF(A169="","",IF(COUNTIF($A$6:$A$504,A169)&gt;1,"⚠ Duplicate",""))</f>
        <v/>
      </c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38" t="n"/>
      <c r="AA170" s="38" t="n"/>
      <c r="AB170" s="41">
        <f>IF(A170="","",IF(COUNTIF($A$6:$A$504,A170)&gt;1,"⚠ Duplicate",""))</f>
        <v/>
      </c>
      <c r="AC170" s="42" t="n"/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32" t="n"/>
      <c r="AA171" s="32" t="n"/>
      <c r="AB171" s="36">
        <f>IF(A171="","",IF(COUNTIF($A$6:$A$504,A171)&gt;1,"⚠ Duplicate",""))</f>
        <v/>
      </c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38" t="n"/>
      <c r="AA172" s="38" t="n"/>
      <c r="AB172" s="41">
        <f>IF(A172="","",IF(COUNTIF($A$6:$A$504,A172)&gt;1,"⚠ Duplicate",""))</f>
        <v/>
      </c>
      <c r="AC172" s="42" t="n"/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32" t="n"/>
      <c r="AA173" s="32" t="n"/>
      <c r="AB173" s="36">
        <f>IF(A173="","",IF(COUNTIF($A$6:$A$504,A173)&gt;1,"⚠ Duplicate",""))</f>
        <v/>
      </c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38" t="n"/>
      <c r="AA174" s="38" t="n"/>
      <c r="AB174" s="41">
        <f>IF(A174="","",IF(COUNTIF($A$6:$A$504,A174)&gt;1,"⚠ Duplicate",""))</f>
        <v/>
      </c>
      <c r="AC174" s="42" t="n"/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32" t="n"/>
      <c r="AA175" s="32" t="n"/>
      <c r="AB175" s="36">
        <f>IF(A175="","",IF(COUNTIF($A$6:$A$504,A175)&gt;1,"⚠ Duplicate",""))</f>
        <v/>
      </c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38" t="n"/>
      <c r="AA176" s="38" t="n"/>
      <c r="AB176" s="41">
        <f>IF(A176="","",IF(COUNTIF($A$6:$A$504,A176)&gt;1,"⚠ Duplicate",""))</f>
        <v/>
      </c>
      <c r="AC176" s="42" t="n"/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32" t="n"/>
      <c r="AA177" s="32" t="n"/>
      <c r="AB177" s="36">
        <f>IF(A177="","",IF(COUNTIF($A$6:$A$504,A177)&gt;1,"⚠ Duplicate",""))</f>
        <v/>
      </c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38" t="n"/>
      <c r="AA178" s="38" t="n"/>
      <c r="AB178" s="41">
        <f>IF(A178="","",IF(COUNTIF($A$6:$A$504,A178)&gt;1,"⚠ Duplicate",""))</f>
        <v/>
      </c>
      <c r="AC178" s="42" t="n"/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32" t="n"/>
      <c r="AA179" s="32" t="n"/>
      <c r="AB179" s="36">
        <f>IF(A179="","",IF(COUNTIF($A$6:$A$504,A179)&gt;1,"⚠ Duplicate",""))</f>
        <v/>
      </c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38" t="n"/>
      <c r="AA180" s="38" t="n"/>
      <c r="AB180" s="41">
        <f>IF(A180="","",IF(COUNTIF($A$6:$A$504,A180)&gt;1,"⚠ Duplicate",""))</f>
        <v/>
      </c>
      <c r="AC180" s="42" t="n"/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32" t="n"/>
      <c r="AA181" s="32" t="n"/>
      <c r="AB181" s="36">
        <f>IF(A181="","",IF(COUNTIF($A$6:$A$504,A181)&gt;1,"⚠ Duplicate",""))</f>
        <v/>
      </c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38" t="n"/>
      <c r="AA182" s="38" t="n"/>
      <c r="AB182" s="41">
        <f>IF(A182="","",IF(COUNTIF($A$6:$A$504,A182)&gt;1,"⚠ Duplicate",""))</f>
        <v/>
      </c>
      <c r="AC182" s="42" t="n"/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32" t="n"/>
      <c r="AA183" s="32" t="n"/>
      <c r="AB183" s="36">
        <f>IF(A183="","",IF(COUNTIF($A$6:$A$504,A183)&gt;1,"⚠ Duplicate",""))</f>
        <v/>
      </c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38" t="n"/>
      <c r="AA184" s="38" t="n"/>
      <c r="AB184" s="41">
        <f>IF(A184="","",IF(COUNTIF($A$6:$A$504,A184)&gt;1,"⚠ Duplicate",""))</f>
        <v/>
      </c>
      <c r="AC184" s="42" t="n"/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32" t="n"/>
      <c r="AA185" s="32" t="n"/>
      <c r="AB185" s="36">
        <f>IF(A185="","",IF(COUNTIF($A$6:$A$504,A185)&gt;1,"⚠ Duplicate",""))</f>
        <v/>
      </c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38" t="n"/>
      <c r="AA186" s="38" t="n"/>
      <c r="AB186" s="41">
        <f>IF(A186="","",IF(COUNTIF($A$6:$A$504,A186)&gt;1,"⚠ Duplicate",""))</f>
        <v/>
      </c>
      <c r="AC186" s="42" t="n"/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32" t="n"/>
      <c r="AA187" s="32" t="n"/>
      <c r="AB187" s="36">
        <f>IF(A187="","",IF(COUNTIF($A$6:$A$504,A187)&gt;1,"⚠ Duplicate",""))</f>
        <v/>
      </c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38" t="n"/>
      <c r="AA188" s="38" t="n"/>
      <c r="AB188" s="41">
        <f>IF(A188="","",IF(COUNTIF($A$6:$A$504,A188)&gt;1,"⚠ Duplicate",""))</f>
        <v/>
      </c>
      <c r="AC188" s="42" t="n"/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32" t="n"/>
      <c r="AA189" s="32" t="n"/>
      <c r="AB189" s="36">
        <f>IF(A189="","",IF(COUNTIF($A$6:$A$504,A189)&gt;1,"⚠ Duplicate",""))</f>
        <v/>
      </c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38" t="n"/>
      <c r="AA190" s="38" t="n"/>
      <c r="AB190" s="41">
        <f>IF(A190="","",IF(COUNTIF($A$6:$A$504,A190)&gt;1,"⚠ Duplicate",""))</f>
        <v/>
      </c>
      <c r="AC190" s="42" t="n"/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32" t="n"/>
      <c r="AA191" s="32" t="n"/>
      <c r="AB191" s="36">
        <f>IF(A191="","",IF(COUNTIF($A$6:$A$504,A191)&gt;1,"⚠ Duplicate",""))</f>
        <v/>
      </c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38" t="n"/>
      <c r="AA192" s="38" t="n"/>
      <c r="AB192" s="41">
        <f>IF(A192="","",IF(COUNTIF($A$6:$A$504,A192)&gt;1,"⚠ Duplicate",""))</f>
        <v/>
      </c>
      <c r="AC192" s="42" t="n"/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32" t="n"/>
      <c r="AA193" s="32" t="n"/>
      <c r="AB193" s="36">
        <f>IF(A193="","",IF(COUNTIF($A$6:$A$504,A193)&gt;1,"⚠ Duplicate",""))</f>
        <v/>
      </c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38" t="n"/>
      <c r="AA194" s="38" t="n"/>
      <c r="AB194" s="41">
        <f>IF(A194="","",IF(COUNTIF($A$6:$A$504,A194)&gt;1,"⚠ Duplicate",""))</f>
        <v/>
      </c>
      <c r="AC194" s="42" t="n"/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32" t="n"/>
      <c r="AA195" s="32" t="n"/>
      <c r="AB195" s="36">
        <f>IF(A195="","",IF(COUNTIF($A$6:$A$504,A195)&gt;1,"⚠ Duplicate",""))</f>
        <v/>
      </c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38" t="n"/>
      <c r="AA196" s="38" t="n"/>
      <c r="AB196" s="41">
        <f>IF(A196="","",IF(COUNTIF($A$6:$A$504,A196)&gt;1,"⚠ Duplicate",""))</f>
        <v/>
      </c>
      <c r="AC196" s="42" t="n"/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32" t="n"/>
      <c r="AA197" s="32" t="n"/>
      <c r="AB197" s="36">
        <f>IF(A197="","",IF(COUNTIF($A$6:$A$504,A197)&gt;1,"⚠ Duplicate",""))</f>
        <v/>
      </c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38" t="n"/>
      <c r="AA198" s="38" t="n"/>
      <c r="AB198" s="41">
        <f>IF(A198="","",IF(COUNTIF($A$6:$A$504,A198)&gt;1,"⚠ Duplicate",""))</f>
        <v/>
      </c>
      <c r="AC198" s="42" t="n"/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32" t="n"/>
      <c r="AA199" s="32" t="n"/>
      <c r="AB199" s="36">
        <f>IF(A199="","",IF(COUNTIF($A$6:$A$504,A199)&gt;1,"⚠ Duplicate",""))</f>
        <v/>
      </c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38" t="n"/>
      <c r="AA200" s="38" t="n"/>
      <c r="AB200" s="41">
        <f>IF(A200="","",IF(COUNTIF($A$6:$A$504,A200)&gt;1,"⚠ Duplicate",""))</f>
        <v/>
      </c>
      <c r="AC200" s="42" t="n"/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32" t="n"/>
      <c r="AA201" s="32" t="n"/>
      <c r="AB201" s="36">
        <f>IF(A201="","",IF(COUNTIF($A$6:$A$504,A201)&gt;1,"⚠ Duplicate",""))</f>
        <v/>
      </c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38" t="n"/>
      <c r="AA202" s="38" t="n"/>
      <c r="AB202" s="41">
        <f>IF(A202="","",IF(COUNTIF($A$6:$A$504,A202)&gt;1,"⚠ Duplicate",""))</f>
        <v/>
      </c>
      <c r="AC202" s="42" t="n"/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32" t="n"/>
      <c r="AA203" s="32" t="n"/>
      <c r="AB203" s="36">
        <f>IF(A203="","",IF(COUNTIF($A$6:$A$504,A203)&gt;1,"⚠ Duplicate",""))</f>
        <v/>
      </c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38" t="n"/>
      <c r="AA204" s="38" t="n"/>
      <c r="AB204" s="41">
        <f>IF(A204="","",IF(COUNTIF($A$6:$A$504,A204)&gt;1,"⚠ Duplicate",""))</f>
        <v/>
      </c>
      <c r="AC204" s="42" t="n"/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32" t="n"/>
      <c r="AA205" s="32" t="n"/>
      <c r="AB205" s="36">
        <f>IF(A205="","",IF(COUNTIF($A$6:$A$504,A205)&gt;1,"⚠ Duplicate",""))</f>
        <v/>
      </c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38" t="n"/>
      <c r="AA206" s="38" t="n"/>
      <c r="AB206" s="41">
        <f>IF(A206="","",IF(COUNTIF($A$6:$A$504,A206)&gt;1,"⚠ Duplicate",""))</f>
        <v/>
      </c>
      <c r="AC206" s="42" t="n"/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32" t="n"/>
      <c r="AA207" s="32" t="n"/>
      <c r="AB207" s="36">
        <f>IF(A207="","",IF(COUNTIF($A$6:$A$504,A207)&gt;1,"⚠ Duplicate",""))</f>
        <v/>
      </c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38" t="n"/>
      <c r="AA208" s="38" t="n"/>
      <c r="AB208" s="41">
        <f>IF(A208="","",IF(COUNTIF($A$6:$A$504,A208)&gt;1,"⚠ Duplicate",""))</f>
        <v/>
      </c>
      <c r="AC208" s="42" t="n"/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32" t="n"/>
      <c r="AA209" s="32" t="n"/>
      <c r="AB209" s="36">
        <f>IF(A209="","",IF(COUNTIF($A$6:$A$504,A209)&gt;1,"⚠ Duplicate",""))</f>
        <v/>
      </c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38" t="n"/>
      <c r="AA210" s="38" t="n"/>
      <c r="AB210" s="41">
        <f>IF(A210="","",IF(COUNTIF($A$6:$A$504,A210)&gt;1,"⚠ Duplicate",""))</f>
        <v/>
      </c>
      <c r="AC210" s="42" t="n"/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32" t="n"/>
      <c r="AA211" s="32" t="n"/>
      <c r="AB211" s="36">
        <f>IF(A211="","",IF(COUNTIF($A$6:$A$504,A211)&gt;1,"⚠ Duplicate",""))</f>
        <v/>
      </c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38" t="n"/>
      <c r="AA212" s="38" t="n"/>
      <c r="AB212" s="41">
        <f>IF(A212="","",IF(COUNTIF($A$6:$A$504,A212)&gt;1,"⚠ Duplicate",""))</f>
        <v/>
      </c>
      <c r="AC212" s="42" t="n"/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32" t="n"/>
      <c r="AA213" s="32" t="n"/>
      <c r="AB213" s="36">
        <f>IF(A213="","",IF(COUNTIF($A$6:$A$504,A213)&gt;1,"⚠ Duplicate",""))</f>
        <v/>
      </c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38" t="n"/>
      <c r="AA214" s="38" t="n"/>
      <c r="AB214" s="41">
        <f>IF(A214="","",IF(COUNTIF($A$6:$A$504,A214)&gt;1,"⚠ Duplicate",""))</f>
        <v/>
      </c>
      <c r="AC214" s="42" t="n"/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32" t="n"/>
      <c r="AA215" s="32" t="n"/>
      <c r="AB215" s="36">
        <f>IF(A215="","",IF(COUNTIF($A$6:$A$504,A215)&gt;1,"⚠ Duplicate",""))</f>
        <v/>
      </c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38" t="n"/>
      <c r="AA216" s="38" t="n"/>
      <c r="AB216" s="41">
        <f>IF(A216="","",IF(COUNTIF($A$6:$A$504,A216)&gt;1,"⚠ Duplicate",""))</f>
        <v/>
      </c>
      <c r="AC216" s="42" t="n"/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32" t="n"/>
      <c r="AA217" s="32" t="n"/>
      <c r="AB217" s="36">
        <f>IF(A217="","",IF(COUNTIF($A$6:$A$504,A217)&gt;1,"⚠ Duplicate",""))</f>
        <v/>
      </c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38" t="n"/>
      <c r="AA218" s="38" t="n"/>
      <c r="AB218" s="41">
        <f>IF(A218="","",IF(COUNTIF($A$6:$A$504,A218)&gt;1,"⚠ Duplicate",""))</f>
        <v/>
      </c>
      <c r="AC218" s="42" t="n"/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32" t="n"/>
      <c r="AA219" s="32" t="n"/>
      <c r="AB219" s="36">
        <f>IF(A219="","",IF(COUNTIF($A$6:$A$504,A219)&gt;1,"⚠ Duplicate",""))</f>
        <v/>
      </c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38" t="n"/>
      <c r="AA220" s="38" t="n"/>
      <c r="AB220" s="41">
        <f>IF(A220="","",IF(COUNTIF($A$6:$A$504,A220)&gt;1,"⚠ Duplicate",""))</f>
        <v/>
      </c>
      <c r="AC220" s="42" t="n"/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32" t="n"/>
      <c r="AA221" s="32" t="n"/>
      <c r="AB221" s="36">
        <f>IF(A221="","",IF(COUNTIF($A$6:$A$504,A221)&gt;1,"⚠ Duplicate",""))</f>
        <v/>
      </c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38" t="n"/>
      <c r="AA222" s="38" t="n"/>
      <c r="AB222" s="41">
        <f>IF(A222="","",IF(COUNTIF($A$6:$A$504,A222)&gt;1,"⚠ Duplicate",""))</f>
        <v/>
      </c>
      <c r="AC222" s="42" t="n"/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32" t="n"/>
      <c r="AA223" s="32" t="n"/>
      <c r="AB223" s="36">
        <f>IF(A223="","",IF(COUNTIF($A$6:$A$504,A223)&gt;1,"⚠ Duplicate",""))</f>
        <v/>
      </c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38" t="n"/>
      <c r="AA224" s="38" t="n"/>
      <c r="AB224" s="41">
        <f>IF(A224="","",IF(COUNTIF($A$6:$A$504,A224)&gt;1,"⚠ Duplicate",""))</f>
        <v/>
      </c>
      <c r="AC224" s="42" t="n"/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32" t="n"/>
      <c r="AA225" s="32" t="n"/>
      <c r="AB225" s="36">
        <f>IF(A225="","",IF(COUNTIF($A$6:$A$504,A225)&gt;1,"⚠ Duplicate",""))</f>
        <v/>
      </c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38" t="n"/>
      <c r="AA226" s="38" t="n"/>
      <c r="AB226" s="41">
        <f>IF(A226="","",IF(COUNTIF($A$6:$A$504,A226)&gt;1,"⚠ Duplicate",""))</f>
        <v/>
      </c>
      <c r="AC226" s="42" t="n"/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32" t="n"/>
      <c r="AA227" s="32" t="n"/>
      <c r="AB227" s="36">
        <f>IF(A227="","",IF(COUNTIF($A$6:$A$504,A227)&gt;1,"⚠ Duplicate",""))</f>
        <v/>
      </c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38" t="n"/>
      <c r="AA228" s="38" t="n"/>
      <c r="AB228" s="41">
        <f>IF(A228="","",IF(COUNTIF($A$6:$A$504,A228)&gt;1,"⚠ Duplicate",""))</f>
        <v/>
      </c>
      <c r="AC228" s="42" t="n"/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32" t="n"/>
      <c r="AA229" s="32" t="n"/>
      <c r="AB229" s="36">
        <f>IF(A229="","",IF(COUNTIF($A$6:$A$504,A229)&gt;1,"⚠ Duplicate",""))</f>
        <v/>
      </c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38" t="n"/>
      <c r="AA230" s="38" t="n"/>
      <c r="AB230" s="41">
        <f>IF(A230="","",IF(COUNTIF($A$6:$A$504,A230)&gt;1,"⚠ Duplicate",""))</f>
        <v/>
      </c>
      <c r="AC230" s="42" t="n"/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32" t="n"/>
      <c r="AA231" s="32" t="n"/>
      <c r="AB231" s="36">
        <f>IF(A231="","",IF(COUNTIF($A$6:$A$504,A231)&gt;1,"⚠ Duplicate",""))</f>
        <v/>
      </c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38" t="n"/>
      <c r="AA232" s="38" t="n"/>
      <c r="AB232" s="41">
        <f>IF(A232="","",IF(COUNTIF($A$6:$A$504,A232)&gt;1,"⚠ Duplicate",""))</f>
        <v/>
      </c>
      <c r="AC232" s="42" t="n"/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32" t="n"/>
      <c r="AA233" s="32" t="n"/>
      <c r="AB233" s="36">
        <f>IF(A233="","",IF(COUNTIF($A$6:$A$504,A233)&gt;1,"⚠ Duplicate",""))</f>
        <v/>
      </c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38" t="n"/>
      <c r="AA234" s="38" t="n"/>
      <c r="AB234" s="41">
        <f>IF(A234="","",IF(COUNTIF($A$6:$A$504,A234)&gt;1,"⚠ Duplicate",""))</f>
        <v/>
      </c>
      <c r="AC234" s="42" t="n"/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32" t="n"/>
      <c r="AA235" s="32" t="n"/>
      <c r="AB235" s="36">
        <f>IF(A235="","",IF(COUNTIF($A$6:$A$504,A235)&gt;1,"⚠ Duplicate",""))</f>
        <v/>
      </c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38" t="n"/>
      <c r="AA236" s="38" t="n"/>
      <c r="AB236" s="41">
        <f>IF(A236="","",IF(COUNTIF($A$6:$A$504,A236)&gt;1,"⚠ Duplicate",""))</f>
        <v/>
      </c>
      <c r="AC236" s="42" t="n"/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32" t="n"/>
      <c r="AA237" s="32" t="n"/>
      <c r="AB237" s="36">
        <f>IF(A237="","",IF(COUNTIF($A$6:$A$504,A237)&gt;1,"⚠ Duplicate",""))</f>
        <v/>
      </c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38" t="n"/>
      <c r="AA238" s="38" t="n"/>
      <c r="AB238" s="41">
        <f>IF(A238="","",IF(COUNTIF($A$6:$A$504,A238)&gt;1,"⚠ Duplicate",""))</f>
        <v/>
      </c>
      <c r="AC238" s="42" t="n"/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32" t="n"/>
      <c r="AA239" s="32" t="n"/>
      <c r="AB239" s="36">
        <f>IF(A239="","",IF(COUNTIF($A$6:$A$504,A239)&gt;1,"⚠ Duplicate",""))</f>
        <v/>
      </c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38" t="n"/>
      <c r="AA240" s="38" t="n"/>
      <c r="AB240" s="41">
        <f>IF(A240="","",IF(COUNTIF($A$6:$A$504,A240)&gt;1,"⚠ Duplicate",""))</f>
        <v/>
      </c>
      <c r="AC240" s="42" t="n"/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32" t="n"/>
      <c r="AA241" s="32" t="n"/>
      <c r="AB241" s="36">
        <f>IF(A241="","",IF(COUNTIF($A$6:$A$504,A241)&gt;1,"⚠ Duplicate",""))</f>
        <v/>
      </c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38" t="n"/>
      <c r="AA242" s="38" t="n"/>
      <c r="AB242" s="41">
        <f>IF(A242="","",IF(COUNTIF($A$6:$A$504,A242)&gt;1,"⚠ Duplicate",""))</f>
        <v/>
      </c>
      <c r="AC242" s="42" t="n"/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32" t="n"/>
      <c r="AA243" s="32" t="n"/>
      <c r="AB243" s="36">
        <f>IF(A243="","",IF(COUNTIF($A$6:$A$504,A243)&gt;1,"⚠ Duplicate",""))</f>
        <v/>
      </c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38" t="n"/>
      <c r="AA244" s="38" t="n"/>
      <c r="AB244" s="41">
        <f>IF(A244="","",IF(COUNTIF($A$6:$A$504,A244)&gt;1,"⚠ Duplicate",""))</f>
        <v/>
      </c>
      <c r="AC244" s="42" t="n"/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32" t="n"/>
      <c r="AA245" s="32" t="n"/>
      <c r="AB245" s="36">
        <f>IF(A245="","",IF(COUNTIF($A$6:$A$504,A245)&gt;1,"⚠ Duplicate",""))</f>
        <v/>
      </c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38" t="n"/>
      <c r="AA246" s="38" t="n"/>
      <c r="AB246" s="41">
        <f>IF(A246="","",IF(COUNTIF($A$6:$A$504,A246)&gt;1,"⚠ Duplicate",""))</f>
        <v/>
      </c>
      <c r="AC246" s="42" t="n"/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32" t="n"/>
      <c r="AA247" s="32" t="n"/>
      <c r="AB247" s="36">
        <f>IF(A247="","",IF(COUNTIF($A$6:$A$504,A247)&gt;1,"⚠ Duplicate",""))</f>
        <v/>
      </c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38" t="n"/>
      <c r="AA248" s="38" t="n"/>
      <c r="AB248" s="41">
        <f>IF(A248="","",IF(COUNTIF($A$6:$A$504,A248)&gt;1,"⚠ Duplicate",""))</f>
        <v/>
      </c>
      <c r="AC248" s="42" t="n"/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32" t="n"/>
      <c r="AA249" s="32" t="n"/>
      <c r="AB249" s="36">
        <f>IF(A249="","",IF(COUNTIF($A$6:$A$504,A249)&gt;1,"⚠ Duplicate",""))</f>
        <v/>
      </c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38" t="n"/>
      <c r="AA250" s="38" t="n"/>
      <c r="AB250" s="41">
        <f>IF(A250="","",IF(COUNTIF($A$6:$A$504,A250)&gt;1,"⚠ Duplicate",""))</f>
        <v/>
      </c>
      <c r="AC250" s="42" t="n"/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32" t="n"/>
      <c r="AA251" s="32" t="n"/>
      <c r="AB251" s="36">
        <f>IF(A251="","",IF(COUNTIF($A$6:$A$504,A251)&gt;1,"⚠ Duplicate",""))</f>
        <v/>
      </c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38" t="n"/>
      <c r="AA252" s="38" t="n"/>
      <c r="AB252" s="41">
        <f>IF(A252="","",IF(COUNTIF($A$6:$A$504,A252)&gt;1,"⚠ Duplicate",""))</f>
        <v/>
      </c>
      <c r="AC252" s="42" t="n"/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32" t="n"/>
      <c r="AA253" s="32" t="n"/>
      <c r="AB253" s="36">
        <f>IF(A253="","",IF(COUNTIF($A$6:$A$504,A253)&gt;1,"⚠ Duplicate",""))</f>
        <v/>
      </c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38" t="n"/>
      <c r="AA254" s="38" t="n"/>
      <c r="AB254" s="41">
        <f>IF(A254="","",IF(COUNTIF($A$6:$A$504,A254)&gt;1,"⚠ Duplicate",""))</f>
        <v/>
      </c>
      <c r="AC254" s="42" t="n"/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32" t="n"/>
      <c r="AA255" s="32" t="n"/>
      <c r="AB255" s="36">
        <f>IF(A255="","",IF(COUNTIF($A$6:$A$504,A255)&gt;1,"⚠ Duplicate",""))</f>
        <v/>
      </c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38" t="n"/>
      <c r="AA256" s="38" t="n"/>
      <c r="AB256" s="41">
        <f>IF(A256="","",IF(COUNTIF($A$6:$A$504,A256)&gt;1,"⚠ Duplicate",""))</f>
        <v/>
      </c>
      <c r="AC256" s="42" t="n"/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32" t="n"/>
      <c r="AA257" s="32" t="n"/>
      <c r="AB257" s="36">
        <f>IF(A257="","",IF(COUNTIF($A$6:$A$504,A257)&gt;1,"⚠ Duplicate",""))</f>
        <v/>
      </c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38" t="n"/>
      <c r="AA258" s="38" t="n"/>
      <c r="AB258" s="41">
        <f>IF(A258="","",IF(COUNTIF($A$6:$A$504,A258)&gt;1,"⚠ Duplicate",""))</f>
        <v/>
      </c>
      <c r="AC258" s="42" t="n"/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32" t="n"/>
      <c r="AA259" s="32" t="n"/>
      <c r="AB259" s="36">
        <f>IF(A259="","",IF(COUNTIF($A$6:$A$504,A259)&gt;1,"⚠ Duplicate",""))</f>
        <v/>
      </c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38" t="n"/>
      <c r="AA260" s="38" t="n"/>
      <c r="AB260" s="41">
        <f>IF(A260="","",IF(COUNTIF($A$6:$A$504,A260)&gt;1,"⚠ Duplicate",""))</f>
        <v/>
      </c>
      <c r="AC260" s="42" t="n"/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32" t="n"/>
      <c r="AA261" s="32" t="n"/>
      <c r="AB261" s="36">
        <f>IF(A261="","",IF(COUNTIF($A$6:$A$504,A261)&gt;1,"⚠ Duplicate",""))</f>
        <v/>
      </c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38" t="n"/>
      <c r="AA262" s="38" t="n"/>
      <c r="AB262" s="41">
        <f>IF(A262="","",IF(COUNTIF($A$6:$A$504,A262)&gt;1,"⚠ Duplicate",""))</f>
        <v/>
      </c>
      <c r="AC262" s="42" t="n"/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32" t="n"/>
      <c r="AA263" s="32" t="n"/>
      <c r="AB263" s="36">
        <f>IF(A263="","",IF(COUNTIF($A$6:$A$504,A263)&gt;1,"⚠ Duplicate",""))</f>
        <v/>
      </c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38" t="n"/>
      <c r="AA264" s="38" t="n"/>
      <c r="AB264" s="41">
        <f>IF(A264="","",IF(COUNTIF($A$6:$A$504,A264)&gt;1,"⚠ Duplicate",""))</f>
        <v/>
      </c>
      <c r="AC264" s="42" t="n"/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32" t="n"/>
      <c r="AA265" s="32" t="n"/>
      <c r="AB265" s="36">
        <f>IF(A265="","",IF(COUNTIF($A$6:$A$504,A265)&gt;1,"⚠ Duplicate",""))</f>
        <v/>
      </c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38" t="n"/>
      <c r="AA266" s="38" t="n"/>
      <c r="AB266" s="41">
        <f>IF(A266="","",IF(COUNTIF($A$6:$A$504,A266)&gt;1,"⚠ Duplicate",""))</f>
        <v/>
      </c>
      <c r="AC266" s="42" t="n"/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32" t="n"/>
      <c r="AA267" s="32" t="n"/>
      <c r="AB267" s="36">
        <f>IF(A267="","",IF(COUNTIF($A$6:$A$504,A267)&gt;1,"⚠ Duplicate",""))</f>
        <v/>
      </c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38" t="n"/>
      <c r="AA268" s="38" t="n"/>
      <c r="AB268" s="41">
        <f>IF(A268="","",IF(COUNTIF($A$6:$A$504,A268)&gt;1,"⚠ Duplicate",""))</f>
        <v/>
      </c>
      <c r="AC268" s="42" t="n"/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32" t="n"/>
      <c r="AA269" s="32" t="n"/>
      <c r="AB269" s="36">
        <f>IF(A269="","",IF(COUNTIF($A$6:$A$504,A269)&gt;1,"⚠ Duplicate",""))</f>
        <v/>
      </c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38" t="n"/>
      <c r="AA270" s="38" t="n"/>
      <c r="AB270" s="41">
        <f>IF(A270="","",IF(COUNTIF($A$6:$A$504,A270)&gt;1,"⚠ Duplicate",""))</f>
        <v/>
      </c>
      <c r="AC270" s="42" t="n"/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32" t="n"/>
      <c r="AA271" s="32" t="n"/>
      <c r="AB271" s="36">
        <f>IF(A271="","",IF(COUNTIF($A$6:$A$504,A271)&gt;1,"⚠ Duplicate",""))</f>
        <v/>
      </c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38" t="n"/>
      <c r="AA272" s="38" t="n"/>
      <c r="AB272" s="41">
        <f>IF(A272="","",IF(COUNTIF($A$6:$A$504,A272)&gt;1,"⚠ Duplicate",""))</f>
        <v/>
      </c>
      <c r="AC272" s="42" t="n"/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32" t="n"/>
      <c r="AA273" s="32" t="n"/>
      <c r="AB273" s="36">
        <f>IF(A273="","",IF(COUNTIF($A$6:$A$504,A273)&gt;1,"⚠ Duplicate",""))</f>
        <v/>
      </c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38" t="n"/>
      <c r="AA274" s="38" t="n"/>
      <c r="AB274" s="41">
        <f>IF(A274="","",IF(COUNTIF($A$6:$A$504,A274)&gt;1,"⚠ Duplicate",""))</f>
        <v/>
      </c>
      <c r="AC274" s="42" t="n"/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32" t="n"/>
      <c r="AA275" s="32" t="n"/>
      <c r="AB275" s="36">
        <f>IF(A275="","",IF(COUNTIF($A$6:$A$504,A275)&gt;1,"⚠ Duplicate",""))</f>
        <v/>
      </c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38" t="n"/>
      <c r="AA276" s="38" t="n"/>
      <c r="AB276" s="41">
        <f>IF(A276="","",IF(COUNTIF($A$6:$A$504,A276)&gt;1,"⚠ Duplicate",""))</f>
        <v/>
      </c>
      <c r="AC276" s="42" t="n"/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32" t="n"/>
      <c r="AA277" s="32" t="n"/>
      <c r="AB277" s="36">
        <f>IF(A277="","",IF(COUNTIF($A$6:$A$504,A277)&gt;1,"⚠ Duplicate",""))</f>
        <v/>
      </c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38" t="n"/>
      <c r="AA278" s="38" t="n"/>
      <c r="AB278" s="41">
        <f>IF(A278="","",IF(COUNTIF($A$6:$A$504,A278)&gt;1,"⚠ Duplicate",""))</f>
        <v/>
      </c>
      <c r="AC278" s="42" t="n"/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32" t="n"/>
      <c r="AA279" s="32" t="n"/>
      <c r="AB279" s="36">
        <f>IF(A279="","",IF(COUNTIF($A$6:$A$504,A279)&gt;1,"⚠ Duplicate",""))</f>
        <v/>
      </c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38" t="n"/>
      <c r="AA280" s="38" t="n"/>
      <c r="AB280" s="41">
        <f>IF(A280="","",IF(COUNTIF($A$6:$A$504,A280)&gt;1,"⚠ Duplicate",""))</f>
        <v/>
      </c>
      <c r="AC280" s="42" t="n"/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32" t="n"/>
      <c r="AA281" s="32" t="n"/>
      <c r="AB281" s="36">
        <f>IF(A281="","",IF(COUNTIF($A$6:$A$504,A281)&gt;1,"⚠ Duplicate",""))</f>
        <v/>
      </c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38" t="n"/>
      <c r="AA282" s="38" t="n"/>
      <c r="AB282" s="41">
        <f>IF(A282="","",IF(COUNTIF($A$6:$A$504,A282)&gt;1,"⚠ Duplicate",""))</f>
        <v/>
      </c>
      <c r="AC282" s="42" t="n"/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32" t="n"/>
      <c r="AA283" s="32" t="n"/>
      <c r="AB283" s="36">
        <f>IF(A283="","",IF(COUNTIF($A$6:$A$504,A283)&gt;1,"⚠ Duplicate",""))</f>
        <v/>
      </c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38" t="n"/>
      <c r="AA284" s="38" t="n"/>
      <c r="AB284" s="41">
        <f>IF(A284="","",IF(COUNTIF($A$6:$A$504,A284)&gt;1,"⚠ Duplicate",""))</f>
        <v/>
      </c>
      <c r="AC284" s="42" t="n"/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32" t="n"/>
      <c r="AA285" s="32" t="n"/>
      <c r="AB285" s="36">
        <f>IF(A285="","",IF(COUNTIF($A$6:$A$504,A285)&gt;1,"⚠ Duplicate",""))</f>
        <v/>
      </c>
      <c r="AC285" s="43" t="n"/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38" t="n"/>
      <c r="AA286" s="38" t="n"/>
      <c r="AB286" s="41">
        <f>IF(A286="","",IF(COUNTIF($A$6:$A$504,A286)&gt;1,"⚠ Duplicate",""))</f>
        <v/>
      </c>
      <c r="AC286" s="42" t="n"/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32" t="n"/>
      <c r="AA287" s="32" t="n"/>
      <c r="AB287" s="36">
        <f>IF(A287="","",IF(COUNTIF($A$6:$A$504,A287)&gt;1,"⚠ Duplicate",""))</f>
        <v/>
      </c>
      <c r="AC287" s="43" t="n"/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38" t="n"/>
      <c r="AA288" s="38" t="n"/>
      <c r="AB288" s="41">
        <f>IF(A288="","",IF(COUNTIF($A$6:$A$504,A288)&gt;1,"⚠ Duplicate",""))</f>
        <v/>
      </c>
      <c r="AC288" s="42" t="n"/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32" t="n"/>
      <c r="AA289" s="32" t="n"/>
      <c r="AB289" s="36">
        <f>IF(A289="","",IF(COUNTIF($A$6:$A$504,A289)&gt;1,"⚠ Duplicate",""))</f>
        <v/>
      </c>
      <c r="AC289" s="43" t="n"/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38" t="n"/>
      <c r="AA290" s="38" t="n"/>
      <c r="AB290" s="41">
        <f>IF(A290="","",IF(COUNTIF($A$6:$A$504,A290)&gt;1,"⚠ Duplicate",""))</f>
        <v/>
      </c>
      <c r="AC290" s="42" t="n"/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32" t="n"/>
      <c r="AA291" s="32" t="n"/>
      <c r="AB291" s="36">
        <f>IF(A291="","",IF(COUNTIF($A$6:$A$504,A291)&gt;1,"⚠ Duplicate",""))</f>
        <v/>
      </c>
      <c r="AC291" s="43" t="n"/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38" t="n"/>
      <c r="AA292" s="38" t="n"/>
      <c r="AB292" s="41">
        <f>IF(A292="","",IF(COUNTIF($A$6:$A$504,A292)&gt;1,"⚠ Duplicate",""))</f>
        <v/>
      </c>
      <c r="AC292" s="42" t="n"/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32" t="n"/>
      <c r="AA293" s="32" t="n"/>
      <c r="AB293" s="36">
        <f>IF(A293="","",IF(COUNTIF($A$6:$A$504,A293)&gt;1,"⚠ Duplicate",""))</f>
        <v/>
      </c>
      <c r="AC293" s="43" t="n"/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38" t="n"/>
      <c r="AA294" s="38" t="n"/>
      <c r="AB294" s="41">
        <f>IF(A294="","",IF(COUNTIF($A$6:$A$504,A294)&gt;1,"⚠ Duplicate",""))</f>
        <v/>
      </c>
      <c r="AC294" s="42" t="n"/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32" t="n"/>
      <c r="AA295" s="32" t="n"/>
      <c r="AB295" s="36">
        <f>IF(A295="","",IF(COUNTIF($A$6:$A$504,A295)&gt;1,"⚠ Duplicate",""))</f>
        <v/>
      </c>
      <c r="AC295" s="43" t="n"/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38" t="n"/>
      <c r="AA296" s="38" t="n"/>
      <c r="AB296" s="41">
        <f>IF(A296="","",IF(COUNTIF($A$6:$A$504,A296)&gt;1,"⚠ Duplicate",""))</f>
        <v/>
      </c>
      <c r="AC296" s="42" t="n"/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32" t="n"/>
      <c r="AA297" s="32" t="n"/>
      <c r="AB297" s="36">
        <f>IF(A297="","",IF(COUNTIF($A$6:$A$504,A297)&gt;1,"⚠ Duplicate",""))</f>
        <v/>
      </c>
      <c r="AC297" s="43" t="n"/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38" t="n"/>
      <c r="AA298" s="38" t="n"/>
      <c r="AB298" s="41">
        <f>IF(A298="","",IF(COUNTIF($A$6:$A$504,A298)&gt;1,"⚠ Duplicate",""))</f>
        <v/>
      </c>
      <c r="AC298" s="42" t="n"/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32" t="n"/>
      <c r="AA299" s="32" t="n"/>
      <c r="AB299" s="36">
        <f>IF(A299="","",IF(COUNTIF($A$6:$A$504,A299)&gt;1,"⚠ Duplicate",""))</f>
        <v/>
      </c>
      <c r="AC299" s="43" t="n"/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38" t="n"/>
      <c r="AA300" s="38" t="n"/>
      <c r="AB300" s="41">
        <f>IF(A300="","",IF(COUNTIF($A$6:$A$504,A300)&gt;1,"⚠ Duplicate",""))</f>
        <v/>
      </c>
      <c r="AC300" s="42" t="n"/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32" t="n"/>
      <c r="AA301" s="32" t="n"/>
      <c r="AB301" s="36">
        <f>IF(A301="","",IF(COUNTIF($A$6:$A$504,A301)&gt;1,"⚠ Duplicate",""))</f>
        <v/>
      </c>
      <c r="AC301" s="43" t="n"/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38" t="n"/>
      <c r="AA302" s="38" t="n"/>
      <c r="AB302" s="41">
        <f>IF(A302="","",IF(COUNTIF($A$6:$A$504,A302)&gt;1,"⚠ Duplicate",""))</f>
        <v/>
      </c>
      <c r="AC302" s="42" t="n"/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32" t="n"/>
      <c r="AA303" s="32" t="n"/>
      <c r="AB303" s="36">
        <f>IF(A303="","",IF(COUNTIF($A$6:$A$504,A303)&gt;1,"⚠ Duplicate",""))</f>
        <v/>
      </c>
      <c r="AC303" s="43" t="n"/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38" t="n"/>
      <c r="AA304" s="38" t="n"/>
      <c r="AB304" s="41">
        <f>IF(A304="","",IF(COUNTIF($A$6:$A$504,A304)&gt;1,"⚠ Duplicate",""))</f>
        <v/>
      </c>
      <c r="AC304" s="42" t="n"/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32" t="n"/>
      <c r="AA305" s="32" t="n"/>
      <c r="AB305" s="36">
        <f>IF(A305="","",IF(COUNTIF($A$6:$A$504,A305)&gt;1,"⚠ Duplicate",""))</f>
        <v/>
      </c>
      <c r="AC305" s="43" t="n"/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38" t="n"/>
      <c r="AA306" s="38" t="n"/>
      <c r="AB306" s="41">
        <f>IF(A306="","",IF(COUNTIF($A$6:$A$504,A306)&gt;1,"⚠ Duplicate",""))</f>
        <v/>
      </c>
      <c r="AC306" s="42" t="n"/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32" t="n"/>
      <c r="AA307" s="32" t="n"/>
      <c r="AB307" s="36">
        <f>IF(A307="","",IF(COUNTIF($A$6:$A$504,A307)&gt;1,"⚠ Duplicate",""))</f>
        <v/>
      </c>
      <c r="AC307" s="43" t="n"/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38" t="n"/>
      <c r="AA308" s="38" t="n"/>
      <c r="AB308" s="41">
        <f>IF(A308="","",IF(COUNTIF($A$6:$A$504,A308)&gt;1,"⚠ Duplicate",""))</f>
        <v/>
      </c>
      <c r="AC308" s="42" t="n"/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32" t="n"/>
      <c r="AA309" s="32" t="n"/>
      <c r="AB309" s="36">
        <f>IF(A309="","",IF(COUNTIF($A$6:$A$504,A309)&gt;1,"⚠ Duplicate",""))</f>
        <v/>
      </c>
      <c r="AC309" s="43" t="n"/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38" t="n"/>
      <c r="AA310" s="38" t="n"/>
      <c r="AB310" s="41">
        <f>IF(A310="","",IF(COUNTIF($A$6:$A$504,A310)&gt;1,"⚠ Duplicate",""))</f>
        <v/>
      </c>
      <c r="AC310" s="42" t="n"/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32" t="n"/>
      <c r="AA311" s="32" t="n"/>
      <c r="AB311" s="36">
        <f>IF(A311="","",IF(COUNTIF($A$6:$A$504,A311)&gt;1,"⚠ Duplicate",""))</f>
        <v/>
      </c>
      <c r="AC311" s="43" t="n"/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38" t="n"/>
      <c r="AA312" s="38" t="n"/>
      <c r="AB312" s="41">
        <f>IF(A312="","",IF(COUNTIF($A$6:$A$504,A312)&gt;1,"⚠ Duplicate",""))</f>
        <v/>
      </c>
      <c r="AC312" s="42" t="n"/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32" t="n"/>
      <c r="AA313" s="32" t="n"/>
      <c r="AB313" s="36">
        <f>IF(A313="","",IF(COUNTIF($A$6:$A$504,A313)&gt;1,"⚠ Duplicate",""))</f>
        <v/>
      </c>
      <c r="AC313" s="43" t="n"/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38" t="n"/>
      <c r="AA314" s="38" t="n"/>
      <c r="AB314" s="41">
        <f>IF(A314="","",IF(COUNTIF($A$6:$A$504,A314)&gt;1,"⚠ Duplicate",""))</f>
        <v/>
      </c>
      <c r="AC314" s="42" t="n"/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32" t="n"/>
      <c r="AA315" s="32" t="n"/>
      <c r="AB315" s="36">
        <f>IF(A315="","",IF(COUNTIF($A$6:$A$504,A315)&gt;1,"⚠ Duplicate",""))</f>
        <v/>
      </c>
      <c r="AC315" s="43" t="n"/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38" t="n"/>
      <c r="AA316" s="38" t="n"/>
      <c r="AB316" s="41">
        <f>IF(A316="","",IF(COUNTIF($A$6:$A$504,A316)&gt;1,"⚠ Duplicate",""))</f>
        <v/>
      </c>
      <c r="AC316" s="42" t="n"/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32" t="n"/>
      <c r="AA317" s="32" t="n"/>
      <c r="AB317" s="36">
        <f>IF(A317="","",IF(COUNTIF($A$6:$A$504,A317)&gt;1,"⚠ Duplicate",""))</f>
        <v/>
      </c>
      <c r="AC317" s="43" t="n"/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38" t="n"/>
      <c r="AA318" s="38" t="n"/>
      <c r="AB318" s="41">
        <f>IF(A318="","",IF(COUNTIF($A$6:$A$504,A318)&gt;1,"⚠ Duplicate",""))</f>
        <v/>
      </c>
      <c r="AC318" s="42" t="n"/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32" t="n"/>
      <c r="AA319" s="32" t="n"/>
      <c r="AB319" s="36">
        <f>IF(A319="","",IF(COUNTIF($A$6:$A$504,A319)&gt;1,"⚠ Duplicate",""))</f>
        <v/>
      </c>
      <c r="AC319" s="43" t="n"/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38" t="n"/>
      <c r="AA320" s="38" t="n"/>
      <c r="AB320" s="41">
        <f>IF(A320="","",IF(COUNTIF($A$6:$A$504,A320)&gt;1,"⚠ Duplicate",""))</f>
        <v/>
      </c>
      <c r="AC320" s="42" t="n"/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32" t="n"/>
      <c r="AA321" s="32" t="n"/>
      <c r="AB321" s="36">
        <f>IF(A321="","",IF(COUNTIF($A$6:$A$504,A321)&gt;1,"⚠ Duplicate",""))</f>
        <v/>
      </c>
      <c r="AC321" s="43" t="n"/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38" t="n"/>
      <c r="AA322" s="38" t="n"/>
      <c r="AB322" s="41">
        <f>IF(A322="","",IF(COUNTIF($A$6:$A$504,A322)&gt;1,"⚠ Duplicate",""))</f>
        <v/>
      </c>
      <c r="AC322" s="42" t="n"/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32" t="n"/>
      <c r="AA323" s="32" t="n"/>
      <c r="AB323" s="36">
        <f>IF(A323="","",IF(COUNTIF($A$6:$A$504,A323)&gt;1,"⚠ Duplicate",""))</f>
        <v/>
      </c>
      <c r="AC323" s="43" t="n"/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38" t="n"/>
      <c r="AA324" s="38" t="n"/>
      <c r="AB324" s="41">
        <f>IF(A324="","",IF(COUNTIF($A$6:$A$504,A324)&gt;1,"⚠ Duplicate",""))</f>
        <v/>
      </c>
      <c r="AC324" s="42" t="n"/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32" t="n"/>
      <c r="AA325" s="32" t="n"/>
      <c r="AB325" s="36">
        <f>IF(A325="","",IF(COUNTIF($A$6:$A$504,A325)&gt;1,"⚠ Duplicate",""))</f>
        <v/>
      </c>
      <c r="AC325" s="43" t="n"/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38" t="n"/>
      <c r="AA326" s="38" t="n"/>
      <c r="AB326" s="41">
        <f>IF(A326="","",IF(COUNTIF($A$6:$A$504,A326)&gt;1,"⚠ Duplicate",""))</f>
        <v/>
      </c>
      <c r="AC326" s="42" t="n"/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32" t="n"/>
      <c r="AA327" s="32" t="n"/>
      <c r="AB327" s="36">
        <f>IF(A327="","",IF(COUNTIF($A$6:$A$504,A327)&gt;1,"⚠ Duplicate",""))</f>
        <v/>
      </c>
      <c r="AC327" s="43" t="n"/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38" t="n"/>
      <c r="AA328" s="38" t="n"/>
      <c r="AB328" s="41">
        <f>IF(A328="","",IF(COUNTIF($A$6:$A$504,A328)&gt;1,"⚠ Duplicate",""))</f>
        <v/>
      </c>
      <c r="AC328" s="42" t="n"/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32" t="n"/>
      <c r="AA329" s="32" t="n"/>
      <c r="AB329" s="36">
        <f>IF(A329="","",IF(COUNTIF($A$6:$A$504,A329)&gt;1,"⚠ Duplicate",""))</f>
        <v/>
      </c>
      <c r="AC329" s="43" t="n"/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38" t="n"/>
      <c r="AA330" s="38" t="n"/>
      <c r="AB330" s="41">
        <f>IF(A330="","",IF(COUNTIF($A$6:$A$504,A330)&gt;1,"⚠ Duplicate",""))</f>
        <v/>
      </c>
      <c r="AC330" s="42" t="n"/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32" t="n"/>
      <c r="AA331" s="32" t="n"/>
      <c r="AB331" s="36">
        <f>IF(A331="","",IF(COUNTIF($A$6:$A$504,A331)&gt;1,"⚠ Duplicate",""))</f>
        <v/>
      </c>
      <c r="AC331" s="43" t="n"/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38" t="n"/>
      <c r="AA332" s="38" t="n"/>
      <c r="AB332" s="41">
        <f>IF(A332="","",IF(COUNTIF($A$6:$A$504,A332)&gt;1,"⚠ Duplicate",""))</f>
        <v/>
      </c>
      <c r="AC332" s="42" t="n"/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32" t="n"/>
      <c r="AA333" s="32" t="n"/>
      <c r="AB333" s="36">
        <f>IF(A333="","",IF(COUNTIF($A$6:$A$504,A333)&gt;1,"⚠ Duplicate",""))</f>
        <v/>
      </c>
      <c r="AC333" s="43" t="n"/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38" t="n"/>
      <c r="AA334" s="38" t="n"/>
      <c r="AB334" s="41">
        <f>IF(A334="","",IF(COUNTIF($A$6:$A$504,A334)&gt;1,"⚠ Duplicate",""))</f>
        <v/>
      </c>
      <c r="AC334" s="42" t="n"/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32" t="n"/>
      <c r="AA335" s="32" t="n"/>
      <c r="AB335" s="36">
        <f>IF(A335="","",IF(COUNTIF($A$6:$A$504,A335)&gt;1,"⚠ Duplicate",""))</f>
        <v/>
      </c>
      <c r="AC335" s="43" t="n"/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38" t="n"/>
      <c r="AA336" s="38" t="n"/>
      <c r="AB336" s="41">
        <f>IF(A336="","",IF(COUNTIF($A$6:$A$504,A336)&gt;1,"⚠ Duplicate",""))</f>
        <v/>
      </c>
      <c r="AC336" s="42" t="n"/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32" t="n"/>
      <c r="AA337" s="32" t="n"/>
      <c r="AB337" s="36">
        <f>IF(A337="","",IF(COUNTIF($A$6:$A$504,A337)&gt;1,"⚠ Duplicate",""))</f>
        <v/>
      </c>
      <c r="AC337" s="43" t="n"/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38" t="n"/>
      <c r="AA338" s="38" t="n"/>
      <c r="AB338" s="41">
        <f>IF(A338="","",IF(COUNTIF($A$6:$A$504,A338)&gt;1,"⚠ Duplicate",""))</f>
        <v/>
      </c>
      <c r="AC338" s="42" t="n"/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32" t="n"/>
      <c r="AA339" s="32" t="n"/>
      <c r="AB339" s="36">
        <f>IF(A339="","",IF(COUNTIF($A$6:$A$504,A339)&gt;1,"⚠ Duplicate",""))</f>
        <v/>
      </c>
      <c r="AC339" s="43" t="n"/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38" t="n"/>
      <c r="AA340" s="38" t="n"/>
      <c r="AB340" s="41">
        <f>IF(A340="","",IF(COUNTIF($A$6:$A$504,A340)&gt;1,"⚠ Duplicate",""))</f>
        <v/>
      </c>
      <c r="AC340" s="42" t="n"/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32" t="n"/>
      <c r="AA341" s="32" t="n"/>
      <c r="AB341" s="36">
        <f>IF(A341="","",IF(COUNTIF($A$6:$A$504,A341)&gt;1,"⚠ Duplicate",""))</f>
        <v/>
      </c>
      <c r="AC341" s="43" t="n"/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38" t="n"/>
      <c r="AA342" s="38" t="n"/>
      <c r="AB342" s="41">
        <f>IF(A342="","",IF(COUNTIF($A$6:$A$504,A342)&gt;1,"⚠ Duplicate",""))</f>
        <v/>
      </c>
      <c r="AC342" s="42" t="n"/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32" t="n"/>
      <c r="AA343" s="32" t="n"/>
      <c r="AB343" s="36">
        <f>IF(A343="","",IF(COUNTIF($A$6:$A$504,A343)&gt;1,"⚠ Duplicate",""))</f>
        <v/>
      </c>
      <c r="AC343" s="43" t="n"/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38" t="n"/>
      <c r="AA344" s="38" t="n"/>
      <c r="AB344" s="41">
        <f>IF(A344="","",IF(COUNTIF($A$6:$A$504,A344)&gt;1,"⚠ Duplicate",""))</f>
        <v/>
      </c>
      <c r="AC344" s="42" t="n"/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32" t="n"/>
      <c r="AA345" s="32" t="n"/>
      <c r="AB345" s="36">
        <f>IF(A345="","",IF(COUNTIF($A$6:$A$504,A345)&gt;1,"⚠ Duplicate",""))</f>
        <v/>
      </c>
      <c r="AC345" s="43" t="n"/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38" t="n"/>
      <c r="AA346" s="38" t="n"/>
      <c r="AB346" s="41">
        <f>IF(A346="","",IF(COUNTIF($A$6:$A$504,A346)&gt;1,"⚠ Duplicate",""))</f>
        <v/>
      </c>
      <c r="AC346" s="42" t="n"/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32" t="n"/>
      <c r="AA347" s="32" t="n"/>
      <c r="AB347" s="36">
        <f>IF(A347="","",IF(COUNTIF($A$6:$A$504,A347)&gt;1,"⚠ Duplicate",""))</f>
        <v/>
      </c>
      <c r="AC347" s="43" t="n"/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38" t="n"/>
      <c r="AA348" s="38" t="n"/>
      <c r="AB348" s="41">
        <f>IF(A348="","",IF(COUNTIF($A$6:$A$504,A348)&gt;1,"⚠ Duplicate",""))</f>
        <v/>
      </c>
      <c r="AC348" s="42" t="n"/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32" t="n"/>
      <c r="AA349" s="32" t="n"/>
      <c r="AB349" s="36">
        <f>IF(A349="","",IF(COUNTIF($A$6:$A$504,A349)&gt;1,"⚠ Duplicate",""))</f>
        <v/>
      </c>
      <c r="AC349" s="43" t="n"/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38" t="n"/>
      <c r="AA350" s="38" t="n"/>
      <c r="AB350" s="41">
        <f>IF(A350="","",IF(COUNTIF($A$6:$A$504,A350)&gt;1,"⚠ Duplicate",""))</f>
        <v/>
      </c>
      <c r="AC350" s="42" t="n"/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32" t="n"/>
      <c r="AA351" s="32" t="n"/>
      <c r="AB351" s="36">
        <f>IF(A351="","",IF(COUNTIF($A$6:$A$504,A351)&gt;1,"⚠ Duplicate",""))</f>
        <v/>
      </c>
      <c r="AC351" s="43" t="n"/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38" t="n"/>
      <c r="AA352" s="38" t="n"/>
      <c r="AB352" s="41">
        <f>IF(A352="","",IF(COUNTIF($A$6:$A$504,A352)&gt;1,"⚠ Duplicate",""))</f>
        <v/>
      </c>
      <c r="AC352" s="42" t="n"/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32" t="n"/>
      <c r="AA353" s="32" t="n"/>
      <c r="AB353" s="36">
        <f>IF(A353="","",IF(COUNTIF($A$6:$A$504,A353)&gt;1,"⚠ Duplicate",""))</f>
        <v/>
      </c>
      <c r="AC353" s="43" t="n"/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38" t="n"/>
      <c r="AA354" s="38" t="n"/>
      <c r="AB354" s="41">
        <f>IF(A354="","",IF(COUNTIF($A$6:$A$504,A354)&gt;1,"⚠ Duplicate",""))</f>
        <v/>
      </c>
      <c r="AC354" s="42" t="n"/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32" t="n"/>
      <c r="AA355" s="32" t="n"/>
      <c r="AB355" s="36">
        <f>IF(A355="","",IF(COUNTIF($A$6:$A$504,A355)&gt;1,"⚠ Duplicate",""))</f>
        <v/>
      </c>
      <c r="AC355" s="43" t="n"/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38" t="n"/>
      <c r="AA356" s="38" t="n"/>
      <c r="AB356" s="41">
        <f>IF(A356="","",IF(COUNTIF($A$6:$A$504,A356)&gt;1,"⚠ Duplicate",""))</f>
        <v/>
      </c>
      <c r="AC356" s="42" t="n"/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32" t="n"/>
      <c r="AA357" s="32" t="n"/>
      <c r="AB357" s="36">
        <f>IF(A357="","",IF(COUNTIF($A$6:$A$504,A357)&gt;1,"⚠ Duplicate",""))</f>
        <v/>
      </c>
      <c r="AC357" s="43" t="n"/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38" t="n"/>
      <c r="AA358" s="38" t="n"/>
      <c r="AB358" s="41">
        <f>IF(A358="","",IF(COUNTIF($A$6:$A$504,A358)&gt;1,"⚠ Duplicate",""))</f>
        <v/>
      </c>
      <c r="AC358" s="42" t="n"/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32" t="n"/>
      <c r="AA359" s="32" t="n"/>
      <c r="AB359" s="36">
        <f>IF(A359="","",IF(COUNTIF($A$6:$A$504,A359)&gt;1,"⚠ Duplicate",""))</f>
        <v/>
      </c>
      <c r="AC359" s="43" t="n"/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38" t="n"/>
      <c r="AA360" s="38" t="n"/>
      <c r="AB360" s="41">
        <f>IF(A360="","",IF(COUNTIF($A$6:$A$504,A360)&gt;1,"⚠ Duplicate",""))</f>
        <v/>
      </c>
      <c r="AC360" s="42" t="n"/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32" t="n"/>
      <c r="AA361" s="32" t="n"/>
      <c r="AB361" s="36">
        <f>IF(A361="","",IF(COUNTIF($A$6:$A$504,A361)&gt;1,"⚠ Duplicate",""))</f>
        <v/>
      </c>
      <c r="AC361" s="43" t="n"/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38" t="n"/>
      <c r="AA362" s="38" t="n"/>
      <c r="AB362" s="41">
        <f>IF(A362="","",IF(COUNTIF($A$6:$A$504,A362)&gt;1,"⚠ Duplicate",""))</f>
        <v/>
      </c>
      <c r="AC362" s="42" t="n"/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32" t="n"/>
      <c r="AA363" s="32" t="n"/>
      <c r="AB363" s="36">
        <f>IF(A363="","",IF(COUNTIF($A$6:$A$504,A363)&gt;1,"⚠ Duplicate",""))</f>
        <v/>
      </c>
      <c r="AC363" s="43" t="n"/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38" t="n"/>
      <c r="AA364" s="38" t="n"/>
      <c r="AB364" s="41">
        <f>IF(A364="","",IF(COUNTIF($A$6:$A$504,A364)&gt;1,"⚠ Duplicate",""))</f>
        <v/>
      </c>
      <c r="AC364" s="42" t="n"/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32" t="n"/>
      <c r="AA365" s="32" t="n"/>
      <c r="AB365" s="36">
        <f>IF(A365="","",IF(COUNTIF($A$6:$A$504,A365)&gt;1,"⚠ Duplicate",""))</f>
        <v/>
      </c>
      <c r="AC365" s="43" t="n"/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38" t="n"/>
      <c r="AA366" s="38" t="n"/>
      <c r="AB366" s="41">
        <f>IF(A366="","",IF(COUNTIF($A$6:$A$504,A366)&gt;1,"⚠ Duplicate",""))</f>
        <v/>
      </c>
      <c r="AC366" s="42" t="n"/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32" t="n"/>
      <c r="AA367" s="32" t="n"/>
      <c r="AB367" s="36">
        <f>IF(A367="","",IF(COUNTIF($A$6:$A$504,A367)&gt;1,"⚠ Duplicate",""))</f>
        <v/>
      </c>
      <c r="AC367" s="43" t="n"/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38" t="n"/>
      <c r="AA368" s="38" t="n"/>
      <c r="AB368" s="41">
        <f>IF(A368="","",IF(COUNTIF($A$6:$A$504,A368)&gt;1,"⚠ Duplicate",""))</f>
        <v/>
      </c>
      <c r="AC368" s="42" t="n"/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32" t="n"/>
      <c r="AA369" s="32" t="n"/>
      <c r="AB369" s="36">
        <f>IF(A369="","",IF(COUNTIF($A$6:$A$504,A369)&gt;1,"⚠ Duplicate",""))</f>
        <v/>
      </c>
      <c r="AC369" s="43" t="n"/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38" t="n"/>
      <c r="AA370" s="38" t="n"/>
      <c r="AB370" s="41">
        <f>IF(A370="","",IF(COUNTIF($A$6:$A$504,A370)&gt;1,"⚠ Duplicate",""))</f>
        <v/>
      </c>
      <c r="AC370" s="42" t="n"/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32" t="n"/>
      <c r="AA371" s="32" t="n"/>
      <c r="AB371" s="36">
        <f>IF(A371="","",IF(COUNTIF($A$6:$A$504,A371)&gt;1,"⚠ Duplicate",""))</f>
        <v/>
      </c>
      <c r="AC371" s="43" t="n"/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38" t="n"/>
      <c r="AA372" s="38" t="n"/>
      <c r="AB372" s="41">
        <f>IF(A372="","",IF(COUNTIF($A$6:$A$504,A372)&gt;1,"⚠ Duplicate",""))</f>
        <v/>
      </c>
      <c r="AC372" s="42" t="n"/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32" t="n"/>
      <c r="AA373" s="32" t="n"/>
      <c r="AB373" s="36">
        <f>IF(A373="","",IF(COUNTIF($A$6:$A$504,A373)&gt;1,"⚠ Duplicate",""))</f>
        <v/>
      </c>
      <c r="AC373" s="43" t="n"/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38" t="n"/>
      <c r="AA374" s="38" t="n"/>
      <c r="AB374" s="41">
        <f>IF(A374="","",IF(COUNTIF($A$6:$A$504,A374)&gt;1,"⚠ Duplicate",""))</f>
        <v/>
      </c>
      <c r="AC374" s="42" t="n"/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32" t="n"/>
      <c r="AA375" s="32" t="n"/>
      <c r="AB375" s="36">
        <f>IF(A375="","",IF(COUNTIF($A$6:$A$504,A375)&gt;1,"⚠ Duplicate",""))</f>
        <v/>
      </c>
      <c r="AC375" s="43" t="n"/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38" t="n"/>
      <c r="AA376" s="38" t="n"/>
      <c r="AB376" s="41">
        <f>IF(A376="","",IF(COUNTIF($A$6:$A$504,A376)&gt;1,"⚠ Duplicate",""))</f>
        <v/>
      </c>
      <c r="AC376" s="42" t="n"/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32" t="n"/>
      <c r="AA377" s="32" t="n"/>
      <c r="AB377" s="36">
        <f>IF(A377="","",IF(COUNTIF($A$6:$A$504,A377)&gt;1,"⚠ Duplicate",""))</f>
        <v/>
      </c>
      <c r="AC377" s="43" t="n"/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38" t="n"/>
      <c r="AA378" s="38" t="n"/>
      <c r="AB378" s="41">
        <f>IF(A378="","",IF(COUNTIF($A$6:$A$504,A378)&gt;1,"⚠ Duplicate",""))</f>
        <v/>
      </c>
      <c r="AC378" s="42" t="n"/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32" t="n"/>
      <c r="AA379" s="32" t="n"/>
      <c r="AB379" s="36">
        <f>IF(A379="","",IF(COUNTIF($A$6:$A$504,A379)&gt;1,"⚠ Duplicate",""))</f>
        <v/>
      </c>
      <c r="AC379" s="43" t="n"/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38" t="n"/>
      <c r="AA380" s="38" t="n"/>
      <c r="AB380" s="41">
        <f>IF(A380="","",IF(COUNTIF($A$6:$A$504,A380)&gt;1,"⚠ Duplicate",""))</f>
        <v/>
      </c>
      <c r="AC380" s="42" t="n"/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32" t="n"/>
      <c r="AA381" s="32" t="n"/>
      <c r="AB381" s="36">
        <f>IF(A381="","",IF(COUNTIF($A$6:$A$504,A381)&gt;1,"⚠ Duplicate",""))</f>
        <v/>
      </c>
      <c r="AC381" s="43" t="n"/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38" t="n"/>
      <c r="AA382" s="38" t="n"/>
      <c r="AB382" s="41">
        <f>IF(A382="","",IF(COUNTIF($A$6:$A$504,A382)&gt;1,"⚠ Duplicate",""))</f>
        <v/>
      </c>
      <c r="AC382" s="42" t="n"/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32" t="n"/>
      <c r="AA383" s="32" t="n"/>
      <c r="AB383" s="36">
        <f>IF(A383="","",IF(COUNTIF($A$6:$A$504,A383)&gt;1,"⚠ Duplicate",""))</f>
        <v/>
      </c>
      <c r="AC383" s="43" t="n"/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38" t="n"/>
      <c r="AA384" s="38" t="n"/>
      <c r="AB384" s="41">
        <f>IF(A384="","",IF(COUNTIF($A$6:$A$504,A384)&gt;1,"⚠ Duplicate",""))</f>
        <v/>
      </c>
      <c r="AC384" s="42" t="n"/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32" t="n"/>
      <c r="AA385" s="32" t="n"/>
      <c r="AB385" s="36">
        <f>IF(A385="","",IF(COUNTIF($A$6:$A$504,A385)&gt;1,"⚠ Duplicate",""))</f>
        <v/>
      </c>
      <c r="AC385" s="43" t="n"/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38" t="n"/>
      <c r="AA386" s="38" t="n"/>
      <c r="AB386" s="41">
        <f>IF(A386="","",IF(COUNTIF($A$6:$A$504,A386)&gt;1,"⚠ Duplicate",""))</f>
        <v/>
      </c>
      <c r="AC386" s="42" t="n"/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32" t="n"/>
      <c r="AA387" s="32" t="n"/>
      <c r="AB387" s="36">
        <f>IF(A387="","",IF(COUNTIF($A$6:$A$504,A387)&gt;1,"⚠ Duplicate",""))</f>
        <v/>
      </c>
      <c r="AC387" s="43" t="n"/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38" t="n"/>
      <c r="AA388" s="38" t="n"/>
      <c r="AB388" s="41">
        <f>IF(A388="","",IF(COUNTIF($A$6:$A$504,A388)&gt;1,"⚠ Duplicate",""))</f>
        <v/>
      </c>
      <c r="AC388" s="42" t="n"/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32" t="n"/>
      <c r="AA389" s="32" t="n"/>
      <c r="AB389" s="36">
        <f>IF(A389="","",IF(COUNTIF($A$6:$A$504,A389)&gt;1,"⚠ Duplicate",""))</f>
        <v/>
      </c>
      <c r="AC389" s="43" t="n"/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38" t="n"/>
      <c r="AA390" s="38" t="n"/>
      <c r="AB390" s="41">
        <f>IF(A390="","",IF(COUNTIF($A$6:$A$504,A390)&gt;1,"⚠ Duplicate",""))</f>
        <v/>
      </c>
      <c r="AC390" s="42" t="n"/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32" t="n"/>
      <c r="AA391" s="32" t="n"/>
      <c r="AB391" s="36">
        <f>IF(A391="","",IF(COUNTIF($A$6:$A$504,A391)&gt;1,"⚠ Duplicate",""))</f>
        <v/>
      </c>
      <c r="AC391" s="43" t="n"/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38" t="n"/>
      <c r="AA392" s="38" t="n"/>
      <c r="AB392" s="41">
        <f>IF(A392="","",IF(COUNTIF($A$6:$A$504,A392)&gt;1,"⚠ Duplicate",""))</f>
        <v/>
      </c>
      <c r="AC392" s="42" t="n"/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32" t="n"/>
      <c r="AA393" s="32" t="n"/>
      <c r="AB393" s="36">
        <f>IF(A393="","",IF(COUNTIF($A$6:$A$504,A393)&gt;1,"⚠ Duplicate",""))</f>
        <v/>
      </c>
      <c r="AC393" s="43" t="n"/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38" t="n"/>
      <c r="AA394" s="38" t="n"/>
      <c r="AB394" s="41">
        <f>IF(A394="","",IF(COUNTIF($A$6:$A$504,A394)&gt;1,"⚠ Duplicate",""))</f>
        <v/>
      </c>
      <c r="AC394" s="42" t="n"/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32" t="n"/>
      <c r="AA395" s="32" t="n"/>
      <c r="AB395" s="36">
        <f>IF(A395="","",IF(COUNTIF($A$6:$A$504,A395)&gt;1,"⚠ Duplicate",""))</f>
        <v/>
      </c>
      <c r="AC395" s="43" t="n"/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38" t="n"/>
      <c r="AA396" s="38" t="n"/>
      <c r="AB396" s="41">
        <f>IF(A396="","",IF(COUNTIF($A$6:$A$504,A396)&gt;1,"⚠ Duplicate",""))</f>
        <v/>
      </c>
      <c r="AC396" s="42" t="n"/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32" t="n"/>
      <c r="AA397" s="32" t="n"/>
      <c r="AB397" s="36">
        <f>IF(A397="","",IF(COUNTIF($A$6:$A$504,A397)&gt;1,"⚠ Duplicate",""))</f>
        <v/>
      </c>
      <c r="AC397" s="43" t="n"/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38" t="n"/>
      <c r="AA398" s="38" t="n"/>
      <c r="AB398" s="41">
        <f>IF(A398="","",IF(COUNTIF($A$6:$A$504,A398)&gt;1,"⚠ Duplicate",""))</f>
        <v/>
      </c>
      <c r="AC398" s="42" t="n"/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32" t="n"/>
      <c r="AA399" s="32" t="n"/>
      <c r="AB399" s="36">
        <f>IF(A399="","",IF(COUNTIF($A$6:$A$504,A399)&gt;1,"⚠ Duplicate",""))</f>
        <v/>
      </c>
      <c r="AC399" s="43" t="n"/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38" t="n"/>
      <c r="AA400" s="38" t="n"/>
      <c r="AB400" s="41">
        <f>IF(A400="","",IF(COUNTIF($A$6:$A$504,A400)&gt;1,"⚠ Duplicate",""))</f>
        <v/>
      </c>
      <c r="AC400" s="42" t="n"/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32" t="n"/>
      <c r="AA401" s="32" t="n"/>
      <c r="AB401" s="36">
        <f>IF(A401="","",IF(COUNTIF($A$6:$A$504,A401)&gt;1,"⚠ Duplicate",""))</f>
        <v/>
      </c>
      <c r="AC401" s="43" t="n"/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38" t="n"/>
      <c r="AA402" s="38" t="n"/>
      <c r="AB402" s="41">
        <f>IF(A402="","",IF(COUNTIF($A$6:$A$504,A402)&gt;1,"⚠ Duplicate",""))</f>
        <v/>
      </c>
      <c r="AC402" s="42" t="n"/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32" t="n"/>
      <c r="AA403" s="32" t="n"/>
      <c r="AB403" s="36">
        <f>IF(A403="","",IF(COUNTIF($A$6:$A$504,A403)&gt;1,"⚠ Duplicate",""))</f>
        <v/>
      </c>
      <c r="AC403" s="43" t="n"/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38" t="n"/>
      <c r="AA404" s="38" t="n"/>
      <c r="AB404" s="41">
        <f>IF(A404="","",IF(COUNTIF($A$6:$A$504,A404)&gt;1,"⚠ Duplicate",""))</f>
        <v/>
      </c>
      <c r="AC404" s="42" t="n"/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32" t="n"/>
      <c r="AA405" s="32" t="n"/>
      <c r="AB405" s="36">
        <f>IF(A405="","",IF(COUNTIF($A$6:$A$504,A405)&gt;1,"⚠ Duplicate",""))</f>
        <v/>
      </c>
      <c r="AC405" s="43" t="n"/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38" t="n"/>
      <c r="AA406" s="38" t="n"/>
      <c r="AB406" s="41">
        <f>IF(A406="","",IF(COUNTIF($A$6:$A$504,A406)&gt;1,"⚠ Duplicate",""))</f>
        <v/>
      </c>
      <c r="AC406" s="42" t="n"/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32" t="n"/>
      <c r="AA407" s="32" t="n"/>
      <c r="AB407" s="36">
        <f>IF(A407="","",IF(COUNTIF($A$6:$A$504,A407)&gt;1,"⚠ Duplicate",""))</f>
        <v/>
      </c>
      <c r="AC407" s="43" t="n"/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38" t="n"/>
      <c r="AA408" s="38" t="n"/>
      <c r="AB408" s="41">
        <f>IF(A408="","",IF(COUNTIF($A$6:$A$504,A408)&gt;1,"⚠ Duplicate",""))</f>
        <v/>
      </c>
      <c r="AC408" s="42" t="n"/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32" t="n"/>
      <c r="AA409" s="32" t="n"/>
      <c r="AB409" s="36">
        <f>IF(A409="","",IF(COUNTIF($A$6:$A$504,A409)&gt;1,"⚠ Duplicate",""))</f>
        <v/>
      </c>
      <c r="AC409" s="43" t="n"/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38" t="n"/>
      <c r="AA410" s="38" t="n"/>
      <c r="AB410" s="41">
        <f>IF(A410="","",IF(COUNTIF($A$6:$A$504,A410)&gt;1,"⚠ Duplicate",""))</f>
        <v/>
      </c>
      <c r="AC410" s="42" t="n"/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32" t="n"/>
      <c r="AA411" s="32" t="n"/>
      <c r="AB411" s="36">
        <f>IF(A411="","",IF(COUNTIF($A$6:$A$504,A411)&gt;1,"⚠ Duplicate",""))</f>
        <v/>
      </c>
      <c r="AC411" s="43" t="n"/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38" t="n"/>
      <c r="AA412" s="38" t="n"/>
      <c r="AB412" s="41">
        <f>IF(A412="","",IF(COUNTIF($A$6:$A$504,A412)&gt;1,"⚠ Duplicate",""))</f>
        <v/>
      </c>
      <c r="AC412" s="42" t="n"/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32" t="n"/>
      <c r="AA413" s="32" t="n"/>
      <c r="AB413" s="36">
        <f>IF(A413="","",IF(COUNTIF($A$6:$A$504,A413)&gt;1,"⚠ Duplicate",""))</f>
        <v/>
      </c>
      <c r="AC413" s="43" t="n"/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38" t="n"/>
      <c r="AA414" s="38" t="n"/>
      <c r="AB414" s="41">
        <f>IF(A414="","",IF(COUNTIF($A$6:$A$504,A414)&gt;1,"⚠ Duplicate",""))</f>
        <v/>
      </c>
      <c r="AC414" s="42" t="n"/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32" t="n"/>
      <c r="AA415" s="32" t="n"/>
      <c r="AB415" s="36">
        <f>IF(A415="","",IF(COUNTIF($A$6:$A$504,A415)&gt;1,"⚠ Duplicate",""))</f>
        <v/>
      </c>
      <c r="AC415" s="43" t="n"/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38" t="n"/>
      <c r="AA416" s="38" t="n"/>
      <c r="AB416" s="41">
        <f>IF(A416="","",IF(COUNTIF($A$6:$A$504,A416)&gt;1,"⚠ Duplicate",""))</f>
        <v/>
      </c>
      <c r="AC416" s="42" t="n"/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32" t="n"/>
      <c r="AA417" s="32" t="n"/>
      <c r="AB417" s="36">
        <f>IF(A417="","",IF(COUNTIF($A$6:$A$504,A417)&gt;1,"⚠ Duplicate",""))</f>
        <v/>
      </c>
      <c r="AC417" s="43" t="n"/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38" t="n"/>
      <c r="AA418" s="38" t="n"/>
      <c r="AB418" s="41">
        <f>IF(A418="","",IF(COUNTIF($A$6:$A$504,A418)&gt;1,"⚠ Duplicate",""))</f>
        <v/>
      </c>
      <c r="AC418" s="42" t="n"/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32" t="n"/>
      <c r="AA419" s="32" t="n"/>
      <c r="AB419" s="36">
        <f>IF(A419="","",IF(COUNTIF($A$6:$A$504,A419)&gt;1,"⚠ Duplicate",""))</f>
        <v/>
      </c>
      <c r="AC419" s="43" t="n"/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38" t="n"/>
      <c r="AA420" s="38" t="n"/>
      <c r="AB420" s="41">
        <f>IF(A420="","",IF(COUNTIF($A$6:$A$504,A420)&gt;1,"⚠ Duplicate",""))</f>
        <v/>
      </c>
      <c r="AC420" s="42" t="n"/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32" t="n"/>
      <c r="AA421" s="32" t="n"/>
      <c r="AB421" s="36">
        <f>IF(A421="","",IF(COUNTIF($A$6:$A$504,A421)&gt;1,"⚠ Duplicate",""))</f>
        <v/>
      </c>
      <c r="AC421" s="43" t="n"/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38" t="n"/>
      <c r="AA422" s="38" t="n"/>
      <c r="AB422" s="41">
        <f>IF(A422="","",IF(COUNTIF($A$6:$A$504,A422)&gt;1,"⚠ Duplicate",""))</f>
        <v/>
      </c>
      <c r="AC422" s="42" t="n"/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32" t="n"/>
      <c r="AA423" s="32" t="n"/>
      <c r="AB423" s="36">
        <f>IF(A423="","",IF(COUNTIF($A$6:$A$504,A423)&gt;1,"⚠ Duplicate",""))</f>
        <v/>
      </c>
      <c r="AC423" s="43" t="n"/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38" t="n"/>
      <c r="AA424" s="38" t="n"/>
      <c r="AB424" s="41">
        <f>IF(A424="","",IF(COUNTIF($A$6:$A$504,A424)&gt;1,"⚠ Duplicate",""))</f>
        <v/>
      </c>
      <c r="AC424" s="42" t="n"/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32" t="n"/>
      <c r="AA425" s="32" t="n"/>
      <c r="AB425" s="36">
        <f>IF(A425="","",IF(COUNTIF($A$6:$A$504,A425)&gt;1,"⚠ Duplicate",""))</f>
        <v/>
      </c>
      <c r="AC425" s="43" t="n"/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38" t="n"/>
      <c r="AA426" s="38" t="n"/>
      <c r="AB426" s="41">
        <f>IF(A426="","",IF(COUNTIF($A$6:$A$504,A426)&gt;1,"⚠ Duplicate",""))</f>
        <v/>
      </c>
      <c r="AC426" s="42" t="n"/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32" t="n"/>
      <c r="AA427" s="32" t="n"/>
      <c r="AB427" s="36">
        <f>IF(A427="","",IF(COUNTIF($A$6:$A$504,A427)&gt;1,"⚠ Duplicate",""))</f>
        <v/>
      </c>
      <c r="AC427" s="43" t="n"/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38" t="n"/>
      <c r="AA428" s="38" t="n"/>
      <c r="AB428" s="41">
        <f>IF(A428="","",IF(COUNTIF($A$6:$A$504,A428)&gt;1,"⚠ Duplicate",""))</f>
        <v/>
      </c>
      <c r="AC428" s="42" t="n"/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32" t="n"/>
      <c r="AA429" s="32" t="n"/>
      <c r="AB429" s="36">
        <f>IF(A429="","",IF(COUNTIF($A$6:$A$504,A429)&gt;1,"⚠ Duplicate",""))</f>
        <v/>
      </c>
      <c r="AC429" s="43" t="n"/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38" t="n"/>
      <c r="AA430" s="38" t="n"/>
      <c r="AB430" s="41">
        <f>IF(A430="","",IF(COUNTIF($A$6:$A$504,A430)&gt;1,"⚠ Duplicate",""))</f>
        <v/>
      </c>
      <c r="AC430" s="42" t="n"/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32" t="n"/>
      <c r="AA431" s="32" t="n"/>
      <c r="AB431" s="36">
        <f>IF(A431="","",IF(COUNTIF($A$6:$A$504,A431)&gt;1,"⚠ Duplicate",""))</f>
        <v/>
      </c>
      <c r="AC431" s="43" t="n"/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38" t="n"/>
      <c r="AA432" s="38" t="n"/>
      <c r="AB432" s="41">
        <f>IF(A432="","",IF(COUNTIF($A$6:$A$504,A432)&gt;1,"⚠ Duplicate",""))</f>
        <v/>
      </c>
      <c r="AC432" s="42" t="n"/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32" t="n"/>
      <c r="AA433" s="32" t="n"/>
      <c r="AB433" s="36">
        <f>IF(A433="","",IF(COUNTIF($A$6:$A$504,A433)&gt;1,"⚠ Duplicate",""))</f>
        <v/>
      </c>
      <c r="AC433" s="43" t="n"/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38" t="n"/>
      <c r="AA434" s="38" t="n"/>
      <c r="AB434" s="41">
        <f>IF(A434="","",IF(COUNTIF($A$6:$A$504,A434)&gt;1,"⚠ Duplicate",""))</f>
        <v/>
      </c>
      <c r="AC434" s="42" t="n"/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32" t="n"/>
      <c r="AA435" s="32" t="n"/>
      <c r="AB435" s="36">
        <f>IF(A435="","",IF(COUNTIF($A$6:$A$504,A435)&gt;1,"⚠ Duplicate",""))</f>
        <v/>
      </c>
      <c r="AC435" s="43" t="n"/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38" t="n"/>
      <c r="AA436" s="38" t="n"/>
      <c r="AB436" s="41">
        <f>IF(A436="","",IF(COUNTIF($A$6:$A$504,A436)&gt;1,"⚠ Duplicate",""))</f>
        <v/>
      </c>
      <c r="AC436" s="42" t="n"/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32" t="n"/>
      <c r="AA437" s="32" t="n"/>
      <c r="AB437" s="36">
        <f>IF(A437="","",IF(COUNTIF($A$6:$A$504,A437)&gt;1,"⚠ Duplicate",""))</f>
        <v/>
      </c>
      <c r="AC437" s="43" t="n"/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38" t="n"/>
      <c r="AA438" s="38" t="n"/>
      <c r="AB438" s="41">
        <f>IF(A438="","",IF(COUNTIF($A$6:$A$504,A438)&gt;1,"⚠ Duplicate",""))</f>
        <v/>
      </c>
      <c r="AC438" s="42" t="n"/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32" t="n"/>
      <c r="AA439" s="32" t="n"/>
      <c r="AB439" s="36">
        <f>IF(A439="","",IF(COUNTIF($A$6:$A$504,A439)&gt;1,"⚠ Duplicate",""))</f>
        <v/>
      </c>
      <c r="AC439" s="43" t="n"/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38" t="n"/>
      <c r="AA440" s="38" t="n"/>
      <c r="AB440" s="41">
        <f>IF(A440="","",IF(COUNTIF($A$6:$A$504,A440)&gt;1,"⚠ Duplicate",""))</f>
        <v/>
      </c>
      <c r="AC440" s="42" t="n"/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32" t="n"/>
      <c r="AA441" s="32" t="n"/>
      <c r="AB441" s="36">
        <f>IF(A441="","",IF(COUNTIF($A$6:$A$504,A441)&gt;1,"⚠ Duplicate",""))</f>
        <v/>
      </c>
      <c r="AC441" s="43" t="n"/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38" t="n"/>
      <c r="AA442" s="38" t="n"/>
      <c r="AB442" s="41">
        <f>IF(A442="","",IF(COUNTIF($A$6:$A$504,A442)&gt;1,"⚠ Duplicate",""))</f>
        <v/>
      </c>
      <c r="AC442" s="42" t="n"/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32" t="n"/>
      <c r="AA443" s="32" t="n"/>
      <c r="AB443" s="36">
        <f>IF(A443="","",IF(COUNTIF($A$6:$A$504,A443)&gt;1,"⚠ Duplicate",""))</f>
        <v/>
      </c>
      <c r="AC443" s="43" t="n"/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38" t="n"/>
      <c r="AA444" s="38" t="n"/>
      <c r="AB444" s="41">
        <f>IF(A444="","",IF(COUNTIF($A$6:$A$504,A444)&gt;1,"⚠ Duplicate",""))</f>
        <v/>
      </c>
      <c r="AC444" s="42" t="n"/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32" t="n"/>
      <c r="AA445" s="32" t="n"/>
      <c r="AB445" s="36">
        <f>IF(A445="","",IF(COUNTIF($A$6:$A$504,A445)&gt;1,"⚠ Duplicate",""))</f>
        <v/>
      </c>
      <c r="AC445" s="43" t="n"/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38" t="n"/>
      <c r="AA446" s="38" t="n"/>
      <c r="AB446" s="41">
        <f>IF(A446="","",IF(COUNTIF($A$6:$A$504,A446)&gt;1,"⚠ Duplicate",""))</f>
        <v/>
      </c>
      <c r="AC446" s="42" t="n"/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32" t="n"/>
      <c r="AA447" s="32" t="n"/>
      <c r="AB447" s="36">
        <f>IF(A447="","",IF(COUNTIF($A$6:$A$504,A447)&gt;1,"⚠ Duplicate",""))</f>
        <v/>
      </c>
      <c r="AC447" s="43" t="n"/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38" t="n"/>
      <c r="AA448" s="38" t="n"/>
      <c r="AB448" s="41">
        <f>IF(A448="","",IF(COUNTIF($A$6:$A$504,A448)&gt;1,"⚠ Duplicate",""))</f>
        <v/>
      </c>
      <c r="AC448" s="42" t="n"/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32" t="n"/>
      <c r="AA449" s="32" t="n"/>
      <c r="AB449" s="36">
        <f>IF(A449="","",IF(COUNTIF($A$6:$A$504,A449)&gt;1,"⚠ Duplicate",""))</f>
        <v/>
      </c>
      <c r="AC449" s="43" t="n"/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38" t="n"/>
      <c r="AA450" s="38" t="n"/>
      <c r="AB450" s="41">
        <f>IF(A450="","",IF(COUNTIF($A$6:$A$504,A450)&gt;1,"⚠ Duplicate",""))</f>
        <v/>
      </c>
      <c r="AC450" s="42" t="n"/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32" t="n"/>
      <c r="AA451" s="32" t="n"/>
      <c r="AB451" s="36">
        <f>IF(A451="","",IF(COUNTIF($A$6:$A$504,A451)&gt;1,"⚠ Duplicate",""))</f>
        <v/>
      </c>
      <c r="AC451" s="43" t="n"/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38" t="n"/>
      <c r="AA452" s="38" t="n"/>
      <c r="AB452" s="41">
        <f>IF(A452="","",IF(COUNTIF($A$6:$A$504,A452)&gt;1,"⚠ Duplicate",""))</f>
        <v/>
      </c>
      <c r="AC452" s="42" t="n"/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32" t="n"/>
      <c r="AA453" s="32" t="n"/>
      <c r="AB453" s="36">
        <f>IF(A453="","",IF(COUNTIF($A$6:$A$504,A453)&gt;1,"⚠ Duplicate",""))</f>
        <v/>
      </c>
      <c r="AC453" s="43" t="n"/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38" t="n"/>
      <c r="AA454" s="38" t="n"/>
      <c r="AB454" s="41">
        <f>IF(A454="","",IF(COUNTIF($A$6:$A$504,A454)&gt;1,"⚠ Duplicate",""))</f>
        <v/>
      </c>
      <c r="AC454" s="42" t="n"/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32" t="n"/>
      <c r="AA455" s="32" t="n"/>
      <c r="AB455" s="36">
        <f>IF(A455="","",IF(COUNTIF($A$6:$A$504,A455)&gt;1,"⚠ Duplicate",""))</f>
        <v/>
      </c>
      <c r="AC455" s="43" t="n"/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38" t="n"/>
      <c r="AA456" s="38" t="n"/>
      <c r="AB456" s="41">
        <f>IF(A456="","",IF(COUNTIF($A$6:$A$504,A456)&gt;1,"⚠ Duplicate",""))</f>
        <v/>
      </c>
      <c r="AC456" s="42" t="n"/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32" t="n"/>
      <c r="AA457" s="32" t="n"/>
      <c r="AB457" s="36">
        <f>IF(A457="","",IF(COUNTIF($A$6:$A$504,A457)&gt;1,"⚠ Duplicate",""))</f>
        <v/>
      </c>
      <c r="AC457" s="43" t="n"/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38" t="n"/>
      <c r="AA458" s="38" t="n"/>
      <c r="AB458" s="41">
        <f>IF(A458="","",IF(COUNTIF($A$6:$A$504,A458)&gt;1,"⚠ Duplicate",""))</f>
        <v/>
      </c>
      <c r="AC458" s="42" t="n"/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32" t="n"/>
      <c r="AA459" s="32" t="n"/>
      <c r="AB459" s="36">
        <f>IF(A459="","",IF(COUNTIF($A$6:$A$504,A459)&gt;1,"⚠ Duplicate",""))</f>
        <v/>
      </c>
      <c r="AC459" s="43" t="n"/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38" t="n"/>
      <c r="AA460" s="38" t="n"/>
      <c r="AB460" s="41">
        <f>IF(A460="","",IF(COUNTIF($A$6:$A$504,A460)&gt;1,"⚠ Duplicate",""))</f>
        <v/>
      </c>
      <c r="AC460" s="42" t="n"/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32" t="n"/>
      <c r="AA461" s="32" t="n"/>
      <c r="AB461" s="36">
        <f>IF(A461="","",IF(COUNTIF($A$6:$A$504,A461)&gt;1,"⚠ Duplicate",""))</f>
        <v/>
      </c>
      <c r="AC461" s="43" t="n"/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38" t="n"/>
      <c r="AA462" s="38" t="n"/>
      <c r="AB462" s="41">
        <f>IF(A462="","",IF(COUNTIF($A$6:$A$504,A462)&gt;1,"⚠ Duplicate",""))</f>
        <v/>
      </c>
      <c r="AC462" s="42" t="n"/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32" t="n"/>
      <c r="AA463" s="32" t="n"/>
      <c r="AB463" s="36">
        <f>IF(A463="","",IF(COUNTIF($A$6:$A$504,A463)&gt;1,"⚠ Duplicate",""))</f>
        <v/>
      </c>
      <c r="AC463" s="43" t="n"/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38" t="n"/>
      <c r="AA464" s="38" t="n"/>
      <c r="AB464" s="41">
        <f>IF(A464="","",IF(COUNTIF($A$6:$A$504,A464)&gt;1,"⚠ Duplicate",""))</f>
        <v/>
      </c>
      <c r="AC464" s="42" t="n"/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32" t="n"/>
      <c r="AA465" s="32" t="n"/>
      <c r="AB465" s="36">
        <f>IF(A465="","",IF(COUNTIF($A$6:$A$504,A465)&gt;1,"⚠ Duplicate",""))</f>
        <v/>
      </c>
      <c r="AC465" s="43" t="n"/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38" t="n"/>
      <c r="AA466" s="38" t="n"/>
      <c r="AB466" s="41">
        <f>IF(A466="","",IF(COUNTIF($A$6:$A$504,A466)&gt;1,"⚠ Duplicate",""))</f>
        <v/>
      </c>
      <c r="AC466" s="42" t="n"/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32" t="n"/>
      <c r="AA467" s="32" t="n"/>
      <c r="AB467" s="36">
        <f>IF(A467="","",IF(COUNTIF($A$6:$A$504,A467)&gt;1,"⚠ Duplicate",""))</f>
        <v/>
      </c>
      <c r="AC467" s="43" t="n"/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38" t="n"/>
      <c r="AA468" s="38" t="n"/>
      <c r="AB468" s="41">
        <f>IF(A468="","",IF(COUNTIF($A$6:$A$504,A468)&gt;1,"⚠ Duplicate",""))</f>
        <v/>
      </c>
      <c r="AC468" s="42" t="n"/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32" t="n"/>
      <c r="AA469" s="32" t="n"/>
      <c r="AB469" s="36">
        <f>IF(A469="","",IF(COUNTIF($A$6:$A$504,A469)&gt;1,"⚠ Duplicate",""))</f>
        <v/>
      </c>
      <c r="AC469" s="43" t="n"/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38" t="n"/>
      <c r="AA470" s="38" t="n"/>
      <c r="AB470" s="41">
        <f>IF(A470="","",IF(COUNTIF($A$6:$A$504,A470)&gt;1,"⚠ Duplicate",""))</f>
        <v/>
      </c>
      <c r="AC470" s="42" t="n"/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32" t="n"/>
      <c r="AA471" s="32" t="n"/>
      <c r="AB471" s="36">
        <f>IF(A471="","",IF(COUNTIF($A$6:$A$504,A471)&gt;1,"⚠ Duplicate",""))</f>
        <v/>
      </c>
      <c r="AC471" s="43" t="n"/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38" t="n"/>
      <c r="AA472" s="38" t="n"/>
      <c r="AB472" s="41">
        <f>IF(A472="","",IF(COUNTIF($A$6:$A$504,A472)&gt;1,"⚠ Duplicate",""))</f>
        <v/>
      </c>
      <c r="AC472" s="42" t="n"/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32" t="n"/>
      <c r="AA473" s="32" t="n"/>
      <c r="AB473" s="36">
        <f>IF(A473="","",IF(COUNTIF($A$6:$A$504,A473)&gt;1,"⚠ Duplicate",""))</f>
        <v/>
      </c>
      <c r="AC473" s="43" t="n"/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38" t="n"/>
      <c r="AA474" s="38" t="n"/>
      <c r="AB474" s="41">
        <f>IF(A474="","",IF(COUNTIF($A$6:$A$504,A474)&gt;1,"⚠ Duplicate",""))</f>
        <v/>
      </c>
      <c r="AC474" s="42" t="n"/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32" t="n"/>
      <c r="AA475" s="32" t="n"/>
      <c r="AB475" s="36">
        <f>IF(A475="","",IF(COUNTIF($A$6:$A$504,A475)&gt;1,"⚠ Duplicate",""))</f>
        <v/>
      </c>
      <c r="AC475" s="43" t="n"/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38" t="n"/>
      <c r="AA476" s="38" t="n"/>
      <c r="AB476" s="41">
        <f>IF(A476="","",IF(COUNTIF($A$6:$A$504,A476)&gt;1,"⚠ Duplicate",""))</f>
        <v/>
      </c>
      <c r="AC476" s="42" t="n"/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32" t="n"/>
      <c r="AA477" s="32" t="n"/>
      <c r="AB477" s="36">
        <f>IF(A477="","",IF(COUNTIF($A$6:$A$504,A477)&gt;1,"⚠ Duplicate",""))</f>
        <v/>
      </c>
      <c r="AC477" s="43" t="n"/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38" t="n"/>
      <c r="AA478" s="38" t="n"/>
      <c r="AB478" s="41">
        <f>IF(A478="","",IF(COUNTIF($A$6:$A$504,A478)&gt;1,"⚠ Duplicate",""))</f>
        <v/>
      </c>
      <c r="AC478" s="42" t="n"/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32" t="n"/>
      <c r="AA479" s="32" t="n"/>
      <c r="AB479" s="36">
        <f>IF(A479="","",IF(COUNTIF($A$6:$A$504,A479)&gt;1,"⚠ Duplicate",""))</f>
        <v/>
      </c>
      <c r="AC479" s="43" t="n"/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38" t="n"/>
      <c r="AA480" s="38" t="n"/>
      <c r="AB480" s="41">
        <f>IF(A480="","",IF(COUNTIF($A$6:$A$504,A480)&gt;1,"⚠ Duplicate",""))</f>
        <v/>
      </c>
      <c r="AC480" s="42" t="n"/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32" t="n"/>
      <c r="AA481" s="32" t="n"/>
      <c r="AB481" s="36">
        <f>IF(A481="","",IF(COUNTIF($A$6:$A$504,A481)&gt;1,"⚠ Duplicate",""))</f>
        <v/>
      </c>
      <c r="AC481" s="43" t="n"/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38" t="n"/>
      <c r="AA482" s="38" t="n"/>
      <c r="AB482" s="41">
        <f>IF(A482="","",IF(COUNTIF($A$6:$A$504,A482)&gt;1,"⚠ Duplicate",""))</f>
        <v/>
      </c>
      <c r="AC482" s="42" t="n"/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32" t="n"/>
      <c r="AA483" s="32" t="n"/>
      <c r="AB483" s="36">
        <f>IF(A483="","",IF(COUNTIF($A$6:$A$504,A483)&gt;1,"⚠ Duplicate",""))</f>
        <v/>
      </c>
      <c r="AC483" s="43" t="n"/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38" t="n"/>
      <c r="AA484" s="38" t="n"/>
      <c r="AB484" s="41">
        <f>IF(A484="","",IF(COUNTIF($A$6:$A$504,A484)&gt;1,"⚠ Duplicate",""))</f>
        <v/>
      </c>
      <c r="AC484" s="42" t="n"/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32" t="n"/>
      <c r="AA485" s="32" t="n"/>
      <c r="AB485" s="36">
        <f>IF(A485="","",IF(COUNTIF($A$6:$A$504,A485)&gt;1,"⚠ Duplicate",""))</f>
        <v/>
      </c>
      <c r="AC485" s="43" t="n"/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38" t="n"/>
      <c r="AA486" s="38" t="n"/>
      <c r="AB486" s="41">
        <f>IF(A486="","",IF(COUNTIF($A$6:$A$504,A486)&gt;1,"⚠ Duplicate",""))</f>
        <v/>
      </c>
      <c r="AC486" s="42" t="n"/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32" t="n"/>
      <c r="AA487" s="32" t="n"/>
      <c r="AB487" s="36">
        <f>IF(A487="","",IF(COUNTIF($A$6:$A$504,A487)&gt;1,"⚠ Duplicate",""))</f>
        <v/>
      </c>
      <c r="AC487" s="43" t="n"/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38" t="n"/>
      <c r="AA488" s="38" t="n"/>
      <c r="AB488" s="41">
        <f>IF(A488="","",IF(COUNTIF($A$6:$A$504,A488)&gt;1,"⚠ Duplicate",""))</f>
        <v/>
      </c>
      <c r="AC488" s="42" t="n"/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32" t="n"/>
      <c r="AA489" s="32" t="n"/>
      <c r="AB489" s="36">
        <f>IF(A489="","",IF(COUNTIF($A$6:$A$504,A489)&gt;1,"⚠ Duplicate",""))</f>
        <v/>
      </c>
      <c r="AC489" s="43" t="n"/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38" t="n"/>
      <c r="AA490" s="38" t="n"/>
      <c r="AB490" s="41">
        <f>IF(A490="","",IF(COUNTIF($A$6:$A$504,A490)&gt;1,"⚠ Duplicate",""))</f>
        <v/>
      </c>
      <c r="AC490" s="42" t="n"/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32" t="n"/>
      <c r="AA491" s="32" t="n"/>
      <c r="AB491" s="36">
        <f>IF(A491="","",IF(COUNTIF($A$6:$A$504,A491)&gt;1,"⚠ Duplicate",""))</f>
        <v/>
      </c>
      <c r="AC491" s="43" t="n"/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38" t="n"/>
      <c r="AA492" s="38" t="n"/>
      <c r="AB492" s="41">
        <f>IF(A492="","",IF(COUNTIF($A$6:$A$504,A492)&gt;1,"⚠ Duplicate",""))</f>
        <v/>
      </c>
      <c r="AC492" s="42" t="n"/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32" t="n"/>
      <c r="AA493" s="32" t="n"/>
      <c r="AB493" s="36">
        <f>IF(A493="","",IF(COUNTIF($A$6:$A$504,A493)&gt;1,"⚠ Duplicate",""))</f>
        <v/>
      </c>
      <c r="AC493" s="43" t="n"/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38" t="n"/>
      <c r="AA494" s="38" t="n"/>
      <c r="AB494" s="41">
        <f>IF(A494="","",IF(COUNTIF($A$6:$A$504,A494)&gt;1,"⚠ Duplicate",""))</f>
        <v/>
      </c>
      <c r="AC494" s="42" t="n"/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32" t="n"/>
      <c r="AA495" s="32" t="n"/>
      <c r="AB495" s="36">
        <f>IF(A495="","",IF(COUNTIF($A$6:$A$504,A495)&gt;1,"⚠ Duplicate",""))</f>
        <v/>
      </c>
      <c r="AC495" s="43" t="n"/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38" t="n"/>
      <c r="AA496" s="38" t="n"/>
      <c r="AB496" s="41">
        <f>IF(A496="","",IF(COUNTIF($A$6:$A$504,A496)&gt;1,"⚠ Duplicate",""))</f>
        <v/>
      </c>
      <c r="AC496" s="42" t="n"/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32" t="n"/>
      <c r="AA497" s="32" t="n"/>
      <c r="AB497" s="36">
        <f>IF(A497="","",IF(COUNTIF($A$6:$A$504,A497)&gt;1,"⚠ Duplicate",""))</f>
        <v/>
      </c>
      <c r="AC497" s="43" t="n"/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38" t="n"/>
      <c r="AA498" s="38" t="n"/>
      <c r="AB498" s="41">
        <f>IF(A498="","",IF(COUNTIF($A$6:$A$504,A498)&gt;1,"⚠ Duplicate",""))</f>
        <v/>
      </c>
      <c r="AC498" s="42" t="n"/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32" t="n"/>
      <c r="AA499" s="32" t="n"/>
      <c r="AB499" s="36">
        <f>IF(A499="","",IF(COUNTIF($A$6:$A$504,A499)&gt;1,"⚠ Duplicate",""))</f>
        <v/>
      </c>
      <c r="AC499" s="43" t="n"/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38" t="n"/>
      <c r="AA500" s="38" t="n"/>
      <c r="AB500" s="41">
        <f>IF(A500="","",IF(COUNTIF($A$6:$A$504,A500)&gt;1,"⚠ Duplicate",""))</f>
        <v/>
      </c>
      <c r="AC500" s="42" t="n"/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32" t="n"/>
      <c r="AA501" s="32" t="n"/>
      <c r="AB501" s="36">
        <f>IF(A501="","",IF(COUNTIF($A$6:$A$504,A501)&gt;1,"⚠ Duplicate",""))</f>
        <v/>
      </c>
      <c r="AC501" s="43" t="n"/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38" t="n"/>
      <c r="AA502" s="38" t="n"/>
      <c r="AB502" s="41">
        <f>IF(A502="","",IF(COUNTIF($A$6:$A$504,A502)&gt;1,"⚠ Duplicate",""))</f>
        <v/>
      </c>
      <c r="AC502" s="42" t="n"/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32" t="n"/>
      <c r="AA503" s="32" t="n"/>
      <c r="AB503" s="36">
        <f>IF(A503="","",IF(COUNTIF($A$6:$A$504,A503)&gt;1,"⚠ Duplicate",""))</f>
        <v/>
      </c>
      <c r="AC503" s="43" t="n"/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38" t="n"/>
      <c r="AA504" s="38" t="n"/>
      <c r="AB504" s="41">
        <f>IF(A504="","",IF(COUNTIF($A$6:$A$504,A504)&gt;1,"⚠ Duplicate",""))</f>
        <v/>
      </c>
      <c r="AC504" s="42" t="n"/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</row>
  </sheetData>
  <mergeCells count="14">
    <mergeCell ref="O3:P3"/>
    <mergeCell ref="Q4:T4"/>
    <mergeCell ref="Z3:AB3"/>
    <mergeCell ref="AA2:AB2"/>
    <mergeCell ref="U4:V4"/>
    <mergeCell ref="X3:Y3"/>
    <mergeCell ref="M3:N3"/>
    <mergeCell ref="AC1:AP3"/>
    <mergeCell ref="A3:F3"/>
    <mergeCell ref="A2:Z2"/>
    <mergeCell ref="G3:H3"/>
    <mergeCell ref="Q3:V3"/>
    <mergeCell ref="K3:L3"/>
    <mergeCell ref="I3:J3"/>
  </mergeCells>
  <conditionalFormatting sqref="A6:AP504">
    <cfRule type="expression" priority="8" dxfId="2">
      <formula>$F6="Yes"</formula>
    </cfRule>
  </conditionalFormatting>
  <conditionalFormatting sqref="A6:A504">
    <cfRule type="expression" priority="9" dxfId="1">
      <formula>AND(A6&lt;&gt;"",COUNTIF($A$6:$A$504,A6)&gt;1)</formula>
    </cfRule>
  </conditionalFormatting>
  <conditionalFormatting sqref="AC36:AP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P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7:AP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8:AP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0:AP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8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C6:AP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.6640625" customWidth="1" style="74" min="23" max="23"/>
  </cols>
  <sheetData>
    <row r="1" ht="36" customHeight="1" s="74">
      <c r="A1" s="157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58" t="inlineStr">
        <is>
          <t>All</t>
        </is>
      </c>
      <c r="M5" s="159" t="n"/>
      <c r="N5" s="159" t="n"/>
      <c r="O5" s="159" t="n"/>
      <c r="P5" s="159" t="n"/>
      <c r="Q5" s="160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58" t="n"/>
      <c r="M6" s="159" t="n"/>
      <c r="N6" s="159" t="n"/>
      <c r="O6" s="159" t="n"/>
      <c r="P6" s="159" t="n"/>
      <c r="Q6" s="160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1" t="n"/>
      <c r="M7" s="159" t="n"/>
      <c r="N7" s="159" t="n"/>
      <c r="O7" s="159" t="n"/>
      <c r="P7" s="159" t="n"/>
      <c r="Q7" s="160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58" t="inlineStr">
        <is>
          <t>All</t>
        </is>
      </c>
      <c r="M8" s="159" t="n"/>
      <c r="N8" s="159" t="n"/>
      <c r="O8" s="159" t="n"/>
      <c r="P8" s="159" t="n"/>
      <c r="Q8" s="160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2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3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4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5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</row>
    <row r="22" ht="14.25" customHeight="1" s="74">
      <c r="A22" s="3" t="n"/>
    </row>
    <row r="23" ht="24" customHeight="1" s="74">
      <c r="A23" s="165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3" t="n"/>
      <c r="P27" s="3" t="n"/>
      <c r="Q27" s="3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3" t="n"/>
      <c r="P28" s="3" t="n"/>
      <c r="Q28" s="3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3" t="n"/>
      <c r="P34" s="3" t="n"/>
      <c r="Q34" s="3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IFERROR(IF(INDEX(_Helper!A2:A501,MATCH(LARGE(_Helper!BH2:BH501,1),_Helper!BH2:BH501,0))="","-",INDEX(_Helper!BJ2:BJ501,MATCH(LARGE(_Helper!BH2:BH501,1),_Helper!BH2:BH501,0))),"-")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IFERROR(IF(INDEX(_Helper!A2:A501,MATCH(LARGE(_Helper!BH2:BH501,1),_Helper!BH2:BH501,0))="","-",INDEX(_Helper!BK2:BK501,MATCH(LARGE(_Helper!BH2:BH501,1),_Helper!BH2:BH501,0))),"-")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IFERROR(IF(INDEX(_Helper!A2:A501,MATCH(LARGE(_Helper!BH2:BH501,1),_Helper!BH2:BH501,0))="","-",INDEX(_Helper!BL2:BL501,MATCH(LARGE(_Helper!BH2:BH501,1),_Helper!BH2:BH501,0))),"-")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IFERROR(IF(INDEX(_Helper!A2:A501,MATCH(LARGE(_Helper!BH2:BH501,1),_Helper!BH2:BH501,0))="","-",INDEX(_Helper!BM2:BM501,MATCH(LARGE(_Helper!BH2:BH501,1),_Helper!BH2:BH501,0))),"-")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IFERROR(IF(INDEX(_Helper!A2:A501,MATCH(LARGE(_Helper!BH2:BH501,1),_Helper!BH2:BH501,0))="","-",INDEX(_Helper!BN2:BN501,MATCH(LARGE(_Helper!BH2:BH501,1),_Helper!BH2:BH501,0))),"-")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IFERROR(IF(INDEX(_Helper!A2:A501,MATCH(LARGE(_Helper!BH2:BH501,1),_Helper!BH2:BH501,0))="","-",INDEX(_Helper!BO2:BO501,MATCH(LARGE(_Helper!BH2:BH501,1),_Helper!BH2:BH501,0))),"-")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IFERROR(IF(INDEX(_Helper!A2:A501,MATCH(LARGE(_Helper!BH2:BH501,1),_Helper!BH2:BH501,0))="","-",INDEX(_Helper!BP2:BP501,MATCH(LARGE(_Helper!BH2:BH501,1),_Helper!BH2:BH501,0))),"-")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IFERROR(IF(INDEX(_Helper!A2:A501,MATCH(LARGE(_Helper!BH2:BH501,1),_Helper!BH2:BH501,0))="","-",INDEX(_Helper!BQ2:BQ501,MATCH(LARGE(_Helper!BH2:BH501,1),_Helper!BH2:BH501,0))),"-")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IFERROR(IF(INDEX(_Helper!A2:A501,MATCH(LARGE(_Helper!BH2:BH501,1),_Helper!BH2:BH501,0))="","-",INDEX(_Helper!BR2:BR501,MATCH(LARGE(_Helper!BH2:BH501,1),_Helper!BH2:BH501,0))),"-")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IFERROR(IF(INDEX(_Helper!A2:A501,MATCH(LARGE(_Helper!BH2:BH501,1),_Helper!BH2:BH501,0))="","-",INDEX(_Helper!BS2:BS501,MATCH(LARGE(_Helper!BH2:BH501,1),_Helper!BH2:BH501,0))),"-")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IFERROR(IF(INDEX(_Helper!A2:A501,MATCH(LARGE(_Helper!BH2:BH501,1),_Helper!BH2:BH501,0))="","-",INDEX(_Helper!BT2:BT501,MATCH(LARGE(_Helper!BH2:BH501,1),_Helper!BH2:BH501,0))),"-")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IFERROR(IF(INDEX(_Helper!A2:A501,MATCH(LARGE(_Helper!BH2:BH501,1),_Helper!BH2:BH501,0))="","-",INDEX(_Helper!BU2:BU501,MATCH(LARGE(_Helper!BH2:BH501,1),_Helper!BH2:BH501,0))),"-")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IFERROR(IF(INDEX(_Helper!A2:A501,MATCH(LARGE(_Helper!BH2:BH501,1),_Helper!BH2:BH501,0))="","-",INDEX(_Helper!BV2:BV501,MATCH(LARGE(_Helper!BH2:BH501,1),_Helper!BH2:BH501,0))),"-")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IFERROR(IF(INDEX(_Helper!A2:A501,MATCH(LARGE(_Helper!BH2:BH501,1),_Helper!BH2:BH501,0))="","-",INDEX(_Helper!BW2:BW501,MATCH(LARGE(_Helper!BH2:BH501,1),_Helper!BH2:BH501,0))),"-")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IFERROR(IF(INDEX(_Helper!A2:A501,MATCH(LARGE(_Helper!BH2:BH501,1),_Helper!BH2:BH501,0))="","-",INDEX(_Helper!BX2:BX501,MATCH(LARGE(_Helper!BH2:BH501,1),_Helper!BH2:BH501,0))),"-")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5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66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08">
    <mergeCell ref="I54:K54"/>
    <mergeCell ref="K48:N48"/>
    <mergeCell ref="I10:Q11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14:U14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A60:E60"/>
    <mergeCell ref="O25:Q25"/>
    <mergeCell ref="A28:J28"/>
    <mergeCell ref="K28:N28"/>
    <mergeCell ref="A61:Q61"/>
    <mergeCell ref="I55:K55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15:U15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A23:Q23"/>
    <mergeCell ref="I6:K6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K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IF(A2="","",N(INDEX(Projects[Mech Inst],1)))</f>
        <v/>
      </c>
      <c r="BK2" s="5">
        <f>IF(A2="","",N(INDEX(Projects[Elec Inst],1)))</f>
        <v/>
      </c>
      <c r="BL2" s="5">
        <f>IF(A2="","",N(INDEX(Projects[Project Management],1)))</f>
        <v/>
      </c>
      <c r="BM2" s="5">
        <f>IF(A2="","",N(INDEX(Projects[Systems Eng],1)))</f>
        <v/>
      </c>
      <c r="BN2" s="5">
        <f>IF(A2="","",N(INDEX(Projects[Mechanical Eng],1)))</f>
        <v/>
      </c>
      <c r="BO2" s="5">
        <f>IF(A2="","",N(INDEX(Projects[Structural Engineering],1)))</f>
        <v/>
      </c>
      <c r="BP2" s="5">
        <f>IF(A2="","",N(INDEX(Projects[Site Sup],1)))</f>
        <v/>
      </c>
      <c r="BQ2" s="5">
        <f>IF(A2="","",N(INDEX(Projects[Controls Commissioning],1)))</f>
        <v/>
      </c>
      <c r="BR2" s="5">
        <f>IF(A2="","",N(INDEX(Projects[Systems Commissioning],1)))</f>
        <v/>
      </c>
      <c r="BS2" s="5">
        <f>IF(A2="","",N(INDEX(Projects[Service Commissioning],1)))</f>
        <v/>
      </c>
      <c r="BT2" s="5">
        <f>IF(A2="","",N(INDEX(Projects[Controls Eng],1)))</f>
        <v/>
      </c>
      <c r="BU2" s="5">
        <f>IF(A2="","",N(INDEX(Projects[Controls Purchase],1)))</f>
        <v/>
      </c>
      <c r="BV2" s="5">
        <f>IF(A2="","",N(INDEX(Projects[Software Eng],1)))</f>
        <v/>
      </c>
      <c r="BW2" s="5">
        <f>IF(A2="","",N(INDEX(Projects[Misc],1)))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IF(A3="","",N(INDEX(Projects[Mech Inst],2)))</f>
        <v/>
      </c>
      <c r="BK3" s="5">
        <f>IF(A3="","",N(INDEX(Projects[Elec Inst],2)))</f>
        <v/>
      </c>
      <c r="BL3" s="5">
        <f>IF(A3="","",N(INDEX(Projects[Project Management],2)))</f>
        <v/>
      </c>
      <c r="BM3" s="5">
        <f>IF(A3="","",N(INDEX(Projects[Systems Eng],2)))</f>
        <v/>
      </c>
      <c r="BN3" s="5">
        <f>IF(A3="","",N(INDEX(Projects[Mechanical Eng],2)))</f>
        <v/>
      </c>
      <c r="BO3" s="5">
        <f>IF(A3="","",N(INDEX(Projects[Structural Engineering],2)))</f>
        <v/>
      </c>
      <c r="BP3" s="5">
        <f>IF(A3="","",N(INDEX(Projects[Site Sup],2)))</f>
        <v/>
      </c>
      <c r="BQ3" s="5">
        <f>IF(A3="","",N(INDEX(Projects[Controls Commissioning],2)))</f>
        <v/>
      </c>
      <c r="BR3" s="5">
        <f>IF(A3="","",N(INDEX(Projects[Systems Commissioning],2)))</f>
        <v/>
      </c>
      <c r="BS3" s="5">
        <f>IF(A3="","",N(INDEX(Projects[Service Commissioning],2)))</f>
        <v/>
      </c>
      <c r="BT3" s="5">
        <f>IF(A3="","",N(INDEX(Projects[Controls Eng],2)))</f>
        <v/>
      </c>
      <c r="BU3" s="5">
        <f>IF(A3="","",N(INDEX(Projects[Controls Purchase],2)))</f>
        <v/>
      </c>
      <c r="BV3" s="5">
        <f>IF(A3="","",N(INDEX(Projects[Software Eng],2)))</f>
        <v/>
      </c>
      <c r="BW3" s="5">
        <f>IF(A3="","",N(INDEX(Projects[Misc],2)))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IF(A4="","",N(INDEX(Projects[Mech Inst],3)))</f>
        <v/>
      </c>
      <c r="BK4" s="5">
        <f>IF(A4="","",N(INDEX(Projects[Elec Inst],3)))</f>
        <v/>
      </c>
      <c r="BL4" s="5">
        <f>IF(A4="","",N(INDEX(Projects[Project Management],3)))</f>
        <v/>
      </c>
      <c r="BM4" s="5">
        <f>IF(A4="","",N(INDEX(Projects[Systems Eng],3)))</f>
        <v/>
      </c>
      <c r="BN4" s="5">
        <f>IF(A4="","",N(INDEX(Projects[Mechanical Eng],3)))</f>
        <v/>
      </c>
      <c r="BO4" s="5">
        <f>IF(A4="","",N(INDEX(Projects[Structural Engineering],3)))</f>
        <v/>
      </c>
      <c r="BP4" s="5">
        <f>IF(A4="","",N(INDEX(Projects[Site Sup],3)))</f>
        <v/>
      </c>
      <c r="BQ4" s="5">
        <f>IF(A4="","",N(INDEX(Projects[Controls Commissioning],3)))</f>
        <v/>
      </c>
      <c r="BR4" s="5">
        <f>IF(A4="","",N(INDEX(Projects[Systems Commissioning],3)))</f>
        <v/>
      </c>
      <c r="BS4" s="5">
        <f>IF(A4="","",N(INDEX(Projects[Service Commissioning],3)))</f>
        <v/>
      </c>
      <c r="BT4" s="5">
        <f>IF(A4="","",N(INDEX(Projects[Controls Eng],3)))</f>
        <v/>
      </c>
      <c r="BU4" s="5">
        <f>IF(A4="","",N(INDEX(Projects[Controls Purchase],3)))</f>
        <v/>
      </c>
      <c r="BV4" s="5">
        <f>IF(A4="","",N(INDEX(Projects[Software Eng],3)))</f>
        <v/>
      </c>
      <c r="BW4" s="5">
        <f>IF(A4="","",N(INDEX(Projects[Misc],3)))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IF(A5="","",N(INDEX(Projects[Mech Inst],4)))</f>
        <v/>
      </c>
      <c r="BK5" s="5">
        <f>IF(A5="","",N(INDEX(Projects[Elec Inst],4)))</f>
        <v/>
      </c>
      <c r="BL5" s="5">
        <f>IF(A5="","",N(INDEX(Projects[Project Management],4)))</f>
        <v/>
      </c>
      <c r="BM5" s="5">
        <f>IF(A5="","",N(INDEX(Projects[Systems Eng],4)))</f>
        <v/>
      </c>
      <c r="BN5" s="5">
        <f>IF(A5="","",N(INDEX(Projects[Mechanical Eng],4)))</f>
        <v/>
      </c>
      <c r="BO5" s="5">
        <f>IF(A5="","",N(INDEX(Projects[Structural Engineering],4)))</f>
        <v/>
      </c>
      <c r="BP5" s="5">
        <f>IF(A5="","",N(INDEX(Projects[Site Sup],4)))</f>
        <v/>
      </c>
      <c r="BQ5" s="5">
        <f>IF(A5="","",N(INDEX(Projects[Controls Commissioning],4)))</f>
        <v/>
      </c>
      <c r="BR5" s="5">
        <f>IF(A5="","",N(INDEX(Projects[Systems Commissioning],4)))</f>
        <v/>
      </c>
      <c r="BS5" s="5">
        <f>IF(A5="","",N(INDEX(Projects[Service Commissioning],4)))</f>
        <v/>
      </c>
      <c r="BT5" s="5">
        <f>IF(A5="","",N(INDEX(Projects[Controls Eng],4)))</f>
        <v/>
      </c>
      <c r="BU5" s="5">
        <f>IF(A5="","",N(INDEX(Projects[Controls Purchase],4)))</f>
        <v/>
      </c>
      <c r="BV5" s="5">
        <f>IF(A5="","",N(INDEX(Projects[Software Eng],4)))</f>
        <v/>
      </c>
      <c r="BW5" s="5">
        <f>IF(A5="","",N(INDEX(Projects[Misc],4)))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IF(A6="","",N(INDEX(Projects[Mech Inst],5)))</f>
        <v/>
      </c>
      <c r="BK6" s="5">
        <f>IF(A6="","",N(INDEX(Projects[Elec Inst],5)))</f>
        <v/>
      </c>
      <c r="BL6" s="5">
        <f>IF(A6="","",N(INDEX(Projects[Project Management],5)))</f>
        <v/>
      </c>
      <c r="BM6" s="5">
        <f>IF(A6="","",N(INDEX(Projects[Systems Eng],5)))</f>
        <v/>
      </c>
      <c r="BN6" s="5">
        <f>IF(A6="","",N(INDEX(Projects[Mechanical Eng],5)))</f>
        <v/>
      </c>
      <c r="BO6" s="5">
        <f>IF(A6="","",N(INDEX(Projects[Structural Engineering],5)))</f>
        <v/>
      </c>
      <c r="BP6" s="5">
        <f>IF(A6="","",N(INDEX(Projects[Site Sup],5)))</f>
        <v/>
      </c>
      <c r="BQ6" s="5">
        <f>IF(A6="","",N(INDEX(Projects[Controls Commissioning],5)))</f>
        <v/>
      </c>
      <c r="BR6" s="5">
        <f>IF(A6="","",N(INDEX(Projects[Systems Commissioning],5)))</f>
        <v/>
      </c>
      <c r="BS6" s="5">
        <f>IF(A6="","",N(INDEX(Projects[Service Commissioning],5)))</f>
        <v/>
      </c>
      <c r="BT6" s="5">
        <f>IF(A6="","",N(INDEX(Projects[Controls Eng],5)))</f>
        <v/>
      </c>
      <c r="BU6" s="5">
        <f>IF(A6="","",N(INDEX(Projects[Controls Purchase],5)))</f>
        <v/>
      </c>
      <c r="BV6" s="5">
        <f>IF(A6="","",N(INDEX(Projects[Software Eng],5)))</f>
        <v/>
      </c>
      <c r="BW6" s="5">
        <f>IF(A6="","",N(INDEX(Projects[Misc],5)))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IF(A7="","",N(INDEX(Projects[Mech Inst],6)))</f>
        <v/>
      </c>
      <c r="BK7" s="5">
        <f>IF(A7="","",N(INDEX(Projects[Elec Inst],6)))</f>
        <v/>
      </c>
      <c r="BL7" s="5">
        <f>IF(A7="","",N(INDEX(Projects[Project Management],6)))</f>
        <v/>
      </c>
      <c r="BM7" s="5">
        <f>IF(A7="","",N(INDEX(Projects[Systems Eng],6)))</f>
        <v/>
      </c>
      <c r="BN7" s="5">
        <f>IF(A7="","",N(INDEX(Projects[Mechanical Eng],6)))</f>
        <v/>
      </c>
      <c r="BO7" s="5">
        <f>IF(A7="","",N(INDEX(Projects[Structural Engineering],6)))</f>
        <v/>
      </c>
      <c r="BP7" s="5">
        <f>IF(A7="","",N(INDEX(Projects[Site Sup],6)))</f>
        <v/>
      </c>
      <c r="BQ7" s="5">
        <f>IF(A7="","",N(INDEX(Projects[Controls Commissioning],6)))</f>
        <v/>
      </c>
      <c r="BR7" s="5">
        <f>IF(A7="","",N(INDEX(Projects[Systems Commissioning],6)))</f>
        <v/>
      </c>
      <c r="BS7" s="5">
        <f>IF(A7="","",N(INDEX(Projects[Service Commissioning],6)))</f>
        <v/>
      </c>
      <c r="BT7" s="5">
        <f>IF(A7="","",N(INDEX(Projects[Controls Eng],6)))</f>
        <v/>
      </c>
      <c r="BU7" s="5">
        <f>IF(A7="","",N(INDEX(Projects[Controls Purchase],6)))</f>
        <v/>
      </c>
      <c r="BV7" s="5">
        <f>IF(A7="","",N(INDEX(Projects[Software Eng],6)))</f>
        <v/>
      </c>
      <c r="BW7" s="5">
        <f>IF(A7="","",N(INDEX(Projects[Misc],6)))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IF(A8="","",N(INDEX(Projects[Mech Inst],7)))</f>
        <v/>
      </c>
      <c r="BK8" s="5">
        <f>IF(A8="","",N(INDEX(Projects[Elec Inst],7)))</f>
        <v/>
      </c>
      <c r="BL8" s="5">
        <f>IF(A8="","",N(INDEX(Projects[Project Management],7)))</f>
        <v/>
      </c>
      <c r="BM8" s="5">
        <f>IF(A8="","",N(INDEX(Projects[Systems Eng],7)))</f>
        <v/>
      </c>
      <c r="BN8" s="5">
        <f>IF(A8="","",N(INDEX(Projects[Mechanical Eng],7)))</f>
        <v/>
      </c>
      <c r="BO8" s="5">
        <f>IF(A8="","",N(INDEX(Projects[Structural Engineering],7)))</f>
        <v/>
      </c>
      <c r="BP8" s="5">
        <f>IF(A8="","",N(INDEX(Projects[Site Sup],7)))</f>
        <v/>
      </c>
      <c r="BQ8" s="5">
        <f>IF(A8="","",N(INDEX(Projects[Controls Commissioning],7)))</f>
        <v/>
      </c>
      <c r="BR8" s="5">
        <f>IF(A8="","",N(INDEX(Projects[Systems Commissioning],7)))</f>
        <v/>
      </c>
      <c r="BS8" s="5">
        <f>IF(A8="","",N(INDEX(Projects[Service Commissioning],7)))</f>
        <v/>
      </c>
      <c r="BT8" s="5">
        <f>IF(A8="","",N(INDEX(Projects[Controls Eng],7)))</f>
        <v/>
      </c>
      <c r="BU8" s="5">
        <f>IF(A8="","",N(INDEX(Projects[Controls Purchase],7)))</f>
        <v/>
      </c>
      <c r="BV8" s="5">
        <f>IF(A8="","",N(INDEX(Projects[Software Eng],7)))</f>
        <v/>
      </c>
      <c r="BW8" s="5">
        <f>IF(A8="","",N(INDEX(Projects[Misc],7)))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IF(A9="","",N(INDEX(Projects[Mech Inst],8)))</f>
        <v/>
      </c>
      <c r="BK9" s="5">
        <f>IF(A9="","",N(INDEX(Projects[Elec Inst],8)))</f>
        <v/>
      </c>
      <c r="BL9" s="5">
        <f>IF(A9="","",N(INDEX(Projects[Project Management],8)))</f>
        <v/>
      </c>
      <c r="BM9" s="5">
        <f>IF(A9="","",N(INDEX(Projects[Systems Eng],8)))</f>
        <v/>
      </c>
      <c r="BN9" s="5">
        <f>IF(A9="","",N(INDEX(Projects[Mechanical Eng],8)))</f>
        <v/>
      </c>
      <c r="BO9" s="5">
        <f>IF(A9="","",N(INDEX(Projects[Structural Engineering],8)))</f>
        <v/>
      </c>
      <c r="BP9" s="5">
        <f>IF(A9="","",N(INDEX(Projects[Site Sup],8)))</f>
        <v/>
      </c>
      <c r="BQ9" s="5">
        <f>IF(A9="","",N(INDEX(Projects[Controls Commissioning],8)))</f>
        <v/>
      </c>
      <c r="BR9" s="5">
        <f>IF(A9="","",N(INDEX(Projects[Systems Commissioning],8)))</f>
        <v/>
      </c>
      <c r="BS9" s="5">
        <f>IF(A9="","",N(INDEX(Projects[Service Commissioning],8)))</f>
        <v/>
      </c>
      <c r="BT9" s="5">
        <f>IF(A9="","",N(INDEX(Projects[Controls Eng],8)))</f>
        <v/>
      </c>
      <c r="BU9" s="5">
        <f>IF(A9="","",N(INDEX(Projects[Controls Purchase],8)))</f>
        <v/>
      </c>
      <c r="BV9" s="5">
        <f>IF(A9="","",N(INDEX(Projects[Software Eng],8)))</f>
        <v/>
      </c>
      <c r="BW9" s="5">
        <f>IF(A9="","",N(INDEX(Projects[Misc],8)))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IF(A10="","",N(INDEX(Projects[Mech Inst],9)))</f>
        <v/>
      </c>
      <c r="BK10" s="5">
        <f>IF(A10="","",N(INDEX(Projects[Elec Inst],9)))</f>
        <v/>
      </c>
      <c r="BL10" s="5">
        <f>IF(A10="","",N(INDEX(Projects[Project Management],9)))</f>
        <v/>
      </c>
      <c r="BM10" s="5">
        <f>IF(A10="","",N(INDEX(Projects[Systems Eng],9)))</f>
        <v/>
      </c>
      <c r="BN10" s="5">
        <f>IF(A10="","",N(INDEX(Projects[Mechanical Eng],9)))</f>
        <v/>
      </c>
      <c r="BO10" s="5">
        <f>IF(A10="","",N(INDEX(Projects[Structural Engineering],9)))</f>
        <v/>
      </c>
      <c r="BP10" s="5">
        <f>IF(A10="","",N(INDEX(Projects[Site Sup],9)))</f>
        <v/>
      </c>
      <c r="BQ10" s="5">
        <f>IF(A10="","",N(INDEX(Projects[Controls Commissioning],9)))</f>
        <v/>
      </c>
      <c r="BR10" s="5">
        <f>IF(A10="","",N(INDEX(Projects[Systems Commissioning],9)))</f>
        <v/>
      </c>
      <c r="BS10" s="5">
        <f>IF(A10="","",N(INDEX(Projects[Service Commissioning],9)))</f>
        <v/>
      </c>
      <c r="BT10" s="5">
        <f>IF(A10="","",N(INDEX(Projects[Controls Eng],9)))</f>
        <v/>
      </c>
      <c r="BU10" s="5">
        <f>IF(A10="","",N(INDEX(Projects[Controls Purchase],9)))</f>
        <v/>
      </c>
      <c r="BV10" s="5">
        <f>IF(A10="","",N(INDEX(Projects[Software Eng],9)))</f>
        <v/>
      </c>
      <c r="BW10" s="5">
        <f>IF(A10="","",N(INDEX(Projects[Misc],9)))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IF(A11="","",N(INDEX(Projects[Mech Inst],10)))</f>
        <v/>
      </c>
      <c r="BK11" s="5">
        <f>IF(A11="","",N(INDEX(Projects[Elec Inst],10)))</f>
        <v/>
      </c>
      <c r="BL11" s="5">
        <f>IF(A11="","",N(INDEX(Projects[Project Management],10)))</f>
        <v/>
      </c>
      <c r="BM11" s="5">
        <f>IF(A11="","",N(INDEX(Projects[Systems Eng],10)))</f>
        <v/>
      </c>
      <c r="BN11" s="5">
        <f>IF(A11="","",N(INDEX(Projects[Mechanical Eng],10)))</f>
        <v/>
      </c>
      <c r="BO11" s="5">
        <f>IF(A11="","",N(INDEX(Projects[Structural Engineering],10)))</f>
        <v/>
      </c>
      <c r="BP11" s="5">
        <f>IF(A11="","",N(INDEX(Projects[Site Sup],10)))</f>
        <v/>
      </c>
      <c r="BQ11" s="5">
        <f>IF(A11="","",N(INDEX(Projects[Controls Commissioning],10)))</f>
        <v/>
      </c>
      <c r="BR11" s="5">
        <f>IF(A11="","",N(INDEX(Projects[Systems Commissioning],10)))</f>
        <v/>
      </c>
      <c r="BS11" s="5">
        <f>IF(A11="","",N(INDEX(Projects[Service Commissioning],10)))</f>
        <v/>
      </c>
      <c r="BT11" s="5">
        <f>IF(A11="","",N(INDEX(Projects[Controls Eng],10)))</f>
        <v/>
      </c>
      <c r="BU11" s="5">
        <f>IF(A11="","",N(INDEX(Projects[Controls Purchase],10)))</f>
        <v/>
      </c>
      <c r="BV11" s="5">
        <f>IF(A11="","",N(INDEX(Projects[Software Eng],10)))</f>
        <v/>
      </c>
      <c r="BW11" s="5">
        <f>IF(A11="","",N(INDEX(Projects[Misc],10)))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IF(A12="","",N(INDEX(Projects[Mech Inst],11)))</f>
        <v/>
      </c>
      <c r="BK12" s="5">
        <f>IF(A12="","",N(INDEX(Projects[Elec Inst],11)))</f>
        <v/>
      </c>
      <c r="BL12" s="5">
        <f>IF(A12="","",N(INDEX(Projects[Project Management],11)))</f>
        <v/>
      </c>
      <c r="BM12" s="5">
        <f>IF(A12="","",N(INDEX(Projects[Systems Eng],11)))</f>
        <v/>
      </c>
      <c r="BN12" s="5">
        <f>IF(A12="","",N(INDEX(Projects[Mechanical Eng],11)))</f>
        <v/>
      </c>
      <c r="BO12" s="5">
        <f>IF(A12="","",N(INDEX(Projects[Structural Engineering],11)))</f>
        <v/>
      </c>
      <c r="BP12" s="5">
        <f>IF(A12="","",N(INDEX(Projects[Site Sup],11)))</f>
        <v/>
      </c>
      <c r="BQ12" s="5">
        <f>IF(A12="","",N(INDEX(Projects[Controls Commissioning],11)))</f>
        <v/>
      </c>
      <c r="BR12" s="5">
        <f>IF(A12="","",N(INDEX(Projects[Systems Commissioning],11)))</f>
        <v/>
      </c>
      <c r="BS12" s="5">
        <f>IF(A12="","",N(INDEX(Projects[Service Commissioning],11)))</f>
        <v/>
      </c>
      <c r="BT12" s="5">
        <f>IF(A12="","",N(INDEX(Projects[Controls Eng],11)))</f>
        <v/>
      </c>
      <c r="BU12" s="5">
        <f>IF(A12="","",N(INDEX(Projects[Controls Purchase],11)))</f>
        <v/>
      </c>
      <c r="BV12" s="5">
        <f>IF(A12="","",N(INDEX(Projects[Software Eng],11)))</f>
        <v/>
      </c>
      <c r="BW12" s="5">
        <f>IF(A12="","",N(INDEX(Projects[Misc],11)))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IF(A13="","",N(INDEX(Projects[Mech Inst],12)))</f>
        <v/>
      </c>
      <c r="BK13" s="5">
        <f>IF(A13="","",N(INDEX(Projects[Elec Inst],12)))</f>
        <v/>
      </c>
      <c r="BL13" s="5">
        <f>IF(A13="","",N(INDEX(Projects[Project Management],12)))</f>
        <v/>
      </c>
      <c r="BM13" s="5">
        <f>IF(A13="","",N(INDEX(Projects[Systems Eng],12)))</f>
        <v/>
      </c>
      <c r="BN13" s="5">
        <f>IF(A13="","",N(INDEX(Projects[Mechanical Eng],12)))</f>
        <v/>
      </c>
      <c r="BO13" s="5">
        <f>IF(A13="","",N(INDEX(Projects[Structural Engineering],12)))</f>
        <v/>
      </c>
      <c r="BP13" s="5">
        <f>IF(A13="","",N(INDEX(Projects[Site Sup],12)))</f>
        <v/>
      </c>
      <c r="BQ13" s="5">
        <f>IF(A13="","",N(INDEX(Projects[Controls Commissioning],12)))</f>
        <v/>
      </c>
      <c r="BR13" s="5">
        <f>IF(A13="","",N(INDEX(Projects[Systems Commissioning],12)))</f>
        <v/>
      </c>
      <c r="BS13" s="5">
        <f>IF(A13="","",N(INDEX(Projects[Service Commissioning],12)))</f>
        <v/>
      </c>
      <c r="BT13" s="5">
        <f>IF(A13="","",N(INDEX(Projects[Controls Eng],12)))</f>
        <v/>
      </c>
      <c r="BU13" s="5">
        <f>IF(A13="","",N(INDEX(Projects[Controls Purchase],12)))</f>
        <v/>
      </c>
      <c r="BV13" s="5">
        <f>IF(A13="","",N(INDEX(Projects[Software Eng],12)))</f>
        <v/>
      </c>
      <c r="BW13" s="5">
        <f>IF(A13="","",N(INDEX(Projects[Misc],12)))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IF(A14="","",N(INDEX(Projects[Mech Inst],13)))</f>
        <v/>
      </c>
      <c r="BK14" s="5">
        <f>IF(A14="","",N(INDEX(Projects[Elec Inst],13)))</f>
        <v/>
      </c>
      <c r="BL14" s="5">
        <f>IF(A14="","",N(INDEX(Projects[Project Management],13)))</f>
        <v/>
      </c>
      <c r="BM14" s="5">
        <f>IF(A14="","",N(INDEX(Projects[Systems Eng],13)))</f>
        <v/>
      </c>
      <c r="BN14" s="5">
        <f>IF(A14="","",N(INDEX(Projects[Mechanical Eng],13)))</f>
        <v/>
      </c>
      <c r="BO14" s="5">
        <f>IF(A14="","",N(INDEX(Projects[Structural Engineering],13)))</f>
        <v/>
      </c>
      <c r="BP14" s="5">
        <f>IF(A14="","",N(INDEX(Projects[Site Sup],13)))</f>
        <v/>
      </c>
      <c r="BQ14" s="5">
        <f>IF(A14="","",N(INDEX(Projects[Controls Commissioning],13)))</f>
        <v/>
      </c>
      <c r="BR14" s="5">
        <f>IF(A14="","",N(INDEX(Projects[Systems Commissioning],13)))</f>
        <v/>
      </c>
      <c r="BS14" s="5">
        <f>IF(A14="","",N(INDEX(Projects[Service Commissioning],13)))</f>
        <v/>
      </c>
      <c r="BT14" s="5">
        <f>IF(A14="","",N(INDEX(Projects[Controls Eng],13)))</f>
        <v/>
      </c>
      <c r="BU14" s="5">
        <f>IF(A14="","",N(INDEX(Projects[Controls Purchase],13)))</f>
        <v/>
      </c>
      <c r="BV14" s="5">
        <f>IF(A14="","",N(INDEX(Projects[Software Eng],13)))</f>
        <v/>
      </c>
      <c r="BW14" s="5">
        <f>IF(A14="","",N(INDEX(Projects[Misc],13)))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IF(A15="","",N(INDEX(Projects[Mech Inst],14)))</f>
        <v/>
      </c>
      <c r="BK15" s="5">
        <f>IF(A15="","",N(INDEX(Projects[Elec Inst],14)))</f>
        <v/>
      </c>
      <c r="BL15" s="5">
        <f>IF(A15="","",N(INDEX(Projects[Project Management],14)))</f>
        <v/>
      </c>
      <c r="BM15" s="5">
        <f>IF(A15="","",N(INDEX(Projects[Systems Eng],14)))</f>
        <v/>
      </c>
      <c r="BN15" s="5">
        <f>IF(A15="","",N(INDEX(Projects[Mechanical Eng],14)))</f>
        <v/>
      </c>
      <c r="BO15" s="5">
        <f>IF(A15="","",N(INDEX(Projects[Structural Engineering],14)))</f>
        <v/>
      </c>
      <c r="BP15" s="5">
        <f>IF(A15="","",N(INDEX(Projects[Site Sup],14)))</f>
        <v/>
      </c>
      <c r="BQ15" s="5">
        <f>IF(A15="","",N(INDEX(Projects[Controls Commissioning],14)))</f>
        <v/>
      </c>
      <c r="BR15" s="5">
        <f>IF(A15="","",N(INDEX(Projects[Systems Commissioning],14)))</f>
        <v/>
      </c>
      <c r="BS15" s="5">
        <f>IF(A15="","",N(INDEX(Projects[Service Commissioning],14)))</f>
        <v/>
      </c>
      <c r="BT15" s="5">
        <f>IF(A15="","",N(INDEX(Projects[Controls Eng],14)))</f>
        <v/>
      </c>
      <c r="BU15" s="5">
        <f>IF(A15="","",N(INDEX(Projects[Controls Purchase],14)))</f>
        <v/>
      </c>
      <c r="BV15" s="5">
        <f>IF(A15="","",N(INDEX(Projects[Software Eng],14)))</f>
        <v/>
      </c>
      <c r="BW15" s="5">
        <f>IF(A15="","",N(INDEX(Projects[Misc],14)))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IF(A16="","",N(INDEX(Projects[Mech Inst],15)))</f>
        <v/>
      </c>
      <c r="BK16" s="5">
        <f>IF(A16="","",N(INDEX(Projects[Elec Inst],15)))</f>
        <v/>
      </c>
      <c r="BL16" s="5">
        <f>IF(A16="","",N(INDEX(Projects[Project Management],15)))</f>
        <v/>
      </c>
      <c r="BM16" s="5">
        <f>IF(A16="","",N(INDEX(Projects[Systems Eng],15)))</f>
        <v/>
      </c>
      <c r="BN16" s="5">
        <f>IF(A16="","",N(INDEX(Projects[Mechanical Eng],15)))</f>
        <v/>
      </c>
      <c r="BO16" s="5">
        <f>IF(A16="","",N(INDEX(Projects[Structural Engineering],15)))</f>
        <v/>
      </c>
      <c r="BP16" s="5">
        <f>IF(A16="","",N(INDEX(Projects[Site Sup],15)))</f>
        <v/>
      </c>
      <c r="BQ16" s="5">
        <f>IF(A16="","",N(INDEX(Projects[Controls Commissioning],15)))</f>
        <v/>
      </c>
      <c r="BR16" s="5">
        <f>IF(A16="","",N(INDEX(Projects[Systems Commissioning],15)))</f>
        <v/>
      </c>
      <c r="BS16" s="5">
        <f>IF(A16="","",N(INDEX(Projects[Service Commissioning],15)))</f>
        <v/>
      </c>
      <c r="BT16" s="5">
        <f>IF(A16="","",N(INDEX(Projects[Controls Eng],15)))</f>
        <v/>
      </c>
      <c r="BU16" s="5">
        <f>IF(A16="","",N(INDEX(Projects[Controls Purchase],15)))</f>
        <v/>
      </c>
      <c r="BV16" s="5">
        <f>IF(A16="","",N(INDEX(Projects[Software Eng],15)))</f>
        <v/>
      </c>
      <c r="BW16" s="5">
        <f>IF(A16="","",N(INDEX(Projects[Misc],15)))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IF(A17="","",N(INDEX(Projects[Mech Inst],16)))</f>
        <v/>
      </c>
      <c r="BK17" s="5">
        <f>IF(A17="","",N(INDEX(Projects[Elec Inst],16)))</f>
        <v/>
      </c>
      <c r="BL17" s="5">
        <f>IF(A17="","",N(INDEX(Projects[Project Management],16)))</f>
        <v/>
      </c>
      <c r="BM17" s="5">
        <f>IF(A17="","",N(INDEX(Projects[Systems Eng],16)))</f>
        <v/>
      </c>
      <c r="BN17" s="5">
        <f>IF(A17="","",N(INDEX(Projects[Mechanical Eng],16)))</f>
        <v/>
      </c>
      <c r="BO17" s="5">
        <f>IF(A17="","",N(INDEX(Projects[Structural Engineering],16)))</f>
        <v/>
      </c>
      <c r="BP17" s="5">
        <f>IF(A17="","",N(INDEX(Projects[Site Sup],16)))</f>
        <v/>
      </c>
      <c r="BQ17" s="5">
        <f>IF(A17="","",N(INDEX(Projects[Controls Commissioning],16)))</f>
        <v/>
      </c>
      <c r="BR17" s="5">
        <f>IF(A17="","",N(INDEX(Projects[Systems Commissioning],16)))</f>
        <v/>
      </c>
      <c r="BS17" s="5">
        <f>IF(A17="","",N(INDEX(Projects[Service Commissioning],16)))</f>
        <v/>
      </c>
      <c r="BT17" s="5">
        <f>IF(A17="","",N(INDEX(Projects[Controls Eng],16)))</f>
        <v/>
      </c>
      <c r="BU17" s="5">
        <f>IF(A17="","",N(INDEX(Projects[Controls Purchase],16)))</f>
        <v/>
      </c>
      <c r="BV17" s="5">
        <f>IF(A17="","",N(INDEX(Projects[Software Eng],16)))</f>
        <v/>
      </c>
      <c r="BW17" s="5">
        <f>IF(A17="","",N(INDEX(Projects[Misc],16)))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IF(A18="","",N(INDEX(Projects[Mech Inst],17)))</f>
        <v/>
      </c>
      <c r="BK18" s="5">
        <f>IF(A18="","",N(INDEX(Projects[Elec Inst],17)))</f>
        <v/>
      </c>
      <c r="BL18" s="5">
        <f>IF(A18="","",N(INDEX(Projects[Project Management],17)))</f>
        <v/>
      </c>
      <c r="BM18" s="5">
        <f>IF(A18="","",N(INDEX(Projects[Systems Eng],17)))</f>
        <v/>
      </c>
      <c r="BN18" s="5">
        <f>IF(A18="","",N(INDEX(Projects[Mechanical Eng],17)))</f>
        <v/>
      </c>
      <c r="BO18" s="5">
        <f>IF(A18="","",N(INDEX(Projects[Structural Engineering],17)))</f>
        <v/>
      </c>
      <c r="BP18" s="5">
        <f>IF(A18="","",N(INDEX(Projects[Site Sup],17)))</f>
        <v/>
      </c>
      <c r="BQ18" s="5">
        <f>IF(A18="","",N(INDEX(Projects[Controls Commissioning],17)))</f>
        <v/>
      </c>
      <c r="BR18" s="5">
        <f>IF(A18="","",N(INDEX(Projects[Systems Commissioning],17)))</f>
        <v/>
      </c>
      <c r="BS18" s="5">
        <f>IF(A18="","",N(INDEX(Projects[Service Commissioning],17)))</f>
        <v/>
      </c>
      <c r="BT18" s="5">
        <f>IF(A18="","",N(INDEX(Projects[Controls Eng],17)))</f>
        <v/>
      </c>
      <c r="BU18" s="5">
        <f>IF(A18="","",N(INDEX(Projects[Controls Purchase],17)))</f>
        <v/>
      </c>
      <c r="BV18" s="5">
        <f>IF(A18="","",N(INDEX(Projects[Software Eng],17)))</f>
        <v/>
      </c>
      <c r="BW18" s="5">
        <f>IF(A18="","",N(INDEX(Projects[Misc],17)))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IF(A19="","",N(INDEX(Projects[Mech Inst],18)))</f>
        <v/>
      </c>
      <c r="BK19" s="5">
        <f>IF(A19="","",N(INDEX(Projects[Elec Inst],18)))</f>
        <v/>
      </c>
      <c r="BL19" s="5">
        <f>IF(A19="","",N(INDEX(Projects[Project Management],18)))</f>
        <v/>
      </c>
      <c r="BM19" s="5">
        <f>IF(A19="","",N(INDEX(Projects[Systems Eng],18)))</f>
        <v/>
      </c>
      <c r="BN19" s="5">
        <f>IF(A19="","",N(INDEX(Projects[Mechanical Eng],18)))</f>
        <v/>
      </c>
      <c r="BO19" s="5">
        <f>IF(A19="","",N(INDEX(Projects[Structural Engineering],18)))</f>
        <v/>
      </c>
      <c r="BP19" s="5">
        <f>IF(A19="","",N(INDEX(Projects[Site Sup],18)))</f>
        <v/>
      </c>
      <c r="BQ19" s="5">
        <f>IF(A19="","",N(INDEX(Projects[Controls Commissioning],18)))</f>
        <v/>
      </c>
      <c r="BR19" s="5">
        <f>IF(A19="","",N(INDEX(Projects[Systems Commissioning],18)))</f>
        <v/>
      </c>
      <c r="BS19" s="5">
        <f>IF(A19="","",N(INDEX(Projects[Service Commissioning],18)))</f>
        <v/>
      </c>
      <c r="BT19" s="5">
        <f>IF(A19="","",N(INDEX(Projects[Controls Eng],18)))</f>
        <v/>
      </c>
      <c r="BU19" s="5">
        <f>IF(A19="","",N(INDEX(Projects[Controls Purchase],18)))</f>
        <v/>
      </c>
      <c r="BV19" s="5">
        <f>IF(A19="","",N(INDEX(Projects[Software Eng],18)))</f>
        <v/>
      </c>
      <c r="BW19" s="5">
        <f>IF(A19="","",N(INDEX(Projects[Misc],18)))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IF(A20="","",N(INDEX(Projects[Mech Inst],19)))</f>
        <v/>
      </c>
      <c r="BK20" s="5">
        <f>IF(A20="","",N(INDEX(Projects[Elec Inst],19)))</f>
        <v/>
      </c>
      <c r="BL20" s="5">
        <f>IF(A20="","",N(INDEX(Projects[Project Management],19)))</f>
        <v/>
      </c>
      <c r="BM20" s="5">
        <f>IF(A20="","",N(INDEX(Projects[Systems Eng],19)))</f>
        <v/>
      </c>
      <c r="BN20" s="5">
        <f>IF(A20="","",N(INDEX(Projects[Mechanical Eng],19)))</f>
        <v/>
      </c>
      <c r="BO20" s="5">
        <f>IF(A20="","",N(INDEX(Projects[Structural Engineering],19)))</f>
        <v/>
      </c>
      <c r="BP20" s="5">
        <f>IF(A20="","",N(INDEX(Projects[Site Sup],19)))</f>
        <v/>
      </c>
      <c r="BQ20" s="5">
        <f>IF(A20="","",N(INDEX(Projects[Controls Commissioning],19)))</f>
        <v/>
      </c>
      <c r="BR20" s="5">
        <f>IF(A20="","",N(INDEX(Projects[Systems Commissioning],19)))</f>
        <v/>
      </c>
      <c r="BS20" s="5">
        <f>IF(A20="","",N(INDEX(Projects[Service Commissioning],19)))</f>
        <v/>
      </c>
      <c r="BT20" s="5">
        <f>IF(A20="","",N(INDEX(Projects[Controls Eng],19)))</f>
        <v/>
      </c>
      <c r="BU20" s="5">
        <f>IF(A20="","",N(INDEX(Projects[Controls Purchase],19)))</f>
        <v/>
      </c>
      <c r="BV20" s="5">
        <f>IF(A20="","",N(INDEX(Projects[Software Eng],19)))</f>
        <v/>
      </c>
      <c r="BW20" s="5">
        <f>IF(A20="","",N(INDEX(Projects[Misc],19)))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IF(A21="","",N(INDEX(Projects[Mech Inst],20)))</f>
        <v/>
      </c>
      <c r="BK21" s="5">
        <f>IF(A21="","",N(INDEX(Projects[Elec Inst],20)))</f>
        <v/>
      </c>
      <c r="BL21" s="5">
        <f>IF(A21="","",N(INDEX(Projects[Project Management],20)))</f>
        <v/>
      </c>
      <c r="BM21" s="5">
        <f>IF(A21="","",N(INDEX(Projects[Systems Eng],20)))</f>
        <v/>
      </c>
      <c r="BN21" s="5">
        <f>IF(A21="","",N(INDEX(Projects[Mechanical Eng],20)))</f>
        <v/>
      </c>
      <c r="BO21" s="5">
        <f>IF(A21="","",N(INDEX(Projects[Structural Engineering],20)))</f>
        <v/>
      </c>
      <c r="BP21" s="5">
        <f>IF(A21="","",N(INDEX(Projects[Site Sup],20)))</f>
        <v/>
      </c>
      <c r="BQ21" s="5">
        <f>IF(A21="","",N(INDEX(Projects[Controls Commissioning],20)))</f>
        <v/>
      </c>
      <c r="BR21" s="5">
        <f>IF(A21="","",N(INDEX(Projects[Systems Commissioning],20)))</f>
        <v/>
      </c>
      <c r="BS21" s="5">
        <f>IF(A21="","",N(INDEX(Projects[Service Commissioning],20)))</f>
        <v/>
      </c>
      <c r="BT21" s="5">
        <f>IF(A21="","",N(INDEX(Projects[Controls Eng],20)))</f>
        <v/>
      </c>
      <c r="BU21" s="5">
        <f>IF(A21="","",N(INDEX(Projects[Controls Purchase],20)))</f>
        <v/>
      </c>
      <c r="BV21" s="5">
        <f>IF(A21="","",N(INDEX(Projects[Software Eng],20)))</f>
        <v/>
      </c>
      <c r="BW21" s="5">
        <f>IF(A21="","",N(INDEX(Projects[Misc],20)))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IF(A22="","",N(INDEX(Projects[Mech Inst],21)))</f>
        <v/>
      </c>
      <c r="BK22" s="5">
        <f>IF(A22="","",N(INDEX(Projects[Elec Inst],21)))</f>
        <v/>
      </c>
      <c r="BL22" s="5">
        <f>IF(A22="","",N(INDEX(Projects[Project Management],21)))</f>
        <v/>
      </c>
      <c r="BM22" s="5">
        <f>IF(A22="","",N(INDEX(Projects[Systems Eng],21)))</f>
        <v/>
      </c>
      <c r="BN22" s="5">
        <f>IF(A22="","",N(INDEX(Projects[Mechanical Eng],21)))</f>
        <v/>
      </c>
      <c r="BO22" s="5">
        <f>IF(A22="","",N(INDEX(Projects[Structural Engineering],21)))</f>
        <v/>
      </c>
      <c r="BP22" s="5">
        <f>IF(A22="","",N(INDEX(Projects[Site Sup],21)))</f>
        <v/>
      </c>
      <c r="BQ22" s="5">
        <f>IF(A22="","",N(INDEX(Projects[Controls Commissioning],21)))</f>
        <v/>
      </c>
      <c r="BR22" s="5">
        <f>IF(A22="","",N(INDEX(Projects[Systems Commissioning],21)))</f>
        <v/>
      </c>
      <c r="BS22" s="5">
        <f>IF(A22="","",N(INDEX(Projects[Service Commissioning],21)))</f>
        <v/>
      </c>
      <c r="BT22" s="5">
        <f>IF(A22="","",N(INDEX(Projects[Controls Eng],21)))</f>
        <v/>
      </c>
      <c r="BU22" s="5">
        <f>IF(A22="","",N(INDEX(Projects[Controls Purchase],21)))</f>
        <v/>
      </c>
      <c r="BV22" s="5">
        <f>IF(A22="","",N(INDEX(Projects[Software Eng],21)))</f>
        <v/>
      </c>
      <c r="BW22" s="5">
        <f>IF(A22="","",N(INDEX(Projects[Misc],21)))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IF(A23="","",N(INDEX(Projects[Mech Inst],22)))</f>
        <v/>
      </c>
      <c r="BK23" s="5">
        <f>IF(A23="","",N(INDEX(Projects[Elec Inst],22)))</f>
        <v/>
      </c>
      <c r="BL23" s="5">
        <f>IF(A23="","",N(INDEX(Projects[Project Management],22)))</f>
        <v/>
      </c>
      <c r="BM23" s="5">
        <f>IF(A23="","",N(INDEX(Projects[Systems Eng],22)))</f>
        <v/>
      </c>
      <c r="BN23" s="5">
        <f>IF(A23="","",N(INDEX(Projects[Mechanical Eng],22)))</f>
        <v/>
      </c>
      <c r="BO23" s="5">
        <f>IF(A23="","",N(INDEX(Projects[Structural Engineering],22)))</f>
        <v/>
      </c>
      <c r="BP23" s="5">
        <f>IF(A23="","",N(INDEX(Projects[Site Sup],22)))</f>
        <v/>
      </c>
      <c r="BQ23" s="5">
        <f>IF(A23="","",N(INDEX(Projects[Controls Commissioning],22)))</f>
        <v/>
      </c>
      <c r="BR23" s="5">
        <f>IF(A23="","",N(INDEX(Projects[Systems Commissioning],22)))</f>
        <v/>
      </c>
      <c r="BS23" s="5">
        <f>IF(A23="","",N(INDEX(Projects[Service Commissioning],22)))</f>
        <v/>
      </c>
      <c r="BT23" s="5">
        <f>IF(A23="","",N(INDEX(Projects[Controls Eng],22)))</f>
        <v/>
      </c>
      <c r="BU23" s="5">
        <f>IF(A23="","",N(INDEX(Projects[Controls Purchase],22)))</f>
        <v/>
      </c>
      <c r="BV23" s="5">
        <f>IF(A23="","",N(INDEX(Projects[Software Eng],22)))</f>
        <v/>
      </c>
      <c r="BW23" s="5">
        <f>IF(A23="","",N(INDEX(Projects[Misc],22)))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IF(A24="","",N(INDEX(Projects[Mech Inst],23)))</f>
        <v/>
      </c>
      <c r="BK24" s="5">
        <f>IF(A24="","",N(INDEX(Projects[Elec Inst],23)))</f>
        <v/>
      </c>
      <c r="BL24" s="5">
        <f>IF(A24="","",N(INDEX(Projects[Project Management],23)))</f>
        <v/>
      </c>
      <c r="BM24" s="5">
        <f>IF(A24="","",N(INDEX(Projects[Systems Eng],23)))</f>
        <v/>
      </c>
      <c r="BN24" s="5">
        <f>IF(A24="","",N(INDEX(Projects[Mechanical Eng],23)))</f>
        <v/>
      </c>
      <c r="BO24" s="5">
        <f>IF(A24="","",N(INDEX(Projects[Structural Engineering],23)))</f>
        <v/>
      </c>
      <c r="BP24" s="5">
        <f>IF(A24="","",N(INDEX(Projects[Site Sup],23)))</f>
        <v/>
      </c>
      <c r="BQ24" s="5">
        <f>IF(A24="","",N(INDEX(Projects[Controls Commissioning],23)))</f>
        <v/>
      </c>
      <c r="BR24" s="5">
        <f>IF(A24="","",N(INDEX(Projects[Systems Commissioning],23)))</f>
        <v/>
      </c>
      <c r="BS24" s="5">
        <f>IF(A24="","",N(INDEX(Projects[Service Commissioning],23)))</f>
        <v/>
      </c>
      <c r="BT24" s="5">
        <f>IF(A24="","",N(INDEX(Projects[Controls Eng],23)))</f>
        <v/>
      </c>
      <c r="BU24" s="5">
        <f>IF(A24="","",N(INDEX(Projects[Controls Purchase],23)))</f>
        <v/>
      </c>
      <c r="BV24" s="5">
        <f>IF(A24="","",N(INDEX(Projects[Software Eng],23)))</f>
        <v/>
      </c>
      <c r="BW24" s="5">
        <f>IF(A24="","",N(INDEX(Projects[Misc],23)))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IF(A25="","",N(INDEX(Projects[Mech Inst],24)))</f>
        <v/>
      </c>
      <c r="BK25" s="5">
        <f>IF(A25="","",N(INDEX(Projects[Elec Inst],24)))</f>
        <v/>
      </c>
      <c r="BL25" s="5">
        <f>IF(A25="","",N(INDEX(Projects[Project Management],24)))</f>
        <v/>
      </c>
      <c r="BM25" s="5">
        <f>IF(A25="","",N(INDEX(Projects[Systems Eng],24)))</f>
        <v/>
      </c>
      <c r="BN25" s="5">
        <f>IF(A25="","",N(INDEX(Projects[Mechanical Eng],24)))</f>
        <v/>
      </c>
      <c r="BO25" s="5">
        <f>IF(A25="","",N(INDEX(Projects[Structural Engineering],24)))</f>
        <v/>
      </c>
      <c r="BP25" s="5">
        <f>IF(A25="","",N(INDEX(Projects[Site Sup],24)))</f>
        <v/>
      </c>
      <c r="BQ25" s="5">
        <f>IF(A25="","",N(INDEX(Projects[Controls Commissioning],24)))</f>
        <v/>
      </c>
      <c r="BR25" s="5">
        <f>IF(A25="","",N(INDEX(Projects[Systems Commissioning],24)))</f>
        <v/>
      </c>
      <c r="BS25" s="5">
        <f>IF(A25="","",N(INDEX(Projects[Service Commissioning],24)))</f>
        <v/>
      </c>
      <c r="BT25" s="5">
        <f>IF(A25="","",N(INDEX(Projects[Controls Eng],24)))</f>
        <v/>
      </c>
      <c r="BU25" s="5">
        <f>IF(A25="","",N(INDEX(Projects[Controls Purchase],24)))</f>
        <v/>
      </c>
      <c r="BV25" s="5">
        <f>IF(A25="","",N(INDEX(Projects[Software Eng],24)))</f>
        <v/>
      </c>
      <c r="BW25" s="5">
        <f>IF(A25="","",N(INDEX(Projects[Misc],24)))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IF(A26="","",N(INDEX(Projects[Mech Inst],25)))</f>
        <v/>
      </c>
      <c r="BK26" s="5">
        <f>IF(A26="","",N(INDEX(Projects[Elec Inst],25)))</f>
        <v/>
      </c>
      <c r="BL26" s="5">
        <f>IF(A26="","",N(INDEX(Projects[Project Management],25)))</f>
        <v/>
      </c>
      <c r="BM26" s="5">
        <f>IF(A26="","",N(INDEX(Projects[Systems Eng],25)))</f>
        <v/>
      </c>
      <c r="BN26" s="5">
        <f>IF(A26="","",N(INDEX(Projects[Mechanical Eng],25)))</f>
        <v/>
      </c>
      <c r="BO26" s="5">
        <f>IF(A26="","",N(INDEX(Projects[Structural Engineering],25)))</f>
        <v/>
      </c>
      <c r="BP26" s="5">
        <f>IF(A26="","",N(INDEX(Projects[Site Sup],25)))</f>
        <v/>
      </c>
      <c r="BQ26" s="5">
        <f>IF(A26="","",N(INDEX(Projects[Controls Commissioning],25)))</f>
        <v/>
      </c>
      <c r="BR26" s="5">
        <f>IF(A26="","",N(INDEX(Projects[Systems Commissioning],25)))</f>
        <v/>
      </c>
      <c r="BS26" s="5">
        <f>IF(A26="","",N(INDEX(Projects[Service Commissioning],25)))</f>
        <v/>
      </c>
      <c r="BT26" s="5">
        <f>IF(A26="","",N(INDEX(Projects[Controls Eng],25)))</f>
        <v/>
      </c>
      <c r="BU26" s="5">
        <f>IF(A26="","",N(INDEX(Projects[Controls Purchase],25)))</f>
        <v/>
      </c>
      <c r="BV26" s="5">
        <f>IF(A26="","",N(INDEX(Projects[Software Eng],25)))</f>
        <v/>
      </c>
      <c r="BW26" s="5">
        <f>IF(A26="","",N(INDEX(Projects[Misc],25)))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IF(A27="","",N(INDEX(Projects[Mech Inst],26)))</f>
        <v/>
      </c>
      <c r="BK27" s="5">
        <f>IF(A27="","",N(INDEX(Projects[Elec Inst],26)))</f>
        <v/>
      </c>
      <c r="BL27" s="5">
        <f>IF(A27="","",N(INDEX(Projects[Project Management],26)))</f>
        <v/>
      </c>
      <c r="BM27" s="5">
        <f>IF(A27="","",N(INDEX(Projects[Systems Eng],26)))</f>
        <v/>
      </c>
      <c r="BN27" s="5">
        <f>IF(A27="","",N(INDEX(Projects[Mechanical Eng],26)))</f>
        <v/>
      </c>
      <c r="BO27" s="5">
        <f>IF(A27="","",N(INDEX(Projects[Structural Engineering],26)))</f>
        <v/>
      </c>
      <c r="BP27" s="5">
        <f>IF(A27="","",N(INDEX(Projects[Site Sup],26)))</f>
        <v/>
      </c>
      <c r="BQ27" s="5">
        <f>IF(A27="","",N(INDEX(Projects[Controls Commissioning],26)))</f>
        <v/>
      </c>
      <c r="BR27" s="5">
        <f>IF(A27="","",N(INDEX(Projects[Systems Commissioning],26)))</f>
        <v/>
      </c>
      <c r="BS27" s="5">
        <f>IF(A27="","",N(INDEX(Projects[Service Commissioning],26)))</f>
        <v/>
      </c>
      <c r="BT27" s="5">
        <f>IF(A27="","",N(INDEX(Projects[Controls Eng],26)))</f>
        <v/>
      </c>
      <c r="BU27" s="5">
        <f>IF(A27="","",N(INDEX(Projects[Controls Purchase],26)))</f>
        <v/>
      </c>
      <c r="BV27" s="5">
        <f>IF(A27="","",N(INDEX(Projects[Software Eng],26)))</f>
        <v/>
      </c>
      <c r="BW27" s="5">
        <f>IF(A27="","",N(INDEX(Projects[Misc],26)))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IF(A28="","",N(INDEX(Projects[Mech Inst],27)))</f>
        <v/>
      </c>
      <c r="BK28" s="5">
        <f>IF(A28="","",N(INDEX(Projects[Elec Inst],27)))</f>
        <v/>
      </c>
      <c r="BL28" s="5">
        <f>IF(A28="","",N(INDEX(Projects[Project Management],27)))</f>
        <v/>
      </c>
      <c r="BM28" s="5">
        <f>IF(A28="","",N(INDEX(Projects[Systems Eng],27)))</f>
        <v/>
      </c>
      <c r="BN28" s="5">
        <f>IF(A28="","",N(INDEX(Projects[Mechanical Eng],27)))</f>
        <v/>
      </c>
      <c r="BO28" s="5">
        <f>IF(A28="","",N(INDEX(Projects[Structural Engineering],27)))</f>
        <v/>
      </c>
      <c r="BP28" s="5">
        <f>IF(A28="","",N(INDEX(Projects[Site Sup],27)))</f>
        <v/>
      </c>
      <c r="BQ28" s="5">
        <f>IF(A28="","",N(INDEX(Projects[Controls Commissioning],27)))</f>
        <v/>
      </c>
      <c r="BR28" s="5">
        <f>IF(A28="","",N(INDEX(Projects[Systems Commissioning],27)))</f>
        <v/>
      </c>
      <c r="BS28" s="5">
        <f>IF(A28="","",N(INDEX(Projects[Service Commissioning],27)))</f>
        <v/>
      </c>
      <c r="BT28" s="5">
        <f>IF(A28="","",N(INDEX(Projects[Controls Eng],27)))</f>
        <v/>
      </c>
      <c r="BU28" s="5">
        <f>IF(A28="","",N(INDEX(Projects[Controls Purchase],27)))</f>
        <v/>
      </c>
      <c r="BV28" s="5">
        <f>IF(A28="","",N(INDEX(Projects[Software Eng],27)))</f>
        <v/>
      </c>
      <c r="BW28" s="5">
        <f>IF(A28="","",N(INDEX(Projects[Misc],27)))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IF(A29="","",N(INDEX(Projects[Mech Inst],28)))</f>
        <v/>
      </c>
      <c r="BK29" s="5">
        <f>IF(A29="","",N(INDEX(Projects[Elec Inst],28)))</f>
        <v/>
      </c>
      <c r="BL29" s="5">
        <f>IF(A29="","",N(INDEX(Projects[Project Management],28)))</f>
        <v/>
      </c>
      <c r="BM29" s="5">
        <f>IF(A29="","",N(INDEX(Projects[Systems Eng],28)))</f>
        <v/>
      </c>
      <c r="BN29" s="5">
        <f>IF(A29="","",N(INDEX(Projects[Mechanical Eng],28)))</f>
        <v/>
      </c>
      <c r="BO29" s="5">
        <f>IF(A29="","",N(INDEX(Projects[Structural Engineering],28)))</f>
        <v/>
      </c>
      <c r="BP29" s="5">
        <f>IF(A29="","",N(INDEX(Projects[Site Sup],28)))</f>
        <v/>
      </c>
      <c r="BQ29" s="5">
        <f>IF(A29="","",N(INDEX(Projects[Controls Commissioning],28)))</f>
        <v/>
      </c>
      <c r="BR29" s="5">
        <f>IF(A29="","",N(INDEX(Projects[Systems Commissioning],28)))</f>
        <v/>
      </c>
      <c r="BS29" s="5">
        <f>IF(A29="","",N(INDEX(Projects[Service Commissioning],28)))</f>
        <v/>
      </c>
      <c r="BT29" s="5">
        <f>IF(A29="","",N(INDEX(Projects[Controls Eng],28)))</f>
        <v/>
      </c>
      <c r="BU29" s="5">
        <f>IF(A29="","",N(INDEX(Projects[Controls Purchase],28)))</f>
        <v/>
      </c>
      <c r="BV29" s="5">
        <f>IF(A29="","",N(INDEX(Projects[Software Eng],28)))</f>
        <v/>
      </c>
      <c r="BW29" s="5">
        <f>IF(A29="","",N(INDEX(Projects[Misc],28)))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IF(A30="","",N(INDEX(Projects[Mech Inst],29)))</f>
        <v/>
      </c>
      <c r="BK30" s="5">
        <f>IF(A30="","",N(INDEX(Projects[Elec Inst],29)))</f>
        <v/>
      </c>
      <c r="BL30" s="5">
        <f>IF(A30="","",N(INDEX(Projects[Project Management],29)))</f>
        <v/>
      </c>
      <c r="BM30" s="5">
        <f>IF(A30="","",N(INDEX(Projects[Systems Eng],29)))</f>
        <v/>
      </c>
      <c r="BN30" s="5">
        <f>IF(A30="","",N(INDEX(Projects[Mechanical Eng],29)))</f>
        <v/>
      </c>
      <c r="BO30" s="5">
        <f>IF(A30="","",N(INDEX(Projects[Structural Engineering],29)))</f>
        <v/>
      </c>
      <c r="BP30" s="5">
        <f>IF(A30="","",N(INDEX(Projects[Site Sup],29)))</f>
        <v/>
      </c>
      <c r="BQ30" s="5">
        <f>IF(A30="","",N(INDEX(Projects[Controls Commissioning],29)))</f>
        <v/>
      </c>
      <c r="BR30" s="5">
        <f>IF(A30="","",N(INDEX(Projects[Systems Commissioning],29)))</f>
        <v/>
      </c>
      <c r="BS30" s="5">
        <f>IF(A30="","",N(INDEX(Projects[Service Commissioning],29)))</f>
        <v/>
      </c>
      <c r="BT30" s="5">
        <f>IF(A30="","",N(INDEX(Projects[Controls Eng],29)))</f>
        <v/>
      </c>
      <c r="BU30" s="5">
        <f>IF(A30="","",N(INDEX(Projects[Controls Purchase],29)))</f>
        <v/>
      </c>
      <c r="BV30" s="5">
        <f>IF(A30="","",N(INDEX(Projects[Software Eng],29)))</f>
        <v/>
      </c>
      <c r="BW30" s="5">
        <f>IF(A30="","",N(INDEX(Projects[Misc],29)))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IF(A31="","",N(INDEX(Projects[Mech Inst],30)))</f>
        <v/>
      </c>
      <c r="BK31" s="5">
        <f>IF(A31="","",N(INDEX(Projects[Elec Inst],30)))</f>
        <v/>
      </c>
      <c r="BL31" s="5">
        <f>IF(A31="","",N(INDEX(Projects[Project Management],30)))</f>
        <v/>
      </c>
      <c r="BM31" s="5">
        <f>IF(A31="","",N(INDEX(Projects[Systems Eng],30)))</f>
        <v/>
      </c>
      <c r="BN31" s="5">
        <f>IF(A31="","",N(INDEX(Projects[Mechanical Eng],30)))</f>
        <v/>
      </c>
      <c r="BO31" s="5">
        <f>IF(A31="","",N(INDEX(Projects[Structural Engineering],30)))</f>
        <v/>
      </c>
      <c r="BP31" s="5">
        <f>IF(A31="","",N(INDEX(Projects[Site Sup],30)))</f>
        <v/>
      </c>
      <c r="BQ31" s="5">
        <f>IF(A31="","",N(INDEX(Projects[Controls Commissioning],30)))</f>
        <v/>
      </c>
      <c r="BR31" s="5">
        <f>IF(A31="","",N(INDEX(Projects[Systems Commissioning],30)))</f>
        <v/>
      </c>
      <c r="BS31" s="5">
        <f>IF(A31="","",N(INDEX(Projects[Service Commissioning],30)))</f>
        <v/>
      </c>
      <c r="BT31" s="5">
        <f>IF(A31="","",N(INDEX(Projects[Controls Eng],30)))</f>
        <v/>
      </c>
      <c r="BU31" s="5">
        <f>IF(A31="","",N(INDEX(Projects[Controls Purchase],30)))</f>
        <v/>
      </c>
      <c r="BV31" s="5">
        <f>IF(A31="","",N(INDEX(Projects[Software Eng],30)))</f>
        <v/>
      </c>
      <c r="BW31" s="5">
        <f>IF(A31="","",N(INDEX(Projects[Misc],30)))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IF(A32="","",N(INDEX(Projects[Mech Inst],31)))</f>
        <v/>
      </c>
      <c r="BK32" s="5">
        <f>IF(A32="","",N(INDEX(Projects[Elec Inst],31)))</f>
        <v/>
      </c>
      <c r="BL32" s="5">
        <f>IF(A32="","",N(INDEX(Projects[Project Management],31)))</f>
        <v/>
      </c>
      <c r="BM32" s="5">
        <f>IF(A32="","",N(INDEX(Projects[Systems Eng],31)))</f>
        <v/>
      </c>
      <c r="BN32" s="5">
        <f>IF(A32="","",N(INDEX(Projects[Mechanical Eng],31)))</f>
        <v/>
      </c>
      <c r="BO32" s="5">
        <f>IF(A32="","",N(INDEX(Projects[Structural Engineering],31)))</f>
        <v/>
      </c>
      <c r="BP32" s="5">
        <f>IF(A32="","",N(INDEX(Projects[Site Sup],31)))</f>
        <v/>
      </c>
      <c r="BQ32" s="5">
        <f>IF(A32="","",N(INDEX(Projects[Controls Commissioning],31)))</f>
        <v/>
      </c>
      <c r="BR32" s="5">
        <f>IF(A32="","",N(INDEX(Projects[Systems Commissioning],31)))</f>
        <v/>
      </c>
      <c r="BS32" s="5">
        <f>IF(A32="","",N(INDEX(Projects[Service Commissioning],31)))</f>
        <v/>
      </c>
      <c r="BT32" s="5">
        <f>IF(A32="","",N(INDEX(Projects[Controls Eng],31)))</f>
        <v/>
      </c>
      <c r="BU32" s="5">
        <f>IF(A32="","",N(INDEX(Projects[Controls Purchase],31)))</f>
        <v/>
      </c>
      <c r="BV32" s="5">
        <f>IF(A32="","",N(INDEX(Projects[Software Eng],31)))</f>
        <v/>
      </c>
      <c r="BW32" s="5">
        <f>IF(A32="","",N(INDEX(Projects[Misc],31)))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IF(A33="","",N(INDEX(Projects[Mech Inst],32)))</f>
        <v/>
      </c>
      <c r="BK33" s="5">
        <f>IF(A33="","",N(INDEX(Projects[Elec Inst],32)))</f>
        <v/>
      </c>
      <c r="BL33" s="5">
        <f>IF(A33="","",N(INDEX(Projects[Project Management],32)))</f>
        <v/>
      </c>
      <c r="BM33" s="5">
        <f>IF(A33="","",N(INDEX(Projects[Systems Eng],32)))</f>
        <v/>
      </c>
      <c r="BN33" s="5">
        <f>IF(A33="","",N(INDEX(Projects[Mechanical Eng],32)))</f>
        <v/>
      </c>
      <c r="BO33" s="5">
        <f>IF(A33="","",N(INDEX(Projects[Structural Engineering],32)))</f>
        <v/>
      </c>
      <c r="BP33" s="5">
        <f>IF(A33="","",N(INDEX(Projects[Site Sup],32)))</f>
        <v/>
      </c>
      <c r="BQ33" s="5">
        <f>IF(A33="","",N(INDEX(Projects[Controls Commissioning],32)))</f>
        <v/>
      </c>
      <c r="BR33" s="5">
        <f>IF(A33="","",N(INDEX(Projects[Systems Commissioning],32)))</f>
        <v/>
      </c>
      <c r="BS33" s="5">
        <f>IF(A33="","",N(INDEX(Projects[Service Commissioning],32)))</f>
        <v/>
      </c>
      <c r="BT33" s="5">
        <f>IF(A33="","",N(INDEX(Projects[Controls Eng],32)))</f>
        <v/>
      </c>
      <c r="BU33" s="5">
        <f>IF(A33="","",N(INDEX(Projects[Controls Purchase],32)))</f>
        <v/>
      </c>
      <c r="BV33" s="5">
        <f>IF(A33="","",N(INDEX(Projects[Software Eng],32)))</f>
        <v/>
      </c>
      <c r="BW33" s="5">
        <f>IF(A33="","",N(INDEX(Projects[Misc],32)))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IF(A34="","",N(INDEX(Projects[Mech Inst],33)))</f>
        <v/>
      </c>
      <c r="BK34" s="5">
        <f>IF(A34="","",N(INDEX(Projects[Elec Inst],33)))</f>
        <v/>
      </c>
      <c r="BL34" s="5">
        <f>IF(A34="","",N(INDEX(Projects[Project Management],33)))</f>
        <v/>
      </c>
      <c r="BM34" s="5">
        <f>IF(A34="","",N(INDEX(Projects[Systems Eng],33)))</f>
        <v/>
      </c>
      <c r="BN34" s="5">
        <f>IF(A34="","",N(INDEX(Projects[Mechanical Eng],33)))</f>
        <v/>
      </c>
      <c r="BO34" s="5">
        <f>IF(A34="","",N(INDEX(Projects[Structural Engineering],33)))</f>
        <v/>
      </c>
      <c r="BP34" s="5">
        <f>IF(A34="","",N(INDEX(Projects[Site Sup],33)))</f>
        <v/>
      </c>
      <c r="BQ34" s="5">
        <f>IF(A34="","",N(INDEX(Projects[Controls Commissioning],33)))</f>
        <v/>
      </c>
      <c r="BR34" s="5">
        <f>IF(A34="","",N(INDEX(Projects[Systems Commissioning],33)))</f>
        <v/>
      </c>
      <c r="BS34" s="5">
        <f>IF(A34="","",N(INDEX(Projects[Service Commissioning],33)))</f>
        <v/>
      </c>
      <c r="BT34" s="5">
        <f>IF(A34="","",N(INDEX(Projects[Controls Eng],33)))</f>
        <v/>
      </c>
      <c r="BU34" s="5">
        <f>IF(A34="","",N(INDEX(Projects[Controls Purchase],33)))</f>
        <v/>
      </c>
      <c r="BV34" s="5">
        <f>IF(A34="","",N(INDEX(Projects[Software Eng],33)))</f>
        <v/>
      </c>
      <c r="BW34" s="5">
        <f>IF(A34="","",N(INDEX(Projects[Misc],33)))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IF(A35="","",N(INDEX(Projects[Mech Inst],34)))</f>
        <v/>
      </c>
      <c r="BK35" s="5">
        <f>IF(A35="","",N(INDEX(Projects[Elec Inst],34)))</f>
        <v/>
      </c>
      <c r="BL35" s="5">
        <f>IF(A35="","",N(INDEX(Projects[Project Management],34)))</f>
        <v/>
      </c>
      <c r="BM35" s="5">
        <f>IF(A35="","",N(INDEX(Projects[Systems Eng],34)))</f>
        <v/>
      </c>
      <c r="BN35" s="5">
        <f>IF(A35="","",N(INDEX(Projects[Mechanical Eng],34)))</f>
        <v/>
      </c>
      <c r="BO35" s="5">
        <f>IF(A35="","",N(INDEX(Projects[Structural Engineering],34)))</f>
        <v/>
      </c>
      <c r="BP35" s="5">
        <f>IF(A35="","",N(INDEX(Projects[Site Sup],34)))</f>
        <v/>
      </c>
      <c r="BQ35" s="5">
        <f>IF(A35="","",N(INDEX(Projects[Controls Commissioning],34)))</f>
        <v/>
      </c>
      <c r="BR35" s="5">
        <f>IF(A35="","",N(INDEX(Projects[Systems Commissioning],34)))</f>
        <v/>
      </c>
      <c r="BS35" s="5">
        <f>IF(A35="","",N(INDEX(Projects[Service Commissioning],34)))</f>
        <v/>
      </c>
      <c r="BT35" s="5">
        <f>IF(A35="","",N(INDEX(Projects[Controls Eng],34)))</f>
        <v/>
      </c>
      <c r="BU35" s="5">
        <f>IF(A35="","",N(INDEX(Projects[Controls Purchase],34)))</f>
        <v/>
      </c>
      <c r="BV35" s="5">
        <f>IF(A35="","",N(INDEX(Projects[Software Eng],34)))</f>
        <v/>
      </c>
      <c r="BW35" s="5">
        <f>IF(A35="","",N(INDEX(Projects[Misc],34)))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IF(A36="","",N(INDEX(Projects[Mech Inst],35)))</f>
        <v/>
      </c>
      <c r="BK36" s="5">
        <f>IF(A36="","",N(INDEX(Projects[Elec Inst],35)))</f>
        <v/>
      </c>
      <c r="BL36" s="5">
        <f>IF(A36="","",N(INDEX(Projects[Project Management],35)))</f>
        <v/>
      </c>
      <c r="BM36" s="5">
        <f>IF(A36="","",N(INDEX(Projects[Systems Eng],35)))</f>
        <v/>
      </c>
      <c r="BN36" s="5">
        <f>IF(A36="","",N(INDEX(Projects[Mechanical Eng],35)))</f>
        <v/>
      </c>
      <c r="BO36" s="5">
        <f>IF(A36="","",N(INDEX(Projects[Structural Engineering],35)))</f>
        <v/>
      </c>
      <c r="BP36" s="5">
        <f>IF(A36="","",N(INDEX(Projects[Site Sup],35)))</f>
        <v/>
      </c>
      <c r="BQ36" s="5">
        <f>IF(A36="","",N(INDEX(Projects[Controls Commissioning],35)))</f>
        <v/>
      </c>
      <c r="BR36" s="5">
        <f>IF(A36="","",N(INDEX(Projects[Systems Commissioning],35)))</f>
        <v/>
      </c>
      <c r="BS36" s="5">
        <f>IF(A36="","",N(INDEX(Projects[Service Commissioning],35)))</f>
        <v/>
      </c>
      <c r="BT36" s="5">
        <f>IF(A36="","",N(INDEX(Projects[Controls Eng],35)))</f>
        <v/>
      </c>
      <c r="BU36" s="5">
        <f>IF(A36="","",N(INDEX(Projects[Controls Purchase],35)))</f>
        <v/>
      </c>
      <c r="BV36" s="5">
        <f>IF(A36="","",N(INDEX(Projects[Software Eng],35)))</f>
        <v/>
      </c>
      <c r="BW36" s="5">
        <f>IF(A36="","",N(INDEX(Projects[Misc],35)))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IF(A37="","",N(INDEX(Projects[Mech Inst],36)))</f>
        <v/>
      </c>
      <c r="BK37" s="5">
        <f>IF(A37="","",N(INDEX(Projects[Elec Inst],36)))</f>
        <v/>
      </c>
      <c r="BL37" s="5">
        <f>IF(A37="","",N(INDEX(Projects[Project Management],36)))</f>
        <v/>
      </c>
      <c r="BM37" s="5">
        <f>IF(A37="","",N(INDEX(Projects[Systems Eng],36)))</f>
        <v/>
      </c>
      <c r="BN37" s="5">
        <f>IF(A37="","",N(INDEX(Projects[Mechanical Eng],36)))</f>
        <v/>
      </c>
      <c r="BO37" s="5">
        <f>IF(A37="","",N(INDEX(Projects[Structural Engineering],36)))</f>
        <v/>
      </c>
      <c r="BP37" s="5">
        <f>IF(A37="","",N(INDEX(Projects[Site Sup],36)))</f>
        <v/>
      </c>
      <c r="BQ37" s="5">
        <f>IF(A37="","",N(INDEX(Projects[Controls Commissioning],36)))</f>
        <v/>
      </c>
      <c r="BR37" s="5">
        <f>IF(A37="","",N(INDEX(Projects[Systems Commissioning],36)))</f>
        <v/>
      </c>
      <c r="BS37" s="5">
        <f>IF(A37="","",N(INDEX(Projects[Service Commissioning],36)))</f>
        <v/>
      </c>
      <c r="BT37" s="5">
        <f>IF(A37="","",N(INDEX(Projects[Controls Eng],36)))</f>
        <v/>
      </c>
      <c r="BU37" s="5">
        <f>IF(A37="","",N(INDEX(Projects[Controls Purchase],36)))</f>
        <v/>
      </c>
      <c r="BV37" s="5">
        <f>IF(A37="","",N(INDEX(Projects[Software Eng],36)))</f>
        <v/>
      </c>
      <c r="BW37" s="5">
        <f>IF(A37="","",N(INDEX(Projects[Misc],36)))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IF(A38="","",N(INDEX(Projects[Mech Inst],37)))</f>
        <v/>
      </c>
      <c r="BK38" s="5">
        <f>IF(A38="","",N(INDEX(Projects[Elec Inst],37)))</f>
        <v/>
      </c>
      <c r="BL38" s="5">
        <f>IF(A38="","",N(INDEX(Projects[Project Management],37)))</f>
        <v/>
      </c>
      <c r="BM38" s="5">
        <f>IF(A38="","",N(INDEX(Projects[Systems Eng],37)))</f>
        <v/>
      </c>
      <c r="BN38" s="5">
        <f>IF(A38="","",N(INDEX(Projects[Mechanical Eng],37)))</f>
        <v/>
      </c>
      <c r="BO38" s="5">
        <f>IF(A38="","",N(INDEX(Projects[Structural Engineering],37)))</f>
        <v/>
      </c>
      <c r="BP38" s="5">
        <f>IF(A38="","",N(INDEX(Projects[Site Sup],37)))</f>
        <v/>
      </c>
      <c r="BQ38" s="5">
        <f>IF(A38="","",N(INDEX(Projects[Controls Commissioning],37)))</f>
        <v/>
      </c>
      <c r="BR38" s="5">
        <f>IF(A38="","",N(INDEX(Projects[Systems Commissioning],37)))</f>
        <v/>
      </c>
      <c r="BS38" s="5">
        <f>IF(A38="","",N(INDEX(Projects[Service Commissioning],37)))</f>
        <v/>
      </c>
      <c r="BT38" s="5">
        <f>IF(A38="","",N(INDEX(Projects[Controls Eng],37)))</f>
        <v/>
      </c>
      <c r="BU38" s="5">
        <f>IF(A38="","",N(INDEX(Projects[Controls Purchase],37)))</f>
        <v/>
      </c>
      <c r="BV38" s="5">
        <f>IF(A38="","",N(INDEX(Projects[Software Eng],37)))</f>
        <v/>
      </c>
      <c r="BW38" s="5">
        <f>IF(A38="","",N(INDEX(Projects[Misc],37)))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IF(A39="","",N(INDEX(Projects[Mech Inst],38)))</f>
        <v/>
      </c>
      <c r="BK39" s="5">
        <f>IF(A39="","",N(INDEX(Projects[Elec Inst],38)))</f>
        <v/>
      </c>
      <c r="BL39" s="5">
        <f>IF(A39="","",N(INDEX(Projects[Project Management],38)))</f>
        <v/>
      </c>
      <c r="BM39" s="5">
        <f>IF(A39="","",N(INDEX(Projects[Systems Eng],38)))</f>
        <v/>
      </c>
      <c r="BN39" s="5">
        <f>IF(A39="","",N(INDEX(Projects[Mechanical Eng],38)))</f>
        <v/>
      </c>
      <c r="BO39" s="5">
        <f>IF(A39="","",N(INDEX(Projects[Structural Engineering],38)))</f>
        <v/>
      </c>
      <c r="BP39" s="5">
        <f>IF(A39="","",N(INDEX(Projects[Site Sup],38)))</f>
        <v/>
      </c>
      <c r="BQ39" s="5">
        <f>IF(A39="","",N(INDEX(Projects[Controls Commissioning],38)))</f>
        <v/>
      </c>
      <c r="BR39" s="5">
        <f>IF(A39="","",N(INDEX(Projects[Systems Commissioning],38)))</f>
        <v/>
      </c>
      <c r="BS39" s="5">
        <f>IF(A39="","",N(INDEX(Projects[Service Commissioning],38)))</f>
        <v/>
      </c>
      <c r="BT39" s="5">
        <f>IF(A39="","",N(INDEX(Projects[Controls Eng],38)))</f>
        <v/>
      </c>
      <c r="BU39" s="5">
        <f>IF(A39="","",N(INDEX(Projects[Controls Purchase],38)))</f>
        <v/>
      </c>
      <c r="BV39" s="5">
        <f>IF(A39="","",N(INDEX(Projects[Software Eng],38)))</f>
        <v/>
      </c>
      <c r="BW39" s="5">
        <f>IF(A39="","",N(INDEX(Projects[Misc],38)))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IF(A40="","",N(INDEX(Projects[Mech Inst],39)))</f>
        <v/>
      </c>
      <c r="BK40" s="5">
        <f>IF(A40="","",N(INDEX(Projects[Elec Inst],39)))</f>
        <v/>
      </c>
      <c r="BL40" s="5">
        <f>IF(A40="","",N(INDEX(Projects[Project Management],39)))</f>
        <v/>
      </c>
      <c r="BM40" s="5">
        <f>IF(A40="","",N(INDEX(Projects[Systems Eng],39)))</f>
        <v/>
      </c>
      <c r="BN40" s="5">
        <f>IF(A40="","",N(INDEX(Projects[Mechanical Eng],39)))</f>
        <v/>
      </c>
      <c r="BO40" s="5">
        <f>IF(A40="","",N(INDEX(Projects[Structural Engineering],39)))</f>
        <v/>
      </c>
      <c r="BP40" s="5">
        <f>IF(A40="","",N(INDEX(Projects[Site Sup],39)))</f>
        <v/>
      </c>
      <c r="BQ40" s="5">
        <f>IF(A40="","",N(INDEX(Projects[Controls Commissioning],39)))</f>
        <v/>
      </c>
      <c r="BR40" s="5">
        <f>IF(A40="","",N(INDEX(Projects[Systems Commissioning],39)))</f>
        <v/>
      </c>
      <c r="BS40" s="5">
        <f>IF(A40="","",N(INDEX(Projects[Service Commissioning],39)))</f>
        <v/>
      </c>
      <c r="BT40" s="5">
        <f>IF(A40="","",N(INDEX(Projects[Controls Eng],39)))</f>
        <v/>
      </c>
      <c r="BU40" s="5">
        <f>IF(A40="","",N(INDEX(Projects[Controls Purchase],39)))</f>
        <v/>
      </c>
      <c r="BV40" s="5">
        <f>IF(A40="","",N(INDEX(Projects[Software Eng],39)))</f>
        <v/>
      </c>
      <c r="BW40" s="5">
        <f>IF(A40="","",N(INDEX(Projects[Misc],39)))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IF(A41="","",N(INDEX(Projects[Mech Inst],40)))</f>
        <v/>
      </c>
      <c r="BK41" s="5">
        <f>IF(A41="","",N(INDEX(Projects[Elec Inst],40)))</f>
        <v/>
      </c>
      <c r="BL41" s="5">
        <f>IF(A41="","",N(INDEX(Projects[Project Management],40)))</f>
        <v/>
      </c>
      <c r="BM41" s="5">
        <f>IF(A41="","",N(INDEX(Projects[Systems Eng],40)))</f>
        <v/>
      </c>
      <c r="BN41" s="5">
        <f>IF(A41="","",N(INDEX(Projects[Mechanical Eng],40)))</f>
        <v/>
      </c>
      <c r="BO41" s="5">
        <f>IF(A41="","",N(INDEX(Projects[Structural Engineering],40)))</f>
        <v/>
      </c>
      <c r="BP41" s="5">
        <f>IF(A41="","",N(INDEX(Projects[Site Sup],40)))</f>
        <v/>
      </c>
      <c r="BQ41" s="5">
        <f>IF(A41="","",N(INDEX(Projects[Controls Commissioning],40)))</f>
        <v/>
      </c>
      <c r="BR41" s="5">
        <f>IF(A41="","",N(INDEX(Projects[Systems Commissioning],40)))</f>
        <v/>
      </c>
      <c r="BS41" s="5">
        <f>IF(A41="","",N(INDEX(Projects[Service Commissioning],40)))</f>
        <v/>
      </c>
      <c r="BT41" s="5">
        <f>IF(A41="","",N(INDEX(Projects[Controls Eng],40)))</f>
        <v/>
      </c>
      <c r="BU41" s="5">
        <f>IF(A41="","",N(INDEX(Projects[Controls Purchase],40)))</f>
        <v/>
      </c>
      <c r="BV41" s="5">
        <f>IF(A41="","",N(INDEX(Projects[Software Eng],40)))</f>
        <v/>
      </c>
      <c r="BW41" s="5">
        <f>IF(A41="","",N(INDEX(Projects[Misc],40)))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IF(A42="","",N(INDEX(Projects[Mech Inst],41)))</f>
        <v/>
      </c>
      <c r="BK42" s="5">
        <f>IF(A42="","",N(INDEX(Projects[Elec Inst],41)))</f>
        <v/>
      </c>
      <c r="BL42" s="5">
        <f>IF(A42="","",N(INDEX(Projects[Project Management],41)))</f>
        <v/>
      </c>
      <c r="BM42" s="5">
        <f>IF(A42="","",N(INDEX(Projects[Systems Eng],41)))</f>
        <v/>
      </c>
      <c r="BN42" s="5">
        <f>IF(A42="","",N(INDEX(Projects[Mechanical Eng],41)))</f>
        <v/>
      </c>
      <c r="BO42" s="5">
        <f>IF(A42="","",N(INDEX(Projects[Structural Engineering],41)))</f>
        <v/>
      </c>
      <c r="BP42" s="5">
        <f>IF(A42="","",N(INDEX(Projects[Site Sup],41)))</f>
        <v/>
      </c>
      <c r="BQ42" s="5">
        <f>IF(A42="","",N(INDEX(Projects[Controls Commissioning],41)))</f>
        <v/>
      </c>
      <c r="BR42" s="5">
        <f>IF(A42="","",N(INDEX(Projects[Systems Commissioning],41)))</f>
        <v/>
      </c>
      <c r="BS42" s="5">
        <f>IF(A42="","",N(INDEX(Projects[Service Commissioning],41)))</f>
        <v/>
      </c>
      <c r="BT42" s="5">
        <f>IF(A42="","",N(INDEX(Projects[Controls Eng],41)))</f>
        <v/>
      </c>
      <c r="BU42" s="5">
        <f>IF(A42="","",N(INDEX(Projects[Controls Purchase],41)))</f>
        <v/>
      </c>
      <c r="BV42" s="5">
        <f>IF(A42="","",N(INDEX(Projects[Software Eng],41)))</f>
        <v/>
      </c>
      <c r="BW42" s="5">
        <f>IF(A42="","",N(INDEX(Projects[Misc],41)))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IF(A43="","",N(INDEX(Projects[Mech Inst],42)))</f>
        <v/>
      </c>
      <c r="BK43" s="5">
        <f>IF(A43="","",N(INDEX(Projects[Elec Inst],42)))</f>
        <v/>
      </c>
      <c r="BL43" s="5">
        <f>IF(A43="","",N(INDEX(Projects[Project Management],42)))</f>
        <v/>
      </c>
      <c r="BM43" s="5">
        <f>IF(A43="","",N(INDEX(Projects[Systems Eng],42)))</f>
        <v/>
      </c>
      <c r="BN43" s="5">
        <f>IF(A43="","",N(INDEX(Projects[Mechanical Eng],42)))</f>
        <v/>
      </c>
      <c r="BO43" s="5">
        <f>IF(A43="","",N(INDEX(Projects[Structural Engineering],42)))</f>
        <v/>
      </c>
      <c r="BP43" s="5">
        <f>IF(A43="","",N(INDEX(Projects[Site Sup],42)))</f>
        <v/>
      </c>
      <c r="BQ43" s="5">
        <f>IF(A43="","",N(INDEX(Projects[Controls Commissioning],42)))</f>
        <v/>
      </c>
      <c r="BR43" s="5">
        <f>IF(A43="","",N(INDEX(Projects[Systems Commissioning],42)))</f>
        <v/>
      </c>
      <c r="BS43" s="5">
        <f>IF(A43="","",N(INDEX(Projects[Service Commissioning],42)))</f>
        <v/>
      </c>
      <c r="BT43" s="5">
        <f>IF(A43="","",N(INDEX(Projects[Controls Eng],42)))</f>
        <v/>
      </c>
      <c r="BU43" s="5">
        <f>IF(A43="","",N(INDEX(Projects[Controls Purchase],42)))</f>
        <v/>
      </c>
      <c r="BV43" s="5">
        <f>IF(A43="","",N(INDEX(Projects[Software Eng],42)))</f>
        <v/>
      </c>
      <c r="BW43" s="5">
        <f>IF(A43="","",N(INDEX(Projects[Misc],42)))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IF(A44="","",N(INDEX(Projects[Mech Inst],43)))</f>
        <v/>
      </c>
      <c r="BK44" s="5">
        <f>IF(A44="","",N(INDEX(Projects[Elec Inst],43)))</f>
        <v/>
      </c>
      <c r="BL44" s="5">
        <f>IF(A44="","",N(INDEX(Projects[Project Management],43)))</f>
        <v/>
      </c>
      <c r="BM44" s="5">
        <f>IF(A44="","",N(INDEX(Projects[Systems Eng],43)))</f>
        <v/>
      </c>
      <c r="BN44" s="5">
        <f>IF(A44="","",N(INDEX(Projects[Mechanical Eng],43)))</f>
        <v/>
      </c>
      <c r="BO44" s="5">
        <f>IF(A44="","",N(INDEX(Projects[Structural Engineering],43)))</f>
        <v/>
      </c>
      <c r="BP44" s="5">
        <f>IF(A44="","",N(INDEX(Projects[Site Sup],43)))</f>
        <v/>
      </c>
      <c r="BQ44" s="5">
        <f>IF(A44="","",N(INDEX(Projects[Controls Commissioning],43)))</f>
        <v/>
      </c>
      <c r="BR44" s="5">
        <f>IF(A44="","",N(INDEX(Projects[Systems Commissioning],43)))</f>
        <v/>
      </c>
      <c r="BS44" s="5">
        <f>IF(A44="","",N(INDEX(Projects[Service Commissioning],43)))</f>
        <v/>
      </c>
      <c r="BT44" s="5">
        <f>IF(A44="","",N(INDEX(Projects[Controls Eng],43)))</f>
        <v/>
      </c>
      <c r="BU44" s="5">
        <f>IF(A44="","",N(INDEX(Projects[Controls Purchase],43)))</f>
        <v/>
      </c>
      <c r="BV44" s="5">
        <f>IF(A44="","",N(INDEX(Projects[Software Eng],43)))</f>
        <v/>
      </c>
      <c r="BW44" s="5">
        <f>IF(A44="","",N(INDEX(Projects[Misc],43)))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IF(A45="","",N(INDEX(Projects[Mech Inst],44)))</f>
        <v/>
      </c>
      <c r="BK45" s="5">
        <f>IF(A45="","",N(INDEX(Projects[Elec Inst],44)))</f>
        <v/>
      </c>
      <c r="BL45" s="5">
        <f>IF(A45="","",N(INDEX(Projects[Project Management],44)))</f>
        <v/>
      </c>
      <c r="BM45" s="5">
        <f>IF(A45="","",N(INDEX(Projects[Systems Eng],44)))</f>
        <v/>
      </c>
      <c r="BN45" s="5">
        <f>IF(A45="","",N(INDEX(Projects[Mechanical Eng],44)))</f>
        <v/>
      </c>
      <c r="BO45" s="5">
        <f>IF(A45="","",N(INDEX(Projects[Structural Engineering],44)))</f>
        <v/>
      </c>
      <c r="BP45" s="5">
        <f>IF(A45="","",N(INDEX(Projects[Site Sup],44)))</f>
        <v/>
      </c>
      <c r="BQ45" s="5">
        <f>IF(A45="","",N(INDEX(Projects[Controls Commissioning],44)))</f>
        <v/>
      </c>
      <c r="BR45" s="5">
        <f>IF(A45="","",N(INDEX(Projects[Systems Commissioning],44)))</f>
        <v/>
      </c>
      <c r="BS45" s="5">
        <f>IF(A45="","",N(INDEX(Projects[Service Commissioning],44)))</f>
        <v/>
      </c>
      <c r="BT45" s="5">
        <f>IF(A45="","",N(INDEX(Projects[Controls Eng],44)))</f>
        <v/>
      </c>
      <c r="BU45" s="5">
        <f>IF(A45="","",N(INDEX(Projects[Controls Purchase],44)))</f>
        <v/>
      </c>
      <c r="BV45" s="5">
        <f>IF(A45="","",N(INDEX(Projects[Software Eng],44)))</f>
        <v/>
      </c>
      <c r="BW45" s="5">
        <f>IF(A45="","",N(INDEX(Projects[Misc],44)))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IF(A46="","",N(INDEX(Projects[Mech Inst],45)))</f>
        <v/>
      </c>
      <c r="BK46" s="5">
        <f>IF(A46="","",N(INDEX(Projects[Elec Inst],45)))</f>
        <v/>
      </c>
      <c r="BL46" s="5">
        <f>IF(A46="","",N(INDEX(Projects[Project Management],45)))</f>
        <v/>
      </c>
      <c r="BM46" s="5">
        <f>IF(A46="","",N(INDEX(Projects[Systems Eng],45)))</f>
        <v/>
      </c>
      <c r="BN46" s="5">
        <f>IF(A46="","",N(INDEX(Projects[Mechanical Eng],45)))</f>
        <v/>
      </c>
      <c r="BO46" s="5">
        <f>IF(A46="","",N(INDEX(Projects[Structural Engineering],45)))</f>
        <v/>
      </c>
      <c r="BP46" s="5">
        <f>IF(A46="","",N(INDEX(Projects[Site Sup],45)))</f>
        <v/>
      </c>
      <c r="BQ46" s="5">
        <f>IF(A46="","",N(INDEX(Projects[Controls Commissioning],45)))</f>
        <v/>
      </c>
      <c r="BR46" s="5">
        <f>IF(A46="","",N(INDEX(Projects[Systems Commissioning],45)))</f>
        <v/>
      </c>
      <c r="BS46" s="5">
        <f>IF(A46="","",N(INDEX(Projects[Service Commissioning],45)))</f>
        <v/>
      </c>
      <c r="BT46" s="5">
        <f>IF(A46="","",N(INDEX(Projects[Controls Eng],45)))</f>
        <v/>
      </c>
      <c r="BU46" s="5">
        <f>IF(A46="","",N(INDEX(Projects[Controls Purchase],45)))</f>
        <v/>
      </c>
      <c r="BV46" s="5">
        <f>IF(A46="","",N(INDEX(Projects[Software Eng],45)))</f>
        <v/>
      </c>
      <c r="BW46" s="5">
        <f>IF(A46="","",N(INDEX(Projects[Misc],45)))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IF(A47="","",N(INDEX(Projects[Mech Inst],46)))</f>
        <v/>
      </c>
      <c r="BK47" s="5">
        <f>IF(A47="","",N(INDEX(Projects[Elec Inst],46)))</f>
        <v/>
      </c>
      <c r="BL47" s="5">
        <f>IF(A47="","",N(INDEX(Projects[Project Management],46)))</f>
        <v/>
      </c>
      <c r="BM47" s="5">
        <f>IF(A47="","",N(INDEX(Projects[Systems Eng],46)))</f>
        <v/>
      </c>
      <c r="BN47" s="5">
        <f>IF(A47="","",N(INDEX(Projects[Mechanical Eng],46)))</f>
        <v/>
      </c>
      <c r="BO47" s="5">
        <f>IF(A47="","",N(INDEX(Projects[Structural Engineering],46)))</f>
        <v/>
      </c>
      <c r="BP47" s="5">
        <f>IF(A47="","",N(INDEX(Projects[Site Sup],46)))</f>
        <v/>
      </c>
      <c r="BQ47" s="5">
        <f>IF(A47="","",N(INDEX(Projects[Controls Commissioning],46)))</f>
        <v/>
      </c>
      <c r="BR47" s="5">
        <f>IF(A47="","",N(INDEX(Projects[Systems Commissioning],46)))</f>
        <v/>
      </c>
      <c r="BS47" s="5">
        <f>IF(A47="","",N(INDEX(Projects[Service Commissioning],46)))</f>
        <v/>
      </c>
      <c r="BT47" s="5">
        <f>IF(A47="","",N(INDEX(Projects[Controls Eng],46)))</f>
        <v/>
      </c>
      <c r="BU47" s="5">
        <f>IF(A47="","",N(INDEX(Projects[Controls Purchase],46)))</f>
        <v/>
      </c>
      <c r="BV47" s="5">
        <f>IF(A47="","",N(INDEX(Projects[Software Eng],46)))</f>
        <v/>
      </c>
      <c r="BW47" s="5">
        <f>IF(A47="","",N(INDEX(Projects[Misc],46)))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IF(A48="","",N(INDEX(Projects[Mech Inst],47)))</f>
        <v/>
      </c>
      <c r="BK48" s="5">
        <f>IF(A48="","",N(INDEX(Projects[Elec Inst],47)))</f>
        <v/>
      </c>
      <c r="BL48" s="5">
        <f>IF(A48="","",N(INDEX(Projects[Project Management],47)))</f>
        <v/>
      </c>
      <c r="BM48" s="5">
        <f>IF(A48="","",N(INDEX(Projects[Systems Eng],47)))</f>
        <v/>
      </c>
      <c r="BN48" s="5">
        <f>IF(A48="","",N(INDEX(Projects[Mechanical Eng],47)))</f>
        <v/>
      </c>
      <c r="BO48" s="5">
        <f>IF(A48="","",N(INDEX(Projects[Structural Engineering],47)))</f>
        <v/>
      </c>
      <c r="BP48" s="5">
        <f>IF(A48="","",N(INDEX(Projects[Site Sup],47)))</f>
        <v/>
      </c>
      <c r="BQ48" s="5">
        <f>IF(A48="","",N(INDEX(Projects[Controls Commissioning],47)))</f>
        <v/>
      </c>
      <c r="BR48" s="5">
        <f>IF(A48="","",N(INDEX(Projects[Systems Commissioning],47)))</f>
        <v/>
      </c>
      <c r="BS48" s="5">
        <f>IF(A48="","",N(INDEX(Projects[Service Commissioning],47)))</f>
        <v/>
      </c>
      <c r="BT48" s="5">
        <f>IF(A48="","",N(INDEX(Projects[Controls Eng],47)))</f>
        <v/>
      </c>
      <c r="BU48" s="5">
        <f>IF(A48="","",N(INDEX(Projects[Controls Purchase],47)))</f>
        <v/>
      </c>
      <c r="BV48" s="5">
        <f>IF(A48="","",N(INDEX(Projects[Software Eng],47)))</f>
        <v/>
      </c>
      <c r="BW48" s="5">
        <f>IF(A48="","",N(INDEX(Projects[Misc],47)))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IF(A49="","",N(INDEX(Projects[Mech Inst],48)))</f>
        <v/>
      </c>
      <c r="BK49" s="5">
        <f>IF(A49="","",N(INDEX(Projects[Elec Inst],48)))</f>
        <v/>
      </c>
      <c r="BL49" s="5">
        <f>IF(A49="","",N(INDEX(Projects[Project Management],48)))</f>
        <v/>
      </c>
      <c r="BM49" s="5">
        <f>IF(A49="","",N(INDEX(Projects[Systems Eng],48)))</f>
        <v/>
      </c>
      <c r="BN49" s="5">
        <f>IF(A49="","",N(INDEX(Projects[Mechanical Eng],48)))</f>
        <v/>
      </c>
      <c r="BO49" s="5">
        <f>IF(A49="","",N(INDEX(Projects[Structural Engineering],48)))</f>
        <v/>
      </c>
      <c r="BP49" s="5">
        <f>IF(A49="","",N(INDEX(Projects[Site Sup],48)))</f>
        <v/>
      </c>
      <c r="BQ49" s="5">
        <f>IF(A49="","",N(INDEX(Projects[Controls Commissioning],48)))</f>
        <v/>
      </c>
      <c r="BR49" s="5">
        <f>IF(A49="","",N(INDEX(Projects[Systems Commissioning],48)))</f>
        <v/>
      </c>
      <c r="BS49" s="5">
        <f>IF(A49="","",N(INDEX(Projects[Service Commissioning],48)))</f>
        <v/>
      </c>
      <c r="BT49" s="5">
        <f>IF(A49="","",N(INDEX(Projects[Controls Eng],48)))</f>
        <v/>
      </c>
      <c r="BU49" s="5">
        <f>IF(A49="","",N(INDEX(Projects[Controls Purchase],48)))</f>
        <v/>
      </c>
      <c r="BV49" s="5">
        <f>IF(A49="","",N(INDEX(Projects[Software Eng],48)))</f>
        <v/>
      </c>
      <c r="BW49" s="5">
        <f>IF(A49="","",N(INDEX(Projects[Misc],48)))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IF(A50="","",N(INDEX(Projects[Mech Inst],49)))</f>
        <v/>
      </c>
      <c r="BK50" s="5">
        <f>IF(A50="","",N(INDEX(Projects[Elec Inst],49)))</f>
        <v/>
      </c>
      <c r="BL50" s="5">
        <f>IF(A50="","",N(INDEX(Projects[Project Management],49)))</f>
        <v/>
      </c>
      <c r="BM50" s="5">
        <f>IF(A50="","",N(INDEX(Projects[Systems Eng],49)))</f>
        <v/>
      </c>
      <c r="BN50" s="5">
        <f>IF(A50="","",N(INDEX(Projects[Mechanical Eng],49)))</f>
        <v/>
      </c>
      <c r="BO50" s="5">
        <f>IF(A50="","",N(INDEX(Projects[Structural Engineering],49)))</f>
        <v/>
      </c>
      <c r="BP50" s="5">
        <f>IF(A50="","",N(INDEX(Projects[Site Sup],49)))</f>
        <v/>
      </c>
      <c r="BQ50" s="5">
        <f>IF(A50="","",N(INDEX(Projects[Controls Commissioning],49)))</f>
        <v/>
      </c>
      <c r="BR50" s="5">
        <f>IF(A50="","",N(INDEX(Projects[Systems Commissioning],49)))</f>
        <v/>
      </c>
      <c r="BS50" s="5">
        <f>IF(A50="","",N(INDEX(Projects[Service Commissioning],49)))</f>
        <v/>
      </c>
      <c r="BT50" s="5">
        <f>IF(A50="","",N(INDEX(Projects[Controls Eng],49)))</f>
        <v/>
      </c>
      <c r="BU50" s="5">
        <f>IF(A50="","",N(INDEX(Projects[Controls Purchase],49)))</f>
        <v/>
      </c>
      <c r="BV50" s="5">
        <f>IF(A50="","",N(INDEX(Projects[Software Eng],49)))</f>
        <v/>
      </c>
      <c r="BW50" s="5">
        <f>IF(A50="","",N(INDEX(Projects[Misc],49)))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IF(A51="","",N(INDEX(Projects[Mech Inst],50)))</f>
        <v/>
      </c>
      <c r="BK51" s="5">
        <f>IF(A51="","",N(INDEX(Projects[Elec Inst],50)))</f>
        <v/>
      </c>
      <c r="BL51" s="5">
        <f>IF(A51="","",N(INDEX(Projects[Project Management],50)))</f>
        <v/>
      </c>
      <c r="BM51" s="5">
        <f>IF(A51="","",N(INDEX(Projects[Systems Eng],50)))</f>
        <v/>
      </c>
      <c r="BN51" s="5">
        <f>IF(A51="","",N(INDEX(Projects[Mechanical Eng],50)))</f>
        <v/>
      </c>
      <c r="BO51" s="5">
        <f>IF(A51="","",N(INDEX(Projects[Structural Engineering],50)))</f>
        <v/>
      </c>
      <c r="BP51" s="5">
        <f>IF(A51="","",N(INDEX(Projects[Site Sup],50)))</f>
        <v/>
      </c>
      <c r="BQ51" s="5">
        <f>IF(A51="","",N(INDEX(Projects[Controls Commissioning],50)))</f>
        <v/>
      </c>
      <c r="BR51" s="5">
        <f>IF(A51="","",N(INDEX(Projects[Systems Commissioning],50)))</f>
        <v/>
      </c>
      <c r="BS51" s="5">
        <f>IF(A51="","",N(INDEX(Projects[Service Commissioning],50)))</f>
        <v/>
      </c>
      <c r="BT51" s="5">
        <f>IF(A51="","",N(INDEX(Projects[Controls Eng],50)))</f>
        <v/>
      </c>
      <c r="BU51" s="5">
        <f>IF(A51="","",N(INDEX(Projects[Controls Purchase],50)))</f>
        <v/>
      </c>
      <c r="BV51" s="5">
        <f>IF(A51="","",N(INDEX(Projects[Software Eng],50)))</f>
        <v/>
      </c>
      <c r="BW51" s="5">
        <f>IF(A51="","",N(INDEX(Projects[Misc],50)))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IF(A52="","",N(INDEX(Projects[Mech Inst],51)))</f>
        <v/>
      </c>
      <c r="BK52" s="5">
        <f>IF(A52="","",N(INDEX(Projects[Elec Inst],51)))</f>
        <v/>
      </c>
      <c r="BL52" s="5">
        <f>IF(A52="","",N(INDEX(Projects[Project Management],51)))</f>
        <v/>
      </c>
      <c r="BM52" s="5">
        <f>IF(A52="","",N(INDEX(Projects[Systems Eng],51)))</f>
        <v/>
      </c>
      <c r="BN52" s="5">
        <f>IF(A52="","",N(INDEX(Projects[Mechanical Eng],51)))</f>
        <v/>
      </c>
      <c r="BO52" s="5">
        <f>IF(A52="","",N(INDEX(Projects[Structural Engineering],51)))</f>
        <v/>
      </c>
      <c r="BP52" s="5">
        <f>IF(A52="","",N(INDEX(Projects[Site Sup],51)))</f>
        <v/>
      </c>
      <c r="BQ52" s="5">
        <f>IF(A52="","",N(INDEX(Projects[Controls Commissioning],51)))</f>
        <v/>
      </c>
      <c r="BR52" s="5">
        <f>IF(A52="","",N(INDEX(Projects[Systems Commissioning],51)))</f>
        <v/>
      </c>
      <c r="BS52" s="5">
        <f>IF(A52="","",N(INDEX(Projects[Service Commissioning],51)))</f>
        <v/>
      </c>
      <c r="BT52" s="5">
        <f>IF(A52="","",N(INDEX(Projects[Controls Eng],51)))</f>
        <v/>
      </c>
      <c r="BU52" s="5">
        <f>IF(A52="","",N(INDEX(Projects[Controls Purchase],51)))</f>
        <v/>
      </c>
      <c r="BV52" s="5">
        <f>IF(A52="","",N(INDEX(Projects[Software Eng],51)))</f>
        <v/>
      </c>
      <c r="BW52" s="5">
        <f>IF(A52="","",N(INDEX(Projects[Misc],51)))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IF(A53="","",N(INDEX(Projects[Mech Inst],52)))</f>
        <v/>
      </c>
      <c r="BK53" s="5">
        <f>IF(A53="","",N(INDEX(Projects[Elec Inst],52)))</f>
        <v/>
      </c>
      <c r="BL53" s="5">
        <f>IF(A53="","",N(INDEX(Projects[Project Management],52)))</f>
        <v/>
      </c>
      <c r="BM53" s="5">
        <f>IF(A53="","",N(INDEX(Projects[Systems Eng],52)))</f>
        <v/>
      </c>
      <c r="BN53" s="5">
        <f>IF(A53="","",N(INDEX(Projects[Mechanical Eng],52)))</f>
        <v/>
      </c>
      <c r="BO53" s="5">
        <f>IF(A53="","",N(INDEX(Projects[Structural Engineering],52)))</f>
        <v/>
      </c>
      <c r="BP53" s="5">
        <f>IF(A53="","",N(INDEX(Projects[Site Sup],52)))</f>
        <v/>
      </c>
      <c r="BQ53" s="5">
        <f>IF(A53="","",N(INDEX(Projects[Controls Commissioning],52)))</f>
        <v/>
      </c>
      <c r="BR53" s="5">
        <f>IF(A53="","",N(INDEX(Projects[Systems Commissioning],52)))</f>
        <v/>
      </c>
      <c r="BS53" s="5">
        <f>IF(A53="","",N(INDEX(Projects[Service Commissioning],52)))</f>
        <v/>
      </c>
      <c r="BT53" s="5">
        <f>IF(A53="","",N(INDEX(Projects[Controls Eng],52)))</f>
        <v/>
      </c>
      <c r="BU53" s="5">
        <f>IF(A53="","",N(INDEX(Projects[Controls Purchase],52)))</f>
        <v/>
      </c>
      <c r="BV53" s="5">
        <f>IF(A53="","",N(INDEX(Projects[Software Eng],52)))</f>
        <v/>
      </c>
      <c r="BW53" s="5">
        <f>IF(A53="","",N(INDEX(Projects[Misc],52)))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IF(A54="","",N(INDEX(Projects[Mech Inst],53)))</f>
        <v/>
      </c>
      <c r="BK54" s="5">
        <f>IF(A54="","",N(INDEX(Projects[Elec Inst],53)))</f>
        <v/>
      </c>
      <c r="BL54" s="5">
        <f>IF(A54="","",N(INDEX(Projects[Project Management],53)))</f>
        <v/>
      </c>
      <c r="BM54" s="5">
        <f>IF(A54="","",N(INDEX(Projects[Systems Eng],53)))</f>
        <v/>
      </c>
      <c r="BN54" s="5">
        <f>IF(A54="","",N(INDEX(Projects[Mechanical Eng],53)))</f>
        <v/>
      </c>
      <c r="BO54" s="5">
        <f>IF(A54="","",N(INDEX(Projects[Structural Engineering],53)))</f>
        <v/>
      </c>
      <c r="BP54" s="5">
        <f>IF(A54="","",N(INDEX(Projects[Site Sup],53)))</f>
        <v/>
      </c>
      <c r="BQ54" s="5">
        <f>IF(A54="","",N(INDEX(Projects[Controls Commissioning],53)))</f>
        <v/>
      </c>
      <c r="BR54" s="5">
        <f>IF(A54="","",N(INDEX(Projects[Systems Commissioning],53)))</f>
        <v/>
      </c>
      <c r="BS54" s="5">
        <f>IF(A54="","",N(INDEX(Projects[Service Commissioning],53)))</f>
        <v/>
      </c>
      <c r="BT54" s="5">
        <f>IF(A54="","",N(INDEX(Projects[Controls Eng],53)))</f>
        <v/>
      </c>
      <c r="BU54" s="5">
        <f>IF(A54="","",N(INDEX(Projects[Controls Purchase],53)))</f>
        <v/>
      </c>
      <c r="BV54" s="5">
        <f>IF(A54="","",N(INDEX(Projects[Software Eng],53)))</f>
        <v/>
      </c>
      <c r="BW54" s="5">
        <f>IF(A54="","",N(INDEX(Projects[Misc],53)))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IF(A55="","",N(INDEX(Projects[Mech Inst],54)))</f>
        <v/>
      </c>
      <c r="BK55" s="5">
        <f>IF(A55="","",N(INDEX(Projects[Elec Inst],54)))</f>
        <v/>
      </c>
      <c r="BL55" s="5">
        <f>IF(A55="","",N(INDEX(Projects[Project Management],54)))</f>
        <v/>
      </c>
      <c r="BM55" s="5">
        <f>IF(A55="","",N(INDEX(Projects[Systems Eng],54)))</f>
        <v/>
      </c>
      <c r="BN55" s="5">
        <f>IF(A55="","",N(INDEX(Projects[Mechanical Eng],54)))</f>
        <v/>
      </c>
      <c r="BO55" s="5">
        <f>IF(A55="","",N(INDEX(Projects[Structural Engineering],54)))</f>
        <v/>
      </c>
      <c r="BP55" s="5">
        <f>IF(A55="","",N(INDEX(Projects[Site Sup],54)))</f>
        <v/>
      </c>
      <c r="BQ55" s="5">
        <f>IF(A55="","",N(INDEX(Projects[Controls Commissioning],54)))</f>
        <v/>
      </c>
      <c r="BR55" s="5">
        <f>IF(A55="","",N(INDEX(Projects[Systems Commissioning],54)))</f>
        <v/>
      </c>
      <c r="BS55" s="5">
        <f>IF(A55="","",N(INDEX(Projects[Service Commissioning],54)))</f>
        <v/>
      </c>
      <c r="BT55" s="5">
        <f>IF(A55="","",N(INDEX(Projects[Controls Eng],54)))</f>
        <v/>
      </c>
      <c r="BU55" s="5">
        <f>IF(A55="","",N(INDEX(Projects[Controls Purchase],54)))</f>
        <v/>
      </c>
      <c r="BV55" s="5">
        <f>IF(A55="","",N(INDEX(Projects[Software Eng],54)))</f>
        <v/>
      </c>
      <c r="BW55" s="5">
        <f>IF(A55="","",N(INDEX(Projects[Misc],54)))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IF(A56="","",N(INDEX(Projects[Mech Inst],55)))</f>
        <v/>
      </c>
      <c r="BK56" s="5">
        <f>IF(A56="","",N(INDEX(Projects[Elec Inst],55)))</f>
        <v/>
      </c>
      <c r="BL56" s="5">
        <f>IF(A56="","",N(INDEX(Projects[Project Management],55)))</f>
        <v/>
      </c>
      <c r="BM56" s="5">
        <f>IF(A56="","",N(INDEX(Projects[Systems Eng],55)))</f>
        <v/>
      </c>
      <c r="BN56" s="5">
        <f>IF(A56="","",N(INDEX(Projects[Mechanical Eng],55)))</f>
        <v/>
      </c>
      <c r="BO56" s="5">
        <f>IF(A56="","",N(INDEX(Projects[Structural Engineering],55)))</f>
        <v/>
      </c>
      <c r="BP56" s="5">
        <f>IF(A56="","",N(INDEX(Projects[Site Sup],55)))</f>
        <v/>
      </c>
      <c r="BQ56" s="5">
        <f>IF(A56="","",N(INDEX(Projects[Controls Commissioning],55)))</f>
        <v/>
      </c>
      <c r="BR56" s="5">
        <f>IF(A56="","",N(INDEX(Projects[Systems Commissioning],55)))</f>
        <v/>
      </c>
      <c r="BS56" s="5">
        <f>IF(A56="","",N(INDEX(Projects[Service Commissioning],55)))</f>
        <v/>
      </c>
      <c r="BT56" s="5">
        <f>IF(A56="","",N(INDEX(Projects[Controls Eng],55)))</f>
        <v/>
      </c>
      <c r="BU56" s="5">
        <f>IF(A56="","",N(INDEX(Projects[Controls Purchase],55)))</f>
        <v/>
      </c>
      <c r="BV56" s="5">
        <f>IF(A56="","",N(INDEX(Projects[Software Eng],55)))</f>
        <v/>
      </c>
      <c r="BW56" s="5">
        <f>IF(A56="","",N(INDEX(Projects[Misc],55)))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IF(A57="","",N(INDEX(Projects[Mech Inst],56)))</f>
        <v/>
      </c>
      <c r="BK57" s="5">
        <f>IF(A57="","",N(INDEX(Projects[Elec Inst],56)))</f>
        <v/>
      </c>
      <c r="BL57" s="5">
        <f>IF(A57="","",N(INDEX(Projects[Project Management],56)))</f>
        <v/>
      </c>
      <c r="BM57" s="5">
        <f>IF(A57="","",N(INDEX(Projects[Systems Eng],56)))</f>
        <v/>
      </c>
      <c r="BN57" s="5">
        <f>IF(A57="","",N(INDEX(Projects[Mechanical Eng],56)))</f>
        <v/>
      </c>
      <c r="BO57" s="5">
        <f>IF(A57="","",N(INDEX(Projects[Structural Engineering],56)))</f>
        <v/>
      </c>
      <c r="BP57" s="5">
        <f>IF(A57="","",N(INDEX(Projects[Site Sup],56)))</f>
        <v/>
      </c>
      <c r="BQ57" s="5">
        <f>IF(A57="","",N(INDEX(Projects[Controls Commissioning],56)))</f>
        <v/>
      </c>
      <c r="BR57" s="5">
        <f>IF(A57="","",N(INDEX(Projects[Systems Commissioning],56)))</f>
        <v/>
      </c>
      <c r="BS57" s="5">
        <f>IF(A57="","",N(INDEX(Projects[Service Commissioning],56)))</f>
        <v/>
      </c>
      <c r="BT57" s="5">
        <f>IF(A57="","",N(INDEX(Projects[Controls Eng],56)))</f>
        <v/>
      </c>
      <c r="BU57" s="5">
        <f>IF(A57="","",N(INDEX(Projects[Controls Purchase],56)))</f>
        <v/>
      </c>
      <c r="BV57" s="5">
        <f>IF(A57="","",N(INDEX(Projects[Software Eng],56)))</f>
        <v/>
      </c>
      <c r="BW57" s="5">
        <f>IF(A57="","",N(INDEX(Projects[Misc],56)))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IF(A58="","",N(INDEX(Projects[Mech Inst],57)))</f>
        <v/>
      </c>
      <c r="BK58" s="5">
        <f>IF(A58="","",N(INDEX(Projects[Elec Inst],57)))</f>
        <v/>
      </c>
      <c r="BL58" s="5">
        <f>IF(A58="","",N(INDEX(Projects[Project Management],57)))</f>
        <v/>
      </c>
      <c r="BM58" s="5">
        <f>IF(A58="","",N(INDEX(Projects[Systems Eng],57)))</f>
        <v/>
      </c>
      <c r="BN58" s="5">
        <f>IF(A58="","",N(INDEX(Projects[Mechanical Eng],57)))</f>
        <v/>
      </c>
      <c r="BO58" s="5">
        <f>IF(A58="","",N(INDEX(Projects[Structural Engineering],57)))</f>
        <v/>
      </c>
      <c r="BP58" s="5">
        <f>IF(A58="","",N(INDEX(Projects[Site Sup],57)))</f>
        <v/>
      </c>
      <c r="BQ58" s="5">
        <f>IF(A58="","",N(INDEX(Projects[Controls Commissioning],57)))</f>
        <v/>
      </c>
      <c r="BR58" s="5">
        <f>IF(A58="","",N(INDEX(Projects[Systems Commissioning],57)))</f>
        <v/>
      </c>
      <c r="BS58" s="5">
        <f>IF(A58="","",N(INDEX(Projects[Service Commissioning],57)))</f>
        <v/>
      </c>
      <c r="BT58" s="5">
        <f>IF(A58="","",N(INDEX(Projects[Controls Eng],57)))</f>
        <v/>
      </c>
      <c r="BU58" s="5">
        <f>IF(A58="","",N(INDEX(Projects[Controls Purchase],57)))</f>
        <v/>
      </c>
      <c r="BV58" s="5">
        <f>IF(A58="","",N(INDEX(Projects[Software Eng],57)))</f>
        <v/>
      </c>
      <c r="BW58" s="5">
        <f>IF(A58="","",N(INDEX(Projects[Misc],57)))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IF(A59="","",N(INDEX(Projects[Mech Inst],58)))</f>
        <v/>
      </c>
      <c r="BK59" s="5">
        <f>IF(A59="","",N(INDEX(Projects[Elec Inst],58)))</f>
        <v/>
      </c>
      <c r="BL59" s="5">
        <f>IF(A59="","",N(INDEX(Projects[Project Management],58)))</f>
        <v/>
      </c>
      <c r="BM59" s="5">
        <f>IF(A59="","",N(INDEX(Projects[Systems Eng],58)))</f>
        <v/>
      </c>
      <c r="BN59" s="5">
        <f>IF(A59="","",N(INDEX(Projects[Mechanical Eng],58)))</f>
        <v/>
      </c>
      <c r="BO59" s="5">
        <f>IF(A59="","",N(INDEX(Projects[Structural Engineering],58)))</f>
        <v/>
      </c>
      <c r="BP59" s="5">
        <f>IF(A59="","",N(INDEX(Projects[Site Sup],58)))</f>
        <v/>
      </c>
      <c r="BQ59" s="5">
        <f>IF(A59="","",N(INDEX(Projects[Controls Commissioning],58)))</f>
        <v/>
      </c>
      <c r="BR59" s="5">
        <f>IF(A59="","",N(INDEX(Projects[Systems Commissioning],58)))</f>
        <v/>
      </c>
      <c r="BS59" s="5">
        <f>IF(A59="","",N(INDEX(Projects[Service Commissioning],58)))</f>
        <v/>
      </c>
      <c r="BT59" s="5">
        <f>IF(A59="","",N(INDEX(Projects[Controls Eng],58)))</f>
        <v/>
      </c>
      <c r="BU59" s="5">
        <f>IF(A59="","",N(INDEX(Projects[Controls Purchase],58)))</f>
        <v/>
      </c>
      <c r="BV59" s="5">
        <f>IF(A59="","",N(INDEX(Projects[Software Eng],58)))</f>
        <v/>
      </c>
      <c r="BW59" s="5">
        <f>IF(A59="","",N(INDEX(Projects[Misc],58)))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IF(A60="","",N(INDEX(Projects[Mech Inst],59)))</f>
        <v/>
      </c>
      <c r="BK60" s="5">
        <f>IF(A60="","",N(INDEX(Projects[Elec Inst],59)))</f>
        <v/>
      </c>
      <c r="BL60" s="5">
        <f>IF(A60="","",N(INDEX(Projects[Project Management],59)))</f>
        <v/>
      </c>
      <c r="BM60" s="5">
        <f>IF(A60="","",N(INDEX(Projects[Systems Eng],59)))</f>
        <v/>
      </c>
      <c r="BN60" s="5">
        <f>IF(A60="","",N(INDEX(Projects[Mechanical Eng],59)))</f>
        <v/>
      </c>
      <c r="BO60" s="5">
        <f>IF(A60="","",N(INDEX(Projects[Structural Engineering],59)))</f>
        <v/>
      </c>
      <c r="BP60" s="5">
        <f>IF(A60="","",N(INDEX(Projects[Site Sup],59)))</f>
        <v/>
      </c>
      <c r="BQ60" s="5">
        <f>IF(A60="","",N(INDEX(Projects[Controls Commissioning],59)))</f>
        <v/>
      </c>
      <c r="BR60" s="5">
        <f>IF(A60="","",N(INDEX(Projects[Systems Commissioning],59)))</f>
        <v/>
      </c>
      <c r="BS60" s="5">
        <f>IF(A60="","",N(INDEX(Projects[Service Commissioning],59)))</f>
        <v/>
      </c>
      <c r="BT60" s="5">
        <f>IF(A60="","",N(INDEX(Projects[Controls Eng],59)))</f>
        <v/>
      </c>
      <c r="BU60" s="5">
        <f>IF(A60="","",N(INDEX(Projects[Controls Purchase],59)))</f>
        <v/>
      </c>
      <c r="BV60" s="5">
        <f>IF(A60="","",N(INDEX(Projects[Software Eng],59)))</f>
        <v/>
      </c>
      <c r="BW60" s="5">
        <f>IF(A60="","",N(INDEX(Projects[Misc],59)))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IF(A61="","",N(INDEX(Projects[Mech Inst],60)))</f>
        <v/>
      </c>
      <c r="BK61" s="5">
        <f>IF(A61="","",N(INDEX(Projects[Elec Inst],60)))</f>
        <v/>
      </c>
      <c r="BL61" s="5">
        <f>IF(A61="","",N(INDEX(Projects[Project Management],60)))</f>
        <v/>
      </c>
      <c r="BM61" s="5">
        <f>IF(A61="","",N(INDEX(Projects[Systems Eng],60)))</f>
        <v/>
      </c>
      <c r="BN61" s="5">
        <f>IF(A61="","",N(INDEX(Projects[Mechanical Eng],60)))</f>
        <v/>
      </c>
      <c r="BO61" s="5">
        <f>IF(A61="","",N(INDEX(Projects[Structural Engineering],60)))</f>
        <v/>
      </c>
      <c r="BP61" s="5">
        <f>IF(A61="","",N(INDEX(Projects[Site Sup],60)))</f>
        <v/>
      </c>
      <c r="BQ61" s="5">
        <f>IF(A61="","",N(INDEX(Projects[Controls Commissioning],60)))</f>
        <v/>
      </c>
      <c r="BR61" s="5">
        <f>IF(A61="","",N(INDEX(Projects[Systems Commissioning],60)))</f>
        <v/>
      </c>
      <c r="BS61" s="5">
        <f>IF(A61="","",N(INDEX(Projects[Service Commissioning],60)))</f>
        <v/>
      </c>
      <c r="BT61" s="5">
        <f>IF(A61="","",N(INDEX(Projects[Controls Eng],60)))</f>
        <v/>
      </c>
      <c r="BU61" s="5">
        <f>IF(A61="","",N(INDEX(Projects[Controls Purchase],60)))</f>
        <v/>
      </c>
      <c r="BV61" s="5">
        <f>IF(A61="","",N(INDEX(Projects[Software Eng],60)))</f>
        <v/>
      </c>
      <c r="BW61" s="5">
        <f>IF(A61="","",N(INDEX(Projects[Misc],60)))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IF(A62="","",N(INDEX(Projects[Mech Inst],61)))</f>
        <v/>
      </c>
      <c r="BK62" s="5">
        <f>IF(A62="","",N(INDEX(Projects[Elec Inst],61)))</f>
        <v/>
      </c>
      <c r="BL62" s="5">
        <f>IF(A62="","",N(INDEX(Projects[Project Management],61)))</f>
        <v/>
      </c>
      <c r="BM62" s="5">
        <f>IF(A62="","",N(INDEX(Projects[Systems Eng],61)))</f>
        <v/>
      </c>
      <c r="BN62" s="5">
        <f>IF(A62="","",N(INDEX(Projects[Mechanical Eng],61)))</f>
        <v/>
      </c>
      <c r="BO62" s="5">
        <f>IF(A62="","",N(INDEX(Projects[Structural Engineering],61)))</f>
        <v/>
      </c>
      <c r="BP62" s="5">
        <f>IF(A62="","",N(INDEX(Projects[Site Sup],61)))</f>
        <v/>
      </c>
      <c r="BQ62" s="5">
        <f>IF(A62="","",N(INDEX(Projects[Controls Commissioning],61)))</f>
        <v/>
      </c>
      <c r="BR62" s="5">
        <f>IF(A62="","",N(INDEX(Projects[Systems Commissioning],61)))</f>
        <v/>
      </c>
      <c r="BS62" s="5">
        <f>IF(A62="","",N(INDEX(Projects[Service Commissioning],61)))</f>
        <v/>
      </c>
      <c r="BT62" s="5">
        <f>IF(A62="","",N(INDEX(Projects[Controls Eng],61)))</f>
        <v/>
      </c>
      <c r="BU62" s="5">
        <f>IF(A62="","",N(INDEX(Projects[Controls Purchase],61)))</f>
        <v/>
      </c>
      <c r="BV62" s="5">
        <f>IF(A62="","",N(INDEX(Projects[Software Eng],61)))</f>
        <v/>
      </c>
      <c r="BW62" s="5">
        <f>IF(A62="","",N(INDEX(Projects[Misc],61)))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IF(A63="","",N(INDEX(Projects[Mech Inst],62)))</f>
        <v/>
      </c>
      <c r="BK63" s="5">
        <f>IF(A63="","",N(INDEX(Projects[Elec Inst],62)))</f>
        <v/>
      </c>
      <c r="BL63" s="5">
        <f>IF(A63="","",N(INDEX(Projects[Project Management],62)))</f>
        <v/>
      </c>
      <c r="BM63" s="5">
        <f>IF(A63="","",N(INDEX(Projects[Systems Eng],62)))</f>
        <v/>
      </c>
      <c r="BN63" s="5">
        <f>IF(A63="","",N(INDEX(Projects[Mechanical Eng],62)))</f>
        <v/>
      </c>
      <c r="BO63" s="5">
        <f>IF(A63="","",N(INDEX(Projects[Structural Engineering],62)))</f>
        <v/>
      </c>
      <c r="BP63" s="5">
        <f>IF(A63="","",N(INDEX(Projects[Site Sup],62)))</f>
        <v/>
      </c>
      <c r="BQ63" s="5">
        <f>IF(A63="","",N(INDEX(Projects[Controls Commissioning],62)))</f>
        <v/>
      </c>
      <c r="BR63" s="5">
        <f>IF(A63="","",N(INDEX(Projects[Systems Commissioning],62)))</f>
        <v/>
      </c>
      <c r="BS63" s="5">
        <f>IF(A63="","",N(INDEX(Projects[Service Commissioning],62)))</f>
        <v/>
      </c>
      <c r="BT63" s="5">
        <f>IF(A63="","",N(INDEX(Projects[Controls Eng],62)))</f>
        <v/>
      </c>
      <c r="BU63" s="5">
        <f>IF(A63="","",N(INDEX(Projects[Controls Purchase],62)))</f>
        <v/>
      </c>
      <c r="BV63" s="5">
        <f>IF(A63="","",N(INDEX(Projects[Software Eng],62)))</f>
        <v/>
      </c>
      <c r="BW63" s="5">
        <f>IF(A63="","",N(INDEX(Projects[Misc],62)))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IF(A64="","",N(INDEX(Projects[Mech Inst],63)))</f>
        <v/>
      </c>
      <c r="BK64" s="5">
        <f>IF(A64="","",N(INDEX(Projects[Elec Inst],63)))</f>
        <v/>
      </c>
      <c r="BL64" s="5">
        <f>IF(A64="","",N(INDEX(Projects[Project Management],63)))</f>
        <v/>
      </c>
      <c r="BM64" s="5">
        <f>IF(A64="","",N(INDEX(Projects[Systems Eng],63)))</f>
        <v/>
      </c>
      <c r="BN64" s="5">
        <f>IF(A64="","",N(INDEX(Projects[Mechanical Eng],63)))</f>
        <v/>
      </c>
      <c r="BO64" s="5">
        <f>IF(A64="","",N(INDEX(Projects[Structural Engineering],63)))</f>
        <v/>
      </c>
      <c r="BP64" s="5">
        <f>IF(A64="","",N(INDEX(Projects[Site Sup],63)))</f>
        <v/>
      </c>
      <c r="BQ64" s="5">
        <f>IF(A64="","",N(INDEX(Projects[Controls Commissioning],63)))</f>
        <v/>
      </c>
      <c r="BR64" s="5">
        <f>IF(A64="","",N(INDEX(Projects[Systems Commissioning],63)))</f>
        <v/>
      </c>
      <c r="BS64" s="5">
        <f>IF(A64="","",N(INDEX(Projects[Service Commissioning],63)))</f>
        <v/>
      </c>
      <c r="BT64" s="5">
        <f>IF(A64="","",N(INDEX(Projects[Controls Eng],63)))</f>
        <v/>
      </c>
      <c r="BU64" s="5">
        <f>IF(A64="","",N(INDEX(Projects[Controls Purchase],63)))</f>
        <v/>
      </c>
      <c r="BV64" s="5">
        <f>IF(A64="","",N(INDEX(Projects[Software Eng],63)))</f>
        <v/>
      </c>
      <c r="BW64" s="5">
        <f>IF(A64="","",N(INDEX(Projects[Misc],63)))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IF(A65="","",N(INDEX(Projects[Mech Inst],64)))</f>
        <v/>
      </c>
      <c r="BK65" s="5">
        <f>IF(A65="","",N(INDEX(Projects[Elec Inst],64)))</f>
        <v/>
      </c>
      <c r="BL65" s="5">
        <f>IF(A65="","",N(INDEX(Projects[Project Management],64)))</f>
        <v/>
      </c>
      <c r="BM65" s="5">
        <f>IF(A65="","",N(INDEX(Projects[Systems Eng],64)))</f>
        <v/>
      </c>
      <c r="BN65" s="5">
        <f>IF(A65="","",N(INDEX(Projects[Mechanical Eng],64)))</f>
        <v/>
      </c>
      <c r="BO65" s="5">
        <f>IF(A65="","",N(INDEX(Projects[Structural Engineering],64)))</f>
        <v/>
      </c>
      <c r="BP65" s="5">
        <f>IF(A65="","",N(INDEX(Projects[Site Sup],64)))</f>
        <v/>
      </c>
      <c r="BQ65" s="5">
        <f>IF(A65="","",N(INDEX(Projects[Controls Commissioning],64)))</f>
        <v/>
      </c>
      <c r="BR65" s="5">
        <f>IF(A65="","",N(INDEX(Projects[Systems Commissioning],64)))</f>
        <v/>
      </c>
      <c r="BS65" s="5">
        <f>IF(A65="","",N(INDEX(Projects[Service Commissioning],64)))</f>
        <v/>
      </c>
      <c r="BT65" s="5">
        <f>IF(A65="","",N(INDEX(Projects[Controls Eng],64)))</f>
        <v/>
      </c>
      <c r="BU65" s="5">
        <f>IF(A65="","",N(INDEX(Projects[Controls Purchase],64)))</f>
        <v/>
      </c>
      <c r="BV65" s="5">
        <f>IF(A65="","",N(INDEX(Projects[Software Eng],64)))</f>
        <v/>
      </c>
      <c r="BW65" s="5">
        <f>IF(A65="","",N(INDEX(Projects[Misc],64)))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IF(A66="","",N(INDEX(Projects[Mech Inst],65)))</f>
        <v/>
      </c>
      <c r="BK66" s="5">
        <f>IF(A66="","",N(INDEX(Projects[Elec Inst],65)))</f>
        <v/>
      </c>
      <c r="BL66" s="5">
        <f>IF(A66="","",N(INDEX(Projects[Project Management],65)))</f>
        <v/>
      </c>
      <c r="BM66" s="5">
        <f>IF(A66="","",N(INDEX(Projects[Systems Eng],65)))</f>
        <v/>
      </c>
      <c r="BN66" s="5">
        <f>IF(A66="","",N(INDEX(Projects[Mechanical Eng],65)))</f>
        <v/>
      </c>
      <c r="BO66" s="5">
        <f>IF(A66="","",N(INDEX(Projects[Structural Engineering],65)))</f>
        <v/>
      </c>
      <c r="BP66" s="5">
        <f>IF(A66="","",N(INDEX(Projects[Site Sup],65)))</f>
        <v/>
      </c>
      <c r="BQ66" s="5">
        <f>IF(A66="","",N(INDEX(Projects[Controls Commissioning],65)))</f>
        <v/>
      </c>
      <c r="BR66" s="5">
        <f>IF(A66="","",N(INDEX(Projects[Systems Commissioning],65)))</f>
        <v/>
      </c>
      <c r="BS66" s="5">
        <f>IF(A66="","",N(INDEX(Projects[Service Commissioning],65)))</f>
        <v/>
      </c>
      <c r="BT66" s="5">
        <f>IF(A66="","",N(INDEX(Projects[Controls Eng],65)))</f>
        <v/>
      </c>
      <c r="BU66" s="5">
        <f>IF(A66="","",N(INDEX(Projects[Controls Purchase],65)))</f>
        <v/>
      </c>
      <c r="BV66" s="5">
        <f>IF(A66="","",N(INDEX(Projects[Software Eng],65)))</f>
        <v/>
      </c>
      <c r="BW66" s="5">
        <f>IF(A66="","",N(INDEX(Projects[Misc],65)))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IF(A67="","",N(INDEX(Projects[Mech Inst],66)))</f>
        <v/>
      </c>
      <c r="BK67" s="5">
        <f>IF(A67="","",N(INDEX(Projects[Elec Inst],66)))</f>
        <v/>
      </c>
      <c r="BL67" s="5">
        <f>IF(A67="","",N(INDEX(Projects[Project Management],66)))</f>
        <v/>
      </c>
      <c r="BM67" s="5">
        <f>IF(A67="","",N(INDEX(Projects[Systems Eng],66)))</f>
        <v/>
      </c>
      <c r="BN67" s="5">
        <f>IF(A67="","",N(INDEX(Projects[Mechanical Eng],66)))</f>
        <v/>
      </c>
      <c r="BO67" s="5">
        <f>IF(A67="","",N(INDEX(Projects[Structural Engineering],66)))</f>
        <v/>
      </c>
      <c r="BP67" s="5">
        <f>IF(A67="","",N(INDEX(Projects[Site Sup],66)))</f>
        <v/>
      </c>
      <c r="BQ67" s="5">
        <f>IF(A67="","",N(INDEX(Projects[Controls Commissioning],66)))</f>
        <v/>
      </c>
      <c r="BR67" s="5">
        <f>IF(A67="","",N(INDEX(Projects[Systems Commissioning],66)))</f>
        <v/>
      </c>
      <c r="BS67" s="5">
        <f>IF(A67="","",N(INDEX(Projects[Service Commissioning],66)))</f>
        <v/>
      </c>
      <c r="BT67" s="5">
        <f>IF(A67="","",N(INDEX(Projects[Controls Eng],66)))</f>
        <v/>
      </c>
      <c r="BU67" s="5">
        <f>IF(A67="","",N(INDEX(Projects[Controls Purchase],66)))</f>
        <v/>
      </c>
      <c r="BV67" s="5">
        <f>IF(A67="","",N(INDEX(Projects[Software Eng],66)))</f>
        <v/>
      </c>
      <c r="BW67" s="5">
        <f>IF(A67="","",N(INDEX(Projects[Misc],66)))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IF(A68="","",N(INDEX(Projects[Mech Inst],67)))</f>
        <v/>
      </c>
      <c r="BK68" s="5">
        <f>IF(A68="","",N(INDEX(Projects[Elec Inst],67)))</f>
        <v/>
      </c>
      <c r="BL68" s="5">
        <f>IF(A68="","",N(INDEX(Projects[Project Management],67)))</f>
        <v/>
      </c>
      <c r="BM68" s="5">
        <f>IF(A68="","",N(INDEX(Projects[Systems Eng],67)))</f>
        <v/>
      </c>
      <c r="BN68" s="5">
        <f>IF(A68="","",N(INDEX(Projects[Mechanical Eng],67)))</f>
        <v/>
      </c>
      <c r="BO68" s="5">
        <f>IF(A68="","",N(INDEX(Projects[Structural Engineering],67)))</f>
        <v/>
      </c>
      <c r="BP68" s="5">
        <f>IF(A68="","",N(INDEX(Projects[Site Sup],67)))</f>
        <v/>
      </c>
      <c r="BQ68" s="5">
        <f>IF(A68="","",N(INDEX(Projects[Controls Commissioning],67)))</f>
        <v/>
      </c>
      <c r="BR68" s="5">
        <f>IF(A68="","",N(INDEX(Projects[Systems Commissioning],67)))</f>
        <v/>
      </c>
      <c r="BS68" s="5">
        <f>IF(A68="","",N(INDEX(Projects[Service Commissioning],67)))</f>
        <v/>
      </c>
      <c r="BT68" s="5">
        <f>IF(A68="","",N(INDEX(Projects[Controls Eng],67)))</f>
        <v/>
      </c>
      <c r="BU68" s="5">
        <f>IF(A68="","",N(INDEX(Projects[Controls Purchase],67)))</f>
        <v/>
      </c>
      <c r="BV68" s="5">
        <f>IF(A68="","",N(INDEX(Projects[Software Eng],67)))</f>
        <v/>
      </c>
      <c r="BW68" s="5">
        <f>IF(A68="","",N(INDEX(Projects[Misc],67)))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IF(A69="","",N(INDEX(Projects[Mech Inst],68)))</f>
        <v/>
      </c>
      <c r="BK69" s="5">
        <f>IF(A69="","",N(INDEX(Projects[Elec Inst],68)))</f>
        <v/>
      </c>
      <c r="BL69" s="5">
        <f>IF(A69="","",N(INDEX(Projects[Project Management],68)))</f>
        <v/>
      </c>
      <c r="BM69" s="5">
        <f>IF(A69="","",N(INDEX(Projects[Systems Eng],68)))</f>
        <v/>
      </c>
      <c r="BN69" s="5">
        <f>IF(A69="","",N(INDEX(Projects[Mechanical Eng],68)))</f>
        <v/>
      </c>
      <c r="BO69" s="5">
        <f>IF(A69="","",N(INDEX(Projects[Structural Engineering],68)))</f>
        <v/>
      </c>
      <c r="BP69" s="5">
        <f>IF(A69="","",N(INDEX(Projects[Site Sup],68)))</f>
        <v/>
      </c>
      <c r="BQ69" s="5">
        <f>IF(A69="","",N(INDEX(Projects[Controls Commissioning],68)))</f>
        <v/>
      </c>
      <c r="BR69" s="5">
        <f>IF(A69="","",N(INDEX(Projects[Systems Commissioning],68)))</f>
        <v/>
      </c>
      <c r="BS69" s="5">
        <f>IF(A69="","",N(INDEX(Projects[Service Commissioning],68)))</f>
        <v/>
      </c>
      <c r="BT69" s="5">
        <f>IF(A69="","",N(INDEX(Projects[Controls Eng],68)))</f>
        <v/>
      </c>
      <c r="BU69" s="5">
        <f>IF(A69="","",N(INDEX(Projects[Controls Purchase],68)))</f>
        <v/>
      </c>
      <c r="BV69" s="5">
        <f>IF(A69="","",N(INDEX(Projects[Software Eng],68)))</f>
        <v/>
      </c>
      <c r="BW69" s="5">
        <f>IF(A69="","",N(INDEX(Projects[Misc],68)))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IF(A70="","",N(INDEX(Projects[Mech Inst],69)))</f>
        <v/>
      </c>
      <c r="BK70" s="5">
        <f>IF(A70="","",N(INDEX(Projects[Elec Inst],69)))</f>
        <v/>
      </c>
      <c r="BL70" s="5">
        <f>IF(A70="","",N(INDEX(Projects[Project Management],69)))</f>
        <v/>
      </c>
      <c r="BM70" s="5">
        <f>IF(A70="","",N(INDEX(Projects[Systems Eng],69)))</f>
        <v/>
      </c>
      <c r="BN70" s="5">
        <f>IF(A70="","",N(INDEX(Projects[Mechanical Eng],69)))</f>
        <v/>
      </c>
      <c r="BO70" s="5">
        <f>IF(A70="","",N(INDEX(Projects[Structural Engineering],69)))</f>
        <v/>
      </c>
      <c r="BP70" s="5">
        <f>IF(A70="","",N(INDEX(Projects[Site Sup],69)))</f>
        <v/>
      </c>
      <c r="BQ70" s="5">
        <f>IF(A70="","",N(INDEX(Projects[Controls Commissioning],69)))</f>
        <v/>
      </c>
      <c r="BR70" s="5">
        <f>IF(A70="","",N(INDEX(Projects[Systems Commissioning],69)))</f>
        <v/>
      </c>
      <c r="BS70" s="5">
        <f>IF(A70="","",N(INDEX(Projects[Service Commissioning],69)))</f>
        <v/>
      </c>
      <c r="BT70" s="5">
        <f>IF(A70="","",N(INDEX(Projects[Controls Eng],69)))</f>
        <v/>
      </c>
      <c r="BU70" s="5">
        <f>IF(A70="","",N(INDEX(Projects[Controls Purchase],69)))</f>
        <v/>
      </c>
      <c r="BV70" s="5">
        <f>IF(A70="","",N(INDEX(Projects[Software Eng],69)))</f>
        <v/>
      </c>
      <c r="BW70" s="5">
        <f>IF(A70="","",N(INDEX(Projects[Misc],69)))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IF(A71="","",N(INDEX(Projects[Mech Inst],70)))</f>
        <v/>
      </c>
      <c r="BK71" s="5">
        <f>IF(A71="","",N(INDEX(Projects[Elec Inst],70)))</f>
        <v/>
      </c>
      <c r="BL71" s="5">
        <f>IF(A71="","",N(INDEX(Projects[Project Management],70)))</f>
        <v/>
      </c>
      <c r="BM71" s="5">
        <f>IF(A71="","",N(INDEX(Projects[Systems Eng],70)))</f>
        <v/>
      </c>
      <c r="BN71" s="5">
        <f>IF(A71="","",N(INDEX(Projects[Mechanical Eng],70)))</f>
        <v/>
      </c>
      <c r="BO71" s="5">
        <f>IF(A71="","",N(INDEX(Projects[Structural Engineering],70)))</f>
        <v/>
      </c>
      <c r="BP71" s="5">
        <f>IF(A71="","",N(INDEX(Projects[Site Sup],70)))</f>
        <v/>
      </c>
      <c r="BQ71" s="5">
        <f>IF(A71="","",N(INDEX(Projects[Controls Commissioning],70)))</f>
        <v/>
      </c>
      <c r="BR71" s="5">
        <f>IF(A71="","",N(INDEX(Projects[Systems Commissioning],70)))</f>
        <v/>
      </c>
      <c r="BS71" s="5">
        <f>IF(A71="","",N(INDEX(Projects[Service Commissioning],70)))</f>
        <v/>
      </c>
      <c r="BT71" s="5">
        <f>IF(A71="","",N(INDEX(Projects[Controls Eng],70)))</f>
        <v/>
      </c>
      <c r="BU71" s="5">
        <f>IF(A71="","",N(INDEX(Projects[Controls Purchase],70)))</f>
        <v/>
      </c>
      <c r="BV71" s="5">
        <f>IF(A71="","",N(INDEX(Projects[Software Eng],70)))</f>
        <v/>
      </c>
      <c r="BW71" s="5">
        <f>IF(A71="","",N(INDEX(Projects[Misc],70)))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IF(A72="","",N(INDEX(Projects[Mech Inst],71)))</f>
        <v/>
      </c>
      <c r="BK72" s="5">
        <f>IF(A72="","",N(INDEX(Projects[Elec Inst],71)))</f>
        <v/>
      </c>
      <c r="BL72" s="5">
        <f>IF(A72="","",N(INDEX(Projects[Project Management],71)))</f>
        <v/>
      </c>
      <c r="BM72" s="5">
        <f>IF(A72="","",N(INDEX(Projects[Systems Eng],71)))</f>
        <v/>
      </c>
      <c r="BN72" s="5">
        <f>IF(A72="","",N(INDEX(Projects[Mechanical Eng],71)))</f>
        <v/>
      </c>
      <c r="BO72" s="5">
        <f>IF(A72="","",N(INDEX(Projects[Structural Engineering],71)))</f>
        <v/>
      </c>
      <c r="BP72" s="5">
        <f>IF(A72="","",N(INDEX(Projects[Site Sup],71)))</f>
        <v/>
      </c>
      <c r="BQ72" s="5">
        <f>IF(A72="","",N(INDEX(Projects[Controls Commissioning],71)))</f>
        <v/>
      </c>
      <c r="BR72" s="5">
        <f>IF(A72="","",N(INDEX(Projects[Systems Commissioning],71)))</f>
        <v/>
      </c>
      <c r="BS72" s="5">
        <f>IF(A72="","",N(INDEX(Projects[Service Commissioning],71)))</f>
        <v/>
      </c>
      <c r="BT72" s="5">
        <f>IF(A72="","",N(INDEX(Projects[Controls Eng],71)))</f>
        <v/>
      </c>
      <c r="BU72" s="5">
        <f>IF(A72="","",N(INDEX(Projects[Controls Purchase],71)))</f>
        <v/>
      </c>
      <c r="BV72" s="5">
        <f>IF(A72="","",N(INDEX(Projects[Software Eng],71)))</f>
        <v/>
      </c>
      <c r="BW72" s="5">
        <f>IF(A72="","",N(INDEX(Projects[Misc],71)))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IF(A73="","",N(INDEX(Projects[Mech Inst],72)))</f>
        <v/>
      </c>
      <c r="BK73" s="5">
        <f>IF(A73="","",N(INDEX(Projects[Elec Inst],72)))</f>
        <v/>
      </c>
      <c r="BL73" s="5">
        <f>IF(A73="","",N(INDEX(Projects[Project Management],72)))</f>
        <v/>
      </c>
      <c r="BM73" s="5">
        <f>IF(A73="","",N(INDEX(Projects[Systems Eng],72)))</f>
        <v/>
      </c>
      <c r="BN73" s="5">
        <f>IF(A73="","",N(INDEX(Projects[Mechanical Eng],72)))</f>
        <v/>
      </c>
      <c r="BO73" s="5">
        <f>IF(A73="","",N(INDEX(Projects[Structural Engineering],72)))</f>
        <v/>
      </c>
      <c r="BP73" s="5">
        <f>IF(A73="","",N(INDEX(Projects[Site Sup],72)))</f>
        <v/>
      </c>
      <c r="BQ73" s="5">
        <f>IF(A73="","",N(INDEX(Projects[Controls Commissioning],72)))</f>
        <v/>
      </c>
      <c r="BR73" s="5">
        <f>IF(A73="","",N(INDEX(Projects[Systems Commissioning],72)))</f>
        <v/>
      </c>
      <c r="BS73" s="5">
        <f>IF(A73="","",N(INDEX(Projects[Service Commissioning],72)))</f>
        <v/>
      </c>
      <c r="BT73" s="5">
        <f>IF(A73="","",N(INDEX(Projects[Controls Eng],72)))</f>
        <v/>
      </c>
      <c r="BU73" s="5">
        <f>IF(A73="","",N(INDEX(Projects[Controls Purchase],72)))</f>
        <v/>
      </c>
      <c r="BV73" s="5">
        <f>IF(A73="","",N(INDEX(Projects[Software Eng],72)))</f>
        <v/>
      </c>
      <c r="BW73" s="5">
        <f>IF(A73="","",N(INDEX(Projects[Misc],72)))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IF(A74="","",N(INDEX(Projects[Mech Inst],73)))</f>
        <v/>
      </c>
      <c r="BK74" s="5">
        <f>IF(A74="","",N(INDEX(Projects[Elec Inst],73)))</f>
        <v/>
      </c>
      <c r="BL74" s="5">
        <f>IF(A74="","",N(INDEX(Projects[Project Management],73)))</f>
        <v/>
      </c>
      <c r="BM74" s="5">
        <f>IF(A74="","",N(INDEX(Projects[Systems Eng],73)))</f>
        <v/>
      </c>
      <c r="BN74" s="5">
        <f>IF(A74="","",N(INDEX(Projects[Mechanical Eng],73)))</f>
        <v/>
      </c>
      <c r="BO74" s="5">
        <f>IF(A74="","",N(INDEX(Projects[Structural Engineering],73)))</f>
        <v/>
      </c>
      <c r="BP74" s="5">
        <f>IF(A74="","",N(INDEX(Projects[Site Sup],73)))</f>
        <v/>
      </c>
      <c r="BQ74" s="5">
        <f>IF(A74="","",N(INDEX(Projects[Controls Commissioning],73)))</f>
        <v/>
      </c>
      <c r="BR74" s="5">
        <f>IF(A74="","",N(INDEX(Projects[Systems Commissioning],73)))</f>
        <v/>
      </c>
      <c r="BS74" s="5">
        <f>IF(A74="","",N(INDEX(Projects[Service Commissioning],73)))</f>
        <v/>
      </c>
      <c r="BT74" s="5">
        <f>IF(A74="","",N(INDEX(Projects[Controls Eng],73)))</f>
        <v/>
      </c>
      <c r="BU74" s="5">
        <f>IF(A74="","",N(INDEX(Projects[Controls Purchase],73)))</f>
        <v/>
      </c>
      <c r="BV74" s="5">
        <f>IF(A74="","",N(INDEX(Projects[Software Eng],73)))</f>
        <v/>
      </c>
      <c r="BW74" s="5">
        <f>IF(A74="","",N(INDEX(Projects[Misc],73)))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IF(A75="","",N(INDEX(Projects[Mech Inst],74)))</f>
        <v/>
      </c>
      <c r="BK75" s="5">
        <f>IF(A75="","",N(INDEX(Projects[Elec Inst],74)))</f>
        <v/>
      </c>
      <c r="BL75" s="5">
        <f>IF(A75="","",N(INDEX(Projects[Project Management],74)))</f>
        <v/>
      </c>
      <c r="BM75" s="5">
        <f>IF(A75="","",N(INDEX(Projects[Systems Eng],74)))</f>
        <v/>
      </c>
      <c r="BN75" s="5">
        <f>IF(A75="","",N(INDEX(Projects[Mechanical Eng],74)))</f>
        <v/>
      </c>
      <c r="BO75" s="5">
        <f>IF(A75="","",N(INDEX(Projects[Structural Engineering],74)))</f>
        <v/>
      </c>
      <c r="BP75" s="5">
        <f>IF(A75="","",N(INDEX(Projects[Site Sup],74)))</f>
        <v/>
      </c>
      <c r="BQ75" s="5">
        <f>IF(A75="","",N(INDEX(Projects[Controls Commissioning],74)))</f>
        <v/>
      </c>
      <c r="BR75" s="5">
        <f>IF(A75="","",N(INDEX(Projects[Systems Commissioning],74)))</f>
        <v/>
      </c>
      <c r="BS75" s="5">
        <f>IF(A75="","",N(INDEX(Projects[Service Commissioning],74)))</f>
        <v/>
      </c>
      <c r="BT75" s="5">
        <f>IF(A75="","",N(INDEX(Projects[Controls Eng],74)))</f>
        <v/>
      </c>
      <c r="BU75" s="5">
        <f>IF(A75="","",N(INDEX(Projects[Controls Purchase],74)))</f>
        <v/>
      </c>
      <c r="BV75" s="5">
        <f>IF(A75="","",N(INDEX(Projects[Software Eng],74)))</f>
        <v/>
      </c>
      <c r="BW75" s="5">
        <f>IF(A75="","",N(INDEX(Projects[Misc],74)))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IF(A76="","",N(INDEX(Projects[Mech Inst],75)))</f>
        <v/>
      </c>
      <c r="BK76" s="5">
        <f>IF(A76="","",N(INDEX(Projects[Elec Inst],75)))</f>
        <v/>
      </c>
      <c r="BL76" s="5">
        <f>IF(A76="","",N(INDEX(Projects[Project Management],75)))</f>
        <v/>
      </c>
      <c r="BM76" s="5">
        <f>IF(A76="","",N(INDEX(Projects[Systems Eng],75)))</f>
        <v/>
      </c>
      <c r="BN76" s="5">
        <f>IF(A76="","",N(INDEX(Projects[Mechanical Eng],75)))</f>
        <v/>
      </c>
      <c r="BO76" s="5">
        <f>IF(A76="","",N(INDEX(Projects[Structural Engineering],75)))</f>
        <v/>
      </c>
      <c r="BP76" s="5">
        <f>IF(A76="","",N(INDEX(Projects[Site Sup],75)))</f>
        <v/>
      </c>
      <c r="BQ76" s="5">
        <f>IF(A76="","",N(INDEX(Projects[Controls Commissioning],75)))</f>
        <v/>
      </c>
      <c r="BR76" s="5">
        <f>IF(A76="","",N(INDEX(Projects[Systems Commissioning],75)))</f>
        <v/>
      </c>
      <c r="BS76" s="5">
        <f>IF(A76="","",N(INDEX(Projects[Service Commissioning],75)))</f>
        <v/>
      </c>
      <c r="BT76" s="5">
        <f>IF(A76="","",N(INDEX(Projects[Controls Eng],75)))</f>
        <v/>
      </c>
      <c r="BU76" s="5">
        <f>IF(A76="","",N(INDEX(Projects[Controls Purchase],75)))</f>
        <v/>
      </c>
      <c r="BV76" s="5">
        <f>IF(A76="","",N(INDEX(Projects[Software Eng],75)))</f>
        <v/>
      </c>
      <c r="BW76" s="5">
        <f>IF(A76="","",N(INDEX(Projects[Misc],75)))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IF(A77="","",N(INDEX(Projects[Mech Inst],76)))</f>
        <v/>
      </c>
      <c r="BK77" s="5">
        <f>IF(A77="","",N(INDEX(Projects[Elec Inst],76)))</f>
        <v/>
      </c>
      <c r="BL77" s="5">
        <f>IF(A77="","",N(INDEX(Projects[Project Management],76)))</f>
        <v/>
      </c>
      <c r="BM77" s="5">
        <f>IF(A77="","",N(INDEX(Projects[Systems Eng],76)))</f>
        <v/>
      </c>
      <c r="BN77" s="5">
        <f>IF(A77="","",N(INDEX(Projects[Mechanical Eng],76)))</f>
        <v/>
      </c>
      <c r="BO77" s="5">
        <f>IF(A77="","",N(INDEX(Projects[Structural Engineering],76)))</f>
        <v/>
      </c>
      <c r="BP77" s="5">
        <f>IF(A77="","",N(INDEX(Projects[Site Sup],76)))</f>
        <v/>
      </c>
      <c r="BQ77" s="5">
        <f>IF(A77="","",N(INDEX(Projects[Controls Commissioning],76)))</f>
        <v/>
      </c>
      <c r="BR77" s="5">
        <f>IF(A77="","",N(INDEX(Projects[Systems Commissioning],76)))</f>
        <v/>
      </c>
      <c r="BS77" s="5">
        <f>IF(A77="","",N(INDEX(Projects[Service Commissioning],76)))</f>
        <v/>
      </c>
      <c r="BT77" s="5">
        <f>IF(A77="","",N(INDEX(Projects[Controls Eng],76)))</f>
        <v/>
      </c>
      <c r="BU77" s="5">
        <f>IF(A77="","",N(INDEX(Projects[Controls Purchase],76)))</f>
        <v/>
      </c>
      <c r="BV77" s="5">
        <f>IF(A77="","",N(INDEX(Projects[Software Eng],76)))</f>
        <v/>
      </c>
      <c r="BW77" s="5">
        <f>IF(A77="","",N(INDEX(Projects[Misc],76)))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IF(A78="","",N(INDEX(Projects[Mech Inst],77)))</f>
        <v/>
      </c>
      <c r="BK78" s="5">
        <f>IF(A78="","",N(INDEX(Projects[Elec Inst],77)))</f>
        <v/>
      </c>
      <c r="BL78" s="5">
        <f>IF(A78="","",N(INDEX(Projects[Project Management],77)))</f>
        <v/>
      </c>
      <c r="BM78" s="5">
        <f>IF(A78="","",N(INDEX(Projects[Systems Eng],77)))</f>
        <v/>
      </c>
      <c r="BN78" s="5">
        <f>IF(A78="","",N(INDEX(Projects[Mechanical Eng],77)))</f>
        <v/>
      </c>
      <c r="BO78" s="5">
        <f>IF(A78="","",N(INDEX(Projects[Structural Engineering],77)))</f>
        <v/>
      </c>
      <c r="BP78" s="5">
        <f>IF(A78="","",N(INDEX(Projects[Site Sup],77)))</f>
        <v/>
      </c>
      <c r="BQ78" s="5">
        <f>IF(A78="","",N(INDEX(Projects[Controls Commissioning],77)))</f>
        <v/>
      </c>
      <c r="BR78" s="5">
        <f>IF(A78="","",N(INDEX(Projects[Systems Commissioning],77)))</f>
        <v/>
      </c>
      <c r="BS78" s="5">
        <f>IF(A78="","",N(INDEX(Projects[Service Commissioning],77)))</f>
        <v/>
      </c>
      <c r="BT78" s="5">
        <f>IF(A78="","",N(INDEX(Projects[Controls Eng],77)))</f>
        <v/>
      </c>
      <c r="BU78" s="5">
        <f>IF(A78="","",N(INDEX(Projects[Controls Purchase],77)))</f>
        <v/>
      </c>
      <c r="BV78" s="5">
        <f>IF(A78="","",N(INDEX(Projects[Software Eng],77)))</f>
        <v/>
      </c>
      <c r="BW78" s="5">
        <f>IF(A78="","",N(INDEX(Projects[Misc],77)))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IF(A79="","",N(INDEX(Projects[Mech Inst],78)))</f>
        <v/>
      </c>
      <c r="BK79" s="5">
        <f>IF(A79="","",N(INDEX(Projects[Elec Inst],78)))</f>
        <v/>
      </c>
      <c r="BL79" s="5">
        <f>IF(A79="","",N(INDEX(Projects[Project Management],78)))</f>
        <v/>
      </c>
      <c r="BM79" s="5">
        <f>IF(A79="","",N(INDEX(Projects[Systems Eng],78)))</f>
        <v/>
      </c>
      <c r="BN79" s="5">
        <f>IF(A79="","",N(INDEX(Projects[Mechanical Eng],78)))</f>
        <v/>
      </c>
      <c r="BO79" s="5">
        <f>IF(A79="","",N(INDEX(Projects[Structural Engineering],78)))</f>
        <v/>
      </c>
      <c r="BP79" s="5">
        <f>IF(A79="","",N(INDEX(Projects[Site Sup],78)))</f>
        <v/>
      </c>
      <c r="BQ79" s="5">
        <f>IF(A79="","",N(INDEX(Projects[Controls Commissioning],78)))</f>
        <v/>
      </c>
      <c r="BR79" s="5">
        <f>IF(A79="","",N(INDEX(Projects[Systems Commissioning],78)))</f>
        <v/>
      </c>
      <c r="BS79" s="5">
        <f>IF(A79="","",N(INDEX(Projects[Service Commissioning],78)))</f>
        <v/>
      </c>
      <c r="BT79" s="5">
        <f>IF(A79="","",N(INDEX(Projects[Controls Eng],78)))</f>
        <v/>
      </c>
      <c r="BU79" s="5">
        <f>IF(A79="","",N(INDEX(Projects[Controls Purchase],78)))</f>
        <v/>
      </c>
      <c r="BV79" s="5">
        <f>IF(A79="","",N(INDEX(Projects[Software Eng],78)))</f>
        <v/>
      </c>
      <c r="BW79" s="5">
        <f>IF(A79="","",N(INDEX(Projects[Misc],78)))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IF(A80="","",N(INDEX(Projects[Mech Inst],79)))</f>
        <v/>
      </c>
      <c r="BK80" s="5">
        <f>IF(A80="","",N(INDEX(Projects[Elec Inst],79)))</f>
        <v/>
      </c>
      <c r="BL80" s="5">
        <f>IF(A80="","",N(INDEX(Projects[Project Management],79)))</f>
        <v/>
      </c>
      <c r="BM80" s="5">
        <f>IF(A80="","",N(INDEX(Projects[Systems Eng],79)))</f>
        <v/>
      </c>
      <c r="BN80" s="5">
        <f>IF(A80="","",N(INDEX(Projects[Mechanical Eng],79)))</f>
        <v/>
      </c>
      <c r="BO80" s="5">
        <f>IF(A80="","",N(INDEX(Projects[Structural Engineering],79)))</f>
        <v/>
      </c>
      <c r="BP80" s="5">
        <f>IF(A80="","",N(INDEX(Projects[Site Sup],79)))</f>
        <v/>
      </c>
      <c r="BQ80" s="5">
        <f>IF(A80="","",N(INDEX(Projects[Controls Commissioning],79)))</f>
        <v/>
      </c>
      <c r="BR80" s="5">
        <f>IF(A80="","",N(INDEX(Projects[Systems Commissioning],79)))</f>
        <v/>
      </c>
      <c r="BS80" s="5">
        <f>IF(A80="","",N(INDEX(Projects[Service Commissioning],79)))</f>
        <v/>
      </c>
      <c r="BT80" s="5">
        <f>IF(A80="","",N(INDEX(Projects[Controls Eng],79)))</f>
        <v/>
      </c>
      <c r="BU80" s="5">
        <f>IF(A80="","",N(INDEX(Projects[Controls Purchase],79)))</f>
        <v/>
      </c>
      <c r="BV80" s="5">
        <f>IF(A80="","",N(INDEX(Projects[Software Eng],79)))</f>
        <v/>
      </c>
      <c r="BW80" s="5">
        <f>IF(A80="","",N(INDEX(Projects[Misc],79)))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IF(A81="","",N(INDEX(Projects[Mech Inst],80)))</f>
        <v/>
      </c>
      <c r="BK81" s="5">
        <f>IF(A81="","",N(INDEX(Projects[Elec Inst],80)))</f>
        <v/>
      </c>
      <c r="BL81" s="5">
        <f>IF(A81="","",N(INDEX(Projects[Project Management],80)))</f>
        <v/>
      </c>
      <c r="BM81" s="5">
        <f>IF(A81="","",N(INDEX(Projects[Systems Eng],80)))</f>
        <v/>
      </c>
      <c r="BN81" s="5">
        <f>IF(A81="","",N(INDEX(Projects[Mechanical Eng],80)))</f>
        <v/>
      </c>
      <c r="BO81" s="5">
        <f>IF(A81="","",N(INDEX(Projects[Structural Engineering],80)))</f>
        <v/>
      </c>
      <c r="BP81" s="5">
        <f>IF(A81="","",N(INDEX(Projects[Site Sup],80)))</f>
        <v/>
      </c>
      <c r="BQ81" s="5">
        <f>IF(A81="","",N(INDEX(Projects[Controls Commissioning],80)))</f>
        <v/>
      </c>
      <c r="BR81" s="5">
        <f>IF(A81="","",N(INDEX(Projects[Systems Commissioning],80)))</f>
        <v/>
      </c>
      <c r="BS81" s="5">
        <f>IF(A81="","",N(INDEX(Projects[Service Commissioning],80)))</f>
        <v/>
      </c>
      <c r="BT81" s="5">
        <f>IF(A81="","",N(INDEX(Projects[Controls Eng],80)))</f>
        <v/>
      </c>
      <c r="BU81" s="5">
        <f>IF(A81="","",N(INDEX(Projects[Controls Purchase],80)))</f>
        <v/>
      </c>
      <c r="BV81" s="5">
        <f>IF(A81="","",N(INDEX(Projects[Software Eng],80)))</f>
        <v/>
      </c>
      <c r="BW81" s="5">
        <f>IF(A81="","",N(INDEX(Projects[Misc],80)))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IF(A82="","",N(INDEX(Projects[Mech Inst],81)))</f>
        <v/>
      </c>
      <c r="BK82" s="5">
        <f>IF(A82="","",N(INDEX(Projects[Elec Inst],81)))</f>
        <v/>
      </c>
      <c r="BL82" s="5">
        <f>IF(A82="","",N(INDEX(Projects[Project Management],81)))</f>
        <v/>
      </c>
      <c r="BM82" s="5">
        <f>IF(A82="","",N(INDEX(Projects[Systems Eng],81)))</f>
        <v/>
      </c>
      <c r="BN82" s="5">
        <f>IF(A82="","",N(INDEX(Projects[Mechanical Eng],81)))</f>
        <v/>
      </c>
      <c r="BO82" s="5">
        <f>IF(A82="","",N(INDEX(Projects[Structural Engineering],81)))</f>
        <v/>
      </c>
      <c r="BP82" s="5">
        <f>IF(A82="","",N(INDEX(Projects[Site Sup],81)))</f>
        <v/>
      </c>
      <c r="BQ82" s="5">
        <f>IF(A82="","",N(INDEX(Projects[Controls Commissioning],81)))</f>
        <v/>
      </c>
      <c r="BR82" s="5">
        <f>IF(A82="","",N(INDEX(Projects[Systems Commissioning],81)))</f>
        <v/>
      </c>
      <c r="BS82" s="5">
        <f>IF(A82="","",N(INDEX(Projects[Service Commissioning],81)))</f>
        <v/>
      </c>
      <c r="BT82" s="5">
        <f>IF(A82="","",N(INDEX(Projects[Controls Eng],81)))</f>
        <v/>
      </c>
      <c r="BU82" s="5">
        <f>IF(A82="","",N(INDEX(Projects[Controls Purchase],81)))</f>
        <v/>
      </c>
      <c r="BV82" s="5">
        <f>IF(A82="","",N(INDEX(Projects[Software Eng],81)))</f>
        <v/>
      </c>
      <c r="BW82" s="5">
        <f>IF(A82="","",N(INDEX(Projects[Misc],81)))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IF(A83="","",N(INDEX(Projects[Mech Inst],82)))</f>
        <v/>
      </c>
      <c r="BK83" s="5">
        <f>IF(A83="","",N(INDEX(Projects[Elec Inst],82)))</f>
        <v/>
      </c>
      <c r="BL83" s="5">
        <f>IF(A83="","",N(INDEX(Projects[Project Management],82)))</f>
        <v/>
      </c>
      <c r="BM83" s="5">
        <f>IF(A83="","",N(INDEX(Projects[Systems Eng],82)))</f>
        <v/>
      </c>
      <c r="BN83" s="5">
        <f>IF(A83="","",N(INDEX(Projects[Mechanical Eng],82)))</f>
        <v/>
      </c>
      <c r="BO83" s="5">
        <f>IF(A83="","",N(INDEX(Projects[Structural Engineering],82)))</f>
        <v/>
      </c>
      <c r="BP83" s="5">
        <f>IF(A83="","",N(INDEX(Projects[Site Sup],82)))</f>
        <v/>
      </c>
      <c r="BQ83" s="5">
        <f>IF(A83="","",N(INDEX(Projects[Controls Commissioning],82)))</f>
        <v/>
      </c>
      <c r="BR83" s="5">
        <f>IF(A83="","",N(INDEX(Projects[Systems Commissioning],82)))</f>
        <v/>
      </c>
      <c r="BS83" s="5">
        <f>IF(A83="","",N(INDEX(Projects[Service Commissioning],82)))</f>
        <v/>
      </c>
      <c r="BT83" s="5">
        <f>IF(A83="","",N(INDEX(Projects[Controls Eng],82)))</f>
        <v/>
      </c>
      <c r="BU83" s="5">
        <f>IF(A83="","",N(INDEX(Projects[Controls Purchase],82)))</f>
        <v/>
      </c>
      <c r="BV83" s="5">
        <f>IF(A83="","",N(INDEX(Projects[Software Eng],82)))</f>
        <v/>
      </c>
      <c r="BW83" s="5">
        <f>IF(A83="","",N(INDEX(Projects[Misc],82)))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IF(A84="","",N(INDEX(Projects[Mech Inst],83)))</f>
        <v/>
      </c>
      <c r="BK84" s="5">
        <f>IF(A84="","",N(INDEX(Projects[Elec Inst],83)))</f>
        <v/>
      </c>
      <c r="BL84" s="5">
        <f>IF(A84="","",N(INDEX(Projects[Project Management],83)))</f>
        <v/>
      </c>
      <c r="BM84" s="5">
        <f>IF(A84="","",N(INDEX(Projects[Systems Eng],83)))</f>
        <v/>
      </c>
      <c r="BN84" s="5">
        <f>IF(A84="","",N(INDEX(Projects[Mechanical Eng],83)))</f>
        <v/>
      </c>
      <c r="BO84" s="5">
        <f>IF(A84="","",N(INDEX(Projects[Structural Engineering],83)))</f>
        <v/>
      </c>
      <c r="BP84" s="5">
        <f>IF(A84="","",N(INDEX(Projects[Site Sup],83)))</f>
        <v/>
      </c>
      <c r="BQ84" s="5">
        <f>IF(A84="","",N(INDEX(Projects[Controls Commissioning],83)))</f>
        <v/>
      </c>
      <c r="BR84" s="5">
        <f>IF(A84="","",N(INDEX(Projects[Systems Commissioning],83)))</f>
        <v/>
      </c>
      <c r="BS84" s="5">
        <f>IF(A84="","",N(INDEX(Projects[Service Commissioning],83)))</f>
        <v/>
      </c>
      <c r="BT84" s="5">
        <f>IF(A84="","",N(INDEX(Projects[Controls Eng],83)))</f>
        <v/>
      </c>
      <c r="BU84" s="5">
        <f>IF(A84="","",N(INDEX(Projects[Controls Purchase],83)))</f>
        <v/>
      </c>
      <c r="BV84" s="5">
        <f>IF(A84="","",N(INDEX(Projects[Software Eng],83)))</f>
        <v/>
      </c>
      <c r="BW84" s="5">
        <f>IF(A84="","",N(INDEX(Projects[Misc],83)))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IF(A85="","",N(INDEX(Projects[Mech Inst],84)))</f>
        <v/>
      </c>
      <c r="BK85" s="5">
        <f>IF(A85="","",N(INDEX(Projects[Elec Inst],84)))</f>
        <v/>
      </c>
      <c r="BL85" s="5">
        <f>IF(A85="","",N(INDEX(Projects[Project Management],84)))</f>
        <v/>
      </c>
      <c r="BM85" s="5">
        <f>IF(A85="","",N(INDEX(Projects[Systems Eng],84)))</f>
        <v/>
      </c>
      <c r="BN85" s="5">
        <f>IF(A85="","",N(INDEX(Projects[Mechanical Eng],84)))</f>
        <v/>
      </c>
      <c r="BO85" s="5">
        <f>IF(A85="","",N(INDEX(Projects[Structural Engineering],84)))</f>
        <v/>
      </c>
      <c r="BP85" s="5">
        <f>IF(A85="","",N(INDEX(Projects[Site Sup],84)))</f>
        <v/>
      </c>
      <c r="BQ85" s="5">
        <f>IF(A85="","",N(INDEX(Projects[Controls Commissioning],84)))</f>
        <v/>
      </c>
      <c r="BR85" s="5">
        <f>IF(A85="","",N(INDEX(Projects[Systems Commissioning],84)))</f>
        <v/>
      </c>
      <c r="BS85" s="5">
        <f>IF(A85="","",N(INDEX(Projects[Service Commissioning],84)))</f>
        <v/>
      </c>
      <c r="BT85" s="5">
        <f>IF(A85="","",N(INDEX(Projects[Controls Eng],84)))</f>
        <v/>
      </c>
      <c r="BU85" s="5">
        <f>IF(A85="","",N(INDEX(Projects[Controls Purchase],84)))</f>
        <v/>
      </c>
      <c r="BV85" s="5">
        <f>IF(A85="","",N(INDEX(Projects[Software Eng],84)))</f>
        <v/>
      </c>
      <c r="BW85" s="5">
        <f>IF(A85="","",N(INDEX(Projects[Misc],84)))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IF(A86="","",N(INDEX(Projects[Mech Inst],85)))</f>
        <v/>
      </c>
      <c r="BK86" s="5">
        <f>IF(A86="","",N(INDEX(Projects[Elec Inst],85)))</f>
        <v/>
      </c>
      <c r="BL86" s="5">
        <f>IF(A86="","",N(INDEX(Projects[Project Management],85)))</f>
        <v/>
      </c>
      <c r="BM86" s="5">
        <f>IF(A86="","",N(INDEX(Projects[Systems Eng],85)))</f>
        <v/>
      </c>
      <c r="BN86" s="5">
        <f>IF(A86="","",N(INDEX(Projects[Mechanical Eng],85)))</f>
        <v/>
      </c>
      <c r="BO86" s="5">
        <f>IF(A86="","",N(INDEX(Projects[Structural Engineering],85)))</f>
        <v/>
      </c>
      <c r="BP86" s="5">
        <f>IF(A86="","",N(INDEX(Projects[Site Sup],85)))</f>
        <v/>
      </c>
      <c r="BQ86" s="5">
        <f>IF(A86="","",N(INDEX(Projects[Controls Commissioning],85)))</f>
        <v/>
      </c>
      <c r="BR86" s="5">
        <f>IF(A86="","",N(INDEX(Projects[Systems Commissioning],85)))</f>
        <v/>
      </c>
      <c r="BS86" s="5">
        <f>IF(A86="","",N(INDEX(Projects[Service Commissioning],85)))</f>
        <v/>
      </c>
      <c r="BT86" s="5">
        <f>IF(A86="","",N(INDEX(Projects[Controls Eng],85)))</f>
        <v/>
      </c>
      <c r="BU86" s="5">
        <f>IF(A86="","",N(INDEX(Projects[Controls Purchase],85)))</f>
        <v/>
      </c>
      <c r="BV86" s="5">
        <f>IF(A86="","",N(INDEX(Projects[Software Eng],85)))</f>
        <v/>
      </c>
      <c r="BW86" s="5">
        <f>IF(A86="","",N(INDEX(Projects[Misc],85)))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IF(A87="","",N(INDEX(Projects[Mech Inst],86)))</f>
        <v/>
      </c>
      <c r="BK87" s="5">
        <f>IF(A87="","",N(INDEX(Projects[Elec Inst],86)))</f>
        <v/>
      </c>
      <c r="BL87" s="5">
        <f>IF(A87="","",N(INDEX(Projects[Project Management],86)))</f>
        <v/>
      </c>
      <c r="BM87" s="5">
        <f>IF(A87="","",N(INDEX(Projects[Systems Eng],86)))</f>
        <v/>
      </c>
      <c r="BN87" s="5">
        <f>IF(A87="","",N(INDEX(Projects[Mechanical Eng],86)))</f>
        <v/>
      </c>
      <c r="BO87" s="5">
        <f>IF(A87="","",N(INDEX(Projects[Structural Engineering],86)))</f>
        <v/>
      </c>
      <c r="BP87" s="5">
        <f>IF(A87="","",N(INDEX(Projects[Site Sup],86)))</f>
        <v/>
      </c>
      <c r="BQ87" s="5">
        <f>IF(A87="","",N(INDEX(Projects[Controls Commissioning],86)))</f>
        <v/>
      </c>
      <c r="BR87" s="5">
        <f>IF(A87="","",N(INDEX(Projects[Systems Commissioning],86)))</f>
        <v/>
      </c>
      <c r="BS87" s="5">
        <f>IF(A87="","",N(INDEX(Projects[Service Commissioning],86)))</f>
        <v/>
      </c>
      <c r="BT87" s="5">
        <f>IF(A87="","",N(INDEX(Projects[Controls Eng],86)))</f>
        <v/>
      </c>
      <c r="BU87" s="5">
        <f>IF(A87="","",N(INDEX(Projects[Controls Purchase],86)))</f>
        <v/>
      </c>
      <c r="BV87" s="5">
        <f>IF(A87="","",N(INDEX(Projects[Software Eng],86)))</f>
        <v/>
      </c>
      <c r="BW87" s="5">
        <f>IF(A87="","",N(INDEX(Projects[Misc],86)))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IF(A88="","",N(INDEX(Projects[Mech Inst],87)))</f>
        <v/>
      </c>
      <c r="BK88" s="5">
        <f>IF(A88="","",N(INDEX(Projects[Elec Inst],87)))</f>
        <v/>
      </c>
      <c r="BL88" s="5">
        <f>IF(A88="","",N(INDEX(Projects[Project Management],87)))</f>
        <v/>
      </c>
      <c r="BM88" s="5">
        <f>IF(A88="","",N(INDEX(Projects[Systems Eng],87)))</f>
        <v/>
      </c>
      <c r="BN88" s="5">
        <f>IF(A88="","",N(INDEX(Projects[Mechanical Eng],87)))</f>
        <v/>
      </c>
      <c r="BO88" s="5">
        <f>IF(A88="","",N(INDEX(Projects[Structural Engineering],87)))</f>
        <v/>
      </c>
      <c r="BP88" s="5">
        <f>IF(A88="","",N(INDEX(Projects[Site Sup],87)))</f>
        <v/>
      </c>
      <c r="BQ88" s="5">
        <f>IF(A88="","",N(INDEX(Projects[Controls Commissioning],87)))</f>
        <v/>
      </c>
      <c r="BR88" s="5">
        <f>IF(A88="","",N(INDEX(Projects[Systems Commissioning],87)))</f>
        <v/>
      </c>
      <c r="BS88" s="5">
        <f>IF(A88="","",N(INDEX(Projects[Service Commissioning],87)))</f>
        <v/>
      </c>
      <c r="BT88" s="5">
        <f>IF(A88="","",N(INDEX(Projects[Controls Eng],87)))</f>
        <v/>
      </c>
      <c r="BU88" s="5">
        <f>IF(A88="","",N(INDEX(Projects[Controls Purchase],87)))</f>
        <v/>
      </c>
      <c r="BV88" s="5">
        <f>IF(A88="","",N(INDEX(Projects[Software Eng],87)))</f>
        <v/>
      </c>
      <c r="BW88" s="5">
        <f>IF(A88="","",N(INDEX(Projects[Misc],87)))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IF(A89="","",N(INDEX(Projects[Mech Inst],88)))</f>
        <v/>
      </c>
      <c r="BK89" s="5">
        <f>IF(A89="","",N(INDEX(Projects[Elec Inst],88)))</f>
        <v/>
      </c>
      <c r="BL89" s="5">
        <f>IF(A89="","",N(INDEX(Projects[Project Management],88)))</f>
        <v/>
      </c>
      <c r="BM89" s="5">
        <f>IF(A89="","",N(INDEX(Projects[Systems Eng],88)))</f>
        <v/>
      </c>
      <c r="BN89" s="5">
        <f>IF(A89="","",N(INDEX(Projects[Mechanical Eng],88)))</f>
        <v/>
      </c>
      <c r="BO89" s="5">
        <f>IF(A89="","",N(INDEX(Projects[Structural Engineering],88)))</f>
        <v/>
      </c>
      <c r="BP89" s="5">
        <f>IF(A89="","",N(INDEX(Projects[Site Sup],88)))</f>
        <v/>
      </c>
      <c r="BQ89" s="5">
        <f>IF(A89="","",N(INDEX(Projects[Controls Commissioning],88)))</f>
        <v/>
      </c>
      <c r="BR89" s="5">
        <f>IF(A89="","",N(INDEX(Projects[Systems Commissioning],88)))</f>
        <v/>
      </c>
      <c r="BS89" s="5">
        <f>IF(A89="","",N(INDEX(Projects[Service Commissioning],88)))</f>
        <v/>
      </c>
      <c r="BT89" s="5">
        <f>IF(A89="","",N(INDEX(Projects[Controls Eng],88)))</f>
        <v/>
      </c>
      <c r="BU89" s="5">
        <f>IF(A89="","",N(INDEX(Projects[Controls Purchase],88)))</f>
        <v/>
      </c>
      <c r="BV89" s="5">
        <f>IF(A89="","",N(INDEX(Projects[Software Eng],88)))</f>
        <v/>
      </c>
      <c r="BW89" s="5">
        <f>IF(A89="","",N(INDEX(Projects[Misc],88)))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IF(A90="","",N(INDEX(Projects[Mech Inst],89)))</f>
        <v/>
      </c>
      <c r="BK90" s="5">
        <f>IF(A90="","",N(INDEX(Projects[Elec Inst],89)))</f>
        <v/>
      </c>
      <c r="BL90" s="5">
        <f>IF(A90="","",N(INDEX(Projects[Project Management],89)))</f>
        <v/>
      </c>
      <c r="BM90" s="5">
        <f>IF(A90="","",N(INDEX(Projects[Systems Eng],89)))</f>
        <v/>
      </c>
      <c r="BN90" s="5">
        <f>IF(A90="","",N(INDEX(Projects[Mechanical Eng],89)))</f>
        <v/>
      </c>
      <c r="BO90" s="5">
        <f>IF(A90="","",N(INDEX(Projects[Structural Engineering],89)))</f>
        <v/>
      </c>
      <c r="BP90" s="5">
        <f>IF(A90="","",N(INDEX(Projects[Site Sup],89)))</f>
        <v/>
      </c>
      <c r="BQ90" s="5">
        <f>IF(A90="","",N(INDEX(Projects[Controls Commissioning],89)))</f>
        <v/>
      </c>
      <c r="BR90" s="5">
        <f>IF(A90="","",N(INDEX(Projects[Systems Commissioning],89)))</f>
        <v/>
      </c>
      <c r="BS90" s="5">
        <f>IF(A90="","",N(INDEX(Projects[Service Commissioning],89)))</f>
        <v/>
      </c>
      <c r="BT90" s="5">
        <f>IF(A90="","",N(INDEX(Projects[Controls Eng],89)))</f>
        <v/>
      </c>
      <c r="BU90" s="5">
        <f>IF(A90="","",N(INDEX(Projects[Controls Purchase],89)))</f>
        <v/>
      </c>
      <c r="BV90" s="5">
        <f>IF(A90="","",N(INDEX(Projects[Software Eng],89)))</f>
        <v/>
      </c>
      <c r="BW90" s="5">
        <f>IF(A90="","",N(INDEX(Projects[Misc],89)))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IF(A91="","",N(INDEX(Projects[Mech Inst],90)))</f>
        <v/>
      </c>
      <c r="BK91" s="5">
        <f>IF(A91="","",N(INDEX(Projects[Elec Inst],90)))</f>
        <v/>
      </c>
      <c r="BL91" s="5">
        <f>IF(A91="","",N(INDEX(Projects[Project Management],90)))</f>
        <v/>
      </c>
      <c r="BM91" s="5">
        <f>IF(A91="","",N(INDEX(Projects[Systems Eng],90)))</f>
        <v/>
      </c>
      <c r="BN91" s="5">
        <f>IF(A91="","",N(INDEX(Projects[Mechanical Eng],90)))</f>
        <v/>
      </c>
      <c r="BO91" s="5">
        <f>IF(A91="","",N(INDEX(Projects[Structural Engineering],90)))</f>
        <v/>
      </c>
      <c r="BP91" s="5">
        <f>IF(A91="","",N(INDEX(Projects[Site Sup],90)))</f>
        <v/>
      </c>
      <c r="BQ91" s="5">
        <f>IF(A91="","",N(INDEX(Projects[Controls Commissioning],90)))</f>
        <v/>
      </c>
      <c r="BR91" s="5">
        <f>IF(A91="","",N(INDEX(Projects[Systems Commissioning],90)))</f>
        <v/>
      </c>
      <c r="BS91" s="5">
        <f>IF(A91="","",N(INDEX(Projects[Service Commissioning],90)))</f>
        <v/>
      </c>
      <c r="BT91" s="5">
        <f>IF(A91="","",N(INDEX(Projects[Controls Eng],90)))</f>
        <v/>
      </c>
      <c r="BU91" s="5">
        <f>IF(A91="","",N(INDEX(Projects[Controls Purchase],90)))</f>
        <v/>
      </c>
      <c r="BV91" s="5">
        <f>IF(A91="","",N(INDEX(Projects[Software Eng],90)))</f>
        <v/>
      </c>
      <c r="BW91" s="5">
        <f>IF(A91="","",N(INDEX(Projects[Misc],90)))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IF(A92="","",N(INDEX(Projects[Mech Inst],91)))</f>
        <v/>
      </c>
      <c r="BK92" s="5">
        <f>IF(A92="","",N(INDEX(Projects[Elec Inst],91)))</f>
        <v/>
      </c>
      <c r="BL92" s="5">
        <f>IF(A92="","",N(INDEX(Projects[Project Management],91)))</f>
        <v/>
      </c>
      <c r="BM92" s="5">
        <f>IF(A92="","",N(INDEX(Projects[Systems Eng],91)))</f>
        <v/>
      </c>
      <c r="BN92" s="5">
        <f>IF(A92="","",N(INDEX(Projects[Mechanical Eng],91)))</f>
        <v/>
      </c>
      <c r="BO92" s="5">
        <f>IF(A92="","",N(INDEX(Projects[Structural Engineering],91)))</f>
        <v/>
      </c>
      <c r="BP92" s="5">
        <f>IF(A92="","",N(INDEX(Projects[Site Sup],91)))</f>
        <v/>
      </c>
      <c r="BQ92" s="5">
        <f>IF(A92="","",N(INDEX(Projects[Controls Commissioning],91)))</f>
        <v/>
      </c>
      <c r="BR92" s="5">
        <f>IF(A92="","",N(INDEX(Projects[Systems Commissioning],91)))</f>
        <v/>
      </c>
      <c r="BS92" s="5">
        <f>IF(A92="","",N(INDEX(Projects[Service Commissioning],91)))</f>
        <v/>
      </c>
      <c r="BT92" s="5">
        <f>IF(A92="","",N(INDEX(Projects[Controls Eng],91)))</f>
        <v/>
      </c>
      <c r="BU92" s="5">
        <f>IF(A92="","",N(INDEX(Projects[Controls Purchase],91)))</f>
        <v/>
      </c>
      <c r="BV92" s="5">
        <f>IF(A92="","",N(INDEX(Projects[Software Eng],91)))</f>
        <v/>
      </c>
      <c r="BW92" s="5">
        <f>IF(A92="","",N(INDEX(Projects[Misc],91)))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IF(A93="","",N(INDEX(Projects[Mech Inst],92)))</f>
        <v/>
      </c>
      <c r="BK93" s="5">
        <f>IF(A93="","",N(INDEX(Projects[Elec Inst],92)))</f>
        <v/>
      </c>
      <c r="BL93" s="5">
        <f>IF(A93="","",N(INDEX(Projects[Project Management],92)))</f>
        <v/>
      </c>
      <c r="BM93" s="5">
        <f>IF(A93="","",N(INDEX(Projects[Systems Eng],92)))</f>
        <v/>
      </c>
      <c r="BN93" s="5">
        <f>IF(A93="","",N(INDEX(Projects[Mechanical Eng],92)))</f>
        <v/>
      </c>
      <c r="BO93" s="5">
        <f>IF(A93="","",N(INDEX(Projects[Structural Engineering],92)))</f>
        <v/>
      </c>
      <c r="BP93" s="5">
        <f>IF(A93="","",N(INDEX(Projects[Site Sup],92)))</f>
        <v/>
      </c>
      <c r="BQ93" s="5">
        <f>IF(A93="","",N(INDEX(Projects[Controls Commissioning],92)))</f>
        <v/>
      </c>
      <c r="BR93" s="5">
        <f>IF(A93="","",N(INDEX(Projects[Systems Commissioning],92)))</f>
        <v/>
      </c>
      <c r="BS93" s="5">
        <f>IF(A93="","",N(INDEX(Projects[Service Commissioning],92)))</f>
        <v/>
      </c>
      <c r="BT93" s="5">
        <f>IF(A93="","",N(INDEX(Projects[Controls Eng],92)))</f>
        <v/>
      </c>
      <c r="BU93" s="5">
        <f>IF(A93="","",N(INDEX(Projects[Controls Purchase],92)))</f>
        <v/>
      </c>
      <c r="BV93" s="5">
        <f>IF(A93="","",N(INDEX(Projects[Software Eng],92)))</f>
        <v/>
      </c>
      <c r="BW93" s="5">
        <f>IF(A93="","",N(INDEX(Projects[Misc],92)))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IF(A94="","",N(INDEX(Projects[Mech Inst],93)))</f>
        <v/>
      </c>
      <c r="BK94" s="5">
        <f>IF(A94="","",N(INDEX(Projects[Elec Inst],93)))</f>
        <v/>
      </c>
      <c r="BL94" s="5">
        <f>IF(A94="","",N(INDEX(Projects[Project Management],93)))</f>
        <v/>
      </c>
      <c r="BM94" s="5">
        <f>IF(A94="","",N(INDEX(Projects[Systems Eng],93)))</f>
        <v/>
      </c>
      <c r="BN94" s="5">
        <f>IF(A94="","",N(INDEX(Projects[Mechanical Eng],93)))</f>
        <v/>
      </c>
      <c r="BO94" s="5">
        <f>IF(A94="","",N(INDEX(Projects[Structural Engineering],93)))</f>
        <v/>
      </c>
      <c r="BP94" s="5">
        <f>IF(A94="","",N(INDEX(Projects[Site Sup],93)))</f>
        <v/>
      </c>
      <c r="BQ94" s="5">
        <f>IF(A94="","",N(INDEX(Projects[Controls Commissioning],93)))</f>
        <v/>
      </c>
      <c r="BR94" s="5">
        <f>IF(A94="","",N(INDEX(Projects[Systems Commissioning],93)))</f>
        <v/>
      </c>
      <c r="BS94" s="5">
        <f>IF(A94="","",N(INDEX(Projects[Service Commissioning],93)))</f>
        <v/>
      </c>
      <c r="BT94" s="5">
        <f>IF(A94="","",N(INDEX(Projects[Controls Eng],93)))</f>
        <v/>
      </c>
      <c r="BU94" s="5">
        <f>IF(A94="","",N(INDEX(Projects[Controls Purchase],93)))</f>
        <v/>
      </c>
      <c r="BV94" s="5">
        <f>IF(A94="","",N(INDEX(Projects[Software Eng],93)))</f>
        <v/>
      </c>
      <c r="BW94" s="5">
        <f>IF(A94="","",N(INDEX(Projects[Misc],93)))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IF(A95="","",N(INDEX(Projects[Mech Inst],94)))</f>
        <v/>
      </c>
      <c r="BK95" s="5">
        <f>IF(A95="","",N(INDEX(Projects[Elec Inst],94)))</f>
        <v/>
      </c>
      <c r="BL95" s="5">
        <f>IF(A95="","",N(INDEX(Projects[Project Management],94)))</f>
        <v/>
      </c>
      <c r="BM95" s="5">
        <f>IF(A95="","",N(INDEX(Projects[Systems Eng],94)))</f>
        <v/>
      </c>
      <c r="BN95" s="5">
        <f>IF(A95="","",N(INDEX(Projects[Mechanical Eng],94)))</f>
        <v/>
      </c>
      <c r="BO95" s="5">
        <f>IF(A95="","",N(INDEX(Projects[Structural Engineering],94)))</f>
        <v/>
      </c>
      <c r="BP95" s="5">
        <f>IF(A95="","",N(INDEX(Projects[Site Sup],94)))</f>
        <v/>
      </c>
      <c r="BQ95" s="5">
        <f>IF(A95="","",N(INDEX(Projects[Controls Commissioning],94)))</f>
        <v/>
      </c>
      <c r="BR95" s="5">
        <f>IF(A95="","",N(INDEX(Projects[Systems Commissioning],94)))</f>
        <v/>
      </c>
      <c r="BS95" s="5">
        <f>IF(A95="","",N(INDEX(Projects[Service Commissioning],94)))</f>
        <v/>
      </c>
      <c r="BT95" s="5">
        <f>IF(A95="","",N(INDEX(Projects[Controls Eng],94)))</f>
        <v/>
      </c>
      <c r="BU95" s="5">
        <f>IF(A95="","",N(INDEX(Projects[Controls Purchase],94)))</f>
        <v/>
      </c>
      <c r="BV95" s="5">
        <f>IF(A95="","",N(INDEX(Projects[Software Eng],94)))</f>
        <v/>
      </c>
      <c r="BW95" s="5">
        <f>IF(A95="","",N(INDEX(Projects[Misc],94)))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IF(A96="","",N(INDEX(Projects[Mech Inst],95)))</f>
        <v/>
      </c>
      <c r="BK96" s="5">
        <f>IF(A96="","",N(INDEX(Projects[Elec Inst],95)))</f>
        <v/>
      </c>
      <c r="BL96" s="5">
        <f>IF(A96="","",N(INDEX(Projects[Project Management],95)))</f>
        <v/>
      </c>
      <c r="BM96" s="5">
        <f>IF(A96="","",N(INDEX(Projects[Systems Eng],95)))</f>
        <v/>
      </c>
      <c r="BN96" s="5">
        <f>IF(A96="","",N(INDEX(Projects[Mechanical Eng],95)))</f>
        <v/>
      </c>
      <c r="BO96" s="5">
        <f>IF(A96="","",N(INDEX(Projects[Structural Engineering],95)))</f>
        <v/>
      </c>
      <c r="BP96" s="5">
        <f>IF(A96="","",N(INDEX(Projects[Site Sup],95)))</f>
        <v/>
      </c>
      <c r="BQ96" s="5">
        <f>IF(A96="","",N(INDEX(Projects[Controls Commissioning],95)))</f>
        <v/>
      </c>
      <c r="BR96" s="5">
        <f>IF(A96="","",N(INDEX(Projects[Systems Commissioning],95)))</f>
        <v/>
      </c>
      <c r="BS96" s="5">
        <f>IF(A96="","",N(INDEX(Projects[Service Commissioning],95)))</f>
        <v/>
      </c>
      <c r="BT96" s="5">
        <f>IF(A96="","",N(INDEX(Projects[Controls Eng],95)))</f>
        <v/>
      </c>
      <c r="BU96" s="5">
        <f>IF(A96="","",N(INDEX(Projects[Controls Purchase],95)))</f>
        <v/>
      </c>
      <c r="BV96" s="5">
        <f>IF(A96="","",N(INDEX(Projects[Software Eng],95)))</f>
        <v/>
      </c>
      <c r="BW96" s="5">
        <f>IF(A96="","",N(INDEX(Projects[Misc],95)))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IF(A97="","",N(INDEX(Projects[Mech Inst],96)))</f>
        <v/>
      </c>
      <c r="BK97" s="5">
        <f>IF(A97="","",N(INDEX(Projects[Elec Inst],96)))</f>
        <v/>
      </c>
      <c r="BL97" s="5">
        <f>IF(A97="","",N(INDEX(Projects[Project Management],96)))</f>
        <v/>
      </c>
      <c r="BM97" s="5">
        <f>IF(A97="","",N(INDEX(Projects[Systems Eng],96)))</f>
        <v/>
      </c>
      <c r="BN97" s="5">
        <f>IF(A97="","",N(INDEX(Projects[Mechanical Eng],96)))</f>
        <v/>
      </c>
      <c r="BO97" s="5">
        <f>IF(A97="","",N(INDEX(Projects[Structural Engineering],96)))</f>
        <v/>
      </c>
      <c r="BP97" s="5">
        <f>IF(A97="","",N(INDEX(Projects[Site Sup],96)))</f>
        <v/>
      </c>
      <c r="BQ97" s="5">
        <f>IF(A97="","",N(INDEX(Projects[Controls Commissioning],96)))</f>
        <v/>
      </c>
      <c r="BR97" s="5">
        <f>IF(A97="","",N(INDEX(Projects[Systems Commissioning],96)))</f>
        <v/>
      </c>
      <c r="BS97" s="5">
        <f>IF(A97="","",N(INDEX(Projects[Service Commissioning],96)))</f>
        <v/>
      </c>
      <c r="BT97" s="5">
        <f>IF(A97="","",N(INDEX(Projects[Controls Eng],96)))</f>
        <v/>
      </c>
      <c r="BU97" s="5">
        <f>IF(A97="","",N(INDEX(Projects[Controls Purchase],96)))</f>
        <v/>
      </c>
      <c r="BV97" s="5">
        <f>IF(A97="","",N(INDEX(Projects[Software Eng],96)))</f>
        <v/>
      </c>
      <c r="BW97" s="5">
        <f>IF(A97="","",N(INDEX(Projects[Misc],96)))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IF(A98="","",N(INDEX(Projects[Mech Inst],97)))</f>
        <v/>
      </c>
      <c r="BK98" s="5">
        <f>IF(A98="","",N(INDEX(Projects[Elec Inst],97)))</f>
        <v/>
      </c>
      <c r="BL98" s="5">
        <f>IF(A98="","",N(INDEX(Projects[Project Management],97)))</f>
        <v/>
      </c>
      <c r="BM98" s="5">
        <f>IF(A98="","",N(INDEX(Projects[Systems Eng],97)))</f>
        <v/>
      </c>
      <c r="BN98" s="5">
        <f>IF(A98="","",N(INDEX(Projects[Mechanical Eng],97)))</f>
        <v/>
      </c>
      <c r="BO98" s="5">
        <f>IF(A98="","",N(INDEX(Projects[Structural Engineering],97)))</f>
        <v/>
      </c>
      <c r="BP98" s="5">
        <f>IF(A98="","",N(INDEX(Projects[Site Sup],97)))</f>
        <v/>
      </c>
      <c r="BQ98" s="5">
        <f>IF(A98="","",N(INDEX(Projects[Controls Commissioning],97)))</f>
        <v/>
      </c>
      <c r="BR98" s="5">
        <f>IF(A98="","",N(INDEX(Projects[Systems Commissioning],97)))</f>
        <v/>
      </c>
      <c r="BS98" s="5">
        <f>IF(A98="","",N(INDEX(Projects[Service Commissioning],97)))</f>
        <v/>
      </c>
      <c r="BT98" s="5">
        <f>IF(A98="","",N(INDEX(Projects[Controls Eng],97)))</f>
        <v/>
      </c>
      <c r="BU98" s="5">
        <f>IF(A98="","",N(INDEX(Projects[Controls Purchase],97)))</f>
        <v/>
      </c>
      <c r="BV98" s="5">
        <f>IF(A98="","",N(INDEX(Projects[Software Eng],97)))</f>
        <v/>
      </c>
      <c r="BW98" s="5">
        <f>IF(A98="","",N(INDEX(Projects[Misc],97)))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IF(A99="","",N(INDEX(Projects[Mech Inst],98)))</f>
        <v/>
      </c>
      <c r="BK99" s="5">
        <f>IF(A99="","",N(INDEX(Projects[Elec Inst],98)))</f>
        <v/>
      </c>
      <c r="BL99" s="5">
        <f>IF(A99="","",N(INDEX(Projects[Project Management],98)))</f>
        <v/>
      </c>
      <c r="BM99" s="5">
        <f>IF(A99="","",N(INDEX(Projects[Systems Eng],98)))</f>
        <v/>
      </c>
      <c r="BN99" s="5">
        <f>IF(A99="","",N(INDEX(Projects[Mechanical Eng],98)))</f>
        <v/>
      </c>
      <c r="BO99" s="5">
        <f>IF(A99="","",N(INDEX(Projects[Structural Engineering],98)))</f>
        <v/>
      </c>
      <c r="BP99" s="5">
        <f>IF(A99="","",N(INDEX(Projects[Site Sup],98)))</f>
        <v/>
      </c>
      <c r="BQ99" s="5">
        <f>IF(A99="","",N(INDEX(Projects[Controls Commissioning],98)))</f>
        <v/>
      </c>
      <c r="BR99" s="5">
        <f>IF(A99="","",N(INDEX(Projects[Systems Commissioning],98)))</f>
        <v/>
      </c>
      <c r="BS99" s="5">
        <f>IF(A99="","",N(INDEX(Projects[Service Commissioning],98)))</f>
        <v/>
      </c>
      <c r="BT99" s="5">
        <f>IF(A99="","",N(INDEX(Projects[Controls Eng],98)))</f>
        <v/>
      </c>
      <c r="BU99" s="5">
        <f>IF(A99="","",N(INDEX(Projects[Controls Purchase],98)))</f>
        <v/>
      </c>
      <c r="BV99" s="5">
        <f>IF(A99="","",N(INDEX(Projects[Software Eng],98)))</f>
        <v/>
      </c>
      <c r="BW99" s="5">
        <f>IF(A99="","",N(INDEX(Projects[Misc],98)))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IF(A100="","",N(INDEX(Projects[Mech Inst],99)))</f>
        <v/>
      </c>
      <c r="BK100" s="5">
        <f>IF(A100="","",N(INDEX(Projects[Elec Inst],99)))</f>
        <v/>
      </c>
      <c r="BL100" s="5">
        <f>IF(A100="","",N(INDEX(Projects[Project Management],99)))</f>
        <v/>
      </c>
      <c r="BM100" s="5">
        <f>IF(A100="","",N(INDEX(Projects[Systems Eng],99)))</f>
        <v/>
      </c>
      <c r="BN100" s="5">
        <f>IF(A100="","",N(INDEX(Projects[Mechanical Eng],99)))</f>
        <v/>
      </c>
      <c r="BO100" s="5">
        <f>IF(A100="","",N(INDEX(Projects[Structural Engineering],99)))</f>
        <v/>
      </c>
      <c r="BP100" s="5">
        <f>IF(A100="","",N(INDEX(Projects[Site Sup],99)))</f>
        <v/>
      </c>
      <c r="BQ100" s="5">
        <f>IF(A100="","",N(INDEX(Projects[Controls Commissioning],99)))</f>
        <v/>
      </c>
      <c r="BR100" s="5">
        <f>IF(A100="","",N(INDEX(Projects[Systems Commissioning],99)))</f>
        <v/>
      </c>
      <c r="BS100" s="5">
        <f>IF(A100="","",N(INDEX(Projects[Service Commissioning],99)))</f>
        <v/>
      </c>
      <c r="BT100" s="5">
        <f>IF(A100="","",N(INDEX(Projects[Controls Eng],99)))</f>
        <v/>
      </c>
      <c r="BU100" s="5">
        <f>IF(A100="","",N(INDEX(Projects[Controls Purchase],99)))</f>
        <v/>
      </c>
      <c r="BV100" s="5">
        <f>IF(A100="","",N(INDEX(Projects[Software Eng],99)))</f>
        <v/>
      </c>
      <c r="BW100" s="5">
        <f>IF(A100="","",N(INDEX(Projects[Misc],99)))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IF(A101="","",N(INDEX(Projects[Mech Inst],100)))</f>
        <v/>
      </c>
      <c r="BK101" s="5">
        <f>IF(A101="","",N(INDEX(Projects[Elec Inst],100)))</f>
        <v/>
      </c>
      <c r="BL101" s="5">
        <f>IF(A101="","",N(INDEX(Projects[Project Management],100)))</f>
        <v/>
      </c>
      <c r="BM101" s="5">
        <f>IF(A101="","",N(INDEX(Projects[Systems Eng],100)))</f>
        <v/>
      </c>
      <c r="BN101" s="5">
        <f>IF(A101="","",N(INDEX(Projects[Mechanical Eng],100)))</f>
        <v/>
      </c>
      <c r="BO101" s="5">
        <f>IF(A101="","",N(INDEX(Projects[Structural Engineering],100)))</f>
        <v/>
      </c>
      <c r="BP101" s="5">
        <f>IF(A101="","",N(INDEX(Projects[Site Sup],100)))</f>
        <v/>
      </c>
      <c r="BQ101" s="5">
        <f>IF(A101="","",N(INDEX(Projects[Controls Commissioning],100)))</f>
        <v/>
      </c>
      <c r="BR101" s="5">
        <f>IF(A101="","",N(INDEX(Projects[Systems Commissioning],100)))</f>
        <v/>
      </c>
      <c r="BS101" s="5">
        <f>IF(A101="","",N(INDEX(Projects[Service Commissioning],100)))</f>
        <v/>
      </c>
      <c r="BT101" s="5">
        <f>IF(A101="","",N(INDEX(Projects[Controls Eng],100)))</f>
        <v/>
      </c>
      <c r="BU101" s="5">
        <f>IF(A101="","",N(INDEX(Projects[Controls Purchase],100)))</f>
        <v/>
      </c>
      <c r="BV101" s="5">
        <f>IF(A101="","",N(INDEX(Projects[Software Eng],100)))</f>
        <v/>
      </c>
      <c r="BW101" s="5">
        <f>IF(A101="","",N(INDEX(Projects[Misc],100)))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IF(A102="","",N(INDEX(Projects[Mech Inst],101)))</f>
        <v/>
      </c>
      <c r="BK102" s="5">
        <f>IF(A102="","",N(INDEX(Projects[Elec Inst],101)))</f>
        <v/>
      </c>
      <c r="BL102" s="5">
        <f>IF(A102="","",N(INDEX(Projects[Project Management],101)))</f>
        <v/>
      </c>
      <c r="BM102" s="5">
        <f>IF(A102="","",N(INDEX(Projects[Systems Eng],101)))</f>
        <v/>
      </c>
      <c r="BN102" s="5">
        <f>IF(A102="","",N(INDEX(Projects[Mechanical Eng],101)))</f>
        <v/>
      </c>
      <c r="BO102" s="5">
        <f>IF(A102="","",N(INDEX(Projects[Structural Engineering],101)))</f>
        <v/>
      </c>
      <c r="BP102" s="5">
        <f>IF(A102="","",N(INDEX(Projects[Site Sup],101)))</f>
        <v/>
      </c>
      <c r="BQ102" s="5">
        <f>IF(A102="","",N(INDEX(Projects[Controls Commissioning],101)))</f>
        <v/>
      </c>
      <c r="BR102" s="5">
        <f>IF(A102="","",N(INDEX(Projects[Systems Commissioning],101)))</f>
        <v/>
      </c>
      <c r="BS102" s="5">
        <f>IF(A102="","",N(INDEX(Projects[Service Commissioning],101)))</f>
        <v/>
      </c>
      <c r="BT102" s="5">
        <f>IF(A102="","",N(INDEX(Projects[Controls Eng],101)))</f>
        <v/>
      </c>
      <c r="BU102" s="5">
        <f>IF(A102="","",N(INDEX(Projects[Controls Purchase],101)))</f>
        <v/>
      </c>
      <c r="BV102" s="5">
        <f>IF(A102="","",N(INDEX(Projects[Software Eng],101)))</f>
        <v/>
      </c>
      <c r="BW102" s="5">
        <f>IF(A102="","",N(INDEX(Projects[Misc],101)))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IF(A103="","",N(INDEX(Projects[Mech Inst],102)))</f>
        <v/>
      </c>
      <c r="BK103" s="5">
        <f>IF(A103="","",N(INDEX(Projects[Elec Inst],102)))</f>
        <v/>
      </c>
      <c r="BL103" s="5">
        <f>IF(A103="","",N(INDEX(Projects[Project Management],102)))</f>
        <v/>
      </c>
      <c r="BM103" s="5">
        <f>IF(A103="","",N(INDEX(Projects[Systems Eng],102)))</f>
        <v/>
      </c>
      <c r="BN103" s="5">
        <f>IF(A103="","",N(INDEX(Projects[Mechanical Eng],102)))</f>
        <v/>
      </c>
      <c r="BO103" s="5">
        <f>IF(A103="","",N(INDEX(Projects[Structural Engineering],102)))</f>
        <v/>
      </c>
      <c r="BP103" s="5">
        <f>IF(A103="","",N(INDEX(Projects[Site Sup],102)))</f>
        <v/>
      </c>
      <c r="BQ103" s="5">
        <f>IF(A103="","",N(INDEX(Projects[Controls Commissioning],102)))</f>
        <v/>
      </c>
      <c r="BR103" s="5">
        <f>IF(A103="","",N(INDEX(Projects[Systems Commissioning],102)))</f>
        <v/>
      </c>
      <c r="BS103" s="5">
        <f>IF(A103="","",N(INDEX(Projects[Service Commissioning],102)))</f>
        <v/>
      </c>
      <c r="BT103" s="5">
        <f>IF(A103="","",N(INDEX(Projects[Controls Eng],102)))</f>
        <v/>
      </c>
      <c r="BU103" s="5">
        <f>IF(A103="","",N(INDEX(Projects[Controls Purchase],102)))</f>
        <v/>
      </c>
      <c r="BV103" s="5">
        <f>IF(A103="","",N(INDEX(Projects[Software Eng],102)))</f>
        <v/>
      </c>
      <c r="BW103" s="5">
        <f>IF(A103="","",N(INDEX(Projects[Misc],102)))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IF(A104="","",N(INDEX(Projects[Mech Inst],103)))</f>
        <v/>
      </c>
      <c r="BK104" s="5">
        <f>IF(A104="","",N(INDEX(Projects[Elec Inst],103)))</f>
        <v/>
      </c>
      <c r="BL104" s="5">
        <f>IF(A104="","",N(INDEX(Projects[Project Management],103)))</f>
        <v/>
      </c>
      <c r="BM104" s="5">
        <f>IF(A104="","",N(INDEX(Projects[Systems Eng],103)))</f>
        <v/>
      </c>
      <c r="BN104" s="5">
        <f>IF(A104="","",N(INDEX(Projects[Mechanical Eng],103)))</f>
        <v/>
      </c>
      <c r="BO104" s="5">
        <f>IF(A104="","",N(INDEX(Projects[Structural Engineering],103)))</f>
        <v/>
      </c>
      <c r="BP104" s="5">
        <f>IF(A104="","",N(INDEX(Projects[Site Sup],103)))</f>
        <v/>
      </c>
      <c r="BQ104" s="5">
        <f>IF(A104="","",N(INDEX(Projects[Controls Commissioning],103)))</f>
        <v/>
      </c>
      <c r="BR104" s="5">
        <f>IF(A104="","",N(INDEX(Projects[Systems Commissioning],103)))</f>
        <v/>
      </c>
      <c r="BS104" s="5">
        <f>IF(A104="","",N(INDEX(Projects[Service Commissioning],103)))</f>
        <v/>
      </c>
      <c r="BT104" s="5">
        <f>IF(A104="","",N(INDEX(Projects[Controls Eng],103)))</f>
        <v/>
      </c>
      <c r="BU104" s="5">
        <f>IF(A104="","",N(INDEX(Projects[Controls Purchase],103)))</f>
        <v/>
      </c>
      <c r="BV104" s="5">
        <f>IF(A104="","",N(INDEX(Projects[Software Eng],103)))</f>
        <v/>
      </c>
      <c r="BW104" s="5">
        <f>IF(A104="","",N(INDEX(Projects[Misc],103)))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IF(A105="","",N(INDEX(Projects[Mech Inst],104)))</f>
        <v/>
      </c>
      <c r="BK105" s="5">
        <f>IF(A105="","",N(INDEX(Projects[Elec Inst],104)))</f>
        <v/>
      </c>
      <c r="BL105" s="5">
        <f>IF(A105="","",N(INDEX(Projects[Project Management],104)))</f>
        <v/>
      </c>
      <c r="BM105" s="5">
        <f>IF(A105="","",N(INDEX(Projects[Systems Eng],104)))</f>
        <v/>
      </c>
      <c r="BN105" s="5">
        <f>IF(A105="","",N(INDEX(Projects[Mechanical Eng],104)))</f>
        <v/>
      </c>
      <c r="BO105" s="5">
        <f>IF(A105="","",N(INDEX(Projects[Structural Engineering],104)))</f>
        <v/>
      </c>
      <c r="BP105" s="5">
        <f>IF(A105="","",N(INDEX(Projects[Site Sup],104)))</f>
        <v/>
      </c>
      <c r="BQ105" s="5">
        <f>IF(A105="","",N(INDEX(Projects[Controls Commissioning],104)))</f>
        <v/>
      </c>
      <c r="BR105" s="5">
        <f>IF(A105="","",N(INDEX(Projects[Systems Commissioning],104)))</f>
        <v/>
      </c>
      <c r="BS105" s="5">
        <f>IF(A105="","",N(INDEX(Projects[Service Commissioning],104)))</f>
        <v/>
      </c>
      <c r="BT105" s="5">
        <f>IF(A105="","",N(INDEX(Projects[Controls Eng],104)))</f>
        <v/>
      </c>
      <c r="BU105" s="5">
        <f>IF(A105="","",N(INDEX(Projects[Controls Purchase],104)))</f>
        <v/>
      </c>
      <c r="BV105" s="5">
        <f>IF(A105="","",N(INDEX(Projects[Software Eng],104)))</f>
        <v/>
      </c>
      <c r="BW105" s="5">
        <f>IF(A105="","",N(INDEX(Projects[Misc],104)))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IF(A106="","",N(INDEX(Projects[Mech Inst],105)))</f>
        <v/>
      </c>
      <c r="BK106" s="5">
        <f>IF(A106="","",N(INDEX(Projects[Elec Inst],105)))</f>
        <v/>
      </c>
      <c r="BL106" s="5">
        <f>IF(A106="","",N(INDEX(Projects[Project Management],105)))</f>
        <v/>
      </c>
      <c r="BM106" s="5">
        <f>IF(A106="","",N(INDEX(Projects[Systems Eng],105)))</f>
        <v/>
      </c>
      <c r="BN106" s="5">
        <f>IF(A106="","",N(INDEX(Projects[Mechanical Eng],105)))</f>
        <v/>
      </c>
      <c r="BO106" s="5">
        <f>IF(A106="","",N(INDEX(Projects[Structural Engineering],105)))</f>
        <v/>
      </c>
      <c r="BP106" s="5">
        <f>IF(A106="","",N(INDEX(Projects[Site Sup],105)))</f>
        <v/>
      </c>
      <c r="BQ106" s="5">
        <f>IF(A106="","",N(INDEX(Projects[Controls Commissioning],105)))</f>
        <v/>
      </c>
      <c r="BR106" s="5">
        <f>IF(A106="","",N(INDEX(Projects[Systems Commissioning],105)))</f>
        <v/>
      </c>
      <c r="BS106" s="5">
        <f>IF(A106="","",N(INDEX(Projects[Service Commissioning],105)))</f>
        <v/>
      </c>
      <c r="BT106" s="5">
        <f>IF(A106="","",N(INDEX(Projects[Controls Eng],105)))</f>
        <v/>
      </c>
      <c r="BU106" s="5">
        <f>IF(A106="","",N(INDEX(Projects[Controls Purchase],105)))</f>
        <v/>
      </c>
      <c r="BV106" s="5">
        <f>IF(A106="","",N(INDEX(Projects[Software Eng],105)))</f>
        <v/>
      </c>
      <c r="BW106" s="5">
        <f>IF(A106="","",N(INDEX(Projects[Misc],105)))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IF(A107="","",N(INDEX(Projects[Mech Inst],106)))</f>
        <v/>
      </c>
      <c r="BK107" s="5">
        <f>IF(A107="","",N(INDEX(Projects[Elec Inst],106)))</f>
        <v/>
      </c>
      <c r="BL107" s="5">
        <f>IF(A107="","",N(INDEX(Projects[Project Management],106)))</f>
        <v/>
      </c>
      <c r="BM107" s="5">
        <f>IF(A107="","",N(INDEX(Projects[Systems Eng],106)))</f>
        <v/>
      </c>
      <c r="BN107" s="5">
        <f>IF(A107="","",N(INDEX(Projects[Mechanical Eng],106)))</f>
        <v/>
      </c>
      <c r="BO107" s="5">
        <f>IF(A107="","",N(INDEX(Projects[Structural Engineering],106)))</f>
        <v/>
      </c>
      <c r="BP107" s="5">
        <f>IF(A107="","",N(INDEX(Projects[Site Sup],106)))</f>
        <v/>
      </c>
      <c r="BQ107" s="5">
        <f>IF(A107="","",N(INDEX(Projects[Controls Commissioning],106)))</f>
        <v/>
      </c>
      <c r="BR107" s="5">
        <f>IF(A107="","",N(INDEX(Projects[Systems Commissioning],106)))</f>
        <v/>
      </c>
      <c r="BS107" s="5">
        <f>IF(A107="","",N(INDEX(Projects[Service Commissioning],106)))</f>
        <v/>
      </c>
      <c r="BT107" s="5">
        <f>IF(A107="","",N(INDEX(Projects[Controls Eng],106)))</f>
        <v/>
      </c>
      <c r="BU107" s="5">
        <f>IF(A107="","",N(INDEX(Projects[Controls Purchase],106)))</f>
        <v/>
      </c>
      <c r="BV107" s="5">
        <f>IF(A107="","",N(INDEX(Projects[Software Eng],106)))</f>
        <v/>
      </c>
      <c r="BW107" s="5">
        <f>IF(A107="","",N(INDEX(Projects[Misc],106)))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IF(A108="","",N(INDEX(Projects[Mech Inst],107)))</f>
        <v/>
      </c>
      <c r="BK108" s="5">
        <f>IF(A108="","",N(INDEX(Projects[Elec Inst],107)))</f>
        <v/>
      </c>
      <c r="BL108" s="5">
        <f>IF(A108="","",N(INDEX(Projects[Project Management],107)))</f>
        <v/>
      </c>
      <c r="BM108" s="5">
        <f>IF(A108="","",N(INDEX(Projects[Systems Eng],107)))</f>
        <v/>
      </c>
      <c r="BN108" s="5">
        <f>IF(A108="","",N(INDEX(Projects[Mechanical Eng],107)))</f>
        <v/>
      </c>
      <c r="BO108" s="5">
        <f>IF(A108="","",N(INDEX(Projects[Structural Engineering],107)))</f>
        <v/>
      </c>
      <c r="BP108" s="5">
        <f>IF(A108="","",N(INDEX(Projects[Site Sup],107)))</f>
        <v/>
      </c>
      <c r="BQ108" s="5">
        <f>IF(A108="","",N(INDEX(Projects[Controls Commissioning],107)))</f>
        <v/>
      </c>
      <c r="BR108" s="5">
        <f>IF(A108="","",N(INDEX(Projects[Systems Commissioning],107)))</f>
        <v/>
      </c>
      <c r="BS108" s="5">
        <f>IF(A108="","",N(INDEX(Projects[Service Commissioning],107)))</f>
        <v/>
      </c>
      <c r="BT108" s="5">
        <f>IF(A108="","",N(INDEX(Projects[Controls Eng],107)))</f>
        <v/>
      </c>
      <c r="BU108" s="5">
        <f>IF(A108="","",N(INDEX(Projects[Controls Purchase],107)))</f>
        <v/>
      </c>
      <c r="BV108" s="5">
        <f>IF(A108="","",N(INDEX(Projects[Software Eng],107)))</f>
        <v/>
      </c>
      <c r="BW108" s="5">
        <f>IF(A108="","",N(INDEX(Projects[Misc],107)))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IF(A109="","",N(INDEX(Projects[Mech Inst],108)))</f>
        <v/>
      </c>
      <c r="BK109" s="5">
        <f>IF(A109="","",N(INDEX(Projects[Elec Inst],108)))</f>
        <v/>
      </c>
      <c r="BL109" s="5">
        <f>IF(A109="","",N(INDEX(Projects[Project Management],108)))</f>
        <v/>
      </c>
      <c r="BM109" s="5">
        <f>IF(A109="","",N(INDEX(Projects[Systems Eng],108)))</f>
        <v/>
      </c>
      <c r="BN109" s="5">
        <f>IF(A109="","",N(INDEX(Projects[Mechanical Eng],108)))</f>
        <v/>
      </c>
      <c r="BO109" s="5">
        <f>IF(A109="","",N(INDEX(Projects[Structural Engineering],108)))</f>
        <v/>
      </c>
      <c r="BP109" s="5">
        <f>IF(A109="","",N(INDEX(Projects[Site Sup],108)))</f>
        <v/>
      </c>
      <c r="BQ109" s="5">
        <f>IF(A109="","",N(INDEX(Projects[Controls Commissioning],108)))</f>
        <v/>
      </c>
      <c r="BR109" s="5">
        <f>IF(A109="","",N(INDEX(Projects[Systems Commissioning],108)))</f>
        <v/>
      </c>
      <c r="BS109" s="5">
        <f>IF(A109="","",N(INDEX(Projects[Service Commissioning],108)))</f>
        <v/>
      </c>
      <c r="BT109" s="5">
        <f>IF(A109="","",N(INDEX(Projects[Controls Eng],108)))</f>
        <v/>
      </c>
      <c r="BU109" s="5">
        <f>IF(A109="","",N(INDEX(Projects[Controls Purchase],108)))</f>
        <v/>
      </c>
      <c r="BV109" s="5">
        <f>IF(A109="","",N(INDEX(Projects[Software Eng],108)))</f>
        <v/>
      </c>
      <c r="BW109" s="5">
        <f>IF(A109="","",N(INDEX(Projects[Misc],108)))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IF(A110="","",N(INDEX(Projects[Mech Inst],109)))</f>
        <v/>
      </c>
      <c r="BK110" s="5">
        <f>IF(A110="","",N(INDEX(Projects[Elec Inst],109)))</f>
        <v/>
      </c>
      <c r="BL110" s="5">
        <f>IF(A110="","",N(INDEX(Projects[Project Management],109)))</f>
        <v/>
      </c>
      <c r="BM110" s="5">
        <f>IF(A110="","",N(INDEX(Projects[Systems Eng],109)))</f>
        <v/>
      </c>
      <c r="BN110" s="5">
        <f>IF(A110="","",N(INDEX(Projects[Mechanical Eng],109)))</f>
        <v/>
      </c>
      <c r="BO110" s="5">
        <f>IF(A110="","",N(INDEX(Projects[Structural Engineering],109)))</f>
        <v/>
      </c>
      <c r="BP110" s="5">
        <f>IF(A110="","",N(INDEX(Projects[Site Sup],109)))</f>
        <v/>
      </c>
      <c r="BQ110" s="5">
        <f>IF(A110="","",N(INDEX(Projects[Controls Commissioning],109)))</f>
        <v/>
      </c>
      <c r="BR110" s="5">
        <f>IF(A110="","",N(INDEX(Projects[Systems Commissioning],109)))</f>
        <v/>
      </c>
      <c r="BS110" s="5">
        <f>IF(A110="","",N(INDEX(Projects[Service Commissioning],109)))</f>
        <v/>
      </c>
      <c r="BT110" s="5">
        <f>IF(A110="","",N(INDEX(Projects[Controls Eng],109)))</f>
        <v/>
      </c>
      <c r="BU110" s="5">
        <f>IF(A110="","",N(INDEX(Projects[Controls Purchase],109)))</f>
        <v/>
      </c>
      <c r="BV110" s="5">
        <f>IF(A110="","",N(INDEX(Projects[Software Eng],109)))</f>
        <v/>
      </c>
      <c r="BW110" s="5">
        <f>IF(A110="","",N(INDEX(Projects[Misc],109)))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IF(A111="","",N(INDEX(Projects[Mech Inst],110)))</f>
        <v/>
      </c>
      <c r="BK111" s="5">
        <f>IF(A111="","",N(INDEX(Projects[Elec Inst],110)))</f>
        <v/>
      </c>
      <c r="BL111" s="5">
        <f>IF(A111="","",N(INDEX(Projects[Project Management],110)))</f>
        <v/>
      </c>
      <c r="BM111" s="5">
        <f>IF(A111="","",N(INDEX(Projects[Systems Eng],110)))</f>
        <v/>
      </c>
      <c r="BN111" s="5">
        <f>IF(A111="","",N(INDEX(Projects[Mechanical Eng],110)))</f>
        <v/>
      </c>
      <c r="BO111" s="5">
        <f>IF(A111="","",N(INDEX(Projects[Structural Engineering],110)))</f>
        <v/>
      </c>
      <c r="BP111" s="5">
        <f>IF(A111="","",N(INDEX(Projects[Site Sup],110)))</f>
        <v/>
      </c>
      <c r="BQ111" s="5">
        <f>IF(A111="","",N(INDEX(Projects[Controls Commissioning],110)))</f>
        <v/>
      </c>
      <c r="BR111" s="5">
        <f>IF(A111="","",N(INDEX(Projects[Systems Commissioning],110)))</f>
        <v/>
      </c>
      <c r="BS111" s="5">
        <f>IF(A111="","",N(INDEX(Projects[Service Commissioning],110)))</f>
        <v/>
      </c>
      <c r="BT111" s="5">
        <f>IF(A111="","",N(INDEX(Projects[Controls Eng],110)))</f>
        <v/>
      </c>
      <c r="BU111" s="5">
        <f>IF(A111="","",N(INDEX(Projects[Controls Purchase],110)))</f>
        <v/>
      </c>
      <c r="BV111" s="5">
        <f>IF(A111="","",N(INDEX(Projects[Software Eng],110)))</f>
        <v/>
      </c>
      <c r="BW111" s="5">
        <f>IF(A111="","",N(INDEX(Projects[Misc],110)))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IF(A112="","",N(INDEX(Projects[Mech Inst],111)))</f>
        <v/>
      </c>
      <c r="BK112" s="5">
        <f>IF(A112="","",N(INDEX(Projects[Elec Inst],111)))</f>
        <v/>
      </c>
      <c r="BL112" s="5">
        <f>IF(A112="","",N(INDEX(Projects[Project Management],111)))</f>
        <v/>
      </c>
      <c r="BM112" s="5">
        <f>IF(A112="","",N(INDEX(Projects[Systems Eng],111)))</f>
        <v/>
      </c>
      <c r="BN112" s="5">
        <f>IF(A112="","",N(INDEX(Projects[Mechanical Eng],111)))</f>
        <v/>
      </c>
      <c r="BO112" s="5">
        <f>IF(A112="","",N(INDEX(Projects[Structural Engineering],111)))</f>
        <v/>
      </c>
      <c r="BP112" s="5">
        <f>IF(A112="","",N(INDEX(Projects[Site Sup],111)))</f>
        <v/>
      </c>
      <c r="BQ112" s="5">
        <f>IF(A112="","",N(INDEX(Projects[Controls Commissioning],111)))</f>
        <v/>
      </c>
      <c r="BR112" s="5">
        <f>IF(A112="","",N(INDEX(Projects[Systems Commissioning],111)))</f>
        <v/>
      </c>
      <c r="BS112" s="5">
        <f>IF(A112="","",N(INDEX(Projects[Service Commissioning],111)))</f>
        <v/>
      </c>
      <c r="BT112" s="5">
        <f>IF(A112="","",N(INDEX(Projects[Controls Eng],111)))</f>
        <v/>
      </c>
      <c r="BU112" s="5">
        <f>IF(A112="","",N(INDEX(Projects[Controls Purchase],111)))</f>
        <v/>
      </c>
      <c r="BV112" s="5">
        <f>IF(A112="","",N(INDEX(Projects[Software Eng],111)))</f>
        <v/>
      </c>
      <c r="BW112" s="5">
        <f>IF(A112="","",N(INDEX(Projects[Misc],111)))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IF(A113="","",N(INDEX(Projects[Mech Inst],112)))</f>
        <v/>
      </c>
      <c r="BK113" s="5">
        <f>IF(A113="","",N(INDEX(Projects[Elec Inst],112)))</f>
        <v/>
      </c>
      <c r="BL113" s="5">
        <f>IF(A113="","",N(INDEX(Projects[Project Management],112)))</f>
        <v/>
      </c>
      <c r="BM113" s="5">
        <f>IF(A113="","",N(INDEX(Projects[Systems Eng],112)))</f>
        <v/>
      </c>
      <c r="BN113" s="5">
        <f>IF(A113="","",N(INDEX(Projects[Mechanical Eng],112)))</f>
        <v/>
      </c>
      <c r="BO113" s="5">
        <f>IF(A113="","",N(INDEX(Projects[Structural Engineering],112)))</f>
        <v/>
      </c>
      <c r="BP113" s="5">
        <f>IF(A113="","",N(INDEX(Projects[Site Sup],112)))</f>
        <v/>
      </c>
      <c r="BQ113" s="5">
        <f>IF(A113="","",N(INDEX(Projects[Controls Commissioning],112)))</f>
        <v/>
      </c>
      <c r="BR113" s="5">
        <f>IF(A113="","",N(INDEX(Projects[Systems Commissioning],112)))</f>
        <v/>
      </c>
      <c r="BS113" s="5">
        <f>IF(A113="","",N(INDEX(Projects[Service Commissioning],112)))</f>
        <v/>
      </c>
      <c r="BT113" s="5">
        <f>IF(A113="","",N(INDEX(Projects[Controls Eng],112)))</f>
        <v/>
      </c>
      <c r="BU113" s="5">
        <f>IF(A113="","",N(INDEX(Projects[Controls Purchase],112)))</f>
        <v/>
      </c>
      <c r="BV113" s="5">
        <f>IF(A113="","",N(INDEX(Projects[Software Eng],112)))</f>
        <v/>
      </c>
      <c r="BW113" s="5">
        <f>IF(A113="","",N(INDEX(Projects[Misc],112)))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IF(A114="","",N(INDEX(Projects[Mech Inst],113)))</f>
        <v/>
      </c>
      <c r="BK114" s="5">
        <f>IF(A114="","",N(INDEX(Projects[Elec Inst],113)))</f>
        <v/>
      </c>
      <c r="BL114" s="5">
        <f>IF(A114="","",N(INDEX(Projects[Project Management],113)))</f>
        <v/>
      </c>
      <c r="BM114" s="5">
        <f>IF(A114="","",N(INDEX(Projects[Systems Eng],113)))</f>
        <v/>
      </c>
      <c r="BN114" s="5">
        <f>IF(A114="","",N(INDEX(Projects[Mechanical Eng],113)))</f>
        <v/>
      </c>
      <c r="BO114" s="5">
        <f>IF(A114="","",N(INDEX(Projects[Structural Engineering],113)))</f>
        <v/>
      </c>
      <c r="BP114" s="5">
        <f>IF(A114="","",N(INDEX(Projects[Site Sup],113)))</f>
        <v/>
      </c>
      <c r="BQ114" s="5">
        <f>IF(A114="","",N(INDEX(Projects[Controls Commissioning],113)))</f>
        <v/>
      </c>
      <c r="BR114" s="5">
        <f>IF(A114="","",N(INDEX(Projects[Systems Commissioning],113)))</f>
        <v/>
      </c>
      <c r="BS114" s="5">
        <f>IF(A114="","",N(INDEX(Projects[Service Commissioning],113)))</f>
        <v/>
      </c>
      <c r="BT114" s="5">
        <f>IF(A114="","",N(INDEX(Projects[Controls Eng],113)))</f>
        <v/>
      </c>
      <c r="BU114" s="5">
        <f>IF(A114="","",N(INDEX(Projects[Controls Purchase],113)))</f>
        <v/>
      </c>
      <c r="BV114" s="5">
        <f>IF(A114="","",N(INDEX(Projects[Software Eng],113)))</f>
        <v/>
      </c>
      <c r="BW114" s="5">
        <f>IF(A114="","",N(INDEX(Projects[Misc],113)))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IF(A115="","",N(INDEX(Projects[Mech Inst],114)))</f>
        <v/>
      </c>
      <c r="BK115" s="5">
        <f>IF(A115="","",N(INDEX(Projects[Elec Inst],114)))</f>
        <v/>
      </c>
      <c r="BL115" s="5">
        <f>IF(A115="","",N(INDEX(Projects[Project Management],114)))</f>
        <v/>
      </c>
      <c r="BM115" s="5">
        <f>IF(A115="","",N(INDEX(Projects[Systems Eng],114)))</f>
        <v/>
      </c>
      <c r="BN115" s="5">
        <f>IF(A115="","",N(INDEX(Projects[Mechanical Eng],114)))</f>
        <v/>
      </c>
      <c r="BO115" s="5">
        <f>IF(A115="","",N(INDEX(Projects[Structural Engineering],114)))</f>
        <v/>
      </c>
      <c r="BP115" s="5">
        <f>IF(A115="","",N(INDEX(Projects[Site Sup],114)))</f>
        <v/>
      </c>
      <c r="BQ115" s="5">
        <f>IF(A115="","",N(INDEX(Projects[Controls Commissioning],114)))</f>
        <v/>
      </c>
      <c r="BR115" s="5">
        <f>IF(A115="","",N(INDEX(Projects[Systems Commissioning],114)))</f>
        <v/>
      </c>
      <c r="BS115" s="5">
        <f>IF(A115="","",N(INDEX(Projects[Service Commissioning],114)))</f>
        <v/>
      </c>
      <c r="BT115" s="5">
        <f>IF(A115="","",N(INDEX(Projects[Controls Eng],114)))</f>
        <v/>
      </c>
      <c r="BU115" s="5">
        <f>IF(A115="","",N(INDEX(Projects[Controls Purchase],114)))</f>
        <v/>
      </c>
      <c r="BV115" s="5">
        <f>IF(A115="","",N(INDEX(Projects[Software Eng],114)))</f>
        <v/>
      </c>
      <c r="BW115" s="5">
        <f>IF(A115="","",N(INDEX(Projects[Misc],114)))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IF(A116="","",N(INDEX(Projects[Mech Inst],115)))</f>
        <v/>
      </c>
      <c r="BK116" s="5">
        <f>IF(A116="","",N(INDEX(Projects[Elec Inst],115)))</f>
        <v/>
      </c>
      <c r="BL116" s="5">
        <f>IF(A116="","",N(INDEX(Projects[Project Management],115)))</f>
        <v/>
      </c>
      <c r="BM116" s="5">
        <f>IF(A116="","",N(INDEX(Projects[Systems Eng],115)))</f>
        <v/>
      </c>
      <c r="BN116" s="5">
        <f>IF(A116="","",N(INDEX(Projects[Mechanical Eng],115)))</f>
        <v/>
      </c>
      <c r="BO116" s="5">
        <f>IF(A116="","",N(INDEX(Projects[Structural Engineering],115)))</f>
        <v/>
      </c>
      <c r="BP116" s="5">
        <f>IF(A116="","",N(INDEX(Projects[Site Sup],115)))</f>
        <v/>
      </c>
      <c r="BQ116" s="5">
        <f>IF(A116="","",N(INDEX(Projects[Controls Commissioning],115)))</f>
        <v/>
      </c>
      <c r="BR116" s="5">
        <f>IF(A116="","",N(INDEX(Projects[Systems Commissioning],115)))</f>
        <v/>
      </c>
      <c r="BS116" s="5">
        <f>IF(A116="","",N(INDEX(Projects[Service Commissioning],115)))</f>
        <v/>
      </c>
      <c r="BT116" s="5">
        <f>IF(A116="","",N(INDEX(Projects[Controls Eng],115)))</f>
        <v/>
      </c>
      <c r="BU116" s="5">
        <f>IF(A116="","",N(INDEX(Projects[Controls Purchase],115)))</f>
        <v/>
      </c>
      <c r="BV116" s="5">
        <f>IF(A116="","",N(INDEX(Projects[Software Eng],115)))</f>
        <v/>
      </c>
      <c r="BW116" s="5">
        <f>IF(A116="","",N(INDEX(Projects[Misc],115)))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IF(A117="","",N(INDEX(Projects[Mech Inst],116)))</f>
        <v/>
      </c>
      <c r="BK117" s="5">
        <f>IF(A117="","",N(INDEX(Projects[Elec Inst],116)))</f>
        <v/>
      </c>
      <c r="BL117" s="5">
        <f>IF(A117="","",N(INDEX(Projects[Project Management],116)))</f>
        <v/>
      </c>
      <c r="BM117" s="5">
        <f>IF(A117="","",N(INDEX(Projects[Systems Eng],116)))</f>
        <v/>
      </c>
      <c r="BN117" s="5">
        <f>IF(A117="","",N(INDEX(Projects[Mechanical Eng],116)))</f>
        <v/>
      </c>
      <c r="BO117" s="5">
        <f>IF(A117="","",N(INDEX(Projects[Structural Engineering],116)))</f>
        <v/>
      </c>
      <c r="BP117" s="5">
        <f>IF(A117="","",N(INDEX(Projects[Site Sup],116)))</f>
        <v/>
      </c>
      <c r="BQ117" s="5">
        <f>IF(A117="","",N(INDEX(Projects[Controls Commissioning],116)))</f>
        <v/>
      </c>
      <c r="BR117" s="5">
        <f>IF(A117="","",N(INDEX(Projects[Systems Commissioning],116)))</f>
        <v/>
      </c>
      <c r="BS117" s="5">
        <f>IF(A117="","",N(INDEX(Projects[Service Commissioning],116)))</f>
        <v/>
      </c>
      <c r="BT117" s="5">
        <f>IF(A117="","",N(INDEX(Projects[Controls Eng],116)))</f>
        <v/>
      </c>
      <c r="BU117" s="5">
        <f>IF(A117="","",N(INDEX(Projects[Controls Purchase],116)))</f>
        <v/>
      </c>
      <c r="BV117" s="5">
        <f>IF(A117="","",N(INDEX(Projects[Software Eng],116)))</f>
        <v/>
      </c>
      <c r="BW117" s="5">
        <f>IF(A117="","",N(INDEX(Projects[Misc],116)))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IF(A118="","",N(INDEX(Projects[Mech Inst],117)))</f>
        <v/>
      </c>
      <c r="BK118" s="5">
        <f>IF(A118="","",N(INDEX(Projects[Elec Inst],117)))</f>
        <v/>
      </c>
      <c r="BL118" s="5">
        <f>IF(A118="","",N(INDEX(Projects[Project Management],117)))</f>
        <v/>
      </c>
      <c r="BM118" s="5">
        <f>IF(A118="","",N(INDEX(Projects[Systems Eng],117)))</f>
        <v/>
      </c>
      <c r="BN118" s="5">
        <f>IF(A118="","",N(INDEX(Projects[Mechanical Eng],117)))</f>
        <v/>
      </c>
      <c r="BO118" s="5">
        <f>IF(A118="","",N(INDEX(Projects[Structural Engineering],117)))</f>
        <v/>
      </c>
      <c r="BP118" s="5">
        <f>IF(A118="","",N(INDEX(Projects[Site Sup],117)))</f>
        <v/>
      </c>
      <c r="BQ118" s="5">
        <f>IF(A118="","",N(INDEX(Projects[Controls Commissioning],117)))</f>
        <v/>
      </c>
      <c r="BR118" s="5">
        <f>IF(A118="","",N(INDEX(Projects[Systems Commissioning],117)))</f>
        <v/>
      </c>
      <c r="BS118" s="5">
        <f>IF(A118="","",N(INDEX(Projects[Service Commissioning],117)))</f>
        <v/>
      </c>
      <c r="BT118" s="5">
        <f>IF(A118="","",N(INDEX(Projects[Controls Eng],117)))</f>
        <v/>
      </c>
      <c r="BU118" s="5">
        <f>IF(A118="","",N(INDEX(Projects[Controls Purchase],117)))</f>
        <v/>
      </c>
      <c r="BV118" s="5">
        <f>IF(A118="","",N(INDEX(Projects[Software Eng],117)))</f>
        <v/>
      </c>
      <c r="BW118" s="5">
        <f>IF(A118="","",N(INDEX(Projects[Misc],117)))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IF(A119="","",N(INDEX(Projects[Mech Inst],118)))</f>
        <v/>
      </c>
      <c r="BK119" s="5">
        <f>IF(A119="","",N(INDEX(Projects[Elec Inst],118)))</f>
        <v/>
      </c>
      <c r="BL119" s="5">
        <f>IF(A119="","",N(INDEX(Projects[Project Management],118)))</f>
        <v/>
      </c>
      <c r="BM119" s="5">
        <f>IF(A119="","",N(INDEX(Projects[Systems Eng],118)))</f>
        <v/>
      </c>
      <c r="BN119" s="5">
        <f>IF(A119="","",N(INDEX(Projects[Mechanical Eng],118)))</f>
        <v/>
      </c>
      <c r="BO119" s="5">
        <f>IF(A119="","",N(INDEX(Projects[Structural Engineering],118)))</f>
        <v/>
      </c>
      <c r="BP119" s="5">
        <f>IF(A119="","",N(INDEX(Projects[Site Sup],118)))</f>
        <v/>
      </c>
      <c r="BQ119" s="5">
        <f>IF(A119="","",N(INDEX(Projects[Controls Commissioning],118)))</f>
        <v/>
      </c>
      <c r="BR119" s="5">
        <f>IF(A119="","",N(INDEX(Projects[Systems Commissioning],118)))</f>
        <v/>
      </c>
      <c r="BS119" s="5">
        <f>IF(A119="","",N(INDEX(Projects[Service Commissioning],118)))</f>
        <v/>
      </c>
      <c r="BT119" s="5">
        <f>IF(A119="","",N(INDEX(Projects[Controls Eng],118)))</f>
        <v/>
      </c>
      <c r="BU119" s="5">
        <f>IF(A119="","",N(INDEX(Projects[Controls Purchase],118)))</f>
        <v/>
      </c>
      <c r="BV119" s="5">
        <f>IF(A119="","",N(INDEX(Projects[Software Eng],118)))</f>
        <v/>
      </c>
      <c r="BW119" s="5">
        <f>IF(A119="","",N(INDEX(Projects[Misc],118)))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IF(A120="","",N(INDEX(Projects[Mech Inst],119)))</f>
        <v/>
      </c>
      <c r="BK120" s="5">
        <f>IF(A120="","",N(INDEX(Projects[Elec Inst],119)))</f>
        <v/>
      </c>
      <c r="BL120" s="5">
        <f>IF(A120="","",N(INDEX(Projects[Project Management],119)))</f>
        <v/>
      </c>
      <c r="BM120" s="5">
        <f>IF(A120="","",N(INDEX(Projects[Systems Eng],119)))</f>
        <v/>
      </c>
      <c r="BN120" s="5">
        <f>IF(A120="","",N(INDEX(Projects[Mechanical Eng],119)))</f>
        <v/>
      </c>
      <c r="BO120" s="5">
        <f>IF(A120="","",N(INDEX(Projects[Structural Engineering],119)))</f>
        <v/>
      </c>
      <c r="BP120" s="5">
        <f>IF(A120="","",N(INDEX(Projects[Site Sup],119)))</f>
        <v/>
      </c>
      <c r="BQ120" s="5">
        <f>IF(A120="","",N(INDEX(Projects[Controls Commissioning],119)))</f>
        <v/>
      </c>
      <c r="BR120" s="5">
        <f>IF(A120="","",N(INDEX(Projects[Systems Commissioning],119)))</f>
        <v/>
      </c>
      <c r="BS120" s="5">
        <f>IF(A120="","",N(INDEX(Projects[Service Commissioning],119)))</f>
        <v/>
      </c>
      <c r="BT120" s="5">
        <f>IF(A120="","",N(INDEX(Projects[Controls Eng],119)))</f>
        <v/>
      </c>
      <c r="BU120" s="5">
        <f>IF(A120="","",N(INDEX(Projects[Controls Purchase],119)))</f>
        <v/>
      </c>
      <c r="BV120" s="5">
        <f>IF(A120="","",N(INDEX(Projects[Software Eng],119)))</f>
        <v/>
      </c>
      <c r="BW120" s="5">
        <f>IF(A120="","",N(INDEX(Projects[Misc],119)))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IF(A121="","",N(INDEX(Projects[Mech Inst],120)))</f>
        <v/>
      </c>
      <c r="BK121" s="5">
        <f>IF(A121="","",N(INDEX(Projects[Elec Inst],120)))</f>
        <v/>
      </c>
      <c r="BL121" s="5">
        <f>IF(A121="","",N(INDEX(Projects[Project Management],120)))</f>
        <v/>
      </c>
      <c r="BM121" s="5">
        <f>IF(A121="","",N(INDEX(Projects[Systems Eng],120)))</f>
        <v/>
      </c>
      <c r="BN121" s="5">
        <f>IF(A121="","",N(INDEX(Projects[Mechanical Eng],120)))</f>
        <v/>
      </c>
      <c r="BO121" s="5">
        <f>IF(A121="","",N(INDEX(Projects[Structural Engineering],120)))</f>
        <v/>
      </c>
      <c r="BP121" s="5">
        <f>IF(A121="","",N(INDEX(Projects[Site Sup],120)))</f>
        <v/>
      </c>
      <c r="BQ121" s="5">
        <f>IF(A121="","",N(INDEX(Projects[Controls Commissioning],120)))</f>
        <v/>
      </c>
      <c r="BR121" s="5">
        <f>IF(A121="","",N(INDEX(Projects[Systems Commissioning],120)))</f>
        <v/>
      </c>
      <c r="BS121" s="5">
        <f>IF(A121="","",N(INDEX(Projects[Service Commissioning],120)))</f>
        <v/>
      </c>
      <c r="BT121" s="5">
        <f>IF(A121="","",N(INDEX(Projects[Controls Eng],120)))</f>
        <v/>
      </c>
      <c r="BU121" s="5">
        <f>IF(A121="","",N(INDEX(Projects[Controls Purchase],120)))</f>
        <v/>
      </c>
      <c r="BV121" s="5">
        <f>IF(A121="","",N(INDEX(Projects[Software Eng],120)))</f>
        <v/>
      </c>
      <c r="BW121" s="5">
        <f>IF(A121="","",N(INDEX(Projects[Misc],120)))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IF(A122="","",N(INDEX(Projects[Mech Inst],121)))</f>
        <v/>
      </c>
      <c r="BK122" s="5">
        <f>IF(A122="","",N(INDEX(Projects[Elec Inst],121)))</f>
        <v/>
      </c>
      <c r="BL122" s="5">
        <f>IF(A122="","",N(INDEX(Projects[Project Management],121)))</f>
        <v/>
      </c>
      <c r="BM122" s="5">
        <f>IF(A122="","",N(INDEX(Projects[Systems Eng],121)))</f>
        <v/>
      </c>
      <c r="BN122" s="5">
        <f>IF(A122="","",N(INDEX(Projects[Mechanical Eng],121)))</f>
        <v/>
      </c>
      <c r="BO122" s="5">
        <f>IF(A122="","",N(INDEX(Projects[Structural Engineering],121)))</f>
        <v/>
      </c>
      <c r="BP122" s="5">
        <f>IF(A122="","",N(INDEX(Projects[Site Sup],121)))</f>
        <v/>
      </c>
      <c r="BQ122" s="5">
        <f>IF(A122="","",N(INDEX(Projects[Controls Commissioning],121)))</f>
        <v/>
      </c>
      <c r="BR122" s="5">
        <f>IF(A122="","",N(INDEX(Projects[Systems Commissioning],121)))</f>
        <v/>
      </c>
      <c r="BS122" s="5">
        <f>IF(A122="","",N(INDEX(Projects[Service Commissioning],121)))</f>
        <v/>
      </c>
      <c r="BT122" s="5">
        <f>IF(A122="","",N(INDEX(Projects[Controls Eng],121)))</f>
        <v/>
      </c>
      <c r="BU122" s="5">
        <f>IF(A122="","",N(INDEX(Projects[Controls Purchase],121)))</f>
        <v/>
      </c>
      <c r="BV122" s="5">
        <f>IF(A122="","",N(INDEX(Projects[Software Eng],121)))</f>
        <v/>
      </c>
      <c r="BW122" s="5">
        <f>IF(A122="","",N(INDEX(Projects[Misc],121)))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IF(A123="","",N(INDEX(Projects[Mech Inst],122)))</f>
        <v/>
      </c>
      <c r="BK123" s="5">
        <f>IF(A123="","",N(INDEX(Projects[Elec Inst],122)))</f>
        <v/>
      </c>
      <c r="BL123" s="5">
        <f>IF(A123="","",N(INDEX(Projects[Project Management],122)))</f>
        <v/>
      </c>
      <c r="BM123" s="5">
        <f>IF(A123="","",N(INDEX(Projects[Systems Eng],122)))</f>
        <v/>
      </c>
      <c r="BN123" s="5">
        <f>IF(A123="","",N(INDEX(Projects[Mechanical Eng],122)))</f>
        <v/>
      </c>
      <c r="BO123" s="5">
        <f>IF(A123="","",N(INDEX(Projects[Structural Engineering],122)))</f>
        <v/>
      </c>
      <c r="BP123" s="5">
        <f>IF(A123="","",N(INDEX(Projects[Site Sup],122)))</f>
        <v/>
      </c>
      <c r="BQ123" s="5">
        <f>IF(A123="","",N(INDEX(Projects[Controls Commissioning],122)))</f>
        <v/>
      </c>
      <c r="BR123" s="5">
        <f>IF(A123="","",N(INDEX(Projects[Systems Commissioning],122)))</f>
        <v/>
      </c>
      <c r="BS123" s="5">
        <f>IF(A123="","",N(INDEX(Projects[Service Commissioning],122)))</f>
        <v/>
      </c>
      <c r="BT123" s="5">
        <f>IF(A123="","",N(INDEX(Projects[Controls Eng],122)))</f>
        <v/>
      </c>
      <c r="BU123" s="5">
        <f>IF(A123="","",N(INDEX(Projects[Controls Purchase],122)))</f>
        <v/>
      </c>
      <c r="BV123" s="5">
        <f>IF(A123="","",N(INDEX(Projects[Software Eng],122)))</f>
        <v/>
      </c>
      <c r="BW123" s="5">
        <f>IF(A123="","",N(INDEX(Projects[Misc],122)))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IF(A124="","",N(INDEX(Projects[Mech Inst],123)))</f>
        <v/>
      </c>
      <c r="BK124" s="5">
        <f>IF(A124="","",N(INDEX(Projects[Elec Inst],123)))</f>
        <v/>
      </c>
      <c r="BL124" s="5">
        <f>IF(A124="","",N(INDEX(Projects[Project Management],123)))</f>
        <v/>
      </c>
      <c r="BM124" s="5">
        <f>IF(A124="","",N(INDEX(Projects[Systems Eng],123)))</f>
        <v/>
      </c>
      <c r="BN124" s="5">
        <f>IF(A124="","",N(INDEX(Projects[Mechanical Eng],123)))</f>
        <v/>
      </c>
      <c r="BO124" s="5">
        <f>IF(A124="","",N(INDEX(Projects[Structural Engineering],123)))</f>
        <v/>
      </c>
      <c r="BP124" s="5">
        <f>IF(A124="","",N(INDEX(Projects[Site Sup],123)))</f>
        <v/>
      </c>
      <c r="BQ124" s="5">
        <f>IF(A124="","",N(INDEX(Projects[Controls Commissioning],123)))</f>
        <v/>
      </c>
      <c r="BR124" s="5">
        <f>IF(A124="","",N(INDEX(Projects[Systems Commissioning],123)))</f>
        <v/>
      </c>
      <c r="BS124" s="5">
        <f>IF(A124="","",N(INDEX(Projects[Service Commissioning],123)))</f>
        <v/>
      </c>
      <c r="BT124" s="5">
        <f>IF(A124="","",N(INDEX(Projects[Controls Eng],123)))</f>
        <v/>
      </c>
      <c r="BU124" s="5">
        <f>IF(A124="","",N(INDEX(Projects[Controls Purchase],123)))</f>
        <v/>
      </c>
      <c r="BV124" s="5">
        <f>IF(A124="","",N(INDEX(Projects[Software Eng],123)))</f>
        <v/>
      </c>
      <c r="BW124" s="5">
        <f>IF(A124="","",N(INDEX(Projects[Misc],123)))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IF(A125="","",N(INDEX(Projects[Mech Inst],124)))</f>
        <v/>
      </c>
      <c r="BK125" s="5">
        <f>IF(A125="","",N(INDEX(Projects[Elec Inst],124)))</f>
        <v/>
      </c>
      <c r="BL125" s="5">
        <f>IF(A125="","",N(INDEX(Projects[Project Management],124)))</f>
        <v/>
      </c>
      <c r="BM125" s="5">
        <f>IF(A125="","",N(INDEX(Projects[Systems Eng],124)))</f>
        <v/>
      </c>
      <c r="BN125" s="5">
        <f>IF(A125="","",N(INDEX(Projects[Mechanical Eng],124)))</f>
        <v/>
      </c>
      <c r="BO125" s="5">
        <f>IF(A125="","",N(INDEX(Projects[Structural Engineering],124)))</f>
        <v/>
      </c>
      <c r="BP125" s="5">
        <f>IF(A125="","",N(INDEX(Projects[Site Sup],124)))</f>
        <v/>
      </c>
      <c r="BQ125" s="5">
        <f>IF(A125="","",N(INDEX(Projects[Controls Commissioning],124)))</f>
        <v/>
      </c>
      <c r="BR125" s="5">
        <f>IF(A125="","",N(INDEX(Projects[Systems Commissioning],124)))</f>
        <v/>
      </c>
      <c r="BS125" s="5">
        <f>IF(A125="","",N(INDEX(Projects[Service Commissioning],124)))</f>
        <v/>
      </c>
      <c r="BT125" s="5">
        <f>IF(A125="","",N(INDEX(Projects[Controls Eng],124)))</f>
        <v/>
      </c>
      <c r="BU125" s="5">
        <f>IF(A125="","",N(INDEX(Projects[Controls Purchase],124)))</f>
        <v/>
      </c>
      <c r="BV125" s="5">
        <f>IF(A125="","",N(INDEX(Projects[Software Eng],124)))</f>
        <v/>
      </c>
      <c r="BW125" s="5">
        <f>IF(A125="","",N(INDEX(Projects[Misc],124)))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IF(A126="","",N(INDEX(Projects[Mech Inst],125)))</f>
        <v/>
      </c>
      <c r="BK126" s="5">
        <f>IF(A126="","",N(INDEX(Projects[Elec Inst],125)))</f>
        <v/>
      </c>
      <c r="BL126" s="5">
        <f>IF(A126="","",N(INDEX(Projects[Project Management],125)))</f>
        <v/>
      </c>
      <c r="BM126" s="5">
        <f>IF(A126="","",N(INDEX(Projects[Systems Eng],125)))</f>
        <v/>
      </c>
      <c r="BN126" s="5">
        <f>IF(A126="","",N(INDEX(Projects[Mechanical Eng],125)))</f>
        <v/>
      </c>
      <c r="BO126" s="5">
        <f>IF(A126="","",N(INDEX(Projects[Structural Engineering],125)))</f>
        <v/>
      </c>
      <c r="BP126" s="5">
        <f>IF(A126="","",N(INDEX(Projects[Site Sup],125)))</f>
        <v/>
      </c>
      <c r="BQ126" s="5">
        <f>IF(A126="","",N(INDEX(Projects[Controls Commissioning],125)))</f>
        <v/>
      </c>
      <c r="BR126" s="5">
        <f>IF(A126="","",N(INDEX(Projects[Systems Commissioning],125)))</f>
        <v/>
      </c>
      <c r="BS126" s="5">
        <f>IF(A126="","",N(INDEX(Projects[Service Commissioning],125)))</f>
        <v/>
      </c>
      <c r="BT126" s="5">
        <f>IF(A126="","",N(INDEX(Projects[Controls Eng],125)))</f>
        <v/>
      </c>
      <c r="BU126" s="5">
        <f>IF(A126="","",N(INDEX(Projects[Controls Purchase],125)))</f>
        <v/>
      </c>
      <c r="BV126" s="5">
        <f>IF(A126="","",N(INDEX(Projects[Software Eng],125)))</f>
        <v/>
      </c>
      <c r="BW126" s="5">
        <f>IF(A126="","",N(INDEX(Projects[Misc],125)))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IF(A127="","",N(INDEX(Projects[Mech Inst],126)))</f>
        <v/>
      </c>
      <c r="BK127" s="5">
        <f>IF(A127="","",N(INDEX(Projects[Elec Inst],126)))</f>
        <v/>
      </c>
      <c r="BL127" s="5">
        <f>IF(A127="","",N(INDEX(Projects[Project Management],126)))</f>
        <v/>
      </c>
      <c r="BM127" s="5">
        <f>IF(A127="","",N(INDEX(Projects[Systems Eng],126)))</f>
        <v/>
      </c>
      <c r="BN127" s="5">
        <f>IF(A127="","",N(INDEX(Projects[Mechanical Eng],126)))</f>
        <v/>
      </c>
      <c r="BO127" s="5">
        <f>IF(A127="","",N(INDEX(Projects[Structural Engineering],126)))</f>
        <v/>
      </c>
      <c r="BP127" s="5">
        <f>IF(A127="","",N(INDEX(Projects[Site Sup],126)))</f>
        <v/>
      </c>
      <c r="BQ127" s="5">
        <f>IF(A127="","",N(INDEX(Projects[Controls Commissioning],126)))</f>
        <v/>
      </c>
      <c r="BR127" s="5">
        <f>IF(A127="","",N(INDEX(Projects[Systems Commissioning],126)))</f>
        <v/>
      </c>
      <c r="BS127" s="5">
        <f>IF(A127="","",N(INDEX(Projects[Service Commissioning],126)))</f>
        <v/>
      </c>
      <c r="BT127" s="5">
        <f>IF(A127="","",N(INDEX(Projects[Controls Eng],126)))</f>
        <v/>
      </c>
      <c r="BU127" s="5">
        <f>IF(A127="","",N(INDEX(Projects[Controls Purchase],126)))</f>
        <v/>
      </c>
      <c r="BV127" s="5">
        <f>IF(A127="","",N(INDEX(Projects[Software Eng],126)))</f>
        <v/>
      </c>
      <c r="BW127" s="5">
        <f>IF(A127="","",N(INDEX(Projects[Misc],126)))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IF(A128="","",N(INDEX(Projects[Mech Inst],127)))</f>
        <v/>
      </c>
      <c r="BK128" s="5">
        <f>IF(A128="","",N(INDEX(Projects[Elec Inst],127)))</f>
        <v/>
      </c>
      <c r="BL128" s="5">
        <f>IF(A128="","",N(INDEX(Projects[Project Management],127)))</f>
        <v/>
      </c>
      <c r="BM128" s="5">
        <f>IF(A128="","",N(INDEX(Projects[Systems Eng],127)))</f>
        <v/>
      </c>
      <c r="BN128" s="5">
        <f>IF(A128="","",N(INDEX(Projects[Mechanical Eng],127)))</f>
        <v/>
      </c>
      <c r="BO128" s="5">
        <f>IF(A128="","",N(INDEX(Projects[Structural Engineering],127)))</f>
        <v/>
      </c>
      <c r="BP128" s="5">
        <f>IF(A128="","",N(INDEX(Projects[Site Sup],127)))</f>
        <v/>
      </c>
      <c r="BQ128" s="5">
        <f>IF(A128="","",N(INDEX(Projects[Controls Commissioning],127)))</f>
        <v/>
      </c>
      <c r="BR128" s="5">
        <f>IF(A128="","",N(INDEX(Projects[Systems Commissioning],127)))</f>
        <v/>
      </c>
      <c r="BS128" s="5">
        <f>IF(A128="","",N(INDEX(Projects[Service Commissioning],127)))</f>
        <v/>
      </c>
      <c r="BT128" s="5">
        <f>IF(A128="","",N(INDEX(Projects[Controls Eng],127)))</f>
        <v/>
      </c>
      <c r="BU128" s="5">
        <f>IF(A128="","",N(INDEX(Projects[Controls Purchase],127)))</f>
        <v/>
      </c>
      <c r="BV128" s="5">
        <f>IF(A128="","",N(INDEX(Projects[Software Eng],127)))</f>
        <v/>
      </c>
      <c r="BW128" s="5">
        <f>IF(A128="","",N(INDEX(Projects[Misc],127)))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IF(A129="","",N(INDEX(Projects[Mech Inst],128)))</f>
        <v/>
      </c>
      <c r="BK129" s="5">
        <f>IF(A129="","",N(INDEX(Projects[Elec Inst],128)))</f>
        <v/>
      </c>
      <c r="BL129" s="5">
        <f>IF(A129="","",N(INDEX(Projects[Project Management],128)))</f>
        <v/>
      </c>
      <c r="BM129" s="5">
        <f>IF(A129="","",N(INDEX(Projects[Systems Eng],128)))</f>
        <v/>
      </c>
      <c r="BN129" s="5">
        <f>IF(A129="","",N(INDEX(Projects[Mechanical Eng],128)))</f>
        <v/>
      </c>
      <c r="BO129" s="5">
        <f>IF(A129="","",N(INDEX(Projects[Structural Engineering],128)))</f>
        <v/>
      </c>
      <c r="BP129" s="5">
        <f>IF(A129="","",N(INDEX(Projects[Site Sup],128)))</f>
        <v/>
      </c>
      <c r="BQ129" s="5">
        <f>IF(A129="","",N(INDEX(Projects[Controls Commissioning],128)))</f>
        <v/>
      </c>
      <c r="BR129" s="5">
        <f>IF(A129="","",N(INDEX(Projects[Systems Commissioning],128)))</f>
        <v/>
      </c>
      <c r="BS129" s="5">
        <f>IF(A129="","",N(INDEX(Projects[Service Commissioning],128)))</f>
        <v/>
      </c>
      <c r="BT129" s="5">
        <f>IF(A129="","",N(INDEX(Projects[Controls Eng],128)))</f>
        <v/>
      </c>
      <c r="BU129" s="5">
        <f>IF(A129="","",N(INDEX(Projects[Controls Purchase],128)))</f>
        <v/>
      </c>
      <c r="BV129" s="5">
        <f>IF(A129="","",N(INDEX(Projects[Software Eng],128)))</f>
        <v/>
      </c>
      <c r="BW129" s="5">
        <f>IF(A129="","",N(INDEX(Projects[Misc],128)))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IF(A130="","",N(INDEX(Projects[Mech Inst],129)))</f>
        <v/>
      </c>
      <c r="BK130" s="5">
        <f>IF(A130="","",N(INDEX(Projects[Elec Inst],129)))</f>
        <v/>
      </c>
      <c r="BL130" s="5">
        <f>IF(A130="","",N(INDEX(Projects[Project Management],129)))</f>
        <v/>
      </c>
      <c r="BM130" s="5">
        <f>IF(A130="","",N(INDEX(Projects[Systems Eng],129)))</f>
        <v/>
      </c>
      <c r="BN130" s="5">
        <f>IF(A130="","",N(INDEX(Projects[Mechanical Eng],129)))</f>
        <v/>
      </c>
      <c r="BO130" s="5">
        <f>IF(A130="","",N(INDEX(Projects[Structural Engineering],129)))</f>
        <v/>
      </c>
      <c r="BP130" s="5">
        <f>IF(A130="","",N(INDEX(Projects[Site Sup],129)))</f>
        <v/>
      </c>
      <c r="BQ130" s="5">
        <f>IF(A130="","",N(INDEX(Projects[Controls Commissioning],129)))</f>
        <v/>
      </c>
      <c r="BR130" s="5">
        <f>IF(A130="","",N(INDEX(Projects[Systems Commissioning],129)))</f>
        <v/>
      </c>
      <c r="BS130" s="5">
        <f>IF(A130="","",N(INDEX(Projects[Service Commissioning],129)))</f>
        <v/>
      </c>
      <c r="BT130" s="5">
        <f>IF(A130="","",N(INDEX(Projects[Controls Eng],129)))</f>
        <v/>
      </c>
      <c r="BU130" s="5">
        <f>IF(A130="","",N(INDEX(Projects[Controls Purchase],129)))</f>
        <v/>
      </c>
      <c r="BV130" s="5">
        <f>IF(A130="","",N(INDEX(Projects[Software Eng],129)))</f>
        <v/>
      </c>
      <c r="BW130" s="5">
        <f>IF(A130="","",N(INDEX(Projects[Misc],129)))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IF(A131="","",N(INDEX(Projects[Mech Inst],130)))</f>
        <v/>
      </c>
      <c r="BK131" s="5">
        <f>IF(A131="","",N(INDEX(Projects[Elec Inst],130)))</f>
        <v/>
      </c>
      <c r="BL131" s="5">
        <f>IF(A131="","",N(INDEX(Projects[Project Management],130)))</f>
        <v/>
      </c>
      <c r="BM131" s="5">
        <f>IF(A131="","",N(INDEX(Projects[Systems Eng],130)))</f>
        <v/>
      </c>
      <c r="BN131" s="5">
        <f>IF(A131="","",N(INDEX(Projects[Mechanical Eng],130)))</f>
        <v/>
      </c>
      <c r="BO131" s="5">
        <f>IF(A131="","",N(INDEX(Projects[Structural Engineering],130)))</f>
        <v/>
      </c>
      <c r="BP131" s="5">
        <f>IF(A131="","",N(INDEX(Projects[Site Sup],130)))</f>
        <v/>
      </c>
      <c r="BQ131" s="5">
        <f>IF(A131="","",N(INDEX(Projects[Controls Commissioning],130)))</f>
        <v/>
      </c>
      <c r="BR131" s="5">
        <f>IF(A131="","",N(INDEX(Projects[Systems Commissioning],130)))</f>
        <v/>
      </c>
      <c r="BS131" s="5">
        <f>IF(A131="","",N(INDEX(Projects[Service Commissioning],130)))</f>
        <v/>
      </c>
      <c r="BT131" s="5">
        <f>IF(A131="","",N(INDEX(Projects[Controls Eng],130)))</f>
        <v/>
      </c>
      <c r="BU131" s="5">
        <f>IF(A131="","",N(INDEX(Projects[Controls Purchase],130)))</f>
        <v/>
      </c>
      <c r="BV131" s="5">
        <f>IF(A131="","",N(INDEX(Projects[Software Eng],130)))</f>
        <v/>
      </c>
      <c r="BW131" s="5">
        <f>IF(A131="","",N(INDEX(Projects[Misc],130)))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IF(A132="","",N(INDEX(Projects[Mech Inst],131)))</f>
        <v/>
      </c>
      <c r="BK132" s="5">
        <f>IF(A132="","",N(INDEX(Projects[Elec Inst],131)))</f>
        <v/>
      </c>
      <c r="BL132" s="5">
        <f>IF(A132="","",N(INDEX(Projects[Project Management],131)))</f>
        <v/>
      </c>
      <c r="BM132" s="5">
        <f>IF(A132="","",N(INDEX(Projects[Systems Eng],131)))</f>
        <v/>
      </c>
      <c r="BN132" s="5">
        <f>IF(A132="","",N(INDEX(Projects[Mechanical Eng],131)))</f>
        <v/>
      </c>
      <c r="BO132" s="5">
        <f>IF(A132="","",N(INDEX(Projects[Structural Engineering],131)))</f>
        <v/>
      </c>
      <c r="BP132" s="5">
        <f>IF(A132="","",N(INDEX(Projects[Site Sup],131)))</f>
        <v/>
      </c>
      <c r="BQ132" s="5">
        <f>IF(A132="","",N(INDEX(Projects[Controls Commissioning],131)))</f>
        <v/>
      </c>
      <c r="BR132" s="5">
        <f>IF(A132="","",N(INDEX(Projects[Systems Commissioning],131)))</f>
        <v/>
      </c>
      <c r="BS132" s="5">
        <f>IF(A132="","",N(INDEX(Projects[Service Commissioning],131)))</f>
        <v/>
      </c>
      <c r="BT132" s="5">
        <f>IF(A132="","",N(INDEX(Projects[Controls Eng],131)))</f>
        <v/>
      </c>
      <c r="BU132" s="5">
        <f>IF(A132="","",N(INDEX(Projects[Controls Purchase],131)))</f>
        <v/>
      </c>
      <c r="BV132" s="5">
        <f>IF(A132="","",N(INDEX(Projects[Software Eng],131)))</f>
        <v/>
      </c>
      <c r="BW132" s="5">
        <f>IF(A132="","",N(INDEX(Projects[Misc],131)))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IF(A133="","",N(INDEX(Projects[Mech Inst],132)))</f>
        <v/>
      </c>
      <c r="BK133" s="5">
        <f>IF(A133="","",N(INDEX(Projects[Elec Inst],132)))</f>
        <v/>
      </c>
      <c r="BL133" s="5">
        <f>IF(A133="","",N(INDEX(Projects[Project Management],132)))</f>
        <v/>
      </c>
      <c r="BM133" s="5">
        <f>IF(A133="","",N(INDEX(Projects[Systems Eng],132)))</f>
        <v/>
      </c>
      <c r="BN133" s="5">
        <f>IF(A133="","",N(INDEX(Projects[Mechanical Eng],132)))</f>
        <v/>
      </c>
      <c r="BO133" s="5">
        <f>IF(A133="","",N(INDEX(Projects[Structural Engineering],132)))</f>
        <v/>
      </c>
      <c r="BP133" s="5">
        <f>IF(A133="","",N(INDEX(Projects[Site Sup],132)))</f>
        <v/>
      </c>
      <c r="BQ133" s="5">
        <f>IF(A133="","",N(INDEX(Projects[Controls Commissioning],132)))</f>
        <v/>
      </c>
      <c r="BR133" s="5">
        <f>IF(A133="","",N(INDEX(Projects[Systems Commissioning],132)))</f>
        <v/>
      </c>
      <c r="BS133" s="5">
        <f>IF(A133="","",N(INDEX(Projects[Service Commissioning],132)))</f>
        <v/>
      </c>
      <c r="BT133" s="5">
        <f>IF(A133="","",N(INDEX(Projects[Controls Eng],132)))</f>
        <v/>
      </c>
      <c r="BU133" s="5">
        <f>IF(A133="","",N(INDEX(Projects[Controls Purchase],132)))</f>
        <v/>
      </c>
      <c r="BV133" s="5">
        <f>IF(A133="","",N(INDEX(Projects[Software Eng],132)))</f>
        <v/>
      </c>
      <c r="BW133" s="5">
        <f>IF(A133="","",N(INDEX(Projects[Misc],132)))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IF(A134="","",N(INDEX(Projects[Mech Inst],133)))</f>
        <v/>
      </c>
      <c r="BK134" s="5">
        <f>IF(A134="","",N(INDEX(Projects[Elec Inst],133)))</f>
        <v/>
      </c>
      <c r="BL134" s="5">
        <f>IF(A134="","",N(INDEX(Projects[Project Management],133)))</f>
        <v/>
      </c>
      <c r="BM134" s="5">
        <f>IF(A134="","",N(INDEX(Projects[Systems Eng],133)))</f>
        <v/>
      </c>
      <c r="BN134" s="5">
        <f>IF(A134="","",N(INDEX(Projects[Mechanical Eng],133)))</f>
        <v/>
      </c>
      <c r="BO134" s="5">
        <f>IF(A134="","",N(INDEX(Projects[Structural Engineering],133)))</f>
        <v/>
      </c>
      <c r="BP134" s="5">
        <f>IF(A134="","",N(INDEX(Projects[Site Sup],133)))</f>
        <v/>
      </c>
      <c r="BQ134" s="5">
        <f>IF(A134="","",N(INDEX(Projects[Controls Commissioning],133)))</f>
        <v/>
      </c>
      <c r="BR134" s="5">
        <f>IF(A134="","",N(INDEX(Projects[Systems Commissioning],133)))</f>
        <v/>
      </c>
      <c r="BS134" s="5">
        <f>IF(A134="","",N(INDEX(Projects[Service Commissioning],133)))</f>
        <v/>
      </c>
      <c r="BT134" s="5">
        <f>IF(A134="","",N(INDEX(Projects[Controls Eng],133)))</f>
        <v/>
      </c>
      <c r="BU134" s="5">
        <f>IF(A134="","",N(INDEX(Projects[Controls Purchase],133)))</f>
        <v/>
      </c>
      <c r="BV134" s="5">
        <f>IF(A134="","",N(INDEX(Projects[Software Eng],133)))</f>
        <v/>
      </c>
      <c r="BW134" s="5">
        <f>IF(A134="","",N(INDEX(Projects[Misc],133)))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IF(A135="","",N(INDEX(Projects[Mech Inst],134)))</f>
        <v/>
      </c>
      <c r="BK135" s="5">
        <f>IF(A135="","",N(INDEX(Projects[Elec Inst],134)))</f>
        <v/>
      </c>
      <c r="BL135" s="5">
        <f>IF(A135="","",N(INDEX(Projects[Project Management],134)))</f>
        <v/>
      </c>
      <c r="BM135" s="5">
        <f>IF(A135="","",N(INDEX(Projects[Systems Eng],134)))</f>
        <v/>
      </c>
      <c r="BN135" s="5">
        <f>IF(A135="","",N(INDEX(Projects[Mechanical Eng],134)))</f>
        <v/>
      </c>
      <c r="BO135" s="5">
        <f>IF(A135="","",N(INDEX(Projects[Structural Engineering],134)))</f>
        <v/>
      </c>
      <c r="BP135" s="5">
        <f>IF(A135="","",N(INDEX(Projects[Site Sup],134)))</f>
        <v/>
      </c>
      <c r="BQ135" s="5">
        <f>IF(A135="","",N(INDEX(Projects[Controls Commissioning],134)))</f>
        <v/>
      </c>
      <c r="BR135" s="5">
        <f>IF(A135="","",N(INDEX(Projects[Systems Commissioning],134)))</f>
        <v/>
      </c>
      <c r="BS135" s="5">
        <f>IF(A135="","",N(INDEX(Projects[Service Commissioning],134)))</f>
        <v/>
      </c>
      <c r="BT135" s="5">
        <f>IF(A135="","",N(INDEX(Projects[Controls Eng],134)))</f>
        <v/>
      </c>
      <c r="BU135" s="5">
        <f>IF(A135="","",N(INDEX(Projects[Controls Purchase],134)))</f>
        <v/>
      </c>
      <c r="BV135" s="5">
        <f>IF(A135="","",N(INDEX(Projects[Software Eng],134)))</f>
        <v/>
      </c>
      <c r="BW135" s="5">
        <f>IF(A135="","",N(INDEX(Projects[Misc],134)))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IF(A136="","",N(INDEX(Projects[Mech Inst],135)))</f>
        <v/>
      </c>
      <c r="BK136" s="5">
        <f>IF(A136="","",N(INDEX(Projects[Elec Inst],135)))</f>
        <v/>
      </c>
      <c r="BL136" s="5">
        <f>IF(A136="","",N(INDEX(Projects[Project Management],135)))</f>
        <v/>
      </c>
      <c r="BM136" s="5">
        <f>IF(A136="","",N(INDEX(Projects[Systems Eng],135)))</f>
        <v/>
      </c>
      <c r="BN136" s="5">
        <f>IF(A136="","",N(INDEX(Projects[Mechanical Eng],135)))</f>
        <v/>
      </c>
      <c r="BO136" s="5">
        <f>IF(A136="","",N(INDEX(Projects[Structural Engineering],135)))</f>
        <v/>
      </c>
      <c r="BP136" s="5">
        <f>IF(A136="","",N(INDEX(Projects[Site Sup],135)))</f>
        <v/>
      </c>
      <c r="BQ136" s="5">
        <f>IF(A136="","",N(INDEX(Projects[Controls Commissioning],135)))</f>
        <v/>
      </c>
      <c r="BR136" s="5">
        <f>IF(A136="","",N(INDEX(Projects[Systems Commissioning],135)))</f>
        <v/>
      </c>
      <c r="BS136" s="5">
        <f>IF(A136="","",N(INDEX(Projects[Service Commissioning],135)))</f>
        <v/>
      </c>
      <c r="BT136" s="5">
        <f>IF(A136="","",N(INDEX(Projects[Controls Eng],135)))</f>
        <v/>
      </c>
      <c r="BU136" s="5">
        <f>IF(A136="","",N(INDEX(Projects[Controls Purchase],135)))</f>
        <v/>
      </c>
      <c r="BV136" s="5">
        <f>IF(A136="","",N(INDEX(Projects[Software Eng],135)))</f>
        <v/>
      </c>
      <c r="BW136" s="5">
        <f>IF(A136="","",N(INDEX(Projects[Misc],135)))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IF(A137="","",N(INDEX(Projects[Mech Inst],136)))</f>
        <v/>
      </c>
      <c r="BK137" s="5">
        <f>IF(A137="","",N(INDEX(Projects[Elec Inst],136)))</f>
        <v/>
      </c>
      <c r="BL137" s="5">
        <f>IF(A137="","",N(INDEX(Projects[Project Management],136)))</f>
        <v/>
      </c>
      <c r="BM137" s="5">
        <f>IF(A137="","",N(INDEX(Projects[Systems Eng],136)))</f>
        <v/>
      </c>
      <c r="BN137" s="5">
        <f>IF(A137="","",N(INDEX(Projects[Mechanical Eng],136)))</f>
        <v/>
      </c>
      <c r="BO137" s="5">
        <f>IF(A137="","",N(INDEX(Projects[Structural Engineering],136)))</f>
        <v/>
      </c>
      <c r="BP137" s="5">
        <f>IF(A137="","",N(INDEX(Projects[Site Sup],136)))</f>
        <v/>
      </c>
      <c r="BQ137" s="5">
        <f>IF(A137="","",N(INDEX(Projects[Controls Commissioning],136)))</f>
        <v/>
      </c>
      <c r="BR137" s="5">
        <f>IF(A137="","",N(INDEX(Projects[Systems Commissioning],136)))</f>
        <v/>
      </c>
      <c r="BS137" s="5">
        <f>IF(A137="","",N(INDEX(Projects[Service Commissioning],136)))</f>
        <v/>
      </c>
      <c r="BT137" s="5">
        <f>IF(A137="","",N(INDEX(Projects[Controls Eng],136)))</f>
        <v/>
      </c>
      <c r="BU137" s="5">
        <f>IF(A137="","",N(INDEX(Projects[Controls Purchase],136)))</f>
        <v/>
      </c>
      <c r="BV137" s="5">
        <f>IF(A137="","",N(INDEX(Projects[Software Eng],136)))</f>
        <v/>
      </c>
      <c r="BW137" s="5">
        <f>IF(A137="","",N(INDEX(Projects[Misc],136)))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IF(A138="","",N(INDEX(Projects[Mech Inst],137)))</f>
        <v/>
      </c>
      <c r="BK138" s="5">
        <f>IF(A138="","",N(INDEX(Projects[Elec Inst],137)))</f>
        <v/>
      </c>
      <c r="BL138" s="5">
        <f>IF(A138="","",N(INDEX(Projects[Project Management],137)))</f>
        <v/>
      </c>
      <c r="BM138" s="5">
        <f>IF(A138="","",N(INDEX(Projects[Systems Eng],137)))</f>
        <v/>
      </c>
      <c r="BN138" s="5">
        <f>IF(A138="","",N(INDEX(Projects[Mechanical Eng],137)))</f>
        <v/>
      </c>
      <c r="BO138" s="5">
        <f>IF(A138="","",N(INDEX(Projects[Structural Engineering],137)))</f>
        <v/>
      </c>
      <c r="BP138" s="5">
        <f>IF(A138="","",N(INDEX(Projects[Site Sup],137)))</f>
        <v/>
      </c>
      <c r="BQ138" s="5">
        <f>IF(A138="","",N(INDEX(Projects[Controls Commissioning],137)))</f>
        <v/>
      </c>
      <c r="BR138" s="5">
        <f>IF(A138="","",N(INDEX(Projects[Systems Commissioning],137)))</f>
        <v/>
      </c>
      <c r="BS138" s="5">
        <f>IF(A138="","",N(INDEX(Projects[Service Commissioning],137)))</f>
        <v/>
      </c>
      <c r="BT138" s="5">
        <f>IF(A138="","",N(INDEX(Projects[Controls Eng],137)))</f>
        <v/>
      </c>
      <c r="BU138" s="5">
        <f>IF(A138="","",N(INDEX(Projects[Controls Purchase],137)))</f>
        <v/>
      </c>
      <c r="BV138" s="5">
        <f>IF(A138="","",N(INDEX(Projects[Software Eng],137)))</f>
        <v/>
      </c>
      <c r="BW138" s="5">
        <f>IF(A138="","",N(INDEX(Projects[Misc],137)))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IF(A139="","",N(INDEX(Projects[Mech Inst],138)))</f>
        <v/>
      </c>
      <c r="BK139" s="5">
        <f>IF(A139="","",N(INDEX(Projects[Elec Inst],138)))</f>
        <v/>
      </c>
      <c r="BL139" s="5">
        <f>IF(A139="","",N(INDEX(Projects[Project Management],138)))</f>
        <v/>
      </c>
      <c r="BM139" s="5">
        <f>IF(A139="","",N(INDEX(Projects[Systems Eng],138)))</f>
        <v/>
      </c>
      <c r="BN139" s="5">
        <f>IF(A139="","",N(INDEX(Projects[Mechanical Eng],138)))</f>
        <v/>
      </c>
      <c r="BO139" s="5">
        <f>IF(A139="","",N(INDEX(Projects[Structural Engineering],138)))</f>
        <v/>
      </c>
      <c r="BP139" s="5">
        <f>IF(A139="","",N(INDEX(Projects[Site Sup],138)))</f>
        <v/>
      </c>
      <c r="BQ139" s="5">
        <f>IF(A139="","",N(INDEX(Projects[Controls Commissioning],138)))</f>
        <v/>
      </c>
      <c r="BR139" s="5">
        <f>IF(A139="","",N(INDEX(Projects[Systems Commissioning],138)))</f>
        <v/>
      </c>
      <c r="BS139" s="5">
        <f>IF(A139="","",N(INDEX(Projects[Service Commissioning],138)))</f>
        <v/>
      </c>
      <c r="BT139" s="5">
        <f>IF(A139="","",N(INDEX(Projects[Controls Eng],138)))</f>
        <v/>
      </c>
      <c r="BU139" s="5">
        <f>IF(A139="","",N(INDEX(Projects[Controls Purchase],138)))</f>
        <v/>
      </c>
      <c r="BV139" s="5">
        <f>IF(A139="","",N(INDEX(Projects[Software Eng],138)))</f>
        <v/>
      </c>
      <c r="BW139" s="5">
        <f>IF(A139="","",N(INDEX(Projects[Misc],138)))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IF(A140="","",N(INDEX(Projects[Mech Inst],139)))</f>
        <v/>
      </c>
      <c r="BK140" s="5">
        <f>IF(A140="","",N(INDEX(Projects[Elec Inst],139)))</f>
        <v/>
      </c>
      <c r="BL140" s="5">
        <f>IF(A140="","",N(INDEX(Projects[Project Management],139)))</f>
        <v/>
      </c>
      <c r="BM140" s="5">
        <f>IF(A140="","",N(INDEX(Projects[Systems Eng],139)))</f>
        <v/>
      </c>
      <c r="BN140" s="5">
        <f>IF(A140="","",N(INDEX(Projects[Mechanical Eng],139)))</f>
        <v/>
      </c>
      <c r="BO140" s="5">
        <f>IF(A140="","",N(INDEX(Projects[Structural Engineering],139)))</f>
        <v/>
      </c>
      <c r="BP140" s="5">
        <f>IF(A140="","",N(INDEX(Projects[Site Sup],139)))</f>
        <v/>
      </c>
      <c r="BQ140" s="5">
        <f>IF(A140="","",N(INDEX(Projects[Controls Commissioning],139)))</f>
        <v/>
      </c>
      <c r="BR140" s="5">
        <f>IF(A140="","",N(INDEX(Projects[Systems Commissioning],139)))</f>
        <v/>
      </c>
      <c r="BS140" s="5">
        <f>IF(A140="","",N(INDEX(Projects[Service Commissioning],139)))</f>
        <v/>
      </c>
      <c r="BT140" s="5">
        <f>IF(A140="","",N(INDEX(Projects[Controls Eng],139)))</f>
        <v/>
      </c>
      <c r="BU140" s="5">
        <f>IF(A140="","",N(INDEX(Projects[Controls Purchase],139)))</f>
        <v/>
      </c>
      <c r="BV140" s="5">
        <f>IF(A140="","",N(INDEX(Projects[Software Eng],139)))</f>
        <v/>
      </c>
      <c r="BW140" s="5">
        <f>IF(A140="","",N(INDEX(Projects[Misc],139)))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IF(A141="","",N(INDEX(Projects[Mech Inst],140)))</f>
        <v/>
      </c>
      <c r="BK141" s="5">
        <f>IF(A141="","",N(INDEX(Projects[Elec Inst],140)))</f>
        <v/>
      </c>
      <c r="BL141" s="5">
        <f>IF(A141="","",N(INDEX(Projects[Project Management],140)))</f>
        <v/>
      </c>
      <c r="BM141" s="5">
        <f>IF(A141="","",N(INDEX(Projects[Systems Eng],140)))</f>
        <v/>
      </c>
      <c r="BN141" s="5">
        <f>IF(A141="","",N(INDEX(Projects[Mechanical Eng],140)))</f>
        <v/>
      </c>
      <c r="BO141" s="5">
        <f>IF(A141="","",N(INDEX(Projects[Structural Engineering],140)))</f>
        <v/>
      </c>
      <c r="BP141" s="5">
        <f>IF(A141="","",N(INDEX(Projects[Site Sup],140)))</f>
        <v/>
      </c>
      <c r="BQ141" s="5">
        <f>IF(A141="","",N(INDEX(Projects[Controls Commissioning],140)))</f>
        <v/>
      </c>
      <c r="BR141" s="5">
        <f>IF(A141="","",N(INDEX(Projects[Systems Commissioning],140)))</f>
        <v/>
      </c>
      <c r="BS141" s="5">
        <f>IF(A141="","",N(INDEX(Projects[Service Commissioning],140)))</f>
        <v/>
      </c>
      <c r="BT141" s="5">
        <f>IF(A141="","",N(INDEX(Projects[Controls Eng],140)))</f>
        <v/>
      </c>
      <c r="BU141" s="5">
        <f>IF(A141="","",N(INDEX(Projects[Controls Purchase],140)))</f>
        <v/>
      </c>
      <c r="BV141" s="5">
        <f>IF(A141="","",N(INDEX(Projects[Software Eng],140)))</f>
        <v/>
      </c>
      <c r="BW141" s="5">
        <f>IF(A141="","",N(INDEX(Projects[Misc],140)))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IF(A142="","",N(INDEX(Projects[Mech Inst],141)))</f>
        <v/>
      </c>
      <c r="BK142" s="5">
        <f>IF(A142="","",N(INDEX(Projects[Elec Inst],141)))</f>
        <v/>
      </c>
      <c r="BL142" s="5">
        <f>IF(A142="","",N(INDEX(Projects[Project Management],141)))</f>
        <v/>
      </c>
      <c r="BM142" s="5">
        <f>IF(A142="","",N(INDEX(Projects[Systems Eng],141)))</f>
        <v/>
      </c>
      <c r="BN142" s="5">
        <f>IF(A142="","",N(INDEX(Projects[Mechanical Eng],141)))</f>
        <v/>
      </c>
      <c r="BO142" s="5">
        <f>IF(A142="","",N(INDEX(Projects[Structural Engineering],141)))</f>
        <v/>
      </c>
      <c r="BP142" s="5">
        <f>IF(A142="","",N(INDEX(Projects[Site Sup],141)))</f>
        <v/>
      </c>
      <c r="BQ142" s="5">
        <f>IF(A142="","",N(INDEX(Projects[Controls Commissioning],141)))</f>
        <v/>
      </c>
      <c r="BR142" s="5">
        <f>IF(A142="","",N(INDEX(Projects[Systems Commissioning],141)))</f>
        <v/>
      </c>
      <c r="BS142" s="5">
        <f>IF(A142="","",N(INDEX(Projects[Service Commissioning],141)))</f>
        <v/>
      </c>
      <c r="BT142" s="5">
        <f>IF(A142="","",N(INDEX(Projects[Controls Eng],141)))</f>
        <v/>
      </c>
      <c r="BU142" s="5">
        <f>IF(A142="","",N(INDEX(Projects[Controls Purchase],141)))</f>
        <v/>
      </c>
      <c r="BV142" s="5">
        <f>IF(A142="","",N(INDEX(Projects[Software Eng],141)))</f>
        <v/>
      </c>
      <c r="BW142" s="5">
        <f>IF(A142="","",N(INDEX(Projects[Misc],141)))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IF(A143="","",N(INDEX(Projects[Mech Inst],142)))</f>
        <v/>
      </c>
      <c r="BK143" s="5">
        <f>IF(A143="","",N(INDEX(Projects[Elec Inst],142)))</f>
        <v/>
      </c>
      <c r="BL143" s="5">
        <f>IF(A143="","",N(INDEX(Projects[Project Management],142)))</f>
        <v/>
      </c>
      <c r="BM143" s="5">
        <f>IF(A143="","",N(INDEX(Projects[Systems Eng],142)))</f>
        <v/>
      </c>
      <c r="BN143" s="5">
        <f>IF(A143="","",N(INDEX(Projects[Mechanical Eng],142)))</f>
        <v/>
      </c>
      <c r="BO143" s="5">
        <f>IF(A143="","",N(INDEX(Projects[Structural Engineering],142)))</f>
        <v/>
      </c>
      <c r="BP143" s="5">
        <f>IF(A143="","",N(INDEX(Projects[Site Sup],142)))</f>
        <v/>
      </c>
      <c r="BQ143" s="5">
        <f>IF(A143="","",N(INDEX(Projects[Controls Commissioning],142)))</f>
        <v/>
      </c>
      <c r="BR143" s="5">
        <f>IF(A143="","",N(INDEX(Projects[Systems Commissioning],142)))</f>
        <v/>
      </c>
      <c r="BS143" s="5">
        <f>IF(A143="","",N(INDEX(Projects[Service Commissioning],142)))</f>
        <v/>
      </c>
      <c r="BT143" s="5">
        <f>IF(A143="","",N(INDEX(Projects[Controls Eng],142)))</f>
        <v/>
      </c>
      <c r="BU143" s="5">
        <f>IF(A143="","",N(INDEX(Projects[Controls Purchase],142)))</f>
        <v/>
      </c>
      <c r="BV143" s="5">
        <f>IF(A143="","",N(INDEX(Projects[Software Eng],142)))</f>
        <v/>
      </c>
      <c r="BW143" s="5">
        <f>IF(A143="","",N(INDEX(Projects[Misc],142)))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IF(A144="","",N(INDEX(Projects[Mech Inst],143)))</f>
        <v/>
      </c>
      <c r="BK144" s="5">
        <f>IF(A144="","",N(INDEX(Projects[Elec Inst],143)))</f>
        <v/>
      </c>
      <c r="BL144" s="5">
        <f>IF(A144="","",N(INDEX(Projects[Project Management],143)))</f>
        <v/>
      </c>
      <c r="BM144" s="5">
        <f>IF(A144="","",N(INDEX(Projects[Systems Eng],143)))</f>
        <v/>
      </c>
      <c r="BN144" s="5">
        <f>IF(A144="","",N(INDEX(Projects[Mechanical Eng],143)))</f>
        <v/>
      </c>
      <c r="BO144" s="5">
        <f>IF(A144="","",N(INDEX(Projects[Structural Engineering],143)))</f>
        <v/>
      </c>
      <c r="BP144" s="5">
        <f>IF(A144="","",N(INDEX(Projects[Site Sup],143)))</f>
        <v/>
      </c>
      <c r="BQ144" s="5">
        <f>IF(A144="","",N(INDEX(Projects[Controls Commissioning],143)))</f>
        <v/>
      </c>
      <c r="BR144" s="5">
        <f>IF(A144="","",N(INDEX(Projects[Systems Commissioning],143)))</f>
        <v/>
      </c>
      <c r="BS144" s="5">
        <f>IF(A144="","",N(INDEX(Projects[Service Commissioning],143)))</f>
        <v/>
      </c>
      <c r="BT144" s="5">
        <f>IF(A144="","",N(INDEX(Projects[Controls Eng],143)))</f>
        <v/>
      </c>
      <c r="BU144" s="5">
        <f>IF(A144="","",N(INDEX(Projects[Controls Purchase],143)))</f>
        <v/>
      </c>
      <c r="BV144" s="5">
        <f>IF(A144="","",N(INDEX(Projects[Software Eng],143)))</f>
        <v/>
      </c>
      <c r="BW144" s="5">
        <f>IF(A144="","",N(INDEX(Projects[Misc],143)))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IF(A145="","",N(INDEX(Projects[Mech Inst],144)))</f>
        <v/>
      </c>
      <c r="BK145" s="5">
        <f>IF(A145="","",N(INDEX(Projects[Elec Inst],144)))</f>
        <v/>
      </c>
      <c r="BL145" s="5">
        <f>IF(A145="","",N(INDEX(Projects[Project Management],144)))</f>
        <v/>
      </c>
      <c r="BM145" s="5">
        <f>IF(A145="","",N(INDEX(Projects[Systems Eng],144)))</f>
        <v/>
      </c>
      <c r="BN145" s="5">
        <f>IF(A145="","",N(INDEX(Projects[Mechanical Eng],144)))</f>
        <v/>
      </c>
      <c r="BO145" s="5">
        <f>IF(A145="","",N(INDEX(Projects[Structural Engineering],144)))</f>
        <v/>
      </c>
      <c r="BP145" s="5">
        <f>IF(A145="","",N(INDEX(Projects[Site Sup],144)))</f>
        <v/>
      </c>
      <c r="BQ145" s="5">
        <f>IF(A145="","",N(INDEX(Projects[Controls Commissioning],144)))</f>
        <v/>
      </c>
      <c r="BR145" s="5">
        <f>IF(A145="","",N(INDEX(Projects[Systems Commissioning],144)))</f>
        <v/>
      </c>
      <c r="BS145" s="5">
        <f>IF(A145="","",N(INDEX(Projects[Service Commissioning],144)))</f>
        <v/>
      </c>
      <c r="BT145" s="5">
        <f>IF(A145="","",N(INDEX(Projects[Controls Eng],144)))</f>
        <v/>
      </c>
      <c r="BU145" s="5">
        <f>IF(A145="","",N(INDEX(Projects[Controls Purchase],144)))</f>
        <v/>
      </c>
      <c r="BV145" s="5">
        <f>IF(A145="","",N(INDEX(Projects[Software Eng],144)))</f>
        <v/>
      </c>
      <c r="BW145" s="5">
        <f>IF(A145="","",N(INDEX(Projects[Misc],144)))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IF(A146="","",N(INDEX(Projects[Mech Inst],145)))</f>
        <v/>
      </c>
      <c r="BK146" s="5">
        <f>IF(A146="","",N(INDEX(Projects[Elec Inst],145)))</f>
        <v/>
      </c>
      <c r="BL146" s="5">
        <f>IF(A146="","",N(INDEX(Projects[Project Management],145)))</f>
        <v/>
      </c>
      <c r="BM146" s="5">
        <f>IF(A146="","",N(INDEX(Projects[Systems Eng],145)))</f>
        <v/>
      </c>
      <c r="BN146" s="5">
        <f>IF(A146="","",N(INDEX(Projects[Mechanical Eng],145)))</f>
        <v/>
      </c>
      <c r="BO146" s="5">
        <f>IF(A146="","",N(INDEX(Projects[Structural Engineering],145)))</f>
        <v/>
      </c>
      <c r="BP146" s="5">
        <f>IF(A146="","",N(INDEX(Projects[Site Sup],145)))</f>
        <v/>
      </c>
      <c r="BQ146" s="5">
        <f>IF(A146="","",N(INDEX(Projects[Controls Commissioning],145)))</f>
        <v/>
      </c>
      <c r="BR146" s="5">
        <f>IF(A146="","",N(INDEX(Projects[Systems Commissioning],145)))</f>
        <v/>
      </c>
      <c r="BS146" s="5">
        <f>IF(A146="","",N(INDEX(Projects[Service Commissioning],145)))</f>
        <v/>
      </c>
      <c r="BT146" s="5">
        <f>IF(A146="","",N(INDEX(Projects[Controls Eng],145)))</f>
        <v/>
      </c>
      <c r="BU146" s="5">
        <f>IF(A146="","",N(INDEX(Projects[Controls Purchase],145)))</f>
        <v/>
      </c>
      <c r="BV146" s="5">
        <f>IF(A146="","",N(INDEX(Projects[Software Eng],145)))</f>
        <v/>
      </c>
      <c r="BW146" s="5">
        <f>IF(A146="","",N(INDEX(Projects[Misc],145)))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IF(A147="","",N(INDEX(Projects[Mech Inst],146)))</f>
        <v/>
      </c>
      <c r="BK147" s="5">
        <f>IF(A147="","",N(INDEX(Projects[Elec Inst],146)))</f>
        <v/>
      </c>
      <c r="BL147" s="5">
        <f>IF(A147="","",N(INDEX(Projects[Project Management],146)))</f>
        <v/>
      </c>
      <c r="BM147" s="5">
        <f>IF(A147="","",N(INDEX(Projects[Systems Eng],146)))</f>
        <v/>
      </c>
      <c r="BN147" s="5">
        <f>IF(A147="","",N(INDEX(Projects[Mechanical Eng],146)))</f>
        <v/>
      </c>
      <c r="BO147" s="5">
        <f>IF(A147="","",N(INDEX(Projects[Structural Engineering],146)))</f>
        <v/>
      </c>
      <c r="BP147" s="5">
        <f>IF(A147="","",N(INDEX(Projects[Site Sup],146)))</f>
        <v/>
      </c>
      <c r="BQ147" s="5">
        <f>IF(A147="","",N(INDEX(Projects[Controls Commissioning],146)))</f>
        <v/>
      </c>
      <c r="BR147" s="5">
        <f>IF(A147="","",N(INDEX(Projects[Systems Commissioning],146)))</f>
        <v/>
      </c>
      <c r="BS147" s="5">
        <f>IF(A147="","",N(INDEX(Projects[Service Commissioning],146)))</f>
        <v/>
      </c>
      <c r="BT147" s="5">
        <f>IF(A147="","",N(INDEX(Projects[Controls Eng],146)))</f>
        <v/>
      </c>
      <c r="BU147" s="5">
        <f>IF(A147="","",N(INDEX(Projects[Controls Purchase],146)))</f>
        <v/>
      </c>
      <c r="BV147" s="5">
        <f>IF(A147="","",N(INDEX(Projects[Software Eng],146)))</f>
        <v/>
      </c>
      <c r="BW147" s="5">
        <f>IF(A147="","",N(INDEX(Projects[Misc],146)))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IF(A148="","",N(INDEX(Projects[Mech Inst],147)))</f>
        <v/>
      </c>
      <c r="BK148" s="5">
        <f>IF(A148="","",N(INDEX(Projects[Elec Inst],147)))</f>
        <v/>
      </c>
      <c r="BL148" s="5">
        <f>IF(A148="","",N(INDEX(Projects[Project Management],147)))</f>
        <v/>
      </c>
      <c r="BM148" s="5">
        <f>IF(A148="","",N(INDEX(Projects[Systems Eng],147)))</f>
        <v/>
      </c>
      <c r="BN148" s="5">
        <f>IF(A148="","",N(INDEX(Projects[Mechanical Eng],147)))</f>
        <v/>
      </c>
      <c r="BO148" s="5">
        <f>IF(A148="","",N(INDEX(Projects[Structural Engineering],147)))</f>
        <v/>
      </c>
      <c r="BP148" s="5">
        <f>IF(A148="","",N(INDEX(Projects[Site Sup],147)))</f>
        <v/>
      </c>
      <c r="BQ148" s="5">
        <f>IF(A148="","",N(INDEX(Projects[Controls Commissioning],147)))</f>
        <v/>
      </c>
      <c r="BR148" s="5">
        <f>IF(A148="","",N(INDEX(Projects[Systems Commissioning],147)))</f>
        <v/>
      </c>
      <c r="BS148" s="5">
        <f>IF(A148="","",N(INDEX(Projects[Service Commissioning],147)))</f>
        <v/>
      </c>
      <c r="BT148" s="5">
        <f>IF(A148="","",N(INDEX(Projects[Controls Eng],147)))</f>
        <v/>
      </c>
      <c r="BU148" s="5">
        <f>IF(A148="","",N(INDEX(Projects[Controls Purchase],147)))</f>
        <v/>
      </c>
      <c r="BV148" s="5">
        <f>IF(A148="","",N(INDEX(Projects[Software Eng],147)))</f>
        <v/>
      </c>
      <c r="BW148" s="5">
        <f>IF(A148="","",N(INDEX(Projects[Misc],147)))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IF(A149="","",N(INDEX(Projects[Mech Inst],148)))</f>
        <v/>
      </c>
      <c r="BK149" s="5">
        <f>IF(A149="","",N(INDEX(Projects[Elec Inst],148)))</f>
        <v/>
      </c>
      <c r="BL149" s="5">
        <f>IF(A149="","",N(INDEX(Projects[Project Management],148)))</f>
        <v/>
      </c>
      <c r="BM149" s="5">
        <f>IF(A149="","",N(INDEX(Projects[Systems Eng],148)))</f>
        <v/>
      </c>
      <c r="BN149" s="5">
        <f>IF(A149="","",N(INDEX(Projects[Mechanical Eng],148)))</f>
        <v/>
      </c>
      <c r="BO149" s="5">
        <f>IF(A149="","",N(INDEX(Projects[Structural Engineering],148)))</f>
        <v/>
      </c>
      <c r="BP149" s="5">
        <f>IF(A149="","",N(INDEX(Projects[Site Sup],148)))</f>
        <v/>
      </c>
      <c r="BQ149" s="5">
        <f>IF(A149="","",N(INDEX(Projects[Controls Commissioning],148)))</f>
        <v/>
      </c>
      <c r="BR149" s="5">
        <f>IF(A149="","",N(INDEX(Projects[Systems Commissioning],148)))</f>
        <v/>
      </c>
      <c r="BS149" s="5">
        <f>IF(A149="","",N(INDEX(Projects[Service Commissioning],148)))</f>
        <v/>
      </c>
      <c r="BT149" s="5">
        <f>IF(A149="","",N(INDEX(Projects[Controls Eng],148)))</f>
        <v/>
      </c>
      <c r="BU149" s="5">
        <f>IF(A149="","",N(INDEX(Projects[Controls Purchase],148)))</f>
        <v/>
      </c>
      <c r="BV149" s="5">
        <f>IF(A149="","",N(INDEX(Projects[Software Eng],148)))</f>
        <v/>
      </c>
      <c r="BW149" s="5">
        <f>IF(A149="","",N(INDEX(Projects[Misc],148)))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IF(A150="","",N(INDEX(Projects[Mech Inst],149)))</f>
        <v/>
      </c>
      <c r="BK150" s="5">
        <f>IF(A150="","",N(INDEX(Projects[Elec Inst],149)))</f>
        <v/>
      </c>
      <c r="BL150" s="5">
        <f>IF(A150="","",N(INDEX(Projects[Project Management],149)))</f>
        <v/>
      </c>
      <c r="BM150" s="5">
        <f>IF(A150="","",N(INDEX(Projects[Systems Eng],149)))</f>
        <v/>
      </c>
      <c r="BN150" s="5">
        <f>IF(A150="","",N(INDEX(Projects[Mechanical Eng],149)))</f>
        <v/>
      </c>
      <c r="BO150" s="5">
        <f>IF(A150="","",N(INDEX(Projects[Structural Engineering],149)))</f>
        <v/>
      </c>
      <c r="BP150" s="5">
        <f>IF(A150="","",N(INDEX(Projects[Site Sup],149)))</f>
        <v/>
      </c>
      <c r="BQ150" s="5">
        <f>IF(A150="","",N(INDEX(Projects[Controls Commissioning],149)))</f>
        <v/>
      </c>
      <c r="BR150" s="5">
        <f>IF(A150="","",N(INDEX(Projects[Systems Commissioning],149)))</f>
        <v/>
      </c>
      <c r="BS150" s="5">
        <f>IF(A150="","",N(INDEX(Projects[Service Commissioning],149)))</f>
        <v/>
      </c>
      <c r="BT150" s="5">
        <f>IF(A150="","",N(INDEX(Projects[Controls Eng],149)))</f>
        <v/>
      </c>
      <c r="BU150" s="5">
        <f>IF(A150="","",N(INDEX(Projects[Controls Purchase],149)))</f>
        <v/>
      </c>
      <c r="BV150" s="5">
        <f>IF(A150="","",N(INDEX(Projects[Software Eng],149)))</f>
        <v/>
      </c>
      <c r="BW150" s="5">
        <f>IF(A150="","",N(INDEX(Projects[Misc],149)))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IF(A151="","",N(INDEX(Projects[Mech Inst],150)))</f>
        <v/>
      </c>
      <c r="BK151" s="5">
        <f>IF(A151="","",N(INDEX(Projects[Elec Inst],150)))</f>
        <v/>
      </c>
      <c r="BL151" s="5">
        <f>IF(A151="","",N(INDEX(Projects[Project Management],150)))</f>
        <v/>
      </c>
      <c r="BM151" s="5">
        <f>IF(A151="","",N(INDEX(Projects[Systems Eng],150)))</f>
        <v/>
      </c>
      <c r="BN151" s="5">
        <f>IF(A151="","",N(INDEX(Projects[Mechanical Eng],150)))</f>
        <v/>
      </c>
      <c r="BO151" s="5">
        <f>IF(A151="","",N(INDEX(Projects[Structural Engineering],150)))</f>
        <v/>
      </c>
      <c r="BP151" s="5">
        <f>IF(A151="","",N(INDEX(Projects[Site Sup],150)))</f>
        <v/>
      </c>
      <c r="BQ151" s="5">
        <f>IF(A151="","",N(INDEX(Projects[Controls Commissioning],150)))</f>
        <v/>
      </c>
      <c r="BR151" s="5">
        <f>IF(A151="","",N(INDEX(Projects[Systems Commissioning],150)))</f>
        <v/>
      </c>
      <c r="BS151" s="5">
        <f>IF(A151="","",N(INDEX(Projects[Service Commissioning],150)))</f>
        <v/>
      </c>
      <c r="BT151" s="5">
        <f>IF(A151="","",N(INDEX(Projects[Controls Eng],150)))</f>
        <v/>
      </c>
      <c r="BU151" s="5">
        <f>IF(A151="","",N(INDEX(Projects[Controls Purchase],150)))</f>
        <v/>
      </c>
      <c r="BV151" s="5">
        <f>IF(A151="","",N(INDEX(Projects[Software Eng],150)))</f>
        <v/>
      </c>
      <c r="BW151" s="5">
        <f>IF(A151="","",N(INDEX(Projects[Misc],150)))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IF(A152="","",N(INDEX(Projects[Mech Inst],151)))</f>
        <v/>
      </c>
      <c r="BK152" s="5">
        <f>IF(A152="","",N(INDEX(Projects[Elec Inst],151)))</f>
        <v/>
      </c>
      <c r="BL152" s="5">
        <f>IF(A152="","",N(INDEX(Projects[Project Management],151)))</f>
        <v/>
      </c>
      <c r="BM152" s="5">
        <f>IF(A152="","",N(INDEX(Projects[Systems Eng],151)))</f>
        <v/>
      </c>
      <c r="BN152" s="5">
        <f>IF(A152="","",N(INDEX(Projects[Mechanical Eng],151)))</f>
        <v/>
      </c>
      <c r="BO152" s="5">
        <f>IF(A152="","",N(INDEX(Projects[Structural Engineering],151)))</f>
        <v/>
      </c>
      <c r="BP152" s="5">
        <f>IF(A152="","",N(INDEX(Projects[Site Sup],151)))</f>
        <v/>
      </c>
      <c r="BQ152" s="5">
        <f>IF(A152="","",N(INDEX(Projects[Controls Commissioning],151)))</f>
        <v/>
      </c>
      <c r="BR152" s="5">
        <f>IF(A152="","",N(INDEX(Projects[Systems Commissioning],151)))</f>
        <v/>
      </c>
      <c r="BS152" s="5">
        <f>IF(A152="","",N(INDEX(Projects[Service Commissioning],151)))</f>
        <v/>
      </c>
      <c r="BT152" s="5">
        <f>IF(A152="","",N(INDEX(Projects[Controls Eng],151)))</f>
        <v/>
      </c>
      <c r="BU152" s="5">
        <f>IF(A152="","",N(INDEX(Projects[Controls Purchase],151)))</f>
        <v/>
      </c>
      <c r="BV152" s="5">
        <f>IF(A152="","",N(INDEX(Projects[Software Eng],151)))</f>
        <v/>
      </c>
      <c r="BW152" s="5">
        <f>IF(A152="","",N(INDEX(Projects[Misc],151)))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IF(A153="","",N(INDEX(Projects[Mech Inst],152)))</f>
        <v/>
      </c>
      <c r="BK153" s="5">
        <f>IF(A153="","",N(INDEX(Projects[Elec Inst],152)))</f>
        <v/>
      </c>
      <c r="BL153" s="5">
        <f>IF(A153="","",N(INDEX(Projects[Project Management],152)))</f>
        <v/>
      </c>
      <c r="BM153" s="5">
        <f>IF(A153="","",N(INDEX(Projects[Systems Eng],152)))</f>
        <v/>
      </c>
      <c r="BN153" s="5">
        <f>IF(A153="","",N(INDEX(Projects[Mechanical Eng],152)))</f>
        <v/>
      </c>
      <c r="BO153" s="5">
        <f>IF(A153="","",N(INDEX(Projects[Structural Engineering],152)))</f>
        <v/>
      </c>
      <c r="BP153" s="5">
        <f>IF(A153="","",N(INDEX(Projects[Site Sup],152)))</f>
        <v/>
      </c>
      <c r="BQ153" s="5">
        <f>IF(A153="","",N(INDEX(Projects[Controls Commissioning],152)))</f>
        <v/>
      </c>
      <c r="BR153" s="5">
        <f>IF(A153="","",N(INDEX(Projects[Systems Commissioning],152)))</f>
        <v/>
      </c>
      <c r="BS153" s="5">
        <f>IF(A153="","",N(INDEX(Projects[Service Commissioning],152)))</f>
        <v/>
      </c>
      <c r="BT153" s="5">
        <f>IF(A153="","",N(INDEX(Projects[Controls Eng],152)))</f>
        <v/>
      </c>
      <c r="BU153" s="5">
        <f>IF(A153="","",N(INDEX(Projects[Controls Purchase],152)))</f>
        <v/>
      </c>
      <c r="BV153" s="5">
        <f>IF(A153="","",N(INDEX(Projects[Software Eng],152)))</f>
        <v/>
      </c>
      <c r="BW153" s="5">
        <f>IF(A153="","",N(INDEX(Projects[Misc],152)))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IF(A154="","",N(INDEX(Projects[Mech Inst],153)))</f>
        <v/>
      </c>
      <c r="BK154" s="5">
        <f>IF(A154="","",N(INDEX(Projects[Elec Inst],153)))</f>
        <v/>
      </c>
      <c r="BL154" s="5">
        <f>IF(A154="","",N(INDEX(Projects[Project Management],153)))</f>
        <v/>
      </c>
      <c r="BM154" s="5">
        <f>IF(A154="","",N(INDEX(Projects[Systems Eng],153)))</f>
        <v/>
      </c>
      <c r="BN154" s="5">
        <f>IF(A154="","",N(INDEX(Projects[Mechanical Eng],153)))</f>
        <v/>
      </c>
      <c r="BO154" s="5">
        <f>IF(A154="","",N(INDEX(Projects[Structural Engineering],153)))</f>
        <v/>
      </c>
      <c r="BP154" s="5">
        <f>IF(A154="","",N(INDEX(Projects[Site Sup],153)))</f>
        <v/>
      </c>
      <c r="BQ154" s="5">
        <f>IF(A154="","",N(INDEX(Projects[Controls Commissioning],153)))</f>
        <v/>
      </c>
      <c r="BR154" s="5">
        <f>IF(A154="","",N(INDEX(Projects[Systems Commissioning],153)))</f>
        <v/>
      </c>
      <c r="BS154" s="5">
        <f>IF(A154="","",N(INDEX(Projects[Service Commissioning],153)))</f>
        <v/>
      </c>
      <c r="BT154" s="5">
        <f>IF(A154="","",N(INDEX(Projects[Controls Eng],153)))</f>
        <v/>
      </c>
      <c r="BU154" s="5">
        <f>IF(A154="","",N(INDEX(Projects[Controls Purchase],153)))</f>
        <v/>
      </c>
      <c r="BV154" s="5">
        <f>IF(A154="","",N(INDEX(Projects[Software Eng],153)))</f>
        <v/>
      </c>
      <c r="BW154" s="5">
        <f>IF(A154="","",N(INDEX(Projects[Misc],153)))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IF(A155="","",N(INDEX(Projects[Mech Inst],154)))</f>
        <v/>
      </c>
      <c r="BK155" s="5">
        <f>IF(A155="","",N(INDEX(Projects[Elec Inst],154)))</f>
        <v/>
      </c>
      <c r="BL155" s="5">
        <f>IF(A155="","",N(INDEX(Projects[Project Management],154)))</f>
        <v/>
      </c>
      <c r="BM155" s="5">
        <f>IF(A155="","",N(INDEX(Projects[Systems Eng],154)))</f>
        <v/>
      </c>
      <c r="BN155" s="5">
        <f>IF(A155="","",N(INDEX(Projects[Mechanical Eng],154)))</f>
        <v/>
      </c>
      <c r="BO155" s="5">
        <f>IF(A155="","",N(INDEX(Projects[Structural Engineering],154)))</f>
        <v/>
      </c>
      <c r="BP155" s="5">
        <f>IF(A155="","",N(INDEX(Projects[Site Sup],154)))</f>
        <v/>
      </c>
      <c r="BQ155" s="5">
        <f>IF(A155="","",N(INDEX(Projects[Controls Commissioning],154)))</f>
        <v/>
      </c>
      <c r="BR155" s="5">
        <f>IF(A155="","",N(INDEX(Projects[Systems Commissioning],154)))</f>
        <v/>
      </c>
      <c r="BS155" s="5">
        <f>IF(A155="","",N(INDEX(Projects[Service Commissioning],154)))</f>
        <v/>
      </c>
      <c r="BT155" s="5">
        <f>IF(A155="","",N(INDEX(Projects[Controls Eng],154)))</f>
        <v/>
      </c>
      <c r="BU155" s="5">
        <f>IF(A155="","",N(INDEX(Projects[Controls Purchase],154)))</f>
        <v/>
      </c>
      <c r="BV155" s="5">
        <f>IF(A155="","",N(INDEX(Projects[Software Eng],154)))</f>
        <v/>
      </c>
      <c r="BW155" s="5">
        <f>IF(A155="","",N(INDEX(Projects[Misc],154)))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IF(A156="","",N(INDEX(Projects[Mech Inst],155)))</f>
        <v/>
      </c>
      <c r="BK156" s="5">
        <f>IF(A156="","",N(INDEX(Projects[Elec Inst],155)))</f>
        <v/>
      </c>
      <c r="BL156" s="5">
        <f>IF(A156="","",N(INDEX(Projects[Project Management],155)))</f>
        <v/>
      </c>
      <c r="BM156" s="5">
        <f>IF(A156="","",N(INDEX(Projects[Systems Eng],155)))</f>
        <v/>
      </c>
      <c r="BN156" s="5">
        <f>IF(A156="","",N(INDEX(Projects[Mechanical Eng],155)))</f>
        <v/>
      </c>
      <c r="BO156" s="5">
        <f>IF(A156="","",N(INDEX(Projects[Structural Engineering],155)))</f>
        <v/>
      </c>
      <c r="BP156" s="5">
        <f>IF(A156="","",N(INDEX(Projects[Site Sup],155)))</f>
        <v/>
      </c>
      <c r="BQ156" s="5">
        <f>IF(A156="","",N(INDEX(Projects[Controls Commissioning],155)))</f>
        <v/>
      </c>
      <c r="BR156" s="5">
        <f>IF(A156="","",N(INDEX(Projects[Systems Commissioning],155)))</f>
        <v/>
      </c>
      <c r="BS156" s="5">
        <f>IF(A156="","",N(INDEX(Projects[Service Commissioning],155)))</f>
        <v/>
      </c>
      <c r="BT156" s="5">
        <f>IF(A156="","",N(INDEX(Projects[Controls Eng],155)))</f>
        <v/>
      </c>
      <c r="BU156" s="5">
        <f>IF(A156="","",N(INDEX(Projects[Controls Purchase],155)))</f>
        <v/>
      </c>
      <c r="BV156" s="5">
        <f>IF(A156="","",N(INDEX(Projects[Software Eng],155)))</f>
        <v/>
      </c>
      <c r="BW156" s="5">
        <f>IF(A156="","",N(INDEX(Projects[Misc],155)))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IF(A157="","",N(INDEX(Projects[Mech Inst],156)))</f>
        <v/>
      </c>
      <c r="BK157" s="5">
        <f>IF(A157="","",N(INDEX(Projects[Elec Inst],156)))</f>
        <v/>
      </c>
      <c r="BL157" s="5">
        <f>IF(A157="","",N(INDEX(Projects[Project Management],156)))</f>
        <v/>
      </c>
      <c r="BM157" s="5">
        <f>IF(A157="","",N(INDEX(Projects[Systems Eng],156)))</f>
        <v/>
      </c>
      <c r="BN157" s="5">
        <f>IF(A157="","",N(INDEX(Projects[Mechanical Eng],156)))</f>
        <v/>
      </c>
      <c r="BO157" s="5">
        <f>IF(A157="","",N(INDEX(Projects[Structural Engineering],156)))</f>
        <v/>
      </c>
      <c r="BP157" s="5">
        <f>IF(A157="","",N(INDEX(Projects[Site Sup],156)))</f>
        <v/>
      </c>
      <c r="BQ157" s="5">
        <f>IF(A157="","",N(INDEX(Projects[Controls Commissioning],156)))</f>
        <v/>
      </c>
      <c r="BR157" s="5">
        <f>IF(A157="","",N(INDEX(Projects[Systems Commissioning],156)))</f>
        <v/>
      </c>
      <c r="BS157" s="5">
        <f>IF(A157="","",N(INDEX(Projects[Service Commissioning],156)))</f>
        <v/>
      </c>
      <c r="BT157" s="5">
        <f>IF(A157="","",N(INDEX(Projects[Controls Eng],156)))</f>
        <v/>
      </c>
      <c r="BU157" s="5">
        <f>IF(A157="","",N(INDEX(Projects[Controls Purchase],156)))</f>
        <v/>
      </c>
      <c r="BV157" s="5">
        <f>IF(A157="","",N(INDEX(Projects[Software Eng],156)))</f>
        <v/>
      </c>
      <c r="BW157" s="5">
        <f>IF(A157="","",N(INDEX(Projects[Misc],156)))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IF(A158="","",N(INDEX(Projects[Mech Inst],157)))</f>
        <v/>
      </c>
      <c r="BK158" s="5">
        <f>IF(A158="","",N(INDEX(Projects[Elec Inst],157)))</f>
        <v/>
      </c>
      <c r="BL158" s="5">
        <f>IF(A158="","",N(INDEX(Projects[Project Management],157)))</f>
        <v/>
      </c>
      <c r="BM158" s="5">
        <f>IF(A158="","",N(INDEX(Projects[Systems Eng],157)))</f>
        <v/>
      </c>
      <c r="BN158" s="5">
        <f>IF(A158="","",N(INDEX(Projects[Mechanical Eng],157)))</f>
        <v/>
      </c>
      <c r="BO158" s="5">
        <f>IF(A158="","",N(INDEX(Projects[Structural Engineering],157)))</f>
        <v/>
      </c>
      <c r="BP158" s="5">
        <f>IF(A158="","",N(INDEX(Projects[Site Sup],157)))</f>
        <v/>
      </c>
      <c r="BQ158" s="5">
        <f>IF(A158="","",N(INDEX(Projects[Controls Commissioning],157)))</f>
        <v/>
      </c>
      <c r="BR158" s="5">
        <f>IF(A158="","",N(INDEX(Projects[Systems Commissioning],157)))</f>
        <v/>
      </c>
      <c r="BS158" s="5">
        <f>IF(A158="","",N(INDEX(Projects[Service Commissioning],157)))</f>
        <v/>
      </c>
      <c r="BT158" s="5">
        <f>IF(A158="","",N(INDEX(Projects[Controls Eng],157)))</f>
        <v/>
      </c>
      <c r="BU158" s="5">
        <f>IF(A158="","",N(INDEX(Projects[Controls Purchase],157)))</f>
        <v/>
      </c>
      <c r="BV158" s="5">
        <f>IF(A158="","",N(INDEX(Projects[Software Eng],157)))</f>
        <v/>
      </c>
      <c r="BW158" s="5">
        <f>IF(A158="","",N(INDEX(Projects[Misc],157)))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IF(A159="","",N(INDEX(Projects[Mech Inst],158)))</f>
        <v/>
      </c>
      <c r="BK159" s="5">
        <f>IF(A159="","",N(INDEX(Projects[Elec Inst],158)))</f>
        <v/>
      </c>
      <c r="BL159" s="5">
        <f>IF(A159="","",N(INDEX(Projects[Project Management],158)))</f>
        <v/>
      </c>
      <c r="BM159" s="5">
        <f>IF(A159="","",N(INDEX(Projects[Systems Eng],158)))</f>
        <v/>
      </c>
      <c r="BN159" s="5">
        <f>IF(A159="","",N(INDEX(Projects[Mechanical Eng],158)))</f>
        <v/>
      </c>
      <c r="BO159" s="5">
        <f>IF(A159="","",N(INDEX(Projects[Structural Engineering],158)))</f>
        <v/>
      </c>
      <c r="BP159" s="5">
        <f>IF(A159="","",N(INDEX(Projects[Site Sup],158)))</f>
        <v/>
      </c>
      <c r="BQ159" s="5">
        <f>IF(A159="","",N(INDEX(Projects[Controls Commissioning],158)))</f>
        <v/>
      </c>
      <c r="BR159" s="5">
        <f>IF(A159="","",N(INDEX(Projects[Systems Commissioning],158)))</f>
        <v/>
      </c>
      <c r="BS159" s="5">
        <f>IF(A159="","",N(INDEX(Projects[Service Commissioning],158)))</f>
        <v/>
      </c>
      <c r="BT159" s="5">
        <f>IF(A159="","",N(INDEX(Projects[Controls Eng],158)))</f>
        <v/>
      </c>
      <c r="BU159" s="5">
        <f>IF(A159="","",N(INDEX(Projects[Controls Purchase],158)))</f>
        <v/>
      </c>
      <c r="BV159" s="5">
        <f>IF(A159="","",N(INDEX(Projects[Software Eng],158)))</f>
        <v/>
      </c>
      <c r="BW159" s="5">
        <f>IF(A159="","",N(INDEX(Projects[Misc],158)))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IF(A160="","",N(INDEX(Projects[Mech Inst],159)))</f>
        <v/>
      </c>
      <c r="BK160" s="5">
        <f>IF(A160="","",N(INDEX(Projects[Elec Inst],159)))</f>
        <v/>
      </c>
      <c r="BL160" s="5">
        <f>IF(A160="","",N(INDEX(Projects[Project Management],159)))</f>
        <v/>
      </c>
      <c r="BM160" s="5">
        <f>IF(A160="","",N(INDEX(Projects[Systems Eng],159)))</f>
        <v/>
      </c>
      <c r="BN160" s="5">
        <f>IF(A160="","",N(INDEX(Projects[Mechanical Eng],159)))</f>
        <v/>
      </c>
      <c r="BO160" s="5">
        <f>IF(A160="","",N(INDEX(Projects[Structural Engineering],159)))</f>
        <v/>
      </c>
      <c r="BP160" s="5">
        <f>IF(A160="","",N(INDEX(Projects[Site Sup],159)))</f>
        <v/>
      </c>
      <c r="BQ160" s="5">
        <f>IF(A160="","",N(INDEX(Projects[Controls Commissioning],159)))</f>
        <v/>
      </c>
      <c r="BR160" s="5">
        <f>IF(A160="","",N(INDEX(Projects[Systems Commissioning],159)))</f>
        <v/>
      </c>
      <c r="BS160" s="5">
        <f>IF(A160="","",N(INDEX(Projects[Service Commissioning],159)))</f>
        <v/>
      </c>
      <c r="BT160" s="5">
        <f>IF(A160="","",N(INDEX(Projects[Controls Eng],159)))</f>
        <v/>
      </c>
      <c r="BU160" s="5">
        <f>IF(A160="","",N(INDEX(Projects[Controls Purchase],159)))</f>
        <v/>
      </c>
      <c r="BV160" s="5">
        <f>IF(A160="","",N(INDEX(Projects[Software Eng],159)))</f>
        <v/>
      </c>
      <c r="BW160" s="5">
        <f>IF(A160="","",N(INDEX(Projects[Misc],159)))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IF(A161="","",N(INDEX(Projects[Mech Inst],160)))</f>
        <v/>
      </c>
      <c r="BK161" s="5">
        <f>IF(A161="","",N(INDEX(Projects[Elec Inst],160)))</f>
        <v/>
      </c>
      <c r="BL161" s="5">
        <f>IF(A161="","",N(INDEX(Projects[Project Management],160)))</f>
        <v/>
      </c>
      <c r="BM161" s="5">
        <f>IF(A161="","",N(INDEX(Projects[Systems Eng],160)))</f>
        <v/>
      </c>
      <c r="BN161" s="5">
        <f>IF(A161="","",N(INDEX(Projects[Mechanical Eng],160)))</f>
        <v/>
      </c>
      <c r="BO161" s="5">
        <f>IF(A161="","",N(INDEX(Projects[Structural Engineering],160)))</f>
        <v/>
      </c>
      <c r="BP161" s="5">
        <f>IF(A161="","",N(INDEX(Projects[Site Sup],160)))</f>
        <v/>
      </c>
      <c r="BQ161" s="5">
        <f>IF(A161="","",N(INDEX(Projects[Controls Commissioning],160)))</f>
        <v/>
      </c>
      <c r="BR161" s="5">
        <f>IF(A161="","",N(INDEX(Projects[Systems Commissioning],160)))</f>
        <v/>
      </c>
      <c r="BS161" s="5">
        <f>IF(A161="","",N(INDEX(Projects[Service Commissioning],160)))</f>
        <v/>
      </c>
      <c r="BT161" s="5">
        <f>IF(A161="","",N(INDEX(Projects[Controls Eng],160)))</f>
        <v/>
      </c>
      <c r="BU161" s="5">
        <f>IF(A161="","",N(INDEX(Projects[Controls Purchase],160)))</f>
        <v/>
      </c>
      <c r="BV161" s="5">
        <f>IF(A161="","",N(INDEX(Projects[Software Eng],160)))</f>
        <v/>
      </c>
      <c r="BW161" s="5">
        <f>IF(A161="","",N(INDEX(Projects[Misc],160)))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IF(A162="","",N(INDEX(Projects[Mech Inst],161)))</f>
        <v/>
      </c>
      <c r="BK162" s="5">
        <f>IF(A162="","",N(INDEX(Projects[Elec Inst],161)))</f>
        <v/>
      </c>
      <c r="BL162" s="5">
        <f>IF(A162="","",N(INDEX(Projects[Project Management],161)))</f>
        <v/>
      </c>
      <c r="BM162" s="5">
        <f>IF(A162="","",N(INDEX(Projects[Systems Eng],161)))</f>
        <v/>
      </c>
      <c r="BN162" s="5">
        <f>IF(A162="","",N(INDEX(Projects[Mechanical Eng],161)))</f>
        <v/>
      </c>
      <c r="BO162" s="5">
        <f>IF(A162="","",N(INDEX(Projects[Structural Engineering],161)))</f>
        <v/>
      </c>
      <c r="BP162" s="5">
        <f>IF(A162="","",N(INDEX(Projects[Site Sup],161)))</f>
        <v/>
      </c>
      <c r="BQ162" s="5">
        <f>IF(A162="","",N(INDEX(Projects[Controls Commissioning],161)))</f>
        <v/>
      </c>
      <c r="BR162" s="5">
        <f>IF(A162="","",N(INDEX(Projects[Systems Commissioning],161)))</f>
        <v/>
      </c>
      <c r="BS162" s="5">
        <f>IF(A162="","",N(INDEX(Projects[Service Commissioning],161)))</f>
        <v/>
      </c>
      <c r="BT162" s="5">
        <f>IF(A162="","",N(INDEX(Projects[Controls Eng],161)))</f>
        <v/>
      </c>
      <c r="BU162" s="5">
        <f>IF(A162="","",N(INDEX(Projects[Controls Purchase],161)))</f>
        <v/>
      </c>
      <c r="BV162" s="5">
        <f>IF(A162="","",N(INDEX(Projects[Software Eng],161)))</f>
        <v/>
      </c>
      <c r="BW162" s="5">
        <f>IF(A162="","",N(INDEX(Projects[Misc],161)))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IF(A163="","",N(INDEX(Projects[Mech Inst],162)))</f>
        <v/>
      </c>
      <c r="BK163" s="5">
        <f>IF(A163="","",N(INDEX(Projects[Elec Inst],162)))</f>
        <v/>
      </c>
      <c r="BL163" s="5">
        <f>IF(A163="","",N(INDEX(Projects[Project Management],162)))</f>
        <v/>
      </c>
      <c r="BM163" s="5">
        <f>IF(A163="","",N(INDEX(Projects[Systems Eng],162)))</f>
        <v/>
      </c>
      <c r="BN163" s="5">
        <f>IF(A163="","",N(INDEX(Projects[Mechanical Eng],162)))</f>
        <v/>
      </c>
      <c r="BO163" s="5">
        <f>IF(A163="","",N(INDEX(Projects[Structural Engineering],162)))</f>
        <v/>
      </c>
      <c r="BP163" s="5">
        <f>IF(A163="","",N(INDEX(Projects[Site Sup],162)))</f>
        <v/>
      </c>
      <c r="BQ163" s="5">
        <f>IF(A163="","",N(INDEX(Projects[Controls Commissioning],162)))</f>
        <v/>
      </c>
      <c r="BR163" s="5">
        <f>IF(A163="","",N(INDEX(Projects[Systems Commissioning],162)))</f>
        <v/>
      </c>
      <c r="BS163" s="5">
        <f>IF(A163="","",N(INDEX(Projects[Service Commissioning],162)))</f>
        <v/>
      </c>
      <c r="BT163" s="5">
        <f>IF(A163="","",N(INDEX(Projects[Controls Eng],162)))</f>
        <v/>
      </c>
      <c r="BU163" s="5">
        <f>IF(A163="","",N(INDEX(Projects[Controls Purchase],162)))</f>
        <v/>
      </c>
      <c r="BV163" s="5">
        <f>IF(A163="","",N(INDEX(Projects[Software Eng],162)))</f>
        <v/>
      </c>
      <c r="BW163" s="5">
        <f>IF(A163="","",N(INDEX(Projects[Misc],162)))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IF(A164="","",N(INDEX(Projects[Mech Inst],163)))</f>
        <v/>
      </c>
      <c r="BK164" s="5">
        <f>IF(A164="","",N(INDEX(Projects[Elec Inst],163)))</f>
        <v/>
      </c>
      <c r="BL164" s="5">
        <f>IF(A164="","",N(INDEX(Projects[Project Management],163)))</f>
        <v/>
      </c>
      <c r="BM164" s="5">
        <f>IF(A164="","",N(INDEX(Projects[Systems Eng],163)))</f>
        <v/>
      </c>
      <c r="BN164" s="5">
        <f>IF(A164="","",N(INDEX(Projects[Mechanical Eng],163)))</f>
        <v/>
      </c>
      <c r="BO164" s="5">
        <f>IF(A164="","",N(INDEX(Projects[Structural Engineering],163)))</f>
        <v/>
      </c>
      <c r="BP164" s="5">
        <f>IF(A164="","",N(INDEX(Projects[Site Sup],163)))</f>
        <v/>
      </c>
      <c r="BQ164" s="5">
        <f>IF(A164="","",N(INDEX(Projects[Controls Commissioning],163)))</f>
        <v/>
      </c>
      <c r="BR164" s="5">
        <f>IF(A164="","",N(INDEX(Projects[Systems Commissioning],163)))</f>
        <v/>
      </c>
      <c r="BS164" s="5">
        <f>IF(A164="","",N(INDEX(Projects[Service Commissioning],163)))</f>
        <v/>
      </c>
      <c r="BT164" s="5">
        <f>IF(A164="","",N(INDEX(Projects[Controls Eng],163)))</f>
        <v/>
      </c>
      <c r="BU164" s="5">
        <f>IF(A164="","",N(INDEX(Projects[Controls Purchase],163)))</f>
        <v/>
      </c>
      <c r="BV164" s="5">
        <f>IF(A164="","",N(INDEX(Projects[Software Eng],163)))</f>
        <v/>
      </c>
      <c r="BW164" s="5">
        <f>IF(A164="","",N(INDEX(Projects[Misc],163)))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IF(A165="","",N(INDEX(Projects[Mech Inst],164)))</f>
        <v/>
      </c>
      <c r="BK165" s="5">
        <f>IF(A165="","",N(INDEX(Projects[Elec Inst],164)))</f>
        <v/>
      </c>
      <c r="BL165" s="5">
        <f>IF(A165="","",N(INDEX(Projects[Project Management],164)))</f>
        <v/>
      </c>
      <c r="BM165" s="5">
        <f>IF(A165="","",N(INDEX(Projects[Systems Eng],164)))</f>
        <v/>
      </c>
      <c r="BN165" s="5">
        <f>IF(A165="","",N(INDEX(Projects[Mechanical Eng],164)))</f>
        <v/>
      </c>
      <c r="BO165" s="5">
        <f>IF(A165="","",N(INDEX(Projects[Structural Engineering],164)))</f>
        <v/>
      </c>
      <c r="BP165" s="5">
        <f>IF(A165="","",N(INDEX(Projects[Site Sup],164)))</f>
        <v/>
      </c>
      <c r="BQ165" s="5">
        <f>IF(A165="","",N(INDEX(Projects[Controls Commissioning],164)))</f>
        <v/>
      </c>
      <c r="BR165" s="5">
        <f>IF(A165="","",N(INDEX(Projects[Systems Commissioning],164)))</f>
        <v/>
      </c>
      <c r="BS165" s="5">
        <f>IF(A165="","",N(INDEX(Projects[Service Commissioning],164)))</f>
        <v/>
      </c>
      <c r="BT165" s="5">
        <f>IF(A165="","",N(INDEX(Projects[Controls Eng],164)))</f>
        <v/>
      </c>
      <c r="BU165" s="5">
        <f>IF(A165="","",N(INDEX(Projects[Controls Purchase],164)))</f>
        <v/>
      </c>
      <c r="BV165" s="5">
        <f>IF(A165="","",N(INDEX(Projects[Software Eng],164)))</f>
        <v/>
      </c>
      <c r="BW165" s="5">
        <f>IF(A165="","",N(INDEX(Projects[Misc],164)))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IF(A166="","",N(INDEX(Projects[Mech Inst],165)))</f>
        <v/>
      </c>
      <c r="BK166" s="5">
        <f>IF(A166="","",N(INDEX(Projects[Elec Inst],165)))</f>
        <v/>
      </c>
      <c r="BL166" s="5">
        <f>IF(A166="","",N(INDEX(Projects[Project Management],165)))</f>
        <v/>
      </c>
      <c r="BM166" s="5">
        <f>IF(A166="","",N(INDEX(Projects[Systems Eng],165)))</f>
        <v/>
      </c>
      <c r="BN166" s="5">
        <f>IF(A166="","",N(INDEX(Projects[Mechanical Eng],165)))</f>
        <v/>
      </c>
      <c r="BO166" s="5">
        <f>IF(A166="","",N(INDEX(Projects[Structural Engineering],165)))</f>
        <v/>
      </c>
      <c r="BP166" s="5">
        <f>IF(A166="","",N(INDEX(Projects[Site Sup],165)))</f>
        <v/>
      </c>
      <c r="BQ166" s="5">
        <f>IF(A166="","",N(INDEX(Projects[Controls Commissioning],165)))</f>
        <v/>
      </c>
      <c r="BR166" s="5">
        <f>IF(A166="","",N(INDEX(Projects[Systems Commissioning],165)))</f>
        <v/>
      </c>
      <c r="BS166" s="5">
        <f>IF(A166="","",N(INDEX(Projects[Service Commissioning],165)))</f>
        <v/>
      </c>
      <c r="BT166" s="5">
        <f>IF(A166="","",N(INDEX(Projects[Controls Eng],165)))</f>
        <v/>
      </c>
      <c r="BU166" s="5">
        <f>IF(A166="","",N(INDEX(Projects[Controls Purchase],165)))</f>
        <v/>
      </c>
      <c r="BV166" s="5">
        <f>IF(A166="","",N(INDEX(Projects[Software Eng],165)))</f>
        <v/>
      </c>
      <c r="BW166" s="5">
        <f>IF(A166="","",N(INDEX(Projects[Misc],165)))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IF(A167="","",N(INDEX(Projects[Mech Inst],166)))</f>
        <v/>
      </c>
      <c r="BK167" s="5">
        <f>IF(A167="","",N(INDEX(Projects[Elec Inst],166)))</f>
        <v/>
      </c>
      <c r="BL167" s="5">
        <f>IF(A167="","",N(INDEX(Projects[Project Management],166)))</f>
        <v/>
      </c>
      <c r="BM167" s="5">
        <f>IF(A167="","",N(INDEX(Projects[Systems Eng],166)))</f>
        <v/>
      </c>
      <c r="BN167" s="5">
        <f>IF(A167="","",N(INDEX(Projects[Mechanical Eng],166)))</f>
        <v/>
      </c>
      <c r="BO167" s="5">
        <f>IF(A167="","",N(INDEX(Projects[Structural Engineering],166)))</f>
        <v/>
      </c>
      <c r="BP167" s="5">
        <f>IF(A167="","",N(INDEX(Projects[Site Sup],166)))</f>
        <v/>
      </c>
      <c r="BQ167" s="5">
        <f>IF(A167="","",N(INDEX(Projects[Controls Commissioning],166)))</f>
        <v/>
      </c>
      <c r="BR167" s="5">
        <f>IF(A167="","",N(INDEX(Projects[Systems Commissioning],166)))</f>
        <v/>
      </c>
      <c r="BS167" s="5">
        <f>IF(A167="","",N(INDEX(Projects[Service Commissioning],166)))</f>
        <v/>
      </c>
      <c r="BT167" s="5">
        <f>IF(A167="","",N(INDEX(Projects[Controls Eng],166)))</f>
        <v/>
      </c>
      <c r="BU167" s="5">
        <f>IF(A167="","",N(INDEX(Projects[Controls Purchase],166)))</f>
        <v/>
      </c>
      <c r="BV167" s="5">
        <f>IF(A167="","",N(INDEX(Projects[Software Eng],166)))</f>
        <v/>
      </c>
      <c r="BW167" s="5">
        <f>IF(A167="","",N(INDEX(Projects[Misc],166)))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IF(A168="","",N(INDEX(Projects[Mech Inst],167)))</f>
        <v/>
      </c>
      <c r="BK168" s="5">
        <f>IF(A168="","",N(INDEX(Projects[Elec Inst],167)))</f>
        <v/>
      </c>
      <c r="BL168" s="5">
        <f>IF(A168="","",N(INDEX(Projects[Project Management],167)))</f>
        <v/>
      </c>
      <c r="BM168" s="5">
        <f>IF(A168="","",N(INDEX(Projects[Systems Eng],167)))</f>
        <v/>
      </c>
      <c r="BN168" s="5">
        <f>IF(A168="","",N(INDEX(Projects[Mechanical Eng],167)))</f>
        <v/>
      </c>
      <c r="BO168" s="5">
        <f>IF(A168="","",N(INDEX(Projects[Structural Engineering],167)))</f>
        <v/>
      </c>
      <c r="BP168" s="5">
        <f>IF(A168="","",N(INDEX(Projects[Site Sup],167)))</f>
        <v/>
      </c>
      <c r="BQ168" s="5">
        <f>IF(A168="","",N(INDEX(Projects[Controls Commissioning],167)))</f>
        <v/>
      </c>
      <c r="BR168" s="5">
        <f>IF(A168="","",N(INDEX(Projects[Systems Commissioning],167)))</f>
        <v/>
      </c>
      <c r="BS168" s="5">
        <f>IF(A168="","",N(INDEX(Projects[Service Commissioning],167)))</f>
        <v/>
      </c>
      <c r="BT168" s="5">
        <f>IF(A168="","",N(INDEX(Projects[Controls Eng],167)))</f>
        <v/>
      </c>
      <c r="BU168" s="5">
        <f>IF(A168="","",N(INDEX(Projects[Controls Purchase],167)))</f>
        <v/>
      </c>
      <c r="BV168" s="5">
        <f>IF(A168="","",N(INDEX(Projects[Software Eng],167)))</f>
        <v/>
      </c>
      <c r="BW168" s="5">
        <f>IF(A168="","",N(INDEX(Projects[Misc],167)))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IF(A169="","",N(INDEX(Projects[Mech Inst],168)))</f>
        <v/>
      </c>
      <c r="BK169" s="5">
        <f>IF(A169="","",N(INDEX(Projects[Elec Inst],168)))</f>
        <v/>
      </c>
      <c r="BL169" s="5">
        <f>IF(A169="","",N(INDEX(Projects[Project Management],168)))</f>
        <v/>
      </c>
      <c r="BM169" s="5">
        <f>IF(A169="","",N(INDEX(Projects[Systems Eng],168)))</f>
        <v/>
      </c>
      <c r="BN169" s="5">
        <f>IF(A169="","",N(INDEX(Projects[Mechanical Eng],168)))</f>
        <v/>
      </c>
      <c r="BO169" s="5">
        <f>IF(A169="","",N(INDEX(Projects[Structural Engineering],168)))</f>
        <v/>
      </c>
      <c r="BP169" s="5">
        <f>IF(A169="","",N(INDEX(Projects[Site Sup],168)))</f>
        <v/>
      </c>
      <c r="BQ169" s="5">
        <f>IF(A169="","",N(INDEX(Projects[Controls Commissioning],168)))</f>
        <v/>
      </c>
      <c r="BR169" s="5">
        <f>IF(A169="","",N(INDEX(Projects[Systems Commissioning],168)))</f>
        <v/>
      </c>
      <c r="BS169" s="5">
        <f>IF(A169="","",N(INDEX(Projects[Service Commissioning],168)))</f>
        <v/>
      </c>
      <c r="BT169" s="5">
        <f>IF(A169="","",N(INDEX(Projects[Controls Eng],168)))</f>
        <v/>
      </c>
      <c r="BU169" s="5">
        <f>IF(A169="","",N(INDEX(Projects[Controls Purchase],168)))</f>
        <v/>
      </c>
      <c r="BV169" s="5">
        <f>IF(A169="","",N(INDEX(Projects[Software Eng],168)))</f>
        <v/>
      </c>
      <c r="BW169" s="5">
        <f>IF(A169="","",N(INDEX(Projects[Misc],168)))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IF(A170="","",N(INDEX(Projects[Mech Inst],169)))</f>
        <v/>
      </c>
      <c r="BK170" s="5">
        <f>IF(A170="","",N(INDEX(Projects[Elec Inst],169)))</f>
        <v/>
      </c>
      <c r="BL170" s="5">
        <f>IF(A170="","",N(INDEX(Projects[Project Management],169)))</f>
        <v/>
      </c>
      <c r="BM170" s="5">
        <f>IF(A170="","",N(INDEX(Projects[Systems Eng],169)))</f>
        <v/>
      </c>
      <c r="BN170" s="5">
        <f>IF(A170="","",N(INDEX(Projects[Mechanical Eng],169)))</f>
        <v/>
      </c>
      <c r="BO170" s="5">
        <f>IF(A170="","",N(INDEX(Projects[Structural Engineering],169)))</f>
        <v/>
      </c>
      <c r="BP170" s="5">
        <f>IF(A170="","",N(INDEX(Projects[Site Sup],169)))</f>
        <v/>
      </c>
      <c r="BQ170" s="5">
        <f>IF(A170="","",N(INDEX(Projects[Controls Commissioning],169)))</f>
        <v/>
      </c>
      <c r="BR170" s="5">
        <f>IF(A170="","",N(INDEX(Projects[Systems Commissioning],169)))</f>
        <v/>
      </c>
      <c r="BS170" s="5">
        <f>IF(A170="","",N(INDEX(Projects[Service Commissioning],169)))</f>
        <v/>
      </c>
      <c r="BT170" s="5">
        <f>IF(A170="","",N(INDEX(Projects[Controls Eng],169)))</f>
        <v/>
      </c>
      <c r="BU170" s="5">
        <f>IF(A170="","",N(INDEX(Projects[Controls Purchase],169)))</f>
        <v/>
      </c>
      <c r="BV170" s="5">
        <f>IF(A170="","",N(INDEX(Projects[Software Eng],169)))</f>
        <v/>
      </c>
      <c r="BW170" s="5">
        <f>IF(A170="","",N(INDEX(Projects[Misc],169)))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IF(A171="","",N(INDEX(Projects[Mech Inst],170)))</f>
        <v/>
      </c>
      <c r="BK171" s="5">
        <f>IF(A171="","",N(INDEX(Projects[Elec Inst],170)))</f>
        <v/>
      </c>
      <c r="BL171" s="5">
        <f>IF(A171="","",N(INDEX(Projects[Project Management],170)))</f>
        <v/>
      </c>
      <c r="BM171" s="5">
        <f>IF(A171="","",N(INDEX(Projects[Systems Eng],170)))</f>
        <v/>
      </c>
      <c r="BN171" s="5">
        <f>IF(A171="","",N(INDEX(Projects[Mechanical Eng],170)))</f>
        <v/>
      </c>
      <c r="BO171" s="5">
        <f>IF(A171="","",N(INDEX(Projects[Structural Engineering],170)))</f>
        <v/>
      </c>
      <c r="BP171" s="5">
        <f>IF(A171="","",N(INDEX(Projects[Site Sup],170)))</f>
        <v/>
      </c>
      <c r="BQ171" s="5">
        <f>IF(A171="","",N(INDEX(Projects[Controls Commissioning],170)))</f>
        <v/>
      </c>
      <c r="BR171" s="5">
        <f>IF(A171="","",N(INDEX(Projects[Systems Commissioning],170)))</f>
        <v/>
      </c>
      <c r="BS171" s="5">
        <f>IF(A171="","",N(INDEX(Projects[Service Commissioning],170)))</f>
        <v/>
      </c>
      <c r="BT171" s="5">
        <f>IF(A171="","",N(INDEX(Projects[Controls Eng],170)))</f>
        <v/>
      </c>
      <c r="BU171" s="5">
        <f>IF(A171="","",N(INDEX(Projects[Controls Purchase],170)))</f>
        <v/>
      </c>
      <c r="BV171" s="5">
        <f>IF(A171="","",N(INDEX(Projects[Software Eng],170)))</f>
        <v/>
      </c>
      <c r="BW171" s="5">
        <f>IF(A171="","",N(INDEX(Projects[Misc],170)))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IF(A172="","",N(INDEX(Projects[Mech Inst],171)))</f>
        <v/>
      </c>
      <c r="BK172" s="5">
        <f>IF(A172="","",N(INDEX(Projects[Elec Inst],171)))</f>
        <v/>
      </c>
      <c r="BL172" s="5">
        <f>IF(A172="","",N(INDEX(Projects[Project Management],171)))</f>
        <v/>
      </c>
      <c r="BM172" s="5">
        <f>IF(A172="","",N(INDEX(Projects[Systems Eng],171)))</f>
        <v/>
      </c>
      <c r="BN172" s="5">
        <f>IF(A172="","",N(INDEX(Projects[Mechanical Eng],171)))</f>
        <v/>
      </c>
      <c r="BO172" s="5">
        <f>IF(A172="","",N(INDEX(Projects[Structural Engineering],171)))</f>
        <v/>
      </c>
      <c r="BP172" s="5">
        <f>IF(A172="","",N(INDEX(Projects[Site Sup],171)))</f>
        <v/>
      </c>
      <c r="BQ172" s="5">
        <f>IF(A172="","",N(INDEX(Projects[Controls Commissioning],171)))</f>
        <v/>
      </c>
      <c r="BR172" s="5">
        <f>IF(A172="","",N(INDEX(Projects[Systems Commissioning],171)))</f>
        <v/>
      </c>
      <c r="BS172" s="5">
        <f>IF(A172="","",N(INDEX(Projects[Service Commissioning],171)))</f>
        <v/>
      </c>
      <c r="BT172" s="5">
        <f>IF(A172="","",N(INDEX(Projects[Controls Eng],171)))</f>
        <v/>
      </c>
      <c r="BU172" s="5">
        <f>IF(A172="","",N(INDEX(Projects[Controls Purchase],171)))</f>
        <v/>
      </c>
      <c r="BV172" s="5">
        <f>IF(A172="","",N(INDEX(Projects[Software Eng],171)))</f>
        <v/>
      </c>
      <c r="BW172" s="5">
        <f>IF(A172="","",N(INDEX(Projects[Misc],171)))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IF(A173="","",N(INDEX(Projects[Mech Inst],172)))</f>
        <v/>
      </c>
      <c r="BK173" s="5">
        <f>IF(A173="","",N(INDEX(Projects[Elec Inst],172)))</f>
        <v/>
      </c>
      <c r="BL173" s="5">
        <f>IF(A173="","",N(INDEX(Projects[Project Management],172)))</f>
        <v/>
      </c>
      <c r="BM173" s="5">
        <f>IF(A173="","",N(INDEX(Projects[Systems Eng],172)))</f>
        <v/>
      </c>
      <c r="BN173" s="5">
        <f>IF(A173="","",N(INDEX(Projects[Mechanical Eng],172)))</f>
        <v/>
      </c>
      <c r="BO173" s="5">
        <f>IF(A173="","",N(INDEX(Projects[Structural Engineering],172)))</f>
        <v/>
      </c>
      <c r="BP173" s="5">
        <f>IF(A173="","",N(INDEX(Projects[Site Sup],172)))</f>
        <v/>
      </c>
      <c r="BQ173" s="5">
        <f>IF(A173="","",N(INDEX(Projects[Controls Commissioning],172)))</f>
        <v/>
      </c>
      <c r="BR173" s="5">
        <f>IF(A173="","",N(INDEX(Projects[Systems Commissioning],172)))</f>
        <v/>
      </c>
      <c r="BS173" s="5">
        <f>IF(A173="","",N(INDEX(Projects[Service Commissioning],172)))</f>
        <v/>
      </c>
      <c r="BT173" s="5">
        <f>IF(A173="","",N(INDEX(Projects[Controls Eng],172)))</f>
        <v/>
      </c>
      <c r="BU173" s="5">
        <f>IF(A173="","",N(INDEX(Projects[Controls Purchase],172)))</f>
        <v/>
      </c>
      <c r="BV173" s="5">
        <f>IF(A173="","",N(INDEX(Projects[Software Eng],172)))</f>
        <v/>
      </c>
      <c r="BW173" s="5">
        <f>IF(A173="","",N(INDEX(Projects[Misc],172)))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IF(A174="","",N(INDEX(Projects[Mech Inst],173)))</f>
        <v/>
      </c>
      <c r="BK174" s="5">
        <f>IF(A174="","",N(INDEX(Projects[Elec Inst],173)))</f>
        <v/>
      </c>
      <c r="BL174" s="5">
        <f>IF(A174="","",N(INDEX(Projects[Project Management],173)))</f>
        <v/>
      </c>
      <c r="BM174" s="5">
        <f>IF(A174="","",N(INDEX(Projects[Systems Eng],173)))</f>
        <v/>
      </c>
      <c r="BN174" s="5">
        <f>IF(A174="","",N(INDEX(Projects[Mechanical Eng],173)))</f>
        <v/>
      </c>
      <c r="BO174" s="5">
        <f>IF(A174="","",N(INDEX(Projects[Structural Engineering],173)))</f>
        <v/>
      </c>
      <c r="BP174" s="5">
        <f>IF(A174="","",N(INDEX(Projects[Site Sup],173)))</f>
        <v/>
      </c>
      <c r="BQ174" s="5">
        <f>IF(A174="","",N(INDEX(Projects[Controls Commissioning],173)))</f>
        <v/>
      </c>
      <c r="BR174" s="5">
        <f>IF(A174="","",N(INDEX(Projects[Systems Commissioning],173)))</f>
        <v/>
      </c>
      <c r="BS174" s="5">
        <f>IF(A174="","",N(INDEX(Projects[Service Commissioning],173)))</f>
        <v/>
      </c>
      <c r="BT174" s="5">
        <f>IF(A174="","",N(INDEX(Projects[Controls Eng],173)))</f>
        <v/>
      </c>
      <c r="BU174" s="5">
        <f>IF(A174="","",N(INDEX(Projects[Controls Purchase],173)))</f>
        <v/>
      </c>
      <c r="BV174" s="5">
        <f>IF(A174="","",N(INDEX(Projects[Software Eng],173)))</f>
        <v/>
      </c>
      <c r="BW174" s="5">
        <f>IF(A174="","",N(INDEX(Projects[Misc],173)))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IF(A175="","",N(INDEX(Projects[Mech Inst],174)))</f>
        <v/>
      </c>
      <c r="BK175" s="5">
        <f>IF(A175="","",N(INDEX(Projects[Elec Inst],174)))</f>
        <v/>
      </c>
      <c r="BL175" s="5">
        <f>IF(A175="","",N(INDEX(Projects[Project Management],174)))</f>
        <v/>
      </c>
      <c r="BM175" s="5">
        <f>IF(A175="","",N(INDEX(Projects[Systems Eng],174)))</f>
        <v/>
      </c>
      <c r="BN175" s="5">
        <f>IF(A175="","",N(INDEX(Projects[Mechanical Eng],174)))</f>
        <v/>
      </c>
      <c r="BO175" s="5">
        <f>IF(A175="","",N(INDEX(Projects[Structural Engineering],174)))</f>
        <v/>
      </c>
      <c r="BP175" s="5">
        <f>IF(A175="","",N(INDEX(Projects[Site Sup],174)))</f>
        <v/>
      </c>
      <c r="BQ175" s="5">
        <f>IF(A175="","",N(INDEX(Projects[Controls Commissioning],174)))</f>
        <v/>
      </c>
      <c r="BR175" s="5">
        <f>IF(A175="","",N(INDEX(Projects[Systems Commissioning],174)))</f>
        <v/>
      </c>
      <c r="BS175" s="5">
        <f>IF(A175="","",N(INDEX(Projects[Service Commissioning],174)))</f>
        <v/>
      </c>
      <c r="BT175" s="5">
        <f>IF(A175="","",N(INDEX(Projects[Controls Eng],174)))</f>
        <v/>
      </c>
      <c r="BU175" s="5">
        <f>IF(A175="","",N(INDEX(Projects[Controls Purchase],174)))</f>
        <v/>
      </c>
      <c r="BV175" s="5">
        <f>IF(A175="","",N(INDEX(Projects[Software Eng],174)))</f>
        <v/>
      </c>
      <c r="BW175" s="5">
        <f>IF(A175="","",N(INDEX(Projects[Misc],174)))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IF(A176="","",N(INDEX(Projects[Mech Inst],175)))</f>
        <v/>
      </c>
      <c r="BK176" s="5">
        <f>IF(A176="","",N(INDEX(Projects[Elec Inst],175)))</f>
        <v/>
      </c>
      <c r="BL176" s="5">
        <f>IF(A176="","",N(INDEX(Projects[Project Management],175)))</f>
        <v/>
      </c>
      <c r="BM176" s="5">
        <f>IF(A176="","",N(INDEX(Projects[Systems Eng],175)))</f>
        <v/>
      </c>
      <c r="BN176" s="5">
        <f>IF(A176="","",N(INDEX(Projects[Mechanical Eng],175)))</f>
        <v/>
      </c>
      <c r="BO176" s="5">
        <f>IF(A176="","",N(INDEX(Projects[Structural Engineering],175)))</f>
        <v/>
      </c>
      <c r="BP176" s="5">
        <f>IF(A176="","",N(INDEX(Projects[Site Sup],175)))</f>
        <v/>
      </c>
      <c r="BQ176" s="5">
        <f>IF(A176="","",N(INDEX(Projects[Controls Commissioning],175)))</f>
        <v/>
      </c>
      <c r="BR176" s="5">
        <f>IF(A176="","",N(INDEX(Projects[Systems Commissioning],175)))</f>
        <v/>
      </c>
      <c r="BS176" s="5">
        <f>IF(A176="","",N(INDEX(Projects[Service Commissioning],175)))</f>
        <v/>
      </c>
      <c r="BT176" s="5">
        <f>IF(A176="","",N(INDEX(Projects[Controls Eng],175)))</f>
        <v/>
      </c>
      <c r="BU176" s="5">
        <f>IF(A176="","",N(INDEX(Projects[Controls Purchase],175)))</f>
        <v/>
      </c>
      <c r="BV176" s="5">
        <f>IF(A176="","",N(INDEX(Projects[Software Eng],175)))</f>
        <v/>
      </c>
      <c r="BW176" s="5">
        <f>IF(A176="","",N(INDEX(Projects[Misc],175)))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IF(A177="","",N(INDEX(Projects[Mech Inst],176)))</f>
        <v/>
      </c>
      <c r="BK177" s="5">
        <f>IF(A177="","",N(INDEX(Projects[Elec Inst],176)))</f>
        <v/>
      </c>
      <c r="BL177" s="5">
        <f>IF(A177="","",N(INDEX(Projects[Project Management],176)))</f>
        <v/>
      </c>
      <c r="BM177" s="5">
        <f>IF(A177="","",N(INDEX(Projects[Systems Eng],176)))</f>
        <v/>
      </c>
      <c r="BN177" s="5">
        <f>IF(A177="","",N(INDEX(Projects[Mechanical Eng],176)))</f>
        <v/>
      </c>
      <c r="BO177" s="5">
        <f>IF(A177="","",N(INDEX(Projects[Structural Engineering],176)))</f>
        <v/>
      </c>
      <c r="BP177" s="5">
        <f>IF(A177="","",N(INDEX(Projects[Site Sup],176)))</f>
        <v/>
      </c>
      <c r="BQ177" s="5">
        <f>IF(A177="","",N(INDEX(Projects[Controls Commissioning],176)))</f>
        <v/>
      </c>
      <c r="BR177" s="5">
        <f>IF(A177="","",N(INDEX(Projects[Systems Commissioning],176)))</f>
        <v/>
      </c>
      <c r="BS177" s="5">
        <f>IF(A177="","",N(INDEX(Projects[Service Commissioning],176)))</f>
        <v/>
      </c>
      <c r="BT177" s="5">
        <f>IF(A177="","",N(INDEX(Projects[Controls Eng],176)))</f>
        <v/>
      </c>
      <c r="BU177" s="5">
        <f>IF(A177="","",N(INDEX(Projects[Controls Purchase],176)))</f>
        <v/>
      </c>
      <c r="BV177" s="5">
        <f>IF(A177="","",N(INDEX(Projects[Software Eng],176)))</f>
        <v/>
      </c>
      <c r="BW177" s="5">
        <f>IF(A177="","",N(INDEX(Projects[Misc],176)))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IF(A178="","",N(INDEX(Projects[Mech Inst],177)))</f>
        <v/>
      </c>
      <c r="BK178" s="5">
        <f>IF(A178="","",N(INDEX(Projects[Elec Inst],177)))</f>
        <v/>
      </c>
      <c r="BL178" s="5">
        <f>IF(A178="","",N(INDEX(Projects[Project Management],177)))</f>
        <v/>
      </c>
      <c r="BM178" s="5">
        <f>IF(A178="","",N(INDEX(Projects[Systems Eng],177)))</f>
        <v/>
      </c>
      <c r="BN178" s="5">
        <f>IF(A178="","",N(INDEX(Projects[Mechanical Eng],177)))</f>
        <v/>
      </c>
      <c r="BO178" s="5">
        <f>IF(A178="","",N(INDEX(Projects[Structural Engineering],177)))</f>
        <v/>
      </c>
      <c r="BP178" s="5">
        <f>IF(A178="","",N(INDEX(Projects[Site Sup],177)))</f>
        <v/>
      </c>
      <c r="BQ178" s="5">
        <f>IF(A178="","",N(INDEX(Projects[Controls Commissioning],177)))</f>
        <v/>
      </c>
      <c r="BR178" s="5">
        <f>IF(A178="","",N(INDEX(Projects[Systems Commissioning],177)))</f>
        <v/>
      </c>
      <c r="BS178" s="5">
        <f>IF(A178="","",N(INDEX(Projects[Service Commissioning],177)))</f>
        <v/>
      </c>
      <c r="BT178" s="5">
        <f>IF(A178="","",N(INDEX(Projects[Controls Eng],177)))</f>
        <v/>
      </c>
      <c r="BU178" s="5">
        <f>IF(A178="","",N(INDEX(Projects[Controls Purchase],177)))</f>
        <v/>
      </c>
      <c r="BV178" s="5">
        <f>IF(A178="","",N(INDEX(Projects[Software Eng],177)))</f>
        <v/>
      </c>
      <c r="BW178" s="5">
        <f>IF(A178="","",N(INDEX(Projects[Misc],177)))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IF(A179="","",N(INDEX(Projects[Mech Inst],178)))</f>
        <v/>
      </c>
      <c r="BK179" s="5">
        <f>IF(A179="","",N(INDEX(Projects[Elec Inst],178)))</f>
        <v/>
      </c>
      <c r="BL179" s="5">
        <f>IF(A179="","",N(INDEX(Projects[Project Management],178)))</f>
        <v/>
      </c>
      <c r="BM179" s="5">
        <f>IF(A179="","",N(INDEX(Projects[Systems Eng],178)))</f>
        <v/>
      </c>
      <c r="BN179" s="5">
        <f>IF(A179="","",N(INDEX(Projects[Mechanical Eng],178)))</f>
        <v/>
      </c>
      <c r="BO179" s="5">
        <f>IF(A179="","",N(INDEX(Projects[Structural Engineering],178)))</f>
        <v/>
      </c>
      <c r="BP179" s="5">
        <f>IF(A179="","",N(INDEX(Projects[Site Sup],178)))</f>
        <v/>
      </c>
      <c r="BQ179" s="5">
        <f>IF(A179="","",N(INDEX(Projects[Controls Commissioning],178)))</f>
        <v/>
      </c>
      <c r="BR179" s="5">
        <f>IF(A179="","",N(INDEX(Projects[Systems Commissioning],178)))</f>
        <v/>
      </c>
      <c r="BS179" s="5">
        <f>IF(A179="","",N(INDEX(Projects[Service Commissioning],178)))</f>
        <v/>
      </c>
      <c r="BT179" s="5">
        <f>IF(A179="","",N(INDEX(Projects[Controls Eng],178)))</f>
        <v/>
      </c>
      <c r="BU179" s="5">
        <f>IF(A179="","",N(INDEX(Projects[Controls Purchase],178)))</f>
        <v/>
      </c>
      <c r="BV179" s="5">
        <f>IF(A179="","",N(INDEX(Projects[Software Eng],178)))</f>
        <v/>
      </c>
      <c r="BW179" s="5">
        <f>IF(A179="","",N(INDEX(Projects[Misc],178)))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IF(A180="","",N(INDEX(Projects[Mech Inst],179)))</f>
        <v/>
      </c>
      <c r="BK180" s="5">
        <f>IF(A180="","",N(INDEX(Projects[Elec Inst],179)))</f>
        <v/>
      </c>
      <c r="BL180" s="5">
        <f>IF(A180="","",N(INDEX(Projects[Project Management],179)))</f>
        <v/>
      </c>
      <c r="BM180" s="5">
        <f>IF(A180="","",N(INDEX(Projects[Systems Eng],179)))</f>
        <v/>
      </c>
      <c r="BN180" s="5">
        <f>IF(A180="","",N(INDEX(Projects[Mechanical Eng],179)))</f>
        <v/>
      </c>
      <c r="BO180" s="5">
        <f>IF(A180="","",N(INDEX(Projects[Structural Engineering],179)))</f>
        <v/>
      </c>
      <c r="BP180" s="5">
        <f>IF(A180="","",N(INDEX(Projects[Site Sup],179)))</f>
        <v/>
      </c>
      <c r="BQ180" s="5">
        <f>IF(A180="","",N(INDEX(Projects[Controls Commissioning],179)))</f>
        <v/>
      </c>
      <c r="BR180" s="5">
        <f>IF(A180="","",N(INDEX(Projects[Systems Commissioning],179)))</f>
        <v/>
      </c>
      <c r="BS180" s="5">
        <f>IF(A180="","",N(INDEX(Projects[Service Commissioning],179)))</f>
        <v/>
      </c>
      <c r="BT180" s="5">
        <f>IF(A180="","",N(INDEX(Projects[Controls Eng],179)))</f>
        <v/>
      </c>
      <c r="BU180" s="5">
        <f>IF(A180="","",N(INDEX(Projects[Controls Purchase],179)))</f>
        <v/>
      </c>
      <c r="BV180" s="5">
        <f>IF(A180="","",N(INDEX(Projects[Software Eng],179)))</f>
        <v/>
      </c>
      <c r="BW180" s="5">
        <f>IF(A180="","",N(INDEX(Projects[Misc],179)))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IF(A181="","",N(INDEX(Projects[Mech Inst],180)))</f>
        <v/>
      </c>
      <c r="BK181" s="5">
        <f>IF(A181="","",N(INDEX(Projects[Elec Inst],180)))</f>
        <v/>
      </c>
      <c r="BL181" s="5">
        <f>IF(A181="","",N(INDEX(Projects[Project Management],180)))</f>
        <v/>
      </c>
      <c r="BM181" s="5">
        <f>IF(A181="","",N(INDEX(Projects[Systems Eng],180)))</f>
        <v/>
      </c>
      <c r="BN181" s="5">
        <f>IF(A181="","",N(INDEX(Projects[Mechanical Eng],180)))</f>
        <v/>
      </c>
      <c r="BO181" s="5">
        <f>IF(A181="","",N(INDEX(Projects[Structural Engineering],180)))</f>
        <v/>
      </c>
      <c r="BP181" s="5">
        <f>IF(A181="","",N(INDEX(Projects[Site Sup],180)))</f>
        <v/>
      </c>
      <c r="BQ181" s="5">
        <f>IF(A181="","",N(INDEX(Projects[Controls Commissioning],180)))</f>
        <v/>
      </c>
      <c r="BR181" s="5">
        <f>IF(A181="","",N(INDEX(Projects[Systems Commissioning],180)))</f>
        <v/>
      </c>
      <c r="BS181" s="5">
        <f>IF(A181="","",N(INDEX(Projects[Service Commissioning],180)))</f>
        <v/>
      </c>
      <c r="BT181" s="5">
        <f>IF(A181="","",N(INDEX(Projects[Controls Eng],180)))</f>
        <v/>
      </c>
      <c r="BU181" s="5">
        <f>IF(A181="","",N(INDEX(Projects[Controls Purchase],180)))</f>
        <v/>
      </c>
      <c r="BV181" s="5">
        <f>IF(A181="","",N(INDEX(Projects[Software Eng],180)))</f>
        <v/>
      </c>
      <c r="BW181" s="5">
        <f>IF(A181="","",N(INDEX(Projects[Misc],180)))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IF(A182="","",N(INDEX(Projects[Mech Inst],181)))</f>
        <v/>
      </c>
      <c r="BK182" s="5">
        <f>IF(A182="","",N(INDEX(Projects[Elec Inst],181)))</f>
        <v/>
      </c>
      <c r="BL182" s="5">
        <f>IF(A182="","",N(INDEX(Projects[Project Management],181)))</f>
        <v/>
      </c>
      <c r="BM182" s="5">
        <f>IF(A182="","",N(INDEX(Projects[Systems Eng],181)))</f>
        <v/>
      </c>
      <c r="BN182" s="5">
        <f>IF(A182="","",N(INDEX(Projects[Mechanical Eng],181)))</f>
        <v/>
      </c>
      <c r="BO182" s="5">
        <f>IF(A182="","",N(INDEX(Projects[Structural Engineering],181)))</f>
        <v/>
      </c>
      <c r="BP182" s="5">
        <f>IF(A182="","",N(INDEX(Projects[Site Sup],181)))</f>
        <v/>
      </c>
      <c r="BQ182" s="5">
        <f>IF(A182="","",N(INDEX(Projects[Controls Commissioning],181)))</f>
        <v/>
      </c>
      <c r="BR182" s="5">
        <f>IF(A182="","",N(INDEX(Projects[Systems Commissioning],181)))</f>
        <v/>
      </c>
      <c r="BS182" s="5">
        <f>IF(A182="","",N(INDEX(Projects[Service Commissioning],181)))</f>
        <v/>
      </c>
      <c r="BT182" s="5">
        <f>IF(A182="","",N(INDEX(Projects[Controls Eng],181)))</f>
        <v/>
      </c>
      <c r="BU182" s="5">
        <f>IF(A182="","",N(INDEX(Projects[Controls Purchase],181)))</f>
        <v/>
      </c>
      <c r="BV182" s="5">
        <f>IF(A182="","",N(INDEX(Projects[Software Eng],181)))</f>
        <v/>
      </c>
      <c r="BW182" s="5">
        <f>IF(A182="","",N(INDEX(Projects[Misc],181)))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IF(A183="","",N(INDEX(Projects[Mech Inst],182)))</f>
        <v/>
      </c>
      <c r="BK183" s="5">
        <f>IF(A183="","",N(INDEX(Projects[Elec Inst],182)))</f>
        <v/>
      </c>
      <c r="BL183" s="5">
        <f>IF(A183="","",N(INDEX(Projects[Project Management],182)))</f>
        <v/>
      </c>
      <c r="BM183" s="5">
        <f>IF(A183="","",N(INDEX(Projects[Systems Eng],182)))</f>
        <v/>
      </c>
      <c r="BN183" s="5">
        <f>IF(A183="","",N(INDEX(Projects[Mechanical Eng],182)))</f>
        <v/>
      </c>
      <c r="BO183" s="5">
        <f>IF(A183="","",N(INDEX(Projects[Structural Engineering],182)))</f>
        <v/>
      </c>
      <c r="BP183" s="5">
        <f>IF(A183="","",N(INDEX(Projects[Site Sup],182)))</f>
        <v/>
      </c>
      <c r="BQ183" s="5">
        <f>IF(A183="","",N(INDEX(Projects[Controls Commissioning],182)))</f>
        <v/>
      </c>
      <c r="BR183" s="5">
        <f>IF(A183="","",N(INDEX(Projects[Systems Commissioning],182)))</f>
        <v/>
      </c>
      <c r="BS183" s="5">
        <f>IF(A183="","",N(INDEX(Projects[Service Commissioning],182)))</f>
        <v/>
      </c>
      <c r="BT183" s="5">
        <f>IF(A183="","",N(INDEX(Projects[Controls Eng],182)))</f>
        <v/>
      </c>
      <c r="BU183" s="5">
        <f>IF(A183="","",N(INDEX(Projects[Controls Purchase],182)))</f>
        <v/>
      </c>
      <c r="BV183" s="5">
        <f>IF(A183="","",N(INDEX(Projects[Software Eng],182)))</f>
        <v/>
      </c>
      <c r="BW183" s="5">
        <f>IF(A183="","",N(INDEX(Projects[Misc],182)))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IF(A184="","",N(INDEX(Projects[Mech Inst],183)))</f>
        <v/>
      </c>
      <c r="BK184" s="5">
        <f>IF(A184="","",N(INDEX(Projects[Elec Inst],183)))</f>
        <v/>
      </c>
      <c r="BL184" s="5">
        <f>IF(A184="","",N(INDEX(Projects[Project Management],183)))</f>
        <v/>
      </c>
      <c r="BM184" s="5">
        <f>IF(A184="","",N(INDEX(Projects[Systems Eng],183)))</f>
        <v/>
      </c>
      <c r="BN184" s="5">
        <f>IF(A184="","",N(INDEX(Projects[Mechanical Eng],183)))</f>
        <v/>
      </c>
      <c r="BO184" s="5">
        <f>IF(A184="","",N(INDEX(Projects[Structural Engineering],183)))</f>
        <v/>
      </c>
      <c r="BP184" s="5">
        <f>IF(A184="","",N(INDEX(Projects[Site Sup],183)))</f>
        <v/>
      </c>
      <c r="BQ184" s="5">
        <f>IF(A184="","",N(INDEX(Projects[Controls Commissioning],183)))</f>
        <v/>
      </c>
      <c r="BR184" s="5">
        <f>IF(A184="","",N(INDEX(Projects[Systems Commissioning],183)))</f>
        <v/>
      </c>
      <c r="BS184" s="5">
        <f>IF(A184="","",N(INDEX(Projects[Service Commissioning],183)))</f>
        <v/>
      </c>
      <c r="BT184" s="5">
        <f>IF(A184="","",N(INDEX(Projects[Controls Eng],183)))</f>
        <v/>
      </c>
      <c r="BU184" s="5">
        <f>IF(A184="","",N(INDEX(Projects[Controls Purchase],183)))</f>
        <v/>
      </c>
      <c r="BV184" s="5">
        <f>IF(A184="","",N(INDEX(Projects[Software Eng],183)))</f>
        <v/>
      </c>
      <c r="BW184" s="5">
        <f>IF(A184="","",N(INDEX(Projects[Misc],183)))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IF(A185="","",N(INDEX(Projects[Mech Inst],184)))</f>
        <v/>
      </c>
      <c r="BK185" s="5">
        <f>IF(A185="","",N(INDEX(Projects[Elec Inst],184)))</f>
        <v/>
      </c>
      <c r="BL185" s="5">
        <f>IF(A185="","",N(INDEX(Projects[Project Management],184)))</f>
        <v/>
      </c>
      <c r="BM185" s="5">
        <f>IF(A185="","",N(INDEX(Projects[Systems Eng],184)))</f>
        <v/>
      </c>
      <c r="BN185" s="5">
        <f>IF(A185="","",N(INDEX(Projects[Mechanical Eng],184)))</f>
        <v/>
      </c>
      <c r="BO185" s="5">
        <f>IF(A185="","",N(INDEX(Projects[Structural Engineering],184)))</f>
        <v/>
      </c>
      <c r="BP185" s="5">
        <f>IF(A185="","",N(INDEX(Projects[Site Sup],184)))</f>
        <v/>
      </c>
      <c r="BQ185" s="5">
        <f>IF(A185="","",N(INDEX(Projects[Controls Commissioning],184)))</f>
        <v/>
      </c>
      <c r="BR185" s="5">
        <f>IF(A185="","",N(INDEX(Projects[Systems Commissioning],184)))</f>
        <v/>
      </c>
      <c r="BS185" s="5">
        <f>IF(A185="","",N(INDEX(Projects[Service Commissioning],184)))</f>
        <v/>
      </c>
      <c r="BT185" s="5">
        <f>IF(A185="","",N(INDEX(Projects[Controls Eng],184)))</f>
        <v/>
      </c>
      <c r="BU185" s="5">
        <f>IF(A185="","",N(INDEX(Projects[Controls Purchase],184)))</f>
        <v/>
      </c>
      <c r="BV185" s="5">
        <f>IF(A185="","",N(INDEX(Projects[Software Eng],184)))</f>
        <v/>
      </c>
      <c r="BW185" s="5">
        <f>IF(A185="","",N(INDEX(Projects[Misc],184)))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IF(A186="","",N(INDEX(Projects[Mech Inst],185)))</f>
        <v/>
      </c>
      <c r="BK186" s="5">
        <f>IF(A186="","",N(INDEX(Projects[Elec Inst],185)))</f>
        <v/>
      </c>
      <c r="BL186" s="5">
        <f>IF(A186="","",N(INDEX(Projects[Project Management],185)))</f>
        <v/>
      </c>
      <c r="BM186" s="5">
        <f>IF(A186="","",N(INDEX(Projects[Systems Eng],185)))</f>
        <v/>
      </c>
      <c r="BN186" s="5">
        <f>IF(A186="","",N(INDEX(Projects[Mechanical Eng],185)))</f>
        <v/>
      </c>
      <c r="BO186" s="5">
        <f>IF(A186="","",N(INDEX(Projects[Structural Engineering],185)))</f>
        <v/>
      </c>
      <c r="BP186" s="5">
        <f>IF(A186="","",N(INDEX(Projects[Site Sup],185)))</f>
        <v/>
      </c>
      <c r="BQ186" s="5">
        <f>IF(A186="","",N(INDEX(Projects[Controls Commissioning],185)))</f>
        <v/>
      </c>
      <c r="BR186" s="5">
        <f>IF(A186="","",N(INDEX(Projects[Systems Commissioning],185)))</f>
        <v/>
      </c>
      <c r="BS186" s="5">
        <f>IF(A186="","",N(INDEX(Projects[Service Commissioning],185)))</f>
        <v/>
      </c>
      <c r="BT186" s="5">
        <f>IF(A186="","",N(INDEX(Projects[Controls Eng],185)))</f>
        <v/>
      </c>
      <c r="BU186" s="5">
        <f>IF(A186="","",N(INDEX(Projects[Controls Purchase],185)))</f>
        <v/>
      </c>
      <c r="BV186" s="5">
        <f>IF(A186="","",N(INDEX(Projects[Software Eng],185)))</f>
        <v/>
      </c>
      <c r="BW186" s="5">
        <f>IF(A186="","",N(INDEX(Projects[Misc],185)))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IF(A187="","",N(INDEX(Projects[Mech Inst],186)))</f>
        <v/>
      </c>
      <c r="BK187" s="5">
        <f>IF(A187="","",N(INDEX(Projects[Elec Inst],186)))</f>
        <v/>
      </c>
      <c r="BL187" s="5">
        <f>IF(A187="","",N(INDEX(Projects[Project Management],186)))</f>
        <v/>
      </c>
      <c r="BM187" s="5">
        <f>IF(A187="","",N(INDEX(Projects[Systems Eng],186)))</f>
        <v/>
      </c>
      <c r="BN187" s="5">
        <f>IF(A187="","",N(INDEX(Projects[Mechanical Eng],186)))</f>
        <v/>
      </c>
      <c r="BO187" s="5">
        <f>IF(A187="","",N(INDEX(Projects[Structural Engineering],186)))</f>
        <v/>
      </c>
      <c r="BP187" s="5">
        <f>IF(A187="","",N(INDEX(Projects[Site Sup],186)))</f>
        <v/>
      </c>
      <c r="BQ187" s="5">
        <f>IF(A187="","",N(INDEX(Projects[Controls Commissioning],186)))</f>
        <v/>
      </c>
      <c r="BR187" s="5">
        <f>IF(A187="","",N(INDEX(Projects[Systems Commissioning],186)))</f>
        <v/>
      </c>
      <c r="BS187" s="5">
        <f>IF(A187="","",N(INDEX(Projects[Service Commissioning],186)))</f>
        <v/>
      </c>
      <c r="BT187" s="5">
        <f>IF(A187="","",N(INDEX(Projects[Controls Eng],186)))</f>
        <v/>
      </c>
      <c r="BU187" s="5">
        <f>IF(A187="","",N(INDEX(Projects[Controls Purchase],186)))</f>
        <v/>
      </c>
      <c r="BV187" s="5">
        <f>IF(A187="","",N(INDEX(Projects[Software Eng],186)))</f>
        <v/>
      </c>
      <c r="BW187" s="5">
        <f>IF(A187="","",N(INDEX(Projects[Misc],186)))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IF(A188="","",N(INDEX(Projects[Mech Inst],187)))</f>
        <v/>
      </c>
      <c r="BK188" s="5">
        <f>IF(A188="","",N(INDEX(Projects[Elec Inst],187)))</f>
        <v/>
      </c>
      <c r="BL188" s="5">
        <f>IF(A188="","",N(INDEX(Projects[Project Management],187)))</f>
        <v/>
      </c>
      <c r="BM188" s="5">
        <f>IF(A188="","",N(INDEX(Projects[Systems Eng],187)))</f>
        <v/>
      </c>
      <c r="BN188" s="5">
        <f>IF(A188="","",N(INDEX(Projects[Mechanical Eng],187)))</f>
        <v/>
      </c>
      <c r="BO188" s="5">
        <f>IF(A188="","",N(INDEX(Projects[Structural Engineering],187)))</f>
        <v/>
      </c>
      <c r="BP188" s="5">
        <f>IF(A188="","",N(INDEX(Projects[Site Sup],187)))</f>
        <v/>
      </c>
      <c r="BQ188" s="5">
        <f>IF(A188="","",N(INDEX(Projects[Controls Commissioning],187)))</f>
        <v/>
      </c>
      <c r="BR188" s="5">
        <f>IF(A188="","",N(INDEX(Projects[Systems Commissioning],187)))</f>
        <v/>
      </c>
      <c r="BS188" s="5">
        <f>IF(A188="","",N(INDEX(Projects[Service Commissioning],187)))</f>
        <v/>
      </c>
      <c r="BT188" s="5">
        <f>IF(A188="","",N(INDEX(Projects[Controls Eng],187)))</f>
        <v/>
      </c>
      <c r="BU188" s="5">
        <f>IF(A188="","",N(INDEX(Projects[Controls Purchase],187)))</f>
        <v/>
      </c>
      <c r="BV188" s="5">
        <f>IF(A188="","",N(INDEX(Projects[Software Eng],187)))</f>
        <v/>
      </c>
      <c r="BW188" s="5">
        <f>IF(A188="","",N(INDEX(Projects[Misc],187)))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IF(A189="","",N(INDEX(Projects[Mech Inst],188)))</f>
        <v/>
      </c>
      <c r="BK189" s="5">
        <f>IF(A189="","",N(INDEX(Projects[Elec Inst],188)))</f>
        <v/>
      </c>
      <c r="BL189" s="5">
        <f>IF(A189="","",N(INDEX(Projects[Project Management],188)))</f>
        <v/>
      </c>
      <c r="BM189" s="5">
        <f>IF(A189="","",N(INDEX(Projects[Systems Eng],188)))</f>
        <v/>
      </c>
      <c r="BN189" s="5">
        <f>IF(A189="","",N(INDEX(Projects[Mechanical Eng],188)))</f>
        <v/>
      </c>
      <c r="BO189" s="5">
        <f>IF(A189="","",N(INDEX(Projects[Structural Engineering],188)))</f>
        <v/>
      </c>
      <c r="BP189" s="5">
        <f>IF(A189="","",N(INDEX(Projects[Site Sup],188)))</f>
        <v/>
      </c>
      <c r="BQ189" s="5">
        <f>IF(A189="","",N(INDEX(Projects[Controls Commissioning],188)))</f>
        <v/>
      </c>
      <c r="BR189" s="5">
        <f>IF(A189="","",N(INDEX(Projects[Systems Commissioning],188)))</f>
        <v/>
      </c>
      <c r="BS189" s="5">
        <f>IF(A189="","",N(INDEX(Projects[Service Commissioning],188)))</f>
        <v/>
      </c>
      <c r="BT189" s="5">
        <f>IF(A189="","",N(INDEX(Projects[Controls Eng],188)))</f>
        <v/>
      </c>
      <c r="BU189" s="5">
        <f>IF(A189="","",N(INDEX(Projects[Controls Purchase],188)))</f>
        <v/>
      </c>
      <c r="BV189" s="5">
        <f>IF(A189="","",N(INDEX(Projects[Software Eng],188)))</f>
        <v/>
      </c>
      <c r="BW189" s="5">
        <f>IF(A189="","",N(INDEX(Projects[Misc],188)))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IF(A190="","",N(INDEX(Projects[Mech Inst],189)))</f>
        <v/>
      </c>
      <c r="BK190" s="5">
        <f>IF(A190="","",N(INDEX(Projects[Elec Inst],189)))</f>
        <v/>
      </c>
      <c r="BL190" s="5">
        <f>IF(A190="","",N(INDEX(Projects[Project Management],189)))</f>
        <v/>
      </c>
      <c r="BM190" s="5">
        <f>IF(A190="","",N(INDEX(Projects[Systems Eng],189)))</f>
        <v/>
      </c>
      <c r="BN190" s="5">
        <f>IF(A190="","",N(INDEX(Projects[Mechanical Eng],189)))</f>
        <v/>
      </c>
      <c r="BO190" s="5">
        <f>IF(A190="","",N(INDEX(Projects[Structural Engineering],189)))</f>
        <v/>
      </c>
      <c r="BP190" s="5">
        <f>IF(A190="","",N(INDEX(Projects[Site Sup],189)))</f>
        <v/>
      </c>
      <c r="BQ190" s="5">
        <f>IF(A190="","",N(INDEX(Projects[Controls Commissioning],189)))</f>
        <v/>
      </c>
      <c r="BR190" s="5">
        <f>IF(A190="","",N(INDEX(Projects[Systems Commissioning],189)))</f>
        <v/>
      </c>
      <c r="BS190" s="5">
        <f>IF(A190="","",N(INDEX(Projects[Service Commissioning],189)))</f>
        <v/>
      </c>
      <c r="BT190" s="5">
        <f>IF(A190="","",N(INDEX(Projects[Controls Eng],189)))</f>
        <v/>
      </c>
      <c r="BU190" s="5">
        <f>IF(A190="","",N(INDEX(Projects[Controls Purchase],189)))</f>
        <v/>
      </c>
      <c r="BV190" s="5">
        <f>IF(A190="","",N(INDEX(Projects[Software Eng],189)))</f>
        <v/>
      </c>
      <c r="BW190" s="5">
        <f>IF(A190="","",N(INDEX(Projects[Misc],189)))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IF(A191="","",N(INDEX(Projects[Mech Inst],190)))</f>
        <v/>
      </c>
      <c r="BK191" s="5">
        <f>IF(A191="","",N(INDEX(Projects[Elec Inst],190)))</f>
        <v/>
      </c>
      <c r="BL191" s="5">
        <f>IF(A191="","",N(INDEX(Projects[Project Management],190)))</f>
        <v/>
      </c>
      <c r="BM191" s="5">
        <f>IF(A191="","",N(INDEX(Projects[Systems Eng],190)))</f>
        <v/>
      </c>
      <c r="BN191" s="5">
        <f>IF(A191="","",N(INDEX(Projects[Mechanical Eng],190)))</f>
        <v/>
      </c>
      <c r="BO191" s="5">
        <f>IF(A191="","",N(INDEX(Projects[Structural Engineering],190)))</f>
        <v/>
      </c>
      <c r="BP191" s="5">
        <f>IF(A191="","",N(INDEX(Projects[Site Sup],190)))</f>
        <v/>
      </c>
      <c r="BQ191" s="5">
        <f>IF(A191="","",N(INDEX(Projects[Controls Commissioning],190)))</f>
        <v/>
      </c>
      <c r="BR191" s="5">
        <f>IF(A191="","",N(INDEX(Projects[Systems Commissioning],190)))</f>
        <v/>
      </c>
      <c r="BS191" s="5">
        <f>IF(A191="","",N(INDEX(Projects[Service Commissioning],190)))</f>
        <v/>
      </c>
      <c r="BT191" s="5">
        <f>IF(A191="","",N(INDEX(Projects[Controls Eng],190)))</f>
        <v/>
      </c>
      <c r="BU191" s="5">
        <f>IF(A191="","",N(INDEX(Projects[Controls Purchase],190)))</f>
        <v/>
      </c>
      <c r="BV191" s="5">
        <f>IF(A191="","",N(INDEX(Projects[Software Eng],190)))</f>
        <v/>
      </c>
      <c r="BW191" s="5">
        <f>IF(A191="","",N(INDEX(Projects[Misc],190)))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IF(A192="","",N(INDEX(Projects[Mech Inst],191)))</f>
        <v/>
      </c>
      <c r="BK192" s="5">
        <f>IF(A192="","",N(INDEX(Projects[Elec Inst],191)))</f>
        <v/>
      </c>
      <c r="BL192" s="5">
        <f>IF(A192="","",N(INDEX(Projects[Project Management],191)))</f>
        <v/>
      </c>
      <c r="BM192" s="5">
        <f>IF(A192="","",N(INDEX(Projects[Systems Eng],191)))</f>
        <v/>
      </c>
      <c r="BN192" s="5">
        <f>IF(A192="","",N(INDEX(Projects[Mechanical Eng],191)))</f>
        <v/>
      </c>
      <c r="BO192" s="5">
        <f>IF(A192="","",N(INDEX(Projects[Structural Engineering],191)))</f>
        <v/>
      </c>
      <c r="BP192" s="5">
        <f>IF(A192="","",N(INDEX(Projects[Site Sup],191)))</f>
        <v/>
      </c>
      <c r="BQ192" s="5">
        <f>IF(A192="","",N(INDEX(Projects[Controls Commissioning],191)))</f>
        <v/>
      </c>
      <c r="BR192" s="5">
        <f>IF(A192="","",N(INDEX(Projects[Systems Commissioning],191)))</f>
        <v/>
      </c>
      <c r="BS192" s="5">
        <f>IF(A192="","",N(INDEX(Projects[Service Commissioning],191)))</f>
        <v/>
      </c>
      <c r="BT192" s="5">
        <f>IF(A192="","",N(INDEX(Projects[Controls Eng],191)))</f>
        <v/>
      </c>
      <c r="BU192" s="5">
        <f>IF(A192="","",N(INDEX(Projects[Controls Purchase],191)))</f>
        <v/>
      </c>
      <c r="BV192" s="5">
        <f>IF(A192="","",N(INDEX(Projects[Software Eng],191)))</f>
        <v/>
      </c>
      <c r="BW192" s="5">
        <f>IF(A192="","",N(INDEX(Projects[Misc],191)))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IF(A193="","",N(INDEX(Projects[Mech Inst],192)))</f>
        <v/>
      </c>
      <c r="BK193" s="5">
        <f>IF(A193="","",N(INDEX(Projects[Elec Inst],192)))</f>
        <v/>
      </c>
      <c r="BL193" s="5">
        <f>IF(A193="","",N(INDEX(Projects[Project Management],192)))</f>
        <v/>
      </c>
      <c r="BM193" s="5">
        <f>IF(A193="","",N(INDEX(Projects[Systems Eng],192)))</f>
        <v/>
      </c>
      <c r="BN193" s="5">
        <f>IF(A193="","",N(INDEX(Projects[Mechanical Eng],192)))</f>
        <v/>
      </c>
      <c r="BO193" s="5">
        <f>IF(A193="","",N(INDEX(Projects[Structural Engineering],192)))</f>
        <v/>
      </c>
      <c r="BP193" s="5">
        <f>IF(A193="","",N(INDEX(Projects[Site Sup],192)))</f>
        <v/>
      </c>
      <c r="BQ193" s="5">
        <f>IF(A193="","",N(INDEX(Projects[Controls Commissioning],192)))</f>
        <v/>
      </c>
      <c r="BR193" s="5">
        <f>IF(A193="","",N(INDEX(Projects[Systems Commissioning],192)))</f>
        <v/>
      </c>
      <c r="BS193" s="5">
        <f>IF(A193="","",N(INDEX(Projects[Service Commissioning],192)))</f>
        <v/>
      </c>
      <c r="BT193" s="5">
        <f>IF(A193="","",N(INDEX(Projects[Controls Eng],192)))</f>
        <v/>
      </c>
      <c r="BU193" s="5">
        <f>IF(A193="","",N(INDEX(Projects[Controls Purchase],192)))</f>
        <v/>
      </c>
      <c r="BV193" s="5">
        <f>IF(A193="","",N(INDEX(Projects[Software Eng],192)))</f>
        <v/>
      </c>
      <c r="BW193" s="5">
        <f>IF(A193="","",N(INDEX(Projects[Misc],192)))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IF(A194="","",N(INDEX(Projects[Mech Inst],193)))</f>
        <v/>
      </c>
      <c r="BK194" s="5">
        <f>IF(A194="","",N(INDEX(Projects[Elec Inst],193)))</f>
        <v/>
      </c>
      <c r="BL194" s="5">
        <f>IF(A194="","",N(INDEX(Projects[Project Management],193)))</f>
        <v/>
      </c>
      <c r="BM194" s="5">
        <f>IF(A194="","",N(INDEX(Projects[Systems Eng],193)))</f>
        <v/>
      </c>
      <c r="BN194" s="5">
        <f>IF(A194="","",N(INDEX(Projects[Mechanical Eng],193)))</f>
        <v/>
      </c>
      <c r="BO194" s="5">
        <f>IF(A194="","",N(INDEX(Projects[Structural Engineering],193)))</f>
        <v/>
      </c>
      <c r="BP194" s="5">
        <f>IF(A194="","",N(INDEX(Projects[Site Sup],193)))</f>
        <v/>
      </c>
      <c r="BQ194" s="5">
        <f>IF(A194="","",N(INDEX(Projects[Controls Commissioning],193)))</f>
        <v/>
      </c>
      <c r="BR194" s="5">
        <f>IF(A194="","",N(INDEX(Projects[Systems Commissioning],193)))</f>
        <v/>
      </c>
      <c r="BS194" s="5">
        <f>IF(A194="","",N(INDEX(Projects[Service Commissioning],193)))</f>
        <v/>
      </c>
      <c r="BT194" s="5">
        <f>IF(A194="","",N(INDEX(Projects[Controls Eng],193)))</f>
        <v/>
      </c>
      <c r="BU194" s="5">
        <f>IF(A194="","",N(INDEX(Projects[Controls Purchase],193)))</f>
        <v/>
      </c>
      <c r="BV194" s="5">
        <f>IF(A194="","",N(INDEX(Projects[Software Eng],193)))</f>
        <v/>
      </c>
      <c r="BW194" s="5">
        <f>IF(A194="","",N(INDEX(Projects[Misc],193)))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IF(A195="","",N(INDEX(Projects[Mech Inst],194)))</f>
        <v/>
      </c>
      <c r="BK195" s="5">
        <f>IF(A195="","",N(INDEX(Projects[Elec Inst],194)))</f>
        <v/>
      </c>
      <c r="BL195" s="5">
        <f>IF(A195="","",N(INDEX(Projects[Project Management],194)))</f>
        <v/>
      </c>
      <c r="BM195" s="5">
        <f>IF(A195="","",N(INDEX(Projects[Systems Eng],194)))</f>
        <v/>
      </c>
      <c r="BN195" s="5">
        <f>IF(A195="","",N(INDEX(Projects[Mechanical Eng],194)))</f>
        <v/>
      </c>
      <c r="BO195" s="5">
        <f>IF(A195="","",N(INDEX(Projects[Structural Engineering],194)))</f>
        <v/>
      </c>
      <c r="BP195" s="5">
        <f>IF(A195="","",N(INDEX(Projects[Site Sup],194)))</f>
        <v/>
      </c>
      <c r="BQ195" s="5">
        <f>IF(A195="","",N(INDEX(Projects[Controls Commissioning],194)))</f>
        <v/>
      </c>
      <c r="BR195" s="5">
        <f>IF(A195="","",N(INDEX(Projects[Systems Commissioning],194)))</f>
        <v/>
      </c>
      <c r="BS195" s="5">
        <f>IF(A195="","",N(INDEX(Projects[Service Commissioning],194)))</f>
        <v/>
      </c>
      <c r="BT195" s="5">
        <f>IF(A195="","",N(INDEX(Projects[Controls Eng],194)))</f>
        <v/>
      </c>
      <c r="BU195" s="5">
        <f>IF(A195="","",N(INDEX(Projects[Controls Purchase],194)))</f>
        <v/>
      </c>
      <c r="BV195" s="5">
        <f>IF(A195="","",N(INDEX(Projects[Software Eng],194)))</f>
        <v/>
      </c>
      <c r="BW195" s="5">
        <f>IF(A195="","",N(INDEX(Projects[Misc],194)))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IF(A196="","",N(INDEX(Projects[Mech Inst],195)))</f>
        <v/>
      </c>
      <c r="BK196" s="5">
        <f>IF(A196="","",N(INDEX(Projects[Elec Inst],195)))</f>
        <v/>
      </c>
      <c r="BL196" s="5">
        <f>IF(A196="","",N(INDEX(Projects[Project Management],195)))</f>
        <v/>
      </c>
      <c r="BM196" s="5">
        <f>IF(A196="","",N(INDEX(Projects[Systems Eng],195)))</f>
        <v/>
      </c>
      <c r="BN196" s="5">
        <f>IF(A196="","",N(INDEX(Projects[Mechanical Eng],195)))</f>
        <v/>
      </c>
      <c r="BO196" s="5">
        <f>IF(A196="","",N(INDEX(Projects[Structural Engineering],195)))</f>
        <v/>
      </c>
      <c r="BP196" s="5">
        <f>IF(A196="","",N(INDEX(Projects[Site Sup],195)))</f>
        <v/>
      </c>
      <c r="BQ196" s="5">
        <f>IF(A196="","",N(INDEX(Projects[Controls Commissioning],195)))</f>
        <v/>
      </c>
      <c r="BR196" s="5">
        <f>IF(A196="","",N(INDEX(Projects[Systems Commissioning],195)))</f>
        <v/>
      </c>
      <c r="BS196" s="5">
        <f>IF(A196="","",N(INDEX(Projects[Service Commissioning],195)))</f>
        <v/>
      </c>
      <c r="BT196" s="5">
        <f>IF(A196="","",N(INDEX(Projects[Controls Eng],195)))</f>
        <v/>
      </c>
      <c r="BU196" s="5">
        <f>IF(A196="","",N(INDEX(Projects[Controls Purchase],195)))</f>
        <v/>
      </c>
      <c r="BV196" s="5">
        <f>IF(A196="","",N(INDEX(Projects[Software Eng],195)))</f>
        <v/>
      </c>
      <c r="BW196" s="5">
        <f>IF(A196="","",N(INDEX(Projects[Misc],195)))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IF(A197="","",N(INDEX(Projects[Mech Inst],196)))</f>
        <v/>
      </c>
      <c r="BK197" s="5">
        <f>IF(A197="","",N(INDEX(Projects[Elec Inst],196)))</f>
        <v/>
      </c>
      <c r="BL197" s="5">
        <f>IF(A197="","",N(INDEX(Projects[Project Management],196)))</f>
        <v/>
      </c>
      <c r="BM197" s="5">
        <f>IF(A197="","",N(INDEX(Projects[Systems Eng],196)))</f>
        <v/>
      </c>
      <c r="BN197" s="5">
        <f>IF(A197="","",N(INDEX(Projects[Mechanical Eng],196)))</f>
        <v/>
      </c>
      <c r="BO197" s="5">
        <f>IF(A197="","",N(INDEX(Projects[Structural Engineering],196)))</f>
        <v/>
      </c>
      <c r="BP197" s="5">
        <f>IF(A197="","",N(INDEX(Projects[Site Sup],196)))</f>
        <v/>
      </c>
      <c r="BQ197" s="5">
        <f>IF(A197="","",N(INDEX(Projects[Controls Commissioning],196)))</f>
        <v/>
      </c>
      <c r="BR197" s="5">
        <f>IF(A197="","",N(INDEX(Projects[Systems Commissioning],196)))</f>
        <v/>
      </c>
      <c r="BS197" s="5">
        <f>IF(A197="","",N(INDEX(Projects[Service Commissioning],196)))</f>
        <v/>
      </c>
      <c r="BT197" s="5">
        <f>IF(A197="","",N(INDEX(Projects[Controls Eng],196)))</f>
        <v/>
      </c>
      <c r="BU197" s="5">
        <f>IF(A197="","",N(INDEX(Projects[Controls Purchase],196)))</f>
        <v/>
      </c>
      <c r="BV197" s="5">
        <f>IF(A197="","",N(INDEX(Projects[Software Eng],196)))</f>
        <v/>
      </c>
      <c r="BW197" s="5">
        <f>IF(A197="","",N(INDEX(Projects[Misc],196)))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IF(A198="","",N(INDEX(Projects[Mech Inst],197)))</f>
        <v/>
      </c>
      <c r="BK198" s="5">
        <f>IF(A198="","",N(INDEX(Projects[Elec Inst],197)))</f>
        <v/>
      </c>
      <c r="BL198" s="5">
        <f>IF(A198="","",N(INDEX(Projects[Project Management],197)))</f>
        <v/>
      </c>
      <c r="BM198" s="5">
        <f>IF(A198="","",N(INDEX(Projects[Systems Eng],197)))</f>
        <v/>
      </c>
      <c r="BN198" s="5">
        <f>IF(A198="","",N(INDEX(Projects[Mechanical Eng],197)))</f>
        <v/>
      </c>
      <c r="BO198" s="5">
        <f>IF(A198="","",N(INDEX(Projects[Structural Engineering],197)))</f>
        <v/>
      </c>
      <c r="BP198" s="5">
        <f>IF(A198="","",N(INDEX(Projects[Site Sup],197)))</f>
        <v/>
      </c>
      <c r="BQ198" s="5">
        <f>IF(A198="","",N(INDEX(Projects[Controls Commissioning],197)))</f>
        <v/>
      </c>
      <c r="BR198" s="5">
        <f>IF(A198="","",N(INDEX(Projects[Systems Commissioning],197)))</f>
        <v/>
      </c>
      <c r="BS198" s="5">
        <f>IF(A198="","",N(INDEX(Projects[Service Commissioning],197)))</f>
        <v/>
      </c>
      <c r="BT198" s="5">
        <f>IF(A198="","",N(INDEX(Projects[Controls Eng],197)))</f>
        <v/>
      </c>
      <c r="BU198" s="5">
        <f>IF(A198="","",N(INDEX(Projects[Controls Purchase],197)))</f>
        <v/>
      </c>
      <c r="BV198" s="5">
        <f>IF(A198="","",N(INDEX(Projects[Software Eng],197)))</f>
        <v/>
      </c>
      <c r="BW198" s="5">
        <f>IF(A198="","",N(INDEX(Projects[Misc],197)))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IF(A199="","",N(INDEX(Projects[Mech Inst],198)))</f>
        <v/>
      </c>
      <c r="BK199" s="5">
        <f>IF(A199="","",N(INDEX(Projects[Elec Inst],198)))</f>
        <v/>
      </c>
      <c r="BL199" s="5">
        <f>IF(A199="","",N(INDEX(Projects[Project Management],198)))</f>
        <v/>
      </c>
      <c r="BM199" s="5">
        <f>IF(A199="","",N(INDEX(Projects[Systems Eng],198)))</f>
        <v/>
      </c>
      <c r="BN199" s="5">
        <f>IF(A199="","",N(INDEX(Projects[Mechanical Eng],198)))</f>
        <v/>
      </c>
      <c r="BO199" s="5">
        <f>IF(A199="","",N(INDEX(Projects[Structural Engineering],198)))</f>
        <v/>
      </c>
      <c r="BP199" s="5">
        <f>IF(A199="","",N(INDEX(Projects[Site Sup],198)))</f>
        <v/>
      </c>
      <c r="BQ199" s="5">
        <f>IF(A199="","",N(INDEX(Projects[Controls Commissioning],198)))</f>
        <v/>
      </c>
      <c r="BR199" s="5">
        <f>IF(A199="","",N(INDEX(Projects[Systems Commissioning],198)))</f>
        <v/>
      </c>
      <c r="BS199" s="5">
        <f>IF(A199="","",N(INDEX(Projects[Service Commissioning],198)))</f>
        <v/>
      </c>
      <c r="BT199" s="5">
        <f>IF(A199="","",N(INDEX(Projects[Controls Eng],198)))</f>
        <v/>
      </c>
      <c r="BU199" s="5">
        <f>IF(A199="","",N(INDEX(Projects[Controls Purchase],198)))</f>
        <v/>
      </c>
      <c r="BV199" s="5">
        <f>IF(A199="","",N(INDEX(Projects[Software Eng],198)))</f>
        <v/>
      </c>
      <c r="BW199" s="5">
        <f>IF(A199="","",N(INDEX(Projects[Misc],198)))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IF(A200="","",N(INDEX(Projects[Mech Inst],199)))</f>
        <v/>
      </c>
      <c r="BK200" s="5">
        <f>IF(A200="","",N(INDEX(Projects[Elec Inst],199)))</f>
        <v/>
      </c>
      <c r="BL200" s="5">
        <f>IF(A200="","",N(INDEX(Projects[Project Management],199)))</f>
        <v/>
      </c>
      <c r="BM200" s="5">
        <f>IF(A200="","",N(INDEX(Projects[Systems Eng],199)))</f>
        <v/>
      </c>
      <c r="BN200" s="5">
        <f>IF(A200="","",N(INDEX(Projects[Mechanical Eng],199)))</f>
        <v/>
      </c>
      <c r="BO200" s="5">
        <f>IF(A200="","",N(INDEX(Projects[Structural Engineering],199)))</f>
        <v/>
      </c>
      <c r="BP200" s="5">
        <f>IF(A200="","",N(INDEX(Projects[Site Sup],199)))</f>
        <v/>
      </c>
      <c r="BQ200" s="5">
        <f>IF(A200="","",N(INDEX(Projects[Controls Commissioning],199)))</f>
        <v/>
      </c>
      <c r="BR200" s="5">
        <f>IF(A200="","",N(INDEX(Projects[Systems Commissioning],199)))</f>
        <v/>
      </c>
      <c r="BS200" s="5">
        <f>IF(A200="","",N(INDEX(Projects[Service Commissioning],199)))</f>
        <v/>
      </c>
      <c r="BT200" s="5">
        <f>IF(A200="","",N(INDEX(Projects[Controls Eng],199)))</f>
        <v/>
      </c>
      <c r="BU200" s="5">
        <f>IF(A200="","",N(INDEX(Projects[Controls Purchase],199)))</f>
        <v/>
      </c>
      <c r="BV200" s="5">
        <f>IF(A200="","",N(INDEX(Projects[Software Eng],199)))</f>
        <v/>
      </c>
      <c r="BW200" s="5">
        <f>IF(A200="","",N(INDEX(Projects[Misc],199)))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IF(A201="","",N(INDEX(Projects[Mech Inst],200)))</f>
        <v/>
      </c>
      <c r="BK201" s="5">
        <f>IF(A201="","",N(INDEX(Projects[Elec Inst],200)))</f>
        <v/>
      </c>
      <c r="BL201" s="5">
        <f>IF(A201="","",N(INDEX(Projects[Project Management],200)))</f>
        <v/>
      </c>
      <c r="BM201" s="5">
        <f>IF(A201="","",N(INDEX(Projects[Systems Eng],200)))</f>
        <v/>
      </c>
      <c r="BN201" s="5">
        <f>IF(A201="","",N(INDEX(Projects[Mechanical Eng],200)))</f>
        <v/>
      </c>
      <c r="BO201" s="5">
        <f>IF(A201="","",N(INDEX(Projects[Structural Engineering],200)))</f>
        <v/>
      </c>
      <c r="BP201" s="5">
        <f>IF(A201="","",N(INDEX(Projects[Site Sup],200)))</f>
        <v/>
      </c>
      <c r="BQ201" s="5">
        <f>IF(A201="","",N(INDEX(Projects[Controls Commissioning],200)))</f>
        <v/>
      </c>
      <c r="BR201" s="5">
        <f>IF(A201="","",N(INDEX(Projects[Systems Commissioning],200)))</f>
        <v/>
      </c>
      <c r="BS201" s="5">
        <f>IF(A201="","",N(INDEX(Projects[Service Commissioning],200)))</f>
        <v/>
      </c>
      <c r="BT201" s="5">
        <f>IF(A201="","",N(INDEX(Projects[Controls Eng],200)))</f>
        <v/>
      </c>
      <c r="BU201" s="5">
        <f>IF(A201="","",N(INDEX(Projects[Controls Purchase],200)))</f>
        <v/>
      </c>
      <c r="BV201" s="5">
        <f>IF(A201="","",N(INDEX(Projects[Software Eng],200)))</f>
        <v/>
      </c>
      <c r="BW201" s="5">
        <f>IF(A201="","",N(INDEX(Projects[Misc],200)))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IF(A202="","",N(INDEX(Projects[Mech Inst],201)))</f>
        <v/>
      </c>
      <c r="BK202" s="5">
        <f>IF(A202="","",N(INDEX(Projects[Elec Inst],201)))</f>
        <v/>
      </c>
      <c r="BL202" s="5">
        <f>IF(A202="","",N(INDEX(Projects[Project Management],201)))</f>
        <v/>
      </c>
      <c r="BM202" s="5">
        <f>IF(A202="","",N(INDEX(Projects[Systems Eng],201)))</f>
        <v/>
      </c>
      <c r="BN202" s="5">
        <f>IF(A202="","",N(INDEX(Projects[Mechanical Eng],201)))</f>
        <v/>
      </c>
      <c r="BO202" s="5">
        <f>IF(A202="","",N(INDEX(Projects[Structural Engineering],201)))</f>
        <v/>
      </c>
      <c r="BP202" s="5">
        <f>IF(A202="","",N(INDEX(Projects[Site Sup],201)))</f>
        <v/>
      </c>
      <c r="BQ202" s="5">
        <f>IF(A202="","",N(INDEX(Projects[Controls Commissioning],201)))</f>
        <v/>
      </c>
      <c r="BR202" s="5">
        <f>IF(A202="","",N(INDEX(Projects[Systems Commissioning],201)))</f>
        <v/>
      </c>
      <c r="BS202" s="5">
        <f>IF(A202="","",N(INDEX(Projects[Service Commissioning],201)))</f>
        <v/>
      </c>
      <c r="BT202" s="5">
        <f>IF(A202="","",N(INDEX(Projects[Controls Eng],201)))</f>
        <v/>
      </c>
      <c r="BU202" s="5">
        <f>IF(A202="","",N(INDEX(Projects[Controls Purchase],201)))</f>
        <v/>
      </c>
      <c r="BV202" s="5">
        <f>IF(A202="","",N(INDEX(Projects[Software Eng],201)))</f>
        <v/>
      </c>
      <c r="BW202" s="5">
        <f>IF(A202="","",N(INDEX(Projects[Misc],201)))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IF(A203="","",N(INDEX(Projects[Mech Inst],202)))</f>
        <v/>
      </c>
      <c r="BK203" s="5">
        <f>IF(A203="","",N(INDEX(Projects[Elec Inst],202)))</f>
        <v/>
      </c>
      <c r="BL203" s="5">
        <f>IF(A203="","",N(INDEX(Projects[Project Management],202)))</f>
        <v/>
      </c>
      <c r="BM203" s="5">
        <f>IF(A203="","",N(INDEX(Projects[Systems Eng],202)))</f>
        <v/>
      </c>
      <c r="BN203" s="5">
        <f>IF(A203="","",N(INDEX(Projects[Mechanical Eng],202)))</f>
        <v/>
      </c>
      <c r="BO203" s="5">
        <f>IF(A203="","",N(INDEX(Projects[Structural Engineering],202)))</f>
        <v/>
      </c>
      <c r="BP203" s="5">
        <f>IF(A203="","",N(INDEX(Projects[Site Sup],202)))</f>
        <v/>
      </c>
      <c r="BQ203" s="5">
        <f>IF(A203="","",N(INDEX(Projects[Controls Commissioning],202)))</f>
        <v/>
      </c>
      <c r="BR203" s="5">
        <f>IF(A203="","",N(INDEX(Projects[Systems Commissioning],202)))</f>
        <v/>
      </c>
      <c r="BS203" s="5">
        <f>IF(A203="","",N(INDEX(Projects[Service Commissioning],202)))</f>
        <v/>
      </c>
      <c r="BT203" s="5">
        <f>IF(A203="","",N(INDEX(Projects[Controls Eng],202)))</f>
        <v/>
      </c>
      <c r="BU203" s="5">
        <f>IF(A203="","",N(INDEX(Projects[Controls Purchase],202)))</f>
        <v/>
      </c>
      <c r="BV203" s="5">
        <f>IF(A203="","",N(INDEX(Projects[Software Eng],202)))</f>
        <v/>
      </c>
      <c r="BW203" s="5">
        <f>IF(A203="","",N(INDEX(Projects[Misc],202)))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IF(A204="","",N(INDEX(Projects[Mech Inst],203)))</f>
        <v/>
      </c>
      <c r="BK204" s="5">
        <f>IF(A204="","",N(INDEX(Projects[Elec Inst],203)))</f>
        <v/>
      </c>
      <c r="BL204" s="5">
        <f>IF(A204="","",N(INDEX(Projects[Project Management],203)))</f>
        <v/>
      </c>
      <c r="BM204" s="5">
        <f>IF(A204="","",N(INDEX(Projects[Systems Eng],203)))</f>
        <v/>
      </c>
      <c r="BN204" s="5">
        <f>IF(A204="","",N(INDEX(Projects[Mechanical Eng],203)))</f>
        <v/>
      </c>
      <c r="BO204" s="5">
        <f>IF(A204="","",N(INDEX(Projects[Structural Engineering],203)))</f>
        <v/>
      </c>
      <c r="BP204" s="5">
        <f>IF(A204="","",N(INDEX(Projects[Site Sup],203)))</f>
        <v/>
      </c>
      <c r="BQ204" s="5">
        <f>IF(A204="","",N(INDEX(Projects[Controls Commissioning],203)))</f>
        <v/>
      </c>
      <c r="BR204" s="5">
        <f>IF(A204="","",N(INDEX(Projects[Systems Commissioning],203)))</f>
        <v/>
      </c>
      <c r="BS204" s="5">
        <f>IF(A204="","",N(INDEX(Projects[Service Commissioning],203)))</f>
        <v/>
      </c>
      <c r="BT204" s="5">
        <f>IF(A204="","",N(INDEX(Projects[Controls Eng],203)))</f>
        <v/>
      </c>
      <c r="BU204" s="5">
        <f>IF(A204="","",N(INDEX(Projects[Controls Purchase],203)))</f>
        <v/>
      </c>
      <c r="BV204" s="5">
        <f>IF(A204="","",N(INDEX(Projects[Software Eng],203)))</f>
        <v/>
      </c>
      <c r="BW204" s="5">
        <f>IF(A204="","",N(INDEX(Projects[Misc],203)))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IF(A205="","",N(INDEX(Projects[Mech Inst],204)))</f>
        <v/>
      </c>
      <c r="BK205" s="5">
        <f>IF(A205="","",N(INDEX(Projects[Elec Inst],204)))</f>
        <v/>
      </c>
      <c r="BL205" s="5">
        <f>IF(A205="","",N(INDEX(Projects[Project Management],204)))</f>
        <v/>
      </c>
      <c r="BM205" s="5">
        <f>IF(A205="","",N(INDEX(Projects[Systems Eng],204)))</f>
        <v/>
      </c>
      <c r="BN205" s="5">
        <f>IF(A205="","",N(INDEX(Projects[Mechanical Eng],204)))</f>
        <v/>
      </c>
      <c r="BO205" s="5">
        <f>IF(A205="","",N(INDEX(Projects[Structural Engineering],204)))</f>
        <v/>
      </c>
      <c r="BP205" s="5">
        <f>IF(A205="","",N(INDEX(Projects[Site Sup],204)))</f>
        <v/>
      </c>
      <c r="BQ205" s="5">
        <f>IF(A205="","",N(INDEX(Projects[Controls Commissioning],204)))</f>
        <v/>
      </c>
      <c r="BR205" s="5">
        <f>IF(A205="","",N(INDEX(Projects[Systems Commissioning],204)))</f>
        <v/>
      </c>
      <c r="BS205" s="5">
        <f>IF(A205="","",N(INDEX(Projects[Service Commissioning],204)))</f>
        <v/>
      </c>
      <c r="BT205" s="5">
        <f>IF(A205="","",N(INDEX(Projects[Controls Eng],204)))</f>
        <v/>
      </c>
      <c r="BU205" s="5">
        <f>IF(A205="","",N(INDEX(Projects[Controls Purchase],204)))</f>
        <v/>
      </c>
      <c r="BV205" s="5">
        <f>IF(A205="","",N(INDEX(Projects[Software Eng],204)))</f>
        <v/>
      </c>
      <c r="BW205" s="5">
        <f>IF(A205="","",N(INDEX(Projects[Misc],204)))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IF(A206="","",N(INDEX(Projects[Mech Inst],205)))</f>
        <v/>
      </c>
      <c r="BK206" s="5">
        <f>IF(A206="","",N(INDEX(Projects[Elec Inst],205)))</f>
        <v/>
      </c>
      <c r="BL206" s="5">
        <f>IF(A206="","",N(INDEX(Projects[Project Management],205)))</f>
        <v/>
      </c>
      <c r="BM206" s="5">
        <f>IF(A206="","",N(INDEX(Projects[Systems Eng],205)))</f>
        <v/>
      </c>
      <c r="BN206" s="5">
        <f>IF(A206="","",N(INDEX(Projects[Mechanical Eng],205)))</f>
        <v/>
      </c>
      <c r="BO206" s="5">
        <f>IF(A206="","",N(INDEX(Projects[Structural Engineering],205)))</f>
        <v/>
      </c>
      <c r="BP206" s="5">
        <f>IF(A206="","",N(INDEX(Projects[Site Sup],205)))</f>
        <v/>
      </c>
      <c r="BQ206" s="5">
        <f>IF(A206="","",N(INDEX(Projects[Controls Commissioning],205)))</f>
        <v/>
      </c>
      <c r="BR206" s="5">
        <f>IF(A206="","",N(INDEX(Projects[Systems Commissioning],205)))</f>
        <v/>
      </c>
      <c r="BS206" s="5">
        <f>IF(A206="","",N(INDEX(Projects[Service Commissioning],205)))</f>
        <v/>
      </c>
      <c r="BT206" s="5">
        <f>IF(A206="","",N(INDEX(Projects[Controls Eng],205)))</f>
        <v/>
      </c>
      <c r="BU206" s="5">
        <f>IF(A206="","",N(INDEX(Projects[Controls Purchase],205)))</f>
        <v/>
      </c>
      <c r="BV206" s="5">
        <f>IF(A206="","",N(INDEX(Projects[Software Eng],205)))</f>
        <v/>
      </c>
      <c r="BW206" s="5">
        <f>IF(A206="","",N(INDEX(Projects[Misc],205)))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IF(A207="","",N(INDEX(Projects[Mech Inst],206)))</f>
        <v/>
      </c>
      <c r="BK207" s="5">
        <f>IF(A207="","",N(INDEX(Projects[Elec Inst],206)))</f>
        <v/>
      </c>
      <c r="BL207" s="5">
        <f>IF(A207="","",N(INDEX(Projects[Project Management],206)))</f>
        <v/>
      </c>
      <c r="BM207" s="5">
        <f>IF(A207="","",N(INDEX(Projects[Systems Eng],206)))</f>
        <v/>
      </c>
      <c r="BN207" s="5">
        <f>IF(A207="","",N(INDEX(Projects[Mechanical Eng],206)))</f>
        <v/>
      </c>
      <c r="BO207" s="5">
        <f>IF(A207="","",N(INDEX(Projects[Structural Engineering],206)))</f>
        <v/>
      </c>
      <c r="BP207" s="5">
        <f>IF(A207="","",N(INDEX(Projects[Site Sup],206)))</f>
        <v/>
      </c>
      <c r="BQ207" s="5">
        <f>IF(A207="","",N(INDEX(Projects[Controls Commissioning],206)))</f>
        <v/>
      </c>
      <c r="BR207" s="5">
        <f>IF(A207="","",N(INDEX(Projects[Systems Commissioning],206)))</f>
        <v/>
      </c>
      <c r="BS207" s="5">
        <f>IF(A207="","",N(INDEX(Projects[Service Commissioning],206)))</f>
        <v/>
      </c>
      <c r="BT207" s="5">
        <f>IF(A207="","",N(INDEX(Projects[Controls Eng],206)))</f>
        <v/>
      </c>
      <c r="BU207" s="5">
        <f>IF(A207="","",N(INDEX(Projects[Controls Purchase],206)))</f>
        <v/>
      </c>
      <c r="BV207" s="5">
        <f>IF(A207="","",N(INDEX(Projects[Software Eng],206)))</f>
        <v/>
      </c>
      <c r="BW207" s="5">
        <f>IF(A207="","",N(INDEX(Projects[Misc],206)))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IF(A208="","",N(INDEX(Projects[Mech Inst],207)))</f>
        <v/>
      </c>
      <c r="BK208" s="5">
        <f>IF(A208="","",N(INDEX(Projects[Elec Inst],207)))</f>
        <v/>
      </c>
      <c r="BL208" s="5">
        <f>IF(A208="","",N(INDEX(Projects[Project Management],207)))</f>
        <v/>
      </c>
      <c r="BM208" s="5">
        <f>IF(A208="","",N(INDEX(Projects[Systems Eng],207)))</f>
        <v/>
      </c>
      <c r="BN208" s="5">
        <f>IF(A208="","",N(INDEX(Projects[Mechanical Eng],207)))</f>
        <v/>
      </c>
      <c r="BO208" s="5">
        <f>IF(A208="","",N(INDEX(Projects[Structural Engineering],207)))</f>
        <v/>
      </c>
      <c r="BP208" s="5">
        <f>IF(A208="","",N(INDEX(Projects[Site Sup],207)))</f>
        <v/>
      </c>
      <c r="BQ208" s="5">
        <f>IF(A208="","",N(INDEX(Projects[Controls Commissioning],207)))</f>
        <v/>
      </c>
      <c r="BR208" s="5">
        <f>IF(A208="","",N(INDEX(Projects[Systems Commissioning],207)))</f>
        <v/>
      </c>
      <c r="BS208" s="5">
        <f>IF(A208="","",N(INDEX(Projects[Service Commissioning],207)))</f>
        <v/>
      </c>
      <c r="BT208" s="5">
        <f>IF(A208="","",N(INDEX(Projects[Controls Eng],207)))</f>
        <v/>
      </c>
      <c r="BU208" s="5">
        <f>IF(A208="","",N(INDEX(Projects[Controls Purchase],207)))</f>
        <v/>
      </c>
      <c r="BV208" s="5">
        <f>IF(A208="","",N(INDEX(Projects[Software Eng],207)))</f>
        <v/>
      </c>
      <c r="BW208" s="5">
        <f>IF(A208="","",N(INDEX(Projects[Misc],207)))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IF(A209="","",N(INDEX(Projects[Mech Inst],208)))</f>
        <v/>
      </c>
      <c r="BK209" s="5">
        <f>IF(A209="","",N(INDEX(Projects[Elec Inst],208)))</f>
        <v/>
      </c>
      <c r="BL209" s="5">
        <f>IF(A209="","",N(INDEX(Projects[Project Management],208)))</f>
        <v/>
      </c>
      <c r="BM209" s="5">
        <f>IF(A209="","",N(INDEX(Projects[Systems Eng],208)))</f>
        <v/>
      </c>
      <c r="BN209" s="5">
        <f>IF(A209="","",N(INDEX(Projects[Mechanical Eng],208)))</f>
        <v/>
      </c>
      <c r="BO209" s="5">
        <f>IF(A209="","",N(INDEX(Projects[Structural Engineering],208)))</f>
        <v/>
      </c>
      <c r="BP209" s="5">
        <f>IF(A209="","",N(INDEX(Projects[Site Sup],208)))</f>
        <v/>
      </c>
      <c r="BQ209" s="5">
        <f>IF(A209="","",N(INDEX(Projects[Controls Commissioning],208)))</f>
        <v/>
      </c>
      <c r="BR209" s="5">
        <f>IF(A209="","",N(INDEX(Projects[Systems Commissioning],208)))</f>
        <v/>
      </c>
      <c r="BS209" s="5">
        <f>IF(A209="","",N(INDEX(Projects[Service Commissioning],208)))</f>
        <v/>
      </c>
      <c r="BT209" s="5">
        <f>IF(A209="","",N(INDEX(Projects[Controls Eng],208)))</f>
        <v/>
      </c>
      <c r="BU209" s="5">
        <f>IF(A209="","",N(INDEX(Projects[Controls Purchase],208)))</f>
        <v/>
      </c>
      <c r="BV209" s="5">
        <f>IF(A209="","",N(INDEX(Projects[Software Eng],208)))</f>
        <v/>
      </c>
      <c r="BW209" s="5">
        <f>IF(A209="","",N(INDEX(Projects[Misc],208)))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IF(A210="","",N(INDEX(Projects[Mech Inst],209)))</f>
        <v/>
      </c>
      <c r="BK210" s="5">
        <f>IF(A210="","",N(INDEX(Projects[Elec Inst],209)))</f>
        <v/>
      </c>
      <c r="BL210" s="5">
        <f>IF(A210="","",N(INDEX(Projects[Project Management],209)))</f>
        <v/>
      </c>
      <c r="BM210" s="5">
        <f>IF(A210="","",N(INDEX(Projects[Systems Eng],209)))</f>
        <v/>
      </c>
      <c r="BN210" s="5">
        <f>IF(A210="","",N(INDEX(Projects[Mechanical Eng],209)))</f>
        <v/>
      </c>
      <c r="BO210" s="5">
        <f>IF(A210="","",N(INDEX(Projects[Structural Engineering],209)))</f>
        <v/>
      </c>
      <c r="BP210" s="5">
        <f>IF(A210="","",N(INDEX(Projects[Site Sup],209)))</f>
        <v/>
      </c>
      <c r="BQ210" s="5">
        <f>IF(A210="","",N(INDEX(Projects[Controls Commissioning],209)))</f>
        <v/>
      </c>
      <c r="BR210" s="5">
        <f>IF(A210="","",N(INDEX(Projects[Systems Commissioning],209)))</f>
        <v/>
      </c>
      <c r="BS210" s="5">
        <f>IF(A210="","",N(INDEX(Projects[Service Commissioning],209)))</f>
        <v/>
      </c>
      <c r="BT210" s="5">
        <f>IF(A210="","",N(INDEX(Projects[Controls Eng],209)))</f>
        <v/>
      </c>
      <c r="BU210" s="5">
        <f>IF(A210="","",N(INDEX(Projects[Controls Purchase],209)))</f>
        <v/>
      </c>
      <c r="BV210" s="5">
        <f>IF(A210="","",N(INDEX(Projects[Software Eng],209)))</f>
        <v/>
      </c>
      <c r="BW210" s="5">
        <f>IF(A210="","",N(INDEX(Projects[Misc],209)))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IF(A211="","",N(INDEX(Projects[Mech Inst],210)))</f>
        <v/>
      </c>
      <c r="BK211" s="5">
        <f>IF(A211="","",N(INDEX(Projects[Elec Inst],210)))</f>
        <v/>
      </c>
      <c r="BL211" s="5">
        <f>IF(A211="","",N(INDEX(Projects[Project Management],210)))</f>
        <v/>
      </c>
      <c r="BM211" s="5">
        <f>IF(A211="","",N(INDEX(Projects[Systems Eng],210)))</f>
        <v/>
      </c>
      <c r="BN211" s="5">
        <f>IF(A211="","",N(INDEX(Projects[Mechanical Eng],210)))</f>
        <v/>
      </c>
      <c r="BO211" s="5">
        <f>IF(A211="","",N(INDEX(Projects[Structural Engineering],210)))</f>
        <v/>
      </c>
      <c r="BP211" s="5">
        <f>IF(A211="","",N(INDEX(Projects[Site Sup],210)))</f>
        <v/>
      </c>
      <c r="BQ211" s="5">
        <f>IF(A211="","",N(INDEX(Projects[Controls Commissioning],210)))</f>
        <v/>
      </c>
      <c r="BR211" s="5">
        <f>IF(A211="","",N(INDEX(Projects[Systems Commissioning],210)))</f>
        <v/>
      </c>
      <c r="BS211" s="5">
        <f>IF(A211="","",N(INDEX(Projects[Service Commissioning],210)))</f>
        <v/>
      </c>
      <c r="BT211" s="5">
        <f>IF(A211="","",N(INDEX(Projects[Controls Eng],210)))</f>
        <v/>
      </c>
      <c r="BU211" s="5">
        <f>IF(A211="","",N(INDEX(Projects[Controls Purchase],210)))</f>
        <v/>
      </c>
      <c r="BV211" s="5">
        <f>IF(A211="","",N(INDEX(Projects[Software Eng],210)))</f>
        <v/>
      </c>
      <c r="BW211" s="5">
        <f>IF(A211="","",N(INDEX(Projects[Misc],210)))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IF(A212="","",N(INDEX(Projects[Mech Inst],211)))</f>
        <v/>
      </c>
      <c r="BK212" s="5">
        <f>IF(A212="","",N(INDEX(Projects[Elec Inst],211)))</f>
        <v/>
      </c>
      <c r="BL212" s="5">
        <f>IF(A212="","",N(INDEX(Projects[Project Management],211)))</f>
        <v/>
      </c>
      <c r="BM212" s="5">
        <f>IF(A212="","",N(INDEX(Projects[Systems Eng],211)))</f>
        <v/>
      </c>
      <c r="BN212" s="5">
        <f>IF(A212="","",N(INDEX(Projects[Mechanical Eng],211)))</f>
        <v/>
      </c>
      <c r="BO212" s="5">
        <f>IF(A212="","",N(INDEX(Projects[Structural Engineering],211)))</f>
        <v/>
      </c>
      <c r="BP212" s="5">
        <f>IF(A212="","",N(INDEX(Projects[Site Sup],211)))</f>
        <v/>
      </c>
      <c r="BQ212" s="5">
        <f>IF(A212="","",N(INDEX(Projects[Controls Commissioning],211)))</f>
        <v/>
      </c>
      <c r="BR212" s="5">
        <f>IF(A212="","",N(INDEX(Projects[Systems Commissioning],211)))</f>
        <v/>
      </c>
      <c r="BS212" s="5">
        <f>IF(A212="","",N(INDEX(Projects[Service Commissioning],211)))</f>
        <v/>
      </c>
      <c r="BT212" s="5">
        <f>IF(A212="","",N(INDEX(Projects[Controls Eng],211)))</f>
        <v/>
      </c>
      <c r="BU212" s="5">
        <f>IF(A212="","",N(INDEX(Projects[Controls Purchase],211)))</f>
        <v/>
      </c>
      <c r="BV212" s="5">
        <f>IF(A212="","",N(INDEX(Projects[Software Eng],211)))</f>
        <v/>
      </c>
      <c r="BW212" s="5">
        <f>IF(A212="","",N(INDEX(Projects[Misc],211)))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IF(A213="","",N(INDEX(Projects[Mech Inst],212)))</f>
        <v/>
      </c>
      <c r="BK213" s="5">
        <f>IF(A213="","",N(INDEX(Projects[Elec Inst],212)))</f>
        <v/>
      </c>
      <c r="BL213" s="5">
        <f>IF(A213="","",N(INDEX(Projects[Project Management],212)))</f>
        <v/>
      </c>
      <c r="BM213" s="5">
        <f>IF(A213="","",N(INDEX(Projects[Systems Eng],212)))</f>
        <v/>
      </c>
      <c r="BN213" s="5">
        <f>IF(A213="","",N(INDEX(Projects[Mechanical Eng],212)))</f>
        <v/>
      </c>
      <c r="BO213" s="5">
        <f>IF(A213="","",N(INDEX(Projects[Structural Engineering],212)))</f>
        <v/>
      </c>
      <c r="BP213" s="5">
        <f>IF(A213="","",N(INDEX(Projects[Site Sup],212)))</f>
        <v/>
      </c>
      <c r="BQ213" s="5">
        <f>IF(A213="","",N(INDEX(Projects[Controls Commissioning],212)))</f>
        <v/>
      </c>
      <c r="BR213" s="5">
        <f>IF(A213="","",N(INDEX(Projects[Systems Commissioning],212)))</f>
        <v/>
      </c>
      <c r="BS213" s="5">
        <f>IF(A213="","",N(INDEX(Projects[Service Commissioning],212)))</f>
        <v/>
      </c>
      <c r="BT213" s="5">
        <f>IF(A213="","",N(INDEX(Projects[Controls Eng],212)))</f>
        <v/>
      </c>
      <c r="BU213" s="5">
        <f>IF(A213="","",N(INDEX(Projects[Controls Purchase],212)))</f>
        <v/>
      </c>
      <c r="BV213" s="5">
        <f>IF(A213="","",N(INDEX(Projects[Software Eng],212)))</f>
        <v/>
      </c>
      <c r="BW213" s="5">
        <f>IF(A213="","",N(INDEX(Projects[Misc],212)))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IF(A214="","",N(INDEX(Projects[Mech Inst],213)))</f>
        <v/>
      </c>
      <c r="BK214" s="5">
        <f>IF(A214="","",N(INDEX(Projects[Elec Inst],213)))</f>
        <v/>
      </c>
      <c r="BL214" s="5">
        <f>IF(A214="","",N(INDEX(Projects[Project Management],213)))</f>
        <v/>
      </c>
      <c r="BM214" s="5">
        <f>IF(A214="","",N(INDEX(Projects[Systems Eng],213)))</f>
        <v/>
      </c>
      <c r="BN214" s="5">
        <f>IF(A214="","",N(INDEX(Projects[Mechanical Eng],213)))</f>
        <v/>
      </c>
      <c r="BO214" s="5">
        <f>IF(A214="","",N(INDEX(Projects[Structural Engineering],213)))</f>
        <v/>
      </c>
      <c r="BP214" s="5">
        <f>IF(A214="","",N(INDEX(Projects[Site Sup],213)))</f>
        <v/>
      </c>
      <c r="BQ214" s="5">
        <f>IF(A214="","",N(INDEX(Projects[Controls Commissioning],213)))</f>
        <v/>
      </c>
      <c r="BR214" s="5">
        <f>IF(A214="","",N(INDEX(Projects[Systems Commissioning],213)))</f>
        <v/>
      </c>
      <c r="BS214" s="5">
        <f>IF(A214="","",N(INDEX(Projects[Service Commissioning],213)))</f>
        <v/>
      </c>
      <c r="BT214" s="5">
        <f>IF(A214="","",N(INDEX(Projects[Controls Eng],213)))</f>
        <v/>
      </c>
      <c r="BU214" s="5">
        <f>IF(A214="","",N(INDEX(Projects[Controls Purchase],213)))</f>
        <v/>
      </c>
      <c r="BV214" s="5">
        <f>IF(A214="","",N(INDEX(Projects[Software Eng],213)))</f>
        <v/>
      </c>
      <c r="BW214" s="5">
        <f>IF(A214="","",N(INDEX(Projects[Misc],213)))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IF(A215="","",N(INDEX(Projects[Mech Inst],214)))</f>
        <v/>
      </c>
      <c r="BK215" s="5">
        <f>IF(A215="","",N(INDEX(Projects[Elec Inst],214)))</f>
        <v/>
      </c>
      <c r="BL215" s="5">
        <f>IF(A215="","",N(INDEX(Projects[Project Management],214)))</f>
        <v/>
      </c>
      <c r="BM215" s="5">
        <f>IF(A215="","",N(INDEX(Projects[Systems Eng],214)))</f>
        <v/>
      </c>
      <c r="BN215" s="5">
        <f>IF(A215="","",N(INDEX(Projects[Mechanical Eng],214)))</f>
        <v/>
      </c>
      <c r="BO215" s="5">
        <f>IF(A215="","",N(INDEX(Projects[Structural Engineering],214)))</f>
        <v/>
      </c>
      <c r="BP215" s="5">
        <f>IF(A215="","",N(INDEX(Projects[Site Sup],214)))</f>
        <v/>
      </c>
      <c r="BQ215" s="5">
        <f>IF(A215="","",N(INDEX(Projects[Controls Commissioning],214)))</f>
        <v/>
      </c>
      <c r="BR215" s="5">
        <f>IF(A215="","",N(INDEX(Projects[Systems Commissioning],214)))</f>
        <v/>
      </c>
      <c r="BS215" s="5">
        <f>IF(A215="","",N(INDEX(Projects[Service Commissioning],214)))</f>
        <v/>
      </c>
      <c r="BT215" s="5">
        <f>IF(A215="","",N(INDEX(Projects[Controls Eng],214)))</f>
        <v/>
      </c>
      <c r="BU215" s="5">
        <f>IF(A215="","",N(INDEX(Projects[Controls Purchase],214)))</f>
        <v/>
      </c>
      <c r="BV215" s="5">
        <f>IF(A215="","",N(INDEX(Projects[Software Eng],214)))</f>
        <v/>
      </c>
      <c r="BW215" s="5">
        <f>IF(A215="","",N(INDEX(Projects[Misc],214)))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IF(A216="","",N(INDEX(Projects[Mech Inst],215)))</f>
        <v/>
      </c>
      <c r="BK216" s="5">
        <f>IF(A216="","",N(INDEX(Projects[Elec Inst],215)))</f>
        <v/>
      </c>
      <c r="BL216" s="5">
        <f>IF(A216="","",N(INDEX(Projects[Project Management],215)))</f>
        <v/>
      </c>
      <c r="BM216" s="5">
        <f>IF(A216="","",N(INDEX(Projects[Systems Eng],215)))</f>
        <v/>
      </c>
      <c r="BN216" s="5">
        <f>IF(A216="","",N(INDEX(Projects[Mechanical Eng],215)))</f>
        <v/>
      </c>
      <c r="BO216" s="5">
        <f>IF(A216="","",N(INDEX(Projects[Structural Engineering],215)))</f>
        <v/>
      </c>
      <c r="BP216" s="5">
        <f>IF(A216="","",N(INDEX(Projects[Site Sup],215)))</f>
        <v/>
      </c>
      <c r="BQ216" s="5">
        <f>IF(A216="","",N(INDEX(Projects[Controls Commissioning],215)))</f>
        <v/>
      </c>
      <c r="BR216" s="5">
        <f>IF(A216="","",N(INDEX(Projects[Systems Commissioning],215)))</f>
        <v/>
      </c>
      <c r="BS216" s="5">
        <f>IF(A216="","",N(INDEX(Projects[Service Commissioning],215)))</f>
        <v/>
      </c>
      <c r="BT216" s="5">
        <f>IF(A216="","",N(INDEX(Projects[Controls Eng],215)))</f>
        <v/>
      </c>
      <c r="BU216" s="5">
        <f>IF(A216="","",N(INDEX(Projects[Controls Purchase],215)))</f>
        <v/>
      </c>
      <c r="BV216" s="5">
        <f>IF(A216="","",N(INDEX(Projects[Software Eng],215)))</f>
        <v/>
      </c>
      <c r="BW216" s="5">
        <f>IF(A216="","",N(INDEX(Projects[Misc],215)))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IF(A217="","",N(INDEX(Projects[Mech Inst],216)))</f>
        <v/>
      </c>
      <c r="BK217" s="5">
        <f>IF(A217="","",N(INDEX(Projects[Elec Inst],216)))</f>
        <v/>
      </c>
      <c r="BL217" s="5">
        <f>IF(A217="","",N(INDEX(Projects[Project Management],216)))</f>
        <v/>
      </c>
      <c r="BM217" s="5">
        <f>IF(A217="","",N(INDEX(Projects[Systems Eng],216)))</f>
        <v/>
      </c>
      <c r="BN217" s="5">
        <f>IF(A217="","",N(INDEX(Projects[Mechanical Eng],216)))</f>
        <v/>
      </c>
      <c r="BO217" s="5">
        <f>IF(A217="","",N(INDEX(Projects[Structural Engineering],216)))</f>
        <v/>
      </c>
      <c r="BP217" s="5">
        <f>IF(A217="","",N(INDEX(Projects[Site Sup],216)))</f>
        <v/>
      </c>
      <c r="BQ217" s="5">
        <f>IF(A217="","",N(INDEX(Projects[Controls Commissioning],216)))</f>
        <v/>
      </c>
      <c r="BR217" s="5">
        <f>IF(A217="","",N(INDEX(Projects[Systems Commissioning],216)))</f>
        <v/>
      </c>
      <c r="BS217" s="5">
        <f>IF(A217="","",N(INDEX(Projects[Service Commissioning],216)))</f>
        <v/>
      </c>
      <c r="BT217" s="5">
        <f>IF(A217="","",N(INDEX(Projects[Controls Eng],216)))</f>
        <v/>
      </c>
      <c r="BU217" s="5">
        <f>IF(A217="","",N(INDEX(Projects[Controls Purchase],216)))</f>
        <v/>
      </c>
      <c r="BV217" s="5">
        <f>IF(A217="","",N(INDEX(Projects[Software Eng],216)))</f>
        <v/>
      </c>
      <c r="BW217" s="5">
        <f>IF(A217="","",N(INDEX(Projects[Misc],216)))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IF(A218="","",N(INDEX(Projects[Mech Inst],217)))</f>
        <v/>
      </c>
      <c r="BK218" s="5">
        <f>IF(A218="","",N(INDEX(Projects[Elec Inst],217)))</f>
        <v/>
      </c>
      <c r="BL218" s="5">
        <f>IF(A218="","",N(INDEX(Projects[Project Management],217)))</f>
        <v/>
      </c>
      <c r="BM218" s="5">
        <f>IF(A218="","",N(INDEX(Projects[Systems Eng],217)))</f>
        <v/>
      </c>
      <c r="BN218" s="5">
        <f>IF(A218="","",N(INDEX(Projects[Mechanical Eng],217)))</f>
        <v/>
      </c>
      <c r="BO218" s="5">
        <f>IF(A218="","",N(INDEX(Projects[Structural Engineering],217)))</f>
        <v/>
      </c>
      <c r="BP218" s="5">
        <f>IF(A218="","",N(INDEX(Projects[Site Sup],217)))</f>
        <v/>
      </c>
      <c r="BQ218" s="5">
        <f>IF(A218="","",N(INDEX(Projects[Controls Commissioning],217)))</f>
        <v/>
      </c>
      <c r="BR218" s="5">
        <f>IF(A218="","",N(INDEX(Projects[Systems Commissioning],217)))</f>
        <v/>
      </c>
      <c r="BS218" s="5">
        <f>IF(A218="","",N(INDEX(Projects[Service Commissioning],217)))</f>
        <v/>
      </c>
      <c r="BT218" s="5">
        <f>IF(A218="","",N(INDEX(Projects[Controls Eng],217)))</f>
        <v/>
      </c>
      <c r="BU218" s="5">
        <f>IF(A218="","",N(INDEX(Projects[Controls Purchase],217)))</f>
        <v/>
      </c>
      <c r="BV218" s="5">
        <f>IF(A218="","",N(INDEX(Projects[Software Eng],217)))</f>
        <v/>
      </c>
      <c r="BW218" s="5">
        <f>IF(A218="","",N(INDEX(Projects[Misc],217)))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IF(A219="","",N(INDEX(Projects[Mech Inst],218)))</f>
        <v/>
      </c>
      <c r="BK219" s="5">
        <f>IF(A219="","",N(INDEX(Projects[Elec Inst],218)))</f>
        <v/>
      </c>
      <c r="BL219" s="5">
        <f>IF(A219="","",N(INDEX(Projects[Project Management],218)))</f>
        <v/>
      </c>
      <c r="BM219" s="5">
        <f>IF(A219="","",N(INDEX(Projects[Systems Eng],218)))</f>
        <v/>
      </c>
      <c r="BN219" s="5">
        <f>IF(A219="","",N(INDEX(Projects[Mechanical Eng],218)))</f>
        <v/>
      </c>
      <c r="BO219" s="5">
        <f>IF(A219="","",N(INDEX(Projects[Structural Engineering],218)))</f>
        <v/>
      </c>
      <c r="BP219" s="5">
        <f>IF(A219="","",N(INDEX(Projects[Site Sup],218)))</f>
        <v/>
      </c>
      <c r="BQ219" s="5">
        <f>IF(A219="","",N(INDEX(Projects[Controls Commissioning],218)))</f>
        <v/>
      </c>
      <c r="BR219" s="5">
        <f>IF(A219="","",N(INDEX(Projects[Systems Commissioning],218)))</f>
        <v/>
      </c>
      <c r="BS219" s="5">
        <f>IF(A219="","",N(INDEX(Projects[Service Commissioning],218)))</f>
        <v/>
      </c>
      <c r="BT219" s="5">
        <f>IF(A219="","",N(INDEX(Projects[Controls Eng],218)))</f>
        <v/>
      </c>
      <c r="BU219" s="5">
        <f>IF(A219="","",N(INDEX(Projects[Controls Purchase],218)))</f>
        <v/>
      </c>
      <c r="BV219" s="5">
        <f>IF(A219="","",N(INDEX(Projects[Software Eng],218)))</f>
        <v/>
      </c>
      <c r="BW219" s="5">
        <f>IF(A219="","",N(INDEX(Projects[Misc],218)))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IF(A220="","",N(INDEX(Projects[Mech Inst],219)))</f>
        <v/>
      </c>
      <c r="BK220" s="5">
        <f>IF(A220="","",N(INDEX(Projects[Elec Inst],219)))</f>
        <v/>
      </c>
      <c r="BL220" s="5">
        <f>IF(A220="","",N(INDEX(Projects[Project Management],219)))</f>
        <v/>
      </c>
      <c r="BM220" s="5">
        <f>IF(A220="","",N(INDEX(Projects[Systems Eng],219)))</f>
        <v/>
      </c>
      <c r="BN220" s="5">
        <f>IF(A220="","",N(INDEX(Projects[Mechanical Eng],219)))</f>
        <v/>
      </c>
      <c r="BO220" s="5">
        <f>IF(A220="","",N(INDEX(Projects[Structural Engineering],219)))</f>
        <v/>
      </c>
      <c r="BP220" s="5">
        <f>IF(A220="","",N(INDEX(Projects[Site Sup],219)))</f>
        <v/>
      </c>
      <c r="BQ220" s="5">
        <f>IF(A220="","",N(INDEX(Projects[Controls Commissioning],219)))</f>
        <v/>
      </c>
      <c r="BR220" s="5">
        <f>IF(A220="","",N(INDEX(Projects[Systems Commissioning],219)))</f>
        <v/>
      </c>
      <c r="BS220" s="5">
        <f>IF(A220="","",N(INDEX(Projects[Service Commissioning],219)))</f>
        <v/>
      </c>
      <c r="BT220" s="5">
        <f>IF(A220="","",N(INDEX(Projects[Controls Eng],219)))</f>
        <v/>
      </c>
      <c r="BU220" s="5">
        <f>IF(A220="","",N(INDEX(Projects[Controls Purchase],219)))</f>
        <v/>
      </c>
      <c r="BV220" s="5">
        <f>IF(A220="","",N(INDEX(Projects[Software Eng],219)))</f>
        <v/>
      </c>
      <c r="BW220" s="5">
        <f>IF(A220="","",N(INDEX(Projects[Misc],219)))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IF(A221="","",N(INDEX(Projects[Mech Inst],220)))</f>
        <v/>
      </c>
      <c r="BK221" s="5">
        <f>IF(A221="","",N(INDEX(Projects[Elec Inst],220)))</f>
        <v/>
      </c>
      <c r="BL221" s="5">
        <f>IF(A221="","",N(INDEX(Projects[Project Management],220)))</f>
        <v/>
      </c>
      <c r="BM221" s="5">
        <f>IF(A221="","",N(INDEX(Projects[Systems Eng],220)))</f>
        <v/>
      </c>
      <c r="BN221" s="5">
        <f>IF(A221="","",N(INDEX(Projects[Mechanical Eng],220)))</f>
        <v/>
      </c>
      <c r="BO221" s="5">
        <f>IF(A221="","",N(INDEX(Projects[Structural Engineering],220)))</f>
        <v/>
      </c>
      <c r="BP221" s="5">
        <f>IF(A221="","",N(INDEX(Projects[Site Sup],220)))</f>
        <v/>
      </c>
      <c r="BQ221" s="5">
        <f>IF(A221="","",N(INDEX(Projects[Controls Commissioning],220)))</f>
        <v/>
      </c>
      <c r="BR221" s="5">
        <f>IF(A221="","",N(INDEX(Projects[Systems Commissioning],220)))</f>
        <v/>
      </c>
      <c r="BS221" s="5">
        <f>IF(A221="","",N(INDEX(Projects[Service Commissioning],220)))</f>
        <v/>
      </c>
      <c r="BT221" s="5">
        <f>IF(A221="","",N(INDEX(Projects[Controls Eng],220)))</f>
        <v/>
      </c>
      <c r="BU221" s="5">
        <f>IF(A221="","",N(INDEX(Projects[Controls Purchase],220)))</f>
        <v/>
      </c>
      <c r="BV221" s="5">
        <f>IF(A221="","",N(INDEX(Projects[Software Eng],220)))</f>
        <v/>
      </c>
      <c r="BW221" s="5">
        <f>IF(A221="","",N(INDEX(Projects[Misc],220)))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IF(A222="","",N(INDEX(Projects[Mech Inst],221)))</f>
        <v/>
      </c>
      <c r="BK222" s="5">
        <f>IF(A222="","",N(INDEX(Projects[Elec Inst],221)))</f>
        <v/>
      </c>
      <c r="BL222" s="5">
        <f>IF(A222="","",N(INDEX(Projects[Project Management],221)))</f>
        <v/>
      </c>
      <c r="BM222" s="5">
        <f>IF(A222="","",N(INDEX(Projects[Systems Eng],221)))</f>
        <v/>
      </c>
      <c r="BN222" s="5">
        <f>IF(A222="","",N(INDEX(Projects[Mechanical Eng],221)))</f>
        <v/>
      </c>
      <c r="BO222" s="5">
        <f>IF(A222="","",N(INDEX(Projects[Structural Engineering],221)))</f>
        <v/>
      </c>
      <c r="BP222" s="5">
        <f>IF(A222="","",N(INDEX(Projects[Site Sup],221)))</f>
        <v/>
      </c>
      <c r="BQ222" s="5">
        <f>IF(A222="","",N(INDEX(Projects[Controls Commissioning],221)))</f>
        <v/>
      </c>
      <c r="BR222" s="5">
        <f>IF(A222="","",N(INDEX(Projects[Systems Commissioning],221)))</f>
        <v/>
      </c>
      <c r="BS222" s="5">
        <f>IF(A222="","",N(INDEX(Projects[Service Commissioning],221)))</f>
        <v/>
      </c>
      <c r="BT222" s="5">
        <f>IF(A222="","",N(INDEX(Projects[Controls Eng],221)))</f>
        <v/>
      </c>
      <c r="BU222" s="5">
        <f>IF(A222="","",N(INDEX(Projects[Controls Purchase],221)))</f>
        <v/>
      </c>
      <c r="BV222" s="5">
        <f>IF(A222="","",N(INDEX(Projects[Software Eng],221)))</f>
        <v/>
      </c>
      <c r="BW222" s="5">
        <f>IF(A222="","",N(INDEX(Projects[Misc],221)))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IF(A223="","",N(INDEX(Projects[Mech Inst],222)))</f>
        <v/>
      </c>
      <c r="BK223" s="5">
        <f>IF(A223="","",N(INDEX(Projects[Elec Inst],222)))</f>
        <v/>
      </c>
      <c r="BL223" s="5">
        <f>IF(A223="","",N(INDEX(Projects[Project Management],222)))</f>
        <v/>
      </c>
      <c r="BM223" s="5">
        <f>IF(A223="","",N(INDEX(Projects[Systems Eng],222)))</f>
        <v/>
      </c>
      <c r="BN223" s="5">
        <f>IF(A223="","",N(INDEX(Projects[Mechanical Eng],222)))</f>
        <v/>
      </c>
      <c r="BO223" s="5">
        <f>IF(A223="","",N(INDEX(Projects[Structural Engineering],222)))</f>
        <v/>
      </c>
      <c r="BP223" s="5">
        <f>IF(A223="","",N(INDEX(Projects[Site Sup],222)))</f>
        <v/>
      </c>
      <c r="BQ223" s="5">
        <f>IF(A223="","",N(INDEX(Projects[Controls Commissioning],222)))</f>
        <v/>
      </c>
      <c r="BR223" s="5">
        <f>IF(A223="","",N(INDEX(Projects[Systems Commissioning],222)))</f>
        <v/>
      </c>
      <c r="BS223" s="5">
        <f>IF(A223="","",N(INDEX(Projects[Service Commissioning],222)))</f>
        <v/>
      </c>
      <c r="BT223" s="5">
        <f>IF(A223="","",N(INDEX(Projects[Controls Eng],222)))</f>
        <v/>
      </c>
      <c r="BU223" s="5">
        <f>IF(A223="","",N(INDEX(Projects[Controls Purchase],222)))</f>
        <v/>
      </c>
      <c r="BV223" s="5">
        <f>IF(A223="","",N(INDEX(Projects[Software Eng],222)))</f>
        <v/>
      </c>
      <c r="BW223" s="5">
        <f>IF(A223="","",N(INDEX(Projects[Misc],222)))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IF(A224="","",N(INDEX(Projects[Mech Inst],223)))</f>
        <v/>
      </c>
      <c r="BK224" s="5">
        <f>IF(A224="","",N(INDEX(Projects[Elec Inst],223)))</f>
        <v/>
      </c>
      <c r="BL224" s="5">
        <f>IF(A224="","",N(INDEX(Projects[Project Management],223)))</f>
        <v/>
      </c>
      <c r="BM224" s="5">
        <f>IF(A224="","",N(INDEX(Projects[Systems Eng],223)))</f>
        <v/>
      </c>
      <c r="BN224" s="5">
        <f>IF(A224="","",N(INDEX(Projects[Mechanical Eng],223)))</f>
        <v/>
      </c>
      <c r="BO224" s="5">
        <f>IF(A224="","",N(INDEX(Projects[Structural Engineering],223)))</f>
        <v/>
      </c>
      <c r="BP224" s="5">
        <f>IF(A224="","",N(INDEX(Projects[Site Sup],223)))</f>
        <v/>
      </c>
      <c r="BQ224" s="5">
        <f>IF(A224="","",N(INDEX(Projects[Controls Commissioning],223)))</f>
        <v/>
      </c>
      <c r="BR224" s="5">
        <f>IF(A224="","",N(INDEX(Projects[Systems Commissioning],223)))</f>
        <v/>
      </c>
      <c r="BS224" s="5">
        <f>IF(A224="","",N(INDEX(Projects[Service Commissioning],223)))</f>
        <v/>
      </c>
      <c r="BT224" s="5">
        <f>IF(A224="","",N(INDEX(Projects[Controls Eng],223)))</f>
        <v/>
      </c>
      <c r="BU224" s="5">
        <f>IF(A224="","",N(INDEX(Projects[Controls Purchase],223)))</f>
        <v/>
      </c>
      <c r="BV224" s="5">
        <f>IF(A224="","",N(INDEX(Projects[Software Eng],223)))</f>
        <v/>
      </c>
      <c r="BW224" s="5">
        <f>IF(A224="","",N(INDEX(Projects[Misc],223)))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IF(A225="","",N(INDEX(Projects[Mech Inst],224)))</f>
        <v/>
      </c>
      <c r="BK225" s="5">
        <f>IF(A225="","",N(INDEX(Projects[Elec Inst],224)))</f>
        <v/>
      </c>
      <c r="BL225" s="5">
        <f>IF(A225="","",N(INDEX(Projects[Project Management],224)))</f>
        <v/>
      </c>
      <c r="BM225" s="5">
        <f>IF(A225="","",N(INDEX(Projects[Systems Eng],224)))</f>
        <v/>
      </c>
      <c r="BN225" s="5">
        <f>IF(A225="","",N(INDEX(Projects[Mechanical Eng],224)))</f>
        <v/>
      </c>
      <c r="BO225" s="5">
        <f>IF(A225="","",N(INDEX(Projects[Structural Engineering],224)))</f>
        <v/>
      </c>
      <c r="BP225" s="5">
        <f>IF(A225="","",N(INDEX(Projects[Site Sup],224)))</f>
        <v/>
      </c>
      <c r="BQ225" s="5">
        <f>IF(A225="","",N(INDEX(Projects[Controls Commissioning],224)))</f>
        <v/>
      </c>
      <c r="BR225" s="5">
        <f>IF(A225="","",N(INDEX(Projects[Systems Commissioning],224)))</f>
        <v/>
      </c>
      <c r="BS225" s="5">
        <f>IF(A225="","",N(INDEX(Projects[Service Commissioning],224)))</f>
        <v/>
      </c>
      <c r="BT225" s="5">
        <f>IF(A225="","",N(INDEX(Projects[Controls Eng],224)))</f>
        <v/>
      </c>
      <c r="BU225" s="5">
        <f>IF(A225="","",N(INDEX(Projects[Controls Purchase],224)))</f>
        <v/>
      </c>
      <c r="BV225" s="5">
        <f>IF(A225="","",N(INDEX(Projects[Software Eng],224)))</f>
        <v/>
      </c>
      <c r="BW225" s="5">
        <f>IF(A225="","",N(INDEX(Projects[Misc],224)))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IF(A226="","",N(INDEX(Projects[Mech Inst],225)))</f>
        <v/>
      </c>
      <c r="BK226" s="5">
        <f>IF(A226="","",N(INDEX(Projects[Elec Inst],225)))</f>
        <v/>
      </c>
      <c r="BL226" s="5">
        <f>IF(A226="","",N(INDEX(Projects[Project Management],225)))</f>
        <v/>
      </c>
      <c r="BM226" s="5">
        <f>IF(A226="","",N(INDEX(Projects[Systems Eng],225)))</f>
        <v/>
      </c>
      <c r="BN226" s="5">
        <f>IF(A226="","",N(INDEX(Projects[Mechanical Eng],225)))</f>
        <v/>
      </c>
      <c r="BO226" s="5">
        <f>IF(A226="","",N(INDEX(Projects[Structural Engineering],225)))</f>
        <v/>
      </c>
      <c r="BP226" s="5">
        <f>IF(A226="","",N(INDEX(Projects[Site Sup],225)))</f>
        <v/>
      </c>
      <c r="BQ226" s="5">
        <f>IF(A226="","",N(INDEX(Projects[Controls Commissioning],225)))</f>
        <v/>
      </c>
      <c r="BR226" s="5">
        <f>IF(A226="","",N(INDEX(Projects[Systems Commissioning],225)))</f>
        <v/>
      </c>
      <c r="BS226" s="5">
        <f>IF(A226="","",N(INDEX(Projects[Service Commissioning],225)))</f>
        <v/>
      </c>
      <c r="BT226" s="5">
        <f>IF(A226="","",N(INDEX(Projects[Controls Eng],225)))</f>
        <v/>
      </c>
      <c r="BU226" s="5">
        <f>IF(A226="","",N(INDEX(Projects[Controls Purchase],225)))</f>
        <v/>
      </c>
      <c r="BV226" s="5">
        <f>IF(A226="","",N(INDEX(Projects[Software Eng],225)))</f>
        <v/>
      </c>
      <c r="BW226" s="5">
        <f>IF(A226="","",N(INDEX(Projects[Misc],225)))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IF(A227="","",N(INDEX(Projects[Mech Inst],226)))</f>
        <v/>
      </c>
      <c r="BK227" s="5">
        <f>IF(A227="","",N(INDEX(Projects[Elec Inst],226)))</f>
        <v/>
      </c>
      <c r="BL227" s="5">
        <f>IF(A227="","",N(INDEX(Projects[Project Management],226)))</f>
        <v/>
      </c>
      <c r="BM227" s="5">
        <f>IF(A227="","",N(INDEX(Projects[Systems Eng],226)))</f>
        <v/>
      </c>
      <c r="BN227" s="5">
        <f>IF(A227="","",N(INDEX(Projects[Mechanical Eng],226)))</f>
        <v/>
      </c>
      <c r="BO227" s="5">
        <f>IF(A227="","",N(INDEX(Projects[Structural Engineering],226)))</f>
        <v/>
      </c>
      <c r="BP227" s="5">
        <f>IF(A227="","",N(INDEX(Projects[Site Sup],226)))</f>
        <v/>
      </c>
      <c r="BQ227" s="5">
        <f>IF(A227="","",N(INDEX(Projects[Controls Commissioning],226)))</f>
        <v/>
      </c>
      <c r="BR227" s="5">
        <f>IF(A227="","",N(INDEX(Projects[Systems Commissioning],226)))</f>
        <v/>
      </c>
      <c r="BS227" s="5">
        <f>IF(A227="","",N(INDEX(Projects[Service Commissioning],226)))</f>
        <v/>
      </c>
      <c r="BT227" s="5">
        <f>IF(A227="","",N(INDEX(Projects[Controls Eng],226)))</f>
        <v/>
      </c>
      <c r="BU227" s="5">
        <f>IF(A227="","",N(INDEX(Projects[Controls Purchase],226)))</f>
        <v/>
      </c>
      <c r="BV227" s="5">
        <f>IF(A227="","",N(INDEX(Projects[Software Eng],226)))</f>
        <v/>
      </c>
      <c r="BW227" s="5">
        <f>IF(A227="","",N(INDEX(Projects[Misc],226)))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IF(A228="","",N(INDEX(Projects[Mech Inst],227)))</f>
        <v/>
      </c>
      <c r="BK228" s="5">
        <f>IF(A228="","",N(INDEX(Projects[Elec Inst],227)))</f>
        <v/>
      </c>
      <c r="BL228" s="5">
        <f>IF(A228="","",N(INDEX(Projects[Project Management],227)))</f>
        <v/>
      </c>
      <c r="BM228" s="5">
        <f>IF(A228="","",N(INDEX(Projects[Systems Eng],227)))</f>
        <v/>
      </c>
      <c r="BN228" s="5">
        <f>IF(A228="","",N(INDEX(Projects[Mechanical Eng],227)))</f>
        <v/>
      </c>
      <c r="BO228" s="5">
        <f>IF(A228="","",N(INDEX(Projects[Structural Engineering],227)))</f>
        <v/>
      </c>
      <c r="BP228" s="5">
        <f>IF(A228="","",N(INDEX(Projects[Site Sup],227)))</f>
        <v/>
      </c>
      <c r="BQ228" s="5">
        <f>IF(A228="","",N(INDEX(Projects[Controls Commissioning],227)))</f>
        <v/>
      </c>
      <c r="BR228" s="5">
        <f>IF(A228="","",N(INDEX(Projects[Systems Commissioning],227)))</f>
        <v/>
      </c>
      <c r="BS228" s="5">
        <f>IF(A228="","",N(INDEX(Projects[Service Commissioning],227)))</f>
        <v/>
      </c>
      <c r="BT228" s="5">
        <f>IF(A228="","",N(INDEX(Projects[Controls Eng],227)))</f>
        <v/>
      </c>
      <c r="BU228" s="5">
        <f>IF(A228="","",N(INDEX(Projects[Controls Purchase],227)))</f>
        <v/>
      </c>
      <c r="BV228" s="5">
        <f>IF(A228="","",N(INDEX(Projects[Software Eng],227)))</f>
        <v/>
      </c>
      <c r="BW228" s="5">
        <f>IF(A228="","",N(INDEX(Projects[Misc],227)))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IF(A229="","",N(INDEX(Projects[Mech Inst],228)))</f>
        <v/>
      </c>
      <c r="BK229" s="5">
        <f>IF(A229="","",N(INDEX(Projects[Elec Inst],228)))</f>
        <v/>
      </c>
      <c r="BL229" s="5">
        <f>IF(A229="","",N(INDEX(Projects[Project Management],228)))</f>
        <v/>
      </c>
      <c r="BM229" s="5">
        <f>IF(A229="","",N(INDEX(Projects[Systems Eng],228)))</f>
        <v/>
      </c>
      <c r="BN229" s="5">
        <f>IF(A229="","",N(INDEX(Projects[Mechanical Eng],228)))</f>
        <v/>
      </c>
      <c r="BO229" s="5">
        <f>IF(A229="","",N(INDEX(Projects[Structural Engineering],228)))</f>
        <v/>
      </c>
      <c r="BP229" s="5">
        <f>IF(A229="","",N(INDEX(Projects[Site Sup],228)))</f>
        <v/>
      </c>
      <c r="BQ229" s="5">
        <f>IF(A229="","",N(INDEX(Projects[Controls Commissioning],228)))</f>
        <v/>
      </c>
      <c r="BR229" s="5">
        <f>IF(A229="","",N(INDEX(Projects[Systems Commissioning],228)))</f>
        <v/>
      </c>
      <c r="BS229" s="5">
        <f>IF(A229="","",N(INDEX(Projects[Service Commissioning],228)))</f>
        <v/>
      </c>
      <c r="BT229" s="5">
        <f>IF(A229="","",N(INDEX(Projects[Controls Eng],228)))</f>
        <v/>
      </c>
      <c r="BU229" s="5">
        <f>IF(A229="","",N(INDEX(Projects[Controls Purchase],228)))</f>
        <v/>
      </c>
      <c r="BV229" s="5">
        <f>IF(A229="","",N(INDEX(Projects[Software Eng],228)))</f>
        <v/>
      </c>
      <c r="BW229" s="5">
        <f>IF(A229="","",N(INDEX(Projects[Misc],228)))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IF(A230="","",N(INDEX(Projects[Mech Inst],229)))</f>
        <v/>
      </c>
      <c r="BK230" s="5">
        <f>IF(A230="","",N(INDEX(Projects[Elec Inst],229)))</f>
        <v/>
      </c>
      <c r="BL230" s="5">
        <f>IF(A230="","",N(INDEX(Projects[Project Management],229)))</f>
        <v/>
      </c>
      <c r="BM230" s="5">
        <f>IF(A230="","",N(INDEX(Projects[Systems Eng],229)))</f>
        <v/>
      </c>
      <c r="BN230" s="5">
        <f>IF(A230="","",N(INDEX(Projects[Mechanical Eng],229)))</f>
        <v/>
      </c>
      <c r="BO230" s="5">
        <f>IF(A230="","",N(INDEX(Projects[Structural Engineering],229)))</f>
        <v/>
      </c>
      <c r="BP230" s="5">
        <f>IF(A230="","",N(INDEX(Projects[Site Sup],229)))</f>
        <v/>
      </c>
      <c r="BQ230" s="5">
        <f>IF(A230="","",N(INDEX(Projects[Controls Commissioning],229)))</f>
        <v/>
      </c>
      <c r="BR230" s="5">
        <f>IF(A230="","",N(INDEX(Projects[Systems Commissioning],229)))</f>
        <v/>
      </c>
      <c r="BS230" s="5">
        <f>IF(A230="","",N(INDEX(Projects[Service Commissioning],229)))</f>
        <v/>
      </c>
      <c r="BT230" s="5">
        <f>IF(A230="","",N(INDEX(Projects[Controls Eng],229)))</f>
        <v/>
      </c>
      <c r="BU230" s="5">
        <f>IF(A230="","",N(INDEX(Projects[Controls Purchase],229)))</f>
        <v/>
      </c>
      <c r="BV230" s="5">
        <f>IF(A230="","",N(INDEX(Projects[Software Eng],229)))</f>
        <v/>
      </c>
      <c r="BW230" s="5">
        <f>IF(A230="","",N(INDEX(Projects[Misc],229)))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IF(A231="","",N(INDEX(Projects[Mech Inst],230)))</f>
        <v/>
      </c>
      <c r="BK231" s="5">
        <f>IF(A231="","",N(INDEX(Projects[Elec Inst],230)))</f>
        <v/>
      </c>
      <c r="BL231" s="5">
        <f>IF(A231="","",N(INDEX(Projects[Project Management],230)))</f>
        <v/>
      </c>
      <c r="BM231" s="5">
        <f>IF(A231="","",N(INDEX(Projects[Systems Eng],230)))</f>
        <v/>
      </c>
      <c r="BN231" s="5">
        <f>IF(A231="","",N(INDEX(Projects[Mechanical Eng],230)))</f>
        <v/>
      </c>
      <c r="BO231" s="5">
        <f>IF(A231="","",N(INDEX(Projects[Structural Engineering],230)))</f>
        <v/>
      </c>
      <c r="BP231" s="5">
        <f>IF(A231="","",N(INDEX(Projects[Site Sup],230)))</f>
        <v/>
      </c>
      <c r="BQ231" s="5">
        <f>IF(A231="","",N(INDEX(Projects[Controls Commissioning],230)))</f>
        <v/>
      </c>
      <c r="BR231" s="5">
        <f>IF(A231="","",N(INDEX(Projects[Systems Commissioning],230)))</f>
        <v/>
      </c>
      <c r="BS231" s="5">
        <f>IF(A231="","",N(INDEX(Projects[Service Commissioning],230)))</f>
        <v/>
      </c>
      <c r="BT231" s="5">
        <f>IF(A231="","",N(INDEX(Projects[Controls Eng],230)))</f>
        <v/>
      </c>
      <c r="BU231" s="5">
        <f>IF(A231="","",N(INDEX(Projects[Controls Purchase],230)))</f>
        <v/>
      </c>
      <c r="BV231" s="5">
        <f>IF(A231="","",N(INDEX(Projects[Software Eng],230)))</f>
        <v/>
      </c>
      <c r="BW231" s="5">
        <f>IF(A231="","",N(INDEX(Projects[Misc],230)))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IF(A232="","",N(INDEX(Projects[Mech Inst],231)))</f>
        <v/>
      </c>
      <c r="BK232" s="5">
        <f>IF(A232="","",N(INDEX(Projects[Elec Inst],231)))</f>
        <v/>
      </c>
      <c r="BL232" s="5">
        <f>IF(A232="","",N(INDEX(Projects[Project Management],231)))</f>
        <v/>
      </c>
      <c r="BM232" s="5">
        <f>IF(A232="","",N(INDEX(Projects[Systems Eng],231)))</f>
        <v/>
      </c>
      <c r="BN232" s="5">
        <f>IF(A232="","",N(INDEX(Projects[Mechanical Eng],231)))</f>
        <v/>
      </c>
      <c r="BO232" s="5">
        <f>IF(A232="","",N(INDEX(Projects[Structural Engineering],231)))</f>
        <v/>
      </c>
      <c r="BP232" s="5">
        <f>IF(A232="","",N(INDEX(Projects[Site Sup],231)))</f>
        <v/>
      </c>
      <c r="BQ232" s="5">
        <f>IF(A232="","",N(INDEX(Projects[Controls Commissioning],231)))</f>
        <v/>
      </c>
      <c r="BR232" s="5">
        <f>IF(A232="","",N(INDEX(Projects[Systems Commissioning],231)))</f>
        <v/>
      </c>
      <c r="BS232" s="5">
        <f>IF(A232="","",N(INDEX(Projects[Service Commissioning],231)))</f>
        <v/>
      </c>
      <c r="BT232" s="5">
        <f>IF(A232="","",N(INDEX(Projects[Controls Eng],231)))</f>
        <v/>
      </c>
      <c r="BU232" s="5">
        <f>IF(A232="","",N(INDEX(Projects[Controls Purchase],231)))</f>
        <v/>
      </c>
      <c r="BV232" s="5">
        <f>IF(A232="","",N(INDEX(Projects[Software Eng],231)))</f>
        <v/>
      </c>
      <c r="BW232" s="5">
        <f>IF(A232="","",N(INDEX(Projects[Misc],231)))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IF(A233="","",N(INDEX(Projects[Mech Inst],232)))</f>
        <v/>
      </c>
      <c r="BK233" s="5">
        <f>IF(A233="","",N(INDEX(Projects[Elec Inst],232)))</f>
        <v/>
      </c>
      <c r="BL233" s="5">
        <f>IF(A233="","",N(INDEX(Projects[Project Management],232)))</f>
        <v/>
      </c>
      <c r="BM233" s="5">
        <f>IF(A233="","",N(INDEX(Projects[Systems Eng],232)))</f>
        <v/>
      </c>
      <c r="BN233" s="5">
        <f>IF(A233="","",N(INDEX(Projects[Mechanical Eng],232)))</f>
        <v/>
      </c>
      <c r="BO233" s="5">
        <f>IF(A233="","",N(INDEX(Projects[Structural Engineering],232)))</f>
        <v/>
      </c>
      <c r="BP233" s="5">
        <f>IF(A233="","",N(INDEX(Projects[Site Sup],232)))</f>
        <v/>
      </c>
      <c r="BQ233" s="5">
        <f>IF(A233="","",N(INDEX(Projects[Controls Commissioning],232)))</f>
        <v/>
      </c>
      <c r="BR233" s="5">
        <f>IF(A233="","",N(INDEX(Projects[Systems Commissioning],232)))</f>
        <v/>
      </c>
      <c r="BS233" s="5">
        <f>IF(A233="","",N(INDEX(Projects[Service Commissioning],232)))</f>
        <v/>
      </c>
      <c r="BT233" s="5">
        <f>IF(A233="","",N(INDEX(Projects[Controls Eng],232)))</f>
        <v/>
      </c>
      <c r="BU233" s="5">
        <f>IF(A233="","",N(INDEX(Projects[Controls Purchase],232)))</f>
        <v/>
      </c>
      <c r="BV233" s="5">
        <f>IF(A233="","",N(INDEX(Projects[Software Eng],232)))</f>
        <v/>
      </c>
      <c r="BW233" s="5">
        <f>IF(A233="","",N(INDEX(Projects[Misc],232)))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IF(A234="","",N(INDEX(Projects[Mech Inst],233)))</f>
        <v/>
      </c>
      <c r="BK234" s="5">
        <f>IF(A234="","",N(INDEX(Projects[Elec Inst],233)))</f>
        <v/>
      </c>
      <c r="BL234" s="5">
        <f>IF(A234="","",N(INDEX(Projects[Project Management],233)))</f>
        <v/>
      </c>
      <c r="BM234" s="5">
        <f>IF(A234="","",N(INDEX(Projects[Systems Eng],233)))</f>
        <v/>
      </c>
      <c r="BN234" s="5">
        <f>IF(A234="","",N(INDEX(Projects[Mechanical Eng],233)))</f>
        <v/>
      </c>
      <c r="BO234" s="5">
        <f>IF(A234="","",N(INDEX(Projects[Structural Engineering],233)))</f>
        <v/>
      </c>
      <c r="BP234" s="5">
        <f>IF(A234="","",N(INDEX(Projects[Site Sup],233)))</f>
        <v/>
      </c>
      <c r="BQ234" s="5">
        <f>IF(A234="","",N(INDEX(Projects[Controls Commissioning],233)))</f>
        <v/>
      </c>
      <c r="BR234" s="5">
        <f>IF(A234="","",N(INDEX(Projects[Systems Commissioning],233)))</f>
        <v/>
      </c>
      <c r="BS234" s="5">
        <f>IF(A234="","",N(INDEX(Projects[Service Commissioning],233)))</f>
        <v/>
      </c>
      <c r="BT234" s="5">
        <f>IF(A234="","",N(INDEX(Projects[Controls Eng],233)))</f>
        <v/>
      </c>
      <c r="BU234" s="5">
        <f>IF(A234="","",N(INDEX(Projects[Controls Purchase],233)))</f>
        <v/>
      </c>
      <c r="BV234" s="5">
        <f>IF(A234="","",N(INDEX(Projects[Software Eng],233)))</f>
        <v/>
      </c>
      <c r="BW234" s="5">
        <f>IF(A234="","",N(INDEX(Projects[Misc],233)))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IF(A235="","",N(INDEX(Projects[Mech Inst],234)))</f>
        <v/>
      </c>
      <c r="BK235" s="5">
        <f>IF(A235="","",N(INDEX(Projects[Elec Inst],234)))</f>
        <v/>
      </c>
      <c r="BL235" s="5">
        <f>IF(A235="","",N(INDEX(Projects[Project Management],234)))</f>
        <v/>
      </c>
      <c r="BM235" s="5">
        <f>IF(A235="","",N(INDEX(Projects[Systems Eng],234)))</f>
        <v/>
      </c>
      <c r="BN235" s="5">
        <f>IF(A235="","",N(INDEX(Projects[Mechanical Eng],234)))</f>
        <v/>
      </c>
      <c r="BO235" s="5">
        <f>IF(A235="","",N(INDEX(Projects[Structural Engineering],234)))</f>
        <v/>
      </c>
      <c r="BP235" s="5">
        <f>IF(A235="","",N(INDEX(Projects[Site Sup],234)))</f>
        <v/>
      </c>
      <c r="BQ235" s="5">
        <f>IF(A235="","",N(INDEX(Projects[Controls Commissioning],234)))</f>
        <v/>
      </c>
      <c r="BR235" s="5">
        <f>IF(A235="","",N(INDEX(Projects[Systems Commissioning],234)))</f>
        <v/>
      </c>
      <c r="BS235" s="5">
        <f>IF(A235="","",N(INDEX(Projects[Service Commissioning],234)))</f>
        <v/>
      </c>
      <c r="BT235" s="5">
        <f>IF(A235="","",N(INDEX(Projects[Controls Eng],234)))</f>
        <v/>
      </c>
      <c r="BU235" s="5">
        <f>IF(A235="","",N(INDEX(Projects[Controls Purchase],234)))</f>
        <v/>
      </c>
      <c r="BV235" s="5">
        <f>IF(A235="","",N(INDEX(Projects[Software Eng],234)))</f>
        <v/>
      </c>
      <c r="BW235" s="5">
        <f>IF(A235="","",N(INDEX(Projects[Misc],234)))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IF(A236="","",N(INDEX(Projects[Mech Inst],235)))</f>
        <v/>
      </c>
      <c r="BK236" s="5">
        <f>IF(A236="","",N(INDEX(Projects[Elec Inst],235)))</f>
        <v/>
      </c>
      <c r="BL236" s="5">
        <f>IF(A236="","",N(INDEX(Projects[Project Management],235)))</f>
        <v/>
      </c>
      <c r="BM236" s="5">
        <f>IF(A236="","",N(INDEX(Projects[Systems Eng],235)))</f>
        <v/>
      </c>
      <c r="BN236" s="5">
        <f>IF(A236="","",N(INDEX(Projects[Mechanical Eng],235)))</f>
        <v/>
      </c>
      <c r="BO236" s="5">
        <f>IF(A236="","",N(INDEX(Projects[Structural Engineering],235)))</f>
        <v/>
      </c>
      <c r="BP236" s="5">
        <f>IF(A236="","",N(INDEX(Projects[Site Sup],235)))</f>
        <v/>
      </c>
      <c r="BQ236" s="5">
        <f>IF(A236="","",N(INDEX(Projects[Controls Commissioning],235)))</f>
        <v/>
      </c>
      <c r="BR236" s="5">
        <f>IF(A236="","",N(INDEX(Projects[Systems Commissioning],235)))</f>
        <v/>
      </c>
      <c r="BS236" s="5">
        <f>IF(A236="","",N(INDEX(Projects[Service Commissioning],235)))</f>
        <v/>
      </c>
      <c r="BT236" s="5">
        <f>IF(A236="","",N(INDEX(Projects[Controls Eng],235)))</f>
        <v/>
      </c>
      <c r="BU236" s="5">
        <f>IF(A236="","",N(INDEX(Projects[Controls Purchase],235)))</f>
        <v/>
      </c>
      <c r="BV236" s="5">
        <f>IF(A236="","",N(INDEX(Projects[Software Eng],235)))</f>
        <v/>
      </c>
      <c r="BW236" s="5">
        <f>IF(A236="","",N(INDEX(Projects[Misc],235)))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IF(A237="","",N(INDEX(Projects[Mech Inst],236)))</f>
        <v/>
      </c>
      <c r="BK237" s="5">
        <f>IF(A237="","",N(INDEX(Projects[Elec Inst],236)))</f>
        <v/>
      </c>
      <c r="BL237" s="5">
        <f>IF(A237="","",N(INDEX(Projects[Project Management],236)))</f>
        <v/>
      </c>
      <c r="BM237" s="5">
        <f>IF(A237="","",N(INDEX(Projects[Systems Eng],236)))</f>
        <v/>
      </c>
      <c r="BN237" s="5">
        <f>IF(A237="","",N(INDEX(Projects[Mechanical Eng],236)))</f>
        <v/>
      </c>
      <c r="BO237" s="5">
        <f>IF(A237="","",N(INDEX(Projects[Structural Engineering],236)))</f>
        <v/>
      </c>
      <c r="BP237" s="5">
        <f>IF(A237="","",N(INDEX(Projects[Site Sup],236)))</f>
        <v/>
      </c>
      <c r="BQ237" s="5">
        <f>IF(A237="","",N(INDEX(Projects[Controls Commissioning],236)))</f>
        <v/>
      </c>
      <c r="BR237" s="5">
        <f>IF(A237="","",N(INDEX(Projects[Systems Commissioning],236)))</f>
        <v/>
      </c>
      <c r="BS237" s="5">
        <f>IF(A237="","",N(INDEX(Projects[Service Commissioning],236)))</f>
        <v/>
      </c>
      <c r="BT237" s="5">
        <f>IF(A237="","",N(INDEX(Projects[Controls Eng],236)))</f>
        <v/>
      </c>
      <c r="BU237" s="5">
        <f>IF(A237="","",N(INDEX(Projects[Controls Purchase],236)))</f>
        <v/>
      </c>
      <c r="BV237" s="5">
        <f>IF(A237="","",N(INDEX(Projects[Software Eng],236)))</f>
        <v/>
      </c>
      <c r="BW237" s="5">
        <f>IF(A237="","",N(INDEX(Projects[Misc],236)))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IF(A238="","",N(INDEX(Projects[Mech Inst],237)))</f>
        <v/>
      </c>
      <c r="BK238" s="5">
        <f>IF(A238="","",N(INDEX(Projects[Elec Inst],237)))</f>
        <v/>
      </c>
      <c r="BL238" s="5">
        <f>IF(A238="","",N(INDEX(Projects[Project Management],237)))</f>
        <v/>
      </c>
      <c r="BM238" s="5">
        <f>IF(A238="","",N(INDEX(Projects[Systems Eng],237)))</f>
        <v/>
      </c>
      <c r="BN238" s="5">
        <f>IF(A238="","",N(INDEX(Projects[Mechanical Eng],237)))</f>
        <v/>
      </c>
      <c r="BO238" s="5">
        <f>IF(A238="","",N(INDEX(Projects[Structural Engineering],237)))</f>
        <v/>
      </c>
      <c r="BP238" s="5">
        <f>IF(A238="","",N(INDEX(Projects[Site Sup],237)))</f>
        <v/>
      </c>
      <c r="BQ238" s="5">
        <f>IF(A238="","",N(INDEX(Projects[Controls Commissioning],237)))</f>
        <v/>
      </c>
      <c r="BR238" s="5">
        <f>IF(A238="","",N(INDEX(Projects[Systems Commissioning],237)))</f>
        <v/>
      </c>
      <c r="BS238" s="5">
        <f>IF(A238="","",N(INDEX(Projects[Service Commissioning],237)))</f>
        <v/>
      </c>
      <c r="BT238" s="5">
        <f>IF(A238="","",N(INDEX(Projects[Controls Eng],237)))</f>
        <v/>
      </c>
      <c r="BU238" s="5">
        <f>IF(A238="","",N(INDEX(Projects[Controls Purchase],237)))</f>
        <v/>
      </c>
      <c r="BV238" s="5">
        <f>IF(A238="","",N(INDEX(Projects[Software Eng],237)))</f>
        <v/>
      </c>
      <c r="BW238" s="5">
        <f>IF(A238="","",N(INDEX(Projects[Misc],237)))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IF(A239="","",N(INDEX(Projects[Mech Inst],238)))</f>
        <v/>
      </c>
      <c r="BK239" s="5">
        <f>IF(A239="","",N(INDEX(Projects[Elec Inst],238)))</f>
        <v/>
      </c>
      <c r="BL239" s="5">
        <f>IF(A239="","",N(INDEX(Projects[Project Management],238)))</f>
        <v/>
      </c>
      <c r="BM239" s="5">
        <f>IF(A239="","",N(INDEX(Projects[Systems Eng],238)))</f>
        <v/>
      </c>
      <c r="BN239" s="5">
        <f>IF(A239="","",N(INDEX(Projects[Mechanical Eng],238)))</f>
        <v/>
      </c>
      <c r="BO239" s="5">
        <f>IF(A239="","",N(INDEX(Projects[Structural Engineering],238)))</f>
        <v/>
      </c>
      <c r="BP239" s="5">
        <f>IF(A239="","",N(INDEX(Projects[Site Sup],238)))</f>
        <v/>
      </c>
      <c r="BQ239" s="5">
        <f>IF(A239="","",N(INDEX(Projects[Controls Commissioning],238)))</f>
        <v/>
      </c>
      <c r="BR239" s="5">
        <f>IF(A239="","",N(INDEX(Projects[Systems Commissioning],238)))</f>
        <v/>
      </c>
      <c r="BS239" s="5">
        <f>IF(A239="","",N(INDEX(Projects[Service Commissioning],238)))</f>
        <v/>
      </c>
      <c r="BT239" s="5">
        <f>IF(A239="","",N(INDEX(Projects[Controls Eng],238)))</f>
        <v/>
      </c>
      <c r="BU239" s="5">
        <f>IF(A239="","",N(INDEX(Projects[Controls Purchase],238)))</f>
        <v/>
      </c>
      <c r="BV239" s="5">
        <f>IF(A239="","",N(INDEX(Projects[Software Eng],238)))</f>
        <v/>
      </c>
      <c r="BW239" s="5">
        <f>IF(A239="","",N(INDEX(Projects[Misc],238)))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IF(A240="","",N(INDEX(Projects[Mech Inst],239)))</f>
        <v/>
      </c>
      <c r="BK240" s="5">
        <f>IF(A240="","",N(INDEX(Projects[Elec Inst],239)))</f>
        <v/>
      </c>
      <c r="BL240" s="5">
        <f>IF(A240="","",N(INDEX(Projects[Project Management],239)))</f>
        <v/>
      </c>
      <c r="BM240" s="5">
        <f>IF(A240="","",N(INDEX(Projects[Systems Eng],239)))</f>
        <v/>
      </c>
      <c r="BN240" s="5">
        <f>IF(A240="","",N(INDEX(Projects[Mechanical Eng],239)))</f>
        <v/>
      </c>
      <c r="BO240" s="5">
        <f>IF(A240="","",N(INDEX(Projects[Structural Engineering],239)))</f>
        <v/>
      </c>
      <c r="BP240" s="5">
        <f>IF(A240="","",N(INDEX(Projects[Site Sup],239)))</f>
        <v/>
      </c>
      <c r="BQ240" s="5">
        <f>IF(A240="","",N(INDEX(Projects[Controls Commissioning],239)))</f>
        <v/>
      </c>
      <c r="BR240" s="5">
        <f>IF(A240="","",N(INDEX(Projects[Systems Commissioning],239)))</f>
        <v/>
      </c>
      <c r="BS240" s="5">
        <f>IF(A240="","",N(INDEX(Projects[Service Commissioning],239)))</f>
        <v/>
      </c>
      <c r="BT240" s="5">
        <f>IF(A240="","",N(INDEX(Projects[Controls Eng],239)))</f>
        <v/>
      </c>
      <c r="BU240" s="5">
        <f>IF(A240="","",N(INDEX(Projects[Controls Purchase],239)))</f>
        <v/>
      </c>
      <c r="BV240" s="5">
        <f>IF(A240="","",N(INDEX(Projects[Software Eng],239)))</f>
        <v/>
      </c>
      <c r="BW240" s="5">
        <f>IF(A240="","",N(INDEX(Projects[Misc],239)))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IF(A241="","",N(INDEX(Projects[Mech Inst],240)))</f>
        <v/>
      </c>
      <c r="BK241" s="5">
        <f>IF(A241="","",N(INDEX(Projects[Elec Inst],240)))</f>
        <v/>
      </c>
      <c r="BL241" s="5">
        <f>IF(A241="","",N(INDEX(Projects[Project Management],240)))</f>
        <v/>
      </c>
      <c r="BM241" s="5">
        <f>IF(A241="","",N(INDEX(Projects[Systems Eng],240)))</f>
        <v/>
      </c>
      <c r="BN241" s="5">
        <f>IF(A241="","",N(INDEX(Projects[Mechanical Eng],240)))</f>
        <v/>
      </c>
      <c r="BO241" s="5">
        <f>IF(A241="","",N(INDEX(Projects[Structural Engineering],240)))</f>
        <v/>
      </c>
      <c r="BP241" s="5">
        <f>IF(A241="","",N(INDEX(Projects[Site Sup],240)))</f>
        <v/>
      </c>
      <c r="BQ241" s="5">
        <f>IF(A241="","",N(INDEX(Projects[Controls Commissioning],240)))</f>
        <v/>
      </c>
      <c r="BR241" s="5">
        <f>IF(A241="","",N(INDEX(Projects[Systems Commissioning],240)))</f>
        <v/>
      </c>
      <c r="BS241" s="5">
        <f>IF(A241="","",N(INDEX(Projects[Service Commissioning],240)))</f>
        <v/>
      </c>
      <c r="BT241" s="5">
        <f>IF(A241="","",N(INDEX(Projects[Controls Eng],240)))</f>
        <v/>
      </c>
      <c r="BU241" s="5">
        <f>IF(A241="","",N(INDEX(Projects[Controls Purchase],240)))</f>
        <v/>
      </c>
      <c r="BV241" s="5">
        <f>IF(A241="","",N(INDEX(Projects[Software Eng],240)))</f>
        <v/>
      </c>
      <c r="BW241" s="5">
        <f>IF(A241="","",N(INDEX(Projects[Misc],240)))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IF(A242="","",N(INDEX(Projects[Mech Inst],241)))</f>
        <v/>
      </c>
      <c r="BK242" s="5">
        <f>IF(A242="","",N(INDEX(Projects[Elec Inst],241)))</f>
        <v/>
      </c>
      <c r="BL242" s="5">
        <f>IF(A242="","",N(INDEX(Projects[Project Management],241)))</f>
        <v/>
      </c>
      <c r="BM242" s="5">
        <f>IF(A242="","",N(INDEX(Projects[Systems Eng],241)))</f>
        <v/>
      </c>
      <c r="BN242" s="5">
        <f>IF(A242="","",N(INDEX(Projects[Mechanical Eng],241)))</f>
        <v/>
      </c>
      <c r="BO242" s="5">
        <f>IF(A242="","",N(INDEX(Projects[Structural Engineering],241)))</f>
        <v/>
      </c>
      <c r="BP242" s="5">
        <f>IF(A242="","",N(INDEX(Projects[Site Sup],241)))</f>
        <v/>
      </c>
      <c r="BQ242" s="5">
        <f>IF(A242="","",N(INDEX(Projects[Controls Commissioning],241)))</f>
        <v/>
      </c>
      <c r="BR242" s="5">
        <f>IF(A242="","",N(INDEX(Projects[Systems Commissioning],241)))</f>
        <v/>
      </c>
      <c r="BS242" s="5">
        <f>IF(A242="","",N(INDEX(Projects[Service Commissioning],241)))</f>
        <v/>
      </c>
      <c r="BT242" s="5">
        <f>IF(A242="","",N(INDEX(Projects[Controls Eng],241)))</f>
        <v/>
      </c>
      <c r="BU242" s="5">
        <f>IF(A242="","",N(INDEX(Projects[Controls Purchase],241)))</f>
        <v/>
      </c>
      <c r="BV242" s="5">
        <f>IF(A242="","",N(INDEX(Projects[Software Eng],241)))</f>
        <v/>
      </c>
      <c r="BW242" s="5">
        <f>IF(A242="","",N(INDEX(Projects[Misc],241)))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IF(A243="","",N(INDEX(Projects[Mech Inst],242)))</f>
        <v/>
      </c>
      <c r="BK243" s="5">
        <f>IF(A243="","",N(INDEX(Projects[Elec Inst],242)))</f>
        <v/>
      </c>
      <c r="BL243" s="5">
        <f>IF(A243="","",N(INDEX(Projects[Project Management],242)))</f>
        <v/>
      </c>
      <c r="BM243" s="5">
        <f>IF(A243="","",N(INDEX(Projects[Systems Eng],242)))</f>
        <v/>
      </c>
      <c r="BN243" s="5">
        <f>IF(A243="","",N(INDEX(Projects[Mechanical Eng],242)))</f>
        <v/>
      </c>
      <c r="BO243" s="5">
        <f>IF(A243="","",N(INDEX(Projects[Structural Engineering],242)))</f>
        <v/>
      </c>
      <c r="BP243" s="5">
        <f>IF(A243="","",N(INDEX(Projects[Site Sup],242)))</f>
        <v/>
      </c>
      <c r="BQ243" s="5">
        <f>IF(A243="","",N(INDEX(Projects[Controls Commissioning],242)))</f>
        <v/>
      </c>
      <c r="BR243" s="5">
        <f>IF(A243="","",N(INDEX(Projects[Systems Commissioning],242)))</f>
        <v/>
      </c>
      <c r="BS243" s="5">
        <f>IF(A243="","",N(INDEX(Projects[Service Commissioning],242)))</f>
        <v/>
      </c>
      <c r="BT243" s="5">
        <f>IF(A243="","",N(INDEX(Projects[Controls Eng],242)))</f>
        <v/>
      </c>
      <c r="BU243" s="5">
        <f>IF(A243="","",N(INDEX(Projects[Controls Purchase],242)))</f>
        <v/>
      </c>
      <c r="BV243" s="5">
        <f>IF(A243="","",N(INDEX(Projects[Software Eng],242)))</f>
        <v/>
      </c>
      <c r="BW243" s="5">
        <f>IF(A243="","",N(INDEX(Projects[Misc],242)))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IF(A244="","",N(INDEX(Projects[Mech Inst],243)))</f>
        <v/>
      </c>
      <c r="BK244" s="5">
        <f>IF(A244="","",N(INDEX(Projects[Elec Inst],243)))</f>
        <v/>
      </c>
      <c r="BL244" s="5">
        <f>IF(A244="","",N(INDEX(Projects[Project Management],243)))</f>
        <v/>
      </c>
      <c r="BM244" s="5">
        <f>IF(A244="","",N(INDEX(Projects[Systems Eng],243)))</f>
        <v/>
      </c>
      <c r="BN244" s="5">
        <f>IF(A244="","",N(INDEX(Projects[Mechanical Eng],243)))</f>
        <v/>
      </c>
      <c r="BO244" s="5">
        <f>IF(A244="","",N(INDEX(Projects[Structural Engineering],243)))</f>
        <v/>
      </c>
      <c r="BP244" s="5">
        <f>IF(A244="","",N(INDEX(Projects[Site Sup],243)))</f>
        <v/>
      </c>
      <c r="BQ244" s="5">
        <f>IF(A244="","",N(INDEX(Projects[Controls Commissioning],243)))</f>
        <v/>
      </c>
      <c r="BR244" s="5">
        <f>IF(A244="","",N(INDEX(Projects[Systems Commissioning],243)))</f>
        <v/>
      </c>
      <c r="BS244" s="5">
        <f>IF(A244="","",N(INDEX(Projects[Service Commissioning],243)))</f>
        <v/>
      </c>
      <c r="BT244" s="5">
        <f>IF(A244="","",N(INDEX(Projects[Controls Eng],243)))</f>
        <v/>
      </c>
      <c r="BU244" s="5">
        <f>IF(A244="","",N(INDEX(Projects[Controls Purchase],243)))</f>
        <v/>
      </c>
      <c r="BV244" s="5">
        <f>IF(A244="","",N(INDEX(Projects[Software Eng],243)))</f>
        <v/>
      </c>
      <c r="BW244" s="5">
        <f>IF(A244="","",N(INDEX(Projects[Misc],243)))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IF(A245="","",N(INDEX(Projects[Mech Inst],244)))</f>
        <v/>
      </c>
      <c r="BK245" s="5">
        <f>IF(A245="","",N(INDEX(Projects[Elec Inst],244)))</f>
        <v/>
      </c>
      <c r="BL245" s="5">
        <f>IF(A245="","",N(INDEX(Projects[Project Management],244)))</f>
        <v/>
      </c>
      <c r="BM245" s="5">
        <f>IF(A245="","",N(INDEX(Projects[Systems Eng],244)))</f>
        <v/>
      </c>
      <c r="BN245" s="5">
        <f>IF(A245="","",N(INDEX(Projects[Mechanical Eng],244)))</f>
        <v/>
      </c>
      <c r="BO245" s="5">
        <f>IF(A245="","",N(INDEX(Projects[Structural Engineering],244)))</f>
        <v/>
      </c>
      <c r="BP245" s="5">
        <f>IF(A245="","",N(INDEX(Projects[Site Sup],244)))</f>
        <v/>
      </c>
      <c r="BQ245" s="5">
        <f>IF(A245="","",N(INDEX(Projects[Controls Commissioning],244)))</f>
        <v/>
      </c>
      <c r="BR245" s="5">
        <f>IF(A245="","",N(INDEX(Projects[Systems Commissioning],244)))</f>
        <v/>
      </c>
      <c r="BS245" s="5">
        <f>IF(A245="","",N(INDEX(Projects[Service Commissioning],244)))</f>
        <v/>
      </c>
      <c r="BT245" s="5">
        <f>IF(A245="","",N(INDEX(Projects[Controls Eng],244)))</f>
        <v/>
      </c>
      <c r="BU245" s="5">
        <f>IF(A245="","",N(INDEX(Projects[Controls Purchase],244)))</f>
        <v/>
      </c>
      <c r="BV245" s="5">
        <f>IF(A245="","",N(INDEX(Projects[Software Eng],244)))</f>
        <v/>
      </c>
      <c r="BW245" s="5">
        <f>IF(A245="","",N(INDEX(Projects[Misc],244)))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IF(A246="","",N(INDEX(Projects[Mech Inst],245)))</f>
        <v/>
      </c>
      <c r="BK246" s="5">
        <f>IF(A246="","",N(INDEX(Projects[Elec Inst],245)))</f>
        <v/>
      </c>
      <c r="BL246" s="5">
        <f>IF(A246="","",N(INDEX(Projects[Project Management],245)))</f>
        <v/>
      </c>
      <c r="BM246" s="5">
        <f>IF(A246="","",N(INDEX(Projects[Systems Eng],245)))</f>
        <v/>
      </c>
      <c r="BN246" s="5">
        <f>IF(A246="","",N(INDEX(Projects[Mechanical Eng],245)))</f>
        <v/>
      </c>
      <c r="BO246" s="5">
        <f>IF(A246="","",N(INDEX(Projects[Structural Engineering],245)))</f>
        <v/>
      </c>
      <c r="BP246" s="5">
        <f>IF(A246="","",N(INDEX(Projects[Site Sup],245)))</f>
        <v/>
      </c>
      <c r="BQ246" s="5">
        <f>IF(A246="","",N(INDEX(Projects[Controls Commissioning],245)))</f>
        <v/>
      </c>
      <c r="BR246" s="5">
        <f>IF(A246="","",N(INDEX(Projects[Systems Commissioning],245)))</f>
        <v/>
      </c>
      <c r="BS246" s="5">
        <f>IF(A246="","",N(INDEX(Projects[Service Commissioning],245)))</f>
        <v/>
      </c>
      <c r="BT246" s="5">
        <f>IF(A246="","",N(INDEX(Projects[Controls Eng],245)))</f>
        <v/>
      </c>
      <c r="BU246" s="5">
        <f>IF(A246="","",N(INDEX(Projects[Controls Purchase],245)))</f>
        <v/>
      </c>
      <c r="BV246" s="5">
        <f>IF(A246="","",N(INDEX(Projects[Software Eng],245)))</f>
        <v/>
      </c>
      <c r="BW246" s="5">
        <f>IF(A246="","",N(INDEX(Projects[Misc],245)))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IF(A247="","",N(INDEX(Projects[Mech Inst],246)))</f>
        <v/>
      </c>
      <c r="BK247" s="5">
        <f>IF(A247="","",N(INDEX(Projects[Elec Inst],246)))</f>
        <v/>
      </c>
      <c r="BL247" s="5">
        <f>IF(A247="","",N(INDEX(Projects[Project Management],246)))</f>
        <v/>
      </c>
      <c r="BM247" s="5">
        <f>IF(A247="","",N(INDEX(Projects[Systems Eng],246)))</f>
        <v/>
      </c>
      <c r="BN247" s="5">
        <f>IF(A247="","",N(INDEX(Projects[Mechanical Eng],246)))</f>
        <v/>
      </c>
      <c r="BO247" s="5">
        <f>IF(A247="","",N(INDEX(Projects[Structural Engineering],246)))</f>
        <v/>
      </c>
      <c r="BP247" s="5">
        <f>IF(A247="","",N(INDEX(Projects[Site Sup],246)))</f>
        <v/>
      </c>
      <c r="BQ247" s="5">
        <f>IF(A247="","",N(INDEX(Projects[Controls Commissioning],246)))</f>
        <v/>
      </c>
      <c r="BR247" s="5">
        <f>IF(A247="","",N(INDEX(Projects[Systems Commissioning],246)))</f>
        <v/>
      </c>
      <c r="BS247" s="5">
        <f>IF(A247="","",N(INDEX(Projects[Service Commissioning],246)))</f>
        <v/>
      </c>
      <c r="BT247" s="5">
        <f>IF(A247="","",N(INDEX(Projects[Controls Eng],246)))</f>
        <v/>
      </c>
      <c r="BU247" s="5">
        <f>IF(A247="","",N(INDEX(Projects[Controls Purchase],246)))</f>
        <v/>
      </c>
      <c r="BV247" s="5">
        <f>IF(A247="","",N(INDEX(Projects[Software Eng],246)))</f>
        <v/>
      </c>
      <c r="BW247" s="5">
        <f>IF(A247="","",N(INDEX(Projects[Misc],246)))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IF(A248="","",N(INDEX(Projects[Mech Inst],247)))</f>
        <v/>
      </c>
      <c r="BK248" s="5">
        <f>IF(A248="","",N(INDEX(Projects[Elec Inst],247)))</f>
        <v/>
      </c>
      <c r="BL248" s="5">
        <f>IF(A248="","",N(INDEX(Projects[Project Management],247)))</f>
        <v/>
      </c>
      <c r="BM248" s="5">
        <f>IF(A248="","",N(INDEX(Projects[Systems Eng],247)))</f>
        <v/>
      </c>
      <c r="BN248" s="5">
        <f>IF(A248="","",N(INDEX(Projects[Mechanical Eng],247)))</f>
        <v/>
      </c>
      <c r="BO248" s="5">
        <f>IF(A248="","",N(INDEX(Projects[Structural Engineering],247)))</f>
        <v/>
      </c>
      <c r="BP248" s="5">
        <f>IF(A248="","",N(INDEX(Projects[Site Sup],247)))</f>
        <v/>
      </c>
      <c r="BQ248" s="5">
        <f>IF(A248="","",N(INDEX(Projects[Controls Commissioning],247)))</f>
        <v/>
      </c>
      <c r="BR248" s="5">
        <f>IF(A248="","",N(INDEX(Projects[Systems Commissioning],247)))</f>
        <v/>
      </c>
      <c r="BS248" s="5">
        <f>IF(A248="","",N(INDEX(Projects[Service Commissioning],247)))</f>
        <v/>
      </c>
      <c r="BT248" s="5">
        <f>IF(A248="","",N(INDEX(Projects[Controls Eng],247)))</f>
        <v/>
      </c>
      <c r="BU248" s="5">
        <f>IF(A248="","",N(INDEX(Projects[Controls Purchase],247)))</f>
        <v/>
      </c>
      <c r="BV248" s="5">
        <f>IF(A248="","",N(INDEX(Projects[Software Eng],247)))</f>
        <v/>
      </c>
      <c r="BW248" s="5">
        <f>IF(A248="","",N(INDEX(Projects[Misc],247)))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IF(A249="","",N(INDEX(Projects[Mech Inst],248)))</f>
        <v/>
      </c>
      <c r="BK249" s="5">
        <f>IF(A249="","",N(INDEX(Projects[Elec Inst],248)))</f>
        <v/>
      </c>
      <c r="BL249" s="5">
        <f>IF(A249="","",N(INDEX(Projects[Project Management],248)))</f>
        <v/>
      </c>
      <c r="BM249" s="5">
        <f>IF(A249="","",N(INDEX(Projects[Systems Eng],248)))</f>
        <v/>
      </c>
      <c r="BN249" s="5">
        <f>IF(A249="","",N(INDEX(Projects[Mechanical Eng],248)))</f>
        <v/>
      </c>
      <c r="BO249" s="5">
        <f>IF(A249="","",N(INDEX(Projects[Structural Engineering],248)))</f>
        <v/>
      </c>
      <c r="BP249" s="5">
        <f>IF(A249="","",N(INDEX(Projects[Site Sup],248)))</f>
        <v/>
      </c>
      <c r="BQ249" s="5">
        <f>IF(A249="","",N(INDEX(Projects[Controls Commissioning],248)))</f>
        <v/>
      </c>
      <c r="BR249" s="5">
        <f>IF(A249="","",N(INDEX(Projects[Systems Commissioning],248)))</f>
        <v/>
      </c>
      <c r="BS249" s="5">
        <f>IF(A249="","",N(INDEX(Projects[Service Commissioning],248)))</f>
        <v/>
      </c>
      <c r="BT249" s="5">
        <f>IF(A249="","",N(INDEX(Projects[Controls Eng],248)))</f>
        <v/>
      </c>
      <c r="BU249" s="5">
        <f>IF(A249="","",N(INDEX(Projects[Controls Purchase],248)))</f>
        <v/>
      </c>
      <c r="BV249" s="5">
        <f>IF(A249="","",N(INDEX(Projects[Software Eng],248)))</f>
        <v/>
      </c>
      <c r="BW249" s="5">
        <f>IF(A249="","",N(INDEX(Projects[Misc],248)))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IF(A250="","",N(INDEX(Projects[Mech Inst],249)))</f>
        <v/>
      </c>
      <c r="BK250" s="5">
        <f>IF(A250="","",N(INDEX(Projects[Elec Inst],249)))</f>
        <v/>
      </c>
      <c r="BL250" s="5">
        <f>IF(A250="","",N(INDEX(Projects[Project Management],249)))</f>
        <v/>
      </c>
      <c r="BM250" s="5">
        <f>IF(A250="","",N(INDEX(Projects[Systems Eng],249)))</f>
        <v/>
      </c>
      <c r="BN250" s="5">
        <f>IF(A250="","",N(INDEX(Projects[Mechanical Eng],249)))</f>
        <v/>
      </c>
      <c r="BO250" s="5">
        <f>IF(A250="","",N(INDEX(Projects[Structural Engineering],249)))</f>
        <v/>
      </c>
      <c r="BP250" s="5">
        <f>IF(A250="","",N(INDEX(Projects[Site Sup],249)))</f>
        <v/>
      </c>
      <c r="BQ250" s="5">
        <f>IF(A250="","",N(INDEX(Projects[Controls Commissioning],249)))</f>
        <v/>
      </c>
      <c r="BR250" s="5">
        <f>IF(A250="","",N(INDEX(Projects[Systems Commissioning],249)))</f>
        <v/>
      </c>
      <c r="BS250" s="5">
        <f>IF(A250="","",N(INDEX(Projects[Service Commissioning],249)))</f>
        <v/>
      </c>
      <c r="BT250" s="5">
        <f>IF(A250="","",N(INDEX(Projects[Controls Eng],249)))</f>
        <v/>
      </c>
      <c r="BU250" s="5">
        <f>IF(A250="","",N(INDEX(Projects[Controls Purchase],249)))</f>
        <v/>
      </c>
      <c r="BV250" s="5">
        <f>IF(A250="","",N(INDEX(Projects[Software Eng],249)))</f>
        <v/>
      </c>
      <c r="BW250" s="5">
        <f>IF(A250="","",N(INDEX(Projects[Misc],249)))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IF(A251="","",N(INDEX(Projects[Mech Inst],250)))</f>
        <v/>
      </c>
      <c r="BK251" s="5">
        <f>IF(A251="","",N(INDEX(Projects[Elec Inst],250)))</f>
        <v/>
      </c>
      <c r="BL251" s="5">
        <f>IF(A251="","",N(INDEX(Projects[Project Management],250)))</f>
        <v/>
      </c>
      <c r="BM251" s="5">
        <f>IF(A251="","",N(INDEX(Projects[Systems Eng],250)))</f>
        <v/>
      </c>
      <c r="BN251" s="5">
        <f>IF(A251="","",N(INDEX(Projects[Mechanical Eng],250)))</f>
        <v/>
      </c>
      <c r="BO251" s="5">
        <f>IF(A251="","",N(INDEX(Projects[Structural Engineering],250)))</f>
        <v/>
      </c>
      <c r="BP251" s="5">
        <f>IF(A251="","",N(INDEX(Projects[Site Sup],250)))</f>
        <v/>
      </c>
      <c r="BQ251" s="5">
        <f>IF(A251="","",N(INDEX(Projects[Controls Commissioning],250)))</f>
        <v/>
      </c>
      <c r="BR251" s="5">
        <f>IF(A251="","",N(INDEX(Projects[Systems Commissioning],250)))</f>
        <v/>
      </c>
      <c r="BS251" s="5">
        <f>IF(A251="","",N(INDEX(Projects[Service Commissioning],250)))</f>
        <v/>
      </c>
      <c r="BT251" s="5">
        <f>IF(A251="","",N(INDEX(Projects[Controls Eng],250)))</f>
        <v/>
      </c>
      <c r="BU251" s="5">
        <f>IF(A251="","",N(INDEX(Projects[Controls Purchase],250)))</f>
        <v/>
      </c>
      <c r="BV251" s="5">
        <f>IF(A251="","",N(INDEX(Projects[Software Eng],250)))</f>
        <v/>
      </c>
      <c r="BW251" s="5">
        <f>IF(A251="","",N(INDEX(Projects[Misc],250)))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IF(A252="","",N(INDEX(Projects[Mech Inst],251)))</f>
        <v/>
      </c>
      <c r="BK252" s="5">
        <f>IF(A252="","",N(INDEX(Projects[Elec Inst],251)))</f>
        <v/>
      </c>
      <c r="BL252" s="5">
        <f>IF(A252="","",N(INDEX(Projects[Project Management],251)))</f>
        <v/>
      </c>
      <c r="BM252" s="5">
        <f>IF(A252="","",N(INDEX(Projects[Systems Eng],251)))</f>
        <v/>
      </c>
      <c r="BN252" s="5">
        <f>IF(A252="","",N(INDEX(Projects[Mechanical Eng],251)))</f>
        <v/>
      </c>
      <c r="BO252" s="5">
        <f>IF(A252="","",N(INDEX(Projects[Structural Engineering],251)))</f>
        <v/>
      </c>
      <c r="BP252" s="5">
        <f>IF(A252="","",N(INDEX(Projects[Site Sup],251)))</f>
        <v/>
      </c>
      <c r="BQ252" s="5">
        <f>IF(A252="","",N(INDEX(Projects[Controls Commissioning],251)))</f>
        <v/>
      </c>
      <c r="BR252" s="5">
        <f>IF(A252="","",N(INDEX(Projects[Systems Commissioning],251)))</f>
        <v/>
      </c>
      <c r="BS252" s="5">
        <f>IF(A252="","",N(INDEX(Projects[Service Commissioning],251)))</f>
        <v/>
      </c>
      <c r="BT252" s="5">
        <f>IF(A252="","",N(INDEX(Projects[Controls Eng],251)))</f>
        <v/>
      </c>
      <c r="BU252" s="5">
        <f>IF(A252="","",N(INDEX(Projects[Controls Purchase],251)))</f>
        <v/>
      </c>
      <c r="BV252" s="5">
        <f>IF(A252="","",N(INDEX(Projects[Software Eng],251)))</f>
        <v/>
      </c>
      <c r="BW252" s="5">
        <f>IF(A252="","",N(INDEX(Projects[Misc],251)))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IF(A253="","",N(INDEX(Projects[Mech Inst],252)))</f>
        <v/>
      </c>
      <c r="BK253" s="5">
        <f>IF(A253="","",N(INDEX(Projects[Elec Inst],252)))</f>
        <v/>
      </c>
      <c r="BL253" s="5">
        <f>IF(A253="","",N(INDEX(Projects[Project Management],252)))</f>
        <v/>
      </c>
      <c r="BM253" s="5">
        <f>IF(A253="","",N(INDEX(Projects[Systems Eng],252)))</f>
        <v/>
      </c>
      <c r="BN253" s="5">
        <f>IF(A253="","",N(INDEX(Projects[Mechanical Eng],252)))</f>
        <v/>
      </c>
      <c r="BO253" s="5">
        <f>IF(A253="","",N(INDEX(Projects[Structural Engineering],252)))</f>
        <v/>
      </c>
      <c r="BP253" s="5">
        <f>IF(A253="","",N(INDEX(Projects[Site Sup],252)))</f>
        <v/>
      </c>
      <c r="BQ253" s="5">
        <f>IF(A253="","",N(INDEX(Projects[Controls Commissioning],252)))</f>
        <v/>
      </c>
      <c r="BR253" s="5">
        <f>IF(A253="","",N(INDEX(Projects[Systems Commissioning],252)))</f>
        <v/>
      </c>
      <c r="BS253" s="5">
        <f>IF(A253="","",N(INDEX(Projects[Service Commissioning],252)))</f>
        <v/>
      </c>
      <c r="BT253" s="5">
        <f>IF(A253="","",N(INDEX(Projects[Controls Eng],252)))</f>
        <v/>
      </c>
      <c r="BU253" s="5">
        <f>IF(A253="","",N(INDEX(Projects[Controls Purchase],252)))</f>
        <v/>
      </c>
      <c r="BV253" s="5">
        <f>IF(A253="","",N(INDEX(Projects[Software Eng],252)))</f>
        <v/>
      </c>
      <c r="BW253" s="5">
        <f>IF(A253="","",N(INDEX(Projects[Misc],252)))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IF(A254="","",N(INDEX(Projects[Mech Inst],253)))</f>
        <v/>
      </c>
      <c r="BK254" s="5">
        <f>IF(A254="","",N(INDEX(Projects[Elec Inst],253)))</f>
        <v/>
      </c>
      <c r="BL254" s="5">
        <f>IF(A254="","",N(INDEX(Projects[Project Management],253)))</f>
        <v/>
      </c>
      <c r="BM254" s="5">
        <f>IF(A254="","",N(INDEX(Projects[Systems Eng],253)))</f>
        <v/>
      </c>
      <c r="BN254" s="5">
        <f>IF(A254="","",N(INDEX(Projects[Mechanical Eng],253)))</f>
        <v/>
      </c>
      <c r="BO254" s="5">
        <f>IF(A254="","",N(INDEX(Projects[Structural Engineering],253)))</f>
        <v/>
      </c>
      <c r="BP254" s="5">
        <f>IF(A254="","",N(INDEX(Projects[Site Sup],253)))</f>
        <v/>
      </c>
      <c r="BQ254" s="5">
        <f>IF(A254="","",N(INDEX(Projects[Controls Commissioning],253)))</f>
        <v/>
      </c>
      <c r="BR254" s="5">
        <f>IF(A254="","",N(INDEX(Projects[Systems Commissioning],253)))</f>
        <v/>
      </c>
      <c r="BS254" s="5">
        <f>IF(A254="","",N(INDEX(Projects[Service Commissioning],253)))</f>
        <v/>
      </c>
      <c r="BT254" s="5">
        <f>IF(A254="","",N(INDEX(Projects[Controls Eng],253)))</f>
        <v/>
      </c>
      <c r="BU254" s="5">
        <f>IF(A254="","",N(INDEX(Projects[Controls Purchase],253)))</f>
        <v/>
      </c>
      <c r="BV254" s="5">
        <f>IF(A254="","",N(INDEX(Projects[Software Eng],253)))</f>
        <v/>
      </c>
      <c r="BW254" s="5">
        <f>IF(A254="","",N(INDEX(Projects[Misc],253)))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IF(A255="","",N(INDEX(Projects[Mech Inst],254)))</f>
        <v/>
      </c>
      <c r="BK255" s="5">
        <f>IF(A255="","",N(INDEX(Projects[Elec Inst],254)))</f>
        <v/>
      </c>
      <c r="BL255" s="5">
        <f>IF(A255="","",N(INDEX(Projects[Project Management],254)))</f>
        <v/>
      </c>
      <c r="BM255" s="5">
        <f>IF(A255="","",N(INDEX(Projects[Systems Eng],254)))</f>
        <v/>
      </c>
      <c r="BN255" s="5">
        <f>IF(A255="","",N(INDEX(Projects[Mechanical Eng],254)))</f>
        <v/>
      </c>
      <c r="BO255" s="5">
        <f>IF(A255="","",N(INDEX(Projects[Structural Engineering],254)))</f>
        <v/>
      </c>
      <c r="BP255" s="5">
        <f>IF(A255="","",N(INDEX(Projects[Site Sup],254)))</f>
        <v/>
      </c>
      <c r="BQ255" s="5">
        <f>IF(A255="","",N(INDEX(Projects[Controls Commissioning],254)))</f>
        <v/>
      </c>
      <c r="BR255" s="5">
        <f>IF(A255="","",N(INDEX(Projects[Systems Commissioning],254)))</f>
        <v/>
      </c>
      <c r="BS255" s="5">
        <f>IF(A255="","",N(INDEX(Projects[Service Commissioning],254)))</f>
        <v/>
      </c>
      <c r="BT255" s="5">
        <f>IF(A255="","",N(INDEX(Projects[Controls Eng],254)))</f>
        <v/>
      </c>
      <c r="BU255" s="5">
        <f>IF(A255="","",N(INDEX(Projects[Controls Purchase],254)))</f>
        <v/>
      </c>
      <c r="BV255" s="5">
        <f>IF(A255="","",N(INDEX(Projects[Software Eng],254)))</f>
        <v/>
      </c>
      <c r="BW255" s="5">
        <f>IF(A255="","",N(INDEX(Projects[Misc],254)))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IF(A256="","",N(INDEX(Projects[Mech Inst],255)))</f>
        <v/>
      </c>
      <c r="BK256" s="5">
        <f>IF(A256="","",N(INDEX(Projects[Elec Inst],255)))</f>
        <v/>
      </c>
      <c r="BL256" s="5">
        <f>IF(A256="","",N(INDEX(Projects[Project Management],255)))</f>
        <v/>
      </c>
      <c r="BM256" s="5">
        <f>IF(A256="","",N(INDEX(Projects[Systems Eng],255)))</f>
        <v/>
      </c>
      <c r="BN256" s="5">
        <f>IF(A256="","",N(INDEX(Projects[Mechanical Eng],255)))</f>
        <v/>
      </c>
      <c r="BO256" s="5">
        <f>IF(A256="","",N(INDEX(Projects[Structural Engineering],255)))</f>
        <v/>
      </c>
      <c r="BP256" s="5">
        <f>IF(A256="","",N(INDEX(Projects[Site Sup],255)))</f>
        <v/>
      </c>
      <c r="BQ256" s="5">
        <f>IF(A256="","",N(INDEX(Projects[Controls Commissioning],255)))</f>
        <v/>
      </c>
      <c r="BR256" s="5">
        <f>IF(A256="","",N(INDEX(Projects[Systems Commissioning],255)))</f>
        <v/>
      </c>
      <c r="BS256" s="5">
        <f>IF(A256="","",N(INDEX(Projects[Service Commissioning],255)))</f>
        <v/>
      </c>
      <c r="BT256" s="5">
        <f>IF(A256="","",N(INDEX(Projects[Controls Eng],255)))</f>
        <v/>
      </c>
      <c r="BU256" s="5">
        <f>IF(A256="","",N(INDEX(Projects[Controls Purchase],255)))</f>
        <v/>
      </c>
      <c r="BV256" s="5">
        <f>IF(A256="","",N(INDEX(Projects[Software Eng],255)))</f>
        <v/>
      </c>
      <c r="BW256" s="5">
        <f>IF(A256="","",N(INDEX(Projects[Misc],255)))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IF(A257="","",N(INDEX(Projects[Mech Inst],256)))</f>
        <v/>
      </c>
      <c r="BK257" s="5">
        <f>IF(A257="","",N(INDEX(Projects[Elec Inst],256)))</f>
        <v/>
      </c>
      <c r="BL257" s="5">
        <f>IF(A257="","",N(INDEX(Projects[Project Management],256)))</f>
        <v/>
      </c>
      <c r="BM257" s="5">
        <f>IF(A257="","",N(INDEX(Projects[Systems Eng],256)))</f>
        <v/>
      </c>
      <c r="BN257" s="5">
        <f>IF(A257="","",N(INDEX(Projects[Mechanical Eng],256)))</f>
        <v/>
      </c>
      <c r="BO257" s="5">
        <f>IF(A257="","",N(INDEX(Projects[Structural Engineering],256)))</f>
        <v/>
      </c>
      <c r="BP257" s="5">
        <f>IF(A257="","",N(INDEX(Projects[Site Sup],256)))</f>
        <v/>
      </c>
      <c r="BQ257" s="5">
        <f>IF(A257="","",N(INDEX(Projects[Controls Commissioning],256)))</f>
        <v/>
      </c>
      <c r="BR257" s="5">
        <f>IF(A257="","",N(INDEX(Projects[Systems Commissioning],256)))</f>
        <v/>
      </c>
      <c r="BS257" s="5">
        <f>IF(A257="","",N(INDEX(Projects[Service Commissioning],256)))</f>
        <v/>
      </c>
      <c r="BT257" s="5">
        <f>IF(A257="","",N(INDEX(Projects[Controls Eng],256)))</f>
        <v/>
      </c>
      <c r="BU257" s="5">
        <f>IF(A257="","",N(INDEX(Projects[Controls Purchase],256)))</f>
        <v/>
      </c>
      <c r="BV257" s="5">
        <f>IF(A257="","",N(INDEX(Projects[Software Eng],256)))</f>
        <v/>
      </c>
      <c r="BW257" s="5">
        <f>IF(A257="","",N(INDEX(Projects[Misc],256)))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IF(A258="","",N(INDEX(Projects[Mech Inst],257)))</f>
        <v/>
      </c>
      <c r="BK258" s="5">
        <f>IF(A258="","",N(INDEX(Projects[Elec Inst],257)))</f>
        <v/>
      </c>
      <c r="BL258" s="5">
        <f>IF(A258="","",N(INDEX(Projects[Project Management],257)))</f>
        <v/>
      </c>
      <c r="BM258" s="5">
        <f>IF(A258="","",N(INDEX(Projects[Systems Eng],257)))</f>
        <v/>
      </c>
      <c r="BN258" s="5">
        <f>IF(A258="","",N(INDEX(Projects[Mechanical Eng],257)))</f>
        <v/>
      </c>
      <c r="BO258" s="5">
        <f>IF(A258="","",N(INDEX(Projects[Structural Engineering],257)))</f>
        <v/>
      </c>
      <c r="BP258" s="5">
        <f>IF(A258="","",N(INDEX(Projects[Site Sup],257)))</f>
        <v/>
      </c>
      <c r="BQ258" s="5">
        <f>IF(A258="","",N(INDEX(Projects[Controls Commissioning],257)))</f>
        <v/>
      </c>
      <c r="BR258" s="5">
        <f>IF(A258="","",N(INDEX(Projects[Systems Commissioning],257)))</f>
        <v/>
      </c>
      <c r="BS258" s="5">
        <f>IF(A258="","",N(INDEX(Projects[Service Commissioning],257)))</f>
        <v/>
      </c>
      <c r="BT258" s="5">
        <f>IF(A258="","",N(INDEX(Projects[Controls Eng],257)))</f>
        <v/>
      </c>
      <c r="BU258" s="5">
        <f>IF(A258="","",N(INDEX(Projects[Controls Purchase],257)))</f>
        <v/>
      </c>
      <c r="BV258" s="5">
        <f>IF(A258="","",N(INDEX(Projects[Software Eng],257)))</f>
        <v/>
      </c>
      <c r="BW258" s="5">
        <f>IF(A258="","",N(INDEX(Projects[Misc],257)))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IF(A259="","",N(INDEX(Projects[Mech Inst],258)))</f>
        <v/>
      </c>
      <c r="BK259" s="5">
        <f>IF(A259="","",N(INDEX(Projects[Elec Inst],258)))</f>
        <v/>
      </c>
      <c r="BL259" s="5">
        <f>IF(A259="","",N(INDEX(Projects[Project Management],258)))</f>
        <v/>
      </c>
      <c r="BM259" s="5">
        <f>IF(A259="","",N(INDEX(Projects[Systems Eng],258)))</f>
        <v/>
      </c>
      <c r="BN259" s="5">
        <f>IF(A259="","",N(INDEX(Projects[Mechanical Eng],258)))</f>
        <v/>
      </c>
      <c r="BO259" s="5">
        <f>IF(A259="","",N(INDEX(Projects[Structural Engineering],258)))</f>
        <v/>
      </c>
      <c r="BP259" s="5">
        <f>IF(A259="","",N(INDEX(Projects[Site Sup],258)))</f>
        <v/>
      </c>
      <c r="BQ259" s="5">
        <f>IF(A259="","",N(INDEX(Projects[Controls Commissioning],258)))</f>
        <v/>
      </c>
      <c r="BR259" s="5">
        <f>IF(A259="","",N(INDEX(Projects[Systems Commissioning],258)))</f>
        <v/>
      </c>
      <c r="BS259" s="5">
        <f>IF(A259="","",N(INDEX(Projects[Service Commissioning],258)))</f>
        <v/>
      </c>
      <c r="BT259" s="5">
        <f>IF(A259="","",N(INDEX(Projects[Controls Eng],258)))</f>
        <v/>
      </c>
      <c r="BU259" s="5">
        <f>IF(A259="","",N(INDEX(Projects[Controls Purchase],258)))</f>
        <v/>
      </c>
      <c r="BV259" s="5">
        <f>IF(A259="","",N(INDEX(Projects[Software Eng],258)))</f>
        <v/>
      </c>
      <c r="BW259" s="5">
        <f>IF(A259="","",N(INDEX(Projects[Misc],258)))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IF(A260="","",N(INDEX(Projects[Mech Inst],259)))</f>
        <v/>
      </c>
      <c r="BK260" s="5">
        <f>IF(A260="","",N(INDEX(Projects[Elec Inst],259)))</f>
        <v/>
      </c>
      <c r="BL260" s="5">
        <f>IF(A260="","",N(INDEX(Projects[Project Management],259)))</f>
        <v/>
      </c>
      <c r="BM260" s="5">
        <f>IF(A260="","",N(INDEX(Projects[Systems Eng],259)))</f>
        <v/>
      </c>
      <c r="BN260" s="5">
        <f>IF(A260="","",N(INDEX(Projects[Mechanical Eng],259)))</f>
        <v/>
      </c>
      <c r="BO260" s="5">
        <f>IF(A260="","",N(INDEX(Projects[Structural Engineering],259)))</f>
        <v/>
      </c>
      <c r="BP260" s="5">
        <f>IF(A260="","",N(INDEX(Projects[Site Sup],259)))</f>
        <v/>
      </c>
      <c r="BQ260" s="5">
        <f>IF(A260="","",N(INDEX(Projects[Controls Commissioning],259)))</f>
        <v/>
      </c>
      <c r="BR260" s="5">
        <f>IF(A260="","",N(INDEX(Projects[Systems Commissioning],259)))</f>
        <v/>
      </c>
      <c r="BS260" s="5">
        <f>IF(A260="","",N(INDEX(Projects[Service Commissioning],259)))</f>
        <v/>
      </c>
      <c r="BT260" s="5">
        <f>IF(A260="","",N(INDEX(Projects[Controls Eng],259)))</f>
        <v/>
      </c>
      <c r="BU260" s="5">
        <f>IF(A260="","",N(INDEX(Projects[Controls Purchase],259)))</f>
        <v/>
      </c>
      <c r="BV260" s="5">
        <f>IF(A260="","",N(INDEX(Projects[Software Eng],259)))</f>
        <v/>
      </c>
      <c r="BW260" s="5">
        <f>IF(A260="","",N(INDEX(Projects[Misc],259)))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IF(A261="","",N(INDEX(Projects[Mech Inst],260)))</f>
        <v/>
      </c>
      <c r="BK261" s="5">
        <f>IF(A261="","",N(INDEX(Projects[Elec Inst],260)))</f>
        <v/>
      </c>
      <c r="BL261" s="5">
        <f>IF(A261="","",N(INDEX(Projects[Project Management],260)))</f>
        <v/>
      </c>
      <c r="BM261" s="5">
        <f>IF(A261="","",N(INDEX(Projects[Systems Eng],260)))</f>
        <v/>
      </c>
      <c r="BN261" s="5">
        <f>IF(A261="","",N(INDEX(Projects[Mechanical Eng],260)))</f>
        <v/>
      </c>
      <c r="BO261" s="5">
        <f>IF(A261="","",N(INDEX(Projects[Structural Engineering],260)))</f>
        <v/>
      </c>
      <c r="BP261" s="5">
        <f>IF(A261="","",N(INDEX(Projects[Site Sup],260)))</f>
        <v/>
      </c>
      <c r="BQ261" s="5">
        <f>IF(A261="","",N(INDEX(Projects[Controls Commissioning],260)))</f>
        <v/>
      </c>
      <c r="BR261" s="5">
        <f>IF(A261="","",N(INDEX(Projects[Systems Commissioning],260)))</f>
        <v/>
      </c>
      <c r="BS261" s="5">
        <f>IF(A261="","",N(INDEX(Projects[Service Commissioning],260)))</f>
        <v/>
      </c>
      <c r="BT261" s="5">
        <f>IF(A261="","",N(INDEX(Projects[Controls Eng],260)))</f>
        <v/>
      </c>
      <c r="BU261" s="5">
        <f>IF(A261="","",N(INDEX(Projects[Controls Purchase],260)))</f>
        <v/>
      </c>
      <c r="BV261" s="5">
        <f>IF(A261="","",N(INDEX(Projects[Software Eng],260)))</f>
        <v/>
      </c>
      <c r="BW261" s="5">
        <f>IF(A261="","",N(INDEX(Projects[Misc],260)))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IF(A262="","",N(INDEX(Projects[Mech Inst],261)))</f>
        <v/>
      </c>
      <c r="BK262" s="5">
        <f>IF(A262="","",N(INDEX(Projects[Elec Inst],261)))</f>
        <v/>
      </c>
      <c r="BL262" s="5">
        <f>IF(A262="","",N(INDEX(Projects[Project Management],261)))</f>
        <v/>
      </c>
      <c r="BM262" s="5">
        <f>IF(A262="","",N(INDEX(Projects[Systems Eng],261)))</f>
        <v/>
      </c>
      <c r="BN262" s="5">
        <f>IF(A262="","",N(INDEX(Projects[Mechanical Eng],261)))</f>
        <v/>
      </c>
      <c r="BO262" s="5">
        <f>IF(A262="","",N(INDEX(Projects[Structural Engineering],261)))</f>
        <v/>
      </c>
      <c r="BP262" s="5">
        <f>IF(A262="","",N(INDEX(Projects[Site Sup],261)))</f>
        <v/>
      </c>
      <c r="BQ262" s="5">
        <f>IF(A262="","",N(INDEX(Projects[Controls Commissioning],261)))</f>
        <v/>
      </c>
      <c r="BR262" s="5">
        <f>IF(A262="","",N(INDEX(Projects[Systems Commissioning],261)))</f>
        <v/>
      </c>
      <c r="BS262" s="5">
        <f>IF(A262="","",N(INDEX(Projects[Service Commissioning],261)))</f>
        <v/>
      </c>
      <c r="BT262" s="5">
        <f>IF(A262="","",N(INDEX(Projects[Controls Eng],261)))</f>
        <v/>
      </c>
      <c r="BU262" s="5">
        <f>IF(A262="","",N(INDEX(Projects[Controls Purchase],261)))</f>
        <v/>
      </c>
      <c r="BV262" s="5">
        <f>IF(A262="","",N(INDEX(Projects[Software Eng],261)))</f>
        <v/>
      </c>
      <c r="BW262" s="5">
        <f>IF(A262="","",N(INDEX(Projects[Misc],261)))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IF(A263="","",N(INDEX(Projects[Mech Inst],262)))</f>
        <v/>
      </c>
      <c r="BK263" s="5">
        <f>IF(A263="","",N(INDEX(Projects[Elec Inst],262)))</f>
        <v/>
      </c>
      <c r="BL263" s="5">
        <f>IF(A263="","",N(INDEX(Projects[Project Management],262)))</f>
        <v/>
      </c>
      <c r="BM263" s="5">
        <f>IF(A263="","",N(INDEX(Projects[Systems Eng],262)))</f>
        <v/>
      </c>
      <c r="BN263" s="5">
        <f>IF(A263="","",N(INDEX(Projects[Mechanical Eng],262)))</f>
        <v/>
      </c>
      <c r="BO263" s="5">
        <f>IF(A263="","",N(INDEX(Projects[Structural Engineering],262)))</f>
        <v/>
      </c>
      <c r="BP263" s="5">
        <f>IF(A263="","",N(INDEX(Projects[Site Sup],262)))</f>
        <v/>
      </c>
      <c r="BQ263" s="5">
        <f>IF(A263="","",N(INDEX(Projects[Controls Commissioning],262)))</f>
        <v/>
      </c>
      <c r="BR263" s="5">
        <f>IF(A263="","",N(INDEX(Projects[Systems Commissioning],262)))</f>
        <v/>
      </c>
      <c r="BS263" s="5">
        <f>IF(A263="","",N(INDEX(Projects[Service Commissioning],262)))</f>
        <v/>
      </c>
      <c r="BT263" s="5">
        <f>IF(A263="","",N(INDEX(Projects[Controls Eng],262)))</f>
        <v/>
      </c>
      <c r="BU263" s="5">
        <f>IF(A263="","",N(INDEX(Projects[Controls Purchase],262)))</f>
        <v/>
      </c>
      <c r="BV263" s="5">
        <f>IF(A263="","",N(INDEX(Projects[Software Eng],262)))</f>
        <v/>
      </c>
      <c r="BW263" s="5">
        <f>IF(A263="","",N(INDEX(Projects[Misc],262)))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IF(A264="","",N(INDEX(Projects[Mech Inst],263)))</f>
        <v/>
      </c>
      <c r="BK264" s="5">
        <f>IF(A264="","",N(INDEX(Projects[Elec Inst],263)))</f>
        <v/>
      </c>
      <c r="BL264" s="5">
        <f>IF(A264="","",N(INDEX(Projects[Project Management],263)))</f>
        <v/>
      </c>
      <c r="BM264" s="5">
        <f>IF(A264="","",N(INDEX(Projects[Systems Eng],263)))</f>
        <v/>
      </c>
      <c r="BN264" s="5">
        <f>IF(A264="","",N(INDEX(Projects[Mechanical Eng],263)))</f>
        <v/>
      </c>
      <c r="BO264" s="5">
        <f>IF(A264="","",N(INDEX(Projects[Structural Engineering],263)))</f>
        <v/>
      </c>
      <c r="BP264" s="5">
        <f>IF(A264="","",N(INDEX(Projects[Site Sup],263)))</f>
        <v/>
      </c>
      <c r="BQ264" s="5">
        <f>IF(A264="","",N(INDEX(Projects[Controls Commissioning],263)))</f>
        <v/>
      </c>
      <c r="BR264" s="5">
        <f>IF(A264="","",N(INDEX(Projects[Systems Commissioning],263)))</f>
        <v/>
      </c>
      <c r="BS264" s="5">
        <f>IF(A264="","",N(INDEX(Projects[Service Commissioning],263)))</f>
        <v/>
      </c>
      <c r="BT264" s="5">
        <f>IF(A264="","",N(INDEX(Projects[Controls Eng],263)))</f>
        <v/>
      </c>
      <c r="BU264" s="5">
        <f>IF(A264="","",N(INDEX(Projects[Controls Purchase],263)))</f>
        <v/>
      </c>
      <c r="BV264" s="5">
        <f>IF(A264="","",N(INDEX(Projects[Software Eng],263)))</f>
        <v/>
      </c>
      <c r="BW264" s="5">
        <f>IF(A264="","",N(INDEX(Projects[Misc],263)))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IF(A265="","",N(INDEX(Projects[Mech Inst],264)))</f>
        <v/>
      </c>
      <c r="BK265" s="5">
        <f>IF(A265="","",N(INDEX(Projects[Elec Inst],264)))</f>
        <v/>
      </c>
      <c r="BL265" s="5">
        <f>IF(A265="","",N(INDEX(Projects[Project Management],264)))</f>
        <v/>
      </c>
      <c r="BM265" s="5">
        <f>IF(A265="","",N(INDEX(Projects[Systems Eng],264)))</f>
        <v/>
      </c>
      <c r="BN265" s="5">
        <f>IF(A265="","",N(INDEX(Projects[Mechanical Eng],264)))</f>
        <v/>
      </c>
      <c r="BO265" s="5">
        <f>IF(A265="","",N(INDEX(Projects[Structural Engineering],264)))</f>
        <v/>
      </c>
      <c r="BP265" s="5">
        <f>IF(A265="","",N(INDEX(Projects[Site Sup],264)))</f>
        <v/>
      </c>
      <c r="BQ265" s="5">
        <f>IF(A265="","",N(INDEX(Projects[Controls Commissioning],264)))</f>
        <v/>
      </c>
      <c r="BR265" s="5">
        <f>IF(A265="","",N(INDEX(Projects[Systems Commissioning],264)))</f>
        <v/>
      </c>
      <c r="BS265" s="5">
        <f>IF(A265="","",N(INDEX(Projects[Service Commissioning],264)))</f>
        <v/>
      </c>
      <c r="BT265" s="5">
        <f>IF(A265="","",N(INDEX(Projects[Controls Eng],264)))</f>
        <v/>
      </c>
      <c r="BU265" s="5">
        <f>IF(A265="","",N(INDEX(Projects[Controls Purchase],264)))</f>
        <v/>
      </c>
      <c r="BV265" s="5">
        <f>IF(A265="","",N(INDEX(Projects[Software Eng],264)))</f>
        <v/>
      </c>
      <c r="BW265" s="5">
        <f>IF(A265="","",N(INDEX(Projects[Misc],264)))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IF(A266="","",N(INDEX(Projects[Mech Inst],265)))</f>
        <v/>
      </c>
      <c r="BK266" s="5">
        <f>IF(A266="","",N(INDEX(Projects[Elec Inst],265)))</f>
        <v/>
      </c>
      <c r="BL266" s="5">
        <f>IF(A266="","",N(INDEX(Projects[Project Management],265)))</f>
        <v/>
      </c>
      <c r="BM266" s="5">
        <f>IF(A266="","",N(INDEX(Projects[Systems Eng],265)))</f>
        <v/>
      </c>
      <c r="BN266" s="5">
        <f>IF(A266="","",N(INDEX(Projects[Mechanical Eng],265)))</f>
        <v/>
      </c>
      <c r="BO266" s="5">
        <f>IF(A266="","",N(INDEX(Projects[Structural Engineering],265)))</f>
        <v/>
      </c>
      <c r="BP266" s="5">
        <f>IF(A266="","",N(INDEX(Projects[Site Sup],265)))</f>
        <v/>
      </c>
      <c r="BQ266" s="5">
        <f>IF(A266="","",N(INDEX(Projects[Controls Commissioning],265)))</f>
        <v/>
      </c>
      <c r="BR266" s="5">
        <f>IF(A266="","",N(INDEX(Projects[Systems Commissioning],265)))</f>
        <v/>
      </c>
      <c r="BS266" s="5">
        <f>IF(A266="","",N(INDEX(Projects[Service Commissioning],265)))</f>
        <v/>
      </c>
      <c r="BT266" s="5">
        <f>IF(A266="","",N(INDEX(Projects[Controls Eng],265)))</f>
        <v/>
      </c>
      <c r="BU266" s="5">
        <f>IF(A266="","",N(INDEX(Projects[Controls Purchase],265)))</f>
        <v/>
      </c>
      <c r="BV266" s="5">
        <f>IF(A266="","",N(INDEX(Projects[Software Eng],265)))</f>
        <v/>
      </c>
      <c r="BW266" s="5">
        <f>IF(A266="","",N(INDEX(Projects[Misc],265)))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IF(A267="","",N(INDEX(Projects[Mech Inst],266)))</f>
        <v/>
      </c>
      <c r="BK267" s="5">
        <f>IF(A267="","",N(INDEX(Projects[Elec Inst],266)))</f>
        <v/>
      </c>
      <c r="BL267" s="5">
        <f>IF(A267="","",N(INDEX(Projects[Project Management],266)))</f>
        <v/>
      </c>
      <c r="BM267" s="5">
        <f>IF(A267="","",N(INDEX(Projects[Systems Eng],266)))</f>
        <v/>
      </c>
      <c r="BN267" s="5">
        <f>IF(A267="","",N(INDEX(Projects[Mechanical Eng],266)))</f>
        <v/>
      </c>
      <c r="BO267" s="5">
        <f>IF(A267="","",N(INDEX(Projects[Structural Engineering],266)))</f>
        <v/>
      </c>
      <c r="BP267" s="5">
        <f>IF(A267="","",N(INDEX(Projects[Site Sup],266)))</f>
        <v/>
      </c>
      <c r="BQ267" s="5">
        <f>IF(A267="","",N(INDEX(Projects[Controls Commissioning],266)))</f>
        <v/>
      </c>
      <c r="BR267" s="5">
        <f>IF(A267="","",N(INDEX(Projects[Systems Commissioning],266)))</f>
        <v/>
      </c>
      <c r="BS267" s="5">
        <f>IF(A267="","",N(INDEX(Projects[Service Commissioning],266)))</f>
        <v/>
      </c>
      <c r="BT267" s="5">
        <f>IF(A267="","",N(INDEX(Projects[Controls Eng],266)))</f>
        <v/>
      </c>
      <c r="BU267" s="5">
        <f>IF(A267="","",N(INDEX(Projects[Controls Purchase],266)))</f>
        <v/>
      </c>
      <c r="BV267" s="5">
        <f>IF(A267="","",N(INDEX(Projects[Software Eng],266)))</f>
        <v/>
      </c>
      <c r="BW267" s="5">
        <f>IF(A267="","",N(INDEX(Projects[Misc],266)))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IF(A268="","",N(INDEX(Projects[Mech Inst],267)))</f>
        <v/>
      </c>
      <c r="BK268" s="5">
        <f>IF(A268="","",N(INDEX(Projects[Elec Inst],267)))</f>
        <v/>
      </c>
      <c r="BL268" s="5">
        <f>IF(A268="","",N(INDEX(Projects[Project Management],267)))</f>
        <v/>
      </c>
      <c r="BM268" s="5">
        <f>IF(A268="","",N(INDEX(Projects[Systems Eng],267)))</f>
        <v/>
      </c>
      <c r="BN268" s="5">
        <f>IF(A268="","",N(INDEX(Projects[Mechanical Eng],267)))</f>
        <v/>
      </c>
      <c r="BO268" s="5">
        <f>IF(A268="","",N(INDEX(Projects[Structural Engineering],267)))</f>
        <v/>
      </c>
      <c r="BP268" s="5">
        <f>IF(A268="","",N(INDEX(Projects[Site Sup],267)))</f>
        <v/>
      </c>
      <c r="BQ268" s="5">
        <f>IF(A268="","",N(INDEX(Projects[Controls Commissioning],267)))</f>
        <v/>
      </c>
      <c r="BR268" s="5">
        <f>IF(A268="","",N(INDEX(Projects[Systems Commissioning],267)))</f>
        <v/>
      </c>
      <c r="BS268" s="5">
        <f>IF(A268="","",N(INDEX(Projects[Service Commissioning],267)))</f>
        <v/>
      </c>
      <c r="BT268" s="5">
        <f>IF(A268="","",N(INDEX(Projects[Controls Eng],267)))</f>
        <v/>
      </c>
      <c r="BU268" s="5">
        <f>IF(A268="","",N(INDEX(Projects[Controls Purchase],267)))</f>
        <v/>
      </c>
      <c r="BV268" s="5">
        <f>IF(A268="","",N(INDEX(Projects[Software Eng],267)))</f>
        <v/>
      </c>
      <c r="BW268" s="5">
        <f>IF(A268="","",N(INDEX(Projects[Misc],267)))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IF(A269="","",N(INDEX(Projects[Mech Inst],268)))</f>
        <v/>
      </c>
      <c r="BK269" s="5">
        <f>IF(A269="","",N(INDEX(Projects[Elec Inst],268)))</f>
        <v/>
      </c>
      <c r="BL269" s="5">
        <f>IF(A269="","",N(INDEX(Projects[Project Management],268)))</f>
        <v/>
      </c>
      <c r="BM269" s="5">
        <f>IF(A269="","",N(INDEX(Projects[Systems Eng],268)))</f>
        <v/>
      </c>
      <c r="BN269" s="5">
        <f>IF(A269="","",N(INDEX(Projects[Mechanical Eng],268)))</f>
        <v/>
      </c>
      <c r="BO269" s="5">
        <f>IF(A269="","",N(INDEX(Projects[Structural Engineering],268)))</f>
        <v/>
      </c>
      <c r="BP269" s="5">
        <f>IF(A269="","",N(INDEX(Projects[Site Sup],268)))</f>
        <v/>
      </c>
      <c r="BQ269" s="5">
        <f>IF(A269="","",N(INDEX(Projects[Controls Commissioning],268)))</f>
        <v/>
      </c>
      <c r="BR269" s="5">
        <f>IF(A269="","",N(INDEX(Projects[Systems Commissioning],268)))</f>
        <v/>
      </c>
      <c r="BS269" s="5">
        <f>IF(A269="","",N(INDEX(Projects[Service Commissioning],268)))</f>
        <v/>
      </c>
      <c r="BT269" s="5">
        <f>IF(A269="","",N(INDEX(Projects[Controls Eng],268)))</f>
        <v/>
      </c>
      <c r="BU269" s="5">
        <f>IF(A269="","",N(INDEX(Projects[Controls Purchase],268)))</f>
        <v/>
      </c>
      <c r="BV269" s="5">
        <f>IF(A269="","",N(INDEX(Projects[Software Eng],268)))</f>
        <v/>
      </c>
      <c r="BW269" s="5">
        <f>IF(A269="","",N(INDEX(Projects[Misc],268)))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IF(A270="","",N(INDEX(Projects[Mech Inst],269)))</f>
        <v/>
      </c>
      <c r="BK270" s="5">
        <f>IF(A270="","",N(INDEX(Projects[Elec Inst],269)))</f>
        <v/>
      </c>
      <c r="BL270" s="5">
        <f>IF(A270="","",N(INDEX(Projects[Project Management],269)))</f>
        <v/>
      </c>
      <c r="BM270" s="5">
        <f>IF(A270="","",N(INDEX(Projects[Systems Eng],269)))</f>
        <v/>
      </c>
      <c r="BN270" s="5">
        <f>IF(A270="","",N(INDEX(Projects[Mechanical Eng],269)))</f>
        <v/>
      </c>
      <c r="BO270" s="5">
        <f>IF(A270="","",N(INDEX(Projects[Structural Engineering],269)))</f>
        <v/>
      </c>
      <c r="BP270" s="5">
        <f>IF(A270="","",N(INDEX(Projects[Site Sup],269)))</f>
        <v/>
      </c>
      <c r="BQ270" s="5">
        <f>IF(A270="","",N(INDEX(Projects[Controls Commissioning],269)))</f>
        <v/>
      </c>
      <c r="BR270" s="5">
        <f>IF(A270="","",N(INDEX(Projects[Systems Commissioning],269)))</f>
        <v/>
      </c>
      <c r="BS270" s="5">
        <f>IF(A270="","",N(INDEX(Projects[Service Commissioning],269)))</f>
        <v/>
      </c>
      <c r="BT270" s="5">
        <f>IF(A270="","",N(INDEX(Projects[Controls Eng],269)))</f>
        <v/>
      </c>
      <c r="BU270" s="5">
        <f>IF(A270="","",N(INDEX(Projects[Controls Purchase],269)))</f>
        <v/>
      </c>
      <c r="BV270" s="5">
        <f>IF(A270="","",N(INDEX(Projects[Software Eng],269)))</f>
        <v/>
      </c>
      <c r="BW270" s="5">
        <f>IF(A270="","",N(INDEX(Projects[Misc],269)))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IF(A271="","",N(INDEX(Projects[Mech Inst],270)))</f>
        <v/>
      </c>
      <c r="BK271" s="5">
        <f>IF(A271="","",N(INDEX(Projects[Elec Inst],270)))</f>
        <v/>
      </c>
      <c r="BL271" s="5">
        <f>IF(A271="","",N(INDEX(Projects[Project Management],270)))</f>
        <v/>
      </c>
      <c r="BM271" s="5">
        <f>IF(A271="","",N(INDEX(Projects[Systems Eng],270)))</f>
        <v/>
      </c>
      <c r="BN271" s="5">
        <f>IF(A271="","",N(INDEX(Projects[Mechanical Eng],270)))</f>
        <v/>
      </c>
      <c r="BO271" s="5">
        <f>IF(A271="","",N(INDEX(Projects[Structural Engineering],270)))</f>
        <v/>
      </c>
      <c r="BP271" s="5">
        <f>IF(A271="","",N(INDEX(Projects[Site Sup],270)))</f>
        <v/>
      </c>
      <c r="BQ271" s="5">
        <f>IF(A271="","",N(INDEX(Projects[Controls Commissioning],270)))</f>
        <v/>
      </c>
      <c r="BR271" s="5">
        <f>IF(A271="","",N(INDEX(Projects[Systems Commissioning],270)))</f>
        <v/>
      </c>
      <c r="BS271" s="5">
        <f>IF(A271="","",N(INDEX(Projects[Service Commissioning],270)))</f>
        <v/>
      </c>
      <c r="BT271" s="5">
        <f>IF(A271="","",N(INDEX(Projects[Controls Eng],270)))</f>
        <v/>
      </c>
      <c r="BU271" s="5">
        <f>IF(A271="","",N(INDEX(Projects[Controls Purchase],270)))</f>
        <v/>
      </c>
      <c r="BV271" s="5">
        <f>IF(A271="","",N(INDEX(Projects[Software Eng],270)))</f>
        <v/>
      </c>
      <c r="BW271" s="5">
        <f>IF(A271="","",N(INDEX(Projects[Misc],270)))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IF(A272="","",N(INDEX(Projects[Mech Inst],271)))</f>
        <v/>
      </c>
      <c r="BK272" s="5">
        <f>IF(A272="","",N(INDEX(Projects[Elec Inst],271)))</f>
        <v/>
      </c>
      <c r="BL272" s="5">
        <f>IF(A272="","",N(INDEX(Projects[Project Management],271)))</f>
        <v/>
      </c>
      <c r="BM272" s="5">
        <f>IF(A272="","",N(INDEX(Projects[Systems Eng],271)))</f>
        <v/>
      </c>
      <c r="BN272" s="5">
        <f>IF(A272="","",N(INDEX(Projects[Mechanical Eng],271)))</f>
        <v/>
      </c>
      <c r="BO272" s="5">
        <f>IF(A272="","",N(INDEX(Projects[Structural Engineering],271)))</f>
        <v/>
      </c>
      <c r="BP272" s="5">
        <f>IF(A272="","",N(INDEX(Projects[Site Sup],271)))</f>
        <v/>
      </c>
      <c r="BQ272" s="5">
        <f>IF(A272="","",N(INDEX(Projects[Controls Commissioning],271)))</f>
        <v/>
      </c>
      <c r="BR272" s="5">
        <f>IF(A272="","",N(INDEX(Projects[Systems Commissioning],271)))</f>
        <v/>
      </c>
      <c r="BS272" s="5">
        <f>IF(A272="","",N(INDEX(Projects[Service Commissioning],271)))</f>
        <v/>
      </c>
      <c r="BT272" s="5">
        <f>IF(A272="","",N(INDEX(Projects[Controls Eng],271)))</f>
        <v/>
      </c>
      <c r="BU272" s="5">
        <f>IF(A272="","",N(INDEX(Projects[Controls Purchase],271)))</f>
        <v/>
      </c>
      <c r="BV272" s="5">
        <f>IF(A272="","",N(INDEX(Projects[Software Eng],271)))</f>
        <v/>
      </c>
      <c r="BW272" s="5">
        <f>IF(A272="","",N(INDEX(Projects[Misc],271)))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IF(A273="","",N(INDEX(Projects[Mech Inst],272)))</f>
        <v/>
      </c>
      <c r="BK273" s="5">
        <f>IF(A273="","",N(INDEX(Projects[Elec Inst],272)))</f>
        <v/>
      </c>
      <c r="BL273" s="5">
        <f>IF(A273="","",N(INDEX(Projects[Project Management],272)))</f>
        <v/>
      </c>
      <c r="BM273" s="5">
        <f>IF(A273="","",N(INDEX(Projects[Systems Eng],272)))</f>
        <v/>
      </c>
      <c r="BN273" s="5">
        <f>IF(A273="","",N(INDEX(Projects[Mechanical Eng],272)))</f>
        <v/>
      </c>
      <c r="BO273" s="5">
        <f>IF(A273="","",N(INDEX(Projects[Structural Engineering],272)))</f>
        <v/>
      </c>
      <c r="BP273" s="5">
        <f>IF(A273="","",N(INDEX(Projects[Site Sup],272)))</f>
        <v/>
      </c>
      <c r="BQ273" s="5">
        <f>IF(A273="","",N(INDEX(Projects[Controls Commissioning],272)))</f>
        <v/>
      </c>
      <c r="BR273" s="5">
        <f>IF(A273="","",N(INDEX(Projects[Systems Commissioning],272)))</f>
        <v/>
      </c>
      <c r="BS273" s="5">
        <f>IF(A273="","",N(INDEX(Projects[Service Commissioning],272)))</f>
        <v/>
      </c>
      <c r="BT273" s="5">
        <f>IF(A273="","",N(INDEX(Projects[Controls Eng],272)))</f>
        <v/>
      </c>
      <c r="BU273" s="5">
        <f>IF(A273="","",N(INDEX(Projects[Controls Purchase],272)))</f>
        <v/>
      </c>
      <c r="BV273" s="5">
        <f>IF(A273="","",N(INDEX(Projects[Software Eng],272)))</f>
        <v/>
      </c>
      <c r="BW273" s="5">
        <f>IF(A273="","",N(INDEX(Projects[Misc],272)))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IF(A274="","",N(INDEX(Projects[Mech Inst],273)))</f>
        <v/>
      </c>
      <c r="BK274" s="5">
        <f>IF(A274="","",N(INDEX(Projects[Elec Inst],273)))</f>
        <v/>
      </c>
      <c r="BL274" s="5">
        <f>IF(A274="","",N(INDEX(Projects[Project Management],273)))</f>
        <v/>
      </c>
      <c r="BM274" s="5">
        <f>IF(A274="","",N(INDEX(Projects[Systems Eng],273)))</f>
        <v/>
      </c>
      <c r="BN274" s="5">
        <f>IF(A274="","",N(INDEX(Projects[Mechanical Eng],273)))</f>
        <v/>
      </c>
      <c r="BO274" s="5">
        <f>IF(A274="","",N(INDEX(Projects[Structural Engineering],273)))</f>
        <v/>
      </c>
      <c r="BP274" s="5">
        <f>IF(A274="","",N(INDEX(Projects[Site Sup],273)))</f>
        <v/>
      </c>
      <c r="BQ274" s="5">
        <f>IF(A274="","",N(INDEX(Projects[Controls Commissioning],273)))</f>
        <v/>
      </c>
      <c r="BR274" s="5">
        <f>IF(A274="","",N(INDEX(Projects[Systems Commissioning],273)))</f>
        <v/>
      </c>
      <c r="BS274" s="5">
        <f>IF(A274="","",N(INDEX(Projects[Service Commissioning],273)))</f>
        <v/>
      </c>
      <c r="BT274" s="5">
        <f>IF(A274="","",N(INDEX(Projects[Controls Eng],273)))</f>
        <v/>
      </c>
      <c r="BU274" s="5">
        <f>IF(A274="","",N(INDEX(Projects[Controls Purchase],273)))</f>
        <v/>
      </c>
      <c r="BV274" s="5">
        <f>IF(A274="","",N(INDEX(Projects[Software Eng],273)))</f>
        <v/>
      </c>
      <c r="BW274" s="5">
        <f>IF(A274="","",N(INDEX(Projects[Misc],273)))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IF(A275="","",N(INDEX(Projects[Mech Inst],274)))</f>
        <v/>
      </c>
      <c r="BK275" s="5">
        <f>IF(A275="","",N(INDEX(Projects[Elec Inst],274)))</f>
        <v/>
      </c>
      <c r="BL275" s="5">
        <f>IF(A275="","",N(INDEX(Projects[Project Management],274)))</f>
        <v/>
      </c>
      <c r="BM275" s="5">
        <f>IF(A275="","",N(INDEX(Projects[Systems Eng],274)))</f>
        <v/>
      </c>
      <c r="BN275" s="5">
        <f>IF(A275="","",N(INDEX(Projects[Mechanical Eng],274)))</f>
        <v/>
      </c>
      <c r="BO275" s="5">
        <f>IF(A275="","",N(INDEX(Projects[Structural Engineering],274)))</f>
        <v/>
      </c>
      <c r="BP275" s="5">
        <f>IF(A275="","",N(INDEX(Projects[Site Sup],274)))</f>
        <v/>
      </c>
      <c r="BQ275" s="5">
        <f>IF(A275="","",N(INDEX(Projects[Controls Commissioning],274)))</f>
        <v/>
      </c>
      <c r="BR275" s="5">
        <f>IF(A275="","",N(INDEX(Projects[Systems Commissioning],274)))</f>
        <v/>
      </c>
      <c r="BS275" s="5">
        <f>IF(A275="","",N(INDEX(Projects[Service Commissioning],274)))</f>
        <v/>
      </c>
      <c r="BT275" s="5">
        <f>IF(A275="","",N(INDEX(Projects[Controls Eng],274)))</f>
        <v/>
      </c>
      <c r="BU275" s="5">
        <f>IF(A275="","",N(INDEX(Projects[Controls Purchase],274)))</f>
        <v/>
      </c>
      <c r="BV275" s="5">
        <f>IF(A275="","",N(INDEX(Projects[Software Eng],274)))</f>
        <v/>
      </c>
      <c r="BW275" s="5">
        <f>IF(A275="","",N(INDEX(Projects[Misc],274)))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IF(A276="","",N(INDEX(Projects[Mech Inst],275)))</f>
        <v/>
      </c>
      <c r="BK276" s="5">
        <f>IF(A276="","",N(INDEX(Projects[Elec Inst],275)))</f>
        <v/>
      </c>
      <c r="BL276" s="5">
        <f>IF(A276="","",N(INDEX(Projects[Project Management],275)))</f>
        <v/>
      </c>
      <c r="BM276" s="5">
        <f>IF(A276="","",N(INDEX(Projects[Systems Eng],275)))</f>
        <v/>
      </c>
      <c r="BN276" s="5">
        <f>IF(A276="","",N(INDEX(Projects[Mechanical Eng],275)))</f>
        <v/>
      </c>
      <c r="BO276" s="5">
        <f>IF(A276="","",N(INDEX(Projects[Structural Engineering],275)))</f>
        <v/>
      </c>
      <c r="BP276" s="5">
        <f>IF(A276="","",N(INDEX(Projects[Site Sup],275)))</f>
        <v/>
      </c>
      <c r="BQ276" s="5">
        <f>IF(A276="","",N(INDEX(Projects[Controls Commissioning],275)))</f>
        <v/>
      </c>
      <c r="BR276" s="5">
        <f>IF(A276="","",N(INDEX(Projects[Systems Commissioning],275)))</f>
        <v/>
      </c>
      <c r="BS276" s="5">
        <f>IF(A276="","",N(INDEX(Projects[Service Commissioning],275)))</f>
        <v/>
      </c>
      <c r="BT276" s="5">
        <f>IF(A276="","",N(INDEX(Projects[Controls Eng],275)))</f>
        <v/>
      </c>
      <c r="BU276" s="5">
        <f>IF(A276="","",N(INDEX(Projects[Controls Purchase],275)))</f>
        <v/>
      </c>
      <c r="BV276" s="5">
        <f>IF(A276="","",N(INDEX(Projects[Software Eng],275)))</f>
        <v/>
      </c>
      <c r="BW276" s="5">
        <f>IF(A276="","",N(INDEX(Projects[Misc],275)))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IF(A277="","",N(INDEX(Projects[Mech Inst],276)))</f>
        <v/>
      </c>
      <c r="BK277" s="5">
        <f>IF(A277="","",N(INDEX(Projects[Elec Inst],276)))</f>
        <v/>
      </c>
      <c r="BL277" s="5">
        <f>IF(A277="","",N(INDEX(Projects[Project Management],276)))</f>
        <v/>
      </c>
      <c r="BM277" s="5">
        <f>IF(A277="","",N(INDEX(Projects[Systems Eng],276)))</f>
        <v/>
      </c>
      <c r="BN277" s="5">
        <f>IF(A277="","",N(INDEX(Projects[Mechanical Eng],276)))</f>
        <v/>
      </c>
      <c r="BO277" s="5">
        <f>IF(A277="","",N(INDEX(Projects[Structural Engineering],276)))</f>
        <v/>
      </c>
      <c r="BP277" s="5">
        <f>IF(A277="","",N(INDEX(Projects[Site Sup],276)))</f>
        <v/>
      </c>
      <c r="BQ277" s="5">
        <f>IF(A277="","",N(INDEX(Projects[Controls Commissioning],276)))</f>
        <v/>
      </c>
      <c r="BR277" s="5">
        <f>IF(A277="","",N(INDEX(Projects[Systems Commissioning],276)))</f>
        <v/>
      </c>
      <c r="BS277" s="5">
        <f>IF(A277="","",N(INDEX(Projects[Service Commissioning],276)))</f>
        <v/>
      </c>
      <c r="BT277" s="5">
        <f>IF(A277="","",N(INDEX(Projects[Controls Eng],276)))</f>
        <v/>
      </c>
      <c r="BU277" s="5">
        <f>IF(A277="","",N(INDEX(Projects[Controls Purchase],276)))</f>
        <v/>
      </c>
      <c r="BV277" s="5">
        <f>IF(A277="","",N(INDEX(Projects[Software Eng],276)))</f>
        <v/>
      </c>
      <c r="BW277" s="5">
        <f>IF(A277="","",N(INDEX(Projects[Misc],276)))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IF(A278="","",N(INDEX(Projects[Mech Inst],277)))</f>
        <v/>
      </c>
      <c r="BK278" s="5">
        <f>IF(A278="","",N(INDEX(Projects[Elec Inst],277)))</f>
        <v/>
      </c>
      <c r="BL278" s="5">
        <f>IF(A278="","",N(INDEX(Projects[Project Management],277)))</f>
        <v/>
      </c>
      <c r="BM278" s="5">
        <f>IF(A278="","",N(INDEX(Projects[Systems Eng],277)))</f>
        <v/>
      </c>
      <c r="BN278" s="5">
        <f>IF(A278="","",N(INDEX(Projects[Mechanical Eng],277)))</f>
        <v/>
      </c>
      <c r="BO278" s="5">
        <f>IF(A278="","",N(INDEX(Projects[Structural Engineering],277)))</f>
        <v/>
      </c>
      <c r="BP278" s="5">
        <f>IF(A278="","",N(INDEX(Projects[Site Sup],277)))</f>
        <v/>
      </c>
      <c r="BQ278" s="5">
        <f>IF(A278="","",N(INDEX(Projects[Controls Commissioning],277)))</f>
        <v/>
      </c>
      <c r="BR278" s="5">
        <f>IF(A278="","",N(INDEX(Projects[Systems Commissioning],277)))</f>
        <v/>
      </c>
      <c r="BS278" s="5">
        <f>IF(A278="","",N(INDEX(Projects[Service Commissioning],277)))</f>
        <v/>
      </c>
      <c r="BT278" s="5">
        <f>IF(A278="","",N(INDEX(Projects[Controls Eng],277)))</f>
        <v/>
      </c>
      <c r="BU278" s="5">
        <f>IF(A278="","",N(INDEX(Projects[Controls Purchase],277)))</f>
        <v/>
      </c>
      <c r="BV278" s="5">
        <f>IF(A278="","",N(INDEX(Projects[Software Eng],277)))</f>
        <v/>
      </c>
      <c r="BW278" s="5">
        <f>IF(A278="","",N(INDEX(Projects[Misc],277)))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IF(A279="","",N(INDEX(Projects[Mech Inst],278)))</f>
        <v/>
      </c>
      <c r="BK279" s="5">
        <f>IF(A279="","",N(INDEX(Projects[Elec Inst],278)))</f>
        <v/>
      </c>
      <c r="BL279" s="5">
        <f>IF(A279="","",N(INDEX(Projects[Project Management],278)))</f>
        <v/>
      </c>
      <c r="BM279" s="5">
        <f>IF(A279="","",N(INDEX(Projects[Systems Eng],278)))</f>
        <v/>
      </c>
      <c r="BN279" s="5">
        <f>IF(A279="","",N(INDEX(Projects[Mechanical Eng],278)))</f>
        <v/>
      </c>
      <c r="BO279" s="5">
        <f>IF(A279="","",N(INDEX(Projects[Structural Engineering],278)))</f>
        <v/>
      </c>
      <c r="BP279" s="5">
        <f>IF(A279="","",N(INDEX(Projects[Site Sup],278)))</f>
        <v/>
      </c>
      <c r="BQ279" s="5">
        <f>IF(A279="","",N(INDEX(Projects[Controls Commissioning],278)))</f>
        <v/>
      </c>
      <c r="BR279" s="5">
        <f>IF(A279="","",N(INDEX(Projects[Systems Commissioning],278)))</f>
        <v/>
      </c>
      <c r="BS279" s="5">
        <f>IF(A279="","",N(INDEX(Projects[Service Commissioning],278)))</f>
        <v/>
      </c>
      <c r="BT279" s="5">
        <f>IF(A279="","",N(INDEX(Projects[Controls Eng],278)))</f>
        <v/>
      </c>
      <c r="BU279" s="5">
        <f>IF(A279="","",N(INDEX(Projects[Controls Purchase],278)))</f>
        <v/>
      </c>
      <c r="BV279" s="5">
        <f>IF(A279="","",N(INDEX(Projects[Software Eng],278)))</f>
        <v/>
      </c>
      <c r="BW279" s="5">
        <f>IF(A279="","",N(INDEX(Projects[Misc],278)))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IF(A280="","",N(INDEX(Projects[Mech Inst],279)))</f>
        <v/>
      </c>
      <c r="BK280" s="5">
        <f>IF(A280="","",N(INDEX(Projects[Elec Inst],279)))</f>
        <v/>
      </c>
      <c r="BL280" s="5">
        <f>IF(A280="","",N(INDEX(Projects[Project Management],279)))</f>
        <v/>
      </c>
      <c r="BM280" s="5">
        <f>IF(A280="","",N(INDEX(Projects[Systems Eng],279)))</f>
        <v/>
      </c>
      <c r="BN280" s="5">
        <f>IF(A280="","",N(INDEX(Projects[Mechanical Eng],279)))</f>
        <v/>
      </c>
      <c r="BO280" s="5">
        <f>IF(A280="","",N(INDEX(Projects[Structural Engineering],279)))</f>
        <v/>
      </c>
      <c r="BP280" s="5">
        <f>IF(A280="","",N(INDEX(Projects[Site Sup],279)))</f>
        <v/>
      </c>
      <c r="BQ280" s="5">
        <f>IF(A280="","",N(INDEX(Projects[Controls Commissioning],279)))</f>
        <v/>
      </c>
      <c r="BR280" s="5">
        <f>IF(A280="","",N(INDEX(Projects[Systems Commissioning],279)))</f>
        <v/>
      </c>
      <c r="BS280" s="5">
        <f>IF(A280="","",N(INDEX(Projects[Service Commissioning],279)))</f>
        <v/>
      </c>
      <c r="BT280" s="5">
        <f>IF(A280="","",N(INDEX(Projects[Controls Eng],279)))</f>
        <v/>
      </c>
      <c r="BU280" s="5">
        <f>IF(A280="","",N(INDEX(Projects[Controls Purchase],279)))</f>
        <v/>
      </c>
      <c r="BV280" s="5">
        <f>IF(A280="","",N(INDEX(Projects[Software Eng],279)))</f>
        <v/>
      </c>
      <c r="BW280" s="5">
        <f>IF(A280="","",N(INDEX(Projects[Misc],279)))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IF(A281="","",N(INDEX(Projects[Mech Inst],280)))</f>
        <v/>
      </c>
      <c r="BK281" s="5">
        <f>IF(A281="","",N(INDEX(Projects[Elec Inst],280)))</f>
        <v/>
      </c>
      <c r="BL281" s="5">
        <f>IF(A281="","",N(INDEX(Projects[Project Management],280)))</f>
        <v/>
      </c>
      <c r="BM281" s="5">
        <f>IF(A281="","",N(INDEX(Projects[Systems Eng],280)))</f>
        <v/>
      </c>
      <c r="BN281" s="5">
        <f>IF(A281="","",N(INDEX(Projects[Mechanical Eng],280)))</f>
        <v/>
      </c>
      <c r="BO281" s="5">
        <f>IF(A281="","",N(INDEX(Projects[Structural Engineering],280)))</f>
        <v/>
      </c>
      <c r="BP281" s="5">
        <f>IF(A281="","",N(INDEX(Projects[Site Sup],280)))</f>
        <v/>
      </c>
      <c r="BQ281" s="5">
        <f>IF(A281="","",N(INDEX(Projects[Controls Commissioning],280)))</f>
        <v/>
      </c>
      <c r="BR281" s="5">
        <f>IF(A281="","",N(INDEX(Projects[Systems Commissioning],280)))</f>
        <v/>
      </c>
      <c r="BS281" s="5">
        <f>IF(A281="","",N(INDEX(Projects[Service Commissioning],280)))</f>
        <v/>
      </c>
      <c r="BT281" s="5">
        <f>IF(A281="","",N(INDEX(Projects[Controls Eng],280)))</f>
        <v/>
      </c>
      <c r="BU281" s="5">
        <f>IF(A281="","",N(INDEX(Projects[Controls Purchase],280)))</f>
        <v/>
      </c>
      <c r="BV281" s="5">
        <f>IF(A281="","",N(INDEX(Projects[Software Eng],280)))</f>
        <v/>
      </c>
      <c r="BW281" s="5">
        <f>IF(A281="","",N(INDEX(Projects[Misc],280)))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IF(A282="","",N(INDEX(Projects[Mech Inst],281)))</f>
        <v/>
      </c>
      <c r="BK282" s="5">
        <f>IF(A282="","",N(INDEX(Projects[Elec Inst],281)))</f>
        <v/>
      </c>
      <c r="BL282" s="5">
        <f>IF(A282="","",N(INDEX(Projects[Project Management],281)))</f>
        <v/>
      </c>
      <c r="BM282" s="5">
        <f>IF(A282="","",N(INDEX(Projects[Systems Eng],281)))</f>
        <v/>
      </c>
      <c r="BN282" s="5">
        <f>IF(A282="","",N(INDEX(Projects[Mechanical Eng],281)))</f>
        <v/>
      </c>
      <c r="BO282" s="5">
        <f>IF(A282="","",N(INDEX(Projects[Structural Engineering],281)))</f>
        <v/>
      </c>
      <c r="BP282" s="5">
        <f>IF(A282="","",N(INDEX(Projects[Site Sup],281)))</f>
        <v/>
      </c>
      <c r="BQ282" s="5">
        <f>IF(A282="","",N(INDEX(Projects[Controls Commissioning],281)))</f>
        <v/>
      </c>
      <c r="BR282" s="5">
        <f>IF(A282="","",N(INDEX(Projects[Systems Commissioning],281)))</f>
        <v/>
      </c>
      <c r="BS282" s="5">
        <f>IF(A282="","",N(INDEX(Projects[Service Commissioning],281)))</f>
        <v/>
      </c>
      <c r="BT282" s="5">
        <f>IF(A282="","",N(INDEX(Projects[Controls Eng],281)))</f>
        <v/>
      </c>
      <c r="BU282" s="5">
        <f>IF(A282="","",N(INDEX(Projects[Controls Purchase],281)))</f>
        <v/>
      </c>
      <c r="BV282" s="5">
        <f>IF(A282="","",N(INDEX(Projects[Software Eng],281)))</f>
        <v/>
      </c>
      <c r="BW282" s="5">
        <f>IF(A282="","",N(INDEX(Projects[Misc],281)))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IF(A283="","",N(INDEX(Projects[Mech Inst],282)))</f>
        <v/>
      </c>
      <c r="BK283" s="5">
        <f>IF(A283="","",N(INDEX(Projects[Elec Inst],282)))</f>
        <v/>
      </c>
      <c r="BL283" s="5">
        <f>IF(A283="","",N(INDEX(Projects[Project Management],282)))</f>
        <v/>
      </c>
      <c r="BM283" s="5">
        <f>IF(A283="","",N(INDEX(Projects[Systems Eng],282)))</f>
        <v/>
      </c>
      <c r="BN283" s="5">
        <f>IF(A283="","",N(INDEX(Projects[Mechanical Eng],282)))</f>
        <v/>
      </c>
      <c r="BO283" s="5">
        <f>IF(A283="","",N(INDEX(Projects[Structural Engineering],282)))</f>
        <v/>
      </c>
      <c r="BP283" s="5">
        <f>IF(A283="","",N(INDEX(Projects[Site Sup],282)))</f>
        <v/>
      </c>
      <c r="BQ283" s="5">
        <f>IF(A283="","",N(INDEX(Projects[Controls Commissioning],282)))</f>
        <v/>
      </c>
      <c r="BR283" s="5">
        <f>IF(A283="","",N(INDEX(Projects[Systems Commissioning],282)))</f>
        <v/>
      </c>
      <c r="BS283" s="5">
        <f>IF(A283="","",N(INDEX(Projects[Service Commissioning],282)))</f>
        <v/>
      </c>
      <c r="BT283" s="5">
        <f>IF(A283="","",N(INDEX(Projects[Controls Eng],282)))</f>
        <v/>
      </c>
      <c r="BU283" s="5">
        <f>IF(A283="","",N(INDEX(Projects[Controls Purchase],282)))</f>
        <v/>
      </c>
      <c r="BV283" s="5">
        <f>IF(A283="","",N(INDEX(Projects[Software Eng],282)))</f>
        <v/>
      </c>
      <c r="BW283" s="5">
        <f>IF(A283="","",N(INDEX(Projects[Misc],282)))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IF(A284="","",N(INDEX(Projects[Mech Inst],283)))</f>
        <v/>
      </c>
      <c r="BK284" s="5">
        <f>IF(A284="","",N(INDEX(Projects[Elec Inst],283)))</f>
        <v/>
      </c>
      <c r="BL284" s="5">
        <f>IF(A284="","",N(INDEX(Projects[Project Management],283)))</f>
        <v/>
      </c>
      <c r="BM284" s="5">
        <f>IF(A284="","",N(INDEX(Projects[Systems Eng],283)))</f>
        <v/>
      </c>
      <c r="BN284" s="5">
        <f>IF(A284="","",N(INDEX(Projects[Mechanical Eng],283)))</f>
        <v/>
      </c>
      <c r="BO284" s="5">
        <f>IF(A284="","",N(INDEX(Projects[Structural Engineering],283)))</f>
        <v/>
      </c>
      <c r="BP284" s="5">
        <f>IF(A284="","",N(INDEX(Projects[Site Sup],283)))</f>
        <v/>
      </c>
      <c r="BQ284" s="5">
        <f>IF(A284="","",N(INDEX(Projects[Controls Commissioning],283)))</f>
        <v/>
      </c>
      <c r="BR284" s="5">
        <f>IF(A284="","",N(INDEX(Projects[Systems Commissioning],283)))</f>
        <v/>
      </c>
      <c r="BS284" s="5">
        <f>IF(A284="","",N(INDEX(Projects[Service Commissioning],283)))</f>
        <v/>
      </c>
      <c r="BT284" s="5">
        <f>IF(A284="","",N(INDEX(Projects[Controls Eng],283)))</f>
        <v/>
      </c>
      <c r="BU284" s="5">
        <f>IF(A284="","",N(INDEX(Projects[Controls Purchase],283)))</f>
        <v/>
      </c>
      <c r="BV284" s="5">
        <f>IF(A284="","",N(INDEX(Projects[Software Eng],283)))</f>
        <v/>
      </c>
      <c r="BW284" s="5">
        <f>IF(A284="","",N(INDEX(Projects[Misc],283)))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IF(A285="","",N(INDEX(Projects[Mech Inst],284)))</f>
        <v/>
      </c>
      <c r="BK285" s="5">
        <f>IF(A285="","",N(INDEX(Projects[Elec Inst],284)))</f>
        <v/>
      </c>
      <c r="BL285" s="5">
        <f>IF(A285="","",N(INDEX(Projects[Project Management],284)))</f>
        <v/>
      </c>
      <c r="BM285" s="5">
        <f>IF(A285="","",N(INDEX(Projects[Systems Eng],284)))</f>
        <v/>
      </c>
      <c r="BN285" s="5">
        <f>IF(A285="","",N(INDEX(Projects[Mechanical Eng],284)))</f>
        <v/>
      </c>
      <c r="BO285" s="5">
        <f>IF(A285="","",N(INDEX(Projects[Structural Engineering],284)))</f>
        <v/>
      </c>
      <c r="BP285" s="5">
        <f>IF(A285="","",N(INDEX(Projects[Site Sup],284)))</f>
        <v/>
      </c>
      <c r="BQ285" s="5">
        <f>IF(A285="","",N(INDEX(Projects[Controls Commissioning],284)))</f>
        <v/>
      </c>
      <c r="BR285" s="5">
        <f>IF(A285="","",N(INDEX(Projects[Systems Commissioning],284)))</f>
        <v/>
      </c>
      <c r="BS285" s="5">
        <f>IF(A285="","",N(INDEX(Projects[Service Commissioning],284)))</f>
        <v/>
      </c>
      <c r="BT285" s="5">
        <f>IF(A285="","",N(INDEX(Projects[Controls Eng],284)))</f>
        <v/>
      </c>
      <c r="BU285" s="5">
        <f>IF(A285="","",N(INDEX(Projects[Controls Purchase],284)))</f>
        <v/>
      </c>
      <c r="BV285" s="5">
        <f>IF(A285="","",N(INDEX(Projects[Software Eng],284)))</f>
        <v/>
      </c>
      <c r="BW285" s="5">
        <f>IF(A285="","",N(INDEX(Projects[Misc],284)))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IF(A286="","",N(INDEX(Projects[Mech Inst],285)))</f>
        <v/>
      </c>
      <c r="BK286" s="5">
        <f>IF(A286="","",N(INDEX(Projects[Elec Inst],285)))</f>
        <v/>
      </c>
      <c r="BL286" s="5">
        <f>IF(A286="","",N(INDEX(Projects[Project Management],285)))</f>
        <v/>
      </c>
      <c r="BM286" s="5">
        <f>IF(A286="","",N(INDEX(Projects[Systems Eng],285)))</f>
        <v/>
      </c>
      <c r="BN286" s="5">
        <f>IF(A286="","",N(INDEX(Projects[Mechanical Eng],285)))</f>
        <v/>
      </c>
      <c r="BO286" s="5">
        <f>IF(A286="","",N(INDEX(Projects[Structural Engineering],285)))</f>
        <v/>
      </c>
      <c r="BP286" s="5">
        <f>IF(A286="","",N(INDEX(Projects[Site Sup],285)))</f>
        <v/>
      </c>
      <c r="BQ286" s="5">
        <f>IF(A286="","",N(INDEX(Projects[Controls Commissioning],285)))</f>
        <v/>
      </c>
      <c r="BR286" s="5">
        <f>IF(A286="","",N(INDEX(Projects[Systems Commissioning],285)))</f>
        <v/>
      </c>
      <c r="BS286" s="5">
        <f>IF(A286="","",N(INDEX(Projects[Service Commissioning],285)))</f>
        <v/>
      </c>
      <c r="BT286" s="5">
        <f>IF(A286="","",N(INDEX(Projects[Controls Eng],285)))</f>
        <v/>
      </c>
      <c r="BU286" s="5">
        <f>IF(A286="","",N(INDEX(Projects[Controls Purchase],285)))</f>
        <v/>
      </c>
      <c r="BV286" s="5">
        <f>IF(A286="","",N(INDEX(Projects[Software Eng],285)))</f>
        <v/>
      </c>
      <c r="BW286" s="5">
        <f>IF(A286="","",N(INDEX(Projects[Misc],285)))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IF(A287="","",N(INDEX(Projects[Mech Inst],286)))</f>
        <v/>
      </c>
      <c r="BK287" s="5">
        <f>IF(A287="","",N(INDEX(Projects[Elec Inst],286)))</f>
        <v/>
      </c>
      <c r="BL287" s="5">
        <f>IF(A287="","",N(INDEX(Projects[Project Management],286)))</f>
        <v/>
      </c>
      <c r="BM287" s="5">
        <f>IF(A287="","",N(INDEX(Projects[Systems Eng],286)))</f>
        <v/>
      </c>
      <c r="BN287" s="5">
        <f>IF(A287="","",N(INDEX(Projects[Mechanical Eng],286)))</f>
        <v/>
      </c>
      <c r="BO287" s="5">
        <f>IF(A287="","",N(INDEX(Projects[Structural Engineering],286)))</f>
        <v/>
      </c>
      <c r="BP287" s="5">
        <f>IF(A287="","",N(INDEX(Projects[Site Sup],286)))</f>
        <v/>
      </c>
      <c r="BQ287" s="5">
        <f>IF(A287="","",N(INDEX(Projects[Controls Commissioning],286)))</f>
        <v/>
      </c>
      <c r="BR287" s="5">
        <f>IF(A287="","",N(INDEX(Projects[Systems Commissioning],286)))</f>
        <v/>
      </c>
      <c r="BS287" s="5">
        <f>IF(A287="","",N(INDEX(Projects[Service Commissioning],286)))</f>
        <v/>
      </c>
      <c r="BT287" s="5">
        <f>IF(A287="","",N(INDEX(Projects[Controls Eng],286)))</f>
        <v/>
      </c>
      <c r="BU287" s="5">
        <f>IF(A287="","",N(INDEX(Projects[Controls Purchase],286)))</f>
        <v/>
      </c>
      <c r="BV287" s="5">
        <f>IF(A287="","",N(INDEX(Projects[Software Eng],286)))</f>
        <v/>
      </c>
      <c r="BW287" s="5">
        <f>IF(A287="","",N(INDEX(Projects[Misc],286)))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IF(A288="","",N(INDEX(Projects[Mech Inst],287)))</f>
        <v/>
      </c>
      <c r="BK288" s="5">
        <f>IF(A288="","",N(INDEX(Projects[Elec Inst],287)))</f>
        <v/>
      </c>
      <c r="BL288" s="5">
        <f>IF(A288="","",N(INDEX(Projects[Project Management],287)))</f>
        <v/>
      </c>
      <c r="BM288" s="5">
        <f>IF(A288="","",N(INDEX(Projects[Systems Eng],287)))</f>
        <v/>
      </c>
      <c r="BN288" s="5">
        <f>IF(A288="","",N(INDEX(Projects[Mechanical Eng],287)))</f>
        <v/>
      </c>
      <c r="BO288" s="5">
        <f>IF(A288="","",N(INDEX(Projects[Structural Engineering],287)))</f>
        <v/>
      </c>
      <c r="BP288" s="5">
        <f>IF(A288="","",N(INDEX(Projects[Site Sup],287)))</f>
        <v/>
      </c>
      <c r="BQ288" s="5">
        <f>IF(A288="","",N(INDEX(Projects[Controls Commissioning],287)))</f>
        <v/>
      </c>
      <c r="BR288" s="5">
        <f>IF(A288="","",N(INDEX(Projects[Systems Commissioning],287)))</f>
        <v/>
      </c>
      <c r="BS288" s="5">
        <f>IF(A288="","",N(INDEX(Projects[Service Commissioning],287)))</f>
        <v/>
      </c>
      <c r="BT288" s="5">
        <f>IF(A288="","",N(INDEX(Projects[Controls Eng],287)))</f>
        <v/>
      </c>
      <c r="BU288" s="5">
        <f>IF(A288="","",N(INDEX(Projects[Controls Purchase],287)))</f>
        <v/>
      </c>
      <c r="BV288" s="5">
        <f>IF(A288="","",N(INDEX(Projects[Software Eng],287)))</f>
        <v/>
      </c>
      <c r="BW288" s="5">
        <f>IF(A288="","",N(INDEX(Projects[Misc],287)))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IF(A289="","",N(INDEX(Projects[Mech Inst],288)))</f>
        <v/>
      </c>
      <c r="BK289" s="5">
        <f>IF(A289="","",N(INDEX(Projects[Elec Inst],288)))</f>
        <v/>
      </c>
      <c r="BL289" s="5">
        <f>IF(A289="","",N(INDEX(Projects[Project Management],288)))</f>
        <v/>
      </c>
      <c r="BM289" s="5">
        <f>IF(A289="","",N(INDEX(Projects[Systems Eng],288)))</f>
        <v/>
      </c>
      <c r="BN289" s="5">
        <f>IF(A289="","",N(INDEX(Projects[Mechanical Eng],288)))</f>
        <v/>
      </c>
      <c r="BO289" s="5">
        <f>IF(A289="","",N(INDEX(Projects[Structural Engineering],288)))</f>
        <v/>
      </c>
      <c r="BP289" s="5">
        <f>IF(A289="","",N(INDEX(Projects[Site Sup],288)))</f>
        <v/>
      </c>
      <c r="BQ289" s="5">
        <f>IF(A289="","",N(INDEX(Projects[Controls Commissioning],288)))</f>
        <v/>
      </c>
      <c r="BR289" s="5">
        <f>IF(A289="","",N(INDEX(Projects[Systems Commissioning],288)))</f>
        <v/>
      </c>
      <c r="BS289" s="5">
        <f>IF(A289="","",N(INDEX(Projects[Service Commissioning],288)))</f>
        <v/>
      </c>
      <c r="BT289" s="5">
        <f>IF(A289="","",N(INDEX(Projects[Controls Eng],288)))</f>
        <v/>
      </c>
      <c r="BU289" s="5">
        <f>IF(A289="","",N(INDEX(Projects[Controls Purchase],288)))</f>
        <v/>
      </c>
      <c r="BV289" s="5">
        <f>IF(A289="","",N(INDEX(Projects[Software Eng],288)))</f>
        <v/>
      </c>
      <c r="BW289" s="5">
        <f>IF(A289="","",N(INDEX(Projects[Misc],288)))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IF(A290="","",N(INDEX(Projects[Mech Inst],289)))</f>
        <v/>
      </c>
      <c r="BK290" s="5">
        <f>IF(A290="","",N(INDEX(Projects[Elec Inst],289)))</f>
        <v/>
      </c>
      <c r="BL290" s="5">
        <f>IF(A290="","",N(INDEX(Projects[Project Management],289)))</f>
        <v/>
      </c>
      <c r="BM290" s="5">
        <f>IF(A290="","",N(INDEX(Projects[Systems Eng],289)))</f>
        <v/>
      </c>
      <c r="BN290" s="5">
        <f>IF(A290="","",N(INDEX(Projects[Mechanical Eng],289)))</f>
        <v/>
      </c>
      <c r="BO290" s="5">
        <f>IF(A290="","",N(INDEX(Projects[Structural Engineering],289)))</f>
        <v/>
      </c>
      <c r="BP290" s="5">
        <f>IF(A290="","",N(INDEX(Projects[Site Sup],289)))</f>
        <v/>
      </c>
      <c r="BQ290" s="5">
        <f>IF(A290="","",N(INDEX(Projects[Controls Commissioning],289)))</f>
        <v/>
      </c>
      <c r="BR290" s="5">
        <f>IF(A290="","",N(INDEX(Projects[Systems Commissioning],289)))</f>
        <v/>
      </c>
      <c r="BS290" s="5">
        <f>IF(A290="","",N(INDEX(Projects[Service Commissioning],289)))</f>
        <v/>
      </c>
      <c r="BT290" s="5">
        <f>IF(A290="","",N(INDEX(Projects[Controls Eng],289)))</f>
        <v/>
      </c>
      <c r="BU290" s="5">
        <f>IF(A290="","",N(INDEX(Projects[Controls Purchase],289)))</f>
        <v/>
      </c>
      <c r="BV290" s="5">
        <f>IF(A290="","",N(INDEX(Projects[Software Eng],289)))</f>
        <v/>
      </c>
      <c r="BW290" s="5">
        <f>IF(A290="","",N(INDEX(Projects[Misc],289)))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IF(A291="","",N(INDEX(Projects[Mech Inst],290)))</f>
        <v/>
      </c>
      <c r="BK291" s="5">
        <f>IF(A291="","",N(INDEX(Projects[Elec Inst],290)))</f>
        <v/>
      </c>
      <c r="BL291" s="5">
        <f>IF(A291="","",N(INDEX(Projects[Project Management],290)))</f>
        <v/>
      </c>
      <c r="BM291" s="5">
        <f>IF(A291="","",N(INDEX(Projects[Systems Eng],290)))</f>
        <v/>
      </c>
      <c r="BN291" s="5">
        <f>IF(A291="","",N(INDEX(Projects[Mechanical Eng],290)))</f>
        <v/>
      </c>
      <c r="BO291" s="5">
        <f>IF(A291="","",N(INDEX(Projects[Structural Engineering],290)))</f>
        <v/>
      </c>
      <c r="BP291" s="5">
        <f>IF(A291="","",N(INDEX(Projects[Site Sup],290)))</f>
        <v/>
      </c>
      <c r="BQ291" s="5">
        <f>IF(A291="","",N(INDEX(Projects[Controls Commissioning],290)))</f>
        <v/>
      </c>
      <c r="BR291" s="5">
        <f>IF(A291="","",N(INDEX(Projects[Systems Commissioning],290)))</f>
        <v/>
      </c>
      <c r="BS291" s="5">
        <f>IF(A291="","",N(INDEX(Projects[Service Commissioning],290)))</f>
        <v/>
      </c>
      <c r="BT291" s="5">
        <f>IF(A291="","",N(INDEX(Projects[Controls Eng],290)))</f>
        <v/>
      </c>
      <c r="BU291" s="5">
        <f>IF(A291="","",N(INDEX(Projects[Controls Purchase],290)))</f>
        <v/>
      </c>
      <c r="BV291" s="5">
        <f>IF(A291="","",N(INDEX(Projects[Software Eng],290)))</f>
        <v/>
      </c>
      <c r="BW291" s="5">
        <f>IF(A291="","",N(INDEX(Projects[Misc],290)))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IF(A292="","",N(INDEX(Projects[Mech Inst],291)))</f>
        <v/>
      </c>
      <c r="BK292" s="5">
        <f>IF(A292="","",N(INDEX(Projects[Elec Inst],291)))</f>
        <v/>
      </c>
      <c r="BL292" s="5">
        <f>IF(A292="","",N(INDEX(Projects[Project Management],291)))</f>
        <v/>
      </c>
      <c r="BM292" s="5">
        <f>IF(A292="","",N(INDEX(Projects[Systems Eng],291)))</f>
        <v/>
      </c>
      <c r="BN292" s="5">
        <f>IF(A292="","",N(INDEX(Projects[Mechanical Eng],291)))</f>
        <v/>
      </c>
      <c r="BO292" s="5">
        <f>IF(A292="","",N(INDEX(Projects[Structural Engineering],291)))</f>
        <v/>
      </c>
      <c r="BP292" s="5">
        <f>IF(A292="","",N(INDEX(Projects[Site Sup],291)))</f>
        <v/>
      </c>
      <c r="BQ292" s="5">
        <f>IF(A292="","",N(INDEX(Projects[Controls Commissioning],291)))</f>
        <v/>
      </c>
      <c r="BR292" s="5">
        <f>IF(A292="","",N(INDEX(Projects[Systems Commissioning],291)))</f>
        <v/>
      </c>
      <c r="BS292" s="5">
        <f>IF(A292="","",N(INDEX(Projects[Service Commissioning],291)))</f>
        <v/>
      </c>
      <c r="BT292" s="5">
        <f>IF(A292="","",N(INDEX(Projects[Controls Eng],291)))</f>
        <v/>
      </c>
      <c r="BU292" s="5">
        <f>IF(A292="","",N(INDEX(Projects[Controls Purchase],291)))</f>
        <v/>
      </c>
      <c r="BV292" s="5">
        <f>IF(A292="","",N(INDEX(Projects[Software Eng],291)))</f>
        <v/>
      </c>
      <c r="BW292" s="5">
        <f>IF(A292="","",N(INDEX(Projects[Misc],291)))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IF(A293="","",N(INDEX(Projects[Mech Inst],292)))</f>
        <v/>
      </c>
      <c r="BK293" s="5">
        <f>IF(A293="","",N(INDEX(Projects[Elec Inst],292)))</f>
        <v/>
      </c>
      <c r="BL293" s="5">
        <f>IF(A293="","",N(INDEX(Projects[Project Management],292)))</f>
        <v/>
      </c>
      <c r="BM293" s="5">
        <f>IF(A293="","",N(INDEX(Projects[Systems Eng],292)))</f>
        <v/>
      </c>
      <c r="BN293" s="5">
        <f>IF(A293="","",N(INDEX(Projects[Mechanical Eng],292)))</f>
        <v/>
      </c>
      <c r="BO293" s="5">
        <f>IF(A293="","",N(INDEX(Projects[Structural Engineering],292)))</f>
        <v/>
      </c>
      <c r="BP293" s="5">
        <f>IF(A293="","",N(INDEX(Projects[Site Sup],292)))</f>
        <v/>
      </c>
      <c r="BQ293" s="5">
        <f>IF(A293="","",N(INDEX(Projects[Controls Commissioning],292)))</f>
        <v/>
      </c>
      <c r="BR293" s="5">
        <f>IF(A293="","",N(INDEX(Projects[Systems Commissioning],292)))</f>
        <v/>
      </c>
      <c r="BS293" s="5">
        <f>IF(A293="","",N(INDEX(Projects[Service Commissioning],292)))</f>
        <v/>
      </c>
      <c r="BT293" s="5">
        <f>IF(A293="","",N(INDEX(Projects[Controls Eng],292)))</f>
        <v/>
      </c>
      <c r="BU293" s="5">
        <f>IF(A293="","",N(INDEX(Projects[Controls Purchase],292)))</f>
        <v/>
      </c>
      <c r="BV293" s="5">
        <f>IF(A293="","",N(INDEX(Projects[Software Eng],292)))</f>
        <v/>
      </c>
      <c r="BW293" s="5">
        <f>IF(A293="","",N(INDEX(Projects[Misc],292)))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IF(A294="","",N(INDEX(Projects[Mech Inst],293)))</f>
        <v/>
      </c>
      <c r="BK294" s="5">
        <f>IF(A294="","",N(INDEX(Projects[Elec Inst],293)))</f>
        <v/>
      </c>
      <c r="BL294" s="5">
        <f>IF(A294="","",N(INDEX(Projects[Project Management],293)))</f>
        <v/>
      </c>
      <c r="BM294" s="5">
        <f>IF(A294="","",N(INDEX(Projects[Systems Eng],293)))</f>
        <v/>
      </c>
      <c r="BN294" s="5">
        <f>IF(A294="","",N(INDEX(Projects[Mechanical Eng],293)))</f>
        <v/>
      </c>
      <c r="BO294" s="5">
        <f>IF(A294="","",N(INDEX(Projects[Structural Engineering],293)))</f>
        <v/>
      </c>
      <c r="BP294" s="5">
        <f>IF(A294="","",N(INDEX(Projects[Site Sup],293)))</f>
        <v/>
      </c>
      <c r="BQ294" s="5">
        <f>IF(A294="","",N(INDEX(Projects[Controls Commissioning],293)))</f>
        <v/>
      </c>
      <c r="BR294" s="5">
        <f>IF(A294="","",N(INDEX(Projects[Systems Commissioning],293)))</f>
        <v/>
      </c>
      <c r="BS294" s="5">
        <f>IF(A294="","",N(INDEX(Projects[Service Commissioning],293)))</f>
        <v/>
      </c>
      <c r="BT294" s="5">
        <f>IF(A294="","",N(INDEX(Projects[Controls Eng],293)))</f>
        <v/>
      </c>
      <c r="BU294" s="5">
        <f>IF(A294="","",N(INDEX(Projects[Controls Purchase],293)))</f>
        <v/>
      </c>
      <c r="BV294" s="5">
        <f>IF(A294="","",N(INDEX(Projects[Software Eng],293)))</f>
        <v/>
      </c>
      <c r="BW294" s="5">
        <f>IF(A294="","",N(INDEX(Projects[Misc],293)))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IF(A295="","",N(INDEX(Projects[Mech Inst],294)))</f>
        <v/>
      </c>
      <c r="BK295" s="5">
        <f>IF(A295="","",N(INDEX(Projects[Elec Inst],294)))</f>
        <v/>
      </c>
      <c r="BL295" s="5">
        <f>IF(A295="","",N(INDEX(Projects[Project Management],294)))</f>
        <v/>
      </c>
      <c r="BM295" s="5">
        <f>IF(A295="","",N(INDEX(Projects[Systems Eng],294)))</f>
        <v/>
      </c>
      <c r="BN295" s="5">
        <f>IF(A295="","",N(INDEX(Projects[Mechanical Eng],294)))</f>
        <v/>
      </c>
      <c r="BO295" s="5">
        <f>IF(A295="","",N(INDEX(Projects[Structural Engineering],294)))</f>
        <v/>
      </c>
      <c r="BP295" s="5">
        <f>IF(A295="","",N(INDEX(Projects[Site Sup],294)))</f>
        <v/>
      </c>
      <c r="BQ295" s="5">
        <f>IF(A295="","",N(INDEX(Projects[Controls Commissioning],294)))</f>
        <v/>
      </c>
      <c r="BR295" s="5">
        <f>IF(A295="","",N(INDEX(Projects[Systems Commissioning],294)))</f>
        <v/>
      </c>
      <c r="BS295" s="5">
        <f>IF(A295="","",N(INDEX(Projects[Service Commissioning],294)))</f>
        <v/>
      </c>
      <c r="BT295" s="5">
        <f>IF(A295="","",N(INDEX(Projects[Controls Eng],294)))</f>
        <v/>
      </c>
      <c r="BU295" s="5">
        <f>IF(A295="","",N(INDEX(Projects[Controls Purchase],294)))</f>
        <v/>
      </c>
      <c r="BV295" s="5">
        <f>IF(A295="","",N(INDEX(Projects[Software Eng],294)))</f>
        <v/>
      </c>
      <c r="BW295" s="5">
        <f>IF(A295="","",N(INDEX(Projects[Misc],294)))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IF(A296="","",N(INDEX(Projects[Mech Inst],295)))</f>
        <v/>
      </c>
      <c r="BK296" s="5">
        <f>IF(A296="","",N(INDEX(Projects[Elec Inst],295)))</f>
        <v/>
      </c>
      <c r="BL296" s="5">
        <f>IF(A296="","",N(INDEX(Projects[Project Management],295)))</f>
        <v/>
      </c>
      <c r="BM296" s="5">
        <f>IF(A296="","",N(INDEX(Projects[Systems Eng],295)))</f>
        <v/>
      </c>
      <c r="BN296" s="5">
        <f>IF(A296="","",N(INDEX(Projects[Mechanical Eng],295)))</f>
        <v/>
      </c>
      <c r="BO296" s="5">
        <f>IF(A296="","",N(INDEX(Projects[Structural Engineering],295)))</f>
        <v/>
      </c>
      <c r="BP296" s="5">
        <f>IF(A296="","",N(INDEX(Projects[Site Sup],295)))</f>
        <v/>
      </c>
      <c r="BQ296" s="5">
        <f>IF(A296="","",N(INDEX(Projects[Controls Commissioning],295)))</f>
        <v/>
      </c>
      <c r="BR296" s="5">
        <f>IF(A296="","",N(INDEX(Projects[Systems Commissioning],295)))</f>
        <v/>
      </c>
      <c r="BS296" s="5">
        <f>IF(A296="","",N(INDEX(Projects[Service Commissioning],295)))</f>
        <v/>
      </c>
      <c r="BT296" s="5">
        <f>IF(A296="","",N(INDEX(Projects[Controls Eng],295)))</f>
        <v/>
      </c>
      <c r="BU296" s="5">
        <f>IF(A296="","",N(INDEX(Projects[Controls Purchase],295)))</f>
        <v/>
      </c>
      <c r="BV296" s="5">
        <f>IF(A296="","",N(INDEX(Projects[Software Eng],295)))</f>
        <v/>
      </c>
      <c r="BW296" s="5">
        <f>IF(A296="","",N(INDEX(Projects[Misc],295)))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IF(A297="","",N(INDEX(Projects[Mech Inst],296)))</f>
        <v/>
      </c>
      <c r="BK297" s="5">
        <f>IF(A297="","",N(INDEX(Projects[Elec Inst],296)))</f>
        <v/>
      </c>
      <c r="BL297" s="5">
        <f>IF(A297="","",N(INDEX(Projects[Project Management],296)))</f>
        <v/>
      </c>
      <c r="BM297" s="5">
        <f>IF(A297="","",N(INDEX(Projects[Systems Eng],296)))</f>
        <v/>
      </c>
      <c r="BN297" s="5">
        <f>IF(A297="","",N(INDEX(Projects[Mechanical Eng],296)))</f>
        <v/>
      </c>
      <c r="BO297" s="5">
        <f>IF(A297="","",N(INDEX(Projects[Structural Engineering],296)))</f>
        <v/>
      </c>
      <c r="BP297" s="5">
        <f>IF(A297="","",N(INDEX(Projects[Site Sup],296)))</f>
        <v/>
      </c>
      <c r="BQ297" s="5">
        <f>IF(A297="","",N(INDEX(Projects[Controls Commissioning],296)))</f>
        <v/>
      </c>
      <c r="BR297" s="5">
        <f>IF(A297="","",N(INDEX(Projects[Systems Commissioning],296)))</f>
        <v/>
      </c>
      <c r="BS297" s="5">
        <f>IF(A297="","",N(INDEX(Projects[Service Commissioning],296)))</f>
        <v/>
      </c>
      <c r="BT297" s="5">
        <f>IF(A297="","",N(INDEX(Projects[Controls Eng],296)))</f>
        <v/>
      </c>
      <c r="BU297" s="5">
        <f>IF(A297="","",N(INDEX(Projects[Controls Purchase],296)))</f>
        <v/>
      </c>
      <c r="BV297" s="5">
        <f>IF(A297="","",N(INDEX(Projects[Software Eng],296)))</f>
        <v/>
      </c>
      <c r="BW297" s="5">
        <f>IF(A297="","",N(INDEX(Projects[Misc],296)))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IF(A298="","",N(INDEX(Projects[Mech Inst],297)))</f>
        <v/>
      </c>
      <c r="BK298" s="5">
        <f>IF(A298="","",N(INDEX(Projects[Elec Inst],297)))</f>
        <v/>
      </c>
      <c r="BL298" s="5">
        <f>IF(A298="","",N(INDEX(Projects[Project Management],297)))</f>
        <v/>
      </c>
      <c r="BM298" s="5">
        <f>IF(A298="","",N(INDEX(Projects[Systems Eng],297)))</f>
        <v/>
      </c>
      <c r="BN298" s="5">
        <f>IF(A298="","",N(INDEX(Projects[Mechanical Eng],297)))</f>
        <v/>
      </c>
      <c r="BO298" s="5">
        <f>IF(A298="","",N(INDEX(Projects[Structural Engineering],297)))</f>
        <v/>
      </c>
      <c r="BP298" s="5">
        <f>IF(A298="","",N(INDEX(Projects[Site Sup],297)))</f>
        <v/>
      </c>
      <c r="BQ298" s="5">
        <f>IF(A298="","",N(INDEX(Projects[Controls Commissioning],297)))</f>
        <v/>
      </c>
      <c r="BR298" s="5">
        <f>IF(A298="","",N(INDEX(Projects[Systems Commissioning],297)))</f>
        <v/>
      </c>
      <c r="BS298" s="5">
        <f>IF(A298="","",N(INDEX(Projects[Service Commissioning],297)))</f>
        <v/>
      </c>
      <c r="BT298" s="5">
        <f>IF(A298="","",N(INDEX(Projects[Controls Eng],297)))</f>
        <v/>
      </c>
      <c r="BU298" s="5">
        <f>IF(A298="","",N(INDEX(Projects[Controls Purchase],297)))</f>
        <v/>
      </c>
      <c r="BV298" s="5">
        <f>IF(A298="","",N(INDEX(Projects[Software Eng],297)))</f>
        <v/>
      </c>
      <c r="BW298" s="5">
        <f>IF(A298="","",N(INDEX(Projects[Misc],297)))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IF(A299="","",N(INDEX(Projects[Mech Inst],298)))</f>
        <v/>
      </c>
      <c r="BK299" s="5">
        <f>IF(A299="","",N(INDEX(Projects[Elec Inst],298)))</f>
        <v/>
      </c>
      <c r="BL299" s="5">
        <f>IF(A299="","",N(INDEX(Projects[Project Management],298)))</f>
        <v/>
      </c>
      <c r="BM299" s="5">
        <f>IF(A299="","",N(INDEX(Projects[Systems Eng],298)))</f>
        <v/>
      </c>
      <c r="BN299" s="5">
        <f>IF(A299="","",N(INDEX(Projects[Mechanical Eng],298)))</f>
        <v/>
      </c>
      <c r="BO299" s="5">
        <f>IF(A299="","",N(INDEX(Projects[Structural Engineering],298)))</f>
        <v/>
      </c>
      <c r="BP299" s="5">
        <f>IF(A299="","",N(INDEX(Projects[Site Sup],298)))</f>
        <v/>
      </c>
      <c r="BQ299" s="5">
        <f>IF(A299="","",N(INDEX(Projects[Controls Commissioning],298)))</f>
        <v/>
      </c>
      <c r="BR299" s="5">
        <f>IF(A299="","",N(INDEX(Projects[Systems Commissioning],298)))</f>
        <v/>
      </c>
      <c r="BS299" s="5">
        <f>IF(A299="","",N(INDEX(Projects[Service Commissioning],298)))</f>
        <v/>
      </c>
      <c r="BT299" s="5">
        <f>IF(A299="","",N(INDEX(Projects[Controls Eng],298)))</f>
        <v/>
      </c>
      <c r="BU299" s="5">
        <f>IF(A299="","",N(INDEX(Projects[Controls Purchase],298)))</f>
        <v/>
      </c>
      <c r="BV299" s="5">
        <f>IF(A299="","",N(INDEX(Projects[Software Eng],298)))</f>
        <v/>
      </c>
      <c r="BW299" s="5">
        <f>IF(A299="","",N(INDEX(Projects[Misc],298)))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IF(A300="","",N(INDEX(Projects[Mech Inst],299)))</f>
        <v/>
      </c>
      <c r="BK300" s="5">
        <f>IF(A300="","",N(INDEX(Projects[Elec Inst],299)))</f>
        <v/>
      </c>
      <c r="BL300" s="5">
        <f>IF(A300="","",N(INDEX(Projects[Project Management],299)))</f>
        <v/>
      </c>
      <c r="BM300" s="5">
        <f>IF(A300="","",N(INDEX(Projects[Systems Eng],299)))</f>
        <v/>
      </c>
      <c r="BN300" s="5">
        <f>IF(A300="","",N(INDEX(Projects[Mechanical Eng],299)))</f>
        <v/>
      </c>
      <c r="BO300" s="5">
        <f>IF(A300="","",N(INDEX(Projects[Structural Engineering],299)))</f>
        <v/>
      </c>
      <c r="BP300" s="5">
        <f>IF(A300="","",N(INDEX(Projects[Site Sup],299)))</f>
        <v/>
      </c>
      <c r="BQ300" s="5">
        <f>IF(A300="","",N(INDEX(Projects[Controls Commissioning],299)))</f>
        <v/>
      </c>
      <c r="BR300" s="5">
        <f>IF(A300="","",N(INDEX(Projects[Systems Commissioning],299)))</f>
        <v/>
      </c>
      <c r="BS300" s="5">
        <f>IF(A300="","",N(INDEX(Projects[Service Commissioning],299)))</f>
        <v/>
      </c>
      <c r="BT300" s="5">
        <f>IF(A300="","",N(INDEX(Projects[Controls Eng],299)))</f>
        <v/>
      </c>
      <c r="BU300" s="5">
        <f>IF(A300="","",N(INDEX(Projects[Controls Purchase],299)))</f>
        <v/>
      </c>
      <c r="BV300" s="5">
        <f>IF(A300="","",N(INDEX(Projects[Software Eng],299)))</f>
        <v/>
      </c>
      <c r="BW300" s="5">
        <f>IF(A300="","",N(INDEX(Projects[Misc],299)))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IF(A301="","",N(INDEX(Projects[Mech Inst],300)))</f>
        <v/>
      </c>
      <c r="BK301" s="5">
        <f>IF(A301="","",N(INDEX(Projects[Elec Inst],300)))</f>
        <v/>
      </c>
      <c r="BL301" s="5">
        <f>IF(A301="","",N(INDEX(Projects[Project Management],300)))</f>
        <v/>
      </c>
      <c r="BM301" s="5">
        <f>IF(A301="","",N(INDEX(Projects[Systems Eng],300)))</f>
        <v/>
      </c>
      <c r="BN301" s="5">
        <f>IF(A301="","",N(INDEX(Projects[Mechanical Eng],300)))</f>
        <v/>
      </c>
      <c r="BO301" s="5">
        <f>IF(A301="","",N(INDEX(Projects[Structural Engineering],300)))</f>
        <v/>
      </c>
      <c r="BP301" s="5">
        <f>IF(A301="","",N(INDEX(Projects[Site Sup],300)))</f>
        <v/>
      </c>
      <c r="BQ301" s="5">
        <f>IF(A301="","",N(INDEX(Projects[Controls Commissioning],300)))</f>
        <v/>
      </c>
      <c r="BR301" s="5">
        <f>IF(A301="","",N(INDEX(Projects[Systems Commissioning],300)))</f>
        <v/>
      </c>
      <c r="BS301" s="5">
        <f>IF(A301="","",N(INDEX(Projects[Service Commissioning],300)))</f>
        <v/>
      </c>
      <c r="BT301" s="5">
        <f>IF(A301="","",N(INDEX(Projects[Controls Eng],300)))</f>
        <v/>
      </c>
      <c r="BU301" s="5">
        <f>IF(A301="","",N(INDEX(Projects[Controls Purchase],300)))</f>
        <v/>
      </c>
      <c r="BV301" s="5">
        <f>IF(A301="","",N(INDEX(Projects[Software Eng],300)))</f>
        <v/>
      </c>
      <c r="BW301" s="5">
        <f>IF(A301="","",N(INDEX(Projects[Misc],300)))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IF(A302="","",N(INDEX(Projects[Mech Inst],301)))</f>
        <v/>
      </c>
      <c r="BK302" s="5">
        <f>IF(A302="","",N(INDEX(Projects[Elec Inst],301)))</f>
        <v/>
      </c>
      <c r="BL302" s="5">
        <f>IF(A302="","",N(INDEX(Projects[Project Management],301)))</f>
        <v/>
      </c>
      <c r="BM302" s="5">
        <f>IF(A302="","",N(INDEX(Projects[Systems Eng],301)))</f>
        <v/>
      </c>
      <c r="BN302" s="5">
        <f>IF(A302="","",N(INDEX(Projects[Mechanical Eng],301)))</f>
        <v/>
      </c>
      <c r="BO302" s="5">
        <f>IF(A302="","",N(INDEX(Projects[Structural Engineering],301)))</f>
        <v/>
      </c>
      <c r="BP302" s="5">
        <f>IF(A302="","",N(INDEX(Projects[Site Sup],301)))</f>
        <v/>
      </c>
      <c r="BQ302" s="5">
        <f>IF(A302="","",N(INDEX(Projects[Controls Commissioning],301)))</f>
        <v/>
      </c>
      <c r="BR302" s="5">
        <f>IF(A302="","",N(INDEX(Projects[Systems Commissioning],301)))</f>
        <v/>
      </c>
      <c r="BS302" s="5">
        <f>IF(A302="","",N(INDEX(Projects[Service Commissioning],301)))</f>
        <v/>
      </c>
      <c r="BT302" s="5">
        <f>IF(A302="","",N(INDEX(Projects[Controls Eng],301)))</f>
        <v/>
      </c>
      <c r="BU302" s="5">
        <f>IF(A302="","",N(INDEX(Projects[Controls Purchase],301)))</f>
        <v/>
      </c>
      <c r="BV302" s="5">
        <f>IF(A302="","",N(INDEX(Projects[Software Eng],301)))</f>
        <v/>
      </c>
      <c r="BW302" s="5">
        <f>IF(A302="","",N(INDEX(Projects[Misc],301)))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IF(A303="","",N(INDEX(Projects[Mech Inst],302)))</f>
        <v/>
      </c>
      <c r="BK303" s="5">
        <f>IF(A303="","",N(INDEX(Projects[Elec Inst],302)))</f>
        <v/>
      </c>
      <c r="BL303" s="5">
        <f>IF(A303="","",N(INDEX(Projects[Project Management],302)))</f>
        <v/>
      </c>
      <c r="BM303" s="5">
        <f>IF(A303="","",N(INDEX(Projects[Systems Eng],302)))</f>
        <v/>
      </c>
      <c r="BN303" s="5">
        <f>IF(A303="","",N(INDEX(Projects[Mechanical Eng],302)))</f>
        <v/>
      </c>
      <c r="BO303" s="5">
        <f>IF(A303="","",N(INDEX(Projects[Structural Engineering],302)))</f>
        <v/>
      </c>
      <c r="BP303" s="5">
        <f>IF(A303="","",N(INDEX(Projects[Site Sup],302)))</f>
        <v/>
      </c>
      <c r="BQ303" s="5">
        <f>IF(A303="","",N(INDEX(Projects[Controls Commissioning],302)))</f>
        <v/>
      </c>
      <c r="BR303" s="5">
        <f>IF(A303="","",N(INDEX(Projects[Systems Commissioning],302)))</f>
        <v/>
      </c>
      <c r="BS303" s="5">
        <f>IF(A303="","",N(INDEX(Projects[Service Commissioning],302)))</f>
        <v/>
      </c>
      <c r="BT303" s="5">
        <f>IF(A303="","",N(INDEX(Projects[Controls Eng],302)))</f>
        <v/>
      </c>
      <c r="BU303" s="5">
        <f>IF(A303="","",N(INDEX(Projects[Controls Purchase],302)))</f>
        <v/>
      </c>
      <c r="BV303" s="5">
        <f>IF(A303="","",N(INDEX(Projects[Software Eng],302)))</f>
        <v/>
      </c>
      <c r="BW303" s="5">
        <f>IF(A303="","",N(INDEX(Projects[Misc],302)))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IF(A304="","",N(INDEX(Projects[Mech Inst],303)))</f>
        <v/>
      </c>
      <c r="BK304" s="5">
        <f>IF(A304="","",N(INDEX(Projects[Elec Inst],303)))</f>
        <v/>
      </c>
      <c r="BL304" s="5">
        <f>IF(A304="","",N(INDEX(Projects[Project Management],303)))</f>
        <v/>
      </c>
      <c r="BM304" s="5">
        <f>IF(A304="","",N(INDEX(Projects[Systems Eng],303)))</f>
        <v/>
      </c>
      <c r="BN304" s="5">
        <f>IF(A304="","",N(INDEX(Projects[Mechanical Eng],303)))</f>
        <v/>
      </c>
      <c r="BO304" s="5">
        <f>IF(A304="","",N(INDEX(Projects[Structural Engineering],303)))</f>
        <v/>
      </c>
      <c r="BP304" s="5">
        <f>IF(A304="","",N(INDEX(Projects[Site Sup],303)))</f>
        <v/>
      </c>
      <c r="BQ304" s="5">
        <f>IF(A304="","",N(INDEX(Projects[Controls Commissioning],303)))</f>
        <v/>
      </c>
      <c r="BR304" s="5">
        <f>IF(A304="","",N(INDEX(Projects[Systems Commissioning],303)))</f>
        <v/>
      </c>
      <c r="BS304" s="5">
        <f>IF(A304="","",N(INDEX(Projects[Service Commissioning],303)))</f>
        <v/>
      </c>
      <c r="BT304" s="5">
        <f>IF(A304="","",N(INDEX(Projects[Controls Eng],303)))</f>
        <v/>
      </c>
      <c r="BU304" s="5">
        <f>IF(A304="","",N(INDEX(Projects[Controls Purchase],303)))</f>
        <v/>
      </c>
      <c r="BV304" s="5">
        <f>IF(A304="","",N(INDEX(Projects[Software Eng],303)))</f>
        <v/>
      </c>
      <c r="BW304" s="5">
        <f>IF(A304="","",N(INDEX(Projects[Misc],303)))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IF(A305="","",N(INDEX(Projects[Mech Inst],304)))</f>
        <v/>
      </c>
      <c r="BK305" s="5">
        <f>IF(A305="","",N(INDEX(Projects[Elec Inst],304)))</f>
        <v/>
      </c>
      <c r="BL305" s="5">
        <f>IF(A305="","",N(INDEX(Projects[Project Management],304)))</f>
        <v/>
      </c>
      <c r="BM305" s="5">
        <f>IF(A305="","",N(INDEX(Projects[Systems Eng],304)))</f>
        <v/>
      </c>
      <c r="BN305" s="5">
        <f>IF(A305="","",N(INDEX(Projects[Mechanical Eng],304)))</f>
        <v/>
      </c>
      <c r="BO305" s="5">
        <f>IF(A305="","",N(INDEX(Projects[Structural Engineering],304)))</f>
        <v/>
      </c>
      <c r="BP305" s="5">
        <f>IF(A305="","",N(INDEX(Projects[Site Sup],304)))</f>
        <v/>
      </c>
      <c r="BQ305" s="5">
        <f>IF(A305="","",N(INDEX(Projects[Controls Commissioning],304)))</f>
        <v/>
      </c>
      <c r="BR305" s="5">
        <f>IF(A305="","",N(INDEX(Projects[Systems Commissioning],304)))</f>
        <v/>
      </c>
      <c r="BS305" s="5">
        <f>IF(A305="","",N(INDEX(Projects[Service Commissioning],304)))</f>
        <v/>
      </c>
      <c r="BT305" s="5">
        <f>IF(A305="","",N(INDEX(Projects[Controls Eng],304)))</f>
        <v/>
      </c>
      <c r="BU305" s="5">
        <f>IF(A305="","",N(INDEX(Projects[Controls Purchase],304)))</f>
        <v/>
      </c>
      <c r="BV305" s="5">
        <f>IF(A305="","",N(INDEX(Projects[Software Eng],304)))</f>
        <v/>
      </c>
      <c r="BW305" s="5">
        <f>IF(A305="","",N(INDEX(Projects[Misc],304)))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IF(A306="","",N(INDEX(Projects[Mech Inst],305)))</f>
        <v/>
      </c>
      <c r="BK306" s="5">
        <f>IF(A306="","",N(INDEX(Projects[Elec Inst],305)))</f>
        <v/>
      </c>
      <c r="BL306" s="5">
        <f>IF(A306="","",N(INDEX(Projects[Project Management],305)))</f>
        <v/>
      </c>
      <c r="BM306" s="5">
        <f>IF(A306="","",N(INDEX(Projects[Systems Eng],305)))</f>
        <v/>
      </c>
      <c r="BN306" s="5">
        <f>IF(A306="","",N(INDEX(Projects[Mechanical Eng],305)))</f>
        <v/>
      </c>
      <c r="BO306" s="5">
        <f>IF(A306="","",N(INDEX(Projects[Structural Engineering],305)))</f>
        <v/>
      </c>
      <c r="BP306" s="5">
        <f>IF(A306="","",N(INDEX(Projects[Site Sup],305)))</f>
        <v/>
      </c>
      <c r="BQ306" s="5">
        <f>IF(A306="","",N(INDEX(Projects[Controls Commissioning],305)))</f>
        <v/>
      </c>
      <c r="BR306" s="5">
        <f>IF(A306="","",N(INDEX(Projects[Systems Commissioning],305)))</f>
        <v/>
      </c>
      <c r="BS306" s="5">
        <f>IF(A306="","",N(INDEX(Projects[Service Commissioning],305)))</f>
        <v/>
      </c>
      <c r="BT306" s="5">
        <f>IF(A306="","",N(INDEX(Projects[Controls Eng],305)))</f>
        <v/>
      </c>
      <c r="BU306" s="5">
        <f>IF(A306="","",N(INDEX(Projects[Controls Purchase],305)))</f>
        <v/>
      </c>
      <c r="BV306" s="5">
        <f>IF(A306="","",N(INDEX(Projects[Software Eng],305)))</f>
        <v/>
      </c>
      <c r="BW306" s="5">
        <f>IF(A306="","",N(INDEX(Projects[Misc],305)))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IF(A307="","",N(INDEX(Projects[Mech Inst],306)))</f>
        <v/>
      </c>
      <c r="BK307" s="5">
        <f>IF(A307="","",N(INDEX(Projects[Elec Inst],306)))</f>
        <v/>
      </c>
      <c r="BL307" s="5">
        <f>IF(A307="","",N(INDEX(Projects[Project Management],306)))</f>
        <v/>
      </c>
      <c r="BM307" s="5">
        <f>IF(A307="","",N(INDEX(Projects[Systems Eng],306)))</f>
        <v/>
      </c>
      <c r="BN307" s="5">
        <f>IF(A307="","",N(INDEX(Projects[Mechanical Eng],306)))</f>
        <v/>
      </c>
      <c r="BO307" s="5">
        <f>IF(A307="","",N(INDEX(Projects[Structural Engineering],306)))</f>
        <v/>
      </c>
      <c r="BP307" s="5">
        <f>IF(A307="","",N(INDEX(Projects[Site Sup],306)))</f>
        <v/>
      </c>
      <c r="BQ307" s="5">
        <f>IF(A307="","",N(INDEX(Projects[Controls Commissioning],306)))</f>
        <v/>
      </c>
      <c r="BR307" s="5">
        <f>IF(A307="","",N(INDEX(Projects[Systems Commissioning],306)))</f>
        <v/>
      </c>
      <c r="BS307" s="5">
        <f>IF(A307="","",N(INDEX(Projects[Service Commissioning],306)))</f>
        <v/>
      </c>
      <c r="BT307" s="5">
        <f>IF(A307="","",N(INDEX(Projects[Controls Eng],306)))</f>
        <v/>
      </c>
      <c r="BU307" s="5">
        <f>IF(A307="","",N(INDEX(Projects[Controls Purchase],306)))</f>
        <v/>
      </c>
      <c r="BV307" s="5">
        <f>IF(A307="","",N(INDEX(Projects[Software Eng],306)))</f>
        <v/>
      </c>
      <c r="BW307" s="5">
        <f>IF(A307="","",N(INDEX(Projects[Misc],306)))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IF(A308="","",N(INDEX(Projects[Mech Inst],307)))</f>
        <v/>
      </c>
      <c r="BK308" s="5">
        <f>IF(A308="","",N(INDEX(Projects[Elec Inst],307)))</f>
        <v/>
      </c>
      <c r="BL308" s="5">
        <f>IF(A308="","",N(INDEX(Projects[Project Management],307)))</f>
        <v/>
      </c>
      <c r="BM308" s="5">
        <f>IF(A308="","",N(INDEX(Projects[Systems Eng],307)))</f>
        <v/>
      </c>
      <c r="BN308" s="5">
        <f>IF(A308="","",N(INDEX(Projects[Mechanical Eng],307)))</f>
        <v/>
      </c>
      <c r="BO308" s="5">
        <f>IF(A308="","",N(INDEX(Projects[Structural Engineering],307)))</f>
        <v/>
      </c>
      <c r="BP308" s="5">
        <f>IF(A308="","",N(INDEX(Projects[Site Sup],307)))</f>
        <v/>
      </c>
      <c r="BQ308" s="5">
        <f>IF(A308="","",N(INDEX(Projects[Controls Commissioning],307)))</f>
        <v/>
      </c>
      <c r="BR308" s="5">
        <f>IF(A308="","",N(INDEX(Projects[Systems Commissioning],307)))</f>
        <v/>
      </c>
      <c r="BS308" s="5">
        <f>IF(A308="","",N(INDEX(Projects[Service Commissioning],307)))</f>
        <v/>
      </c>
      <c r="BT308" s="5">
        <f>IF(A308="","",N(INDEX(Projects[Controls Eng],307)))</f>
        <v/>
      </c>
      <c r="BU308" s="5">
        <f>IF(A308="","",N(INDEX(Projects[Controls Purchase],307)))</f>
        <v/>
      </c>
      <c r="BV308" s="5">
        <f>IF(A308="","",N(INDEX(Projects[Software Eng],307)))</f>
        <v/>
      </c>
      <c r="BW308" s="5">
        <f>IF(A308="","",N(INDEX(Projects[Misc],307)))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IF(A309="","",N(INDEX(Projects[Mech Inst],308)))</f>
        <v/>
      </c>
      <c r="BK309" s="5">
        <f>IF(A309="","",N(INDEX(Projects[Elec Inst],308)))</f>
        <v/>
      </c>
      <c r="BL309" s="5">
        <f>IF(A309="","",N(INDEX(Projects[Project Management],308)))</f>
        <v/>
      </c>
      <c r="BM309" s="5">
        <f>IF(A309="","",N(INDEX(Projects[Systems Eng],308)))</f>
        <v/>
      </c>
      <c r="BN309" s="5">
        <f>IF(A309="","",N(INDEX(Projects[Mechanical Eng],308)))</f>
        <v/>
      </c>
      <c r="BO309" s="5">
        <f>IF(A309="","",N(INDEX(Projects[Structural Engineering],308)))</f>
        <v/>
      </c>
      <c r="BP309" s="5">
        <f>IF(A309="","",N(INDEX(Projects[Site Sup],308)))</f>
        <v/>
      </c>
      <c r="BQ309" s="5">
        <f>IF(A309="","",N(INDEX(Projects[Controls Commissioning],308)))</f>
        <v/>
      </c>
      <c r="BR309" s="5">
        <f>IF(A309="","",N(INDEX(Projects[Systems Commissioning],308)))</f>
        <v/>
      </c>
      <c r="BS309" s="5">
        <f>IF(A309="","",N(INDEX(Projects[Service Commissioning],308)))</f>
        <v/>
      </c>
      <c r="BT309" s="5">
        <f>IF(A309="","",N(INDEX(Projects[Controls Eng],308)))</f>
        <v/>
      </c>
      <c r="BU309" s="5">
        <f>IF(A309="","",N(INDEX(Projects[Controls Purchase],308)))</f>
        <v/>
      </c>
      <c r="BV309" s="5">
        <f>IF(A309="","",N(INDEX(Projects[Software Eng],308)))</f>
        <v/>
      </c>
      <c r="BW309" s="5">
        <f>IF(A309="","",N(INDEX(Projects[Misc],308)))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IF(A310="","",N(INDEX(Projects[Mech Inst],309)))</f>
        <v/>
      </c>
      <c r="BK310" s="5">
        <f>IF(A310="","",N(INDEX(Projects[Elec Inst],309)))</f>
        <v/>
      </c>
      <c r="BL310" s="5">
        <f>IF(A310="","",N(INDEX(Projects[Project Management],309)))</f>
        <v/>
      </c>
      <c r="BM310" s="5">
        <f>IF(A310="","",N(INDEX(Projects[Systems Eng],309)))</f>
        <v/>
      </c>
      <c r="BN310" s="5">
        <f>IF(A310="","",N(INDEX(Projects[Mechanical Eng],309)))</f>
        <v/>
      </c>
      <c r="BO310" s="5">
        <f>IF(A310="","",N(INDEX(Projects[Structural Engineering],309)))</f>
        <v/>
      </c>
      <c r="BP310" s="5">
        <f>IF(A310="","",N(INDEX(Projects[Site Sup],309)))</f>
        <v/>
      </c>
      <c r="BQ310" s="5">
        <f>IF(A310="","",N(INDEX(Projects[Controls Commissioning],309)))</f>
        <v/>
      </c>
      <c r="BR310" s="5">
        <f>IF(A310="","",N(INDEX(Projects[Systems Commissioning],309)))</f>
        <v/>
      </c>
      <c r="BS310" s="5">
        <f>IF(A310="","",N(INDEX(Projects[Service Commissioning],309)))</f>
        <v/>
      </c>
      <c r="BT310" s="5">
        <f>IF(A310="","",N(INDEX(Projects[Controls Eng],309)))</f>
        <v/>
      </c>
      <c r="BU310" s="5">
        <f>IF(A310="","",N(INDEX(Projects[Controls Purchase],309)))</f>
        <v/>
      </c>
      <c r="BV310" s="5">
        <f>IF(A310="","",N(INDEX(Projects[Software Eng],309)))</f>
        <v/>
      </c>
      <c r="BW310" s="5">
        <f>IF(A310="","",N(INDEX(Projects[Misc],309)))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IF(A311="","",N(INDEX(Projects[Mech Inst],310)))</f>
        <v/>
      </c>
      <c r="BK311" s="5">
        <f>IF(A311="","",N(INDEX(Projects[Elec Inst],310)))</f>
        <v/>
      </c>
      <c r="BL311" s="5">
        <f>IF(A311="","",N(INDEX(Projects[Project Management],310)))</f>
        <v/>
      </c>
      <c r="BM311" s="5">
        <f>IF(A311="","",N(INDEX(Projects[Systems Eng],310)))</f>
        <v/>
      </c>
      <c r="BN311" s="5">
        <f>IF(A311="","",N(INDEX(Projects[Mechanical Eng],310)))</f>
        <v/>
      </c>
      <c r="BO311" s="5">
        <f>IF(A311="","",N(INDEX(Projects[Structural Engineering],310)))</f>
        <v/>
      </c>
      <c r="BP311" s="5">
        <f>IF(A311="","",N(INDEX(Projects[Site Sup],310)))</f>
        <v/>
      </c>
      <c r="BQ311" s="5">
        <f>IF(A311="","",N(INDEX(Projects[Controls Commissioning],310)))</f>
        <v/>
      </c>
      <c r="BR311" s="5">
        <f>IF(A311="","",N(INDEX(Projects[Systems Commissioning],310)))</f>
        <v/>
      </c>
      <c r="BS311" s="5">
        <f>IF(A311="","",N(INDEX(Projects[Service Commissioning],310)))</f>
        <v/>
      </c>
      <c r="BT311" s="5">
        <f>IF(A311="","",N(INDEX(Projects[Controls Eng],310)))</f>
        <v/>
      </c>
      <c r="BU311" s="5">
        <f>IF(A311="","",N(INDEX(Projects[Controls Purchase],310)))</f>
        <v/>
      </c>
      <c r="BV311" s="5">
        <f>IF(A311="","",N(INDEX(Projects[Software Eng],310)))</f>
        <v/>
      </c>
      <c r="BW311" s="5">
        <f>IF(A311="","",N(INDEX(Projects[Misc],310)))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IF(A312="","",N(INDEX(Projects[Mech Inst],311)))</f>
        <v/>
      </c>
      <c r="BK312" s="5">
        <f>IF(A312="","",N(INDEX(Projects[Elec Inst],311)))</f>
        <v/>
      </c>
      <c r="BL312" s="5">
        <f>IF(A312="","",N(INDEX(Projects[Project Management],311)))</f>
        <v/>
      </c>
      <c r="BM312" s="5">
        <f>IF(A312="","",N(INDEX(Projects[Systems Eng],311)))</f>
        <v/>
      </c>
      <c r="BN312" s="5">
        <f>IF(A312="","",N(INDEX(Projects[Mechanical Eng],311)))</f>
        <v/>
      </c>
      <c r="BO312" s="5">
        <f>IF(A312="","",N(INDEX(Projects[Structural Engineering],311)))</f>
        <v/>
      </c>
      <c r="BP312" s="5">
        <f>IF(A312="","",N(INDEX(Projects[Site Sup],311)))</f>
        <v/>
      </c>
      <c r="BQ312" s="5">
        <f>IF(A312="","",N(INDEX(Projects[Controls Commissioning],311)))</f>
        <v/>
      </c>
      <c r="BR312" s="5">
        <f>IF(A312="","",N(INDEX(Projects[Systems Commissioning],311)))</f>
        <v/>
      </c>
      <c r="BS312" s="5">
        <f>IF(A312="","",N(INDEX(Projects[Service Commissioning],311)))</f>
        <v/>
      </c>
      <c r="BT312" s="5">
        <f>IF(A312="","",N(INDEX(Projects[Controls Eng],311)))</f>
        <v/>
      </c>
      <c r="BU312" s="5">
        <f>IF(A312="","",N(INDEX(Projects[Controls Purchase],311)))</f>
        <v/>
      </c>
      <c r="BV312" s="5">
        <f>IF(A312="","",N(INDEX(Projects[Software Eng],311)))</f>
        <v/>
      </c>
      <c r="BW312" s="5">
        <f>IF(A312="","",N(INDEX(Projects[Misc],311)))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IF(A313="","",N(INDEX(Projects[Mech Inst],312)))</f>
        <v/>
      </c>
      <c r="BK313" s="5">
        <f>IF(A313="","",N(INDEX(Projects[Elec Inst],312)))</f>
        <v/>
      </c>
      <c r="BL313" s="5">
        <f>IF(A313="","",N(INDEX(Projects[Project Management],312)))</f>
        <v/>
      </c>
      <c r="BM313" s="5">
        <f>IF(A313="","",N(INDEX(Projects[Systems Eng],312)))</f>
        <v/>
      </c>
      <c r="BN313" s="5">
        <f>IF(A313="","",N(INDEX(Projects[Mechanical Eng],312)))</f>
        <v/>
      </c>
      <c r="BO313" s="5">
        <f>IF(A313="","",N(INDEX(Projects[Structural Engineering],312)))</f>
        <v/>
      </c>
      <c r="BP313" s="5">
        <f>IF(A313="","",N(INDEX(Projects[Site Sup],312)))</f>
        <v/>
      </c>
      <c r="BQ313" s="5">
        <f>IF(A313="","",N(INDEX(Projects[Controls Commissioning],312)))</f>
        <v/>
      </c>
      <c r="BR313" s="5">
        <f>IF(A313="","",N(INDEX(Projects[Systems Commissioning],312)))</f>
        <v/>
      </c>
      <c r="BS313" s="5">
        <f>IF(A313="","",N(INDEX(Projects[Service Commissioning],312)))</f>
        <v/>
      </c>
      <c r="BT313" s="5">
        <f>IF(A313="","",N(INDEX(Projects[Controls Eng],312)))</f>
        <v/>
      </c>
      <c r="BU313" s="5">
        <f>IF(A313="","",N(INDEX(Projects[Controls Purchase],312)))</f>
        <v/>
      </c>
      <c r="BV313" s="5">
        <f>IF(A313="","",N(INDEX(Projects[Software Eng],312)))</f>
        <v/>
      </c>
      <c r="BW313" s="5">
        <f>IF(A313="","",N(INDEX(Projects[Misc],312)))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IF(A314="","",N(INDEX(Projects[Mech Inst],313)))</f>
        <v/>
      </c>
      <c r="BK314" s="5">
        <f>IF(A314="","",N(INDEX(Projects[Elec Inst],313)))</f>
        <v/>
      </c>
      <c r="BL314" s="5">
        <f>IF(A314="","",N(INDEX(Projects[Project Management],313)))</f>
        <v/>
      </c>
      <c r="BM314" s="5">
        <f>IF(A314="","",N(INDEX(Projects[Systems Eng],313)))</f>
        <v/>
      </c>
      <c r="BN314" s="5">
        <f>IF(A314="","",N(INDEX(Projects[Mechanical Eng],313)))</f>
        <v/>
      </c>
      <c r="BO314" s="5">
        <f>IF(A314="","",N(INDEX(Projects[Structural Engineering],313)))</f>
        <v/>
      </c>
      <c r="BP314" s="5">
        <f>IF(A314="","",N(INDEX(Projects[Site Sup],313)))</f>
        <v/>
      </c>
      <c r="BQ314" s="5">
        <f>IF(A314="","",N(INDEX(Projects[Controls Commissioning],313)))</f>
        <v/>
      </c>
      <c r="BR314" s="5">
        <f>IF(A314="","",N(INDEX(Projects[Systems Commissioning],313)))</f>
        <v/>
      </c>
      <c r="BS314" s="5">
        <f>IF(A314="","",N(INDEX(Projects[Service Commissioning],313)))</f>
        <v/>
      </c>
      <c r="BT314" s="5">
        <f>IF(A314="","",N(INDEX(Projects[Controls Eng],313)))</f>
        <v/>
      </c>
      <c r="BU314" s="5">
        <f>IF(A314="","",N(INDEX(Projects[Controls Purchase],313)))</f>
        <v/>
      </c>
      <c r="BV314" s="5">
        <f>IF(A314="","",N(INDEX(Projects[Software Eng],313)))</f>
        <v/>
      </c>
      <c r="BW314" s="5">
        <f>IF(A314="","",N(INDEX(Projects[Misc],313)))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IF(A315="","",N(INDEX(Projects[Mech Inst],314)))</f>
        <v/>
      </c>
      <c r="BK315" s="5">
        <f>IF(A315="","",N(INDEX(Projects[Elec Inst],314)))</f>
        <v/>
      </c>
      <c r="BL315" s="5">
        <f>IF(A315="","",N(INDEX(Projects[Project Management],314)))</f>
        <v/>
      </c>
      <c r="BM315" s="5">
        <f>IF(A315="","",N(INDEX(Projects[Systems Eng],314)))</f>
        <v/>
      </c>
      <c r="BN315" s="5">
        <f>IF(A315="","",N(INDEX(Projects[Mechanical Eng],314)))</f>
        <v/>
      </c>
      <c r="BO315" s="5">
        <f>IF(A315="","",N(INDEX(Projects[Structural Engineering],314)))</f>
        <v/>
      </c>
      <c r="BP315" s="5">
        <f>IF(A315="","",N(INDEX(Projects[Site Sup],314)))</f>
        <v/>
      </c>
      <c r="BQ315" s="5">
        <f>IF(A315="","",N(INDEX(Projects[Controls Commissioning],314)))</f>
        <v/>
      </c>
      <c r="BR315" s="5">
        <f>IF(A315="","",N(INDEX(Projects[Systems Commissioning],314)))</f>
        <v/>
      </c>
      <c r="BS315" s="5">
        <f>IF(A315="","",N(INDEX(Projects[Service Commissioning],314)))</f>
        <v/>
      </c>
      <c r="BT315" s="5">
        <f>IF(A315="","",N(INDEX(Projects[Controls Eng],314)))</f>
        <v/>
      </c>
      <c r="BU315" s="5">
        <f>IF(A315="","",N(INDEX(Projects[Controls Purchase],314)))</f>
        <v/>
      </c>
      <c r="BV315" s="5">
        <f>IF(A315="","",N(INDEX(Projects[Software Eng],314)))</f>
        <v/>
      </c>
      <c r="BW315" s="5">
        <f>IF(A315="","",N(INDEX(Projects[Misc],314)))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IF(A316="","",N(INDEX(Projects[Mech Inst],315)))</f>
        <v/>
      </c>
      <c r="BK316" s="5">
        <f>IF(A316="","",N(INDEX(Projects[Elec Inst],315)))</f>
        <v/>
      </c>
      <c r="BL316" s="5">
        <f>IF(A316="","",N(INDEX(Projects[Project Management],315)))</f>
        <v/>
      </c>
      <c r="BM316" s="5">
        <f>IF(A316="","",N(INDEX(Projects[Systems Eng],315)))</f>
        <v/>
      </c>
      <c r="BN316" s="5">
        <f>IF(A316="","",N(INDEX(Projects[Mechanical Eng],315)))</f>
        <v/>
      </c>
      <c r="BO316" s="5">
        <f>IF(A316="","",N(INDEX(Projects[Structural Engineering],315)))</f>
        <v/>
      </c>
      <c r="BP316" s="5">
        <f>IF(A316="","",N(INDEX(Projects[Site Sup],315)))</f>
        <v/>
      </c>
      <c r="BQ316" s="5">
        <f>IF(A316="","",N(INDEX(Projects[Controls Commissioning],315)))</f>
        <v/>
      </c>
      <c r="BR316" s="5">
        <f>IF(A316="","",N(INDEX(Projects[Systems Commissioning],315)))</f>
        <v/>
      </c>
      <c r="BS316" s="5">
        <f>IF(A316="","",N(INDEX(Projects[Service Commissioning],315)))</f>
        <v/>
      </c>
      <c r="BT316" s="5">
        <f>IF(A316="","",N(INDEX(Projects[Controls Eng],315)))</f>
        <v/>
      </c>
      <c r="BU316" s="5">
        <f>IF(A316="","",N(INDEX(Projects[Controls Purchase],315)))</f>
        <v/>
      </c>
      <c r="BV316" s="5">
        <f>IF(A316="","",N(INDEX(Projects[Software Eng],315)))</f>
        <v/>
      </c>
      <c r="BW316" s="5">
        <f>IF(A316="","",N(INDEX(Projects[Misc],315)))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IF(A317="","",N(INDEX(Projects[Mech Inst],316)))</f>
        <v/>
      </c>
      <c r="BK317" s="5">
        <f>IF(A317="","",N(INDEX(Projects[Elec Inst],316)))</f>
        <v/>
      </c>
      <c r="BL317" s="5">
        <f>IF(A317="","",N(INDEX(Projects[Project Management],316)))</f>
        <v/>
      </c>
      <c r="BM317" s="5">
        <f>IF(A317="","",N(INDEX(Projects[Systems Eng],316)))</f>
        <v/>
      </c>
      <c r="BN317" s="5">
        <f>IF(A317="","",N(INDEX(Projects[Mechanical Eng],316)))</f>
        <v/>
      </c>
      <c r="BO317" s="5">
        <f>IF(A317="","",N(INDEX(Projects[Structural Engineering],316)))</f>
        <v/>
      </c>
      <c r="BP317" s="5">
        <f>IF(A317="","",N(INDEX(Projects[Site Sup],316)))</f>
        <v/>
      </c>
      <c r="BQ317" s="5">
        <f>IF(A317="","",N(INDEX(Projects[Controls Commissioning],316)))</f>
        <v/>
      </c>
      <c r="BR317" s="5">
        <f>IF(A317="","",N(INDEX(Projects[Systems Commissioning],316)))</f>
        <v/>
      </c>
      <c r="BS317" s="5">
        <f>IF(A317="","",N(INDEX(Projects[Service Commissioning],316)))</f>
        <v/>
      </c>
      <c r="BT317" s="5">
        <f>IF(A317="","",N(INDEX(Projects[Controls Eng],316)))</f>
        <v/>
      </c>
      <c r="BU317" s="5">
        <f>IF(A317="","",N(INDEX(Projects[Controls Purchase],316)))</f>
        <v/>
      </c>
      <c r="BV317" s="5">
        <f>IF(A317="","",N(INDEX(Projects[Software Eng],316)))</f>
        <v/>
      </c>
      <c r="BW317" s="5">
        <f>IF(A317="","",N(INDEX(Projects[Misc],316)))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IF(A318="","",N(INDEX(Projects[Mech Inst],317)))</f>
        <v/>
      </c>
      <c r="BK318" s="5">
        <f>IF(A318="","",N(INDEX(Projects[Elec Inst],317)))</f>
        <v/>
      </c>
      <c r="BL318" s="5">
        <f>IF(A318="","",N(INDEX(Projects[Project Management],317)))</f>
        <v/>
      </c>
      <c r="BM318" s="5">
        <f>IF(A318="","",N(INDEX(Projects[Systems Eng],317)))</f>
        <v/>
      </c>
      <c r="BN318" s="5">
        <f>IF(A318="","",N(INDEX(Projects[Mechanical Eng],317)))</f>
        <v/>
      </c>
      <c r="BO318" s="5">
        <f>IF(A318="","",N(INDEX(Projects[Structural Engineering],317)))</f>
        <v/>
      </c>
      <c r="BP318" s="5">
        <f>IF(A318="","",N(INDEX(Projects[Site Sup],317)))</f>
        <v/>
      </c>
      <c r="BQ318" s="5">
        <f>IF(A318="","",N(INDEX(Projects[Controls Commissioning],317)))</f>
        <v/>
      </c>
      <c r="BR318" s="5">
        <f>IF(A318="","",N(INDEX(Projects[Systems Commissioning],317)))</f>
        <v/>
      </c>
      <c r="BS318" s="5">
        <f>IF(A318="","",N(INDEX(Projects[Service Commissioning],317)))</f>
        <v/>
      </c>
      <c r="BT318" s="5">
        <f>IF(A318="","",N(INDEX(Projects[Controls Eng],317)))</f>
        <v/>
      </c>
      <c r="BU318" s="5">
        <f>IF(A318="","",N(INDEX(Projects[Controls Purchase],317)))</f>
        <v/>
      </c>
      <c r="BV318" s="5">
        <f>IF(A318="","",N(INDEX(Projects[Software Eng],317)))</f>
        <v/>
      </c>
      <c r="BW318" s="5">
        <f>IF(A318="","",N(INDEX(Projects[Misc],317)))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IF(A319="","",N(INDEX(Projects[Mech Inst],318)))</f>
        <v/>
      </c>
      <c r="BK319" s="5">
        <f>IF(A319="","",N(INDEX(Projects[Elec Inst],318)))</f>
        <v/>
      </c>
      <c r="BL319" s="5">
        <f>IF(A319="","",N(INDEX(Projects[Project Management],318)))</f>
        <v/>
      </c>
      <c r="BM319" s="5">
        <f>IF(A319="","",N(INDEX(Projects[Systems Eng],318)))</f>
        <v/>
      </c>
      <c r="BN319" s="5">
        <f>IF(A319="","",N(INDEX(Projects[Mechanical Eng],318)))</f>
        <v/>
      </c>
      <c r="BO319" s="5">
        <f>IF(A319="","",N(INDEX(Projects[Structural Engineering],318)))</f>
        <v/>
      </c>
      <c r="BP319" s="5">
        <f>IF(A319="","",N(INDEX(Projects[Site Sup],318)))</f>
        <v/>
      </c>
      <c r="BQ319" s="5">
        <f>IF(A319="","",N(INDEX(Projects[Controls Commissioning],318)))</f>
        <v/>
      </c>
      <c r="BR319" s="5">
        <f>IF(A319="","",N(INDEX(Projects[Systems Commissioning],318)))</f>
        <v/>
      </c>
      <c r="BS319" s="5">
        <f>IF(A319="","",N(INDEX(Projects[Service Commissioning],318)))</f>
        <v/>
      </c>
      <c r="BT319" s="5">
        <f>IF(A319="","",N(INDEX(Projects[Controls Eng],318)))</f>
        <v/>
      </c>
      <c r="BU319" s="5">
        <f>IF(A319="","",N(INDEX(Projects[Controls Purchase],318)))</f>
        <v/>
      </c>
      <c r="BV319" s="5">
        <f>IF(A319="","",N(INDEX(Projects[Software Eng],318)))</f>
        <v/>
      </c>
      <c r="BW319" s="5">
        <f>IF(A319="","",N(INDEX(Projects[Misc],318)))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IF(A320="","",N(INDEX(Projects[Mech Inst],319)))</f>
        <v/>
      </c>
      <c r="BK320" s="5">
        <f>IF(A320="","",N(INDEX(Projects[Elec Inst],319)))</f>
        <v/>
      </c>
      <c r="BL320" s="5">
        <f>IF(A320="","",N(INDEX(Projects[Project Management],319)))</f>
        <v/>
      </c>
      <c r="BM320" s="5">
        <f>IF(A320="","",N(INDEX(Projects[Systems Eng],319)))</f>
        <v/>
      </c>
      <c r="BN320" s="5">
        <f>IF(A320="","",N(INDEX(Projects[Mechanical Eng],319)))</f>
        <v/>
      </c>
      <c r="BO320" s="5">
        <f>IF(A320="","",N(INDEX(Projects[Structural Engineering],319)))</f>
        <v/>
      </c>
      <c r="BP320" s="5">
        <f>IF(A320="","",N(INDEX(Projects[Site Sup],319)))</f>
        <v/>
      </c>
      <c r="BQ320" s="5">
        <f>IF(A320="","",N(INDEX(Projects[Controls Commissioning],319)))</f>
        <v/>
      </c>
      <c r="BR320" s="5">
        <f>IF(A320="","",N(INDEX(Projects[Systems Commissioning],319)))</f>
        <v/>
      </c>
      <c r="BS320" s="5">
        <f>IF(A320="","",N(INDEX(Projects[Service Commissioning],319)))</f>
        <v/>
      </c>
      <c r="BT320" s="5">
        <f>IF(A320="","",N(INDEX(Projects[Controls Eng],319)))</f>
        <v/>
      </c>
      <c r="BU320" s="5">
        <f>IF(A320="","",N(INDEX(Projects[Controls Purchase],319)))</f>
        <v/>
      </c>
      <c r="BV320" s="5">
        <f>IF(A320="","",N(INDEX(Projects[Software Eng],319)))</f>
        <v/>
      </c>
      <c r="BW320" s="5">
        <f>IF(A320="","",N(INDEX(Projects[Misc],319)))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IF(A321="","",N(INDEX(Projects[Mech Inst],320)))</f>
        <v/>
      </c>
      <c r="BK321" s="5">
        <f>IF(A321="","",N(INDEX(Projects[Elec Inst],320)))</f>
        <v/>
      </c>
      <c r="BL321" s="5">
        <f>IF(A321="","",N(INDEX(Projects[Project Management],320)))</f>
        <v/>
      </c>
      <c r="BM321" s="5">
        <f>IF(A321="","",N(INDEX(Projects[Systems Eng],320)))</f>
        <v/>
      </c>
      <c r="BN321" s="5">
        <f>IF(A321="","",N(INDEX(Projects[Mechanical Eng],320)))</f>
        <v/>
      </c>
      <c r="BO321" s="5">
        <f>IF(A321="","",N(INDEX(Projects[Structural Engineering],320)))</f>
        <v/>
      </c>
      <c r="BP321" s="5">
        <f>IF(A321="","",N(INDEX(Projects[Site Sup],320)))</f>
        <v/>
      </c>
      <c r="BQ321" s="5">
        <f>IF(A321="","",N(INDEX(Projects[Controls Commissioning],320)))</f>
        <v/>
      </c>
      <c r="BR321" s="5">
        <f>IF(A321="","",N(INDEX(Projects[Systems Commissioning],320)))</f>
        <v/>
      </c>
      <c r="BS321" s="5">
        <f>IF(A321="","",N(INDEX(Projects[Service Commissioning],320)))</f>
        <v/>
      </c>
      <c r="BT321" s="5">
        <f>IF(A321="","",N(INDEX(Projects[Controls Eng],320)))</f>
        <v/>
      </c>
      <c r="BU321" s="5">
        <f>IF(A321="","",N(INDEX(Projects[Controls Purchase],320)))</f>
        <v/>
      </c>
      <c r="BV321" s="5">
        <f>IF(A321="","",N(INDEX(Projects[Software Eng],320)))</f>
        <v/>
      </c>
      <c r="BW321" s="5">
        <f>IF(A321="","",N(INDEX(Projects[Misc],320)))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IF(A322="","",N(INDEX(Projects[Mech Inst],321)))</f>
        <v/>
      </c>
      <c r="BK322" s="5">
        <f>IF(A322="","",N(INDEX(Projects[Elec Inst],321)))</f>
        <v/>
      </c>
      <c r="BL322" s="5">
        <f>IF(A322="","",N(INDEX(Projects[Project Management],321)))</f>
        <v/>
      </c>
      <c r="BM322" s="5">
        <f>IF(A322="","",N(INDEX(Projects[Systems Eng],321)))</f>
        <v/>
      </c>
      <c r="BN322" s="5">
        <f>IF(A322="","",N(INDEX(Projects[Mechanical Eng],321)))</f>
        <v/>
      </c>
      <c r="BO322" s="5">
        <f>IF(A322="","",N(INDEX(Projects[Structural Engineering],321)))</f>
        <v/>
      </c>
      <c r="BP322" s="5">
        <f>IF(A322="","",N(INDEX(Projects[Site Sup],321)))</f>
        <v/>
      </c>
      <c r="BQ322" s="5">
        <f>IF(A322="","",N(INDEX(Projects[Controls Commissioning],321)))</f>
        <v/>
      </c>
      <c r="BR322" s="5">
        <f>IF(A322="","",N(INDEX(Projects[Systems Commissioning],321)))</f>
        <v/>
      </c>
      <c r="BS322" s="5">
        <f>IF(A322="","",N(INDEX(Projects[Service Commissioning],321)))</f>
        <v/>
      </c>
      <c r="BT322" s="5">
        <f>IF(A322="","",N(INDEX(Projects[Controls Eng],321)))</f>
        <v/>
      </c>
      <c r="BU322" s="5">
        <f>IF(A322="","",N(INDEX(Projects[Controls Purchase],321)))</f>
        <v/>
      </c>
      <c r="BV322" s="5">
        <f>IF(A322="","",N(INDEX(Projects[Software Eng],321)))</f>
        <v/>
      </c>
      <c r="BW322" s="5">
        <f>IF(A322="","",N(INDEX(Projects[Misc],321)))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IF(A323="","",N(INDEX(Projects[Mech Inst],322)))</f>
        <v/>
      </c>
      <c r="BK323" s="5">
        <f>IF(A323="","",N(INDEX(Projects[Elec Inst],322)))</f>
        <v/>
      </c>
      <c r="BL323" s="5">
        <f>IF(A323="","",N(INDEX(Projects[Project Management],322)))</f>
        <v/>
      </c>
      <c r="BM323" s="5">
        <f>IF(A323="","",N(INDEX(Projects[Systems Eng],322)))</f>
        <v/>
      </c>
      <c r="BN323" s="5">
        <f>IF(A323="","",N(INDEX(Projects[Mechanical Eng],322)))</f>
        <v/>
      </c>
      <c r="BO323" s="5">
        <f>IF(A323="","",N(INDEX(Projects[Structural Engineering],322)))</f>
        <v/>
      </c>
      <c r="BP323" s="5">
        <f>IF(A323="","",N(INDEX(Projects[Site Sup],322)))</f>
        <v/>
      </c>
      <c r="BQ323" s="5">
        <f>IF(A323="","",N(INDEX(Projects[Controls Commissioning],322)))</f>
        <v/>
      </c>
      <c r="BR323" s="5">
        <f>IF(A323="","",N(INDEX(Projects[Systems Commissioning],322)))</f>
        <v/>
      </c>
      <c r="BS323" s="5">
        <f>IF(A323="","",N(INDEX(Projects[Service Commissioning],322)))</f>
        <v/>
      </c>
      <c r="BT323" s="5">
        <f>IF(A323="","",N(INDEX(Projects[Controls Eng],322)))</f>
        <v/>
      </c>
      <c r="BU323" s="5">
        <f>IF(A323="","",N(INDEX(Projects[Controls Purchase],322)))</f>
        <v/>
      </c>
      <c r="BV323" s="5">
        <f>IF(A323="","",N(INDEX(Projects[Software Eng],322)))</f>
        <v/>
      </c>
      <c r="BW323" s="5">
        <f>IF(A323="","",N(INDEX(Projects[Misc],322)))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IF(A324="","",N(INDEX(Projects[Mech Inst],323)))</f>
        <v/>
      </c>
      <c r="BK324" s="5">
        <f>IF(A324="","",N(INDEX(Projects[Elec Inst],323)))</f>
        <v/>
      </c>
      <c r="BL324" s="5">
        <f>IF(A324="","",N(INDEX(Projects[Project Management],323)))</f>
        <v/>
      </c>
      <c r="BM324" s="5">
        <f>IF(A324="","",N(INDEX(Projects[Systems Eng],323)))</f>
        <v/>
      </c>
      <c r="BN324" s="5">
        <f>IF(A324="","",N(INDEX(Projects[Mechanical Eng],323)))</f>
        <v/>
      </c>
      <c r="BO324" s="5">
        <f>IF(A324="","",N(INDEX(Projects[Structural Engineering],323)))</f>
        <v/>
      </c>
      <c r="BP324" s="5">
        <f>IF(A324="","",N(INDEX(Projects[Site Sup],323)))</f>
        <v/>
      </c>
      <c r="BQ324" s="5">
        <f>IF(A324="","",N(INDEX(Projects[Controls Commissioning],323)))</f>
        <v/>
      </c>
      <c r="BR324" s="5">
        <f>IF(A324="","",N(INDEX(Projects[Systems Commissioning],323)))</f>
        <v/>
      </c>
      <c r="BS324" s="5">
        <f>IF(A324="","",N(INDEX(Projects[Service Commissioning],323)))</f>
        <v/>
      </c>
      <c r="BT324" s="5">
        <f>IF(A324="","",N(INDEX(Projects[Controls Eng],323)))</f>
        <v/>
      </c>
      <c r="BU324" s="5">
        <f>IF(A324="","",N(INDEX(Projects[Controls Purchase],323)))</f>
        <v/>
      </c>
      <c r="BV324" s="5">
        <f>IF(A324="","",N(INDEX(Projects[Software Eng],323)))</f>
        <v/>
      </c>
      <c r="BW324" s="5">
        <f>IF(A324="","",N(INDEX(Projects[Misc],323)))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IF(A325="","",N(INDEX(Projects[Mech Inst],324)))</f>
        <v/>
      </c>
      <c r="BK325" s="5">
        <f>IF(A325="","",N(INDEX(Projects[Elec Inst],324)))</f>
        <v/>
      </c>
      <c r="BL325" s="5">
        <f>IF(A325="","",N(INDEX(Projects[Project Management],324)))</f>
        <v/>
      </c>
      <c r="BM325" s="5">
        <f>IF(A325="","",N(INDEX(Projects[Systems Eng],324)))</f>
        <v/>
      </c>
      <c r="BN325" s="5">
        <f>IF(A325="","",N(INDEX(Projects[Mechanical Eng],324)))</f>
        <v/>
      </c>
      <c r="BO325" s="5">
        <f>IF(A325="","",N(INDEX(Projects[Structural Engineering],324)))</f>
        <v/>
      </c>
      <c r="BP325" s="5">
        <f>IF(A325="","",N(INDEX(Projects[Site Sup],324)))</f>
        <v/>
      </c>
      <c r="BQ325" s="5">
        <f>IF(A325="","",N(INDEX(Projects[Controls Commissioning],324)))</f>
        <v/>
      </c>
      <c r="BR325" s="5">
        <f>IF(A325="","",N(INDEX(Projects[Systems Commissioning],324)))</f>
        <v/>
      </c>
      <c r="BS325" s="5">
        <f>IF(A325="","",N(INDEX(Projects[Service Commissioning],324)))</f>
        <v/>
      </c>
      <c r="BT325" s="5">
        <f>IF(A325="","",N(INDEX(Projects[Controls Eng],324)))</f>
        <v/>
      </c>
      <c r="BU325" s="5">
        <f>IF(A325="","",N(INDEX(Projects[Controls Purchase],324)))</f>
        <v/>
      </c>
      <c r="BV325" s="5">
        <f>IF(A325="","",N(INDEX(Projects[Software Eng],324)))</f>
        <v/>
      </c>
      <c r="BW325" s="5">
        <f>IF(A325="","",N(INDEX(Projects[Misc],324)))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IF(A326="","",N(INDEX(Projects[Mech Inst],325)))</f>
        <v/>
      </c>
      <c r="BK326" s="5">
        <f>IF(A326="","",N(INDEX(Projects[Elec Inst],325)))</f>
        <v/>
      </c>
      <c r="BL326" s="5">
        <f>IF(A326="","",N(INDEX(Projects[Project Management],325)))</f>
        <v/>
      </c>
      <c r="BM326" s="5">
        <f>IF(A326="","",N(INDEX(Projects[Systems Eng],325)))</f>
        <v/>
      </c>
      <c r="BN326" s="5">
        <f>IF(A326="","",N(INDEX(Projects[Mechanical Eng],325)))</f>
        <v/>
      </c>
      <c r="BO326" s="5">
        <f>IF(A326="","",N(INDEX(Projects[Structural Engineering],325)))</f>
        <v/>
      </c>
      <c r="BP326" s="5">
        <f>IF(A326="","",N(INDEX(Projects[Site Sup],325)))</f>
        <v/>
      </c>
      <c r="BQ326" s="5">
        <f>IF(A326="","",N(INDEX(Projects[Controls Commissioning],325)))</f>
        <v/>
      </c>
      <c r="BR326" s="5">
        <f>IF(A326="","",N(INDEX(Projects[Systems Commissioning],325)))</f>
        <v/>
      </c>
      <c r="BS326" s="5">
        <f>IF(A326="","",N(INDEX(Projects[Service Commissioning],325)))</f>
        <v/>
      </c>
      <c r="BT326" s="5">
        <f>IF(A326="","",N(INDEX(Projects[Controls Eng],325)))</f>
        <v/>
      </c>
      <c r="BU326" s="5">
        <f>IF(A326="","",N(INDEX(Projects[Controls Purchase],325)))</f>
        <v/>
      </c>
      <c r="BV326" s="5">
        <f>IF(A326="","",N(INDEX(Projects[Software Eng],325)))</f>
        <v/>
      </c>
      <c r="BW326" s="5">
        <f>IF(A326="","",N(INDEX(Projects[Misc],325)))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IF(A327="","",N(INDEX(Projects[Mech Inst],326)))</f>
        <v/>
      </c>
      <c r="BK327" s="5">
        <f>IF(A327="","",N(INDEX(Projects[Elec Inst],326)))</f>
        <v/>
      </c>
      <c r="BL327" s="5">
        <f>IF(A327="","",N(INDEX(Projects[Project Management],326)))</f>
        <v/>
      </c>
      <c r="BM327" s="5">
        <f>IF(A327="","",N(INDEX(Projects[Systems Eng],326)))</f>
        <v/>
      </c>
      <c r="BN327" s="5">
        <f>IF(A327="","",N(INDEX(Projects[Mechanical Eng],326)))</f>
        <v/>
      </c>
      <c r="BO327" s="5">
        <f>IF(A327="","",N(INDEX(Projects[Structural Engineering],326)))</f>
        <v/>
      </c>
      <c r="BP327" s="5">
        <f>IF(A327="","",N(INDEX(Projects[Site Sup],326)))</f>
        <v/>
      </c>
      <c r="BQ327" s="5">
        <f>IF(A327="","",N(INDEX(Projects[Controls Commissioning],326)))</f>
        <v/>
      </c>
      <c r="BR327" s="5">
        <f>IF(A327="","",N(INDEX(Projects[Systems Commissioning],326)))</f>
        <v/>
      </c>
      <c r="BS327" s="5">
        <f>IF(A327="","",N(INDEX(Projects[Service Commissioning],326)))</f>
        <v/>
      </c>
      <c r="BT327" s="5">
        <f>IF(A327="","",N(INDEX(Projects[Controls Eng],326)))</f>
        <v/>
      </c>
      <c r="BU327" s="5">
        <f>IF(A327="","",N(INDEX(Projects[Controls Purchase],326)))</f>
        <v/>
      </c>
      <c r="BV327" s="5">
        <f>IF(A327="","",N(INDEX(Projects[Software Eng],326)))</f>
        <v/>
      </c>
      <c r="BW327" s="5">
        <f>IF(A327="","",N(INDEX(Projects[Misc],326)))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IF(A328="","",N(INDEX(Projects[Mech Inst],327)))</f>
        <v/>
      </c>
      <c r="BK328" s="5">
        <f>IF(A328="","",N(INDEX(Projects[Elec Inst],327)))</f>
        <v/>
      </c>
      <c r="BL328" s="5">
        <f>IF(A328="","",N(INDEX(Projects[Project Management],327)))</f>
        <v/>
      </c>
      <c r="BM328" s="5">
        <f>IF(A328="","",N(INDEX(Projects[Systems Eng],327)))</f>
        <v/>
      </c>
      <c r="BN328" s="5">
        <f>IF(A328="","",N(INDEX(Projects[Mechanical Eng],327)))</f>
        <v/>
      </c>
      <c r="BO328" s="5">
        <f>IF(A328="","",N(INDEX(Projects[Structural Engineering],327)))</f>
        <v/>
      </c>
      <c r="BP328" s="5">
        <f>IF(A328="","",N(INDEX(Projects[Site Sup],327)))</f>
        <v/>
      </c>
      <c r="BQ328" s="5">
        <f>IF(A328="","",N(INDEX(Projects[Controls Commissioning],327)))</f>
        <v/>
      </c>
      <c r="BR328" s="5">
        <f>IF(A328="","",N(INDEX(Projects[Systems Commissioning],327)))</f>
        <v/>
      </c>
      <c r="BS328" s="5">
        <f>IF(A328="","",N(INDEX(Projects[Service Commissioning],327)))</f>
        <v/>
      </c>
      <c r="BT328" s="5">
        <f>IF(A328="","",N(INDEX(Projects[Controls Eng],327)))</f>
        <v/>
      </c>
      <c r="BU328" s="5">
        <f>IF(A328="","",N(INDEX(Projects[Controls Purchase],327)))</f>
        <v/>
      </c>
      <c r="BV328" s="5">
        <f>IF(A328="","",N(INDEX(Projects[Software Eng],327)))</f>
        <v/>
      </c>
      <c r="BW328" s="5">
        <f>IF(A328="","",N(INDEX(Projects[Misc],327)))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IF(A329="","",N(INDEX(Projects[Mech Inst],328)))</f>
        <v/>
      </c>
      <c r="BK329" s="5">
        <f>IF(A329="","",N(INDEX(Projects[Elec Inst],328)))</f>
        <v/>
      </c>
      <c r="BL329" s="5">
        <f>IF(A329="","",N(INDEX(Projects[Project Management],328)))</f>
        <v/>
      </c>
      <c r="BM329" s="5">
        <f>IF(A329="","",N(INDEX(Projects[Systems Eng],328)))</f>
        <v/>
      </c>
      <c r="BN329" s="5">
        <f>IF(A329="","",N(INDEX(Projects[Mechanical Eng],328)))</f>
        <v/>
      </c>
      <c r="BO329" s="5">
        <f>IF(A329="","",N(INDEX(Projects[Structural Engineering],328)))</f>
        <v/>
      </c>
      <c r="BP329" s="5">
        <f>IF(A329="","",N(INDEX(Projects[Site Sup],328)))</f>
        <v/>
      </c>
      <c r="BQ329" s="5">
        <f>IF(A329="","",N(INDEX(Projects[Controls Commissioning],328)))</f>
        <v/>
      </c>
      <c r="BR329" s="5">
        <f>IF(A329="","",N(INDEX(Projects[Systems Commissioning],328)))</f>
        <v/>
      </c>
      <c r="BS329" s="5">
        <f>IF(A329="","",N(INDEX(Projects[Service Commissioning],328)))</f>
        <v/>
      </c>
      <c r="BT329" s="5">
        <f>IF(A329="","",N(INDEX(Projects[Controls Eng],328)))</f>
        <v/>
      </c>
      <c r="BU329" s="5">
        <f>IF(A329="","",N(INDEX(Projects[Controls Purchase],328)))</f>
        <v/>
      </c>
      <c r="BV329" s="5">
        <f>IF(A329="","",N(INDEX(Projects[Software Eng],328)))</f>
        <v/>
      </c>
      <c r="BW329" s="5">
        <f>IF(A329="","",N(INDEX(Projects[Misc],328)))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IF(A330="","",N(INDEX(Projects[Mech Inst],329)))</f>
        <v/>
      </c>
      <c r="BK330" s="5">
        <f>IF(A330="","",N(INDEX(Projects[Elec Inst],329)))</f>
        <v/>
      </c>
      <c r="BL330" s="5">
        <f>IF(A330="","",N(INDEX(Projects[Project Management],329)))</f>
        <v/>
      </c>
      <c r="BM330" s="5">
        <f>IF(A330="","",N(INDEX(Projects[Systems Eng],329)))</f>
        <v/>
      </c>
      <c r="BN330" s="5">
        <f>IF(A330="","",N(INDEX(Projects[Mechanical Eng],329)))</f>
        <v/>
      </c>
      <c r="BO330" s="5">
        <f>IF(A330="","",N(INDEX(Projects[Structural Engineering],329)))</f>
        <v/>
      </c>
      <c r="BP330" s="5">
        <f>IF(A330="","",N(INDEX(Projects[Site Sup],329)))</f>
        <v/>
      </c>
      <c r="BQ330" s="5">
        <f>IF(A330="","",N(INDEX(Projects[Controls Commissioning],329)))</f>
        <v/>
      </c>
      <c r="BR330" s="5">
        <f>IF(A330="","",N(INDEX(Projects[Systems Commissioning],329)))</f>
        <v/>
      </c>
      <c r="BS330" s="5">
        <f>IF(A330="","",N(INDEX(Projects[Service Commissioning],329)))</f>
        <v/>
      </c>
      <c r="BT330" s="5">
        <f>IF(A330="","",N(INDEX(Projects[Controls Eng],329)))</f>
        <v/>
      </c>
      <c r="BU330" s="5">
        <f>IF(A330="","",N(INDEX(Projects[Controls Purchase],329)))</f>
        <v/>
      </c>
      <c r="BV330" s="5">
        <f>IF(A330="","",N(INDEX(Projects[Software Eng],329)))</f>
        <v/>
      </c>
      <c r="BW330" s="5">
        <f>IF(A330="","",N(INDEX(Projects[Misc],329)))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IF(A331="","",N(INDEX(Projects[Mech Inst],330)))</f>
        <v/>
      </c>
      <c r="BK331" s="5">
        <f>IF(A331="","",N(INDEX(Projects[Elec Inst],330)))</f>
        <v/>
      </c>
      <c r="BL331" s="5">
        <f>IF(A331="","",N(INDEX(Projects[Project Management],330)))</f>
        <v/>
      </c>
      <c r="BM331" s="5">
        <f>IF(A331="","",N(INDEX(Projects[Systems Eng],330)))</f>
        <v/>
      </c>
      <c r="BN331" s="5">
        <f>IF(A331="","",N(INDEX(Projects[Mechanical Eng],330)))</f>
        <v/>
      </c>
      <c r="BO331" s="5">
        <f>IF(A331="","",N(INDEX(Projects[Structural Engineering],330)))</f>
        <v/>
      </c>
      <c r="BP331" s="5">
        <f>IF(A331="","",N(INDEX(Projects[Site Sup],330)))</f>
        <v/>
      </c>
      <c r="BQ331" s="5">
        <f>IF(A331="","",N(INDEX(Projects[Controls Commissioning],330)))</f>
        <v/>
      </c>
      <c r="BR331" s="5">
        <f>IF(A331="","",N(INDEX(Projects[Systems Commissioning],330)))</f>
        <v/>
      </c>
      <c r="BS331" s="5">
        <f>IF(A331="","",N(INDEX(Projects[Service Commissioning],330)))</f>
        <v/>
      </c>
      <c r="BT331" s="5">
        <f>IF(A331="","",N(INDEX(Projects[Controls Eng],330)))</f>
        <v/>
      </c>
      <c r="BU331" s="5">
        <f>IF(A331="","",N(INDEX(Projects[Controls Purchase],330)))</f>
        <v/>
      </c>
      <c r="BV331" s="5">
        <f>IF(A331="","",N(INDEX(Projects[Software Eng],330)))</f>
        <v/>
      </c>
      <c r="BW331" s="5">
        <f>IF(A331="","",N(INDEX(Projects[Misc],330)))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IF(A332="","",N(INDEX(Projects[Mech Inst],331)))</f>
        <v/>
      </c>
      <c r="BK332" s="5">
        <f>IF(A332="","",N(INDEX(Projects[Elec Inst],331)))</f>
        <v/>
      </c>
      <c r="BL332" s="5">
        <f>IF(A332="","",N(INDEX(Projects[Project Management],331)))</f>
        <v/>
      </c>
      <c r="BM332" s="5">
        <f>IF(A332="","",N(INDEX(Projects[Systems Eng],331)))</f>
        <v/>
      </c>
      <c r="BN332" s="5">
        <f>IF(A332="","",N(INDEX(Projects[Mechanical Eng],331)))</f>
        <v/>
      </c>
      <c r="BO332" s="5">
        <f>IF(A332="","",N(INDEX(Projects[Structural Engineering],331)))</f>
        <v/>
      </c>
      <c r="BP332" s="5">
        <f>IF(A332="","",N(INDEX(Projects[Site Sup],331)))</f>
        <v/>
      </c>
      <c r="BQ332" s="5">
        <f>IF(A332="","",N(INDEX(Projects[Controls Commissioning],331)))</f>
        <v/>
      </c>
      <c r="BR332" s="5">
        <f>IF(A332="","",N(INDEX(Projects[Systems Commissioning],331)))</f>
        <v/>
      </c>
      <c r="BS332" s="5">
        <f>IF(A332="","",N(INDEX(Projects[Service Commissioning],331)))</f>
        <v/>
      </c>
      <c r="BT332" s="5">
        <f>IF(A332="","",N(INDEX(Projects[Controls Eng],331)))</f>
        <v/>
      </c>
      <c r="BU332" s="5">
        <f>IF(A332="","",N(INDEX(Projects[Controls Purchase],331)))</f>
        <v/>
      </c>
      <c r="BV332" s="5">
        <f>IF(A332="","",N(INDEX(Projects[Software Eng],331)))</f>
        <v/>
      </c>
      <c r="BW332" s="5">
        <f>IF(A332="","",N(INDEX(Projects[Misc],331)))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IF(A333="","",N(INDEX(Projects[Mech Inst],332)))</f>
        <v/>
      </c>
      <c r="BK333" s="5">
        <f>IF(A333="","",N(INDEX(Projects[Elec Inst],332)))</f>
        <v/>
      </c>
      <c r="BL333" s="5">
        <f>IF(A333="","",N(INDEX(Projects[Project Management],332)))</f>
        <v/>
      </c>
      <c r="BM333" s="5">
        <f>IF(A333="","",N(INDEX(Projects[Systems Eng],332)))</f>
        <v/>
      </c>
      <c r="BN333" s="5">
        <f>IF(A333="","",N(INDEX(Projects[Mechanical Eng],332)))</f>
        <v/>
      </c>
      <c r="BO333" s="5">
        <f>IF(A333="","",N(INDEX(Projects[Structural Engineering],332)))</f>
        <v/>
      </c>
      <c r="BP333" s="5">
        <f>IF(A333="","",N(INDEX(Projects[Site Sup],332)))</f>
        <v/>
      </c>
      <c r="BQ333" s="5">
        <f>IF(A333="","",N(INDEX(Projects[Controls Commissioning],332)))</f>
        <v/>
      </c>
      <c r="BR333" s="5">
        <f>IF(A333="","",N(INDEX(Projects[Systems Commissioning],332)))</f>
        <v/>
      </c>
      <c r="BS333" s="5">
        <f>IF(A333="","",N(INDEX(Projects[Service Commissioning],332)))</f>
        <v/>
      </c>
      <c r="BT333" s="5">
        <f>IF(A333="","",N(INDEX(Projects[Controls Eng],332)))</f>
        <v/>
      </c>
      <c r="BU333" s="5">
        <f>IF(A333="","",N(INDEX(Projects[Controls Purchase],332)))</f>
        <v/>
      </c>
      <c r="BV333" s="5">
        <f>IF(A333="","",N(INDEX(Projects[Software Eng],332)))</f>
        <v/>
      </c>
      <c r="BW333" s="5">
        <f>IF(A333="","",N(INDEX(Projects[Misc],332)))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IF(A334="","",N(INDEX(Projects[Mech Inst],333)))</f>
        <v/>
      </c>
      <c r="BK334" s="5">
        <f>IF(A334="","",N(INDEX(Projects[Elec Inst],333)))</f>
        <v/>
      </c>
      <c r="BL334" s="5">
        <f>IF(A334="","",N(INDEX(Projects[Project Management],333)))</f>
        <v/>
      </c>
      <c r="BM334" s="5">
        <f>IF(A334="","",N(INDEX(Projects[Systems Eng],333)))</f>
        <v/>
      </c>
      <c r="BN334" s="5">
        <f>IF(A334="","",N(INDEX(Projects[Mechanical Eng],333)))</f>
        <v/>
      </c>
      <c r="BO334" s="5">
        <f>IF(A334="","",N(INDEX(Projects[Structural Engineering],333)))</f>
        <v/>
      </c>
      <c r="BP334" s="5">
        <f>IF(A334="","",N(INDEX(Projects[Site Sup],333)))</f>
        <v/>
      </c>
      <c r="BQ334" s="5">
        <f>IF(A334="","",N(INDEX(Projects[Controls Commissioning],333)))</f>
        <v/>
      </c>
      <c r="BR334" s="5">
        <f>IF(A334="","",N(INDEX(Projects[Systems Commissioning],333)))</f>
        <v/>
      </c>
      <c r="BS334" s="5">
        <f>IF(A334="","",N(INDEX(Projects[Service Commissioning],333)))</f>
        <v/>
      </c>
      <c r="BT334" s="5">
        <f>IF(A334="","",N(INDEX(Projects[Controls Eng],333)))</f>
        <v/>
      </c>
      <c r="BU334" s="5">
        <f>IF(A334="","",N(INDEX(Projects[Controls Purchase],333)))</f>
        <v/>
      </c>
      <c r="BV334" s="5">
        <f>IF(A334="","",N(INDEX(Projects[Software Eng],333)))</f>
        <v/>
      </c>
      <c r="BW334" s="5">
        <f>IF(A334="","",N(INDEX(Projects[Misc],333)))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IF(A335="","",N(INDEX(Projects[Mech Inst],334)))</f>
        <v/>
      </c>
      <c r="BK335" s="5">
        <f>IF(A335="","",N(INDEX(Projects[Elec Inst],334)))</f>
        <v/>
      </c>
      <c r="BL335" s="5">
        <f>IF(A335="","",N(INDEX(Projects[Project Management],334)))</f>
        <v/>
      </c>
      <c r="BM335" s="5">
        <f>IF(A335="","",N(INDEX(Projects[Systems Eng],334)))</f>
        <v/>
      </c>
      <c r="BN335" s="5">
        <f>IF(A335="","",N(INDEX(Projects[Mechanical Eng],334)))</f>
        <v/>
      </c>
      <c r="BO335" s="5">
        <f>IF(A335="","",N(INDEX(Projects[Structural Engineering],334)))</f>
        <v/>
      </c>
      <c r="BP335" s="5">
        <f>IF(A335="","",N(INDEX(Projects[Site Sup],334)))</f>
        <v/>
      </c>
      <c r="BQ335" s="5">
        <f>IF(A335="","",N(INDEX(Projects[Controls Commissioning],334)))</f>
        <v/>
      </c>
      <c r="BR335" s="5">
        <f>IF(A335="","",N(INDEX(Projects[Systems Commissioning],334)))</f>
        <v/>
      </c>
      <c r="BS335" s="5">
        <f>IF(A335="","",N(INDEX(Projects[Service Commissioning],334)))</f>
        <v/>
      </c>
      <c r="BT335" s="5">
        <f>IF(A335="","",N(INDEX(Projects[Controls Eng],334)))</f>
        <v/>
      </c>
      <c r="BU335" s="5">
        <f>IF(A335="","",N(INDEX(Projects[Controls Purchase],334)))</f>
        <v/>
      </c>
      <c r="BV335" s="5">
        <f>IF(A335="","",N(INDEX(Projects[Software Eng],334)))</f>
        <v/>
      </c>
      <c r="BW335" s="5">
        <f>IF(A335="","",N(INDEX(Projects[Misc],334)))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IF(A336="","",N(INDEX(Projects[Mech Inst],335)))</f>
        <v/>
      </c>
      <c r="BK336" s="5">
        <f>IF(A336="","",N(INDEX(Projects[Elec Inst],335)))</f>
        <v/>
      </c>
      <c r="BL336" s="5">
        <f>IF(A336="","",N(INDEX(Projects[Project Management],335)))</f>
        <v/>
      </c>
      <c r="BM336" s="5">
        <f>IF(A336="","",N(INDEX(Projects[Systems Eng],335)))</f>
        <v/>
      </c>
      <c r="BN336" s="5">
        <f>IF(A336="","",N(INDEX(Projects[Mechanical Eng],335)))</f>
        <v/>
      </c>
      <c r="BO336" s="5">
        <f>IF(A336="","",N(INDEX(Projects[Structural Engineering],335)))</f>
        <v/>
      </c>
      <c r="BP336" s="5">
        <f>IF(A336="","",N(INDEX(Projects[Site Sup],335)))</f>
        <v/>
      </c>
      <c r="BQ336" s="5">
        <f>IF(A336="","",N(INDEX(Projects[Controls Commissioning],335)))</f>
        <v/>
      </c>
      <c r="BR336" s="5">
        <f>IF(A336="","",N(INDEX(Projects[Systems Commissioning],335)))</f>
        <v/>
      </c>
      <c r="BS336" s="5">
        <f>IF(A336="","",N(INDEX(Projects[Service Commissioning],335)))</f>
        <v/>
      </c>
      <c r="BT336" s="5">
        <f>IF(A336="","",N(INDEX(Projects[Controls Eng],335)))</f>
        <v/>
      </c>
      <c r="BU336" s="5">
        <f>IF(A336="","",N(INDEX(Projects[Controls Purchase],335)))</f>
        <v/>
      </c>
      <c r="BV336" s="5">
        <f>IF(A336="","",N(INDEX(Projects[Software Eng],335)))</f>
        <v/>
      </c>
      <c r="BW336" s="5">
        <f>IF(A336="","",N(INDEX(Projects[Misc],335)))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IF(A337="","",N(INDEX(Projects[Mech Inst],336)))</f>
        <v/>
      </c>
      <c r="BK337" s="5">
        <f>IF(A337="","",N(INDEX(Projects[Elec Inst],336)))</f>
        <v/>
      </c>
      <c r="BL337" s="5">
        <f>IF(A337="","",N(INDEX(Projects[Project Management],336)))</f>
        <v/>
      </c>
      <c r="BM337" s="5">
        <f>IF(A337="","",N(INDEX(Projects[Systems Eng],336)))</f>
        <v/>
      </c>
      <c r="BN337" s="5">
        <f>IF(A337="","",N(INDEX(Projects[Mechanical Eng],336)))</f>
        <v/>
      </c>
      <c r="BO337" s="5">
        <f>IF(A337="","",N(INDEX(Projects[Structural Engineering],336)))</f>
        <v/>
      </c>
      <c r="BP337" s="5">
        <f>IF(A337="","",N(INDEX(Projects[Site Sup],336)))</f>
        <v/>
      </c>
      <c r="BQ337" s="5">
        <f>IF(A337="","",N(INDEX(Projects[Controls Commissioning],336)))</f>
        <v/>
      </c>
      <c r="BR337" s="5">
        <f>IF(A337="","",N(INDEX(Projects[Systems Commissioning],336)))</f>
        <v/>
      </c>
      <c r="BS337" s="5">
        <f>IF(A337="","",N(INDEX(Projects[Service Commissioning],336)))</f>
        <v/>
      </c>
      <c r="BT337" s="5">
        <f>IF(A337="","",N(INDEX(Projects[Controls Eng],336)))</f>
        <v/>
      </c>
      <c r="BU337" s="5">
        <f>IF(A337="","",N(INDEX(Projects[Controls Purchase],336)))</f>
        <v/>
      </c>
      <c r="BV337" s="5">
        <f>IF(A337="","",N(INDEX(Projects[Software Eng],336)))</f>
        <v/>
      </c>
      <c r="BW337" s="5">
        <f>IF(A337="","",N(INDEX(Projects[Misc],336)))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IF(A338="","",N(INDEX(Projects[Mech Inst],337)))</f>
        <v/>
      </c>
      <c r="BK338" s="5">
        <f>IF(A338="","",N(INDEX(Projects[Elec Inst],337)))</f>
        <v/>
      </c>
      <c r="BL338" s="5">
        <f>IF(A338="","",N(INDEX(Projects[Project Management],337)))</f>
        <v/>
      </c>
      <c r="BM338" s="5">
        <f>IF(A338="","",N(INDEX(Projects[Systems Eng],337)))</f>
        <v/>
      </c>
      <c r="BN338" s="5">
        <f>IF(A338="","",N(INDEX(Projects[Mechanical Eng],337)))</f>
        <v/>
      </c>
      <c r="BO338" s="5">
        <f>IF(A338="","",N(INDEX(Projects[Structural Engineering],337)))</f>
        <v/>
      </c>
      <c r="BP338" s="5">
        <f>IF(A338="","",N(INDEX(Projects[Site Sup],337)))</f>
        <v/>
      </c>
      <c r="BQ338" s="5">
        <f>IF(A338="","",N(INDEX(Projects[Controls Commissioning],337)))</f>
        <v/>
      </c>
      <c r="BR338" s="5">
        <f>IF(A338="","",N(INDEX(Projects[Systems Commissioning],337)))</f>
        <v/>
      </c>
      <c r="BS338" s="5">
        <f>IF(A338="","",N(INDEX(Projects[Service Commissioning],337)))</f>
        <v/>
      </c>
      <c r="BT338" s="5">
        <f>IF(A338="","",N(INDEX(Projects[Controls Eng],337)))</f>
        <v/>
      </c>
      <c r="BU338" s="5">
        <f>IF(A338="","",N(INDEX(Projects[Controls Purchase],337)))</f>
        <v/>
      </c>
      <c r="BV338" s="5">
        <f>IF(A338="","",N(INDEX(Projects[Software Eng],337)))</f>
        <v/>
      </c>
      <c r="BW338" s="5">
        <f>IF(A338="","",N(INDEX(Projects[Misc],337)))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IF(A339="","",N(INDEX(Projects[Mech Inst],338)))</f>
        <v/>
      </c>
      <c r="BK339" s="5">
        <f>IF(A339="","",N(INDEX(Projects[Elec Inst],338)))</f>
        <v/>
      </c>
      <c r="BL339" s="5">
        <f>IF(A339="","",N(INDEX(Projects[Project Management],338)))</f>
        <v/>
      </c>
      <c r="BM339" s="5">
        <f>IF(A339="","",N(INDEX(Projects[Systems Eng],338)))</f>
        <v/>
      </c>
      <c r="BN339" s="5">
        <f>IF(A339="","",N(INDEX(Projects[Mechanical Eng],338)))</f>
        <v/>
      </c>
      <c r="BO339" s="5">
        <f>IF(A339="","",N(INDEX(Projects[Structural Engineering],338)))</f>
        <v/>
      </c>
      <c r="BP339" s="5">
        <f>IF(A339="","",N(INDEX(Projects[Site Sup],338)))</f>
        <v/>
      </c>
      <c r="BQ339" s="5">
        <f>IF(A339="","",N(INDEX(Projects[Controls Commissioning],338)))</f>
        <v/>
      </c>
      <c r="BR339" s="5">
        <f>IF(A339="","",N(INDEX(Projects[Systems Commissioning],338)))</f>
        <v/>
      </c>
      <c r="BS339" s="5">
        <f>IF(A339="","",N(INDEX(Projects[Service Commissioning],338)))</f>
        <v/>
      </c>
      <c r="BT339" s="5">
        <f>IF(A339="","",N(INDEX(Projects[Controls Eng],338)))</f>
        <v/>
      </c>
      <c r="BU339" s="5">
        <f>IF(A339="","",N(INDEX(Projects[Controls Purchase],338)))</f>
        <v/>
      </c>
      <c r="BV339" s="5">
        <f>IF(A339="","",N(INDEX(Projects[Software Eng],338)))</f>
        <v/>
      </c>
      <c r="BW339" s="5">
        <f>IF(A339="","",N(INDEX(Projects[Misc],338)))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IF(A340="","",N(INDEX(Projects[Mech Inst],339)))</f>
        <v/>
      </c>
      <c r="BK340" s="5">
        <f>IF(A340="","",N(INDEX(Projects[Elec Inst],339)))</f>
        <v/>
      </c>
      <c r="BL340" s="5">
        <f>IF(A340="","",N(INDEX(Projects[Project Management],339)))</f>
        <v/>
      </c>
      <c r="BM340" s="5">
        <f>IF(A340="","",N(INDEX(Projects[Systems Eng],339)))</f>
        <v/>
      </c>
      <c r="BN340" s="5">
        <f>IF(A340="","",N(INDEX(Projects[Mechanical Eng],339)))</f>
        <v/>
      </c>
      <c r="BO340" s="5">
        <f>IF(A340="","",N(INDEX(Projects[Structural Engineering],339)))</f>
        <v/>
      </c>
      <c r="BP340" s="5">
        <f>IF(A340="","",N(INDEX(Projects[Site Sup],339)))</f>
        <v/>
      </c>
      <c r="BQ340" s="5">
        <f>IF(A340="","",N(INDEX(Projects[Controls Commissioning],339)))</f>
        <v/>
      </c>
      <c r="BR340" s="5">
        <f>IF(A340="","",N(INDEX(Projects[Systems Commissioning],339)))</f>
        <v/>
      </c>
      <c r="BS340" s="5">
        <f>IF(A340="","",N(INDEX(Projects[Service Commissioning],339)))</f>
        <v/>
      </c>
      <c r="BT340" s="5">
        <f>IF(A340="","",N(INDEX(Projects[Controls Eng],339)))</f>
        <v/>
      </c>
      <c r="BU340" s="5">
        <f>IF(A340="","",N(INDEX(Projects[Controls Purchase],339)))</f>
        <v/>
      </c>
      <c r="BV340" s="5">
        <f>IF(A340="","",N(INDEX(Projects[Software Eng],339)))</f>
        <v/>
      </c>
      <c r="BW340" s="5">
        <f>IF(A340="","",N(INDEX(Projects[Misc],339)))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IF(A341="","",N(INDEX(Projects[Mech Inst],340)))</f>
        <v/>
      </c>
      <c r="BK341" s="5">
        <f>IF(A341="","",N(INDEX(Projects[Elec Inst],340)))</f>
        <v/>
      </c>
      <c r="BL341" s="5">
        <f>IF(A341="","",N(INDEX(Projects[Project Management],340)))</f>
        <v/>
      </c>
      <c r="BM341" s="5">
        <f>IF(A341="","",N(INDEX(Projects[Systems Eng],340)))</f>
        <v/>
      </c>
      <c r="BN341" s="5">
        <f>IF(A341="","",N(INDEX(Projects[Mechanical Eng],340)))</f>
        <v/>
      </c>
      <c r="BO341" s="5">
        <f>IF(A341="","",N(INDEX(Projects[Structural Engineering],340)))</f>
        <v/>
      </c>
      <c r="BP341" s="5">
        <f>IF(A341="","",N(INDEX(Projects[Site Sup],340)))</f>
        <v/>
      </c>
      <c r="BQ341" s="5">
        <f>IF(A341="","",N(INDEX(Projects[Controls Commissioning],340)))</f>
        <v/>
      </c>
      <c r="BR341" s="5">
        <f>IF(A341="","",N(INDEX(Projects[Systems Commissioning],340)))</f>
        <v/>
      </c>
      <c r="BS341" s="5">
        <f>IF(A341="","",N(INDEX(Projects[Service Commissioning],340)))</f>
        <v/>
      </c>
      <c r="BT341" s="5">
        <f>IF(A341="","",N(INDEX(Projects[Controls Eng],340)))</f>
        <v/>
      </c>
      <c r="BU341" s="5">
        <f>IF(A341="","",N(INDEX(Projects[Controls Purchase],340)))</f>
        <v/>
      </c>
      <c r="BV341" s="5">
        <f>IF(A341="","",N(INDEX(Projects[Software Eng],340)))</f>
        <v/>
      </c>
      <c r="BW341" s="5">
        <f>IF(A341="","",N(INDEX(Projects[Misc],340)))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IF(A342="","",N(INDEX(Projects[Mech Inst],341)))</f>
        <v/>
      </c>
      <c r="BK342" s="5">
        <f>IF(A342="","",N(INDEX(Projects[Elec Inst],341)))</f>
        <v/>
      </c>
      <c r="BL342" s="5">
        <f>IF(A342="","",N(INDEX(Projects[Project Management],341)))</f>
        <v/>
      </c>
      <c r="BM342" s="5">
        <f>IF(A342="","",N(INDEX(Projects[Systems Eng],341)))</f>
        <v/>
      </c>
      <c r="BN342" s="5">
        <f>IF(A342="","",N(INDEX(Projects[Mechanical Eng],341)))</f>
        <v/>
      </c>
      <c r="BO342" s="5">
        <f>IF(A342="","",N(INDEX(Projects[Structural Engineering],341)))</f>
        <v/>
      </c>
      <c r="BP342" s="5">
        <f>IF(A342="","",N(INDEX(Projects[Site Sup],341)))</f>
        <v/>
      </c>
      <c r="BQ342" s="5">
        <f>IF(A342="","",N(INDEX(Projects[Controls Commissioning],341)))</f>
        <v/>
      </c>
      <c r="BR342" s="5">
        <f>IF(A342="","",N(INDEX(Projects[Systems Commissioning],341)))</f>
        <v/>
      </c>
      <c r="BS342" s="5">
        <f>IF(A342="","",N(INDEX(Projects[Service Commissioning],341)))</f>
        <v/>
      </c>
      <c r="BT342" s="5">
        <f>IF(A342="","",N(INDEX(Projects[Controls Eng],341)))</f>
        <v/>
      </c>
      <c r="BU342" s="5">
        <f>IF(A342="","",N(INDEX(Projects[Controls Purchase],341)))</f>
        <v/>
      </c>
      <c r="BV342" s="5">
        <f>IF(A342="","",N(INDEX(Projects[Software Eng],341)))</f>
        <v/>
      </c>
      <c r="BW342" s="5">
        <f>IF(A342="","",N(INDEX(Projects[Misc],341)))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IF(A343="","",N(INDEX(Projects[Mech Inst],342)))</f>
        <v/>
      </c>
      <c r="BK343" s="5">
        <f>IF(A343="","",N(INDEX(Projects[Elec Inst],342)))</f>
        <v/>
      </c>
      <c r="BL343" s="5">
        <f>IF(A343="","",N(INDEX(Projects[Project Management],342)))</f>
        <v/>
      </c>
      <c r="BM343" s="5">
        <f>IF(A343="","",N(INDEX(Projects[Systems Eng],342)))</f>
        <v/>
      </c>
      <c r="BN343" s="5">
        <f>IF(A343="","",N(INDEX(Projects[Mechanical Eng],342)))</f>
        <v/>
      </c>
      <c r="BO343" s="5">
        <f>IF(A343="","",N(INDEX(Projects[Structural Engineering],342)))</f>
        <v/>
      </c>
      <c r="BP343" s="5">
        <f>IF(A343="","",N(INDEX(Projects[Site Sup],342)))</f>
        <v/>
      </c>
      <c r="BQ343" s="5">
        <f>IF(A343="","",N(INDEX(Projects[Controls Commissioning],342)))</f>
        <v/>
      </c>
      <c r="BR343" s="5">
        <f>IF(A343="","",N(INDEX(Projects[Systems Commissioning],342)))</f>
        <v/>
      </c>
      <c r="BS343" s="5">
        <f>IF(A343="","",N(INDEX(Projects[Service Commissioning],342)))</f>
        <v/>
      </c>
      <c r="BT343" s="5">
        <f>IF(A343="","",N(INDEX(Projects[Controls Eng],342)))</f>
        <v/>
      </c>
      <c r="BU343" s="5">
        <f>IF(A343="","",N(INDEX(Projects[Controls Purchase],342)))</f>
        <v/>
      </c>
      <c r="BV343" s="5">
        <f>IF(A343="","",N(INDEX(Projects[Software Eng],342)))</f>
        <v/>
      </c>
      <c r="BW343" s="5">
        <f>IF(A343="","",N(INDEX(Projects[Misc],342)))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IF(A344="","",N(INDEX(Projects[Mech Inst],343)))</f>
        <v/>
      </c>
      <c r="BK344" s="5">
        <f>IF(A344="","",N(INDEX(Projects[Elec Inst],343)))</f>
        <v/>
      </c>
      <c r="BL344" s="5">
        <f>IF(A344="","",N(INDEX(Projects[Project Management],343)))</f>
        <v/>
      </c>
      <c r="BM344" s="5">
        <f>IF(A344="","",N(INDEX(Projects[Systems Eng],343)))</f>
        <v/>
      </c>
      <c r="BN344" s="5">
        <f>IF(A344="","",N(INDEX(Projects[Mechanical Eng],343)))</f>
        <v/>
      </c>
      <c r="BO344" s="5">
        <f>IF(A344="","",N(INDEX(Projects[Structural Engineering],343)))</f>
        <v/>
      </c>
      <c r="BP344" s="5">
        <f>IF(A344="","",N(INDEX(Projects[Site Sup],343)))</f>
        <v/>
      </c>
      <c r="BQ344" s="5">
        <f>IF(A344="","",N(INDEX(Projects[Controls Commissioning],343)))</f>
        <v/>
      </c>
      <c r="BR344" s="5">
        <f>IF(A344="","",N(INDEX(Projects[Systems Commissioning],343)))</f>
        <v/>
      </c>
      <c r="BS344" s="5">
        <f>IF(A344="","",N(INDEX(Projects[Service Commissioning],343)))</f>
        <v/>
      </c>
      <c r="BT344" s="5">
        <f>IF(A344="","",N(INDEX(Projects[Controls Eng],343)))</f>
        <v/>
      </c>
      <c r="BU344" s="5">
        <f>IF(A344="","",N(INDEX(Projects[Controls Purchase],343)))</f>
        <v/>
      </c>
      <c r="BV344" s="5">
        <f>IF(A344="","",N(INDEX(Projects[Software Eng],343)))</f>
        <v/>
      </c>
      <c r="BW344" s="5">
        <f>IF(A344="","",N(INDEX(Projects[Misc],343)))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IF(A345="","",N(INDEX(Projects[Mech Inst],344)))</f>
        <v/>
      </c>
      <c r="BK345" s="5">
        <f>IF(A345="","",N(INDEX(Projects[Elec Inst],344)))</f>
        <v/>
      </c>
      <c r="BL345" s="5">
        <f>IF(A345="","",N(INDEX(Projects[Project Management],344)))</f>
        <v/>
      </c>
      <c r="BM345" s="5">
        <f>IF(A345="","",N(INDEX(Projects[Systems Eng],344)))</f>
        <v/>
      </c>
      <c r="BN345" s="5">
        <f>IF(A345="","",N(INDEX(Projects[Mechanical Eng],344)))</f>
        <v/>
      </c>
      <c r="BO345" s="5">
        <f>IF(A345="","",N(INDEX(Projects[Structural Engineering],344)))</f>
        <v/>
      </c>
      <c r="BP345" s="5">
        <f>IF(A345="","",N(INDEX(Projects[Site Sup],344)))</f>
        <v/>
      </c>
      <c r="BQ345" s="5">
        <f>IF(A345="","",N(INDEX(Projects[Controls Commissioning],344)))</f>
        <v/>
      </c>
      <c r="BR345" s="5">
        <f>IF(A345="","",N(INDEX(Projects[Systems Commissioning],344)))</f>
        <v/>
      </c>
      <c r="BS345" s="5">
        <f>IF(A345="","",N(INDEX(Projects[Service Commissioning],344)))</f>
        <v/>
      </c>
      <c r="BT345" s="5">
        <f>IF(A345="","",N(INDEX(Projects[Controls Eng],344)))</f>
        <v/>
      </c>
      <c r="BU345" s="5">
        <f>IF(A345="","",N(INDEX(Projects[Controls Purchase],344)))</f>
        <v/>
      </c>
      <c r="BV345" s="5">
        <f>IF(A345="","",N(INDEX(Projects[Software Eng],344)))</f>
        <v/>
      </c>
      <c r="BW345" s="5">
        <f>IF(A345="","",N(INDEX(Projects[Misc],344)))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IF(A346="","",N(INDEX(Projects[Mech Inst],345)))</f>
        <v/>
      </c>
      <c r="BK346" s="5">
        <f>IF(A346="","",N(INDEX(Projects[Elec Inst],345)))</f>
        <v/>
      </c>
      <c r="BL346" s="5">
        <f>IF(A346="","",N(INDEX(Projects[Project Management],345)))</f>
        <v/>
      </c>
      <c r="BM346" s="5">
        <f>IF(A346="","",N(INDEX(Projects[Systems Eng],345)))</f>
        <v/>
      </c>
      <c r="BN346" s="5">
        <f>IF(A346="","",N(INDEX(Projects[Mechanical Eng],345)))</f>
        <v/>
      </c>
      <c r="BO346" s="5">
        <f>IF(A346="","",N(INDEX(Projects[Structural Engineering],345)))</f>
        <v/>
      </c>
      <c r="BP346" s="5">
        <f>IF(A346="","",N(INDEX(Projects[Site Sup],345)))</f>
        <v/>
      </c>
      <c r="BQ346" s="5">
        <f>IF(A346="","",N(INDEX(Projects[Controls Commissioning],345)))</f>
        <v/>
      </c>
      <c r="BR346" s="5">
        <f>IF(A346="","",N(INDEX(Projects[Systems Commissioning],345)))</f>
        <v/>
      </c>
      <c r="BS346" s="5">
        <f>IF(A346="","",N(INDEX(Projects[Service Commissioning],345)))</f>
        <v/>
      </c>
      <c r="BT346" s="5">
        <f>IF(A346="","",N(INDEX(Projects[Controls Eng],345)))</f>
        <v/>
      </c>
      <c r="BU346" s="5">
        <f>IF(A346="","",N(INDEX(Projects[Controls Purchase],345)))</f>
        <v/>
      </c>
      <c r="BV346" s="5">
        <f>IF(A346="","",N(INDEX(Projects[Software Eng],345)))</f>
        <v/>
      </c>
      <c r="BW346" s="5">
        <f>IF(A346="","",N(INDEX(Projects[Misc],345)))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IF(A347="","",N(INDEX(Projects[Mech Inst],346)))</f>
        <v/>
      </c>
      <c r="BK347" s="5">
        <f>IF(A347="","",N(INDEX(Projects[Elec Inst],346)))</f>
        <v/>
      </c>
      <c r="BL347" s="5">
        <f>IF(A347="","",N(INDEX(Projects[Project Management],346)))</f>
        <v/>
      </c>
      <c r="BM347" s="5">
        <f>IF(A347="","",N(INDEX(Projects[Systems Eng],346)))</f>
        <v/>
      </c>
      <c r="BN347" s="5">
        <f>IF(A347="","",N(INDEX(Projects[Mechanical Eng],346)))</f>
        <v/>
      </c>
      <c r="BO347" s="5">
        <f>IF(A347="","",N(INDEX(Projects[Structural Engineering],346)))</f>
        <v/>
      </c>
      <c r="BP347" s="5">
        <f>IF(A347="","",N(INDEX(Projects[Site Sup],346)))</f>
        <v/>
      </c>
      <c r="BQ347" s="5">
        <f>IF(A347="","",N(INDEX(Projects[Controls Commissioning],346)))</f>
        <v/>
      </c>
      <c r="BR347" s="5">
        <f>IF(A347="","",N(INDEX(Projects[Systems Commissioning],346)))</f>
        <v/>
      </c>
      <c r="BS347" s="5">
        <f>IF(A347="","",N(INDEX(Projects[Service Commissioning],346)))</f>
        <v/>
      </c>
      <c r="BT347" s="5">
        <f>IF(A347="","",N(INDEX(Projects[Controls Eng],346)))</f>
        <v/>
      </c>
      <c r="BU347" s="5">
        <f>IF(A347="","",N(INDEX(Projects[Controls Purchase],346)))</f>
        <v/>
      </c>
      <c r="BV347" s="5">
        <f>IF(A347="","",N(INDEX(Projects[Software Eng],346)))</f>
        <v/>
      </c>
      <c r="BW347" s="5">
        <f>IF(A347="","",N(INDEX(Projects[Misc],346)))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IF(A348="","",N(INDEX(Projects[Mech Inst],347)))</f>
        <v/>
      </c>
      <c r="BK348" s="5">
        <f>IF(A348="","",N(INDEX(Projects[Elec Inst],347)))</f>
        <v/>
      </c>
      <c r="BL348" s="5">
        <f>IF(A348="","",N(INDEX(Projects[Project Management],347)))</f>
        <v/>
      </c>
      <c r="BM348" s="5">
        <f>IF(A348="","",N(INDEX(Projects[Systems Eng],347)))</f>
        <v/>
      </c>
      <c r="BN348" s="5">
        <f>IF(A348="","",N(INDEX(Projects[Mechanical Eng],347)))</f>
        <v/>
      </c>
      <c r="BO348" s="5">
        <f>IF(A348="","",N(INDEX(Projects[Structural Engineering],347)))</f>
        <v/>
      </c>
      <c r="BP348" s="5">
        <f>IF(A348="","",N(INDEX(Projects[Site Sup],347)))</f>
        <v/>
      </c>
      <c r="BQ348" s="5">
        <f>IF(A348="","",N(INDEX(Projects[Controls Commissioning],347)))</f>
        <v/>
      </c>
      <c r="BR348" s="5">
        <f>IF(A348="","",N(INDEX(Projects[Systems Commissioning],347)))</f>
        <v/>
      </c>
      <c r="BS348" s="5">
        <f>IF(A348="","",N(INDEX(Projects[Service Commissioning],347)))</f>
        <v/>
      </c>
      <c r="BT348" s="5">
        <f>IF(A348="","",N(INDEX(Projects[Controls Eng],347)))</f>
        <v/>
      </c>
      <c r="BU348" s="5">
        <f>IF(A348="","",N(INDEX(Projects[Controls Purchase],347)))</f>
        <v/>
      </c>
      <c r="BV348" s="5">
        <f>IF(A348="","",N(INDEX(Projects[Software Eng],347)))</f>
        <v/>
      </c>
      <c r="BW348" s="5">
        <f>IF(A348="","",N(INDEX(Projects[Misc],347)))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IF(A349="","",N(INDEX(Projects[Mech Inst],348)))</f>
        <v/>
      </c>
      <c r="BK349" s="5">
        <f>IF(A349="","",N(INDEX(Projects[Elec Inst],348)))</f>
        <v/>
      </c>
      <c r="BL349" s="5">
        <f>IF(A349="","",N(INDEX(Projects[Project Management],348)))</f>
        <v/>
      </c>
      <c r="BM349" s="5">
        <f>IF(A349="","",N(INDEX(Projects[Systems Eng],348)))</f>
        <v/>
      </c>
      <c r="BN349" s="5">
        <f>IF(A349="","",N(INDEX(Projects[Mechanical Eng],348)))</f>
        <v/>
      </c>
      <c r="BO349" s="5">
        <f>IF(A349="","",N(INDEX(Projects[Structural Engineering],348)))</f>
        <v/>
      </c>
      <c r="BP349" s="5">
        <f>IF(A349="","",N(INDEX(Projects[Site Sup],348)))</f>
        <v/>
      </c>
      <c r="BQ349" s="5">
        <f>IF(A349="","",N(INDEX(Projects[Controls Commissioning],348)))</f>
        <v/>
      </c>
      <c r="BR349" s="5">
        <f>IF(A349="","",N(INDEX(Projects[Systems Commissioning],348)))</f>
        <v/>
      </c>
      <c r="BS349" s="5">
        <f>IF(A349="","",N(INDEX(Projects[Service Commissioning],348)))</f>
        <v/>
      </c>
      <c r="BT349" s="5">
        <f>IF(A349="","",N(INDEX(Projects[Controls Eng],348)))</f>
        <v/>
      </c>
      <c r="BU349" s="5">
        <f>IF(A349="","",N(INDEX(Projects[Controls Purchase],348)))</f>
        <v/>
      </c>
      <c r="BV349" s="5">
        <f>IF(A349="","",N(INDEX(Projects[Software Eng],348)))</f>
        <v/>
      </c>
      <c r="BW349" s="5">
        <f>IF(A349="","",N(INDEX(Projects[Misc],348)))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IF(A350="","",N(INDEX(Projects[Mech Inst],349)))</f>
        <v/>
      </c>
      <c r="BK350" s="5">
        <f>IF(A350="","",N(INDEX(Projects[Elec Inst],349)))</f>
        <v/>
      </c>
      <c r="BL350" s="5">
        <f>IF(A350="","",N(INDEX(Projects[Project Management],349)))</f>
        <v/>
      </c>
      <c r="BM350" s="5">
        <f>IF(A350="","",N(INDEX(Projects[Systems Eng],349)))</f>
        <v/>
      </c>
      <c r="BN350" s="5">
        <f>IF(A350="","",N(INDEX(Projects[Mechanical Eng],349)))</f>
        <v/>
      </c>
      <c r="BO350" s="5">
        <f>IF(A350="","",N(INDEX(Projects[Structural Engineering],349)))</f>
        <v/>
      </c>
      <c r="BP350" s="5">
        <f>IF(A350="","",N(INDEX(Projects[Site Sup],349)))</f>
        <v/>
      </c>
      <c r="BQ350" s="5">
        <f>IF(A350="","",N(INDEX(Projects[Controls Commissioning],349)))</f>
        <v/>
      </c>
      <c r="BR350" s="5">
        <f>IF(A350="","",N(INDEX(Projects[Systems Commissioning],349)))</f>
        <v/>
      </c>
      <c r="BS350" s="5">
        <f>IF(A350="","",N(INDEX(Projects[Service Commissioning],349)))</f>
        <v/>
      </c>
      <c r="BT350" s="5">
        <f>IF(A350="","",N(INDEX(Projects[Controls Eng],349)))</f>
        <v/>
      </c>
      <c r="BU350" s="5">
        <f>IF(A350="","",N(INDEX(Projects[Controls Purchase],349)))</f>
        <v/>
      </c>
      <c r="BV350" s="5">
        <f>IF(A350="","",N(INDEX(Projects[Software Eng],349)))</f>
        <v/>
      </c>
      <c r="BW350" s="5">
        <f>IF(A350="","",N(INDEX(Projects[Misc],349)))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IF(A351="","",N(INDEX(Projects[Mech Inst],350)))</f>
        <v/>
      </c>
      <c r="BK351" s="5">
        <f>IF(A351="","",N(INDEX(Projects[Elec Inst],350)))</f>
        <v/>
      </c>
      <c r="BL351" s="5">
        <f>IF(A351="","",N(INDEX(Projects[Project Management],350)))</f>
        <v/>
      </c>
      <c r="BM351" s="5">
        <f>IF(A351="","",N(INDEX(Projects[Systems Eng],350)))</f>
        <v/>
      </c>
      <c r="BN351" s="5">
        <f>IF(A351="","",N(INDEX(Projects[Mechanical Eng],350)))</f>
        <v/>
      </c>
      <c r="BO351" s="5">
        <f>IF(A351="","",N(INDEX(Projects[Structural Engineering],350)))</f>
        <v/>
      </c>
      <c r="BP351" s="5">
        <f>IF(A351="","",N(INDEX(Projects[Site Sup],350)))</f>
        <v/>
      </c>
      <c r="BQ351" s="5">
        <f>IF(A351="","",N(INDEX(Projects[Controls Commissioning],350)))</f>
        <v/>
      </c>
      <c r="BR351" s="5">
        <f>IF(A351="","",N(INDEX(Projects[Systems Commissioning],350)))</f>
        <v/>
      </c>
      <c r="BS351" s="5">
        <f>IF(A351="","",N(INDEX(Projects[Service Commissioning],350)))</f>
        <v/>
      </c>
      <c r="BT351" s="5">
        <f>IF(A351="","",N(INDEX(Projects[Controls Eng],350)))</f>
        <v/>
      </c>
      <c r="BU351" s="5">
        <f>IF(A351="","",N(INDEX(Projects[Controls Purchase],350)))</f>
        <v/>
      </c>
      <c r="BV351" s="5">
        <f>IF(A351="","",N(INDEX(Projects[Software Eng],350)))</f>
        <v/>
      </c>
      <c r="BW351" s="5">
        <f>IF(A351="","",N(INDEX(Projects[Misc],350)))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IF(A352="","",N(INDEX(Projects[Mech Inst],351)))</f>
        <v/>
      </c>
      <c r="BK352" s="5">
        <f>IF(A352="","",N(INDEX(Projects[Elec Inst],351)))</f>
        <v/>
      </c>
      <c r="BL352" s="5">
        <f>IF(A352="","",N(INDEX(Projects[Project Management],351)))</f>
        <v/>
      </c>
      <c r="BM352" s="5">
        <f>IF(A352="","",N(INDEX(Projects[Systems Eng],351)))</f>
        <v/>
      </c>
      <c r="BN352" s="5">
        <f>IF(A352="","",N(INDEX(Projects[Mechanical Eng],351)))</f>
        <v/>
      </c>
      <c r="BO352" s="5">
        <f>IF(A352="","",N(INDEX(Projects[Structural Engineering],351)))</f>
        <v/>
      </c>
      <c r="BP352" s="5">
        <f>IF(A352="","",N(INDEX(Projects[Site Sup],351)))</f>
        <v/>
      </c>
      <c r="BQ352" s="5">
        <f>IF(A352="","",N(INDEX(Projects[Controls Commissioning],351)))</f>
        <v/>
      </c>
      <c r="BR352" s="5">
        <f>IF(A352="","",N(INDEX(Projects[Systems Commissioning],351)))</f>
        <v/>
      </c>
      <c r="BS352" s="5">
        <f>IF(A352="","",N(INDEX(Projects[Service Commissioning],351)))</f>
        <v/>
      </c>
      <c r="BT352" s="5">
        <f>IF(A352="","",N(INDEX(Projects[Controls Eng],351)))</f>
        <v/>
      </c>
      <c r="BU352" s="5">
        <f>IF(A352="","",N(INDEX(Projects[Controls Purchase],351)))</f>
        <v/>
      </c>
      <c r="BV352" s="5">
        <f>IF(A352="","",N(INDEX(Projects[Software Eng],351)))</f>
        <v/>
      </c>
      <c r="BW352" s="5">
        <f>IF(A352="","",N(INDEX(Projects[Misc],351)))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IF(A353="","",N(INDEX(Projects[Mech Inst],352)))</f>
        <v/>
      </c>
      <c r="BK353" s="5">
        <f>IF(A353="","",N(INDEX(Projects[Elec Inst],352)))</f>
        <v/>
      </c>
      <c r="BL353" s="5">
        <f>IF(A353="","",N(INDEX(Projects[Project Management],352)))</f>
        <v/>
      </c>
      <c r="BM353" s="5">
        <f>IF(A353="","",N(INDEX(Projects[Systems Eng],352)))</f>
        <v/>
      </c>
      <c r="BN353" s="5">
        <f>IF(A353="","",N(INDEX(Projects[Mechanical Eng],352)))</f>
        <v/>
      </c>
      <c r="BO353" s="5">
        <f>IF(A353="","",N(INDEX(Projects[Structural Engineering],352)))</f>
        <v/>
      </c>
      <c r="BP353" s="5">
        <f>IF(A353="","",N(INDEX(Projects[Site Sup],352)))</f>
        <v/>
      </c>
      <c r="BQ353" s="5">
        <f>IF(A353="","",N(INDEX(Projects[Controls Commissioning],352)))</f>
        <v/>
      </c>
      <c r="BR353" s="5">
        <f>IF(A353="","",N(INDEX(Projects[Systems Commissioning],352)))</f>
        <v/>
      </c>
      <c r="BS353" s="5">
        <f>IF(A353="","",N(INDEX(Projects[Service Commissioning],352)))</f>
        <v/>
      </c>
      <c r="BT353" s="5">
        <f>IF(A353="","",N(INDEX(Projects[Controls Eng],352)))</f>
        <v/>
      </c>
      <c r="BU353" s="5">
        <f>IF(A353="","",N(INDEX(Projects[Controls Purchase],352)))</f>
        <v/>
      </c>
      <c r="BV353" s="5">
        <f>IF(A353="","",N(INDEX(Projects[Software Eng],352)))</f>
        <v/>
      </c>
      <c r="BW353" s="5">
        <f>IF(A353="","",N(INDEX(Projects[Misc],352)))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IF(A354="","",N(INDEX(Projects[Mech Inst],353)))</f>
        <v/>
      </c>
      <c r="BK354" s="5">
        <f>IF(A354="","",N(INDEX(Projects[Elec Inst],353)))</f>
        <v/>
      </c>
      <c r="BL354" s="5">
        <f>IF(A354="","",N(INDEX(Projects[Project Management],353)))</f>
        <v/>
      </c>
      <c r="BM354" s="5">
        <f>IF(A354="","",N(INDEX(Projects[Systems Eng],353)))</f>
        <v/>
      </c>
      <c r="BN354" s="5">
        <f>IF(A354="","",N(INDEX(Projects[Mechanical Eng],353)))</f>
        <v/>
      </c>
      <c r="BO354" s="5">
        <f>IF(A354="","",N(INDEX(Projects[Structural Engineering],353)))</f>
        <v/>
      </c>
      <c r="BP354" s="5">
        <f>IF(A354="","",N(INDEX(Projects[Site Sup],353)))</f>
        <v/>
      </c>
      <c r="BQ354" s="5">
        <f>IF(A354="","",N(INDEX(Projects[Controls Commissioning],353)))</f>
        <v/>
      </c>
      <c r="BR354" s="5">
        <f>IF(A354="","",N(INDEX(Projects[Systems Commissioning],353)))</f>
        <v/>
      </c>
      <c r="BS354" s="5">
        <f>IF(A354="","",N(INDEX(Projects[Service Commissioning],353)))</f>
        <v/>
      </c>
      <c r="BT354" s="5">
        <f>IF(A354="","",N(INDEX(Projects[Controls Eng],353)))</f>
        <v/>
      </c>
      <c r="BU354" s="5">
        <f>IF(A354="","",N(INDEX(Projects[Controls Purchase],353)))</f>
        <v/>
      </c>
      <c r="BV354" s="5">
        <f>IF(A354="","",N(INDEX(Projects[Software Eng],353)))</f>
        <v/>
      </c>
      <c r="BW354" s="5">
        <f>IF(A354="","",N(INDEX(Projects[Misc],353)))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IF(A355="","",N(INDEX(Projects[Mech Inst],354)))</f>
        <v/>
      </c>
      <c r="BK355" s="5">
        <f>IF(A355="","",N(INDEX(Projects[Elec Inst],354)))</f>
        <v/>
      </c>
      <c r="BL355" s="5">
        <f>IF(A355="","",N(INDEX(Projects[Project Management],354)))</f>
        <v/>
      </c>
      <c r="BM355" s="5">
        <f>IF(A355="","",N(INDEX(Projects[Systems Eng],354)))</f>
        <v/>
      </c>
      <c r="BN355" s="5">
        <f>IF(A355="","",N(INDEX(Projects[Mechanical Eng],354)))</f>
        <v/>
      </c>
      <c r="BO355" s="5">
        <f>IF(A355="","",N(INDEX(Projects[Structural Engineering],354)))</f>
        <v/>
      </c>
      <c r="BP355" s="5">
        <f>IF(A355="","",N(INDEX(Projects[Site Sup],354)))</f>
        <v/>
      </c>
      <c r="BQ355" s="5">
        <f>IF(A355="","",N(INDEX(Projects[Controls Commissioning],354)))</f>
        <v/>
      </c>
      <c r="BR355" s="5">
        <f>IF(A355="","",N(INDEX(Projects[Systems Commissioning],354)))</f>
        <v/>
      </c>
      <c r="BS355" s="5">
        <f>IF(A355="","",N(INDEX(Projects[Service Commissioning],354)))</f>
        <v/>
      </c>
      <c r="BT355" s="5">
        <f>IF(A355="","",N(INDEX(Projects[Controls Eng],354)))</f>
        <v/>
      </c>
      <c r="BU355" s="5">
        <f>IF(A355="","",N(INDEX(Projects[Controls Purchase],354)))</f>
        <v/>
      </c>
      <c r="BV355" s="5">
        <f>IF(A355="","",N(INDEX(Projects[Software Eng],354)))</f>
        <v/>
      </c>
      <c r="BW355" s="5">
        <f>IF(A355="","",N(INDEX(Projects[Misc],354)))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IF(A356="","",N(INDEX(Projects[Mech Inst],355)))</f>
        <v/>
      </c>
      <c r="BK356" s="5">
        <f>IF(A356="","",N(INDEX(Projects[Elec Inst],355)))</f>
        <v/>
      </c>
      <c r="BL356" s="5">
        <f>IF(A356="","",N(INDEX(Projects[Project Management],355)))</f>
        <v/>
      </c>
      <c r="BM356" s="5">
        <f>IF(A356="","",N(INDEX(Projects[Systems Eng],355)))</f>
        <v/>
      </c>
      <c r="BN356" s="5">
        <f>IF(A356="","",N(INDEX(Projects[Mechanical Eng],355)))</f>
        <v/>
      </c>
      <c r="BO356" s="5">
        <f>IF(A356="","",N(INDEX(Projects[Structural Engineering],355)))</f>
        <v/>
      </c>
      <c r="BP356" s="5">
        <f>IF(A356="","",N(INDEX(Projects[Site Sup],355)))</f>
        <v/>
      </c>
      <c r="BQ356" s="5">
        <f>IF(A356="","",N(INDEX(Projects[Controls Commissioning],355)))</f>
        <v/>
      </c>
      <c r="BR356" s="5">
        <f>IF(A356="","",N(INDEX(Projects[Systems Commissioning],355)))</f>
        <v/>
      </c>
      <c r="BS356" s="5">
        <f>IF(A356="","",N(INDEX(Projects[Service Commissioning],355)))</f>
        <v/>
      </c>
      <c r="BT356" s="5">
        <f>IF(A356="","",N(INDEX(Projects[Controls Eng],355)))</f>
        <v/>
      </c>
      <c r="BU356" s="5">
        <f>IF(A356="","",N(INDEX(Projects[Controls Purchase],355)))</f>
        <v/>
      </c>
      <c r="BV356" s="5">
        <f>IF(A356="","",N(INDEX(Projects[Software Eng],355)))</f>
        <v/>
      </c>
      <c r="BW356" s="5">
        <f>IF(A356="","",N(INDEX(Projects[Misc],355)))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IF(A357="","",N(INDEX(Projects[Mech Inst],356)))</f>
        <v/>
      </c>
      <c r="BK357" s="5">
        <f>IF(A357="","",N(INDEX(Projects[Elec Inst],356)))</f>
        <v/>
      </c>
      <c r="BL357" s="5">
        <f>IF(A357="","",N(INDEX(Projects[Project Management],356)))</f>
        <v/>
      </c>
      <c r="BM357" s="5">
        <f>IF(A357="","",N(INDEX(Projects[Systems Eng],356)))</f>
        <v/>
      </c>
      <c r="BN357" s="5">
        <f>IF(A357="","",N(INDEX(Projects[Mechanical Eng],356)))</f>
        <v/>
      </c>
      <c r="BO357" s="5">
        <f>IF(A357="","",N(INDEX(Projects[Structural Engineering],356)))</f>
        <v/>
      </c>
      <c r="BP357" s="5">
        <f>IF(A357="","",N(INDEX(Projects[Site Sup],356)))</f>
        <v/>
      </c>
      <c r="BQ357" s="5">
        <f>IF(A357="","",N(INDEX(Projects[Controls Commissioning],356)))</f>
        <v/>
      </c>
      <c r="BR357" s="5">
        <f>IF(A357="","",N(INDEX(Projects[Systems Commissioning],356)))</f>
        <v/>
      </c>
      <c r="BS357" s="5">
        <f>IF(A357="","",N(INDEX(Projects[Service Commissioning],356)))</f>
        <v/>
      </c>
      <c r="BT357" s="5">
        <f>IF(A357="","",N(INDEX(Projects[Controls Eng],356)))</f>
        <v/>
      </c>
      <c r="BU357" s="5">
        <f>IF(A357="","",N(INDEX(Projects[Controls Purchase],356)))</f>
        <v/>
      </c>
      <c r="BV357" s="5">
        <f>IF(A357="","",N(INDEX(Projects[Software Eng],356)))</f>
        <v/>
      </c>
      <c r="BW357" s="5">
        <f>IF(A357="","",N(INDEX(Projects[Misc],356)))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IF(A358="","",N(INDEX(Projects[Mech Inst],357)))</f>
        <v/>
      </c>
      <c r="BK358" s="5">
        <f>IF(A358="","",N(INDEX(Projects[Elec Inst],357)))</f>
        <v/>
      </c>
      <c r="BL358" s="5">
        <f>IF(A358="","",N(INDEX(Projects[Project Management],357)))</f>
        <v/>
      </c>
      <c r="BM358" s="5">
        <f>IF(A358="","",N(INDEX(Projects[Systems Eng],357)))</f>
        <v/>
      </c>
      <c r="BN358" s="5">
        <f>IF(A358="","",N(INDEX(Projects[Mechanical Eng],357)))</f>
        <v/>
      </c>
      <c r="BO358" s="5">
        <f>IF(A358="","",N(INDEX(Projects[Structural Engineering],357)))</f>
        <v/>
      </c>
      <c r="BP358" s="5">
        <f>IF(A358="","",N(INDEX(Projects[Site Sup],357)))</f>
        <v/>
      </c>
      <c r="BQ358" s="5">
        <f>IF(A358="","",N(INDEX(Projects[Controls Commissioning],357)))</f>
        <v/>
      </c>
      <c r="BR358" s="5">
        <f>IF(A358="","",N(INDEX(Projects[Systems Commissioning],357)))</f>
        <v/>
      </c>
      <c r="BS358" s="5">
        <f>IF(A358="","",N(INDEX(Projects[Service Commissioning],357)))</f>
        <v/>
      </c>
      <c r="BT358" s="5">
        <f>IF(A358="","",N(INDEX(Projects[Controls Eng],357)))</f>
        <v/>
      </c>
      <c r="BU358" s="5">
        <f>IF(A358="","",N(INDEX(Projects[Controls Purchase],357)))</f>
        <v/>
      </c>
      <c r="BV358" s="5">
        <f>IF(A358="","",N(INDEX(Projects[Software Eng],357)))</f>
        <v/>
      </c>
      <c r="BW358" s="5">
        <f>IF(A358="","",N(INDEX(Projects[Misc],357)))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IF(A359="","",N(INDEX(Projects[Mech Inst],358)))</f>
        <v/>
      </c>
      <c r="BK359" s="5">
        <f>IF(A359="","",N(INDEX(Projects[Elec Inst],358)))</f>
        <v/>
      </c>
      <c r="BL359" s="5">
        <f>IF(A359="","",N(INDEX(Projects[Project Management],358)))</f>
        <v/>
      </c>
      <c r="BM359" s="5">
        <f>IF(A359="","",N(INDEX(Projects[Systems Eng],358)))</f>
        <v/>
      </c>
      <c r="BN359" s="5">
        <f>IF(A359="","",N(INDEX(Projects[Mechanical Eng],358)))</f>
        <v/>
      </c>
      <c r="BO359" s="5">
        <f>IF(A359="","",N(INDEX(Projects[Structural Engineering],358)))</f>
        <v/>
      </c>
      <c r="BP359" s="5">
        <f>IF(A359="","",N(INDEX(Projects[Site Sup],358)))</f>
        <v/>
      </c>
      <c r="BQ359" s="5">
        <f>IF(A359="","",N(INDEX(Projects[Controls Commissioning],358)))</f>
        <v/>
      </c>
      <c r="BR359" s="5">
        <f>IF(A359="","",N(INDEX(Projects[Systems Commissioning],358)))</f>
        <v/>
      </c>
      <c r="BS359" s="5">
        <f>IF(A359="","",N(INDEX(Projects[Service Commissioning],358)))</f>
        <v/>
      </c>
      <c r="BT359" s="5">
        <f>IF(A359="","",N(INDEX(Projects[Controls Eng],358)))</f>
        <v/>
      </c>
      <c r="BU359" s="5">
        <f>IF(A359="","",N(INDEX(Projects[Controls Purchase],358)))</f>
        <v/>
      </c>
      <c r="BV359" s="5">
        <f>IF(A359="","",N(INDEX(Projects[Software Eng],358)))</f>
        <v/>
      </c>
      <c r="BW359" s="5">
        <f>IF(A359="","",N(INDEX(Projects[Misc],358)))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IF(A360="","",N(INDEX(Projects[Mech Inst],359)))</f>
        <v/>
      </c>
      <c r="BK360" s="5">
        <f>IF(A360="","",N(INDEX(Projects[Elec Inst],359)))</f>
        <v/>
      </c>
      <c r="BL360" s="5">
        <f>IF(A360="","",N(INDEX(Projects[Project Management],359)))</f>
        <v/>
      </c>
      <c r="BM360" s="5">
        <f>IF(A360="","",N(INDEX(Projects[Systems Eng],359)))</f>
        <v/>
      </c>
      <c r="BN360" s="5">
        <f>IF(A360="","",N(INDEX(Projects[Mechanical Eng],359)))</f>
        <v/>
      </c>
      <c r="BO360" s="5">
        <f>IF(A360="","",N(INDEX(Projects[Structural Engineering],359)))</f>
        <v/>
      </c>
      <c r="BP360" s="5">
        <f>IF(A360="","",N(INDEX(Projects[Site Sup],359)))</f>
        <v/>
      </c>
      <c r="BQ360" s="5">
        <f>IF(A360="","",N(INDEX(Projects[Controls Commissioning],359)))</f>
        <v/>
      </c>
      <c r="BR360" s="5">
        <f>IF(A360="","",N(INDEX(Projects[Systems Commissioning],359)))</f>
        <v/>
      </c>
      <c r="BS360" s="5">
        <f>IF(A360="","",N(INDEX(Projects[Service Commissioning],359)))</f>
        <v/>
      </c>
      <c r="BT360" s="5">
        <f>IF(A360="","",N(INDEX(Projects[Controls Eng],359)))</f>
        <v/>
      </c>
      <c r="BU360" s="5">
        <f>IF(A360="","",N(INDEX(Projects[Controls Purchase],359)))</f>
        <v/>
      </c>
      <c r="BV360" s="5">
        <f>IF(A360="","",N(INDEX(Projects[Software Eng],359)))</f>
        <v/>
      </c>
      <c r="BW360" s="5">
        <f>IF(A360="","",N(INDEX(Projects[Misc],359)))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IF(A361="","",N(INDEX(Projects[Mech Inst],360)))</f>
        <v/>
      </c>
      <c r="BK361" s="5">
        <f>IF(A361="","",N(INDEX(Projects[Elec Inst],360)))</f>
        <v/>
      </c>
      <c r="BL361" s="5">
        <f>IF(A361="","",N(INDEX(Projects[Project Management],360)))</f>
        <v/>
      </c>
      <c r="BM361" s="5">
        <f>IF(A361="","",N(INDEX(Projects[Systems Eng],360)))</f>
        <v/>
      </c>
      <c r="BN361" s="5">
        <f>IF(A361="","",N(INDEX(Projects[Mechanical Eng],360)))</f>
        <v/>
      </c>
      <c r="BO361" s="5">
        <f>IF(A361="","",N(INDEX(Projects[Structural Engineering],360)))</f>
        <v/>
      </c>
      <c r="BP361" s="5">
        <f>IF(A361="","",N(INDEX(Projects[Site Sup],360)))</f>
        <v/>
      </c>
      <c r="BQ361" s="5">
        <f>IF(A361="","",N(INDEX(Projects[Controls Commissioning],360)))</f>
        <v/>
      </c>
      <c r="BR361" s="5">
        <f>IF(A361="","",N(INDEX(Projects[Systems Commissioning],360)))</f>
        <v/>
      </c>
      <c r="BS361" s="5">
        <f>IF(A361="","",N(INDEX(Projects[Service Commissioning],360)))</f>
        <v/>
      </c>
      <c r="BT361" s="5">
        <f>IF(A361="","",N(INDEX(Projects[Controls Eng],360)))</f>
        <v/>
      </c>
      <c r="BU361" s="5">
        <f>IF(A361="","",N(INDEX(Projects[Controls Purchase],360)))</f>
        <v/>
      </c>
      <c r="BV361" s="5">
        <f>IF(A361="","",N(INDEX(Projects[Software Eng],360)))</f>
        <v/>
      </c>
      <c r="BW361" s="5">
        <f>IF(A361="","",N(INDEX(Projects[Misc],360)))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IF(A362="","",N(INDEX(Projects[Mech Inst],361)))</f>
        <v/>
      </c>
      <c r="BK362" s="5">
        <f>IF(A362="","",N(INDEX(Projects[Elec Inst],361)))</f>
        <v/>
      </c>
      <c r="BL362" s="5">
        <f>IF(A362="","",N(INDEX(Projects[Project Management],361)))</f>
        <v/>
      </c>
      <c r="BM362" s="5">
        <f>IF(A362="","",N(INDEX(Projects[Systems Eng],361)))</f>
        <v/>
      </c>
      <c r="BN362" s="5">
        <f>IF(A362="","",N(INDEX(Projects[Mechanical Eng],361)))</f>
        <v/>
      </c>
      <c r="BO362" s="5">
        <f>IF(A362="","",N(INDEX(Projects[Structural Engineering],361)))</f>
        <v/>
      </c>
      <c r="BP362" s="5">
        <f>IF(A362="","",N(INDEX(Projects[Site Sup],361)))</f>
        <v/>
      </c>
      <c r="BQ362" s="5">
        <f>IF(A362="","",N(INDEX(Projects[Controls Commissioning],361)))</f>
        <v/>
      </c>
      <c r="BR362" s="5">
        <f>IF(A362="","",N(INDEX(Projects[Systems Commissioning],361)))</f>
        <v/>
      </c>
      <c r="BS362" s="5">
        <f>IF(A362="","",N(INDEX(Projects[Service Commissioning],361)))</f>
        <v/>
      </c>
      <c r="BT362" s="5">
        <f>IF(A362="","",N(INDEX(Projects[Controls Eng],361)))</f>
        <v/>
      </c>
      <c r="BU362" s="5">
        <f>IF(A362="","",N(INDEX(Projects[Controls Purchase],361)))</f>
        <v/>
      </c>
      <c r="BV362" s="5">
        <f>IF(A362="","",N(INDEX(Projects[Software Eng],361)))</f>
        <v/>
      </c>
      <c r="BW362" s="5">
        <f>IF(A362="","",N(INDEX(Projects[Misc],361)))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IF(A363="","",N(INDEX(Projects[Mech Inst],362)))</f>
        <v/>
      </c>
      <c r="BK363" s="5">
        <f>IF(A363="","",N(INDEX(Projects[Elec Inst],362)))</f>
        <v/>
      </c>
      <c r="BL363" s="5">
        <f>IF(A363="","",N(INDEX(Projects[Project Management],362)))</f>
        <v/>
      </c>
      <c r="BM363" s="5">
        <f>IF(A363="","",N(INDEX(Projects[Systems Eng],362)))</f>
        <v/>
      </c>
      <c r="BN363" s="5">
        <f>IF(A363="","",N(INDEX(Projects[Mechanical Eng],362)))</f>
        <v/>
      </c>
      <c r="BO363" s="5">
        <f>IF(A363="","",N(INDEX(Projects[Structural Engineering],362)))</f>
        <v/>
      </c>
      <c r="BP363" s="5">
        <f>IF(A363="","",N(INDEX(Projects[Site Sup],362)))</f>
        <v/>
      </c>
      <c r="BQ363" s="5">
        <f>IF(A363="","",N(INDEX(Projects[Controls Commissioning],362)))</f>
        <v/>
      </c>
      <c r="BR363" s="5">
        <f>IF(A363="","",N(INDEX(Projects[Systems Commissioning],362)))</f>
        <v/>
      </c>
      <c r="BS363" s="5">
        <f>IF(A363="","",N(INDEX(Projects[Service Commissioning],362)))</f>
        <v/>
      </c>
      <c r="BT363" s="5">
        <f>IF(A363="","",N(INDEX(Projects[Controls Eng],362)))</f>
        <v/>
      </c>
      <c r="BU363" s="5">
        <f>IF(A363="","",N(INDEX(Projects[Controls Purchase],362)))</f>
        <v/>
      </c>
      <c r="BV363" s="5">
        <f>IF(A363="","",N(INDEX(Projects[Software Eng],362)))</f>
        <v/>
      </c>
      <c r="BW363" s="5">
        <f>IF(A363="","",N(INDEX(Projects[Misc],362)))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IF(A364="","",N(INDEX(Projects[Mech Inst],363)))</f>
        <v/>
      </c>
      <c r="BK364" s="5">
        <f>IF(A364="","",N(INDEX(Projects[Elec Inst],363)))</f>
        <v/>
      </c>
      <c r="BL364" s="5">
        <f>IF(A364="","",N(INDEX(Projects[Project Management],363)))</f>
        <v/>
      </c>
      <c r="BM364" s="5">
        <f>IF(A364="","",N(INDEX(Projects[Systems Eng],363)))</f>
        <v/>
      </c>
      <c r="BN364" s="5">
        <f>IF(A364="","",N(INDEX(Projects[Mechanical Eng],363)))</f>
        <v/>
      </c>
      <c r="BO364" s="5">
        <f>IF(A364="","",N(INDEX(Projects[Structural Engineering],363)))</f>
        <v/>
      </c>
      <c r="BP364" s="5">
        <f>IF(A364="","",N(INDEX(Projects[Site Sup],363)))</f>
        <v/>
      </c>
      <c r="BQ364" s="5">
        <f>IF(A364="","",N(INDEX(Projects[Controls Commissioning],363)))</f>
        <v/>
      </c>
      <c r="BR364" s="5">
        <f>IF(A364="","",N(INDEX(Projects[Systems Commissioning],363)))</f>
        <v/>
      </c>
      <c r="BS364" s="5">
        <f>IF(A364="","",N(INDEX(Projects[Service Commissioning],363)))</f>
        <v/>
      </c>
      <c r="BT364" s="5">
        <f>IF(A364="","",N(INDEX(Projects[Controls Eng],363)))</f>
        <v/>
      </c>
      <c r="BU364" s="5">
        <f>IF(A364="","",N(INDEX(Projects[Controls Purchase],363)))</f>
        <v/>
      </c>
      <c r="BV364" s="5">
        <f>IF(A364="","",N(INDEX(Projects[Software Eng],363)))</f>
        <v/>
      </c>
      <c r="BW364" s="5">
        <f>IF(A364="","",N(INDEX(Projects[Misc],363)))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IF(A365="","",N(INDEX(Projects[Mech Inst],364)))</f>
        <v/>
      </c>
      <c r="BK365" s="5">
        <f>IF(A365="","",N(INDEX(Projects[Elec Inst],364)))</f>
        <v/>
      </c>
      <c r="BL365" s="5">
        <f>IF(A365="","",N(INDEX(Projects[Project Management],364)))</f>
        <v/>
      </c>
      <c r="BM365" s="5">
        <f>IF(A365="","",N(INDEX(Projects[Systems Eng],364)))</f>
        <v/>
      </c>
      <c r="BN365" s="5">
        <f>IF(A365="","",N(INDEX(Projects[Mechanical Eng],364)))</f>
        <v/>
      </c>
      <c r="BO365" s="5">
        <f>IF(A365="","",N(INDEX(Projects[Structural Engineering],364)))</f>
        <v/>
      </c>
      <c r="BP365" s="5">
        <f>IF(A365="","",N(INDEX(Projects[Site Sup],364)))</f>
        <v/>
      </c>
      <c r="BQ365" s="5">
        <f>IF(A365="","",N(INDEX(Projects[Controls Commissioning],364)))</f>
        <v/>
      </c>
      <c r="BR365" s="5">
        <f>IF(A365="","",N(INDEX(Projects[Systems Commissioning],364)))</f>
        <v/>
      </c>
      <c r="BS365" s="5">
        <f>IF(A365="","",N(INDEX(Projects[Service Commissioning],364)))</f>
        <v/>
      </c>
      <c r="BT365" s="5">
        <f>IF(A365="","",N(INDEX(Projects[Controls Eng],364)))</f>
        <v/>
      </c>
      <c r="BU365" s="5">
        <f>IF(A365="","",N(INDEX(Projects[Controls Purchase],364)))</f>
        <v/>
      </c>
      <c r="BV365" s="5">
        <f>IF(A365="","",N(INDEX(Projects[Software Eng],364)))</f>
        <v/>
      </c>
      <c r="BW365" s="5">
        <f>IF(A365="","",N(INDEX(Projects[Misc],364)))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IF(A366="","",N(INDEX(Projects[Mech Inst],365)))</f>
        <v/>
      </c>
      <c r="BK366" s="5">
        <f>IF(A366="","",N(INDEX(Projects[Elec Inst],365)))</f>
        <v/>
      </c>
      <c r="BL366" s="5">
        <f>IF(A366="","",N(INDEX(Projects[Project Management],365)))</f>
        <v/>
      </c>
      <c r="BM366" s="5">
        <f>IF(A366="","",N(INDEX(Projects[Systems Eng],365)))</f>
        <v/>
      </c>
      <c r="BN366" s="5">
        <f>IF(A366="","",N(INDEX(Projects[Mechanical Eng],365)))</f>
        <v/>
      </c>
      <c r="BO366" s="5">
        <f>IF(A366="","",N(INDEX(Projects[Structural Engineering],365)))</f>
        <v/>
      </c>
      <c r="BP366" s="5">
        <f>IF(A366="","",N(INDEX(Projects[Site Sup],365)))</f>
        <v/>
      </c>
      <c r="BQ366" s="5">
        <f>IF(A366="","",N(INDEX(Projects[Controls Commissioning],365)))</f>
        <v/>
      </c>
      <c r="BR366" s="5">
        <f>IF(A366="","",N(INDEX(Projects[Systems Commissioning],365)))</f>
        <v/>
      </c>
      <c r="BS366" s="5">
        <f>IF(A366="","",N(INDEX(Projects[Service Commissioning],365)))</f>
        <v/>
      </c>
      <c r="BT366" s="5">
        <f>IF(A366="","",N(INDEX(Projects[Controls Eng],365)))</f>
        <v/>
      </c>
      <c r="BU366" s="5">
        <f>IF(A366="","",N(INDEX(Projects[Controls Purchase],365)))</f>
        <v/>
      </c>
      <c r="BV366" s="5">
        <f>IF(A366="","",N(INDEX(Projects[Software Eng],365)))</f>
        <v/>
      </c>
      <c r="BW366" s="5">
        <f>IF(A366="","",N(INDEX(Projects[Misc],365)))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IF(A367="","",N(INDEX(Projects[Mech Inst],366)))</f>
        <v/>
      </c>
      <c r="BK367" s="5">
        <f>IF(A367="","",N(INDEX(Projects[Elec Inst],366)))</f>
        <v/>
      </c>
      <c r="BL367" s="5">
        <f>IF(A367="","",N(INDEX(Projects[Project Management],366)))</f>
        <v/>
      </c>
      <c r="BM367" s="5">
        <f>IF(A367="","",N(INDEX(Projects[Systems Eng],366)))</f>
        <v/>
      </c>
      <c r="BN367" s="5">
        <f>IF(A367="","",N(INDEX(Projects[Mechanical Eng],366)))</f>
        <v/>
      </c>
      <c r="BO367" s="5">
        <f>IF(A367="","",N(INDEX(Projects[Structural Engineering],366)))</f>
        <v/>
      </c>
      <c r="BP367" s="5">
        <f>IF(A367="","",N(INDEX(Projects[Site Sup],366)))</f>
        <v/>
      </c>
      <c r="BQ367" s="5">
        <f>IF(A367="","",N(INDEX(Projects[Controls Commissioning],366)))</f>
        <v/>
      </c>
      <c r="BR367" s="5">
        <f>IF(A367="","",N(INDEX(Projects[Systems Commissioning],366)))</f>
        <v/>
      </c>
      <c r="BS367" s="5">
        <f>IF(A367="","",N(INDEX(Projects[Service Commissioning],366)))</f>
        <v/>
      </c>
      <c r="BT367" s="5">
        <f>IF(A367="","",N(INDEX(Projects[Controls Eng],366)))</f>
        <v/>
      </c>
      <c r="BU367" s="5">
        <f>IF(A367="","",N(INDEX(Projects[Controls Purchase],366)))</f>
        <v/>
      </c>
      <c r="BV367" s="5">
        <f>IF(A367="","",N(INDEX(Projects[Software Eng],366)))</f>
        <v/>
      </c>
      <c r="BW367" s="5">
        <f>IF(A367="","",N(INDEX(Projects[Misc],366)))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IF(A368="","",N(INDEX(Projects[Mech Inst],367)))</f>
        <v/>
      </c>
      <c r="BK368" s="5">
        <f>IF(A368="","",N(INDEX(Projects[Elec Inst],367)))</f>
        <v/>
      </c>
      <c r="BL368" s="5">
        <f>IF(A368="","",N(INDEX(Projects[Project Management],367)))</f>
        <v/>
      </c>
      <c r="BM368" s="5">
        <f>IF(A368="","",N(INDEX(Projects[Systems Eng],367)))</f>
        <v/>
      </c>
      <c r="BN368" s="5">
        <f>IF(A368="","",N(INDEX(Projects[Mechanical Eng],367)))</f>
        <v/>
      </c>
      <c r="BO368" s="5">
        <f>IF(A368="","",N(INDEX(Projects[Structural Engineering],367)))</f>
        <v/>
      </c>
      <c r="BP368" s="5">
        <f>IF(A368="","",N(INDEX(Projects[Site Sup],367)))</f>
        <v/>
      </c>
      <c r="BQ368" s="5">
        <f>IF(A368="","",N(INDEX(Projects[Controls Commissioning],367)))</f>
        <v/>
      </c>
      <c r="BR368" s="5">
        <f>IF(A368="","",N(INDEX(Projects[Systems Commissioning],367)))</f>
        <v/>
      </c>
      <c r="BS368" s="5">
        <f>IF(A368="","",N(INDEX(Projects[Service Commissioning],367)))</f>
        <v/>
      </c>
      <c r="BT368" s="5">
        <f>IF(A368="","",N(INDEX(Projects[Controls Eng],367)))</f>
        <v/>
      </c>
      <c r="BU368" s="5">
        <f>IF(A368="","",N(INDEX(Projects[Controls Purchase],367)))</f>
        <v/>
      </c>
      <c r="BV368" s="5">
        <f>IF(A368="","",N(INDEX(Projects[Software Eng],367)))</f>
        <v/>
      </c>
      <c r="BW368" s="5">
        <f>IF(A368="","",N(INDEX(Projects[Misc],367)))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IF(A369="","",N(INDEX(Projects[Mech Inst],368)))</f>
        <v/>
      </c>
      <c r="BK369" s="5">
        <f>IF(A369="","",N(INDEX(Projects[Elec Inst],368)))</f>
        <v/>
      </c>
      <c r="BL369" s="5">
        <f>IF(A369="","",N(INDEX(Projects[Project Management],368)))</f>
        <v/>
      </c>
      <c r="BM369" s="5">
        <f>IF(A369="","",N(INDEX(Projects[Systems Eng],368)))</f>
        <v/>
      </c>
      <c r="BN369" s="5">
        <f>IF(A369="","",N(INDEX(Projects[Mechanical Eng],368)))</f>
        <v/>
      </c>
      <c r="BO369" s="5">
        <f>IF(A369="","",N(INDEX(Projects[Structural Engineering],368)))</f>
        <v/>
      </c>
      <c r="BP369" s="5">
        <f>IF(A369="","",N(INDEX(Projects[Site Sup],368)))</f>
        <v/>
      </c>
      <c r="BQ369" s="5">
        <f>IF(A369="","",N(INDEX(Projects[Controls Commissioning],368)))</f>
        <v/>
      </c>
      <c r="BR369" s="5">
        <f>IF(A369="","",N(INDEX(Projects[Systems Commissioning],368)))</f>
        <v/>
      </c>
      <c r="BS369" s="5">
        <f>IF(A369="","",N(INDEX(Projects[Service Commissioning],368)))</f>
        <v/>
      </c>
      <c r="BT369" s="5">
        <f>IF(A369="","",N(INDEX(Projects[Controls Eng],368)))</f>
        <v/>
      </c>
      <c r="BU369" s="5">
        <f>IF(A369="","",N(INDEX(Projects[Controls Purchase],368)))</f>
        <v/>
      </c>
      <c r="BV369" s="5">
        <f>IF(A369="","",N(INDEX(Projects[Software Eng],368)))</f>
        <v/>
      </c>
      <c r="BW369" s="5">
        <f>IF(A369="","",N(INDEX(Projects[Misc],368)))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IF(A370="","",N(INDEX(Projects[Mech Inst],369)))</f>
        <v/>
      </c>
      <c r="BK370" s="5">
        <f>IF(A370="","",N(INDEX(Projects[Elec Inst],369)))</f>
        <v/>
      </c>
      <c r="BL370" s="5">
        <f>IF(A370="","",N(INDEX(Projects[Project Management],369)))</f>
        <v/>
      </c>
      <c r="BM370" s="5">
        <f>IF(A370="","",N(INDEX(Projects[Systems Eng],369)))</f>
        <v/>
      </c>
      <c r="BN370" s="5">
        <f>IF(A370="","",N(INDEX(Projects[Mechanical Eng],369)))</f>
        <v/>
      </c>
      <c r="BO370" s="5">
        <f>IF(A370="","",N(INDEX(Projects[Structural Engineering],369)))</f>
        <v/>
      </c>
      <c r="BP370" s="5">
        <f>IF(A370="","",N(INDEX(Projects[Site Sup],369)))</f>
        <v/>
      </c>
      <c r="BQ370" s="5">
        <f>IF(A370="","",N(INDEX(Projects[Controls Commissioning],369)))</f>
        <v/>
      </c>
      <c r="BR370" s="5">
        <f>IF(A370="","",N(INDEX(Projects[Systems Commissioning],369)))</f>
        <v/>
      </c>
      <c r="BS370" s="5">
        <f>IF(A370="","",N(INDEX(Projects[Service Commissioning],369)))</f>
        <v/>
      </c>
      <c r="BT370" s="5">
        <f>IF(A370="","",N(INDEX(Projects[Controls Eng],369)))</f>
        <v/>
      </c>
      <c r="BU370" s="5">
        <f>IF(A370="","",N(INDEX(Projects[Controls Purchase],369)))</f>
        <v/>
      </c>
      <c r="BV370" s="5">
        <f>IF(A370="","",N(INDEX(Projects[Software Eng],369)))</f>
        <v/>
      </c>
      <c r="BW370" s="5">
        <f>IF(A370="","",N(INDEX(Projects[Misc],369)))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IF(A371="","",N(INDEX(Projects[Mech Inst],370)))</f>
        <v/>
      </c>
      <c r="BK371" s="5">
        <f>IF(A371="","",N(INDEX(Projects[Elec Inst],370)))</f>
        <v/>
      </c>
      <c r="BL371" s="5">
        <f>IF(A371="","",N(INDEX(Projects[Project Management],370)))</f>
        <v/>
      </c>
      <c r="BM371" s="5">
        <f>IF(A371="","",N(INDEX(Projects[Systems Eng],370)))</f>
        <v/>
      </c>
      <c r="BN371" s="5">
        <f>IF(A371="","",N(INDEX(Projects[Mechanical Eng],370)))</f>
        <v/>
      </c>
      <c r="BO371" s="5">
        <f>IF(A371="","",N(INDEX(Projects[Structural Engineering],370)))</f>
        <v/>
      </c>
      <c r="BP371" s="5">
        <f>IF(A371="","",N(INDEX(Projects[Site Sup],370)))</f>
        <v/>
      </c>
      <c r="BQ371" s="5">
        <f>IF(A371="","",N(INDEX(Projects[Controls Commissioning],370)))</f>
        <v/>
      </c>
      <c r="BR371" s="5">
        <f>IF(A371="","",N(INDEX(Projects[Systems Commissioning],370)))</f>
        <v/>
      </c>
      <c r="BS371" s="5">
        <f>IF(A371="","",N(INDEX(Projects[Service Commissioning],370)))</f>
        <v/>
      </c>
      <c r="BT371" s="5">
        <f>IF(A371="","",N(INDEX(Projects[Controls Eng],370)))</f>
        <v/>
      </c>
      <c r="BU371" s="5">
        <f>IF(A371="","",N(INDEX(Projects[Controls Purchase],370)))</f>
        <v/>
      </c>
      <c r="BV371" s="5">
        <f>IF(A371="","",N(INDEX(Projects[Software Eng],370)))</f>
        <v/>
      </c>
      <c r="BW371" s="5">
        <f>IF(A371="","",N(INDEX(Projects[Misc],370)))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IF(A372="","",N(INDEX(Projects[Mech Inst],371)))</f>
        <v/>
      </c>
      <c r="BK372" s="5">
        <f>IF(A372="","",N(INDEX(Projects[Elec Inst],371)))</f>
        <v/>
      </c>
      <c r="BL372" s="5">
        <f>IF(A372="","",N(INDEX(Projects[Project Management],371)))</f>
        <v/>
      </c>
      <c r="BM372" s="5">
        <f>IF(A372="","",N(INDEX(Projects[Systems Eng],371)))</f>
        <v/>
      </c>
      <c r="BN372" s="5">
        <f>IF(A372="","",N(INDEX(Projects[Mechanical Eng],371)))</f>
        <v/>
      </c>
      <c r="BO372" s="5">
        <f>IF(A372="","",N(INDEX(Projects[Structural Engineering],371)))</f>
        <v/>
      </c>
      <c r="BP372" s="5">
        <f>IF(A372="","",N(INDEX(Projects[Site Sup],371)))</f>
        <v/>
      </c>
      <c r="BQ372" s="5">
        <f>IF(A372="","",N(INDEX(Projects[Controls Commissioning],371)))</f>
        <v/>
      </c>
      <c r="BR372" s="5">
        <f>IF(A372="","",N(INDEX(Projects[Systems Commissioning],371)))</f>
        <v/>
      </c>
      <c r="BS372" s="5">
        <f>IF(A372="","",N(INDEX(Projects[Service Commissioning],371)))</f>
        <v/>
      </c>
      <c r="BT372" s="5">
        <f>IF(A372="","",N(INDEX(Projects[Controls Eng],371)))</f>
        <v/>
      </c>
      <c r="BU372" s="5">
        <f>IF(A372="","",N(INDEX(Projects[Controls Purchase],371)))</f>
        <v/>
      </c>
      <c r="BV372" s="5">
        <f>IF(A372="","",N(INDEX(Projects[Software Eng],371)))</f>
        <v/>
      </c>
      <c r="BW372" s="5">
        <f>IF(A372="","",N(INDEX(Projects[Misc],371)))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IF(A373="","",N(INDEX(Projects[Mech Inst],372)))</f>
        <v/>
      </c>
      <c r="BK373" s="5">
        <f>IF(A373="","",N(INDEX(Projects[Elec Inst],372)))</f>
        <v/>
      </c>
      <c r="BL373" s="5">
        <f>IF(A373="","",N(INDEX(Projects[Project Management],372)))</f>
        <v/>
      </c>
      <c r="BM373" s="5">
        <f>IF(A373="","",N(INDEX(Projects[Systems Eng],372)))</f>
        <v/>
      </c>
      <c r="BN373" s="5">
        <f>IF(A373="","",N(INDEX(Projects[Mechanical Eng],372)))</f>
        <v/>
      </c>
      <c r="BO373" s="5">
        <f>IF(A373="","",N(INDEX(Projects[Structural Engineering],372)))</f>
        <v/>
      </c>
      <c r="BP373" s="5">
        <f>IF(A373="","",N(INDEX(Projects[Site Sup],372)))</f>
        <v/>
      </c>
      <c r="BQ373" s="5">
        <f>IF(A373="","",N(INDEX(Projects[Controls Commissioning],372)))</f>
        <v/>
      </c>
      <c r="BR373" s="5">
        <f>IF(A373="","",N(INDEX(Projects[Systems Commissioning],372)))</f>
        <v/>
      </c>
      <c r="BS373" s="5">
        <f>IF(A373="","",N(INDEX(Projects[Service Commissioning],372)))</f>
        <v/>
      </c>
      <c r="BT373" s="5">
        <f>IF(A373="","",N(INDEX(Projects[Controls Eng],372)))</f>
        <v/>
      </c>
      <c r="BU373" s="5">
        <f>IF(A373="","",N(INDEX(Projects[Controls Purchase],372)))</f>
        <v/>
      </c>
      <c r="BV373" s="5">
        <f>IF(A373="","",N(INDEX(Projects[Software Eng],372)))</f>
        <v/>
      </c>
      <c r="BW373" s="5">
        <f>IF(A373="","",N(INDEX(Projects[Misc],372)))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IF(A374="","",N(INDEX(Projects[Mech Inst],373)))</f>
        <v/>
      </c>
      <c r="BK374" s="5">
        <f>IF(A374="","",N(INDEX(Projects[Elec Inst],373)))</f>
        <v/>
      </c>
      <c r="BL374" s="5">
        <f>IF(A374="","",N(INDEX(Projects[Project Management],373)))</f>
        <v/>
      </c>
      <c r="BM374" s="5">
        <f>IF(A374="","",N(INDEX(Projects[Systems Eng],373)))</f>
        <v/>
      </c>
      <c r="BN374" s="5">
        <f>IF(A374="","",N(INDEX(Projects[Mechanical Eng],373)))</f>
        <v/>
      </c>
      <c r="BO374" s="5">
        <f>IF(A374="","",N(INDEX(Projects[Structural Engineering],373)))</f>
        <v/>
      </c>
      <c r="BP374" s="5">
        <f>IF(A374="","",N(INDEX(Projects[Site Sup],373)))</f>
        <v/>
      </c>
      <c r="BQ374" s="5">
        <f>IF(A374="","",N(INDEX(Projects[Controls Commissioning],373)))</f>
        <v/>
      </c>
      <c r="BR374" s="5">
        <f>IF(A374="","",N(INDEX(Projects[Systems Commissioning],373)))</f>
        <v/>
      </c>
      <c r="BS374" s="5">
        <f>IF(A374="","",N(INDEX(Projects[Service Commissioning],373)))</f>
        <v/>
      </c>
      <c r="BT374" s="5">
        <f>IF(A374="","",N(INDEX(Projects[Controls Eng],373)))</f>
        <v/>
      </c>
      <c r="BU374" s="5">
        <f>IF(A374="","",N(INDEX(Projects[Controls Purchase],373)))</f>
        <v/>
      </c>
      <c r="BV374" s="5">
        <f>IF(A374="","",N(INDEX(Projects[Software Eng],373)))</f>
        <v/>
      </c>
      <c r="BW374" s="5">
        <f>IF(A374="","",N(INDEX(Projects[Misc],373)))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IF(A375="","",N(INDEX(Projects[Mech Inst],374)))</f>
        <v/>
      </c>
      <c r="BK375" s="5">
        <f>IF(A375="","",N(INDEX(Projects[Elec Inst],374)))</f>
        <v/>
      </c>
      <c r="BL375" s="5">
        <f>IF(A375="","",N(INDEX(Projects[Project Management],374)))</f>
        <v/>
      </c>
      <c r="BM375" s="5">
        <f>IF(A375="","",N(INDEX(Projects[Systems Eng],374)))</f>
        <v/>
      </c>
      <c r="BN375" s="5">
        <f>IF(A375="","",N(INDEX(Projects[Mechanical Eng],374)))</f>
        <v/>
      </c>
      <c r="BO375" s="5">
        <f>IF(A375="","",N(INDEX(Projects[Structural Engineering],374)))</f>
        <v/>
      </c>
      <c r="BP375" s="5">
        <f>IF(A375="","",N(INDEX(Projects[Site Sup],374)))</f>
        <v/>
      </c>
      <c r="BQ375" s="5">
        <f>IF(A375="","",N(INDEX(Projects[Controls Commissioning],374)))</f>
        <v/>
      </c>
      <c r="BR375" s="5">
        <f>IF(A375="","",N(INDEX(Projects[Systems Commissioning],374)))</f>
        <v/>
      </c>
      <c r="BS375" s="5">
        <f>IF(A375="","",N(INDEX(Projects[Service Commissioning],374)))</f>
        <v/>
      </c>
      <c r="BT375" s="5">
        <f>IF(A375="","",N(INDEX(Projects[Controls Eng],374)))</f>
        <v/>
      </c>
      <c r="BU375" s="5">
        <f>IF(A375="","",N(INDEX(Projects[Controls Purchase],374)))</f>
        <v/>
      </c>
      <c r="BV375" s="5">
        <f>IF(A375="","",N(INDEX(Projects[Software Eng],374)))</f>
        <v/>
      </c>
      <c r="BW375" s="5">
        <f>IF(A375="","",N(INDEX(Projects[Misc],374)))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IF(A376="","",N(INDEX(Projects[Mech Inst],375)))</f>
        <v/>
      </c>
      <c r="BK376" s="5">
        <f>IF(A376="","",N(INDEX(Projects[Elec Inst],375)))</f>
        <v/>
      </c>
      <c r="BL376" s="5">
        <f>IF(A376="","",N(INDEX(Projects[Project Management],375)))</f>
        <v/>
      </c>
      <c r="BM376" s="5">
        <f>IF(A376="","",N(INDEX(Projects[Systems Eng],375)))</f>
        <v/>
      </c>
      <c r="BN376" s="5">
        <f>IF(A376="","",N(INDEX(Projects[Mechanical Eng],375)))</f>
        <v/>
      </c>
      <c r="BO376" s="5">
        <f>IF(A376="","",N(INDEX(Projects[Structural Engineering],375)))</f>
        <v/>
      </c>
      <c r="BP376" s="5">
        <f>IF(A376="","",N(INDEX(Projects[Site Sup],375)))</f>
        <v/>
      </c>
      <c r="BQ376" s="5">
        <f>IF(A376="","",N(INDEX(Projects[Controls Commissioning],375)))</f>
        <v/>
      </c>
      <c r="BR376" s="5">
        <f>IF(A376="","",N(INDEX(Projects[Systems Commissioning],375)))</f>
        <v/>
      </c>
      <c r="BS376" s="5">
        <f>IF(A376="","",N(INDEX(Projects[Service Commissioning],375)))</f>
        <v/>
      </c>
      <c r="BT376" s="5">
        <f>IF(A376="","",N(INDEX(Projects[Controls Eng],375)))</f>
        <v/>
      </c>
      <c r="BU376" s="5">
        <f>IF(A376="","",N(INDEX(Projects[Controls Purchase],375)))</f>
        <v/>
      </c>
      <c r="BV376" s="5">
        <f>IF(A376="","",N(INDEX(Projects[Software Eng],375)))</f>
        <v/>
      </c>
      <c r="BW376" s="5">
        <f>IF(A376="","",N(INDEX(Projects[Misc],375)))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IF(A377="","",N(INDEX(Projects[Mech Inst],376)))</f>
        <v/>
      </c>
      <c r="BK377" s="5">
        <f>IF(A377="","",N(INDEX(Projects[Elec Inst],376)))</f>
        <v/>
      </c>
      <c r="BL377" s="5">
        <f>IF(A377="","",N(INDEX(Projects[Project Management],376)))</f>
        <v/>
      </c>
      <c r="BM377" s="5">
        <f>IF(A377="","",N(INDEX(Projects[Systems Eng],376)))</f>
        <v/>
      </c>
      <c r="BN377" s="5">
        <f>IF(A377="","",N(INDEX(Projects[Mechanical Eng],376)))</f>
        <v/>
      </c>
      <c r="BO377" s="5">
        <f>IF(A377="","",N(INDEX(Projects[Structural Engineering],376)))</f>
        <v/>
      </c>
      <c r="BP377" s="5">
        <f>IF(A377="","",N(INDEX(Projects[Site Sup],376)))</f>
        <v/>
      </c>
      <c r="BQ377" s="5">
        <f>IF(A377="","",N(INDEX(Projects[Controls Commissioning],376)))</f>
        <v/>
      </c>
      <c r="BR377" s="5">
        <f>IF(A377="","",N(INDEX(Projects[Systems Commissioning],376)))</f>
        <v/>
      </c>
      <c r="BS377" s="5">
        <f>IF(A377="","",N(INDEX(Projects[Service Commissioning],376)))</f>
        <v/>
      </c>
      <c r="BT377" s="5">
        <f>IF(A377="","",N(INDEX(Projects[Controls Eng],376)))</f>
        <v/>
      </c>
      <c r="BU377" s="5">
        <f>IF(A377="","",N(INDEX(Projects[Controls Purchase],376)))</f>
        <v/>
      </c>
      <c r="BV377" s="5">
        <f>IF(A377="","",N(INDEX(Projects[Software Eng],376)))</f>
        <v/>
      </c>
      <c r="BW377" s="5">
        <f>IF(A377="","",N(INDEX(Projects[Misc],376)))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IF(A378="","",N(INDEX(Projects[Mech Inst],377)))</f>
        <v/>
      </c>
      <c r="BK378" s="5">
        <f>IF(A378="","",N(INDEX(Projects[Elec Inst],377)))</f>
        <v/>
      </c>
      <c r="BL378" s="5">
        <f>IF(A378="","",N(INDEX(Projects[Project Management],377)))</f>
        <v/>
      </c>
      <c r="BM378" s="5">
        <f>IF(A378="","",N(INDEX(Projects[Systems Eng],377)))</f>
        <v/>
      </c>
      <c r="BN378" s="5">
        <f>IF(A378="","",N(INDEX(Projects[Mechanical Eng],377)))</f>
        <v/>
      </c>
      <c r="BO378" s="5">
        <f>IF(A378="","",N(INDEX(Projects[Structural Engineering],377)))</f>
        <v/>
      </c>
      <c r="BP378" s="5">
        <f>IF(A378="","",N(INDEX(Projects[Site Sup],377)))</f>
        <v/>
      </c>
      <c r="BQ378" s="5">
        <f>IF(A378="","",N(INDEX(Projects[Controls Commissioning],377)))</f>
        <v/>
      </c>
      <c r="BR378" s="5">
        <f>IF(A378="","",N(INDEX(Projects[Systems Commissioning],377)))</f>
        <v/>
      </c>
      <c r="BS378" s="5">
        <f>IF(A378="","",N(INDEX(Projects[Service Commissioning],377)))</f>
        <v/>
      </c>
      <c r="BT378" s="5">
        <f>IF(A378="","",N(INDEX(Projects[Controls Eng],377)))</f>
        <v/>
      </c>
      <c r="BU378" s="5">
        <f>IF(A378="","",N(INDEX(Projects[Controls Purchase],377)))</f>
        <v/>
      </c>
      <c r="BV378" s="5">
        <f>IF(A378="","",N(INDEX(Projects[Software Eng],377)))</f>
        <v/>
      </c>
      <c r="BW378" s="5">
        <f>IF(A378="","",N(INDEX(Projects[Misc],377)))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IF(A379="","",N(INDEX(Projects[Mech Inst],378)))</f>
        <v/>
      </c>
      <c r="BK379" s="5">
        <f>IF(A379="","",N(INDEX(Projects[Elec Inst],378)))</f>
        <v/>
      </c>
      <c r="BL379" s="5">
        <f>IF(A379="","",N(INDEX(Projects[Project Management],378)))</f>
        <v/>
      </c>
      <c r="BM379" s="5">
        <f>IF(A379="","",N(INDEX(Projects[Systems Eng],378)))</f>
        <v/>
      </c>
      <c r="BN379" s="5">
        <f>IF(A379="","",N(INDEX(Projects[Mechanical Eng],378)))</f>
        <v/>
      </c>
      <c r="BO379" s="5">
        <f>IF(A379="","",N(INDEX(Projects[Structural Engineering],378)))</f>
        <v/>
      </c>
      <c r="BP379" s="5">
        <f>IF(A379="","",N(INDEX(Projects[Site Sup],378)))</f>
        <v/>
      </c>
      <c r="BQ379" s="5">
        <f>IF(A379="","",N(INDEX(Projects[Controls Commissioning],378)))</f>
        <v/>
      </c>
      <c r="BR379" s="5">
        <f>IF(A379="","",N(INDEX(Projects[Systems Commissioning],378)))</f>
        <v/>
      </c>
      <c r="BS379" s="5">
        <f>IF(A379="","",N(INDEX(Projects[Service Commissioning],378)))</f>
        <v/>
      </c>
      <c r="BT379" s="5">
        <f>IF(A379="","",N(INDEX(Projects[Controls Eng],378)))</f>
        <v/>
      </c>
      <c r="BU379" s="5">
        <f>IF(A379="","",N(INDEX(Projects[Controls Purchase],378)))</f>
        <v/>
      </c>
      <c r="BV379" s="5">
        <f>IF(A379="","",N(INDEX(Projects[Software Eng],378)))</f>
        <v/>
      </c>
      <c r="BW379" s="5">
        <f>IF(A379="","",N(INDEX(Projects[Misc],378)))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IF(A380="","",N(INDEX(Projects[Mech Inst],379)))</f>
        <v/>
      </c>
      <c r="BK380" s="5">
        <f>IF(A380="","",N(INDEX(Projects[Elec Inst],379)))</f>
        <v/>
      </c>
      <c r="BL380" s="5">
        <f>IF(A380="","",N(INDEX(Projects[Project Management],379)))</f>
        <v/>
      </c>
      <c r="BM380" s="5">
        <f>IF(A380="","",N(INDEX(Projects[Systems Eng],379)))</f>
        <v/>
      </c>
      <c r="BN380" s="5">
        <f>IF(A380="","",N(INDEX(Projects[Mechanical Eng],379)))</f>
        <v/>
      </c>
      <c r="BO380" s="5">
        <f>IF(A380="","",N(INDEX(Projects[Structural Engineering],379)))</f>
        <v/>
      </c>
      <c r="BP380" s="5">
        <f>IF(A380="","",N(INDEX(Projects[Site Sup],379)))</f>
        <v/>
      </c>
      <c r="BQ380" s="5">
        <f>IF(A380="","",N(INDEX(Projects[Controls Commissioning],379)))</f>
        <v/>
      </c>
      <c r="BR380" s="5">
        <f>IF(A380="","",N(INDEX(Projects[Systems Commissioning],379)))</f>
        <v/>
      </c>
      <c r="BS380" s="5">
        <f>IF(A380="","",N(INDEX(Projects[Service Commissioning],379)))</f>
        <v/>
      </c>
      <c r="BT380" s="5">
        <f>IF(A380="","",N(INDEX(Projects[Controls Eng],379)))</f>
        <v/>
      </c>
      <c r="BU380" s="5">
        <f>IF(A380="","",N(INDEX(Projects[Controls Purchase],379)))</f>
        <v/>
      </c>
      <c r="BV380" s="5">
        <f>IF(A380="","",N(INDEX(Projects[Software Eng],379)))</f>
        <v/>
      </c>
      <c r="BW380" s="5">
        <f>IF(A380="","",N(INDEX(Projects[Misc],379)))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IF(A381="","",N(INDEX(Projects[Mech Inst],380)))</f>
        <v/>
      </c>
      <c r="BK381" s="5">
        <f>IF(A381="","",N(INDEX(Projects[Elec Inst],380)))</f>
        <v/>
      </c>
      <c r="BL381" s="5">
        <f>IF(A381="","",N(INDEX(Projects[Project Management],380)))</f>
        <v/>
      </c>
      <c r="BM381" s="5">
        <f>IF(A381="","",N(INDEX(Projects[Systems Eng],380)))</f>
        <v/>
      </c>
      <c r="BN381" s="5">
        <f>IF(A381="","",N(INDEX(Projects[Mechanical Eng],380)))</f>
        <v/>
      </c>
      <c r="BO381" s="5">
        <f>IF(A381="","",N(INDEX(Projects[Structural Engineering],380)))</f>
        <v/>
      </c>
      <c r="BP381" s="5">
        <f>IF(A381="","",N(INDEX(Projects[Site Sup],380)))</f>
        <v/>
      </c>
      <c r="BQ381" s="5">
        <f>IF(A381="","",N(INDEX(Projects[Controls Commissioning],380)))</f>
        <v/>
      </c>
      <c r="BR381" s="5">
        <f>IF(A381="","",N(INDEX(Projects[Systems Commissioning],380)))</f>
        <v/>
      </c>
      <c r="BS381" s="5">
        <f>IF(A381="","",N(INDEX(Projects[Service Commissioning],380)))</f>
        <v/>
      </c>
      <c r="BT381" s="5">
        <f>IF(A381="","",N(INDEX(Projects[Controls Eng],380)))</f>
        <v/>
      </c>
      <c r="BU381" s="5">
        <f>IF(A381="","",N(INDEX(Projects[Controls Purchase],380)))</f>
        <v/>
      </c>
      <c r="BV381" s="5">
        <f>IF(A381="","",N(INDEX(Projects[Software Eng],380)))</f>
        <v/>
      </c>
      <c r="BW381" s="5">
        <f>IF(A381="","",N(INDEX(Projects[Misc],380)))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IF(A382="","",N(INDEX(Projects[Mech Inst],381)))</f>
        <v/>
      </c>
      <c r="BK382" s="5">
        <f>IF(A382="","",N(INDEX(Projects[Elec Inst],381)))</f>
        <v/>
      </c>
      <c r="BL382" s="5">
        <f>IF(A382="","",N(INDEX(Projects[Project Management],381)))</f>
        <v/>
      </c>
      <c r="BM382" s="5">
        <f>IF(A382="","",N(INDEX(Projects[Systems Eng],381)))</f>
        <v/>
      </c>
      <c r="BN382" s="5">
        <f>IF(A382="","",N(INDEX(Projects[Mechanical Eng],381)))</f>
        <v/>
      </c>
      <c r="BO382" s="5">
        <f>IF(A382="","",N(INDEX(Projects[Structural Engineering],381)))</f>
        <v/>
      </c>
      <c r="BP382" s="5">
        <f>IF(A382="","",N(INDEX(Projects[Site Sup],381)))</f>
        <v/>
      </c>
      <c r="BQ382" s="5">
        <f>IF(A382="","",N(INDEX(Projects[Controls Commissioning],381)))</f>
        <v/>
      </c>
      <c r="BR382" s="5">
        <f>IF(A382="","",N(INDEX(Projects[Systems Commissioning],381)))</f>
        <v/>
      </c>
      <c r="BS382" s="5">
        <f>IF(A382="","",N(INDEX(Projects[Service Commissioning],381)))</f>
        <v/>
      </c>
      <c r="BT382" s="5">
        <f>IF(A382="","",N(INDEX(Projects[Controls Eng],381)))</f>
        <v/>
      </c>
      <c r="BU382" s="5">
        <f>IF(A382="","",N(INDEX(Projects[Controls Purchase],381)))</f>
        <v/>
      </c>
      <c r="BV382" s="5">
        <f>IF(A382="","",N(INDEX(Projects[Software Eng],381)))</f>
        <v/>
      </c>
      <c r="BW382" s="5">
        <f>IF(A382="","",N(INDEX(Projects[Misc],381)))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IF(A383="","",N(INDEX(Projects[Mech Inst],382)))</f>
        <v/>
      </c>
      <c r="BK383" s="5">
        <f>IF(A383="","",N(INDEX(Projects[Elec Inst],382)))</f>
        <v/>
      </c>
      <c r="BL383" s="5">
        <f>IF(A383="","",N(INDEX(Projects[Project Management],382)))</f>
        <v/>
      </c>
      <c r="BM383" s="5">
        <f>IF(A383="","",N(INDEX(Projects[Systems Eng],382)))</f>
        <v/>
      </c>
      <c r="BN383" s="5">
        <f>IF(A383="","",N(INDEX(Projects[Mechanical Eng],382)))</f>
        <v/>
      </c>
      <c r="BO383" s="5">
        <f>IF(A383="","",N(INDEX(Projects[Structural Engineering],382)))</f>
        <v/>
      </c>
      <c r="BP383" s="5">
        <f>IF(A383="","",N(INDEX(Projects[Site Sup],382)))</f>
        <v/>
      </c>
      <c r="BQ383" s="5">
        <f>IF(A383="","",N(INDEX(Projects[Controls Commissioning],382)))</f>
        <v/>
      </c>
      <c r="BR383" s="5">
        <f>IF(A383="","",N(INDEX(Projects[Systems Commissioning],382)))</f>
        <v/>
      </c>
      <c r="BS383" s="5">
        <f>IF(A383="","",N(INDEX(Projects[Service Commissioning],382)))</f>
        <v/>
      </c>
      <c r="BT383" s="5">
        <f>IF(A383="","",N(INDEX(Projects[Controls Eng],382)))</f>
        <v/>
      </c>
      <c r="BU383" s="5">
        <f>IF(A383="","",N(INDEX(Projects[Controls Purchase],382)))</f>
        <v/>
      </c>
      <c r="BV383" s="5">
        <f>IF(A383="","",N(INDEX(Projects[Software Eng],382)))</f>
        <v/>
      </c>
      <c r="BW383" s="5">
        <f>IF(A383="","",N(INDEX(Projects[Misc],382)))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IF(A384="","",N(INDEX(Projects[Mech Inst],383)))</f>
        <v/>
      </c>
      <c r="BK384" s="5">
        <f>IF(A384="","",N(INDEX(Projects[Elec Inst],383)))</f>
        <v/>
      </c>
      <c r="BL384" s="5">
        <f>IF(A384="","",N(INDEX(Projects[Project Management],383)))</f>
        <v/>
      </c>
      <c r="BM384" s="5">
        <f>IF(A384="","",N(INDEX(Projects[Systems Eng],383)))</f>
        <v/>
      </c>
      <c r="BN384" s="5">
        <f>IF(A384="","",N(INDEX(Projects[Mechanical Eng],383)))</f>
        <v/>
      </c>
      <c r="BO384" s="5">
        <f>IF(A384="","",N(INDEX(Projects[Structural Engineering],383)))</f>
        <v/>
      </c>
      <c r="BP384" s="5">
        <f>IF(A384="","",N(INDEX(Projects[Site Sup],383)))</f>
        <v/>
      </c>
      <c r="BQ384" s="5">
        <f>IF(A384="","",N(INDEX(Projects[Controls Commissioning],383)))</f>
        <v/>
      </c>
      <c r="BR384" s="5">
        <f>IF(A384="","",N(INDEX(Projects[Systems Commissioning],383)))</f>
        <v/>
      </c>
      <c r="BS384" s="5">
        <f>IF(A384="","",N(INDEX(Projects[Service Commissioning],383)))</f>
        <v/>
      </c>
      <c r="BT384" s="5">
        <f>IF(A384="","",N(INDEX(Projects[Controls Eng],383)))</f>
        <v/>
      </c>
      <c r="BU384" s="5">
        <f>IF(A384="","",N(INDEX(Projects[Controls Purchase],383)))</f>
        <v/>
      </c>
      <c r="BV384" s="5">
        <f>IF(A384="","",N(INDEX(Projects[Software Eng],383)))</f>
        <v/>
      </c>
      <c r="BW384" s="5">
        <f>IF(A384="","",N(INDEX(Projects[Misc],383)))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IF(A385="","",N(INDEX(Projects[Mech Inst],384)))</f>
        <v/>
      </c>
      <c r="BK385" s="5">
        <f>IF(A385="","",N(INDEX(Projects[Elec Inst],384)))</f>
        <v/>
      </c>
      <c r="BL385" s="5">
        <f>IF(A385="","",N(INDEX(Projects[Project Management],384)))</f>
        <v/>
      </c>
      <c r="BM385" s="5">
        <f>IF(A385="","",N(INDEX(Projects[Systems Eng],384)))</f>
        <v/>
      </c>
      <c r="BN385" s="5">
        <f>IF(A385="","",N(INDEX(Projects[Mechanical Eng],384)))</f>
        <v/>
      </c>
      <c r="BO385" s="5">
        <f>IF(A385="","",N(INDEX(Projects[Structural Engineering],384)))</f>
        <v/>
      </c>
      <c r="BP385" s="5">
        <f>IF(A385="","",N(INDEX(Projects[Site Sup],384)))</f>
        <v/>
      </c>
      <c r="BQ385" s="5">
        <f>IF(A385="","",N(INDEX(Projects[Controls Commissioning],384)))</f>
        <v/>
      </c>
      <c r="BR385" s="5">
        <f>IF(A385="","",N(INDEX(Projects[Systems Commissioning],384)))</f>
        <v/>
      </c>
      <c r="BS385" s="5">
        <f>IF(A385="","",N(INDEX(Projects[Service Commissioning],384)))</f>
        <v/>
      </c>
      <c r="BT385" s="5">
        <f>IF(A385="","",N(INDEX(Projects[Controls Eng],384)))</f>
        <v/>
      </c>
      <c r="BU385" s="5">
        <f>IF(A385="","",N(INDEX(Projects[Controls Purchase],384)))</f>
        <v/>
      </c>
      <c r="BV385" s="5">
        <f>IF(A385="","",N(INDEX(Projects[Software Eng],384)))</f>
        <v/>
      </c>
      <c r="BW385" s="5">
        <f>IF(A385="","",N(INDEX(Projects[Misc],384)))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IF(A386="","",N(INDEX(Projects[Mech Inst],385)))</f>
        <v/>
      </c>
      <c r="BK386" s="5">
        <f>IF(A386="","",N(INDEX(Projects[Elec Inst],385)))</f>
        <v/>
      </c>
      <c r="BL386" s="5">
        <f>IF(A386="","",N(INDEX(Projects[Project Management],385)))</f>
        <v/>
      </c>
      <c r="BM386" s="5">
        <f>IF(A386="","",N(INDEX(Projects[Systems Eng],385)))</f>
        <v/>
      </c>
      <c r="BN386" s="5">
        <f>IF(A386="","",N(INDEX(Projects[Mechanical Eng],385)))</f>
        <v/>
      </c>
      <c r="BO386" s="5">
        <f>IF(A386="","",N(INDEX(Projects[Structural Engineering],385)))</f>
        <v/>
      </c>
      <c r="BP386" s="5">
        <f>IF(A386="","",N(INDEX(Projects[Site Sup],385)))</f>
        <v/>
      </c>
      <c r="BQ386" s="5">
        <f>IF(A386="","",N(INDEX(Projects[Controls Commissioning],385)))</f>
        <v/>
      </c>
      <c r="BR386" s="5">
        <f>IF(A386="","",N(INDEX(Projects[Systems Commissioning],385)))</f>
        <v/>
      </c>
      <c r="BS386" s="5">
        <f>IF(A386="","",N(INDEX(Projects[Service Commissioning],385)))</f>
        <v/>
      </c>
      <c r="BT386" s="5">
        <f>IF(A386="","",N(INDEX(Projects[Controls Eng],385)))</f>
        <v/>
      </c>
      <c r="BU386" s="5">
        <f>IF(A386="","",N(INDEX(Projects[Controls Purchase],385)))</f>
        <v/>
      </c>
      <c r="BV386" s="5">
        <f>IF(A386="","",N(INDEX(Projects[Software Eng],385)))</f>
        <v/>
      </c>
      <c r="BW386" s="5">
        <f>IF(A386="","",N(INDEX(Projects[Misc],385)))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IF(A387="","",N(INDEX(Projects[Mech Inst],386)))</f>
        <v/>
      </c>
      <c r="BK387" s="5">
        <f>IF(A387="","",N(INDEX(Projects[Elec Inst],386)))</f>
        <v/>
      </c>
      <c r="BL387" s="5">
        <f>IF(A387="","",N(INDEX(Projects[Project Management],386)))</f>
        <v/>
      </c>
      <c r="BM387" s="5">
        <f>IF(A387="","",N(INDEX(Projects[Systems Eng],386)))</f>
        <v/>
      </c>
      <c r="BN387" s="5">
        <f>IF(A387="","",N(INDEX(Projects[Mechanical Eng],386)))</f>
        <v/>
      </c>
      <c r="BO387" s="5">
        <f>IF(A387="","",N(INDEX(Projects[Structural Engineering],386)))</f>
        <v/>
      </c>
      <c r="BP387" s="5">
        <f>IF(A387="","",N(INDEX(Projects[Site Sup],386)))</f>
        <v/>
      </c>
      <c r="BQ387" s="5">
        <f>IF(A387="","",N(INDEX(Projects[Controls Commissioning],386)))</f>
        <v/>
      </c>
      <c r="BR387" s="5">
        <f>IF(A387="","",N(INDEX(Projects[Systems Commissioning],386)))</f>
        <v/>
      </c>
      <c r="BS387" s="5">
        <f>IF(A387="","",N(INDEX(Projects[Service Commissioning],386)))</f>
        <v/>
      </c>
      <c r="BT387" s="5">
        <f>IF(A387="","",N(INDEX(Projects[Controls Eng],386)))</f>
        <v/>
      </c>
      <c r="BU387" s="5">
        <f>IF(A387="","",N(INDEX(Projects[Controls Purchase],386)))</f>
        <v/>
      </c>
      <c r="BV387" s="5">
        <f>IF(A387="","",N(INDEX(Projects[Software Eng],386)))</f>
        <v/>
      </c>
      <c r="BW387" s="5">
        <f>IF(A387="","",N(INDEX(Projects[Misc],386)))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IF(A388="","",N(INDEX(Projects[Mech Inst],387)))</f>
        <v/>
      </c>
      <c r="BK388" s="5">
        <f>IF(A388="","",N(INDEX(Projects[Elec Inst],387)))</f>
        <v/>
      </c>
      <c r="BL388" s="5">
        <f>IF(A388="","",N(INDEX(Projects[Project Management],387)))</f>
        <v/>
      </c>
      <c r="BM388" s="5">
        <f>IF(A388="","",N(INDEX(Projects[Systems Eng],387)))</f>
        <v/>
      </c>
      <c r="BN388" s="5">
        <f>IF(A388="","",N(INDEX(Projects[Mechanical Eng],387)))</f>
        <v/>
      </c>
      <c r="BO388" s="5">
        <f>IF(A388="","",N(INDEX(Projects[Structural Engineering],387)))</f>
        <v/>
      </c>
      <c r="BP388" s="5">
        <f>IF(A388="","",N(INDEX(Projects[Site Sup],387)))</f>
        <v/>
      </c>
      <c r="BQ388" s="5">
        <f>IF(A388="","",N(INDEX(Projects[Controls Commissioning],387)))</f>
        <v/>
      </c>
      <c r="BR388" s="5">
        <f>IF(A388="","",N(INDEX(Projects[Systems Commissioning],387)))</f>
        <v/>
      </c>
      <c r="BS388" s="5">
        <f>IF(A388="","",N(INDEX(Projects[Service Commissioning],387)))</f>
        <v/>
      </c>
      <c r="BT388" s="5">
        <f>IF(A388="","",N(INDEX(Projects[Controls Eng],387)))</f>
        <v/>
      </c>
      <c r="BU388" s="5">
        <f>IF(A388="","",N(INDEX(Projects[Controls Purchase],387)))</f>
        <v/>
      </c>
      <c r="BV388" s="5">
        <f>IF(A388="","",N(INDEX(Projects[Software Eng],387)))</f>
        <v/>
      </c>
      <c r="BW388" s="5">
        <f>IF(A388="","",N(INDEX(Projects[Misc],387)))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IF(A389="","",N(INDEX(Projects[Mech Inst],388)))</f>
        <v/>
      </c>
      <c r="BK389" s="5">
        <f>IF(A389="","",N(INDEX(Projects[Elec Inst],388)))</f>
        <v/>
      </c>
      <c r="BL389" s="5">
        <f>IF(A389="","",N(INDEX(Projects[Project Management],388)))</f>
        <v/>
      </c>
      <c r="BM389" s="5">
        <f>IF(A389="","",N(INDEX(Projects[Systems Eng],388)))</f>
        <v/>
      </c>
      <c r="BN389" s="5">
        <f>IF(A389="","",N(INDEX(Projects[Mechanical Eng],388)))</f>
        <v/>
      </c>
      <c r="BO389" s="5">
        <f>IF(A389="","",N(INDEX(Projects[Structural Engineering],388)))</f>
        <v/>
      </c>
      <c r="BP389" s="5">
        <f>IF(A389="","",N(INDEX(Projects[Site Sup],388)))</f>
        <v/>
      </c>
      <c r="BQ389" s="5">
        <f>IF(A389="","",N(INDEX(Projects[Controls Commissioning],388)))</f>
        <v/>
      </c>
      <c r="BR389" s="5">
        <f>IF(A389="","",N(INDEX(Projects[Systems Commissioning],388)))</f>
        <v/>
      </c>
      <c r="BS389" s="5">
        <f>IF(A389="","",N(INDEX(Projects[Service Commissioning],388)))</f>
        <v/>
      </c>
      <c r="BT389" s="5">
        <f>IF(A389="","",N(INDEX(Projects[Controls Eng],388)))</f>
        <v/>
      </c>
      <c r="BU389" s="5">
        <f>IF(A389="","",N(INDEX(Projects[Controls Purchase],388)))</f>
        <v/>
      </c>
      <c r="BV389" s="5">
        <f>IF(A389="","",N(INDEX(Projects[Software Eng],388)))</f>
        <v/>
      </c>
      <c r="BW389" s="5">
        <f>IF(A389="","",N(INDEX(Projects[Misc],388)))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IF(A390="","",N(INDEX(Projects[Mech Inst],389)))</f>
        <v/>
      </c>
      <c r="BK390" s="5">
        <f>IF(A390="","",N(INDEX(Projects[Elec Inst],389)))</f>
        <v/>
      </c>
      <c r="BL390" s="5">
        <f>IF(A390="","",N(INDEX(Projects[Project Management],389)))</f>
        <v/>
      </c>
      <c r="BM390" s="5">
        <f>IF(A390="","",N(INDEX(Projects[Systems Eng],389)))</f>
        <v/>
      </c>
      <c r="BN390" s="5">
        <f>IF(A390="","",N(INDEX(Projects[Mechanical Eng],389)))</f>
        <v/>
      </c>
      <c r="BO390" s="5">
        <f>IF(A390="","",N(INDEX(Projects[Structural Engineering],389)))</f>
        <v/>
      </c>
      <c r="BP390" s="5">
        <f>IF(A390="","",N(INDEX(Projects[Site Sup],389)))</f>
        <v/>
      </c>
      <c r="BQ390" s="5">
        <f>IF(A390="","",N(INDEX(Projects[Controls Commissioning],389)))</f>
        <v/>
      </c>
      <c r="BR390" s="5">
        <f>IF(A390="","",N(INDEX(Projects[Systems Commissioning],389)))</f>
        <v/>
      </c>
      <c r="BS390" s="5">
        <f>IF(A390="","",N(INDEX(Projects[Service Commissioning],389)))</f>
        <v/>
      </c>
      <c r="BT390" s="5">
        <f>IF(A390="","",N(INDEX(Projects[Controls Eng],389)))</f>
        <v/>
      </c>
      <c r="BU390" s="5">
        <f>IF(A390="","",N(INDEX(Projects[Controls Purchase],389)))</f>
        <v/>
      </c>
      <c r="BV390" s="5">
        <f>IF(A390="","",N(INDEX(Projects[Software Eng],389)))</f>
        <v/>
      </c>
      <c r="BW390" s="5">
        <f>IF(A390="","",N(INDEX(Projects[Misc],389)))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IF(A391="","",N(INDEX(Projects[Mech Inst],390)))</f>
        <v/>
      </c>
      <c r="BK391" s="5">
        <f>IF(A391="","",N(INDEX(Projects[Elec Inst],390)))</f>
        <v/>
      </c>
      <c r="BL391" s="5">
        <f>IF(A391="","",N(INDEX(Projects[Project Management],390)))</f>
        <v/>
      </c>
      <c r="BM391" s="5">
        <f>IF(A391="","",N(INDEX(Projects[Systems Eng],390)))</f>
        <v/>
      </c>
      <c r="BN391" s="5">
        <f>IF(A391="","",N(INDEX(Projects[Mechanical Eng],390)))</f>
        <v/>
      </c>
      <c r="BO391" s="5">
        <f>IF(A391="","",N(INDEX(Projects[Structural Engineering],390)))</f>
        <v/>
      </c>
      <c r="BP391" s="5">
        <f>IF(A391="","",N(INDEX(Projects[Site Sup],390)))</f>
        <v/>
      </c>
      <c r="BQ391" s="5">
        <f>IF(A391="","",N(INDEX(Projects[Controls Commissioning],390)))</f>
        <v/>
      </c>
      <c r="BR391" s="5">
        <f>IF(A391="","",N(INDEX(Projects[Systems Commissioning],390)))</f>
        <v/>
      </c>
      <c r="BS391" s="5">
        <f>IF(A391="","",N(INDEX(Projects[Service Commissioning],390)))</f>
        <v/>
      </c>
      <c r="BT391" s="5">
        <f>IF(A391="","",N(INDEX(Projects[Controls Eng],390)))</f>
        <v/>
      </c>
      <c r="BU391" s="5">
        <f>IF(A391="","",N(INDEX(Projects[Controls Purchase],390)))</f>
        <v/>
      </c>
      <c r="BV391" s="5">
        <f>IF(A391="","",N(INDEX(Projects[Software Eng],390)))</f>
        <v/>
      </c>
      <c r="BW391" s="5">
        <f>IF(A391="","",N(INDEX(Projects[Misc],390)))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IF(A392="","",N(INDEX(Projects[Mech Inst],391)))</f>
        <v/>
      </c>
      <c r="BK392" s="5">
        <f>IF(A392="","",N(INDEX(Projects[Elec Inst],391)))</f>
        <v/>
      </c>
      <c r="BL392" s="5">
        <f>IF(A392="","",N(INDEX(Projects[Project Management],391)))</f>
        <v/>
      </c>
      <c r="BM392" s="5">
        <f>IF(A392="","",N(INDEX(Projects[Systems Eng],391)))</f>
        <v/>
      </c>
      <c r="BN392" s="5">
        <f>IF(A392="","",N(INDEX(Projects[Mechanical Eng],391)))</f>
        <v/>
      </c>
      <c r="BO392" s="5">
        <f>IF(A392="","",N(INDEX(Projects[Structural Engineering],391)))</f>
        <v/>
      </c>
      <c r="BP392" s="5">
        <f>IF(A392="","",N(INDEX(Projects[Site Sup],391)))</f>
        <v/>
      </c>
      <c r="BQ392" s="5">
        <f>IF(A392="","",N(INDEX(Projects[Controls Commissioning],391)))</f>
        <v/>
      </c>
      <c r="BR392" s="5">
        <f>IF(A392="","",N(INDEX(Projects[Systems Commissioning],391)))</f>
        <v/>
      </c>
      <c r="BS392" s="5">
        <f>IF(A392="","",N(INDEX(Projects[Service Commissioning],391)))</f>
        <v/>
      </c>
      <c r="BT392" s="5">
        <f>IF(A392="","",N(INDEX(Projects[Controls Eng],391)))</f>
        <v/>
      </c>
      <c r="BU392" s="5">
        <f>IF(A392="","",N(INDEX(Projects[Controls Purchase],391)))</f>
        <v/>
      </c>
      <c r="BV392" s="5">
        <f>IF(A392="","",N(INDEX(Projects[Software Eng],391)))</f>
        <v/>
      </c>
      <c r="BW392" s="5">
        <f>IF(A392="","",N(INDEX(Projects[Misc],391)))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IF(A393="","",N(INDEX(Projects[Mech Inst],392)))</f>
        <v/>
      </c>
      <c r="BK393" s="5">
        <f>IF(A393="","",N(INDEX(Projects[Elec Inst],392)))</f>
        <v/>
      </c>
      <c r="BL393" s="5">
        <f>IF(A393="","",N(INDEX(Projects[Project Management],392)))</f>
        <v/>
      </c>
      <c r="BM393" s="5">
        <f>IF(A393="","",N(INDEX(Projects[Systems Eng],392)))</f>
        <v/>
      </c>
      <c r="BN393" s="5">
        <f>IF(A393="","",N(INDEX(Projects[Mechanical Eng],392)))</f>
        <v/>
      </c>
      <c r="BO393" s="5">
        <f>IF(A393="","",N(INDEX(Projects[Structural Engineering],392)))</f>
        <v/>
      </c>
      <c r="BP393" s="5">
        <f>IF(A393="","",N(INDEX(Projects[Site Sup],392)))</f>
        <v/>
      </c>
      <c r="BQ393" s="5">
        <f>IF(A393="","",N(INDEX(Projects[Controls Commissioning],392)))</f>
        <v/>
      </c>
      <c r="BR393" s="5">
        <f>IF(A393="","",N(INDEX(Projects[Systems Commissioning],392)))</f>
        <v/>
      </c>
      <c r="BS393" s="5">
        <f>IF(A393="","",N(INDEX(Projects[Service Commissioning],392)))</f>
        <v/>
      </c>
      <c r="BT393" s="5">
        <f>IF(A393="","",N(INDEX(Projects[Controls Eng],392)))</f>
        <v/>
      </c>
      <c r="BU393" s="5">
        <f>IF(A393="","",N(INDEX(Projects[Controls Purchase],392)))</f>
        <v/>
      </c>
      <c r="BV393" s="5">
        <f>IF(A393="","",N(INDEX(Projects[Software Eng],392)))</f>
        <v/>
      </c>
      <c r="BW393" s="5">
        <f>IF(A393="","",N(INDEX(Projects[Misc],392)))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IF(A394="","",N(INDEX(Projects[Mech Inst],393)))</f>
        <v/>
      </c>
      <c r="BK394" s="5">
        <f>IF(A394="","",N(INDEX(Projects[Elec Inst],393)))</f>
        <v/>
      </c>
      <c r="BL394" s="5">
        <f>IF(A394="","",N(INDEX(Projects[Project Management],393)))</f>
        <v/>
      </c>
      <c r="BM394" s="5">
        <f>IF(A394="","",N(INDEX(Projects[Systems Eng],393)))</f>
        <v/>
      </c>
      <c r="BN394" s="5">
        <f>IF(A394="","",N(INDEX(Projects[Mechanical Eng],393)))</f>
        <v/>
      </c>
      <c r="BO394" s="5">
        <f>IF(A394="","",N(INDEX(Projects[Structural Engineering],393)))</f>
        <v/>
      </c>
      <c r="BP394" s="5">
        <f>IF(A394="","",N(INDEX(Projects[Site Sup],393)))</f>
        <v/>
      </c>
      <c r="BQ394" s="5">
        <f>IF(A394="","",N(INDEX(Projects[Controls Commissioning],393)))</f>
        <v/>
      </c>
      <c r="BR394" s="5">
        <f>IF(A394="","",N(INDEX(Projects[Systems Commissioning],393)))</f>
        <v/>
      </c>
      <c r="BS394" s="5">
        <f>IF(A394="","",N(INDEX(Projects[Service Commissioning],393)))</f>
        <v/>
      </c>
      <c r="BT394" s="5">
        <f>IF(A394="","",N(INDEX(Projects[Controls Eng],393)))</f>
        <v/>
      </c>
      <c r="BU394" s="5">
        <f>IF(A394="","",N(INDEX(Projects[Controls Purchase],393)))</f>
        <v/>
      </c>
      <c r="BV394" s="5">
        <f>IF(A394="","",N(INDEX(Projects[Software Eng],393)))</f>
        <v/>
      </c>
      <c r="BW394" s="5">
        <f>IF(A394="","",N(INDEX(Projects[Misc],393)))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IF(A395="","",N(INDEX(Projects[Mech Inst],394)))</f>
        <v/>
      </c>
      <c r="BK395" s="5">
        <f>IF(A395="","",N(INDEX(Projects[Elec Inst],394)))</f>
        <v/>
      </c>
      <c r="BL395" s="5">
        <f>IF(A395="","",N(INDEX(Projects[Project Management],394)))</f>
        <v/>
      </c>
      <c r="BM395" s="5">
        <f>IF(A395="","",N(INDEX(Projects[Systems Eng],394)))</f>
        <v/>
      </c>
      <c r="BN395" s="5">
        <f>IF(A395="","",N(INDEX(Projects[Mechanical Eng],394)))</f>
        <v/>
      </c>
      <c r="BO395" s="5">
        <f>IF(A395="","",N(INDEX(Projects[Structural Engineering],394)))</f>
        <v/>
      </c>
      <c r="BP395" s="5">
        <f>IF(A395="","",N(INDEX(Projects[Site Sup],394)))</f>
        <v/>
      </c>
      <c r="BQ395" s="5">
        <f>IF(A395="","",N(INDEX(Projects[Controls Commissioning],394)))</f>
        <v/>
      </c>
      <c r="BR395" s="5">
        <f>IF(A395="","",N(INDEX(Projects[Systems Commissioning],394)))</f>
        <v/>
      </c>
      <c r="BS395" s="5">
        <f>IF(A395="","",N(INDEX(Projects[Service Commissioning],394)))</f>
        <v/>
      </c>
      <c r="BT395" s="5">
        <f>IF(A395="","",N(INDEX(Projects[Controls Eng],394)))</f>
        <v/>
      </c>
      <c r="BU395" s="5">
        <f>IF(A395="","",N(INDEX(Projects[Controls Purchase],394)))</f>
        <v/>
      </c>
      <c r="BV395" s="5">
        <f>IF(A395="","",N(INDEX(Projects[Software Eng],394)))</f>
        <v/>
      </c>
      <c r="BW395" s="5">
        <f>IF(A395="","",N(INDEX(Projects[Misc],394)))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IF(A396="","",N(INDEX(Projects[Mech Inst],395)))</f>
        <v/>
      </c>
      <c r="BK396" s="5">
        <f>IF(A396="","",N(INDEX(Projects[Elec Inst],395)))</f>
        <v/>
      </c>
      <c r="BL396" s="5">
        <f>IF(A396="","",N(INDEX(Projects[Project Management],395)))</f>
        <v/>
      </c>
      <c r="BM396" s="5">
        <f>IF(A396="","",N(INDEX(Projects[Systems Eng],395)))</f>
        <v/>
      </c>
      <c r="BN396" s="5">
        <f>IF(A396="","",N(INDEX(Projects[Mechanical Eng],395)))</f>
        <v/>
      </c>
      <c r="BO396" s="5">
        <f>IF(A396="","",N(INDEX(Projects[Structural Engineering],395)))</f>
        <v/>
      </c>
      <c r="BP396" s="5">
        <f>IF(A396="","",N(INDEX(Projects[Site Sup],395)))</f>
        <v/>
      </c>
      <c r="BQ396" s="5">
        <f>IF(A396="","",N(INDEX(Projects[Controls Commissioning],395)))</f>
        <v/>
      </c>
      <c r="BR396" s="5">
        <f>IF(A396="","",N(INDEX(Projects[Systems Commissioning],395)))</f>
        <v/>
      </c>
      <c r="BS396" s="5">
        <f>IF(A396="","",N(INDEX(Projects[Service Commissioning],395)))</f>
        <v/>
      </c>
      <c r="BT396" s="5">
        <f>IF(A396="","",N(INDEX(Projects[Controls Eng],395)))</f>
        <v/>
      </c>
      <c r="BU396" s="5">
        <f>IF(A396="","",N(INDEX(Projects[Controls Purchase],395)))</f>
        <v/>
      </c>
      <c r="BV396" s="5">
        <f>IF(A396="","",N(INDEX(Projects[Software Eng],395)))</f>
        <v/>
      </c>
      <c r="BW396" s="5">
        <f>IF(A396="","",N(INDEX(Projects[Misc],395)))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IF(A397="","",N(INDEX(Projects[Mech Inst],396)))</f>
        <v/>
      </c>
      <c r="BK397" s="5">
        <f>IF(A397="","",N(INDEX(Projects[Elec Inst],396)))</f>
        <v/>
      </c>
      <c r="BL397" s="5">
        <f>IF(A397="","",N(INDEX(Projects[Project Management],396)))</f>
        <v/>
      </c>
      <c r="BM397" s="5">
        <f>IF(A397="","",N(INDEX(Projects[Systems Eng],396)))</f>
        <v/>
      </c>
      <c r="BN397" s="5">
        <f>IF(A397="","",N(INDEX(Projects[Mechanical Eng],396)))</f>
        <v/>
      </c>
      <c r="BO397" s="5">
        <f>IF(A397="","",N(INDEX(Projects[Structural Engineering],396)))</f>
        <v/>
      </c>
      <c r="BP397" s="5">
        <f>IF(A397="","",N(INDEX(Projects[Site Sup],396)))</f>
        <v/>
      </c>
      <c r="BQ397" s="5">
        <f>IF(A397="","",N(INDEX(Projects[Controls Commissioning],396)))</f>
        <v/>
      </c>
      <c r="BR397" s="5">
        <f>IF(A397="","",N(INDEX(Projects[Systems Commissioning],396)))</f>
        <v/>
      </c>
      <c r="BS397" s="5">
        <f>IF(A397="","",N(INDEX(Projects[Service Commissioning],396)))</f>
        <v/>
      </c>
      <c r="BT397" s="5">
        <f>IF(A397="","",N(INDEX(Projects[Controls Eng],396)))</f>
        <v/>
      </c>
      <c r="BU397" s="5">
        <f>IF(A397="","",N(INDEX(Projects[Controls Purchase],396)))</f>
        <v/>
      </c>
      <c r="BV397" s="5">
        <f>IF(A397="","",N(INDEX(Projects[Software Eng],396)))</f>
        <v/>
      </c>
      <c r="BW397" s="5">
        <f>IF(A397="","",N(INDEX(Projects[Misc],396)))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IF(A398="","",N(INDEX(Projects[Mech Inst],397)))</f>
        <v/>
      </c>
      <c r="BK398" s="5">
        <f>IF(A398="","",N(INDEX(Projects[Elec Inst],397)))</f>
        <v/>
      </c>
      <c r="BL398" s="5">
        <f>IF(A398="","",N(INDEX(Projects[Project Management],397)))</f>
        <v/>
      </c>
      <c r="BM398" s="5">
        <f>IF(A398="","",N(INDEX(Projects[Systems Eng],397)))</f>
        <v/>
      </c>
      <c r="BN398" s="5">
        <f>IF(A398="","",N(INDEX(Projects[Mechanical Eng],397)))</f>
        <v/>
      </c>
      <c r="BO398" s="5">
        <f>IF(A398="","",N(INDEX(Projects[Structural Engineering],397)))</f>
        <v/>
      </c>
      <c r="BP398" s="5">
        <f>IF(A398="","",N(INDEX(Projects[Site Sup],397)))</f>
        <v/>
      </c>
      <c r="BQ398" s="5">
        <f>IF(A398="","",N(INDEX(Projects[Controls Commissioning],397)))</f>
        <v/>
      </c>
      <c r="BR398" s="5">
        <f>IF(A398="","",N(INDEX(Projects[Systems Commissioning],397)))</f>
        <v/>
      </c>
      <c r="BS398" s="5">
        <f>IF(A398="","",N(INDEX(Projects[Service Commissioning],397)))</f>
        <v/>
      </c>
      <c r="BT398" s="5">
        <f>IF(A398="","",N(INDEX(Projects[Controls Eng],397)))</f>
        <v/>
      </c>
      <c r="BU398" s="5">
        <f>IF(A398="","",N(INDEX(Projects[Controls Purchase],397)))</f>
        <v/>
      </c>
      <c r="BV398" s="5">
        <f>IF(A398="","",N(INDEX(Projects[Software Eng],397)))</f>
        <v/>
      </c>
      <c r="BW398" s="5">
        <f>IF(A398="","",N(INDEX(Projects[Misc],397)))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IF(A399="","",N(INDEX(Projects[Mech Inst],398)))</f>
        <v/>
      </c>
      <c r="BK399" s="5">
        <f>IF(A399="","",N(INDEX(Projects[Elec Inst],398)))</f>
        <v/>
      </c>
      <c r="BL399" s="5">
        <f>IF(A399="","",N(INDEX(Projects[Project Management],398)))</f>
        <v/>
      </c>
      <c r="BM399" s="5">
        <f>IF(A399="","",N(INDEX(Projects[Systems Eng],398)))</f>
        <v/>
      </c>
      <c r="BN399" s="5">
        <f>IF(A399="","",N(INDEX(Projects[Mechanical Eng],398)))</f>
        <v/>
      </c>
      <c r="BO399" s="5">
        <f>IF(A399="","",N(INDEX(Projects[Structural Engineering],398)))</f>
        <v/>
      </c>
      <c r="BP399" s="5">
        <f>IF(A399="","",N(INDEX(Projects[Site Sup],398)))</f>
        <v/>
      </c>
      <c r="BQ399" s="5">
        <f>IF(A399="","",N(INDEX(Projects[Controls Commissioning],398)))</f>
        <v/>
      </c>
      <c r="BR399" s="5">
        <f>IF(A399="","",N(INDEX(Projects[Systems Commissioning],398)))</f>
        <v/>
      </c>
      <c r="BS399" s="5">
        <f>IF(A399="","",N(INDEX(Projects[Service Commissioning],398)))</f>
        <v/>
      </c>
      <c r="BT399" s="5">
        <f>IF(A399="","",N(INDEX(Projects[Controls Eng],398)))</f>
        <v/>
      </c>
      <c r="BU399" s="5">
        <f>IF(A399="","",N(INDEX(Projects[Controls Purchase],398)))</f>
        <v/>
      </c>
      <c r="BV399" s="5">
        <f>IF(A399="","",N(INDEX(Projects[Software Eng],398)))</f>
        <v/>
      </c>
      <c r="BW399" s="5">
        <f>IF(A399="","",N(INDEX(Projects[Misc],398)))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IF(A400="","",N(INDEX(Projects[Mech Inst],399)))</f>
        <v/>
      </c>
      <c r="BK400" s="5">
        <f>IF(A400="","",N(INDEX(Projects[Elec Inst],399)))</f>
        <v/>
      </c>
      <c r="BL400" s="5">
        <f>IF(A400="","",N(INDEX(Projects[Project Management],399)))</f>
        <v/>
      </c>
      <c r="BM400" s="5">
        <f>IF(A400="","",N(INDEX(Projects[Systems Eng],399)))</f>
        <v/>
      </c>
      <c r="BN400" s="5">
        <f>IF(A400="","",N(INDEX(Projects[Mechanical Eng],399)))</f>
        <v/>
      </c>
      <c r="BO400" s="5">
        <f>IF(A400="","",N(INDEX(Projects[Structural Engineering],399)))</f>
        <v/>
      </c>
      <c r="BP400" s="5">
        <f>IF(A400="","",N(INDEX(Projects[Site Sup],399)))</f>
        <v/>
      </c>
      <c r="BQ400" s="5">
        <f>IF(A400="","",N(INDEX(Projects[Controls Commissioning],399)))</f>
        <v/>
      </c>
      <c r="BR400" s="5">
        <f>IF(A400="","",N(INDEX(Projects[Systems Commissioning],399)))</f>
        <v/>
      </c>
      <c r="BS400" s="5">
        <f>IF(A400="","",N(INDEX(Projects[Service Commissioning],399)))</f>
        <v/>
      </c>
      <c r="BT400" s="5">
        <f>IF(A400="","",N(INDEX(Projects[Controls Eng],399)))</f>
        <v/>
      </c>
      <c r="BU400" s="5">
        <f>IF(A400="","",N(INDEX(Projects[Controls Purchase],399)))</f>
        <v/>
      </c>
      <c r="BV400" s="5">
        <f>IF(A400="","",N(INDEX(Projects[Software Eng],399)))</f>
        <v/>
      </c>
      <c r="BW400" s="5">
        <f>IF(A400="","",N(INDEX(Projects[Misc],399)))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IF(A401="","",N(INDEX(Projects[Mech Inst],400)))</f>
        <v/>
      </c>
      <c r="BK401" s="5">
        <f>IF(A401="","",N(INDEX(Projects[Elec Inst],400)))</f>
        <v/>
      </c>
      <c r="BL401" s="5">
        <f>IF(A401="","",N(INDEX(Projects[Project Management],400)))</f>
        <v/>
      </c>
      <c r="BM401" s="5">
        <f>IF(A401="","",N(INDEX(Projects[Systems Eng],400)))</f>
        <v/>
      </c>
      <c r="BN401" s="5">
        <f>IF(A401="","",N(INDEX(Projects[Mechanical Eng],400)))</f>
        <v/>
      </c>
      <c r="BO401" s="5">
        <f>IF(A401="","",N(INDEX(Projects[Structural Engineering],400)))</f>
        <v/>
      </c>
      <c r="BP401" s="5">
        <f>IF(A401="","",N(INDEX(Projects[Site Sup],400)))</f>
        <v/>
      </c>
      <c r="BQ401" s="5">
        <f>IF(A401="","",N(INDEX(Projects[Controls Commissioning],400)))</f>
        <v/>
      </c>
      <c r="BR401" s="5">
        <f>IF(A401="","",N(INDEX(Projects[Systems Commissioning],400)))</f>
        <v/>
      </c>
      <c r="BS401" s="5">
        <f>IF(A401="","",N(INDEX(Projects[Service Commissioning],400)))</f>
        <v/>
      </c>
      <c r="BT401" s="5">
        <f>IF(A401="","",N(INDEX(Projects[Controls Eng],400)))</f>
        <v/>
      </c>
      <c r="BU401" s="5">
        <f>IF(A401="","",N(INDEX(Projects[Controls Purchase],400)))</f>
        <v/>
      </c>
      <c r="BV401" s="5">
        <f>IF(A401="","",N(INDEX(Projects[Software Eng],400)))</f>
        <v/>
      </c>
      <c r="BW401" s="5">
        <f>IF(A401="","",N(INDEX(Projects[Misc],400)))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IF(A402="","",N(INDEX(Projects[Mech Inst],401)))</f>
        <v/>
      </c>
      <c r="BK402" s="5">
        <f>IF(A402="","",N(INDEX(Projects[Elec Inst],401)))</f>
        <v/>
      </c>
      <c r="BL402" s="5">
        <f>IF(A402="","",N(INDEX(Projects[Project Management],401)))</f>
        <v/>
      </c>
      <c r="BM402" s="5">
        <f>IF(A402="","",N(INDEX(Projects[Systems Eng],401)))</f>
        <v/>
      </c>
      <c r="BN402" s="5">
        <f>IF(A402="","",N(INDEX(Projects[Mechanical Eng],401)))</f>
        <v/>
      </c>
      <c r="BO402" s="5">
        <f>IF(A402="","",N(INDEX(Projects[Structural Engineering],401)))</f>
        <v/>
      </c>
      <c r="BP402" s="5">
        <f>IF(A402="","",N(INDEX(Projects[Site Sup],401)))</f>
        <v/>
      </c>
      <c r="BQ402" s="5">
        <f>IF(A402="","",N(INDEX(Projects[Controls Commissioning],401)))</f>
        <v/>
      </c>
      <c r="BR402" s="5">
        <f>IF(A402="","",N(INDEX(Projects[Systems Commissioning],401)))</f>
        <v/>
      </c>
      <c r="BS402" s="5">
        <f>IF(A402="","",N(INDEX(Projects[Service Commissioning],401)))</f>
        <v/>
      </c>
      <c r="BT402" s="5">
        <f>IF(A402="","",N(INDEX(Projects[Controls Eng],401)))</f>
        <v/>
      </c>
      <c r="BU402" s="5">
        <f>IF(A402="","",N(INDEX(Projects[Controls Purchase],401)))</f>
        <v/>
      </c>
      <c r="BV402" s="5">
        <f>IF(A402="","",N(INDEX(Projects[Software Eng],401)))</f>
        <v/>
      </c>
      <c r="BW402" s="5">
        <f>IF(A402="","",N(INDEX(Projects[Misc],401)))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IF(A403="","",N(INDEX(Projects[Mech Inst],402)))</f>
        <v/>
      </c>
      <c r="BK403" s="5">
        <f>IF(A403="","",N(INDEX(Projects[Elec Inst],402)))</f>
        <v/>
      </c>
      <c r="BL403" s="5">
        <f>IF(A403="","",N(INDEX(Projects[Project Management],402)))</f>
        <v/>
      </c>
      <c r="BM403" s="5">
        <f>IF(A403="","",N(INDEX(Projects[Systems Eng],402)))</f>
        <v/>
      </c>
      <c r="BN403" s="5">
        <f>IF(A403="","",N(INDEX(Projects[Mechanical Eng],402)))</f>
        <v/>
      </c>
      <c r="BO403" s="5">
        <f>IF(A403="","",N(INDEX(Projects[Structural Engineering],402)))</f>
        <v/>
      </c>
      <c r="BP403" s="5">
        <f>IF(A403="","",N(INDEX(Projects[Site Sup],402)))</f>
        <v/>
      </c>
      <c r="BQ403" s="5">
        <f>IF(A403="","",N(INDEX(Projects[Controls Commissioning],402)))</f>
        <v/>
      </c>
      <c r="BR403" s="5">
        <f>IF(A403="","",N(INDEX(Projects[Systems Commissioning],402)))</f>
        <v/>
      </c>
      <c r="BS403" s="5">
        <f>IF(A403="","",N(INDEX(Projects[Service Commissioning],402)))</f>
        <v/>
      </c>
      <c r="BT403" s="5">
        <f>IF(A403="","",N(INDEX(Projects[Controls Eng],402)))</f>
        <v/>
      </c>
      <c r="BU403" s="5">
        <f>IF(A403="","",N(INDEX(Projects[Controls Purchase],402)))</f>
        <v/>
      </c>
      <c r="BV403" s="5">
        <f>IF(A403="","",N(INDEX(Projects[Software Eng],402)))</f>
        <v/>
      </c>
      <c r="BW403" s="5">
        <f>IF(A403="","",N(INDEX(Projects[Misc],402)))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IF(A404="","",N(INDEX(Projects[Mech Inst],403)))</f>
        <v/>
      </c>
      <c r="BK404" s="5">
        <f>IF(A404="","",N(INDEX(Projects[Elec Inst],403)))</f>
        <v/>
      </c>
      <c r="BL404" s="5">
        <f>IF(A404="","",N(INDEX(Projects[Project Management],403)))</f>
        <v/>
      </c>
      <c r="BM404" s="5">
        <f>IF(A404="","",N(INDEX(Projects[Systems Eng],403)))</f>
        <v/>
      </c>
      <c r="BN404" s="5">
        <f>IF(A404="","",N(INDEX(Projects[Mechanical Eng],403)))</f>
        <v/>
      </c>
      <c r="BO404" s="5">
        <f>IF(A404="","",N(INDEX(Projects[Structural Engineering],403)))</f>
        <v/>
      </c>
      <c r="BP404" s="5">
        <f>IF(A404="","",N(INDEX(Projects[Site Sup],403)))</f>
        <v/>
      </c>
      <c r="BQ404" s="5">
        <f>IF(A404="","",N(INDEX(Projects[Controls Commissioning],403)))</f>
        <v/>
      </c>
      <c r="BR404" s="5">
        <f>IF(A404="","",N(INDEX(Projects[Systems Commissioning],403)))</f>
        <v/>
      </c>
      <c r="BS404" s="5">
        <f>IF(A404="","",N(INDEX(Projects[Service Commissioning],403)))</f>
        <v/>
      </c>
      <c r="BT404" s="5">
        <f>IF(A404="","",N(INDEX(Projects[Controls Eng],403)))</f>
        <v/>
      </c>
      <c r="BU404" s="5">
        <f>IF(A404="","",N(INDEX(Projects[Controls Purchase],403)))</f>
        <v/>
      </c>
      <c r="BV404" s="5">
        <f>IF(A404="","",N(INDEX(Projects[Software Eng],403)))</f>
        <v/>
      </c>
      <c r="BW404" s="5">
        <f>IF(A404="","",N(INDEX(Projects[Misc],403)))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IF(A405="","",N(INDEX(Projects[Mech Inst],404)))</f>
        <v/>
      </c>
      <c r="BK405" s="5">
        <f>IF(A405="","",N(INDEX(Projects[Elec Inst],404)))</f>
        <v/>
      </c>
      <c r="BL405" s="5">
        <f>IF(A405="","",N(INDEX(Projects[Project Management],404)))</f>
        <v/>
      </c>
      <c r="BM405" s="5">
        <f>IF(A405="","",N(INDEX(Projects[Systems Eng],404)))</f>
        <v/>
      </c>
      <c r="BN405" s="5">
        <f>IF(A405="","",N(INDEX(Projects[Mechanical Eng],404)))</f>
        <v/>
      </c>
      <c r="BO405" s="5">
        <f>IF(A405="","",N(INDEX(Projects[Structural Engineering],404)))</f>
        <v/>
      </c>
      <c r="BP405" s="5">
        <f>IF(A405="","",N(INDEX(Projects[Site Sup],404)))</f>
        <v/>
      </c>
      <c r="BQ405" s="5">
        <f>IF(A405="","",N(INDEX(Projects[Controls Commissioning],404)))</f>
        <v/>
      </c>
      <c r="BR405" s="5">
        <f>IF(A405="","",N(INDEX(Projects[Systems Commissioning],404)))</f>
        <v/>
      </c>
      <c r="BS405" s="5">
        <f>IF(A405="","",N(INDEX(Projects[Service Commissioning],404)))</f>
        <v/>
      </c>
      <c r="BT405" s="5">
        <f>IF(A405="","",N(INDEX(Projects[Controls Eng],404)))</f>
        <v/>
      </c>
      <c r="BU405" s="5">
        <f>IF(A405="","",N(INDEX(Projects[Controls Purchase],404)))</f>
        <v/>
      </c>
      <c r="BV405" s="5">
        <f>IF(A405="","",N(INDEX(Projects[Software Eng],404)))</f>
        <v/>
      </c>
      <c r="BW405" s="5">
        <f>IF(A405="","",N(INDEX(Projects[Misc],404)))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IF(A406="","",N(INDEX(Projects[Mech Inst],405)))</f>
        <v/>
      </c>
      <c r="BK406" s="5">
        <f>IF(A406="","",N(INDEX(Projects[Elec Inst],405)))</f>
        <v/>
      </c>
      <c r="BL406" s="5">
        <f>IF(A406="","",N(INDEX(Projects[Project Management],405)))</f>
        <v/>
      </c>
      <c r="BM406" s="5">
        <f>IF(A406="","",N(INDEX(Projects[Systems Eng],405)))</f>
        <v/>
      </c>
      <c r="BN406" s="5">
        <f>IF(A406="","",N(INDEX(Projects[Mechanical Eng],405)))</f>
        <v/>
      </c>
      <c r="BO406" s="5">
        <f>IF(A406="","",N(INDEX(Projects[Structural Engineering],405)))</f>
        <v/>
      </c>
      <c r="BP406" s="5">
        <f>IF(A406="","",N(INDEX(Projects[Site Sup],405)))</f>
        <v/>
      </c>
      <c r="BQ406" s="5">
        <f>IF(A406="","",N(INDEX(Projects[Controls Commissioning],405)))</f>
        <v/>
      </c>
      <c r="BR406" s="5">
        <f>IF(A406="","",N(INDEX(Projects[Systems Commissioning],405)))</f>
        <v/>
      </c>
      <c r="BS406" s="5">
        <f>IF(A406="","",N(INDEX(Projects[Service Commissioning],405)))</f>
        <v/>
      </c>
      <c r="BT406" s="5">
        <f>IF(A406="","",N(INDEX(Projects[Controls Eng],405)))</f>
        <v/>
      </c>
      <c r="BU406" s="5">
        <f>IF(A406="","",N(INDEX(Projects[Controls Purchase],405)))</f>
        <v/>
      </c>
      <c r="BV406" s="5">
        <f>IF(A406="","",N(INDEX(Projects[Software Eng],405)))</f>
        <v/>
      </c>
      <c r="BW406" s="5">
        <f>IF(A406="","",N(INDEX(Projects[Misc],405)))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IF(A407="","",N(INDEX(Projects[Mech Inst],406)))</f>
        <v/>
      </c>
      <c r="BK407" s="5">
        <f>IF(A407="","",N(INDEX(Projects[Elec Inst],406)))</f>
        <v/>
      </c>
      <c r="BL407" s="5">
        <f>IF(A407="","",N(INDEX(Projects[Project Management],406)))</f>
        <v/>
      </c>
      <c r="BM407" s="5">
        <f>IF(A407="","",N(INDEX(Projects[Systems Eng],406)))</f>
        <v/>
      </c>
      <c r="BN407" s="5">
        <f>IF(A407="","",N(INDEX(Projects[Mechanical Eng],406)))</f>
        <v/>
      </c>
      <c r="BO407" s="5">
        <f>IF(A407="","",N(INDEX(Projects[Structural Engineering],406)))</f>
        <v/>
      </c>
      <c r="BP407" s="5">
        <f>IF(A407="","",N(INDEX(Projects[Site Sup],406)))</f>
        <v/>
      </c>
      <c r="BQ407" s="5">
        <f>IF(A407="","",N(INDEX(Projects[Controls Commissioning],406)))</f>
        <v/>
      </c>
      <c r="BR407" s="5">
        <f>IF(A407="","",N(INDEX(Projects[Systems Commissioning],406)))</f>
        <v/>
      </c>
      <c r="BS407" s="5">
        <f>IF(A407="","",N(INDEX(Projects[Service Commissioning],406)))</f>
        <v/>
      </c>
      <c r="BT407" s="5">
        <f>IF(A407="","",N(INDEX(Projects[Controls Eng],406)))</f>
        <v/>
      </c>
      <c r="BU407" s="5">
        <f>IF(A407="","",N(INDEX(Projects[Controls Purchase],406)))</f>
        <v/>
      </c>
      <c r="BV407" s="5">
        <f>IF(A407="","",N(INDEX(Projects[Software Eng],406)))</f>
        <v/>
      </c>
      <c r="BW407" s="5">
        <f>IF(A407="","",N(INDEX(Projects[Misc],406)))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IF(A408="","",N(INDEX(Projects[Mech Inst],407)))</f>
        <v/>
      </c>
      <c r="BK408" s="5">
        <f>IF(A408="","",N(INDEX(Projects[Elec Inst],407)))</f>
        <v/>
      </c>
      <c r="BL408" s="5">
        <f>IF(A408="","",N(INDEX(Projects[Project Management],407)))</f>
        <v/>
      </c>
      <c r="BM408" s="5">
        <f>IF(A408="","",N(INDEX(Projects[Systems Eng],407)))</f>
        <v/>
      </c>
      <c r="BN408" s="5">
        <f>IF(A408="","",N(INDEX(Projects[Mechanical Eng],407)))</f>
        <v/>
      </c>
      <c r="BO408" s="5">
        <f>IF(A408="","",N(INDEX(Projects[Structural Engineering],407)))</f>
        <v/>
      </c>
      <c r="BP408" s="5">
        <f>IF(A408="","",N(INDEX(Projects[Site Sup],407)))</f>
        <v/>
      </c>
      <c r="BQ408" s="5">
        <f>IF(A408="","",N(INDEX(Projects[Controls Commissioning],407)))</f>
        <v/>
      </c>
      <c r="BR408" s="5">
        <f>IF(A408="","",N(INDEX(Projects[Systems Commissioning],407)))</f>
        <v/>
      </c>
      <c r="BS408" s="5">
        <f>IF(A408="","",N(INDEX(Projects[Service Commissioning],407)))</f>
        <v/>
      </c>
      <c r="BT408" s="5">
        <f>IF(A408="","",N(INDEX(Projects[Controls Eng],407)))</f>
        <v/>
      </c>
      <c r="BU408" s="5">
        <f>IF(A408="","",N(INDEX(Projects[Controls Purchase],407)))</f>
        <v/>
      </c>
      <c r="BV408" s="5">
        <f>IF(A408="","",N(INDEX(Projects[Software Eng],407)))</f>
        <v/>
      </c>
      <c r="BW408" s="5">
        <f>IF(A408="","",N(INDEX(Projects[Misc],407)))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IF(A409="","",N(INDEX(Projects[Mech Inst],408)))</f>
        <v/>
      </c>
      <c r="BK409" s="5">
        <f>IF(A409="","",N(INDEX(Projects[Elec Inst],408)))</f>
        <v/>
      </c>
      <c r="BL409" s="5">
        <f>IF(A409="","",N(INDEX(Projects[Project Management],408)))</f>
        <v/>
      </c>
      <c r="BM409" s="5">
        <f>IF(A409="","",N(INDEX(Projects[Systems Eng],408)))</f>
        <v/>
      </c>
      <c r="BN409" s="5">
        <f>IF(A409="","",N(INDEX(Projects[Mechanical Eng],408)))</f>
        <v/>
      </c>
      <c r="BO409" s="5">
        <f>IF(A409="","",N(INDEX(Projects[Structural Engineering],408)))</f>
        <v/>
      </c>
      <c r="BP409" s="5">
        <f>IF(A409="","",N(INDEX(Projects[Site Sup],408)))</f>
        <v/>
      </c>
      <c r="BQ409" s="5">
        <f>IF(A409="","",N(INDEX(Projects[Controls Commissioning],408)))</f>
        <v/>
      </c>
      <c r="BR409" s="5">
        <f>IF(A409="","",N(INDEX(Projects[Systems Commissioning],408)))</f>
        <v/>
      </c>
      <c r="BS409" s="5">
        <f>IF(A409="","",N(INDEX(Projects[Service Commissioning],408)))</f>
        <v/>
      </c>
      <c r="BT409" s="5">
        <f>IF(A409="","",N(INDEX(Projects[Controls Eng],408)))</f>
        <v/>
      </c>
      <c r="BU409" s="5">
        <f>IF(A409="","",N(INDEX(Projects[Controls Purchase],408)))</f>
        <v/>
      </c>
      <c r="BV409" s="5">
        <f>IF(A409="","",N(INDEX(Projects[Software Eng],408)))</f>
        <v/>
      </c>
      <c r="BW409" s="5">
        <f>IF(A409="","",N(INDEX(Projects[Misc],408)))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IF(A410="","",N(INDEX(Projects[Mech Inst],409)))</f>
        <v/>
      </c>
      <c r="BK410" s="5">
        <f>IF(A410="","",N(INDEX(Projects[Elec Inst],409)))</f>
        <v/>
      </c>
      <c r="BL410" s="5">
        <f>IF(A410="","",N(INDEX(Projects[Project Management],409)))</f>
        <v/>
      </c>
      <c r="BM410" s="5">
        <f>IF(A410="","",N(INDEX(Projects[Systems Eng],409)))</f>
        <v/>
      </c>
      <c r="BN410" s="5">
        <f>IF(A410="","",N(INDEX(Projects[Mechanical Eng],409)))</f>
        <v/>
      </c>
      <c r="BO410" s="5">
        <f>IF(A410="","",N(INDEX(Projects[Structural Engineering],409)))</f>
        <v/>
      </c>
      <c r="BP410" s="5">
        <f>IF(A410="","",N(INDEX(Projects[Site Sup],409)))</f>
        <v/>
      </c>
      <c r="BQ410" s="5">
        <f>IF(A410="","",N(INDEX(Projects[Controls Commissioning],409)))</f>
        <v/>
      </c>
      <c r="BR410" s="5">
        <f>IF(A410="","",N(INDEX(Projects[Systems Commissioning],409)))</f>
        <v/>
      </c>
      <c r="BS410" s="5">
        <f>IF(A410="","",N(INDEX(Projects[Service Commissioning],409)))</f>
        <v/>
      </c>
      <c r="BT410" s="5">
        <f>IF(A410="","",N(INDEX(Projects[Controls Eng],409)))</f>
        <v/>
      </c>
      <c r="BU410" s="5">
        <f>IF(A410="","",N(INDEX(Projects[Controls Purchase],409)))</f>
        <v/>
      </c>
      <c r="BV410" s="5">
        <f>IF(A410="","",N(INDEX(Projects[Software Eng],409)))</f>
        <v/>
      </c>
      <c r="BW410" s="5">
        <f>IF(A410="","",N(INDEX(Projects[Misc],409)))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IF(A411="","",N(INDEX(Projects[Mech Inst],410)))</f>
        <v/>
      </c>
      <c r="BK411" s="5">
        <f>IF(A411="","",N(INDEX(Projects[Elec Inst],410)))</f>
        <v/>
      </c>
      <c r="BL411" s="5">
        <f>IF(A411="","",N(INDEX(Projects[Project Management],410)))</f>
        <v/>
      </c>
      <c r="BM411" s="5">
        <f>IF(A411="","",N(INDEX(Projects[Systems Eng],410)))</f>
        <v/>
      </c>
      <c r="BN411" s="5">
        <f>IF(A411="","",N(INDEX(Projects[Mechanical Eng],410)))</f>
        <v/>
      </c>
      <c r="BO411" s="5">
        <f>IF(A411="","",N(INDEX(Projects[Structural Engineering],410)))</f>
        <v/>
      </c>
      <c r="BP411" s="5">
        <f>IF(A411="","",N(INDEX(Projects[Site Sup],410)))</f>
        <v/>
      </c>
      <c r="BQ411" s="5">
        <f>IF(A411="","",N(INDEX(Projects[Controls Commissioning],410)))</f>
        <v/>
      </c>
      <c r="BR411" s="5">
        <f>IF(A411="","",N(INDEX(Projects[Systems Commissioning],410)))</f>
        <v/>
      </c>
      <c r="BS411" s="5">
        <f>IF(A411="","",N(INDEX(Projects[Service Commissioning],410)))</f>
        <v/>
      </c>
      <c r="BT411" s="5">
        <f>IF(A411="","",N(INDEX(Projects[Controls Eng],410)))</f>
        <v/>
      </c>
      <c r="BU411" s="5">
        <f>IF(A411="","",N(INDEX(Projects[Controls Purchase],410)))</f>
        <v/>
      </c>
      <c r="BV411" s="5">
        <f>IF(A411="","",N(INDEX(Projects[Software Eng],410)))</f>
        <v/>
      </c>
      <c r="BW411" s="5">
        <f>IF(A411="","",N(INDEX(Projects[Misc],410)))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IF(A412="","",N(INDEX(Projects[Mech Inst],411)))</f>
        <v/>
      </c>
      <c r="BK412" s="5">
        <f>IF(A412="","",N(INDEX(Projects[Elec Inst],411)))</f>
        <v/>
      </c>
      <c r="BL412" s="5">
        <f>IF(A412="","",N(INDEX(Projects[Project Management],411)))</f>
        <v/>
      </c>
      <c r="BM412" s="5">
        <f>IF(A412="","",N(INDEX(Projects[Systems Eng],411)))</f>
        <v/>
      </c>
      <c r="BN412" s="5">
        <f>IF(A412="","",N(INDEX(Projects[Mechanical Eng],411)))</f>
        <v/>
      </c>
      <c r="BO412" s="5">
        <f>IF(A412="","",N(INDEX(Projects[Structural Engineering],411)))</f>
        <v/>
      </c>
      <c r="BP412" s="5">
        <f>IF(A412="","",N(INDEX(Projects[Site Sup],411)))</f>
        <v/>
      </c>
      <c r="BQ412" s="5">
        <f>IF(A412="","",N(INDEX(Projects[Controls Commissioning],411)))</f>
        <v/>
      </c>
      <c r="BR412" s="5">
        <f>IF(A412="","",N(INDEX(Projects[Systems Commissioning],411)))</f>
        <v/>
      </c>
      <c r="BS412" s="5">
        <f>IF(A412="","",N(INDEX(Projects[Service Commissioning],411)))</f>
        <v/>
      </c>
      <c r="BT412" s="5">
        <f>IF(A412="","",N(INDEX(Projects[Controls Eng],411)))</f>
        <v/>
      </c>
      <c r="BU412" s="5">
        <f>IF(A412="","",N(INDEX(Projects[Controls Purchase],411)))</f>
        <v/>
      </c>
      <c r="BV412" s="5">
        <f>IF(A412="","",N(INDEX(Projects[Software Eng],411)))</f>
        <v/>
      </c>
      <c r="BW412" s="5">
        <f>IF(A412="","",N(INDEX(Projects[Misc],411)))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IF(A413="","",N(INDEX(Projects[Mech Inst],412)))</f>
        <v/>
      </c>
      <c r="BK413" s="5">
        <f>IF(A413="","",N(INDEX(Projects[Elec Inst],412)))</f>
        <v/>
      </c>
      <c r="BL413" s="5">
        <f>IF(A413="","",N(INDEX(Projects[Project Management],412)))</f>
        <v/>
      </c>
      <c r="BM413" s="5">
        <f>IF(A413="","",N(INDEX(Projects[Systems Eng],412)))</f>
        <v/>
      </c>
      <c r="BN413" s="5">
        <f>IF(A413="","",N(INDEX(Projects[Mechanical Eng],412)))</f>
        <v/>
      </c>
      <c r="BO413" s="5">
        <f>IF(A413="","",N(INDEX(Projects[Structural Engineering],412)))</f>
        <v/>
      </c>
      <c r="BP413" s="5">
        <f>IF(A413="","",N(INDEX(Projects[Site Sup],412)))</f>
        <v/>
      </c>
      <c r="BQ413" s="5">
        <f>IF(A413="","",N(INDEX(Projects[Controls Commissioning],412)))</f>
        <v/>
      </c>
      <c r="BR413" s="5">
        <f>IF(A413="","",N(INDEX(Projects[Systems Commissioning],412)))</f>
        <v/>
      </c>
      <c r="BS413" s="5">
        <f>IF(A413="","",N(INDEX(Projects[Service Commissioning],412)))</f>
        <v/>
      </c>
      <c r="BT413" s="5">
        <f>IF(A413="","",N(INDEX(Projects[Controls Eng],412)))</f>
        <v/>
      </c>
      <c r="BU413" s="5">
        <f>IF(A413="","",N(INDEX(Projects[Controls Purchase],412)))</f>
        <v/>
      </c>
      <c r="BV413" s="5">
        <f>IF(A413="","",N(INDEX(Projects[Software Eng],412)))</f>
        <v/>
      </c>
      <c r="BW413" s="5">
        <f>IF(A413="","",N(INDEX(Projects[Misc],412)))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IF(A414="","",N(INDEX(Projects[Mech Inst],413)))</f>
        <v/>
      </c>
      <c r="BK414" s="5">
        <f>IF(A414="","",N(INDEX(Projects[Elec Inst],413)))</f>
        <v/>
      </c>
      <c r="BL414" s="5">
        <f>IF(A414="","",N(INDEX(Projects[Project Management],413)))</f>
        <v/>
      </c>
      <c r="BM414" s="5">
        <f>IF(A414="","",N(INDEX(Projects[Systems Eng],413)))</f>
        <v/>
      </c>
      <c r="BN414" s="5">
        <f>IF(A414="","",N(INDEX(Projects[Mechanical Eng],413)))</f>
        <v/>
      </c>
      <c r="BO414" s="5">
        <f>IF(A414="","",N(INDEX(Projects[Structural Engineering],413)))</f>
        <v/>
      </c>
      <c r="BP414" s="5">
        <f>IF(A414="","",N(INDEX(Projects[Site Sup],413)))</f>
        <v/>
      </c>
      <c r="BQ414" s="5">
        <f>IF(A414="","",N(INDEX(Projects[Controls Commissioning],413)))</f>
        <v/>
      </c>
      <c r="BR414" s="5">
        <f>IF(A414="","",N(INDEX(Projects[Systems Commissioning],413)))</f>
        <v/>
      </c>
      <c r="BS414" s="5">
        <f>IF(A414="","",N(INDEX(Projects[Service Commissioning],413)))</f>
        <v/>
      </c>
      <c r="BT414" s="5">
        <f>IF(A414="","",N(INDEX(Projects[Controls Eng],413)))</f>
        <v/>
      </c>
      <c r="BU414" s="5">
        <f>IF(A414="","",N(INDEX(Projects[Controls Purchase],413)))</f>
        <v/>
      </c>
      <c r="BV414" s="5">
        <f>IF(A414="","",N(INDEX(Projects[Software Eng],413)))</f>
        <v/>
      </c>
      <c r="BW414" s="5">
        <f>IF(A414="","",N(INDEX(Projects[Misc],413)))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IF(A415="","",N(INDEX(Projects[Mech Inst],414)))</f>
        <v/>
      </c>
      <c r="BK415" s="5">
        <f>IF(A415="","",N(INDEX(Projects[Elec Inst],414)))</f>
        <v/>
      </c>
      <c r="BL415" s="5">
        <f>IF(A415="","",N(INDEX(Projects[Project Management],414)))</f>
        <v/>
      </c>
      <c r="BM415" s="5">
        <f>IF(A415="","",N(INDEX(Projects[Systems Eng],414)))</f>
        <v/>
      </c>
      <c r="BN415" s="5">
        <f>IF(A415="","",N(INDEX(Projects[Mechanical Eng],414)))</f>
        <v/>
      </c>
      <c r="BO415" s="5">
        <f>IF(A415="","",N(INDEX(Projects[Structural Engineering],414)))</f>
        <v/>
      </c>
      <c r="BP415" s="5">
        <f>IF(A415="","",N(INDEX(Projects[Site Sup],414)))</f>
        <v/>
      </c>
      <c r="BQ415" s="5">
        <f>IF(A415="","",N(INDEX(Projects[Controls Commissioning],414)))</f>
        <v/>
      </c>
      <c r="BR415" s="5">
        <f>IF(A415="","",N(INDEX(Projects[Systems Commissioning],414)))</f>
        <v/>
      </c>
      <c r="BS415" s="5">
        <f>IF(A415="","",N(INDEX(Projects[Service Commissioning],414)))</f>
        <v/>
      </c>
      <c r="BT415" s="5">
        <f>IF(A415="","",N(INDEX(Projects[Controls Eng],414)))</f>
        <v/>
      </c>
      <c r="BU415" s="5">
        <f>IF(A415="","",N(INDEX(Projects[Controls Purchase],414)))</f>
        <v/>
      </c>
      <c r="BV415" s="5">
        <f>IF(A415="","",N(INDEX(Projects[Software Eng],414)))</f>
        <v/>
      </c>
      <c r="BW415" s="5">
        <f>IF(A415="","",N(INDEX(Projects[Misc],414)))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IF(A416="","",N(INDEX(Projects[Mech Inst],415)))</f>
        <v/>
      </c>
      <c r="BK416" s="5">
        <f>IF(A416="","",N(INDEX(Projects[Elec Inst],415)))</f>
        <v/>
      </c>
      <c r="BL416" s="5">
        <f>IF(A416="","",N(INDEX(Projects[Project Management],415)))</f>
        <v/>
      </c>
      <c r="BM416" s="5">
        <f>IF(A416="","",N(INDEX(Projects[Systems Eng],415)))</f>
        <v/>
      </c>
      <c r="BN416" s="5">
        <f>IF(A416="","",N(INDEX(Projects[Mechanical Eng],415)))</f>
        <v/>
      </c>
      <c r="BO416" s="5">
        <f>IF(A416="","",N(INDEX(Projects[Structural Engineering],415)))</f>
        <v/>
      </c>
      <c r="BP416" s="5">
        <f>IF(A416="","",N(INDEX(Projects[Site Sup],415)))</f>
        <v/>
      </c>
      <c r="BQ416" s="5">
        <f>IF(A416="","",N(INDEX(Projects[Controls Commissioning],415)))</f>
        <v/>
      </c>
      <c r="BR416" s="5">
        <f>IF(A416="","",N(INDEX(Projects[Systems Commissioning],415)))</f>
        <v/>
      </c>
      <c r="BS416" s="5">
        <f>IF(A416="","",N(INDEX(Projects[Service Commissioning],415)))</f>
        <v/>
      </c>
      <c r="BT416" s="5">
        <f>IF(A416="","",N(INDEX(Projects[Controls Eng],415)))</f>
        <v/>
      </c>
      <c r="BU416" s="5">
        <f>IF(A416="","",N(INDEX(Projects[Controls Purchase],415)))</f>
        <v/>
      </c>
      <c r="BV416" s="5">
        <f>IF(A416="","",N(INDEX(Projects[Software Eng],415)))</f>
        <v/>
      </c>
      <c r="BW416" s="5">
        <f>IF(A416="","",N(INDEX(Projects[Misc],415)))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IF(A417="","",N(INDEX(Projects[Mech Inst],416)))</f>
        <v/>
      </c>
      <c r="BK417" s="5">
        <f>IF(A417="","",N(INDEX(Projects[Elec Inst],416)))</f>
        <v/>
      </c>
      <c r="BL417" s="5">
        <f>IF(A417="","",N(INDEX(Projects[Project Management],416)))</f>
        <v/>
      </c>
      <c r="BM417" s="5">
        <f>IF(A417="","",N(INDEX(Projects[Systems Eng],416)))</f>
        <v/>
      </c>
      <c r="BN417" s="5">
        <f>IF(A417="","",N(INDEX(Projects[Mechanical Eng],416)))</f>
        <v/>
      </c>
      <c r="BO417" s="5">
        <f>IF(A417="","",N(INDEX(Projects[Structural Engineering],416)))</f>
        <v/>
      </c>
      <c r="BP417" s="5">
        <f>IF(A417="","",N(INDEX(Projects[Site Sup],416)))</f>
        <v/>
      </c>
      <c r="BQ417" s="5">
        <f>IF(A417="","",N(INDEX(Projects[Controls Commissioning],416)))</f>
        <v/>
      </c>
      <c r="BR417" s="5">
        <f>IF(A417="","",N(INDEX(Projects[Systems Commissioning],416)))</f>
        <v/>
      </c>
      <c r="BS417" s="5">
        <f>IF(A417="","",N(INDEX(Projects[Service Commissioning],416)))</f>
        <v/>
      </c>
      <c r="BT417" s="5">
        <f>IF(A417="","",N(INDEX(Projects[Controls Eng],416)))</f>
        <v/>
      </c>
      <c r="BU417" s="5">
        <f>IF(A417="","",N(INDEX(Projects[Controls Purchase],416)))</f>
        <v/>
      </c>
      <c r="BV417" s="5">
        <f>IF(A417="","",N(INDEX(Projects[Software Eng],416)))</f>
        <v/>
      </c>
      <c r="BW417" s="5">
        <f>IF(A417="","",N(INDEX(Projects[Misc],416)))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IF(A418="","",N(INDEX(Projects[Mech Inst],417)))</f>
        <v/>
      </c>
      <c r="BK418" s="5">
        <f>IF(A418="","",N(INDEX(Projects[Elec Inst],417)))</f>
        <v/>
      </c>
      <c r="BL418" s="5">
        <f>IF(A418="","",N(INDEX(Projects[Project Management],417)))</f>
        <v/>
      </c>
      <c r="BM418" s="5">
        <f>IF(A418="","",N(INDEX(Projects[Systems Eng],417)))</f>
        <v/>
      </c>
      <c r="BN418" s="5">
        <f>IF(A418="","",N(INDEX(Projects[Mechanical Eng],417)))</f>
        <v/>
      </c>
      <c r="BO418" s="5">
        <f>IF(A418="","",N(INDEX(Projects[Structural Engineering],417)))</f>
        <v/>
      </c>
      <c r="BP418" s="5">
        <f>IF(A418="","",N(INDEX(Projects[Site Sup],417)))</f>
        <v/>
      </c>
      <c r="BQ418" s="5">
        <f>IF(A418="","",N(INDEX(Projects[Controls Commissioning],417)))</f>
        <v/>
      </c>
      <c r="BR418" s="5">
        <f>IF(A418="","",N(INDEX(Projects[Systems Commissioning],417)))</f>
        <v/>
      </c>
      <c r="BS418" s="5">
        <f>IF(A418="","",N(INDEX(Projects[Service Commissioning],417)))</f>
        <v/>
      </c>
      <c r="BT418" s="5">
        <f>IF(A418="","",N(INDEX(Projects[Controls Eng],417)))</f>
        <v/>
      </c>
      <c r="BU418" s="5">
        <f>IF(A418="","",N(INDEX(Projects[Controls Purchase],417)))</f>
        <v/>
      </c>
      <c r="BV418" s="5">
        <f>IF(A418="","",N(INDEX(Projects[Software Eng],417)))</f>
        <v/>
      </c>
      <c r="BW418" s="5">
        <f>IF(A418="","",N(INDEX(Projects[Misc],417)))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IF(A419="","",N(INDEX(Projects[Mech Inst],418)))</f>
        <v/>
      </c>
      <c r="BK419" s="5">
        <f>IF(A419="","",N(INDEX(Projects[Elec Inst],418)))</f>
        <v/>
      </c>
      <c r="BL419" s="5">
        <f>IF(A419="","",N(INDEX(Projects[Project Management],418)))</f>
        <v/>
      </c>
      <c r="BM419" s="5">
        <f>IF(A419="","",N(INDEX(Projects[Systems Eng],418)))</f>
        <v/>
      </c>
      <c r="BN419" s="5">
        <f>IF(A419="","",N(INDEX(Projects[Mechanical Eng],418)))</f>
        <v/>
      </c>
      <c r="BO419" s="5">
        <f>IF(A419="","",N(INDEX(Projects[Structural Engineering],418)))</f>
        <v/>
      </c>
      <c r="BP419" s="5">
        <f>IF(A419="","",N(INDEX(Projects[Site Sup],418)))</f>
        <v/>
      </c>
      <c r="BQ419" s="5">
        <f>IF(A419="","",N(INDEX(Projects[Controls Commissioning],418)))</f>
        <v/>
      </c>
      <c r="BR419" s="5">
        <f>IF(A419="","",N(INDEX(Projects[Systems Commissioning],418)))</f>
        <v/>
      </c>
      <c r="BS419" s="5">
        <f>IF(A419="","",N(INDEX(Projects[Service Commissioning],418)))</f>
        <v/>
      </c>
      <c r="BT419" s="5">
        <f>IF(A419="","",N(INDEX(Projects[Controls Eng],418)))</f>
        <v/>
      </c>
      <c r="BU419" s="5">
        <f>IF(A419="","",N(INDEX(Projects[Controls Purchase],418)))</f>
        <v/>
      </c>
      <c r="BV419" s="5">
        <f>IF(A419="","",N(INDEX(Projects[Software Eng],418)))</f>
        <v/>
      </c>
      <c r="BW419" s="5">
        <f>IF(A419="","",N(INDEX(Projects[Misc],418)))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IF(A420="","",N(INDEX(Projects[Mech Inst],419)))</f>
        <v/>
      </c>
      <c r="BK420" s="5">
        <f>IF(A420="","",N(INDEX(Projects[Elec Inst],419)))</f>
        <v/>
      </c>
      <c r="BL420" s="5">
        <f>IF(A420="","",N(INDEX(Projects[Project Management],419)))</f>
        <v/>
      </c>
      <c r="BM420" s="5">
        <f>IF(A420="","",N(INDEX(Projects[Systems Eng],419)))</f>
        <v/>
      </c>
      <c r="BN420" s="5">
        <f>IF(A420="","",N(INDEX(Projects[Mechanical Eng],419)))</f>
        <v/>
      </c>
      <c r="BO420" s="5">
        <f>IF(A420="","",N(INDEX(Projects[Structural Engineering],419)))</f>
        <v/>
      </c>
      <c r="BP420" s="5">
        <f>IF(A420="","",N(INDEX(Projects[Site Sup],419)))</f>
        <v/>
      </c>
      <c r="BQ420" s="5">
        <f>IF(A420="","",N(INDEX(Projects[Controls Commissioning],419)))</f>
        <v/>
      </c>
      <c r="BR420" s="5">
        <f>IF(A420="","",N(INDEX(Projects[Systems Commissioning],419)))</f>
        <v/>
      </c>
      <c r="BS420" s="5">
        <f>IF(A420="","",N(INDEX(Projects[Service Commissioning],419)))</f>
        <v/>
      </c>
      <c r="BT420" s="5">
        <f>IF(A420="","",N(INDEX(Projects[Controls Eng],419)))</f>
        <v/>
      </c>
      <c r="BU420" s="5">
        <f>IF(A420="","",N(INDEX(Projects[Controls Purchase],419)))</f>
        <v/>
      </c>
      <c r="BV420" s="5">
        <f>IF(A420="","",N(INDEX(Projects[Software Eng],419)))</f>
        <v/>
      </c>
      <c r="BW420" s="5">
        <f>IF(A420="","",N(INDEX(Projects[Misc],419)))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IF(A421="","",N(INDEX(Projects[Mech Inst],420)))</f>
        <v/>
      </c>
      <c r="BK421" s="5">
        <f>IF(A421="","",N(INDEX(Projects[Elec Inst],420)))</f>
        <v/>
      </c>
      <c r="BL421" s="5">
        <f>IF(A421="","",N(INDEX(Projects[Project Management],420)))</f>
        <v/>
      </c>
      <c r="BM421" s="5">
        <f>IF(A421="","",N(INDEX(Projects[Systems Eng],420)))</f>
        <v/>
      </c>
      <c r="BN421" s="5">
        <f>IF(A421="","",N(INDEX(Projects[Mechanical Eng],420)))</f>
        <v/>
      </c>
      <c r="BO421" s="5">
        <f>IF(A421="","",N(INDEX(Projects[Structural Engineering],420)))</f>
        <v/>
      </c>
      <c r="BP421" s="5">
        <f>IF(A421="","",N(INDEX(Projects[Site Sup],420)))</f>
        <v/>
      </c>
      <c r="BQ421" s="5">
        <f>IF(A421="","",N(INDEX(Projects[Controls Commissioning],420)))</f>
        <v/>
      </c>
      <c r="BR421" s="5">
        <f>IF(A421="","",N(INDEX(Projects[Systems Commissioning],420)))</f>
        <v/>
      </c>
      <c r="BS421" s="5">
        <f>IF(A421="","",N(INDEX(Projects[Service Commissioning],420)))</f>
        <v/>
      </c>
      <c r="BT421" s="5">
        <f>IF(A421="","",N(INDEX(Projects[Controls Eng],420)))</f>
        <v/>
      </c>
      <c r="BU421" s="5">
        <f>IF(A421="","",N(INDEX(Projects[Controls Purchase],420)))</f>
        <v/>
      </c>
      <c r="BV421" s="5">
        <f>IF(A421="","",N(INDEX(Projects[Software Eng],420)))</f>
        <v/>
      </c>
      <c r="BW421" s="5">
        <f>IF(A421="","",N(INDEX(Projects[Misc],420)))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IF(A422="","",N(INDEX(Projects[Mech Inst],421)))</f>
        <v/>
      </c>
      <c r="BK422" s="5">
        <f>IF(A422="","",N(INDEX(Projects[Elec Inst],421)))</f>
        <v/>
      </c>
      <c r="BL422" s="5">
        <f>IF(A422="","",N(INDEX(Projects[Project Management],421)))</f>
        <v/>
      </c>
      <c r="BM422" s="5">
        <f>IF(A422="","",N(INDEX(Projects[Systems Eng],421)))</f>
        <v/>
      </c>
      <c r="BN422" s="5">
        <f>IF(A422="","",N(INDEX(Projects[Mechanical Eng],421)))</f>
        <v/>
      </c>
      <c r="BO422" s="5">
        <f>IF(A422="","",N(INDEX(Projects[Structural Engineering],421)))</f>
        <v/>
      </c>
      <c r="BP422" s="5">
        <f>IF(A422="","",N(INDEX(Projects[Site Sup],421)))</f>
        <v/>
      </c>
      <c r="BQ422" s="5">
        <f>IF(A422="","",N(INDEX(Projects[Controls Commissioning],421)))</f>
        <v/>
      </c>
      <c r="BR422" s="5">
        <f>IF(A422="","",N(INDEX(Projects[Systems Commissioning],421)))</f>
        <v/>
      </c>
      <c r="BS422" s="5">
        <f>IF(A422="","",N(INDEX(Projects[Service Commissioning],421)))</f>
        <v/>
      </c>
      <c r="BT422" s="5">
        <f>IF(A422="","",N(INDEX(Projects[Controls Eng],421)))</f>
        <v/>
      </c>
      <c r="BU422" s="5">
        <f>IF(A422="","",N(INDEX(Projects[Controls Purchase],421)))</f>
        <v/>
      </c>
      <c r="BV422" s="5">
        <f>IF(A422="","",N(INDEX(Projects[Software Eng],421)))</f>
        <v/>
      </c>
      <c r="BW422" s="5">
        <f>IF(A422="","",N(INDEX(Projects[Misc],421)))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IF(A423="","",N(INDEX(Projects[Mech Inst],422)))</f>
        <v/>
      </c>
      <c r="BK423" s="5">
        <f>IF(A423="","",N(INDEX(Projects[Elec Inst],422)))</f>
        <v/>
      </c>
      <c r="BL423" s="5">
        <f>IF(A423="","",N(INDEX(Projects[Project Management],422)))</f>
        <v/>
      </c>
      <c r="BM423" s="5">
        <f>IF(A423="","",N(INDEX(Projects[Systems Eng],422)))</f>
        <v/>
      </c>
      <c r="BN423" s="5">
        <f>IF(A423="","",N(INDEX(Projects[Mechanical Eng],422)))</f>
        <v/>
      </c>
      <c r="BO423" s="5">
        <f>IF(A423="","",N(INDEX(Projects[Structural Engineering],422)))</f>
        <v/>
      </c>
      <c r="BP423" s="5">
        <f>IF(A423="","",N(INDEX(Projects[Site Sup],422)))</f>
        <v/>
      </c>
      <c r="BQ423" s="5">
        <f>IF(A423="","",N(INDEX(Projects[Controls Commissioning],422)))</f>
        <v/>
      </c>
      <c r="BR423" s="5">
        <f>IF(A423="","",N(INDEX(Projects[Systems Commissioning],422)))</f>
        <v/>
      </c>
      <c r="BS423" s="5">
        <f>IF(A423="","",N(INDEX(Projects[Service Commissioning],422)))</f>
        <v/>
      </c>
      <c r="BT423" s="5">
        <f>IF(A423="","",N(INDEX(Projects[Controls Eng],422)))</f>
        <v/>
      </c>
      <c r="BU423" s="5">
        <f>IF(A423="","",N(INDEX(Projects[Controls Purchase],422)))</f>
        <v/>
      </c>
      <c r="BV423" s="5">
        <f>IF(A423="","",N(INDEX(Projects[Software Eng],422)))</f>
        <v/>
      </c>
      <c r="BW423" s="5">
        <f>IF(A423="","",N(INDEX(Projects[Misc],422)))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IF(A424="","",N(INDEX(Projects[Mech Inst],423)))</f>
        <v/>
      </c>
      <c r="BK424" s="5">
        <f>IF(A424="","",N(INDEX(Projects[Elec Inst],423)))</f>
        <v/>
      </c>
      <c r="BL424" s="5">
        <f>IF(A424="","",N(INDEX(Projects[Project Management],423)))</f>
        <v/>
      </c>
      <c r="BM424" s="5">
        <f>IF(A424="","",N(INDEX(Projects[Systems Eng],423)))</f>
        <v/>
      </c>
      <c r="BN424" s="5">
        <f>IF(A424="","",N(INDEX(Projects[Mechanical Eng],423)))</f>
        <v/>
      </c>
      <c r="BO424" s="5">
        <f>IF(A424="","",N(INDEX(Projects[Structural Engineering],423)))</f>
        <v/>
      </c>
      <c r="BP424" s="5">
        <f>IF(A424="","",N(INDEX(Projects[Site Sup],423)))</f>
        <v/>
      </c>
      <c r="BQ424" s="5">
        <f>IF(A424="","",N(INDEX(Projects[Controls Commissioning],423)))</f>
        <v/>
      </c>
      <c r="BR424" s="5">
        <f>IF(A424="","",N(INDEX(Projects[Systems Commissioning],423)))</f>
        <v/>
      </c>
      <c r="BS424" s="5">
        <f>IF(A424="","",N(INDEX(Projects[Service Commissioning],423)))</f>
        <v/>
      </c>
      <c r="BT424" s="5">
        <f>IF(A424="","",N(INDEX(Projects[Controls Eng],423)))</f>
        <v/>
      </c>
      <c r="BU424" s="5">
        <f>IF(A424="","",N(INDEX(Projects[Controls Purchase],423)))</f>
        <v/>
      </c>
      <c r="BV424" s="5">
        <f>IF(A424="","",N(INDEX(Projects[Software Eng],423)))</f>
        <v/>
      </c>
      <c r="BW424" s="5">
        <f>IF(A424="","",N(INDEX(Projects[Misc],423)))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IF(A425="","",N(INDEX(Projects[Mech Inst],424)))</f>
        <v/>
      </c>
      <c r="BK425" s="5">
        <f>IF(A425="","",N(INDEX(Projects[Elec Inst],424)))</f>
        <v/>
      </c>
      <c r="BL425" s="5">
        <f>IF(A425="","",N(INDEX(Projects[Project Management],424)))</f>
        <v/>
      </c>
      <c r="BM425" s="5">
        <f>IF(A425="","",N(INDEX(Projects[Systems Eng],424)))</f>
        <v/>
      </c>
      <c r="BN425" s="5">
        <f>IF(A425="","",N(INDEX(Projects[Mechanical Eng],424)))</f>
        <v/>
      </c>
      <c r="BO425" s="5">
        <f>IF(A425="","",N(INDEX(Projects[Structural Engineering],424)))</f>
        <v/>
      </c>
      <c r="BP425" s="5">
        <f>IF(A425="","",N(INDEX(Projects[Site Sup],424)))</f>
        <v/>
      </c>
      <c r="BQ425" s="5">
        <f>IF(A425="","",N(INDEX(Projects[Controls Commissioning],424)))</f>
        <v/>
      </c>
      <c r="BR425" s="5">
        <f>IF(A425="","",N(INDEX(Projects[Systems Commissioning],424)))</f>
        <v/>
      </c>
      <c r="BS425" s="5">
        <f>IF(A425="","",N(INDEX(Projects[Service Commissioning],424)))</f>
        <v/>
      </c>
      <c r="BT425" s="5">
        <f>IF(A425="","",N(INDEX(Projects[Controls Eng],424)))</f>
        <v/>
      </c>
      <c r="BU425" s="5">
        <f>IF(A425="","",N(INDEX(Projects[Controls Purchase],424)))</f>
        <v/>
      </c>
      <c r="BV425" s="5">
        <f>IF(A425="","",N(INDEX(Projects[Software Eng],424)))</f>
        <v/>
      </c>
      <c r="BW425" s="5">
        <f>IF(A425="","",N(INDEX(Projects[Misc],424)))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IF(A426="","",N(INDEX(Projects[Mech Inst],425)))</f>
        <v/>
      </c>
      <c r="BK426" s="5">
        <f>IF(A426="","",N(INDEX(Projects[Elec Inst],425)))</f>
        <v/>
      </c>
      <c r="BL426" s="5">
        <f>IF(A426="","",N(INDEX(Projects[Project Management],425)))</f>
        <v/>
      </c>
      <c r="BM426" s="5">
        <f>IF(A426="","",N(INDEX(Projects[Systems Eng],425)))</f>
        <v/>
      </c>
      <c r="BN426" s="5">
        <f>IF(A426="","",N(INDEX(Projects[Mechanical Eng],425)))</f>
        <v/>
      </c>
      <c r="BO426" s="5">
        <f>IF(A426="","",N(INDEX(Projects[Structural Engineering],425)))</f>
        <v/>
      </c>
      <c r="BP426" s="5">
        <f>IF(A426="","",N(INDEX(Projects[Site Sup],425)))</f>
        <v/>
      </c>
      <c r="BQ426" s="5">
        <f>IF(A426="","",N(INDEX(Projects[Controls Commissioning],425)))</f>
        <v/>
      </c>
      <c r="BR426" s="5">
        <f>IF(A426="","",N(INDEX(Projects[Systems Commissioning],425)))</f>
        <v/>
      </c>
      <c r="BS426" s="5">
        <f>IF(A426="","",N(INDEX(Projects[Service Commissioning],425)))</f>
        <v/>
      </c>
      <c r="BT426" s="5">
        <f>IF(A426="","",N(INDEX(Projects[Controls Eng],425)))</f>
        <v/>
      </c>
      <c r="BU426" s="5">
        <f>IF(A426="","",N(INDEX(Projects[Controls Purchase],425)))</f>
        <v/>
      </c>
      <c r="BV426" s="5">
        <f>IF(A426="","",N(INDEX(Projects[Software Eng],425)))</f>
        <v/>
      </c>
      <c r="BW426" s="5">
        <f>IF(A426="","",N(INDEX(Projects[Misc],425)))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IF(A427="","",N(INDEX(Projects[Mech Inst],426)))</f>
        <v/>
      </c>
      <c r="BK427" s="5">
        <f>IF(A427="","",N(INDEX(Projects[Elec Inst],426)))</f>
        <v/>
      </c>
      <c r="BL427" s="5">
        <f>IF(A427="","",N(INDEX(Projects[Project Management],426)))</f>
        <v/>
      </c>
      <c r="BM427" s="5">
        <f>IF(A427="","",N(INDEX(Projects[Systems Eng],426)))</f>
        <v/>
      </c>
      <c r="BN427" s="5">
        <f>IF(A427="","",N(INDEX(Projects[Mechanical Eng],426)))</f>
        <v/>
      </c>
      <c r="BO427" s="5">
        <f>IF(A427="","",N(INDEX(Projects[Structural Engineering],426)))</f>
        <v/>
      </c>
      <c r="BP427" s="5">
        <f>IF(A427="","",N(INDEX(Projects[Site Sup],426)))</f>
        <v/>
      </c>
      <c r="BQ427" s="5">
        <f>IF(A427="","",N(INDEX(Projects[Controls Commissioning],426)))</f>
        <v/>
      </c>
      <c r="BR427" s="5">
        <f>IF(A427="","",N(INDEX(Projects[Systems Commissioning],426)))</f>
        <v/>
      </c>
      <c r="BS427" s="5">
        <f>IF(A427="","",N(INDEX(Projects[Service Commissioning],426)))</f>
        <v/>
      </c>
      <c r="BT427" s="5">
        <f>IF(A427="","",N(INDEX(Projects[Controls Eng],426)))</f>
        <v/>
      </c>
      <c r="BU427" s="5">
        <f>IF(A427="","",N(INDEX(Projects[Controls Purchase],426)))</f>
        <v/>
      </c>
      <c r="BV427" s="5">
        <f>IF(A427="","",N(INDEX(Projects[Software Eng],426)))</f>
        <v/>
      </c>
      <c r="BW427" s="5">
        <f>IF(A427="","",N(INDEX(Projects[Misc],426)))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IF(A428="","",N(INDEX(Projects[Mech Inst],427)))</f>
        <v/>
      </c>
      <c r="BK428" s="5">
        <f>IF(A428="","",N(INDEX(Projects[Elec Inst],427)))</f>
        <v/>
      </c>
      <c r="BL428" s="5">
        <f>IF(A428="","",N(INDEX(Projects[Project Management],427)))</f>
        <v/>
      </c>
      <c r="BM428" s="5">
        <f>IF(A428="","",N(INDEX(Projects[Systems Eng],427)))</f>
        <v/>
      </c>
      <c r="BN428" s="5">
        <f>IF(A428="","",N(INDEX(Projects[Mechanical Eng],427)))</f>
        <v/>
      </c>
      <c r="BO428" s="5">
        <f>IF(A428="","",N(INDEX(Projects[Structural Engineering],427)))</f>
        <v/>
      </c>
      <c r="BP428" s="5">
        <f>IF(A428="","",N(INDEX(Projects[Site Sup],427)))</f>
        <v/>
      </c>
      <c r="BQ428" s="5">
        <f>IF(A428="","",N(INDEX(Projects[Controls Commissioning],427)))</f>
        <v/>
      </c>
      <c r="BR428" s="5">
        <f>IF(A428="","",N(INDEX(Projects[Systems Commissioning],427)))</f>
        <v/>
      </c>
      <c r="BS428" s="5">
        <f>IF(A428="","",N(INDEX(Projects[Service Commissioning],427)))</f>
        <v/>
      </c>
      <c r="BT428" s="5">
        <f>IF(A428="","",N(INDEX(Projects[Controls Eng],427)))</f>
        <v/>
      </c>
      <c r="BU428" s="5">
        <f>IF(A428="","",N(INDEX(Projects[Controls Purchase],427)))</f>
        <v/>
      </c>
      <c r="BV428" s="5">
        <f>IF(A428="","",N(INDEX(Projects[Software Eng],427)))</f>
        <v/>
      </c>
      <c r="BW428" s="5">
        <f>IF(A428="","",N(INDEX(Projects[Misc],427)))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IF(A429="","",N(INDEX(Projects[Mech Inst],428)))</f>
        <v/>
      </c>
      <c r="BK429" s="5">
        <f>IF(A429="","",N(INDEX(Projects[Elec Inst],428)))</f>
        <v/>
      </c>
      <c r="BL429" s="5">
        <f>IF(A429="","",N(INDEX(Projects[Project Management],428)))</f>
        <v/>
      </c>
      <c r="BM429" s="5">
        <f>IF(A429="","",N(INDEX(Projects[Systems Eng],428)))</f>
        <v/>
      </c>
      <c r="BN429" s="5">
        <f>IF(A429="","",N(INDEX(Projects[Mechanical Eng],428)))</f>
        <v/>
      </c>
      <c r="BO429" s="5">
        <f>IF(A429="","",N(INDEX(Projects[Structural Engineering],428)))</f>
        <v/>
      </c>
      <c r="BP429" s="5">
        <f>IF(A429="","",N(INDEX(Projects[Site Sup],428)))</f>
        <v/>
      </c>
      <c r="BQ429" s="5">
        <f>IF(A429="","",N(INDEX(Projects[Controls Commissioning],428)))</f>
        <v/>
      </c>
      <c r="BR429" s="5">
        <f>IF(A429="","",N(INDEX(Projects[Systems Commissioning],428)))</f>
        <v/>
      </c>
      <c r="BS429" s="5">
        <f>IF(A429="","",N(INDEX(Projects[Service Commissioning],428)))</f>
        <v/>
      </c>
      <c r="BT429" s="5">
        <f>IF(A429="","",N(INDEX(Projects[Controls Eng],428)))</f>
        <v/>
      </c>
      <c r="BU429" s="5">
        <f>IF(A429="","",N(INDEX(Projects[Controls Purchase],428)))</f>
        <v/>
      </c>
      <c r="BV429" s="5">
        <f>IF(A429="","",N(INDEX(Projects[Software Eng],428)))</f>
        <v/>
      </c>
      <c r="BW429" s="5">
        <f>IF(A429="","",N(INDEX(Projects[Misc],428)))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IF(A430="","",N(INDEX(Projects[Mech Inst],429)))</f>
        <v/>
      </c>
      <c r="BK430" s="5">
        <f>IF(A430="","",N(INDEX(Projects[Elec Inst],429)))</f>
        <v/>
      </c>
      <c r="BL430" s="5">
        <f>IF(A430="","",N(INDEX(Projects[Project Management],429)))</f>
        <v/>
      </c>
      <c r="BM430" s="5">
        <f>IF(A430="","",N(INDEX(Projects[Systems Eng],429)))</f>
        <v/>
      </c>
      <c r="BN430" s="5">
        <f>IF(A430="","",N(INDEX(Projects[Mechanical Eng],429)))</f>
        <v/>
      </c>
      <c r="BO430" s="5">
        <f>IF(A430="","",N(INDEX(Projects[Structural Engineering],429)))</f>
        <v/>
      </c>
      <c r="BP430" s="5">
        <f>IF(A430="","",N(INDEX(Projects[Site Sup],429)))</f>
        <v/>
      </c>
      <c r="BQ430" s="5">
        <f>IF(A430="","",N(INDEX(Projects[Controls Commissioning],429)))</f>
        <v/>
      </c>
      <c r="BR430" s="5">
        <f>IF(A430="","",N(INDEX(Projects[Systems Commissioning],429)))</f>
        <v/>
      </c>
      <c r="BS430" s="5">
        <f>IF(A430="","",N(INDEX(Projects[Service Commissioning],429)))</f>
        <v/>
      </c>
      <c r="BT430" s="5">
        <f>IF(A430="","",N(INDEX(Projects[Controls Eng],429)))</f>
        <v/>
      </c>
      <c r="BU430" s="5">
        <f>IF(A430="","",N(INDEX(Projects[Controls Purchase],429)))</f>
        <v/>
      </c>
      <c r="BV430" s="5">
        <f>IF(A430="","",N(INDEX(Projects[Software Eng],429)))</f>
        <v/>
      </c>
      <c r="BW430" s="5">
        <f>IF(A430="","",N(INDEX(Projects[Misc],429)))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IF(A431="","",N(INDEX(Projects[Mech Inst],430)))</f>
        <v/>
      </c>
      <c r="BK431" s="5">
        <f>IF(A431="","",N(INDEX(Projects[Elec Inst],430)))</f>
        <v/>
      </c>
      <c r="BL431" s="5">
        <f>IF(A431="","",N(INDEX(Projects[Project Management],430)))</f>
        <v/>
      </c>
      <c r="BM431" s="5">
        <f>IF(A431="","",N(INDEX(Projects[Systems Eng],430)))</f>
        <v/>
      </c>
      <c r="BN431" s="5">
        <f>IF(A431="","",N(INDEX(Projects[Mechanical Eng],430)))</f>
        <v/>
      </c>
      <c r="BO431" s="5">
        <f>IF(A431="","",N(INDEX(Projects[Structural Engineering],430)))</f>
        <v/>
      </c>
      <c r="BP431" s="5">
        <f>IF(A431="","",N(INDEX(Projects[Site Sup],430)))</f>
        <v/>
      </c>
      <c r="BQ431" s="5">
        <f>IF(A431="","",N(INDEX(Projects[Controls Commissioning],430)))</f>
        <v/>
      </c>
      <c r="BR431" s="5">
        <f>IF(A431="","",N(INDEX(Projects[Systems Commissioning],430)))</f>
        <v/>
      </c>
      <c r="BS431" s="5">
        <f>IF(A431="","",N(INDEX(Projects[Service Commissioning],430)))</f>
        <v/>
      </c>
      <c r="BT431" s="5">
        <f>IF(A431="","",N(INDEX(Projects[Controls Eng],430)))</f>
        <v/>
      </c>
      <c r="BU431" s="5">
        <f>IF(A431="","",N(INDEX(Projects[Controls Purchase],430)))</f>
        <v/>
      </c>
      <c r="BV431" s="5">
        <f>IF(A431="","",N(INDEX(Projects[Software Eng],430)))</f>
        <v/>
      </c>
      <c r="BW431" s="5">
        <f>IF(A431="","",N(INDEX(Projects[Misc],430)))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IF(A432="","",N(INDEX(Projects[Mech Inst],431)))</f>
        <v/>
      </c>
      <c r="BK432" s="5">
        <f>IF(A432="","",N(INDEX(Projects[Elec Inst],431)))</f>
        <v/>
      </c>
      <c r="BL432" s="5">
        <f>IF(A432="","",N(INDEX(Projects[Project Management],431)))</f>
        <v/>
      </c>
      <c r="BM432" s="5">
        <f>IF(A432="","",N(INDEX(Projects[Systems Eng],431)))</f>
        <v/>
      </c>
      <c r="BN432" s="5">
        <f>IF(A432="","",N(INDEX(Projects[Mechanical Eng],431)))</f>
        <v/>
      </c>
      <c r="BO432" s="5">
        <f>IF(A432="","",N(INDEX(Projects[Structural Engineering],431)))</f>
        <v/>
      </c>
      <c r="BP432" s="5">
        <f>IF(A432="","",N(INDEX(Projects[Site Sup],431)))</f>
        <v/>
      </c>
      <c r="BQ432" s="5">
        <f>IF(A432="","",N(INDEX(Projects[Controls Commissioning],431)))</f>
        <v/>
      </c>
      <c r="BR432" s="5">
        <f>IF(A432="","",N(INDEX(Projects[Systems Commissioning],431)))</f>
        <v/>
      </c>
      <c r="BS432" s="5">
        <f>IF(A432="","",N(INDEX(Projects[Service Commissioning],431)))</f>
        <v/>
      </c>
      <c r="BT432" s="5">
        <f>IF(A432="","",N(INDEX(Projects[Controls Eng],431)))</f>
        <v/>
      </c>
      <c r="BU432" s="5">
        <f>IF(A432="","",N(INDEX(Projects[Controls Purchase],431)))</f>
        <v/>
      </c>
      <c r="BV432" s="5">
        <f>IF(A432="","",N(INDEX(Projects[Software Eng],431)))</f>
        <v/>
      </c>
      <c r="BW432" s="5">
        <f>IF(A432="","",N(INDEX(Projects[Misc],431)))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IF(A433="","",N(INDEX(Projects[Mech Inst],432)))</f>
        <v/>
      </c>
      <c r="BK433" s="5">
        <f>IF(A433="","",N(INDEX(Projects[Elec Inst],432)))</f>
        <v/>
      </c>
      <c r="BL433" s="5">
        <f>IF(A433="","",N(INDEX(Projects[Project Management],432)))</f>
        <v/>
      </c>
      <c r="BM433" s="5">
        <f>IF(A433="","",N(INDEX(Projects[Systems Eng],432)))</f>
        <v/>
      </c>
      <c r="BN433" s="5">
        <f>IF(A433="","",N(INDEX(Projects[Mechanical Eng],432)))</f>
        <v/>
      </c>
      <c r="BO433" s="5">
        <f>IF(A433="","",N(INDEX(Projects[Structural Engineering],432)))</f>
        <v/>
      </c>
      <c r="BP433" s="5">
        <f>IF(A433="","",N(INDEX(Projects[Site Sup],432)))</f>
        <v/>
      </c>
      <c r="BQ433" s="5">
        <f>IF(A433="","",N(INDEX(Projects[Controls Commissioning],432)))</f>
        <v/>
      </c>
      <c r="BR433" s="5">
        <f>IF(A433="","",N(INDEX(Projects[Systems Commissioning],432)))</f>
        <v/>
      </c>
      <c r="BS433" s="5">
        <f>IF(A433="","",N(INDEX(Projects[Service Commissioning],432)))</f>
        <v/>
      </c>
      <c r="BT433" s="5">
        <f>IF(A433="","",N(INDEX(Projects[Controls Eng],432)))</f>
        <v/>
      </c>
      <c r="BU433" s="5">
        <f>IF(A433="","",N(INDEX(Projects[Controls Purchase],432)))</f>
        <v/>
      </c>
      <c r="BV433" s="5">
        <f>IF(A433="","",N(INDEX(Projects[Software Eng],432)))</f>
        <v/>
      </c>
      <c r="BW433" s="5">
        <f>IF(A433="","",N(INDEX(Projects[Misc],432)))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IF(A434="","",N(INDEX(Projects[Mech Inst],433)))</f>
        <v/>
      </c>
      <c r="BK434" s="5">
        <f>IF(A434="","",N(INDEX(Projects[Elec Inst],433)))</f>
        <v/>
      </c>
      <c r="BL434" s="5">
        <f>IF(A434="","",N(INDEX(Projects[Project Management],433)))</f>
        <v/>
      </c>
      <c r="BM434" s="5">
        <f>IF(A434="","",N(INDEX(Projects[Systems Eng],433)))</f>
        <v/>
      </c>
      <c r="BN434" s="5">
        <f>IF(A434="","",N(INDEX(Projects[Mechanical Eng],433)))</f>
        <v/>
      </c>
      <c r="BO434" s="5">
        <f>IF(A434="","",N(INDEX(Projects[Structural Engineering],433)))</f>
        <v/>
      </c>
      <c r="BP434" s="5">
        <f>IF(A434="","",N(INDEX(Projects[Site Sup],433)))</f>
        <v/>
      </c>
      <c r="BQ434" s="5">
        <f>IF(A434="","",N(INDEX(Projects[Controls Commissioning],433)))</f>
        <v/>
      </c>
      <c r="BR434" s="5">
        <f>IF(A434="","",N(INDEX(Projects[Systems Commissioning],433)))</f>
        <v/>
      </c>
      <c r="BS434" s="5">
        <f>IF(A434="","",N(INDEX(Projects[Service Commissioning],433)))</f>
        <v/>
      </c>
      <c r="BT434" s="5">
        <f>IF(A434="","",N(INDEX(Projects[Controls Eng],433)))</f>
        <v/>
      </c>
      <c r="BU434" s="5">
        <f>IF(A434="","",N(INDEX(Projects[Controls Purchase],433)))</f>
        <v/>
      </c>
      <c r="BV434" s="5">
        <f>IF(A434="","",N(INDEX(Projects[Software Eng],433)))</f>
        <v/>
      </c>
      <c r="BW434" s="5">
        <f>IF(A434="","",N(INDEX(Projects[Misc],433)))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IF(A435="","",N(INDEX(Projects[Mech Inst],434)))</f>
        <v/>
      </c>
      <c r="BK435" s="5">
        <f>IF(A435="","",N(INDEX(Projects[Elec Inst],434)))</f>
        <v/>
      </c>
      <c r="BL435" s="5">
        <f>IF(A435="","",N(INDEX(Projects[Project Management],434)))</f>
        <v/>
      </c>
      <c r="BM435" s="5">
        <f>IF(A435="","",N(INDEX(Projects[Systems Eng],434)))</f>
        <v/>
      </c>
      <c r="BN435" s="5">
        <f>IF(A435="","",N(INDEX(Projects[Mechanical Eng],434)))</f>
        <v/>
      </c>
      <c r="BO435" s="5">
        <f>IF(A435="","",N(INDEX(Projects[Structural Engineering],434)))</f>
        <v/>
      </c>
      <c r="BP435" s="5">
        <f>IF(A435="","",N(INDEX(Projects[Site Sup],434)))</f>
        <v/>
      </c>
      <c r="BQ435" s="5">
        <f>IF(A435="","",N(INDEX(Projects[Controls Commissioning],434)))</f>
        <v/>
      </c>
      <c r="BR435" s="5">
        <f>IF(A435="","",N(INDEX(Projects[Systems Commissioning],434)))</f>
        <v/>
      </c>
      <c r="BS435" s="5">
        <f>IF(A435="","",N(INDEX(Projects[Service Commissioning],434)))</f>
        <v/>
      </c>
      <c r="BT435" s="5">
        <f>IF(A435="","",N(INDEX(Projects[Controls Eng],434)))</f>
        <v/>
      </c>
      <c r="BU435" s="5">
        <f>IF(A435="","",N(INDEX(Projects[Controls Purchase],434)))</f>
        <v/>
      </c>
      <c r="BV435" s="5">
        <f>IF(A435="","",N(INDEX(Projects[Software Eng],434)))</f>
        <v/>
      </c>
      <c r="BW435" s="5">
        <f>IF(A435="","",N(INDEX(Projects[Misc],434)))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IF(A436="","",N(INDEX(Projects[Mech Inst],435)))</f>
        <v/>
      </c>
      <c r="BK436" s="5">
        <f>IF(A436="","",N(INDEX(Projects[Elec Inst],435)))</f>
        <v/>
      </c>
      <c r="BL436" s="5">
        <f>IF(A436="","",N(INDEX(Projects[Project Management],435)))</f>
        <v/>
      </c>
      <c r="BM436" s="5">
        <f>IF(A436="","",N(INDEX(Projects[Systems Eng],435)))</f>
        <v/>
      </c>
      <c r="BN436" s="5">
        <f>IF(A436="","",N(INDEX(Projects[Mechanical Eng],435)))</f>
        <v/>
      </c>
      <c r="BO436" s="5">
        <f>IF(A436="","",N(INDEX(Projects[Structural Engineering],435)))</f>
        <v/>
      </c>
      <c r="BP436" s="5">
        <f>IF(A436="","",N(INDEX(Projects[Site Sup],435)))</f>
        <v/>
      </c>
      <c r="BQ436" s="5">
        <f>IF(A436="","",N(INDEX(Projects[Controls Commissioning],435)))</f>
        <v/>
      </c>
      <c r="BR436" s="5">
        <f>IF(A436="","",N(INDEX(Projects[Systems Commissioning],435)))</f>
        <v/>
      </c>
      <c r="BS436" s="5">
        <f>IF(A436="","",N(INDEX(Projects[Service Commissioning],435)))</f>
        <v/>
      </c>
      <c r="BT436" s="5">
        <f>IF(A436="","",N(INDEX(Projects[Controls Eng],435)))</f>
        <v/>
      </c>
      <c r="BU436" s="5">
        <f>IF(A436="","",N(INDEX(Projects[Controls Purchase],435)))</f>
        <v/>
      </c>
      <c r="BV436" s="5">
        <f>IF(A436="","",N(INDEX(Projects[Software Eng],435)))</f>
        <v/>
      </c>
      <c r="BW436" s="5">
        <f>IF(A436="","",N(INDEX(Projects[Misc],435)))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IF(A437="","",N(INDEX(Projects[Mech Inst],436)))</f>
        <v/>
      </c>
      <c r="BK437" s="5">
        <f>IF(A437="","",N(INDEX(Projects[Elec Inst],436)))</f>
        <v/>
      </c>
      <c r="BL437" s="5">
        <f>IF(A437="","",N(INDEX(Projects[Project Management],436)))</f>
        <v/>
      </c>
      <c r="BM437" s="5">
        <f>IF(A437="","",N(INDEX(Projects[Systems Eng],436)))</f>
        <v/>
      </c>
      <c r="BN437" s="5">
        <f>IF(A437="","",N(INDEX(Projects[Mechanical Eng],436)))</f>
        <v/>
      </c>
      <c r="BO437" s="5">
        <f>IF(A437="","",N(INDEX(Projects[Structural Engineering],436)))</f>
        <v/>
      </c>
      <c r="BP437" s="5">
        <f>IF(A437="","",N(INDEX(Projects[Site Sup],436)))</f>
        <v/>
      </c>
      <c r="BQ437" s="5">
        <f>IF(A437="","",N(INDEX(Projects[Controls Commissioning],436)))</f>
        <v/>
      </c>
      <c r="BR437" s="5">
        <f>IF(A437="","",N(INDEX(Projects[Systems Commissioning],436)))</f>
        <v/>
      </c>
      <c r="BS437" s="5">
        <f>IF(A437="","",N(INDEX(Projects[Service Commissioning],436)))</f>
        <v/>
      </c>
      <c r="BT437" s="5">
        <f>IF(A437="","",N(INDEX(Projects[Controls Eng],436)))</f>
        <v/>
      </c>
      <c r="BU437" s="5">
        <f>IF(A437="","",N(INDEX(Projects[Controls Purchase],436)))</f>
        <v/>
      </c>
      <c r="BV437" s="5">
        <f>IF(A437="","",N(INDEX(Projects[Software Eng],436)))</f>
        <v/>
      </c>
      <c r="BW437" s="5">
        <f>IF(A437="","",N(INDEX(Projects[Misc],436)))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IF(A438="","",N(INDEX(Projects[Mech Inst],437)))</f>
        <v/>
      </c>
      <c r="BK438" s="5">
        <f>IF(A438="","",N(INDEX(Projects[Elec Inst],437)))</f>
        <v/>
      </c>
      <c r="BL438" s="5">
        <f>IF(A438="","",N(INDEX(Projects[Project Management],437)))</f>
        <v/>
      </c>
      <c r="BM438" s="5">
        <f>IF(A438="","",N(INDEX(Projects[Systems Eng],437)))</f>
        <v/>
      </c>
      <c r="BN438" s="5">
        <f>IF(A438="","",N(INDEX(Projects[Mechanical Eng],437)))</f>
        <v/>
      </c>
      <c r="BO438" s="5">
        <f>IF(A438="","",N(INDEX(Projects[Structural Engineering],437)))</f>
        <v/>
      </c>
      <c r="BP438" s="5">
        <f>IF(A438="","",N(INDEX(Projects[Site Sup],437)))</f>
        <v/>
      </c>
      <c r="BQ438" s="5">
        <f>IF(A438="","",N(INDEX(Projects[Controls Commissioning],437)))</f>
        <v/>
      </c>
      <c r="BR438" s="5">
        <f>IF(A438="","",N(INDEX(Projects[Systems Commissioning],437)))</f>
        <v/>
      </c>
      <c r="BS438" s="5">
        <f>IF(A438="","",N(INDEX(Projects[Service Commissioning],437)))</f>
        <v/>
      </c>
      <c r="BT438" s="5">
        <f>IF(A438="","",N(INDEX(Projects[Controls Eng],437)))</f>
        <v/>
      </c>
      <c r="BU438" s="5">
        <f>IF(A438="","",N(INDEX(Projects[Controls Purchase],437)))</f>
        <v/>
      </c>
      <c r="BV438" s="5">
        <f>IF(A438="","",N(INDEX(Projects[Software Eng],437)))</f>
        <v/>
      </c>
      <c r="BW438" s="5">
        <f>IF(A438="","",N(INDEX(Projects[Misc],437)))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IF(A439="","",N(INDEX(Projects[Mech Inst],438)))</f>
        <v/>
      </c>
      <c r="BK439" s="5">
        <f>IF(A439="","",N(INDEX(Projects[Elec Inst],438)))</f>
        <v/>
      </c>
      <c r="BL439" s="5">
        <f>IF(A439="","",N(INDEX(Projects[Project Management],438)))</f>
        <v/>
      </c>
      <c r="BM439" s="5">
        <f>IF(A439="","",N(INDEX(Projects[Systems Eng],438)))</f>
        <v/>
      </c>
      <c r="BN439" s="5">
        <f>IF(A439="","",N(INDEX(Projects[Mechanical Eng],438)))</f>
        <v/>
      </c>
      <c r="BO439" s="5">
        <f>IF(A439="","",N(INDEX(Projects[Structural Engineering],438)))</f>
        <v/>
      </c>
      <c r="BP439" s="5">
        <f>IF(A439="","",N(INDEX(Projects[Site Sup],438)))</f>
        <v/>
      </c>
      <c r="BQ439" s="5">
        <f>IF(A439="","",N(INDEX(Projects[Controls Commissioning],438)))</f>
        <v/>
      </c>
      <c r="BR439" s="5">
        <f>IF(A439="","",N(INDEX(Projects[Systems Commissioning],438)))</f>
        <v/>
      </c>
      <c r="BS439" s="5">
        <f>IF(A439="","",N(INDEX(Projects[Service Commissioning],438)))</f>
        <v/>
      </c>
      <c r="BT439" s="5">
        <f>IF(A439="","",N(INDEX(Projects[Controls Eng],438)))</f>
        <v/>
      </c>
      <c r="BU439" s="5">
        <f>IF(A439="","",N(INDEX(Projects[Controls Purchase],438)))</f>
        <v/>
      </c>
      <c r="BV439" s="5">
        <f>IF(A439="","",N(INDEX(Projects[Software Eng],438)))</f>
        <v/>
      </c>
      <c r="BW439" s="5">
        <f>IF(A439="","",N(INDEX(Projects[Misc],438)))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IF(A440="","",N(INDEX(Projects[Mech Inst],439)))</f>
        <v/>
      </c>
      <c r="BK440" s="5">
        <f>IF(A440="","",N(INDEX(Projects[Elec Inst],439)))</f>
        <v/>
      </c>
      <c r="BL440" s="5">
        <f>IF(A440="","",N(INDEX(Projects[Project Management],439)))</f>
        <v/>
      </c>
      <c r="BM440" s="5">
        <f>IF(A440="","",N(INDEX(Projects[Systems Eng],439)))</f>
        <v/>
      </c>
      <c r="BN440" s="5">
        <f>IF(A440="","",N(INDEX(Projects[Mechanical Eng],439)))</f>
        <v/>
      </c>
      <c r="BO440" s="5">
        <f>IF(A440="","",N(INDEX(Projects[Structural Engineering],439)))</f>
        <v/>
      </c>
      <c r="BP440" s="5">
        <f>IF(A440="","",N(INDEX(Projects[Site Sup],439)))</f>
        <v/>
      </c>
      <c r="BQ440" s="5">
        <f>IF(A440="","",N(INDEX(Projects[Controls Commissioning],439)))</f>
        <v/>
      </c>
      <c r="BR440" s="5">
        <f>IF(A440="","",N(INDEX(Projects[Systems Commissioning],439)))</f>
        <v/>
      </c>
      <c r="BS440" s="5">
        <f>IF(A440="","",N(INDEX(Projects[Service Commissioning],439)))</f>
        <v/>
      </c>
      <c r="BT440" s="5">
        <f>IF(A440="","",N(INDEX(Projects[Controls Eng],439)))</f>
        <v/>
      </c>
      <c r="BU440" s="5">
        <f>IF(A440="","",N(INDEX(Projects[Controls Purchase],439)))</f>
        <v/>
      </c>
      <c r="BV440" s="5">
        <f>IF(A440="","",N(INDEX(Projects[Software Eng],439)))</f>
        <v/>
      </c>
      <c r="BW440" s="5">
        <f>IF(A440="","",N(INDEX(Projects[Misc],439)))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IF(A441="","",N(INDEX(Projects[Mech Inst],440)))</f>
        <v/>
      </c>
      <c r="BK441" s="5">
        <f>IF(A441="","",N(INDEX(Projects[Elec Inst],440)))</f>
        <v/>
      </c>
      <c r="BL441" s="5">
        <f>IF(A441="","",N(INDEX(Projects[Project Management],440)))</f>
        <v/>
      </c>
      <c r="BM441" s="5">
        <f>IF(A441="","",N(INDEX(Projects[Systems Eng],440)))</f>
        <v/>
      </c>
      <c r="BN441" s="5">
        <f>IF(A441="","",N(INDEX(Projects[Mechanical Eng],440)))</f>
        <v/>
      </c>
      <c r="BO441" s="5">
        <f>IF(A441="","",N(INDEX(Projects[Structural Engineering],440)))</f>
        <v/>
      </c>
      <c r="BP441" s="5">
        <f>IF(A441="","",N(INDEX(Projects[Site Sup],440)))</f>
        <v/>
      </c>
      <c r="BQ441" s="5">
        <f>IF(A441="","",N(INDEX(Projects[Controls Commissioning],440)))</f>
        <v/>
      </c>
      <c r="BR441" s="5">
        <f>IF(A441="","",N(INDEX(Projects[Systems Commissioning],440)))</f>
        <v/>
      </c>
      <c r="BS441" s="5">
        <f>IF(A441="","",N(INDEX(Projects[Service Commissioning],440)))</f>
        <v/>
      </c>
      <c r="BT441" s="5">
        <f>IF(A441="","",N(INDEX(Projects[Controls Eng],440)))</f>
        <v/>
      </c>
      <c r="BU441" s="5">
        <f>IF(A441="","",N(INDEX(Projects[Controls Purchase],440)))</f>
        <v/>
      </c>
      <c r="BV441" s="5">
        <f>IF(A441="","",N(INDEX(Projects[Software Eng],440)))</f>
        <v/>
      </c>
      <c r="BW441" s="5">
        <f>IF(A441="","",N(INDEX(Projects[Misc],440)))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IF(A442="","",N(INDEX(Projects[Mech Inst],441)))</f>
        <v/>
      </c>
      <c r="BK442" s="5">
        <f>IF(A442="","",N(INDEX(Projects[Elec Inst],441)))</f>
        <v/>
      </c>
      <c r="BL442" s="5">
        <f>IF(A442="","",N(INDEX(Projects[Project Management],441)))</f>
        <v/>
      </c>
      <c r="BM442" s="5">
        <f>IF(A442="","",N(INDEX(Projects[Systems Eng],441)))</f>
        <v/>
      </c>
      <c r="BN442" s="5">
        <f>IF(A442="","",N(INDEX(Projects[Mechanical Eng],441)))</f>
        <v/>
      </c>
      <c r="BO442" s="5">
        <f>IF(A442="","",N(INDEX(Projects[Structural Engineering],441)))</f>
        <v/>
      </c>
      <c r="BP442" s="5">
        <f>IF(A442="","",N(INDEX(Projects[Site Sup],441)))</f>
        <v/>
      </c>
      <c r="BQ442" s="5">
        <f>IF(A442="","",N(INDEX(Projects[Controls Commissioning],441)))</f>
        <v/>
      </c>
      <c r="BR442" s="5">
        <f>IF(A442="","",N(INDEX(Projects[Systems Commissioning],441)))</f>
        <v/>
      </c>
      <c r="BS442" s="5">
        <f>IF(A442="","",N(INDEX(Projects[Service Commissioning],441)))</f>
        <v/>
      </c>
      <c r="BT442" s="5">
        <f>IF(A442="","",N(INDEX(Projects[Controls Eng],441)))</f>
        <v/>
      </c>
      <c r="BU442" s="5">
        <f>IF(A442="","",N(INDEX(Projects[Controls Purchase],441)))</f>
        <v/>
      </c>
      <c r="BV442" s="5">
        <f>IF(A442="","",N(INDEX(Projects[Software Eng],441)))</f>
        <v/>
      </c>
      <c r="BW442" s="5">
        <f>IF(A442="","",N(INDEX(Projects[Misc],441)))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IF(A443="","",N(INDEX(Projects[Mech Inst],442)))</f>
        <v/>
      </c>
      <c r="BK443" s="5">
        <f>IF(A443="","",N(INDEX(Projects[Elec Inst],442)))</f>
        <v/>
      </c>
      <c r="BL443" s="5">
        <f>IF(A443="","",N(INDEX(Projects[Project Management],442)))</f>
        <v/>
      </c>
      <c r="BM443" s="5">
        <f>IF(A443="","",N(INDEX(Projects[Systems Eng],442)))</f>
        <v/>
      </c>
      <c r="BN443" s="5">
        <f>IF(A443="","",N(INDEX(Projects[Mechanical Eng],442)))</f>
        <v/>
      </c>
      <c r="BO443" s="5">
        <f>IF(A443="","",N(INDEX(Projects[Structural Engineering],442)))</f>
        <v/>
      </c>
      <c r="BP443" s="5">
        <f>IF(A443="","",N(INDEX(Projects[Site Sup],442)))</f>
        <v/>
      </c>
      <c r="BQ443" s="5">
        <f>IF(A443="","",N(INDEX(Projects[Controls Commissioning],442)))</f>
        <v/>
      </c>
      <c r="BR443" s="5">
        <f>IF(A443="","",N(INDEX(Projects[Systems Commissioning],442)))</f>
        <v/>
      </c>
      <c r="BS443" s="5">
        <f>IF(A443="","",N(INDEX(Projects[Service Commissioning],442)))</f>
        <v/>
      </c>
      <c r="BT443" s="5">
        <f>IF(A443="","",N(INDEX(Projects[Controls Eng],442)))</f>
        <v/>
      </c>
      <c r="BU443" s="5">
        <f>IF(A443="","",N(INDEX(Projects[Controls Purchase],442)))</f>
        <v/>
      </c>
      <c r="BV443" s="5">
        <f>IF(A443="","",N(INDEX(Projects[Software Eng],442)))</f>
        <v/>
      </c>
      <c r="BW443" s="5">
        <f>IF(A443="","",N(INDEX(Projects[Misc],442)))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IF(A444="","",N(INDEX(Projects[Mech Inst],443)))</f>
        <v/>
      </c>
      <c r="BK444" s="5">
        <f>IF(A444="","",N(INDEX(Projects[Elec Inst],443)))</f>
        <v/>
      </c>
      <c r="BL444" s="5">
        <f>IF(A444="","",N(INDEX(Projects[Project Management],443)))</f>
        <v/>
      </c>
      <c r="BM444" s="5">
        <f>IF(A444="","",N(INDEX(Projects[Systems Eng],443)))</f>
        <v/>
      </c>
      <c r="BN444" s="5">
        <f>IF(A444="","",N(INDEX(Projects[Mechanical Eng],443)))</f>
        <v/>
      </c>
      <c r="BO444" s="5">
        <f>IF(A444="","",N(INDEX(Projects[Structural Engineering],443)))</f>
        <v/>
      </c>
      <c r="BP444" s="5">
        <f>IF(A444="","",N(INDEX(Projects[Site Sup],443)))</f>
        <v/>
      </c>
      <c r="BQ444" s="5">
        <f>IF(A444="","",N(INDEX(Projects[Controls Commissioning],443)))</f>
        <v/>
      </c>
      <c r="BR444" s="5">
        <f>IF(A444="","",N(INDEX(Projects[Systems Commissioning],443)))</f>
        <v/>
      </c>
      <c r="BS444" s="5">
        <f>IF(A444="","",N(INDEX(Projects[Service Commissioning],443)))</f>
        <v/>
      </c>
      <c r="BT444" s="5">
        <f>IF(A444="","",N(INDEX(Projects[Controls Eng],443)))</f>
        <v/>
      </c>
      <c r="BU444" s="5">
        <f>IF(A444="","",N(INDEX(Projects[Controls Purchase],443)))</f>
        <v/>
      </c>
      <c r="BV444" s="5">
        <f>IF(A444="","",N(INDEX(Projects[Software Eng],443)))</f>
        <v/>
      </c>
      <c r="BW444" s="5">
        <f>IF(A444="","",N(INDEX(Projects[Misc],443)))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IF(A445="","",N(INDEX(Projects[Mech Inst],444)))</f>
        <v/>
      </c>
      <c r="BK445" s="5">
        <f>IF(A445="","",N(INDEX(Projects[Elec Inst],444)))</f>
        <v/>
      </c>
      <c r="BL445" s="5">
        <f>IF(A445="","",N(INDEX(Projects[Project Management],444)))</f>
        <v/>
      </c>
      <c r="BM445" s="5">
        <f>IF(A445="","",N(INDEX(Projects[Systems Eng],444)))</f>
        <v/>
      </c>
      <c r="BN445" s="5">
        <f>IF(A445="","",N(INDEX(Projects[Mechanical Eng],444)))</f>
        <v/>
      </c>
      <c r="BO445" s="5">
        <f>IF(A445="","",N(INDEX(Projects[Structural Engineering],444)))</f>
        <v/>
      </c>
      <c r="BP445" s="5">
        <f>IF(A445="","",N(INDEX(Projects[Site Sup],444)))</f>
        <v/>
      </c>
      <c r="BQ445" s="5">
        <f>IF(A445="","",N(INDEX(Projects[Controls Commissioning],444)))</f>
        <v/>
      </c>
      <c r="BR445" s="5">
        <f>IF(A445="","",N(INDEX(Projects[Systems Commissioning],444)))</f>
        <v/>
      </c>
      <c r="BS445" s="5">
        <f>IF(A445="","",N(INDEX(Projects[Service Commissioning],444)))</f>
        <v/>
      </c>
      <c r="BT445" s="5">
        <f>IF(A445="","",N(INDEX(Projects[Controls Eng],444)))</f>
        <v/>
      </c>
      <c r="BU445" s="5">
        <f>IF(A445="","",N(INDEX(Projects[Controls Purchase],444)))</f>
        <v/>
      </c>
      <c r="BV445" s="5">
        <f>IF(A445="","",N(INDEX(Projects[Software Eng],444)))</f>
        <v/>
      </c>
      <c r="BW445" s="5">
        <f>IF(A445="","",N(INDEX(Projects[Misc],444)))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IF(A446="","",N(INDEX(Projects[Mech Inst],445)))</f>
        <v/>
      </c>
      <c r="BK446" s="5">
        <f>IF(A446="","",N(INDEX(Projects[Elec Inst],445)))</f>
        <v/>
      </c>
      <c r="BL446" s="5">
        <f>IF(A446="","",N(INDEX(Projects[Project Management],445)))</f>
        <v/>
      </c>
      <c r="BM446" s="5">
        <f>IF(A446="","",N(INDEX(Projects[Systems Eng],445)))</f>
        <v/>
      </c>
      <c r="BN446" s="5">
        <f>IF(A446="","",N(INDEX(Projects[Mechanical Eng],445)))</f>
        <v/>
      </c>
      <c r="BO446" s="5">
        <f>IF(A446="","",N(INDEX(Projects[Structural Engineering],445)))</f>
        <v/>
      </c>
      <c r="BP446" s="5">
        <f>IF(A446="","",N(INDEX(Projects[Site Sup],445)))</f>
        <v/>
      </c>
      <c r="BQ446" s="5">
        <f>IF(A446="","",N(INDEX(Projects[Controls Commissioning],445)))</f>
        <v/>
      </c>
      <c r="BR446" s="5">
        <f>IF(A446="","",N(INDEX(Projects[Systems Commissioning],445)))</f>
        <v/>
      </c>
      <c r="BS446" s="5">
        <f>IF(A446="","",N(INDEX(Projects[Service Commissioning],445)))</f>
        <v/>
      </c>
      <c r="BT446" s="5">
        <f>IF(A446="","",N(INDEX(Projects[Controls Eng],445)))</f>
        <v/>
      </c>
      <c r="BU446" s="5">
        <f>IF(A446="","",N(INDEX(Projects[Controls Purchase],445)))</f>
        <v/>
      </c>
      <c r="BV446" s="5">
        <f>IF(A446="","",N(INDEX(Projects[Software Eng],445)))</f>
        <v/>
      </c>
      <c r="BW446" s="5">
        <f>IF(A446="","",N(INDEX(Projects[Misc],445)))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IF(A447="","",N(INDEX(Projects[Mech Inst],446)))</f>
        <v/>
      </c>
      <c r="BK447" s="5">
        <f>IF(A447="","",N(INDEX(Projects[Elec Inst],446)))</f>
        <v/>
      </c>
      <c r="BL447" s="5">
        <f>IF(A447="","",N(INDEX(Projects[Project Management],446)))</f>
        <v/>
      </c>
      <c r="BM447" s="5">
        <f>IF(A447="","",N(INDEX(Projects[Systems Eng],446)))</f>
        <v/>
      </c>
      <c r="BN447" s="5">
        <f>IF(A447="","",N(INDEX(Projects[Mechanical Eng],446)))</f>
        <v/>
      </c>
      <c r="BO447" s="5">
        <f>IF(A447="","",N(INDEX(Projects[Structural Engineering],446)))</f>
        <v/>
      </c>
      <c r="BP447" s="5">
        <f>IF(A447="","",N(INDEX(Projects[Site Sup],446)))</f>
        <v/>
      </c>
      <c r="BQ447" s="5">
        <f>IF(A447="","",N(INDEX(Projects[Controls Commissioning],446)))</f>
        <v/>
      </c>
      <c r="BR447" s="5">
        <f>IF(A447="","",N(INDEX(Projects[Systems Commissioning],446)))</f>
        <v/>
      </c>
      <c r="BS447" s="5">
        <f>IF(A447="","",N(INDEX(Projects[Service Commissioning],446)))</f>
        <v/>
      </c>
      <c r="BT447" s="5">
        <f>IF(A447="","",N(INDEX(Projects[Controls Eng],446)))</f>
        <v/>
      </c>
      <c r="BU447" s="5">
        <f>IF(A447="","",N(INDEX(Projects[Controls Purchase],446)))</f>
        <v/>
      </c>
      <c r="BV447" s="5">
        <f>IF(A447="","",N(INDEX(Projects[Software Eng],446)))</f>
        <v/>
      </c>
      <c r="BW447" s="5">
        <f>IF(A447="","",N(INDEX(Projects[Misc],446)))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IF(A448="","",N(INDEX(Projects[Mech Inst],447)))</f>
        <v/>
      </c>
      <c r="BK448" s="5">
        <f>IF(A448="","",N(INDEX(Projects[Elec Inst],447)))</f>
        <v/>
      </c>
      <c r="BL448" s="5">
        <f>IF(A448="","",N(INDEX(Projects[Project Management],447)))</f>
        <v/>
      </c>
      <c r="BM448" s="5">
        <f>IF(A448="","",N(INDEX(Projects[Systems Eng],447)))</f>
        <v/>
      </c>
      <c r="BN448" s="5">
        <f>IF(A448="","",N(INDEX(Projects[Mechanical Eng],447)))</f>
        <v/>
      </c>
      <c r="BO448" s="5">
        <f>IF(A448="","",N(INDEX(Projects[Structural Engineering],447)))</f>
        <v/>
      </c>
      <c r="BP448" s="5">
        <f>IF(A448="","",N(INDEX(Projects[Site Sup],447)))</f>
        <v/>
      </c>
      <c r="BQ448" s="5">
        <f>IF(A448="","",N(INDEX(Projects[Controls Commissioning],447)))</f>
        <v/>
      </c>
      <c r="BR448" s="5">
        <f>IF(A448="","",N(INDEX(Projects[Systems Commissioning],447)))</f>
        <v/>
      </c>
      <c r="BS448" s="5">
        <f>IF(A448="","",N(INDEX(Projects[Service Commissioning],447)))</f>
        <v/>
      </c>
      <c r="BT448" s="5">
        <f>IF(A448="","",N(INDEX(Projects[Controls Eng],447)))</f>
        <v/>
      </c>
      <c r="BU448" s="5">
        <f>IF(A448="","",N(INDEX(Projects[Controls Purchase],447)))</f>
        <v/>
      </c>
      <c r="BV448" s="5">
        <f>IF(A448="","",N(INDEX(Projects[Software Eng],447)))</f>
        <v/>
      </c>
      <c r="BW448" s="5">
        <f>IF(A448="","",N(INDEX(Projects[Misc],447)))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IF(A449="","",N(INDEX(Projects[Mech Inst],448)))</f>
        <v/>
      </c>
      <c r="BK449" s="5">
        <f>IF(A449="","",N(INDEX(Projects[Elec Inst],448)))</f>
        <v/>
      </c>
      <c r="BL449" s="5">
        <f>IF(A449="","",N(INDEX(Projects[Project Management],448)))</f>
        <v/>
      </c>
      <c r="BM449" s="5">
        <f>IF(A449="","",N(INDEX(Projects[Systems Eng],448)))</f>
        <v/>
      </c>
      <c r="BN449" s="5">
        <f>IF(A449="","",N(INDEX(Projects[Mechanical Eng],448)))</f>
        <v/>
      </c>
      <c r="BO449" s="5">
        <f>IF(A449="","",N(INDEX(Projects[Structural Engineering],448)))</f>
        <v/>
      </c>
      <c r="BP449" s="5">
        <f>IF(A449="","",N(INDEX(Projects[Site Sup],448)))</f>
        <v/>
      </c>
      <c r="BQ449" s="5">
        <f>IF(A449="","",N(INDEX(Projects[Controls Commissioning],448)))</f>
        <v/>
      </c>
      <c r="BR449" s="5">
        <f>IF(A449="","",N(INDEX(Projects[Systems Commissioning],448)))</f>
        <v/>
      </c>
      <c r="BS449" s="5">
        <f>IF(A449="","",N(INDEX(Projects[Service Commissioning],448)))</f>
        <v/>
      </c>
      <c r="BT449" s="5">
        <f>IF(A449="","",N(INDEX(Projects[Controls Eng],448)))</f>
        <v/>
      </c>
      <c r="BU449" s="5">
        <f>IF(A449="","",N(INDEX(Projects[Controls Purchase],448)))</f>
        <v/>
      </c>
      <c r="BV449" s="5">
        <f>IF(A449="","",N(INDEX(Projects[Software Eng],448)))</f>
        <v/>
      </c>
      <c r="BW449" s="5">
        <f>IF(A449="","",N(INDEX(Projects[Misc],448)))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IF(A450="","",N(INDEX(Projects[Mech Inst],449)))</f>
        <v/>
      </c>
      <c r="BK450" s="5">
        <f>IF(A450="","",N(INDEX(Projects[Elec Inst],449)))</f>
        <v/>
      </c>
      <c r="BL450" s="5">
        <f>IF(A450="","",N(INDEX(Projects[Project Management],449)))</f>
        <v/>
      </c>
      <c r="BM450" s="5">
        <f>IF(A450="","",N(INDEX(Projects[Systems Eng],449)))</f>
        <v/>
      </c>
      <c r="BN450" s="5">
        <f>IF(A450="","",N(INDEX(Projects[Mechanical Eng],449)))</f>
        <v/>
      </c>
      <c r="BO450" s="5">
        <f>IF(A450="","",N(INDEX(Projects[Structural Engineering],449)))</f>
        <v/>
      </c>
      <c r="BP450" s="5">
        <f>IF(A450="","",N(INDEX(Projects[Site Sup],449)))</f>
        <v/>
      </c>
      <c r="BQ450" s="5">
        <f>IF(A450="","",N(INDEX(Projects[Controls Commissioning],449)))</f>
        <v/>
      </c>
      <c r="BR450" s="5">
        <f>IF(A450="","",N(INDEX(Projects[Systems Commissioning],449)))</f>
        <v/>
      </c>
      <c r="BS450" s="5">
        <f>IF(A450="","",N(INDEX(Projects[Service Commissioning],449)))</f>
        <v/>
      </c>
      <c r="BT450" s="5">
        <f>IF(A450="","",N(INDEX(Projects[Controls Eng],449)))</f>
        <v/>
      </c>
      <c r="BU450" s="5">
        <f>IF(A450="","",N(INDEX(Projects[Controls Purchase],449)))</f>
        <v/>
      </c>
      <c r="BV450" s="5">
        <f>IF(A450="","",N(INDEX(Projects[Software Eng],449)))</f>
        <v/>
      </c>
      <c r="BW450" s="5">
        <f>IF(A450="","",N(INDEX(Projects[Misc],449)))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IF(A451="","",N(INDEX(Projects[Mech Inst],450)))</f>
        <v/>
      </c>
      <c r="BK451" s="5">
        <f>IF(A451="","",N(INDEX(Projects[Elec Inst],450)))</f>
        <v/>
      </c>
      <c r="BL451" s="5">
        <f>IF(A451="","",N(INDEX(Projects[Project Management],450)))</f>
        <v/>
      </c>
      <c r="BM451" s="5">
        <f>IF(A451="","",N(INDEX(Projects[Systems Eng],450)))</f>
        <v/>
      </c>
      <c r="BN451" s="5">
        <f>IF(A451="","",N(INDEX(Projects[Mechanical Eng],450)))</f>
        <v/>
      </c>
      <c r="BO451" s="5">
        <f>IF(A451="","",N(INDEX(Projects[Structural Engineering],450)))</f>
        <v/>
      </c>
      <c r="BP451" s="5">
        <f>IF(A451="","",N(INDEX(Projects[Site Sup],450)))</f>
        <v/>
      </c>
      <c r="BQ451" s="5">
        <f>IF(A451="","",N(INDEX(Projects[Controls Commissioning],450)))</f>
        <v/>
      </c>
      <c r="BR451" s="5">
        <f>IF(A451="","",N(INDEX(Projects[Systems Commissioning],450)))</f>
        <v/>
      </c>
      <c r="BS451" s="5">
        <f>IF(A451="","",N(INDEX(Projects[Service Commissioning],450)))</f>
        <v/>
      </c>
      <c r="BT451" s="5">
        <f>IF(A451="","",N(INDEX(Projects[Controls Eng],450)))</f>
        <v/>
      </c>
      <c r="BU451" s="5">
        <f>IF(A451="","",N(INDEX(Projects[Controls Purchase],450)))</f>
        <v/>
      </c>
      <c r="BV451" s="5">
        <f>IF(A451="","",N(INDEX(Projects[Software Eng],450)))</f>
        <v/>
      </c>
      <c r="BW451" s="5">
        <f>IF(A451="","",N(INDEX(Projects[Misc],450)))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IF(A452="","",N(INDEX(Projects[Mech Inst],451)))</f>
        <v/>
      </c>
      <c r="BK452" s="5">
        <f>IF(A452="","",N(INDEX(Projects[Elec Inst],451)))</f>
        <v/>
      </c>
      <c r="BL452" s="5">
        <f>IF(A452="","",N(INDEX(Projects[Project Management],451)))</f>
        <v/>
      </c>
      <c r="BM452" s="5">
        <f>IF(A452="","",N(INDEX(Projects[Systems Eng],451)))</f>
        <v/>
      </c>
      <c r="BN452" s="5">
        <f>IF(A452="","",N(INDEX(Projects[Mechanical Eng],451)))</f>
        <v/>
      </c>
      <c r="BO452" s="5">
        <f>IF(A452="","",N(INDEX(Projects[Structural Engineering],451)))</f>
        <v/>
      </c>
      <c r="BP452" s="5">
        <f>IF(A452="","",N(INDEX(Projects[Site Sup],451)))</f>
        <v/>
      </c>
      <c r="BQ452" s="5">
        <f>IF(A452="","",N(INDEX(Projects[Controls Commissioning],451)))</f>
        <v/>
      </c>
      <c r="BR452" s="5">
        <f>IF(A452="","",N(INDEX(Projects[Systems Commissioning],451)))</f>
        <v/>
      </c>
      <c r="BS452" s="5">
        <f>IF(A452="","",N(INDEX(Projects[Service Commissioning],451)))</f>
        <v/>
      </c>
      <c r="BT452" s="5">
        <f>IF(A452="","",N(INDEX(Projects[Controls Eng],451)))</f>
        <v/>
      </c>
      <c r="BU452" s="5">
        <f>IF(A452="","",N(INDEX(Projects[Controls Purchase],451)))</f>
        <v/>
      </c>
      <c r="BV452" s="5">
        <f>IF(A452="","",N(INDEX(Projects[Software Eng],451)))</f>
        <v/>
      </c>
      <c r="BW452" s="5">
        <f>IF(A452="","",N(INDEX(Projects[Misc],451)))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IF(A453="","",N(INDEX(Projects[Mech Inst],452)))</f>
        <v/>
      </c>
      <c r="BK453" s="5">
        <f>IF(A453="","",N(INDEX(Projects[Elec Inst],452)))</f>
        <v/>
      </c>
      <c r="BL453" s="5">
        <f>IF(A453="","",N(INDEX(Projects[Project Management],452)))</f>
        <v/>
      </c>
      <c r="BM453" s="5">
        <f>IF(A453="","",N(INDEX(Projects[Systems Eng],452)))</f>
        <v/>
      </c>
      <c r="BN453" s="5">
        <f>IF(A453="","",N(INDEX(Projects[Mechanical Eng],452)))</f>
        <v/>
      </c>
      <c r="BO453" s="5">
        <f>IF(A453="","",N(INDEX(Projects[Structural Engineering],452)))</f>
        <v/>
      </c>
      <c r="BP453" s="5">
        <f>IF(A453="","",N(INDEX(Projects[Site Sup],452)))</f>
        <v/>
      </c>
      <c r="BQ453" s="5">
        <f>IF(A453="","",N(INDEX(Projects[Controls Commissioning],452)))</f>
        <v/>
      </c>
      <c r="BR453" s="5">
        <f>IF(A453="","",N(INDEX(Projects[Systems Commissioning],452)))</f>
        <v/>
      </c>
      <c r="BS453" s="5">
        <f>IF(A453="","",N(INDEX(Projects[Service Commissioning],452)))</f>
        <v/>
      </c>
      <c r="BT453" s="5">
        <f>IF(A453="","",N(INDEX(Projects[Controls Eng],452)))</f>
        <v/>
      </c>
      <c r="BU453" s="5">
        <f>IF(A453="","",N(INDEX(Projects[Controls Purchase],452)))</f>
        <v/>
      </c>
      <c r="BV453" s="5">
        <f>IF(A453="","",N(INDEX(Projects[Software Eng],452)))</f>
        <v/>
      </c>
      <c r="BW453" s="5">
        <f>IF(A453="","",N(INDEX(Projects[Misc],452)))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IF(A454="","",N(INDEX(Projects[Mech Inst],453)))</f>
        <v/>
      </c>
      <c r="BK454" s="5">
        <f>IF(A454="","",N(INDEX(Projects[Elec Inst],453)))</f>
        <v/>
      </c>
      <c r="BL454" s="5">
        <f>IF(A454="","",N(INDEX(Projects[Project Management],453)))</f>
        <v/>
      </c>
      <c r="BM454" s="5">
        <f>IF(A454="","",N(INDEX(Projects[Systems Eng],453)))</f>
        <v/>
      </c>
      <c r="BN454" s="5">
        <f>IF(A454="","",N(INDEX(Projects[Mechanical Eng],453)))</f>
        <v/>
      </c>
      <c r="BO454" s="5">
        <f>IF(A454="","",N(INDEX(Projects[Structural Engineering],453)))</f>
        <v/>
      </c>
      <c r="BP454" s="5">
        <f>IF(A454="","",N(INDEX(Projects[Site Sup],453)))</f>
        <v/>
      </c>
      <c r="BQ454" s="5">
        <f>IF(A454="","",N(INDEX(Projects[Controls Commissioning],453)))</f>
        <v/>
      </c>
      <c r="BR454" s="5">
        <f>IF(A454="","",N(INDEX(Projects[Systems Commissioning],453)))</f>
        <v/>
      </c>
      <c r="BS454" s="5">
        <f>IF(A454="","",N(INDEX(Projects[Service Commissioning],453)))</f>
        <v/>
      </c>
      <c r="BT454" s="5">
        <f>IF(A454="","",N(INDEX(Projects[Controls Eng],453)))</f>
        <v/>
      </c>
      <c r="BU454" s="5">
        <f>IF(A454="","",N(INDEX(Projects[Controls Purchase],453)))</f>
        <v/>
      </c>
      <c r="BV454" s="5">
        <f>IF(A454="","",N(INDEX(Projects[Software Eng],453)))</f>
        <v/>
      </c>
      <c r="BW454" s="5">
        <f>IF(A454="","",N(INDEX(Projects[Misc],453)))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IF(A455="","",N(INDEX(Projects[Mech Inst],454)))</f>
        <v/>
      </c>
      <c r="BK455" s="5">
        <f>IF(A455="","",N(INDEX(Projects[Elec Inst],454)))</f>
        <v/>
      </c>
      <c r="BL455" s="5">
        <f>IF(A455="","",N(INDEX(Projects[Project Management],454)))</f>
        <v/>
      </c>
      <c r="BM455" s="5">
        <f>IF(A455="","",N(INDEX(Projects[Systems Eng],454)))</f>
        <v/>
      </c>
      <c r="BN455" s="5">
        <f>IF(A455="","",N(INDEX(Projects[Mechanical Eng],454)))</f>
        <v/>
      </c>
      <c r="BO455" s="5">
        <f>IF(A455="","",N(INDEX(Projects[Structural Engineering],454)))</f>
        <v/>
      </c>
      <c r="BP455" s="5">
        <f>IF(A455="","",N(INDEX(Projects[Site Sup],454)))</f>
        <v/>
      </c>
      <c r="BQ455" s="5">
        <f>IF(A455="","",N(INDEX(Projects[Controls Commissioning],454)))</f>
        <v/>
      </c>
      <c r="BR455" s="5">
        <f>IF(A455="","",N(INDEX(Projects[Systems Commissioning],454)))</f>
        <v/>
      </c>
      <c r="BS455" s="5">
        <f>IF(A455="","",N(INDEX(Projects[Service Commissioning],454)))</f>
        <v/>
      </c>
      <c r="BT455" s="5">
        <f>IF(A455="","",N(INDEX(Projects[Controls Eng],454)))</f>
        <v/>
      </c>
      <c r="BU455" s="5">
        <f>IF(A455="","",N(INDEX(Projects[Controls Purchase],454)))</f>
        <v/>
      </c>
      <c r="BV455" s="5">
        <f>IF(A455="","",N(INDEX(Projects[Software Eng],454)))</f>
        <v/>
      </c>
      <c r="BW455" s="5">
        <f>IF(A455="","",N(INDEX(Projects[Misc],454)))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IF(A456="","",N(INDEX(Projects[Mech Inst],455)))</f>
        <v/>
      </c>
      <c r="BK456" s="5">
        <f>IF(A456="","",N(INDEX(Projects[Elec Inst],455)))</f>
        <v/>
      </c>
      <c r="BL456" s="5">
        <f>IF(A456="","",N(INDEX(Projects[Project Management],455)))</f>
        <v/>
      </c>
      <c r="BM456" s="5">
        <f>IF(A456="","",N(INDEX(Projects[Systems Eng],455)))</f>
        <v/>
      </c>
      <c r="BN456" s="5">
        <f>IF(A456="","",N(INDEX(Projects[Mechanical Eng],455)))</f>
        <v/>
      </c>
      <c r="BO456" s="5">
        <f>IF(A456="","",N(INDEX(Projects[Structural Engineering],455)))</f>
        <v/>
      </c>
      <c r="BP456" s="5">
        <f>IF(A456="","",N(INDEX(Projects[Site Sup],455)))</f>
        <v/>
      </c>
      <c r="BQ456" s="5">
        <f>IF(A456="","",N(INDEX(Projects[Controls Commissioning],455)))</f>
        <v/>
      </c>
      <c r="BR456" s="5">
        <f>IF(A456="","",N(INDEX(Projects[Systems Commissioning],455)))</f>
        <v/>
      </c>
      <c r="BS456" s="5">
        <f>IF(A456="","",N(INDEX(Projects[Service Commissioning],455)))</f>
        <v/>
      </c>
      <c r="BT456" s="5">
        <f>IF(A456="","",N(INDEX(Projects[Controls Eng],455)))</f>
        <v/>
      </c>
      <c r="BU456" s="5">
        <f>IF(A456="","",N(INDEX(Projects[Controls Purchase],455)))</f>
        <v/>
      </c>
      <c r="BV456" s="5">
        <f>IF(A456="","",N(INDEX(Projects[Software Eng],455)))</f>
        <v/>
      </c>
      <c r="BW456" s="5">
        <f>IF(A456="","",N(INDEX(Projects[Misc],455)))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IF(A457="","",N(INDEX(Projects[Mech Inst],456)))</f>
        <v/>
      </c>
      <c r="BK457" s="5">
        <f>IF(A457="","",N(INDEX(Projects[Elec Inst],456)))</f>
        <v/>
      </c>
      <c r="BL457" s="5">
        <f>IF(A457="","",N(INDEX(Projects[Project Management],456)))</f>
        <v/>
      </c>
      <c r="BM457" s="5">
        <f>IF(A457="","",N(INDEX(Projects[Systems Eng],456)))</f>
        <v/>
      </c>
      <c r="BN457" s="5">
        <f>IF(A457="","",N(INDEX(Projects[Mechanical Eng],456)))</f>
        <v/>
      </c>
      <c r="BO457" s="5">
        <f>IF(A457="","",N(INDEX(Projects[Structural Engineering],456)))</f>
        <v/>
      </c>
      <c r="BP457" s="5">
        <f>IF(A457="","",N(INDEX(Projects[Site Sup],456)))</f>
        <v/>
      </c>
      <c r="BQ457" s="5">
        <f>IF(A457="","",N(INDEX(Projects[Controls Commissioning],456)))</f>
        <v/>
      </c>
      <c r="BR457" s="5">
        <f>IF(A457="","",N(INDEX(Projects[Systems Commissioning],456)))</f>
        <v/>
      </c>
      <c r="BS457" s="5">
        <f>IF(A457="","",N(INDEX(Projects[Service Commissioning],456)))</f>
        <v/>
      </c>
      <c r="BT457" s="5">
        <f>IF(A457="","",N(INDEX(Projects[Controls Eng],456)))</f>
        <v/>
      </c>
      <c r="BU457" s="5">
        <f>IF(A457="","",N(INDEX(Projects[Controls Purchase],456)))</f>
        <v/>
      </c>
      <c r="BV457" s="5">
        <f>IF(A457="","",N(INDEX(Projects[Software Eng],456)))</f>
        <v/>
      </c>
      <c r="BW457" s="5">
        <f>IF(A457="","",N(INDEX(Projects[Misc],456)))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IF(A458="","",N(INDEX(Projects[Mech Inst],457)))</f>
        <v/>
      </c>
      <c r="BK458" s="5">
        <f>IF(A458="","",N(INDEX(Projects[Elec Inst],457)))</f>
        <v/>
      </c>
      <c r="BL458" s="5">
        <f>IF(A458="","",N(INDEX(Projects[Project Management],457)))</f>
        <v/>
      </c>
      <c r="BM458" s="5">
        <f>IF(A458="","",N(INDEX(Projects[Systems Eng],457)))</f>
        <v/>
      </c>
      <c r="BN458" s="5">
        <f>IF(A458="","",N(INDEX(Projects[Mechanical Eng],457)))</f>
        <v/>
      </c>
      <c r="BO458" s="5">
        <f>IF(A458="","",N(INDEX(Projects[Structural Engineering],457)))</f>
        <v/>
      </c>
      <c r="BP458" s="5">
        <f>IF(A458="","",N(INDEX(Projects[Site Sup],457)))</f>
        <v/>
      </c>
      <c r="BQ458" s="5">
        <f>IF(A458="","",N(INDEX(Projects[Controls Commissioning],457)))</f>
        <v/>
      </c>
      <c r="BR458" s="5">
        <f>IF(A458="","",N(INDEX(Projects[Systems Commissioning],457)))</f>
        <v/>
      </c>
      <c r="BS458" s="5">
        <f>IF(A458="","",N(INDEX(Projects[Service Commissioning],457)))</f>
        <v/>
      </c>
      <c r="BT458" s="5">
        <f>IF(A458="","",N(INDEX(Projects[Controls Eng],457)))</f>
        <v/>
      </c>
      <c r="BU458" s="5">
        <f>IF(A458="","",N(INDEX(Projects[Controls Purchase],457)))</f>
        <v/>
      </c>
      <c r="BV458" s="5">
        <f>IF(A458="","",N(INDEX(Projects[Software Eng],457)))</f>
        <v/>
      </c>
      <c r="BW458" s="5">
        <f>IF(A458="","",N(INDEX(Projects[Misc],457)))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IF(A459="","",N(INDEX(Projects[Mech Inst],458)))</f>
        <v/>
      </c>
      <c r="BK459" s="5">
        <f>IF(A459="","",N(INDEX(Projects[Elec Inst],458)))</f>
        <v/>
      </c>
      <c r="BL459" s="5">
        <f>IF(A459="","",N(INDEX(Projects[Project Management],458)))</f>
        <v/>
      </c>
      <c r="BM459" s="5">
        <f>IF(A459="","",N(INDEX(Projects[Systems Eng],458)))</f>
        <v/>
      </c>
      <c r="BN459" s="5">
        <f>IF(A459="","",N(INDEX(Projects[Mechanical Eng],458)))</f>
        <v/>
      </c>
      <c r="BO459" s="5">
        <f>IF(A459="","",N(INDEX(Projects[Structural Engineering],458)))</f>
        <v/>
      </c>
      <c r="BP459" s="5">
        <f>IF(A459="","",N(INDEX(Projects[Site Sup],458)))</f>
        <v/>
      </c>
      <c r="BQ459" s="5">
        <f>IF(A459="","",N(INDEX(Projects[Controls Commissioning],458)))</f>
        <v/>
      </c>
      <c r="BR459" s="5">
        <f>IF(A459="","",N(INDEX(Projects[Systems Commissioning],458)))</f>
        <v/>
      </c>
      <c r="BS459" s="5">
        <f>IF(A459="","",N(INDEX(Projects[Service Commissioning],458)))</f>
        <v/>
      </c>
      <c r="BT459" s="5">
        <f>IF(A459="","",N(INDEX(Projects[Controls Eng],458)))</f>
        <v/>
      </c>
      <c r="BU459" s="5">
        <f>IF(A459="","",N(INDEX(Projects[Controls Purchase],458)))</f>
        <v/>
      </c>
      <c r="BV459" s="5">
        <f>IF(A459="","",N(INDEX(Projects[Software Eng],458)))</f>
        <v/>
      </c>
      <c r="BW459" s="5">
        <f>IF(A459="","",N(INDEX(Projects[Misc],458)))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IF(A460="","",N(INDEX(Projects[Mech Inst],459)))</f>
        <v/>
      </c>
      <c r="BK460" s="5">
        <f>IF(A460="","",N(INDEX(Projects[Elec Inst],459)))</f>
        <v/>
      </c>
      <c r="BL460" s="5">
        <f>IF(A460="","",N(INDEX(Projects[Project Management],459)))</f>
        <v/>
      </c>
      <c r="BM460" s="5">
        <f>IF(A460="","",N(INDEX(Projects[Systems Eng],459)))</f>
        <v/>
      </c>
      <c r="BN460" s="5">
        <f>IF(A460="","",N(INDEX(Projects[Mechanical Eng],459)))</f>
        <v/>
      </c>
      <c r="BO460" s="5">
        <f>IF(A460="","",N(INDEX(Projects[Structural Engineering],459)))</f>
        <v/>
      </c>
      <c r="BP460" s="5">
        <f>IF(A460="","",N(INDEX(Projects[Site Sup],459)))</f>
        <v/>
      </c>
      <c r="BQ460" s="5">
        <f>IF(A460="","",N(INDEX(Projects[Controls Commissioning],459)))</f>
        <v/>
      </c>
      <c r="BR460" s="5">
        <f>IF(A460="","",N(INDEX(Projects[Systems Commissioning],459)))</f>
        <v/>
      </c>
      <c r="BS460" s="5">
        <f>IF(A460="","",N(INDEX(Projects[Service Commissioning],459)))</f>
        <v/>
      </c>
      <c r="BT460" s="5">
        <f>IF(A460="","",N(INDEX(Projects[Controls Eng],459)))</f>
        <v/>
      </c>
      <c r="BU460" s="5">
        <f>IF(A460="","",N(INDEX(Projects[Controls Purchase],459)))</f>
        <v/>
      </c>
      <c r="BV460" s="5">
        <f>IF(A460="","",N(INDEX(Projects[Software Eng],459)))</f>
        <v/>
      </c>
      <c r="BW460" s="5">
        <f>IF(A460="","",N(INDEX(Projects[Misc],459)))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IF(A461="","",N(INDEX(Projects[Mech Inst],460)))</f>
        <v/>
      </c>
      <c r="BK461" s="5">
        <f>IF(A461="","",N(INDEX(Projects[Elec Inst],460)))</f>
        <v/>
      </c>
      <c r="BL461" s="5">
        <f>IF(A461="","",N(INDEX(Projects[Project Management],460)))</f>
        <v/>
      </c>
      <c r="BM461" s="5">
        <f>IF(A461="","",N(INDEX(Projects[Systems Eng],460)))</f>
        <v/>
      </c>
      <c r="BN461" s="5">
        <f>IF(A461="","",N(INDEX(Projects[Mechanical Eng],460)))</f>
        <v/>
      </c>
      <c r="BO461" s="5">
        <f>IF(A461="","",N(INDEX(Projects[Structural Engineering],460)))</f>
        <v/>
      </c>
      <c r="BP461" s="5">
        <f>IF(A461="","",N(INDEX(Projects[Site Sup],460)))</f>
        <v/>
      </c>
      <c r="BQ461" s="5">
        <f>IF(A461="","",N(INDEX(Projects[Controls Commissioning],460)))</f>
        <v/>
      </c>
      <c r="BR461" s="5">
        <f>IF(A461="","",N(INDEX(Projects[Systems Commissioning],460)))</f>
        <v/>
      </c>
      <c r="BS461" s="5">
        <f>IF(A461="","",N(INDEX(Projects[Service Commissioning],460)))</f>
        <v/>
      </c>
      <c r="BT461" s="5">
        <f>IF(A461="","",N(INDEX(Projects[Controls Eng],460)))</f>
        <v/>
      </c>
      <c r="BU461" s="5">
        <f>IF(A461="","",N(INDEX(Projects[Controls Purchase],460)))</f>
        <v/>
      </c>
      <c r="BV461" s="5">
        <f>IF(A461="","",N(INDEX(Projects[Software Eng],460)))</f>
        <v/>
      </c>
      <c r="BW461" s="5">
        <f>IF(A461="","",N(INDEX(Projects[Misc],460)))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IF(A462="","",N(INDEX(Projects[Mech Inst],461)))</f>
        <v/>
      </c>
      <c r="BK462" s="5">
        <f>IF(A462="","",N(INDEX(Projects[Elec Inst],461)))</f>
        <v/>
      </c>
      <c r="BL462" s="5">
        <f>IF(A462="","",N(INDEX(Projects[Project Management],461)))</f>
        <v/>
      </c>
      <c r="BM462" s="5">
        <f>IF(A462="","",N(INDEX(Projects[Systems Eng],461)))</f>
        <v/>
      </c>
      <c r="BN462" s="5">
        <f>IF(A462="","",N(INDEX(Projects[Mechanical Eng],461)))</f>
        <v/>
      </c>
      <c r="BO462" s="5">
        <f>IF(A462="","",N(INDEX(Projects[Structural Engineering],461)))</f>
        <v/>
      </c>
      <c r="BP462" s="5">
        <f>IF(A462="","",N(INDEX(Projects[Site Sup],461)))</f>
        <v/>
      </c>
      <c r="BQ462" s="5">
        <f>IF(A462="","",N(INDEX(Projects[Controls Commissioning],461)))</f>
        <v/>
      </c>
      <c r="BR462" s="5">
        <f>IF(A462="","",N(INDEX(Projects[Systems Commissioning],461)))</f>
        <v/>
      </c>
      <c r="BS462" s="5">
        <f>IF(A462="","",N(INDEX(Projects[Service Commissioning],461)))</f>
        <v/>
      </c>
      <c r="BT462" s="5">
        <f>IF(A462="","",N(INDEX(Projects[Controls Eng],461)))</f>
        <v/>
      </c>
      <c r="BU462" s="5">
        <f>IF(A462="","",N(INDEX(Projects[Controls Purchase],461)))</f>
        <v/>
      </c>
      <c r="BV462" s="5">
        <f>IF(A462="","",N(INDEX(Projects[Software Eng],461)))</f>
        <v/>
      </c>
      <c r="BW462" s="5">
        <f>IF(A462="","",N(INDEX(Projects[Misc],461)))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IF(A463="","",N(INDEX(Projects[Mech Inst],462)))</f>
        <v/>
      </c>
      <c r="BK463" s="5">
        <f>IF(A463="","",N(INDEX(Projects[Elec Inst],462)))</f>
        <v/>
      </c>
      <c r="BL463" s="5">
        <f>IF(A463="","",N(INDEX(Projects[Project Management],462)))</f>
        <v/>
      </c>
      <c r="BM463" s="5">
        <f>IF(A463="","",N(INDEX(Projects[Systems Eng],462)))</f>
        <v/>
      </c>
      <c r="BN463" s="5">
        <f>IF(A463="","",N(INDEX(Projects[Mechanical Eng],462)))</f>
        <v/>
      </c>
      <c r="BO463" s="5">
        <f>IF(A463="","",N(INDEX(Projects[Structural Engineering],462)))</f>
        <v/>
      </c>
      <c r="BP463" s="5">
        <f>IF(A463="","",N(INDEX(Projects[Site Sup],462)))</f>
        <v/>
      </c>
      <c r="BQ463" s="5">
        <f>IF(A463="","",N(INDEX(Projects[Controls Commissioning],462)))</f>
        <v/>
      </c>
      <c r="BR463" s="5">
        <f>IF(A463="","",N(INDEX(Projects[Systems Commissioning],462)))</f>
        <v/>
      </c>
      <c r="BS463" s="5">
        <f>IF(A463="","",N(INDEX(Projects[Service Commissioning],462)))</f>
        <v/>
      </c>
      <c r="BT463" s="5">
        <f>IF(A463="","",N(INDEX(Projects[Controls Eng],462)))</f>
        <v/>
      </c>
      <c r="BU463" s="5">
        <f>IF(A463="","",N(INDEX(Projects[Controls Purchase],462)))</f>
        <v/>
      </c>
      <c r="BV463" s="5">
        <f>IF(A463="","",N(INDEX(Projects[Software Eng],462)))</f>
        <v/>
      </c>
      <c r="BW463" s="5">
        <f>IF(A463="","",N(INDEX(Projects[Misc],462)))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IF(A464="","",N(INDEX(Projects[Mech Inst],463)))</f>
        <v/>
      </c>
      <c r="BK464" s="5">
        <f>IF(A464="","",N(INDEX(Projects[Elec Inst],463)))</f>
        <v/>
      </c>
      <c r="BL464" s="5">
        <f>IF(A464="","",N(INDEX(Projects[Project Management],463)))</f>
        <v/>
      </c>
      <c r="BM464" s="5">
        <f>IF(A464="","",N(INDEX(Projects[Systems Eng],463)))</f>
        <v/>
      </c>
      <c r="BN464" s="5">
        <f>IF(A464="","",N(INDEX(Projects[Mechanical Eng],463)))</f>
        <v/>
      </c>
      <c r="BO464" s="5">
        <f>IF(A464="","",N(INDEX(Projects[Structural Engineering],463)))</f>
        <v/>
      </c>
      <c r="BP464" s="5">
        <f>IF(A464="","",N(INDEX(Projects[Site Sup],463)))</f>
        <v/>
      </c>
      <c r="BQ464" s="5">
        <f>IF(A464="","",N(INDEX(Projects[Controls Commissioning],463)))</f>
        <v/>
      </c>
      <c r="BR464" s="5">
        <f>IF(A464="","",N(INDEX(Projects[Systems Commissioning],463)))</f>
        <v/>
      </c>
      <c r="BS464" s="5">
        <f>IF(A464="","",N(INDEX(Projects[Service Commissioning],463)))</f>
        <v/>
      </c>
      <c r="BT464" s="5">
        <f>IF(A464="","",N(INDEX(Projects[Controls Eng],463)))</f>
        <v/>
      </c>
      <c r="BU464" s="5">
        <f>IF(A464="","",N(INDEX(Projects[Controls Purchase],463)))</f>
        <v/>
      </c>
      <c r="BV464" s="5">
        <f>IF(A464="","",N(INDEX(Projects[Software Eng],463)))</f>
        <v/>
      </c>
      <c r="BW464" s="5">
        <f>IF(A464="","",N(INDEX(Projects[Misc],463)))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IF(A465="","",N(INDEX(Projects[Mech Inst],464)))</f>
        <v/>
      </c>
      <c r="BK465" s="5">
        <f>IF(A465="","",N(INDEX(Projects[Elec Inst],464)))</f>
        <v/>
      </c>
      <c r="BL465" s="5">
        <f>IF(A465="","",N(INDEX(Projects[Project Management],464)))</f>
        <v/>
      </c>
      <c r="BM465" s="5">
        <f>IF(A465="","",N(INDEX(Projects[Systems Eng],464)))</f>
        <v/>
      </c>
      <c r="BN465" s="5">
        <f>IF(A465="","",N(INDEX(Projects[Mechanical Eng],464)))</f>
        <v/>
      </c>
      <c r="BO465" s="5">
        <f>IF(A465="","",N(INDEX(Projects[Structural Engineering],464)))</f>
        <v/>
      </c>
      <c r="BP465" s="5">
        <f>IF(A465="","",N(INDEX(Projects[Site Sup],464)))</f>
        <v/>
      </c>
      <c r="BQ465" s="5">
        <f>IF(A465="","",N(INDEX(Projects[Controls Commissioning],464)))</f>
        <v/>
      </c>
      <c r="BR465" s="5">
        <f>IF(A465="","",N(INDEX(Projects[Systems Commissioning],464)))</f>
        <v/>
      </c>
      <c r="BS465" s="5">
        <f>IF(A465="","",N(INDEX(Projects[Service Commissioning],464)))</f>
        <v/>
      </c>
      <c r="BT465" s="5">
        <f>IF(A465="","",N(INDEX(Projects[Controls Eng],464)))</f>
        <v/>
      </c>
      <c r="BU465" s="5">
        <f>IF(A465="","",N(INDEX(Projects[Controls Purchase],464)))</f>
        <v/>
      </c>
      <c r="BV465" s="5">
        <f>IF(A465="","",N(INDEX(Projects[Software Eng],464)))</f>
        <v/>
      </c>
      <c r="BW465" s="5">
        <f>IF(A465="","",N(INDEX(Projects[Misc],464)))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IF(A466="","",N(INDEX(Projects[Mech Inst],465)))</f>
        <v/>
      </c>
      <c r="BK466" s="5">
        <f>IF(A466="","",N(INDEX(Projects[Elec Inst],465)))</f>
        <v/>
      </c>
      <c r="BL466" s="5">
        <f>IF(A466="","",N(INDEX(Projects[Project Management],465)))</f>
        <v/>
      </c>
      <c r="BM466" s="5">
        <f>IF(A466="","",N(INDEX(Projects[Systems Eng],465)))</f>
        <v/>
      </c>
      <c r="BN466" s="5">
        <f>IF(A466="","",N(INDEX(Projects[Mechanical Eng],465)))</f>
        <v/>
      </c>
      <c r="BO466" s="5">
        <f>IF(A466="","",N(INDEX(Projects[Structural Engineering],465)))</f>
        <v/>
      </c>
      <c r="BP466" s="5">
        <f>IF(A466="","",N(INDEX(Projects[Site Sup],465)))</f>
        <v/>
      </c>
      <c r="BQ466" s="5">
        <f>IF(A466="","",N(INDEX(Projects[Controls Commissioning],465)))</f>
        <v/>
      </c>
      <c r="BR466" s="5">
        <f>IF(A466="","",N(INDEX(Projects[Systems Commissioning],465)))</f>
        <v/>
      </c>
      <c r="BS466" s="5">
        <f>IF(A466="","",N(INDEX(Projects[Service Commissioning],465)))</f>
        <v/>
      </c>
      <c r="BT466" s="5">
        <f>IF(A466="","",N(INDEX(Projects[Controls Eng],465)))</f>
        <v/>
      </c>
      <c r="BU466" s="5">
        <f>IF(A466="","",N(INDEX(Projects[Controls Purchase],465)))</f>
        <v/>
      </c>
      <c r="BV466" s="5">
        <f>IF(A466="","",N(INDEX(Projects[Software Eng],465)))</f>
        <v/>
      </c>
      <c r="BW466" s="5">
        <f>IF(A466="","",N(INDEX(Projects[Misc],465)))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IF(A467="","",N(INDEX(Projects[Mech Inst],466)))</f>
        <v/>
      </c>
      <c r="BK467" s="5">
        <f>IF(A467="","",N(INDEX(Projects[Elec Inst],466)))</f>
        <v/>
      </c>
      <c r="BL467" s="5">
        <f>IF(A467="","",N(INDEX(Projects[Project Management],466)))</f>
        <v/>
      </c>
      <c r="BM467" s="5">
        <f>IF(A467="","",N(INDEX(Projects[Systems Eng],466)))</f>
        <v/>
      </c>
      <c r="BN467" s="5">
        <f>IF(A467="","",N(INDEX(Projects[Mechanical Eng],466)))</f>
        <v/>
      </c>
      <c r="BO467" s="5">
        <f>IF(A467="","",N(INDEX(Projects[Structural Engineering],466)))</f>
        <v/>
      </c>
      <c r="BP467" s="5">
        <f>IF(A467="","",N(INDEX(Projects[Site Sup],466)))</f>
        <v/>
      </c>
      <c r="BQ467" s="5">
        <f>IF(A467="","",N(INDEX(Projects[Controls Commissioning],466)))</f>
        <v/>
      </c>
      <c r="BR467" s="5">
        <f>IF(A467="","",N(INDEX(Projects[Systems Commissioning],466)))</f>
        <v/>
      </c>
      <c r="BS467" s="5">
        <f>IF(A467="","",N(INDEX(Projects[Service Commissioning],466)))</f>
        <v/>
      </c>
      <c r="BT467" s="5">
        <f>IF(A467="","",N(INDEX(Projects[Controls Eng],466)))</f>
        <v/>
      </c>
      <c r="BU467" s="5">
        <f>IF(A467="","",N(INDEX(Projects[Controls Purchase],466)))</f>
        <v/>
      </c>
      <c r="BV467" s="5">
        <f>IF(A467="","",N(INDEX(Projects[Software Eng],466)))</f>
        <v/>
      </c>
      <c r="BW467" s="5">
        <f>IF(A467="","",N(INDEX(Projects[Misc],466)))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IF(A468="","",N(INDEX(Projects[Mech Inst],467)))</f>
        <v/>
      </c>
      <c r="BK468" s="5">
        <f>IF(A468="","",N(INDEX(Projects[Elec Inst],467)))</f>
        <v/>
      </c>
      <c r="BL468" s="5">
        <f>IF(A468="","",N(INDEX(Projects[Project Management],467)))</f>
        <v/>
      </c>
      <c r="BM468" s="5">
        <f>IF(A468="","",N(INDEX(Projects[Systems Eng],467)))</f>
        <v/>
      </c>
      <c r="BN468" s="5">
        <f>IF(A468="","",N(INDEX(Projects[Mechanical Eng],467)))</f>
        <v/>
      </c>
      <c r="BO468" s="5">
        <f>IF(A468="","",N(INDEX(Projects[Structural Engineering],467)))</f>
        <v/>
      </c>
      <c r="BP468" s="5">
        <f>IF(A468="","",N(INDEX(Projects[Site Sup],467)))</f>
        <v/>
      </c>
      <c r="BQ468" s="5">
        <f>IF(A468="","",N(INDEX(Projects[Controls Commissioning],467)))</f>
        <v/>
      </c>
      <c r="BR468" s="5">
        <f>IF(A468="","",N(INDEX(Projects[Systems Commissioning],467)))</f>
        <v/>
      </c>
      <c r="BS468" s="5">
        <f>IF(A468="","",N(INDEX(Projects[Service Commissioning],467)))</f>
        <v/>
      </c>
      <c r="BT468" s="5">
        <f>IF(A468="","",N(INDEX(Projects[Controls Eng],467)))</f>
        <v/>
      </c>
      <c r="BU468" s="5">
        <f>IF(A468="","",N(INDEX(Projects[Controls Purchase],467)))</f>
        <v/>
      </c>
      <c r="BV468" s="5">
        <f>IF(A468="","",N(INDEX(Projects[Software Eng],467)))</f>
        <v/>
      </c>
      <c r="BW468" s="5">
        <f>IF(A468="","",N(INDEX(Projects[Misc],467)))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IF(A469="","",N(INDEX(Projects[Mech Inst],468)))</f>
        <v/>
      </c>
      <c r="BK469" s="5">
        <f>IF(A469="","",N(INDEX(Projects[Elec Inst],468)))</f>
        <v/>
      </c>
      <c r="BL469" s="5">
        <f>IF(A469="","",N(INDEX(Projects[Project Management],468)))</f>
        <v/>
      </c>
      <c r="BM469" s="5">
        <f>IF(A469="","",N(INDEX(Projects[Systems Eng],468)))</f>
        <v/>
      </c>
      <c r="BN469" s="5">
        <f>IF(A469="","",N(INDEX(Projects[Mechanical Eng],468)))</f>
        <v/>
      </c>
      <c r="BO469" s="5">
        <f>IF(A469="","",N(INDEX(Projects[Structural Engineering],468)))</f>
        <v/>
      </c>
      <c r="BP469" s="5">
        <f>IF(A469="","",N(INDEX(Projects[Site Sup],468)))</f>
        <v/>
      </c>
      <c r="BQ469" s="5">
        <f>IF(A469="","",N(INDEX(Projects[Controls Commissioning],468)))</f>
        <v/>
      </c>
      <c r="BR469" s="5">
        <f>IF(A469="","",N(INDEX(Projects[Systems Commissioning],468)))</f>
        <v/>
      </c>
      <c r="BS469" s="5">
        <f>IF(A469="","",N(INDEX(Projects[Service Commissioning],468)))</f>
        <v/>
      </c>
      <c r="BT469" s="5">
        <f>IF(A469="","",N(INDEX(Projects[Controls Eng],468)))</f>
        <v/>
      </c>
      <c r="BU469" s="5">
        <f>IF(A469="","",N(INDEX(Projects[Controls Purchase],468)))</f>
        <v/>
      </c>
      <c r="BV469" s="5">
        <f>IF(A469="","",N(INDEX(Projects[Software Eng],468)))</f>
        <v/>
      </c>
      <c r="BW469" s="5">
        <f>IF(A469="","",N(INDEX(Projects[Misc],468)))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IF(A470="","",N(INDEX(Projects[Mech Inst],469)))</f>
        <v/>
      </c>
      <c r="BK470" s="5">
        <f>IF(A470="","",N(INDEX(Projects[Elec Inst],469)))</f>
        <v/>
      </c>
      <c r="BL470" s="5">
        <f>IF(A470="","",N(INDEX(Projects[Project Management],469)))</f>
        <v/>
      </c>
      <c r="BM470" s="5">
        <f>IF(A470="","",N(INDEX(Projects[Systems Eng],469)))</f>
        <v/>
      </c>
      <c r="BN470" s="5">
        <f>IF(A470="","",N(INDEX(Projects[Mechanical Eng],469)))</f>
        <v/>
      </c>
      <c r="BO470" s="5">
        <f>IF(A470="","",N(INDEX(Projects[Structural Engineering],469)))</f>
        <v/>
      </c>
      <c r="BP470" s="5">
        <f>IF(A470="","",N(INDEX(Projects[Site Sup],469)))</f>
        <v/>
      </c>
      <c r="BQ470" s="5">
        <f>IF(A470="","",N(INDEX(Projects[Controls Commissioning],469)))</f>
        <v/>
      </c>
      <c r="BR470" s="5">
        <f>IF(A470="","",N(INDEX(Projects[Systems Commissioning],469)))</f>
        <v/>
      </c>
      <c r="BS470" s="5">
        <f>IF(A470="","",N(INDEX(Projects[Service Commissioning],469)))</f>
        <v/>
      </c>
      <c r="BT470" s="5">
        <f>IF(A470="","",N(INDEX(Projects[Controls Eng],469)))</f>
        <v/>
      </c>
      <c r="BU470" s="5">
        <f>IF(A470="","",N(INDEX(Projects[Controls Purchase],469)))</f>
        <v/>
      </c>
      <c r="BV470" s="5">
        <f>IF(A470="","",N(INDEX(Projects[Software Eng],469)))</f>
        <v/>
      </c>
      <c r="BW470" s="5">
        <f>IF(A470="","",N(INDEX(Projects[Misc],469)))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IF(A471="","",N(INDEX(Projects[Mech Inst],470)))</f>
        <v/>
      </c>
      <c r="BK471" s="5">
        <f>IF(A471="","",N(INDEX(Projects[Elec Inst],470)))</f>
        <v/>
      </c>
      <c r="BL471" s="5">
        <f>IF(A471="","",N(INDEX(Projects[Project Management],470)))</f>
        <v/>
      </c>
      <c r="BM471" s="5">
        <f>IF(A471="","",N(INDEX(Projects[Systems Eng],470)))</f>
        <v/>
      </c>
      <c r="BN471" s="5">
        <f>IF(A471="","",N(INDEX(Projects[Mechanical Eng],470)))</f>
        <v/>
      </c>
      <c r="BO471" s="5">
        <f>IF(A471="","",N(INDEX(Projects[Structural Engineering],470)))</f>
        <v/>
      </c>
      <c r="BP471" s="5">
        <f>IF(A471="","",N(INDEX(Projects[Site Sup],470)))</f>
        <v/>
      </c>
      <c r="BQ471" s="5">
        <f>IF(A471="","",N(INDEX(Projects[Controls Commissioning],470)))</f>
        <v/>
      </c>
      <c r="BR471" s="5">
        <f>IF(A471="","",N(INDEX(Projects[Systems Commissioning],470)))</f>
        <v/>
      </c>
      <c r="BS471" s="5">
        <f>IF(A471="","",N(INDEX(Projects[Service Commissioning],470)))</f>
        <v/>
      </c>
      <c r="BT471" s="5">
        <f>IF(A471="","",N(INDEX(Projects[Controls Eng],470)))</f>
        <v/>
      </c>
      <c r="BU471" s="5">
        <f>IF(A471="","",N(INDEX(Projects[Controls Purchase],470)))</f>
        <v/>
      </c>
      <c r="BV471" s="5">
        <f>IF(A471="","",N(INDEX(Projects[Software Eng],470)))</f>
        <v/>
      </c>
      <c r="BW471" s="5">
        <f>IF(A471="","",N(INDEX(Projects[Misc],470)))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IF(A472="","",N(INDEX(Projects[Mech Inst],471)))</f>
        <v/>
      </c>
      <c r="BK472" s="5">
        <f>IF(A472="","",N(INDEX(Projects[Elec Inst],471)))</f>
        <v/>
      </c>
      <c r="BL472" s="5">
        <f>IF(A472="","",N(INDEX(Projects[Project Management],471)))</f>
        <v/>
      </c>
      <c r="BM472" s="5">
        <f>IF(A472="","",N(INDEX(Projects[Systems Eng],471)))</f>
        <v/>
      </c>
      <c r="BN472" s="5">
        <f>IF(A472="","",N(INDEX(Projects[Mechanical Eng],471)))</f>
        <v/>
      </c>
      <c r="BO472" s="5">
        <f>IF(A472="","",N(INDEX(Projects[Structural Engineering],471)))</f>
        <v/>
      </c>
      <c r="BP472" s="5">
        <f>IF(A472="","",N(INDEX(Projects[Site Sup],471)))</f>
        <v/>
      </c>
      <c r="BQ472" s="5">
        <f>IF(A472="","",N(INDEX(Projects[Controls Commissioning],471)))</f>
        <v/>
      </c>
      <c r="BR472" s="5">
        <f>IF(A472="","",N(INDEX(Projects[Systems Commissioning],471)))</f>
        <v/>
      </c>
      <c r="BS472" s="5">
        <f>IF(A472="","",N(INDEX(Projects[Service Commissioning],471)))</f>
        <v/>
      </c>
      <c r="BT472" s="5">
        <f>IF(A472="","",N(INDEX(Projects[Controls Eng],471)))</f>
        <v/>
      </c>
      <c r="BU472" s="5">
        <f>IF(A472="","",N(INDEX(Projects[Controls Purchase],471)))</f>
        <v/>
      </c>
      <c r="BV472" s="5">
        <f>IF(A472="","",N(INDEX(Projects[Software Eng],471)))</f>
        <v/>
      </c>
      <c r="BW472" s="5">
        <f>IF(A472="","",N(INDEX(Projects[Misc],471)))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IF(A473="","",N(INDEX(Projects[Mech Inst],472)))</f>
        <v/>
      </c>
      <c r="BK473" s="5">
        <f>IF(A473="","",N(INDEX(Projects[Elec Inst],472)))</f>
        <v/>
      </c>
      <c r="BL473" s="5">
        <f>IF(A473="","",N(INDEX(Projects[Project Management],472)))</f>
        <v/>
      </c>
      <c r="BM473" s="5">
        <f>IF(A473="","",N(INDEX(Projects[Systems Eng],472)))</f>
        <v/>
      </c>
      <c r="BN473" s="5">
        <f>IF(A473="","",N(INDEX(Projects[Mechanical Eng],472)))</f>
        <v/>
      </c>
      <c r="BO473" s="5">
        <f>IF(A473="","",N(INDEX(Projects[Structural Engineering],472)))</f>
        <v/>
      </c>
      <c r="BP473" s="5">
        <f>IF(A473="","",N(INDEX(Projects[Site Sup],472)))</f>
        <v/>
      </c>
      <c r="BQ473" s="5">
        <f>IF(A473="","",N(INDEX(Projects[Controls Commissioning],472)))</f>
        <v/>
      </c>
      <c r="BR473" s="5">
        <f>IF(A473="","",N(INDEX(Projects[Systems Commissioning],472)))</f>
        <v/>
      </c>
      <c r="BS473" s="5">
        <f>IF(A473="","",N(INDEX(Projects[Service Commissioning],472)))</f>
        <v/>
      </c>
      <c r="BT473" s="5">
        <f>IF(A473="","",N(INDEX(Projects[Controls Eng],472)))</f>
        <v/>
      </c>
      <c r="BU473" s="5">
        <f>IF(A473="","",N(INDEX(Projects[Controls Purchase],472)))</f>
        <v/>
      </c>
      <c r="BV473" s="5">
        <f>IF(A473="","",N(INDEX(Projects[Software Eng],472)))</f>
        <v/>
      </c>
      <c r="BW473" s="5">
        <f>IF(A473="","",N(INDEX(Projects[Misc],472)))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IF(A474="","",N(INDEX(Projects[Mech Inst],473)))</f>
        <v/>
      </c>
      <c r="BK474" s="5">
        <f>IF(A474="","",N(INDEX(Projects[Elec Inst],473)))</f>
        <v/>
      </c>
      <c r="BL474" s="5">
        <f>IF(A474="","",N(INDEX(Projects[Project Management],473)))</f>
        <v/>
      </c>
      <c r="BM474" s="5">
        <f>IF(A474="","",N(INDEX(Projects[Systems Eng],473)))</f>
        <v/>
      </c>
      <c r="BN474" s="5">
        <f>IF(A474="","",N(INDEX(Projects[Mechanical Eng],473)))</f>
        <v/>
      </c>
      <c r="BO474" s="5">
        <f>IF(A474="","",N(INDEX(Projects[Structural Engineering],473)))</f>
        <v/>
      </c>
      <c r="BP474" s="5">
        <f>IF(A474="","",N(INDEX(Projects[Site Sup],473)))</f>
        <v/>
      </c>
      <c r="BQ474" s="5">
        <f>IF(A474="","",N(INDEX(Projects[Controls Commissioning],473)))</f>
        <v/>
      </c>
      <c r="BR474" s="5">
        <f>IF(A474="","",N(INDEX(Projects[Systems Commissioning],473)))</f>
        <v/>
      </c>
      <c r="BS474" s="5">
        <f>IF(A474="","",N(INDEX(Projects[Service Commissioning],473)))</f>
        <v/>
      </c>
      <c r="BT474" s="5">
        <f>IF(A474="","",N(INDEX(Projects[Controls Eng],473)))</f>
        <v/>
      </c>
      <c r="BU474" s="5">
        <f>IF(A474="","",N(INDEX(Projects[Controls Purchase],473)))</f>
        <v/>
      </c>
      <c r="BV474" s="5">
        <f>IF(A474="","",N(INDEX(Projects[Software Eng],473)))</f>
        <v/>
      </c>
      <c r="BW474" s="5">
        <f>IF(A474="","",N(INDEX(Projects[Misc],473)))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IF(A475="","",N(INDEX(Projects[Mech Inst],474)))</f>
        <v/>
      </c>
      <c r="BK475" s="5">
        <f>IF(A475="","",N(INDEX(Projects[Elec Inst],474)))</f>
        <v/>
      </c>
      <c r="BL475" s="5">
        <f>IF(A475="","",N(INDEX(Projects[Project Management],474)))</f>
        <v/>
      </c>
      <c r="BM475" s="5">
        <f>IF(A475="","",N(INDEX(Projects[Systems Eng],474)))</f>
        <v/>
      </c>
      <c r="BN475" s="5">
        <f>IF(A475="","",N(INDEX(Projects[Mechanical Eng],474)))</f>
        <v/>
      </c>
      <c r="BO475" s="5">
        <f>IF(A475="","",N(INDEX(Projects[Structural Engineering],474)))</f>
        <v/>
      </c>
      <c r="BP475" s="5">
        <f>IF(A475="","",N(INDEX(Projects[Site Sup],474)))</f>
        <v/>
      </c>
      <c r="BQ475" s="5">
        <f>IF(A475="","",N(INDEX(Projects[Controls Commissioning],474)))</f>
        <v/>
      </c>
      <c r="BR475" s="5">
        <f>IF(A475="","",N(INDEX(Projects[Systems Commissioning],474)))</f>
        <v/>
      </c>
      <c r="BS475" s="5">
        <f>IF(A475="","",N(INDEX(Projects[Service Commissioning],474)))</f>
        <v/>
      </c>
      <c r="BT475" s="5">
        <f>IF(A475="","",N(INDEX(Projects[Controls Eng],474)))</f>
        <v/>
      </c>
      <c r="BU475" s="5">
        <f>IF(A475="","",N(INDEX(Projects[Controls Purchase],474)))</f>
        <v/>
      </c>
      <c r="BV475" s="5">
        <f>IF(A475="","",N(INDEX(Projects[Software Eng],474)))</f>
        <v/>
      </c>
      <c r="BW475" s="5">
        <f>IF(A475="","",N(INDEX(Projects[Misc],474)))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IF(A476="","",N(INDEX(Projects[Mech Inst],475)))</f>
        <v/>
      </c>
      <c r="BK476" s="5">
        <f>IF(A476="","",N(INDEX(Projects[Elec Inst],475)))</f>
        <v/>
      </c>
      <c r="BL476" s="5">
        <f>IF(A476="","",N(INDEX(Projects[Project Management],475)))</f>
        <v/>
      </c>
      <c r="BM476" s="5">
        <f>IF(A476="","",N(INDEX(Projects[Systems Eng],475)))</f>
        <v/>
      </c>
      <c r="BN476" s="5">
        <f>IF(A476="","",N(INDEX(Projects[Mechanical Eng],475)))</f>
        <v/>
      </c>
      <c r="BO476" s="5">
        <f>IF(A476="","",N(INDEX(Projects[Structural Engineering],475)))</f>
        <v/>
      </c>
      <c r="BP476" s="5">
        <f>IF(A476="","",N(INDEX(Projects[Site Sup],475)))</f>
        <v/>
      </c>
      <c r="BQ476" s="5">
        <f>IF(A476="","",N(INDEX(Projects[Controls Commissioning],475)))</f>
        <v/>
      </c>
      <c r="BR476" s="5">
        <f>IF(A476="","",N(INDEX(Projects[Systems Commissioning],475)))</f>
        <v/>
      </c>
      <c r="BS476" s="5">
        <f>IF(A476="","",N(INDEX(Projects[Service Commissioning],475)))</f>
        <v/>
      </c>
      <c r="BT476" s="5">
        <f>IF(A476="","",N(INDEX(Projects[Controls Eng],475)))</f>
        <v/>
      </c>
      <c r="BU476" s="5">
        <f>IF(A476="","",N(INDEX(Projects[Controls Purchase],475)))</f>
        <v/>
      </c>
      <c r="BV476" s="5">
        <f>IF(A476="","",N(INDEX(Projects[Software Eng],475)))</f>
        <v/>
      </c>
      <c r="BW476" s="5">
        <f>IF(A476="","",N(INDEX(Projects[Misc],475)))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IF(A477="","",N(INDEX(Projects[Mech Inst],476)))</f>
        <v/>
      </c>
      <c r="BK477" s="5">
        <f>IF(A477="","",N(INDEX(Projects[Elec Inst],476)))</f>
        <v/>
      </c>
      <c r="BL477" s="5">
        <f>IF(A477="","",N(INDEX(Projects[Project Management],476)))</f>
        <v/>
      </c>
      <c r="BM477" s="5">
        <f>IF(A477="","",N(INDEX(Projects[Systems Eng],476)))</f>
        <v/>
      </c>
      <c r="BN477" s="5">
        <f>IF(A477="","",N(INDEX(Projects[Mechanical Eng],476)))</f>
        <v/>
      </c>
      <c r="BO477" s="5">
        <f>IF(A477="","",N(INDEX(Projects[Structural Engineering],476)))</f>
        <v/>
      </c>
      <c r="BP477" s="5">
        <f>IF(A477="","",N(INDEX(Projects[Site Sup],476)))</f>
        <v/>
      </c>
      <c r="BQ477" s="5">
        <f>IF(A477="","",N(INDEX(Projects[Controls Commissioning],476)))</f>
        <v/>
      </c>
      <c r="BR477" s="5">
        <f>IF(A477="","",N(INDEX(Projects[Systems Commissioning],476)))</f>
        <v/>
      </c>
      <c r="BS477" s="5">
        <f>IF(A477="","",N(INDEX(Projects[Service Commissioning],476)))</f>
        <v/>
      </c>
      <c r="BT477" s="5">
        <f>IF(A477="","",N(INDEX(Projects[Controls Eng],476)))</f>
        <v/>
      </c>
      <c r="BU477" s="5">
        <f>IF(A477="","",N(INDEX(Projects[Controls Purchase],476)))</f>
        <v/>
      </c>
      <c r="BV477" s="5">
        <f>IF(A477="","",N(INDEX(Projects[Software Eng],476)))</f>
        <v/>
      </c>
      <c r="BW477" s="5">
        <f>IF(A477="","",N(INDEX(Projects[Misc],476)))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IF(A478="","",N(INDEX(Projects[Mech Inst],477)))</f>
        <v/>
      </c>
      <c r="BK478" s="5">
        <f>IF(A478="","",N(INDEX(Projects[Elec Inst],477)))</f>
        <v/>
      </c>
      <c r="BL478" s="5">
        <f>IF(A478="","",N(INDEX(Projects[Project Management],477)))</f>
        <v/>
      </c>
      <c r="BM478" s="5">
        <f>IF(A478="","",N(INDEX(Projects[Systems Eng],477)))</f>
        <v/>
      </c>
      <c r="BN478" s="5">
        <f>IF(A478="","",N(INDEX(Projects[Mechanical Eng],477)))</f>
        <v/>
      </c>
      <c r="BO478" s="5">
        <f>IF(A478="","",N(INDEX(Projects[Structural Engineering],477)))</f>
        <v/>
      </c>
      <c r="BP478" s="5">
        <f>IF(A478="","",N(INDEX(Projects[Site Sup],477)))</f>
        <v/>
      </c>
      <c r="BQ478" s="5">
        <f>IF(A478="","",N(INDEX(Projects[Controls Commissioning],477)))</f>
        <v/>
      </c>
      <c r="BR478" s="5">
        <f>IF(A478="","",N(INDEX(Projects[Systems Commissioning],477)))</f>
        <v/>
      </c>
      <c r="BS478" s="5">
        <f>IF(A478="","",N(INDEX(Projects[Service Commissioning],477)))</f>
        <v/>
      </c>
      <c r="BT478" s="5">
        <f>IF(A478="","",N(INDEX(Projects[Controls Eng],477)))</f>
        <v/>
      </c>
      <c r="BU478" s="5">
        <f>IF(A478="","",N(INDEX(Projects[Controls Purchase],477)))</f>
        <v/>
      </c>
      <c r="BV478" s="5">
        <f>IF(A478="","",N(INDEX(Projects[Software Eng],477)))</f>
        <v/>
      </c>
      <c r="BW478" s="5">
        <f>IF(A478="","",N(INDEX(Projects[Misc],477)))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IF(A479="","",N(INDEX(Projects[Mech Inst],478)))</f>
        <v/>
      </c>
      <c r="BK479" s="5">
        <f>IF(A479="","",N(INDEX(Projects[Elec Inst],478)))</f>
        <v/>
      </c>
      <c r="BL479" s="5">
        <f>IF(A479="","",N(INDEX(Projects[Project Management],478)))</f>
        <v/>
      </c>
      <c r="BM479" s="5">
        <f>IF(A479="","",N(INDEX(Projects[Systems Eng],478)))</f>
        <v/>
      </c>
      <c r="BN479" s="5">
        <f>IF(A479="","",N(INDEX(Projects[Mechanical Eng],478)))</f>
        <v/>
      </c>
      <c r="BO479" s="5">
        <f>IF(A479="","",N(INDEX(Projects[Structural Engineering],478)))</f>
        <v/>
      </c>
      <c r="BP479" s="5">
        <f>IF(A479="","",N(INDEX(Projects[Site Sup],478)))</f>
        <v/>
      </c>
      <c r="BQ479" s="5">
        <f>IF(A479="","",N(INDEX(Projects[Controls Commissioning],478)))</f>
        <v/>
      </c>
      <c r="BR479" s="5">
        <f>IF(A479="","",N(INDEX(Projects[Systems Commissioning],478)))</f>
        <v/>
      </c>
      <c r="BS479" s="5">
        <f>IF(A479="","",N(INDEX(Projects[Service Commissioning],478)))</f>
        <v/>
      </c>
      <c r="BT479" s="5">
        <f>IF(A479="","",N(INDEX(Projects[Controls Eng],478)))</f>
        <v/>
      </c>
      <c r="BU479" s="5">
        <f>IF(A479="","",N(INDEX(Projects[Controls Purchase],478)))</f>
        <v/>
      </c>
      <c r="BV479" s="5">
        <f>IF(A479="","",N(INDEX(Projects[Software Eng],478)))</f>
        <v/>
      </c>
      <c r="BW479" s="5">
        <f>IF(A479="","",N(INDEX(Projects[Misc],478)))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IF(A480="","",N(INDEX(Projects[Mech Inst],479)))</f>
        <v/>
      </c>
      <c r="BK480" s="5">
        <f>IF(A480="","",N(INDEX(Projects[Elec Inst],479)))</f>
        <v/>
      </c>
      <c r="BL480" s="5">
        <f>IF(A480="","",N(INDEX(Projects[Project Management],479)))</f>
        <v/>
      </c>
      <c r="BM480" s="5">
        <f>IF(A480="","",N(INDEX(Projects[Systems Eng],479)))</f>
        <v/>
      </c>
      <c r="BN480" s="5">
        <f>IF(A480="","",N(INDEX(Projects[Mechanical Eng],479)))</f>
        <v/>
      </c>
      <c r="BO480" s="5">
        <f>IF(A480="","",N(INDEX(Projects[Structural Engineering],479)))</f>
        <v/>
      </c>
      <c r="BP480" s="5">
        <f>IF(A480="","",N(INDEX(Projects[Site Sup],479)))</f>
        <v/>
      </c>
      <c r="BQ480" s="5">
        <f>IF(A480="","",N(INDEX(Projects[Controls Commissioning],479)))</f>
        <v/>
      </c>
      <c r="BR480" s="5">
        <f>IF(A480="","",N(INDEX(Projects[Systems Commissioning],479)))</f>
        <v/>
      </c>
      <c r="BS480" s="5">
        <f>IF(A480="","",N(INDEX(Projects[Service Commissioning],479)))</f>
        <v/>
      </c>
      <c r="BT480" s="5">
        <f>IF(A480="","",N(INDEX(Projects[Controls Eng],479)))</f>
        <v/>
      </c>
      <c r="BU480" s="5">
        <f>IF(A480="","",N(INDEX(Projects[Controls Purchase],479)))</f>
        <v/>
      </c>
      <c r="BV480" s="5">
        <f>IF(A480="","",N(INDEX(Projects[Software Eng],479)))</f>
        <v/>
      </c>
      <c r="BW480" s="5">
        <f>IF(A480="","",N(INDEX(Projects[Misc],479)))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IF(A481="","",N(INDEX(Projects[Mech Inst],480)))</f>
        <v/>
      </c>
      <c r="BK481" s="5">
        <f>IF(A481="","",N(INDEX(Projects[Elec Inst],480)))</f>
        <v/>
      </c>
      <c r="BL481" s="5">
        <f>IF(A481="","",N(INDEX(Projects[Project Management],480)))</f>
        <v/>
      </c>
      <c r="BM481" s="5">
        <f>IF(A481="","",N(INDEX(Projects[Systems Eng],480)))</f>
        <v/>
      </c>
      <c r="BN481" s="5">
        <f>IF(A481="","",N(INDEX(Projects[Mechanical Eng],480)))</f>
        <v/>
      </c>
      <c r="BO481" s="5">
        <f>IF(A481="","",N(INDEX(Projects[Structural Engineering],480)))</f>
        <v/>
      </c>
      <c r="BP481" s="5">
        <f>IF(A481="","",N(INDEX(Projects[Site Sup],480)))</f>
        <v/>
      </c>
      <c r="BQ481" s="5">
        <f>IF(A481="","",N(INDEX(Projects[Controls Commissioning],480)))</f>
        <v/>
      </c>
      <c r="BR481" s="5">
        <f>IF(A481="","",N(INDEX(Projects[Systems Commissioning],480)))</f>
        <v/>
      </c>
      <c r="BS481" s="5">
        <f>IF(A481="","",N(INDEX(Projects[Service Commissioning],480)))</f>
        <v/>
      </c>
      <c r="BT481" s="5">
        <f>IF(A481="","",N(INDEX(Projects[Controls Eng],480)))</f>
        <v/>
      </c>
      <c r="BU481" s="5">
        <f>IF(A481="","",N(INDEX(Projects[Controls Purchase],480)))</f>
        <v/>
      </c>
      <c r="BV481" s="5">
        <f>IF(A481="","",N(INDEX(Projects[Software Eng],480)))</f>
        <v/>
      </c>
      <c r="BW481" s="5">
        <f>IF(A481="","",N(INDEX(Projects[Misc],480)))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IF(A482="","",N(INDEX(Projects[Mech Inst],481)))</f>
        <v/>
      </c>
      <c r="BK482" s="5">
        <f>IF(A482="","",N(INDEX(Projects[Elec Inst],481)))</f>
        <v/>
      </c>
      <c r="BL482" s="5">
        <f>IF(A482="","",N(INDEX(Projects[Project Management],481)))</f>
        <v/>
      </c>
      <c r="BM482" s="5">
        <f>IF(A482="","",N(INDEX(Projects[Systems Eng],481)))</f>
        <v/>
      </c>
      <c r="BN482" s="5">
        <f>IF(A482="","",N(INDEX(Projects[Mechanical Eng],481)))</f>
        <v/>
      </c>
      <c r="BO482" s="5">
        <f>IF(A482="","",N(INDEX(Projects[Structural Engineering],481)))</f>
        <v/>
      </c>
      <c r="BP482" s="5">
        <f>IF(A482="","",N(INDEX(Projects[Site Sup],481)))</f>
        <v/>
      </c>
      <c r="BQ482" s="5">
        <f>IF(A482="","",N(INDEX(Projects[Controls Commissioning],481)))</f>
        <v/>
      </c>
      <c r="BR482" s="5">
        <f>IF(A482="","",N(INDEX(Projects[Systems Commissioning],481)))</f>
        <v/>
      </c>
      <c r="BS482" s="5">
        <f>IF(A482="","",N(INDEX(Projects[Service Commissioning],481)))</f>
        <v/>
      </c>
      <c r="BT482" s="5">
        <f>IF(A482="","",N(INDEX(Projects[Controls Eng],481)))</f>
        <v/>
      </c>
      <c r="BU482" s="5">
        <f>IF(A482="","",N(INDEX(Projects[Controls Purchase],481)))</f>
        <v/>
      </c>
      <c r="BV482" s="5">
        <f>IF(A482="","",N(INDEX(Projects[Software Eng],481)))</f>
        <v/>
      </c>
      <c r="BW482" s="5">
        <f>IF(A482="","",N(INDEX(Projects[Misc],481)))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IF(A483="","",N(INDEX(Projects[Mech Inst],482)))</f>
        <v/>
      </c>
      <c r="BK483" s="5">
        <f>IF(A483="","",N(INDEX(Projects[Elec Inst],482)))</f>
        <v/>
      </c>
      <c r="BL483" s="5">
        <f>IF(A483="","",N(INDEX(Projects[Project Management],482)))</f>
        <v/>
      </c>
      <c r="BM483" s="5">
        <f>IF(A483="","",N(INDEX(Projects[Systems Eng],482)))</f>
        <v/>
      </c>
      <c r="BN483" s="5">
        <f>IF(A483="","",N(INDEX(Projects[Mechanical Eng],482)))</f>
        <v/>
      </c>
      <c r="BO483" s="5">
        <f>IF(A483="","",N(INDEX(Projects[Structural Engineering],482)))</f>
        <v/>
      </c>
      <c r="BP483" s="5">
        <f>IF(A483="","",N(INDEX(Projects[Site Sup],482)))</f>
        <v/>
      </c>
      <c r="BQ483" s="5">
        <f>IF(A483="","",N(INDEX(Projects[Controls Commissioning],482)))</f>
        <v/>
      </c>
      <c r="BR483" s="5">
        <f>IF(A483="","",N(INDEX(Projects[Systems Commissioning],482)))</f>
        <v/>
      </c>
      <c r="BS483" s="5">
        <f>IF(A483="","",N(INDEX(Projects[Service Commissioning],482)))</f>
        <v/>
      </c>
      <c r="BT483" s="5">
        <f>IF(A483="","",N(INDEX(Projects[Controls Eng],482)))</f>
        <v/>
      </c>
      <c r="BU483" s="5">
        <f>IF(A483="","",N(INDEX(Projects[Controls Purchase],482)))</f>
        <v/>
      </c>
      <c r="BV483" s="5">
        <f>IF(A483="","",N(INDEX(Projects[Software Eng],482)))</f>
        <v/>
      </c>
      <c r="BW483" s="5">
        <f>IF(A483="","",N(INDEX(Projects[Misc],482)))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IF(A484="","",N(INDEX(Projects[Mech Inst],483)))</f>
        <v/>
      </c>
      <c r="BK484" s="5">
        <f>IF(A484="","",N(INDEX(Projects[Elec Inst],483)))</f>
        <v/>
      </c>
      <c r="BL484" s="5">
        <f>IF(A484="","",N(INDEX(Projects[Project Management],483)))</f>
        <v/>
      </c>
      <c r="BM484" s="5">
        <f>IF(A484="","",N(INDEX(Projects[Systems Eng],483)))</f>
        <v/>
      </c>
      <c r="BN484" s="5">
        <f>IF(A484="","",N(INDEX(Projects[Mechanical Eng],483)))</f>
        <v/>
      </c>
      <c r="BO484" s="5">
        <f>IF(A484="","",N(INDEX(Projects[Structural Engineering],483)))</f>
        <v/>
      </c>
      <c r="BP484" s="5">
        <f>IF(A484="","",N(INDEX(Projects[Site Sup],483)))</f>
        <v/>
      </c>
      <c r="BQ484" s="5">
        <f>IF(A484="","",N(INDEX(Projects[Controls Commissioning],483)))</f>
        <v/>
      </c>
      <c r="BR484" s="5">
        <f>IF(A484="","",N(INDEX(Projects[Systems Commissioning],483)))</f>
        <v/>
      </c>
      <c r="BS484" s="5">
        <f>IF(A484="","",N(INDEX(Projects[Service Commissioning],483)))</f>
        <v/>
      </c>
      <c r="BT484" s="5">
        <f>IF(A484="","",N(INDEX(Projects[Controls Eng],483)))</f>
        <v/>
      </c>
      <c r="BU484" s="5">
        <f>IF(A484="","",N(INDEX(Projects[Controls Purchase],483)))</f>
        <v/>
      </c>
      <c r="BV484" s="5">
        <f>IF(A484="","",N(INDEX(Projects[Software Eng],483)))</f>
        <v/>
      </c>
      <c r="BW484" s="5">
        <f>IF(A484="","",N(INDEX(Projects[Misc],483)))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IF(A485="","",N(INDEX(Projects[Mech Inst],484)))</f>
        <v/>
      </c>
      <c r="BK485" s="5">
        <f>IF(A485="","",N(INDEX(Projects[Elec Inst],484)))</f>
        <v/>
      </c>
      <c r="BL485" s="5">
        <f>IF(A485="","",N(INDEX(Projects[Project Management],484)))</f>
        <v/>
      </c>
      <c r="BM485" s="5">
        <f>IF(A485="","",N(INDEX(Projects[Systems Eng],484)))</f>
        <v/>
      </c>
      <c r="BN485" s="5">
        <f>IF(A485="","",N(INDEX(Projects[Mechanical Eng],484)))</f>
        <v/>
      </c>
      <c r="BO485" s="5">
        <f>IF(A485="","",N(INDEX(Projects[Structural Engineering],484)))</f>
        <v/>
      </c>
      <c r="BP485" s="5">
        <f>IF(A485="","",N(INDEX(Projects[Site Sup],484)))</f>
        <v/>
      </c>
      <c r="BQ485" s="5">
        <f>IF(A485="","",N(INDEX(Projects[Controls Commissioning],484)))</f>
        <v/>
      </c>
      <c r="BR485" s="5">
        <f>IF(A485="","",N(INDEX(Projects[Systems Commissioning],484)))</f>
        <v/>
      </c>
      <c r="BS485" s="5">
        <f>IF(A485="","",N(INDEX(Projects[Service Commissioning],484)))</f>
        <v/>
      </c>
      <c r="BT485" s="5">
        <f>IF(A485="","",N(INDEX(Projects[Controls Eng],484)))</f>
        <v/>
      </c>
      <c r="BU485" s="5">
        <f>IF(A485="","",N(INDEX(Projects[Controls Purchase],484)))</f>
        <v/>
      </c>
      <c r="BV485" s="5">
        <f>IF(A485="","",N(INDEX(Projects[Software Eng],484)))</f>
        <v/>
      </c>
      <c r="BW485" s="5">
        <f>IF(A485="","",N(INDEX(Projects[Misc],484)))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IF(A486="","",N(INDEX(Projects[Mech Inst],485)))</f>
        <v/>
      </c>
      <c r="BK486" s="5">
        <f>IF(A486="","",N(INDEX(Projects[Elec Inst],485)))</f>
        <v/>
      </c>
      <c r="BL486" s="5">
        <f>IF(A486="","",N(INDEX(Projects[Project Management],485)))</f>
        <v/>
      </c>
      <c r="BM486" s="5">
        <f>IF(A486="","",N(INDEX(Projects[Systems Eng],485)))</f>
        <v/>
      </c>
      <c r="BN486" s="5">
        <f>IF(A486="","",N(INDEX(Projects[Mechanical Eng],485)))</f>
        <v/>
      </c>
      <c r="BO486" s="5">
        <f>IF(A486="","",N(INDEX(Projects[Structural Engineering],485)))</f>
        <v/>
      </c>
      <c r="BP486" s="5">
        <f>IF(A486="","",N(INDEX(Projects[Site Sup],485)))</f>
        <v/>
      </c>
      <c r="BQ486" s="5">
        <f>IF(A486="","",N(INDEX(Projects[Controls Commissioning],485)))</f>
        <v/>
      </c>
      <c r="BR486" s="5">
        <f>IF(A486="","",N(INDEX(Projects[Systems Commissioning],485)))</f>
        <v/>
      </c>
      <c r="BS486" s="5">
        <f>IF(A486="","",N(INDEX(Projects[Service Commissioning],485)))</f>
        <v/>
      </c>
      <c r="BT486" s="5">
        <f>IF(A486="","",N(INDEX(Projects[Controls Eng],485)))</f>
        <v/>
      </c>
      <c r="BU486" s="5">
        <f>IF(A486="","",N(INDEX(Projects[Controls Purchase],485)))</f>
        <v/>
      </c>
      <c r="BV486" s="5">
        <f>IF(A486="","",N(INDEX(Projects[Software Eng],485)))</f>
        <v/>
      </c>
      <c r="BW486" s="5">
        <f>IF(A486="","",N(INDEX(Projects[Misc],485)))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IF(A487="","",N(INDEX(Projects[Mech Inst],486)))</f>
        <v/>
      </c>
      <c r="BK487" s="5">
        <f>IF(A487="","",N(INDEX(Projects[Elec Inst],486)))</f>
        <v/>
      </c>
      <c r="BL487" s="5">
        <f>IF(A487="","",N(INDEX(Projects[Project Management],486)))</f>
        <v/>
      </c>
      <c r="BM487" s="5">
        <f>IF(A487="","",N(INDEX(Projects[Systems Eng],486)))</f>
        <v/>
      </c>
      <c r="BN487" s="5">
        <f>IF(A487="","",N(INDEX(Projects[Mechanical Eng],486)))</f>
        <v/>
      </c>
      <c r="BO487" s="5">
        <f>IF(A487="","",N(INDEX(Projects[Structural Engineering],486)))</f>
        <v/>
      </c>
      <c r="BP487" s="5">
        <f>IF(A487="","",N(INDEX(Projects[Site Sup],486)))</f>
        <v/>
      </c>
      <c r="BQ487" s="5">
        <f>IF(A487="","",N(INDEX(Projects[Controls Commissioning],486)))</f>
        <v/>
      </c>
      <c r="BR487" s="5">
        <f>IF(A487="","",N(INDEX(Projects[Systems Commissioning],486)))</f>
        <v/>
      </c>
      <c r="BS487" s="5">
        <f>IF(A487="","",N(INDEX(Projects[Service Commissioning],486)))</f>
        <v/>
      </c>
      <c r="BT487" s="5">
        <f>IF(A487="","",N(INDEX(Projects[Controls Eng],486)))</f>
        <v/>
      </c>
      <c r="BU487" s="5">
        <f>IF(A487="","",N(INDEX(Projects[Controls Purchase],486)))</f>
        <v/>
      </c>
      <c r="BV487" s="5">
        <f>IF(A487="","",N(INDEX(Projects[Software Eng],486)))</f>
        <v/>
      </c>
      <c r="BW487" s="5">
        <f>IF(A487="","",N(INDEX(Projects[Misc],486)))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IF(A488="","",N(INDEX(Projects[Mech Inst],487)))</f>
        <v/>
      </c>
      <c r="BK488" s="5">
        <f>IF(A488="","",N(INDEX(Projects[Elec Inst],487)))</f>
        <v/>
      </c>
      <c r="BL488" s="5">
        <f>IF(A488="","",N(INDEX(Projects[Project Management],487)))</f>
        <v/>
      </c>
      <c r="BM488" s="5">
        <f>IF(A488="","",N(INDEX(Projects[Systems Eng],487)))</f>
        <v/>
      </c>
      <c r="BN488" s="5">
        <f>IF(A488="","",N(INDEX(Projects[Mechanical Eng],487)))</f>
        <v/>
      </c>
      <c r="BO488" s="5">
        <f>IF(A488="","",N(INDEX(Projects[Structural Engineering],487)))</f>
        <v/>
      </c>
      <c r="BP488" s="5">
        <f>IF(A488="","",N(INDEX(Projects[Site Sup],487)))</f>
        <v/>
      </c>
      <c r="BQ488" s="5">
        <f>IF(A488="","",N(INDEX(Projects[Controls Commissioning],487)))</f>
        <v/>
      </c>
      <c r="BR488" s="5">
        <f>IF(A488="","",N(INDEX(Projects[Systems Commissioning],487)))</f>
        <v/>
      </c>
      <c r="BS488" s="5">
        <f>IF(A488="","",N(INDEX(Projects[Service Commissioning],487)))</f>
        <v/>
      </c>
      <c r="BT488" s="5">
        <f>IF(A488="","",N(INDEX(Projects[Controls Eng],487)))</f>
        <v/>
      </c>
      <c r="BU488" s="5">
        <f>IF(A488="","",N(INDEX(Projects[Controls Purchase],487)))</f>
        <v/>
      </c>
      <c r="BV488" s="5">
        <f>IF(A488="","",N(INDEX(Projects[Software Eng],487)))</f>
        <v/>
      </c>
      <c r="BW488" s="5">
        <f>IF(A488="","",N(INDEX(Projects[Misc],487)))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IF(A489="","",N(INDEX(Projects[Mech Inst],488)))</f>
        <v/>
      </c>
      <c r="BK489" s="5">
        <f>IF(A489="","",N(INDEX(Projects[Elec Inst],488)))</f>
        <v/>
      </c>
      <c r="BL489" s="5">
        <f>IF(A489="","",N(INDEX(Projects[Project Management],488)))</f>
        <v/>
      </c>
      <c r="BM489" s="5">
        <f>IF(A489="","",N(INDEX(Projects[Systems Eng],488)))</f>
        <v/>
      </c>
      <c r="BN489" s="5">
        <f>IF(A489="","",N(INDEX(Projects[Mechanical Eng],488)))</f>
        <v/>
      </c>
      <c r="BO489" s="5">
        <f>IF(A489="","",N(INDEX(Projects[Structural Engineering],488)))</f>
        <v/>
      </c>
      <c r="BP489" s="5">
        <f>IF(A489="","",N(INDEX(Projects[Site Sup],488)))</f>
        <v/>
      </c>
      <c r="BQ489" s="5">
        <f>IF(A489="","",N(INDEX(Projects[Controls Commissioning],488)))</f>
        <v/>
      </c>
      <c r="BR489" s="5">
        <f>IF(A489="","",N(INDEX(Projects[Systems Commissioning],488)))</f>
        <v/>
      </c>
      <c r="BS489" s="5">
        <f>IF(A489="","",N(INDEX(Projects[Service Commissioning],488)))</f>
        <v/>
      </c>
      <c r="BT489" s="5">
        <f>IF(A489="","",N(INDEX(Projects[Controls Eng],488)))</f>
        <v/>
      </c>
      <c r="BU489" s="5">
        <f>IF(A489="","",N(INDEX(Projects[Controls Purchase],488)))</f>
        <v/>
      </c>
      <c r="BV489" s="5">
        <f>IF(A489="","",N(INDEX(Projects[Software Eng],488)))</f>
        <v/>
      </c>
      <c r="BW489" s="5">
        <f>IF(A489="","",N(INDEX(Projects[Misc],488)))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IF(A490="","",N(INDEX(Projects[Mech Inst],489)))</f>
        <v/>
      </c>
      <c r="BK490" s="5">
        <f>IF(A490="","",N(INDEX(Projects[Elec Inst],489)))</f>
        <v/>
      </c>
      <c r="BL490" s="5">
        <f>IF(A490="","",N(INDEX(Projects[Project Management],489)))</f>
        <v/>
      </c>
      <c r="BM490" s="5">
        <f>IF(A490="","",N(INDEX(Projects[Systems Eng],489)))</f>
        <v/>
      </c>
      <c r="BN490" s="5">
        <f>IF(A490="","",N(INDEX(Projects[Mechanical Eng],489)))</f>
        <v/>
      </c>
      <c r="BO490" s="5">
        <f>IF(A490="","",N(INDEX(Projects[Structural Engineering],489)))</f>
        <v/>
      </c>
      <c r="BP490" s="5">
        <f>IF(A490="","",N(INDEX(Projects[Site Sup],489)))</f>
        <v/>
      </c>
      <c r="BQ490" s="5">
        <f>IF(A490="","",N(INDEX(Projects[Controls Commissioning],489)))</f>
        <v/>
      </c>
      <c r="BR490" s="5">
        <f>IF(A490="","",N(INDEX(Projects[Systems Commissioning],489)))</f>
        <v/>
      </c>
      <c r="BS490" s="5">
        <f>IF(A490="","",N(INDEX(Projects[Service Commissioning],489)))</f>
        <v/>
      </c>
      <c r="BT490" s="5">
        <f>IF(A490="","",N(INDEX(Projects[Controls Eng],489)))</f>
        <v/>
      </c>
      <c r="BU490" s="5">
        <f>IF(A490="","",N(INDEX(Projects[Controls Purchase],489)))</f>
        <v/>
      </c>
      <c r="BV490" s="5">
        <f>IF(A490="","",N(INDEX(Projects[Software Eng],489)))</f>
        <v/>
      </c>
      <c r="BW490" s="5">
        <f>IF(A490="","",N(INDEX(Projects[Misc],489)))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IF(A491="","",N(INDEX(Projects[Mech Inst],490)))</f>
        <v/>
      </c>
      <c r="BK491" s="5">
        <f>IF(A491="","",N(INDEX(Projects[Elec Inst],490)))</f>
        <v/>
      </c>
      <c r="BL491" s="5">
        <f>IF(A491="","",N(INDEX(Projects[Project Management],490)))</f>
        <v/>
      </c>
      <c r="BM491" s="5">
        <f>IF(A491="","",N(INDEX(Projects[Systems Eng],490)))</f>
        <v/>
      </c>
      <c r="BN491" s="5">
        <f>IF(A491="","",N(INDEX(Projects[Mechanical Eng],490)))</f>
        <v/>
      </c>
      <c r="BO491" s="5">
        <f>IF(A491="","",N(INDEX(Projects[Structural Engineering],490)))</f>
        <v/>
      </c>
      <c r="BP491" s="5">
        <f>IF(A491="","",N(INDEX(Projects[Site Sup],490)))</f>
        <v/>
      </c>
      <c r="BQ491" s="5">
        <f>IF(A491="","",N(INDEX(Projects[Controls Commissioning],490)))</f>
        <v/>
      </c>
      <c r="BR491" s="5">
        <f>IF(A491="","",N(INDEX(Projects[Systems Commissioning],490)))</f>
        <v/>
      </c>
      <c r="BS491" s="5">
        <f>IF(A491="","",N(INDEX(Projects[Service Commissioning],490)))</f>
        <v/>
      </c>
      <c r="BT491" s="5">
        <f>IF(A491="","",N(INDEX(Projects[Controls Eng],490)))</f>
        <v/>
      </c>
      <c r="BU491" s="5">
        <f>IF(A491="","",N(INDEX(Projects[Controls Purchase],490)))</f>
        <v/>
      </c>
      <c r="BV491" s="5">
        <f>IF(A491="","",N(INDEX(Projects[Software Eng],490)))</f>
        <v/>
      </c>
      <c r="BW491" s="5">
        <f>IF(A491="","",N(INDEX(Projects[Misc],490)))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IF(A492="","",N(INDEX(Projects[Mech Inst],491)))</f>
        <v/>
      </c>
      <c r="BK492" s="5">
        <f>IF(A492="","",N(INDEX(Projects[Elec Inst],491)))</f>
        <v/>
      </c>
      <c r="BL492" s="5">
        <f>IF(A492="","",N(INDEX(Projects[Project Management],491)))</f>
        <v/>
      </c>
      <c r="BM492" s="5">
        <f>IF(A492="","",N(INDEX(Projects[Systems Eng],491)))</f>
        <v/>
      </c>
      <c r="BN492" s="5">
        <f>IF(A492="","",N(INDEX(Projects[Mechanical Eng],491)))</f>
        <v/>
      </c>
      <c r="BO492" s="5">
        <f>IF(A492="","",N(INDEX(Projects[Structural Engineering],491)))</f>
        <v/>
      </c>
      <c r="BP492" s="5">
        <f>IF(A492="","",N(INDEX(Projects[Site Sup],491)))</f>
        <v/>
      </c>
      <c r="BQ492" s="5">
        <f>IF(A492="","",N(INDEX(Projects[Controls Commissioning],491)))</f>
        <v/>
      </c>
      <c r="BR492" s="5">
        <f>IF(A492="","",N(INDEX(Projects[Systems Commissioning],491)))</f>
        <v/>
      </c>
      <c r="BS492" s="5">
        <f>IF(A492="","",N(INDEX(Projects[Service Commissioning],491)))</f>
        <v/>
      </c>
      <c r="BT492" s="5">
        <f>IF(A492="","",N(INDEX(Projects[Controls Eng],491)))</f>
        <v/>
      </c>
      <c r="BU492" s="5">
        <f>IF(A492="","",N(INDEX(Projects[Controls Purchase],491)))</f>
        <v/>
      </c>
      <c r="BV492" s="5">
        <f>IF(A492="","",N(INDEX(Projects[Software Eng],491)))</f>
        <v/>
      </c>
      <c r="BW492" s="5">
        <f>IF(A492="","",N(INDEX(Projects[Misc],491)))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IF(A493="","",N(INDEX(Projects[Mech Inst],492)))</f>
        <v/>
      </c>
      <c r="BK493" s="5">
        <f>IF(A493="","",N(INDEX(Projects[Elec Inst],492)))</f>
        <v/>
      </c>
      <c r="BL493" s="5">
        <f>IF(A493="","",N(INDEX(Projects[Project Management],492)))</f>
        <v/>
      </c>
      <c r="BM493" s="5">
        <f>IF(A493="","",N(INDEX(Projects[Systems Eng],492)))</f>
        <v/>
      </c>
      <c r="BN493" s="5">
        <f>IF(A493="","",N(INDEX(Projects[Mechanical Eng],492)))</f>
        <v/>
      </c>
      <c r="BO493" s="5">
        <f>IF(A493="","",N(INDEX(Projects[Structural Engineering],492)))</f>
        <v/>
      </c>
      <c r="BP493" s="5">
        <f>IF(A493="","",N(INDEX(Projects[Site Sup],492)))</f>
        <v/>
      </c>
      <c r="BQ493" s="5">
        <f>IF(A493="","",N(INDEX(Projects[Controls Commissioning],492)))</f>
        <v/>
      </c>
      <c r="BR493" s="5">
        <f>IF(A493="","",N(INDEX(Projects[Systems Commissioning],492)))</f>
        <v/>
      </c>
      <c r="BS493" s="5">
        <f>IF(A493="","",N(INDEX(Projects[Service Commissioning],492)))</f>
        <v/>
      </c>
      <c r="BT493" s="5">
        <f>IF(A493="","",N(INDEX(Projects[Controls Eng],492)))</f>
        <v/>
      </c>
      <c r="BU493" s="5">
        <f>IF(A493="","",N(INDEX(Projects[Controls Purchase],492)))</f>
        <v/>
      </c>
      <c r="BV493" s="5">
        <f>IF(A493="","",N(INDEX(Projects[Software Eng],492)))</f>
        <v/>
      </c>
      <c r="BW493" s="5">
        <f>IF(A493="","",N(INDEX(Projects[Misc],492)))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IF(A494="","",N(INDEX(Projects[Mech Inst],493)))</f>
        <v/>
      </c>
      <c r="BK494" s="5">
        <f>IF(A494="","",N(INDEX(Projects[Elec Inst],493)))</f>
        <v/>
      </c>
      <c r="BL494" s="5">
        <f>IF(A494="","",N(INDEX(Projects[Project Management],493)))</f>
        <v/>
      </c>
      <c r="BM494" s="5">
        <f>IF(A494="","",N(INDEX(Projects[Systems Eng],493)))</f>
        <v/>
      </c>
      <c r="BN494" s="5">
        <f>IF(A494="","",N(INDEX(Projects[Mechanical Eng],493)))</f>
        <v/>
      </c>
      <c r="BO494" s="5">
        <f>IF(A494="","",N(INDEX(Projects[Structural Engineering],493)))</f>
        <v/>
      </c>
      <c r="BP494" s="5">
        <f>IF(A494="","",N(INDEX(Projects[Site Sup],493)))</f>
        <v/>
      </c>
      <c r="BQ494" s="5">
        <f>IF(A494="","",N(INDEX(Projects[Controls Commissioning],493)))</f>
        <v/>
      </c>
      <c r="BR494" s="5">
        <f>IF(A494="","",N(INDEX(Projects[Systems Commissioning],493)))</f>
        <v/>
      </c>
      <c r="BS494" s="5">
        <f>IF(A494="","",N(INDEX(Projects[Service Commissioning],493)))</f>
        <v/>
      </c>
      <c r="BT494" s="5">
        <f>IF(A494="","",N(INDEX(Projects[Controls Eng],493)))</f>
        <v/>
      </c>
      <c r="BU494" s="5">
        <f>IF(A494="","",N(INDEX(Projects[Controls Purchase],493)))</f>
        <v/>
      </c>
      <c r="BV494" s="5">
        <f>IF(A494="","",N(INDEX(Projects[Software Eng],493)))</f>
        <v/>
      </c>
      <c r="BW494" s="5">
        <f>IF(A494="","",N(INDEX(Projects[Misc],493)))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IF(A495="","",N(INDEX(Projects[Mech Inst],494)))</f>
        <v/>
      </c>
      <c r="BK495" s="5">
        <f>IF(A495="","",N(INDEX(Projects[Elec Inst],494)))</f>
        <v/>
      </c>
      <c r="BL495" s="5">
        <f>IF(A495="","",N(INDEX(Projects[Project Management],494)))</f>
        <v/>
      </c>
      <c r="BM495" s="5">
        <f>IF(A495="","",N(INDEX(Projects[Systems Eng],494)))</f>
        <v/>
      </c>
      <c r="BN495" s="5">
        <f>IF(A495="","",N(INDEX(Projects[Mechanical Eng],494)))</f>
        <v/>
      </c>
      <c r="BO495" s="5">
        <f>IF(A495="","",N(INDEX(Projects[Structural Engineering],494)))</f>
        <v/>
      </c>
      <c r="BP495" s="5">
        <f>IF(A495="","",N(INDEX(Projects[Site Sup],494)))</f>
        <v/>
      </c>
      <c r="BQ495" s="5">
        <f>IF(A495="","",N(INDEX(Projects[Controls Commissioning],494)))</f>
        <v/>
      </c>
      <c r="BR495" s="5">
        <f>IF(A495="","",N(INDEX(Projects[Systems Commissioning],494)))</f>
        <v/>
      </c>
      <c r="BS495" s="5">
        <f>IF(A495="","",N(INDEX(Projects[Service Commissioning],494)))</f>
        <v/>
      </c>
      <c r="BT495" s="5">
        <f>IF(A495="","",N(INDEX(Projects[Controls Eng],494)))</f>
        <v/>
      </c>
      <c r="BU495" s="5">
        <f>IF(A495="","",N(INDEX(Projects[Controls Purchase],494)))</f>
        <v/>
      </c>
      <c r="BV495" s="5">
        <f>IF(A495="","",N(INDEX(Projects[Software Eng],494)))</f>
        <v/>
      </c>
      <c r="BW495" s="5">
        <f>IF(A495="","",N(INDEX(Projects[Misc],494)))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IF(A496="","",N(INDEX(Projects[Mech Inst],495)))</f>
        <v/>
      </c>
      <c r="BK496" s="5">
        <f>IF(A496="","",N(INDEX(Projects[Elec Inst],495)))</f>
        <v/>
      </c>
      <c r="BL496" s="5">
        <f>IF(A496="","",N(INDEX(Projects[Project Management],495)))</f>
        <v/>
      </c>
      <c r="BM496" s="5">
        <f>IF(A496="","",N(INDEX(Projects[Systems Eng],495)))</f>
        <v/>
      </c>
      <c r="BN496" s="5">
        <f>IF(A496="","",N(INDEX(Projects[Mechanical Eng],495)))</f>
        <v/>
      </c>
      <c r="BO496" s="5">
        <f>IF(A496="","",N(INDEX(Projects[Structural Engineering],495)))</f>
        <v/>
      </c>
      <c r="BP496" s="5">
        <f>IF(A496="","",N(INDEX(Projects[Site Sup],495)))</f>
        <v/>
      </c>
      <c r="BQ496" s="5">
        <f>IF(A496="","",N(INDEX(Projects[Controls Commissioning],495)))</f>
        <v/>
      </c>
      <c r="BR496" s="5">
        <f>IF(A496="","",N(INDEX(Projects[Systems Commissioning],495)))</f>
        <v/>
      </c>
      <c r="BS496" s="5">
        <f>IF(A496="","",N(INDEX(Projects[Service Commissioning],495)))</f>
        <v/>
      </c>
      <c r="BT496" s="5">
        <f>IF(A496="","",N(INDEX(Projects[Controls Eng],495)))</f>
        <v/>
      </c>
      <c r="BU496" s="5">
        <f>IF(A496="","",N(INDEX(Projects[Controls Purchase],495)))</f>
        <v/>
      </c>
      <c r="BV496" s="5">
        <f>IF(A496="","",N(INDEX(Projects[Software Eng],495)))</f>
        <v/>
      </c>
      <c r="BW496" s="5">
        <f>IF(A496="","",N(INDEX(Projects[Misc],495)))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IF(A497="","",N(INDEX(Projects[Mech Inst],496)))</f>
        <v/>
      </c>
      <c r="BK497" s="5">
        <f>IF(A497="","",N(INDEX(Projects[Elec Inst],496)))</f>
        <v/>
      </c>
      <c r="BL497" s="5">
        <f>IF(A497="","",N(INDEX(Projects[Project Management],496)))</f>
        <v/>
      </c>
      <c r="BM497" s="5">
        <f>IF(A497="","",N(INDEX(Projects[Systems Eng],496)))</f>
        <v/>
      </c>
      <c r="BN497" s="5">
        <f>IF(A497="","",N(INDEX(Projects[Mechanical Eng],496)))</f>
        <v/>
      </c>
      <c r="BO497" s="5">
        <f>IF(A497="","",N(INDEX(Projects[Structural Engineering],496)))</f>
        <v/>
      </c>
      <c r="BP497" s="5">
        <f>IF(A497="","",N(INDEX(Projects[Site Sup],496)))</f>
        <v/>
      </c>
      <c r="BQ497" s="5">
        <f>IF(A497="","",N(INDEX(Projects[Controls Commissioning],496)))</f>
        <v/>
      </c>
      <c r="BR497" s="5">
        <f>IF(A497="","",N(INDEX(Projects[Systems Commissioning],496)))</f>
        <v/>
      </c>
      <c r="BS497" s="5">
        <f>IF(A497="","",N(INDEX(Projects[Service Commissioning],496)))</f>
        <v/>
      </c>
      <c r="BT497" s="5">
        <f>IF(A497="","",N(INDEX(Projects[Controls Eng],496)))</f>
        <v/>
      </c>
      <c r="BU497" s="5">
        <f>IF(A497="","",N(INDEX(Projects[Controls Purchase],496)))</f>
        <v/>
      </c>
      <c r="BV497" s="5">
        <f>IF(A497="","",N(INDEX(Projects[Software Eng],496)))</f>
        <v/>
      </c>
      <c r="BW497" s="5">
        <f>IF(A497="","",N(INDEX(Projects[Misc],496)))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IF(A498="","",N(INDEX(Projects[Mech Inst],497)))</f>
        <v/>
      </c>
      <c r="BK498" s="5">
        <f>IF(A498="","",N(INDEX(Projects[Elec Inst],497)))</f>
        <v/>
      </c>
      <c r="BL498" s="5">
        <f>IF(A498="","",N(INDEX(Projects[Project Management],497)))</f>
        <v/>
      </c>
      <c r="BM498" s="5">
        <f>IF(A498="","",N(INDEX(Projects[Systems Eng],497)))</f>
        <v/>
      </c>
      <c r="BN498" s="5">
        <f>IF(A498="","",N(INDEX(Projects[Mechanical Eng],497)))</f>
        <v/>
      </c>
      <c r="BO498" s="5">
        <f>IF(A498="","",N(INDEX(Projects[Structural Engineering],497)))</f>
        <v/>
      </c>
      <c r="BP498" s="5">
        <f>IF(A498="","",N(INDEX(Projects[Site Sup],497)))</f>
        <v/>
      </c>
      <c r="BQ498" s="5">
        <f>IF(A498="","",N(INDEX(Projects[Controls Commissioning],497)))</f>
        <v/>
      </c>
      <c r="BR498" s="5">
        <f>IF(A498="","",N(INDEX(Projects[Systems Commissioning],497)))</f>
        <v/>
      </c>
      <c r="BS498" s="5">
        <f>IF(A498="","",N(INDEX(Projects[Service Commissioning],497)))</f>
        <v/>
      </c>
      <c r="BT498" s="5">
        <f>IF(A498="","",N(INDEX(Projects[Controls Eng],497)))</f>
        <v/>
      </c>
      <c r="BU498" s="5">
        <f>IF(A498="","",N(INDEX(Projects[Controls Purchase],497)))</f>
        <v/>
      </c>
      <c r="BV498" s="5">
        <f>IF(A498="","",N(INDEX(Projects[Software Eng],497)))</f>
        <v/>
      </c>
      <c r="BW498" s="5">
        <f>IF(A498="","",N(INDEX(Projects[Misc],497)))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IF(A499="","",N(INDEX(Projects[Mech Inst],498)))</f>
        <v/>
      </c>
      <c r="BK499" s="5">
        <f>IF(A499="","",N(INDEX(Projects[Elec Inst],498)))</f>
        <v/>
      </c>
      <c r="BL499" s="5">
        <f>IF(A499="","",N(INDEX(Projects[Project Management],498)))</f>
        <v/>
      </c>
      <c r="BM499" s="5">
        <f>IF(A499="","",N(INDEX(Projects[Systems Eng],498)))</f>
        <v/>
      </c>
      <c r="BN499" s="5">
        <f>IF(A499="","",N(INDEX(Projects[Mechanical Eng],498)))</f>
        <v/>
      </c>
      <c r="BO499" s="5">
        <f>IF(A499="","",N(INDEX(Projects[Structural Engineering],498)))</f>
        <v/>
      </c>
      <c r="BP499" s="5">
        <f>IF(A499="","",N(INDEX(Projects[Site Sup],498)))</f>
        <v/>
      </c>
      <c r="BQ499" s="5">
        <f>IF(A499="","",N(INDEX(Projects[Controls Commissioning],498)))</f>
        <v/>
      </c>
      <c r="BR499" s="5">
        <f>IF(A499="","",N(INDEX(Projects[Systems Commissioning],498)))</f>
        <v/>
      </c>
      <c r="BS499" s="5">
        <f>IF(A499="","",N(INDEX(Projects[Service Commissioning],498)))</f>
        <v/>
      </c>
      <c r="BT499" s="5">
        <f>IF(A499="","",N(INDEX(Projects[Controls Eng],498)))</f>
        <v/>
      </c>
      <c r="BU499" s="5">
        <f>IF(A499="","",N(INDEX(Projects[Controls Purchase],498)))</f>
        <v/>
      </c>
      <c r="BV499" s="5">
        <f>IF(A499="","",N(INDEX(Projects[Software Eng],498)))</f>
        <v/>
      </c>
      <c r="BW499" s="5">
        <f>IF(A499="","",N(INDEX(Projects[Misc],498)))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IF(A500="","",N(INDEX(Projects[Mech Inst],499)))</f>
        <v/>
      </c>
      <c r="BK500" s="5">
        <f>IF(A500="","",N(INDEX(Projects[Elec Inst],499)))</f>
        <v/>
      </c>
      <c r="BL500" s="5">
        <f>IF(A500="","",N(INDEX(Projects[Project Management],499)))</f>
        <v/>
      </c>
      <c r="BM500" s="5">
        <f>IF(A500="","",N(INDEX(Projects[Systems Eng],499)))</f>
        <v/>
      </c>
      <c r="BN500" s="5">
        <f>IF(A500="","",N(INDEX(Projects[Mechanical Eng],499)))</f>
        <v/>
      </c>
      <c r="BO500" s="5">
        <f>IF(A500="","",N(INDEX(Projects[Structural Engineering],499)))</f>
        <v/>
      </c>
      <c r="BP500" s="5">
        <f>IF(A500="","",N(INDEX(Projects[Site Sup],499)))</f>
        <v/>
      </c>
      <c r="BQ500" s="5">
        <f>IF(A500="","",N(INDEX(Projects[Controls Commissioning],499)))</f>
        <v/>
      </c>
      <c r="BR500" s="5">
        <f>IF(A500="","",N(INDEX(Projects[Systems Commissioning],499)))</f>
        <v/>
      </c>
      <c r="BS500" s="5">
        <f>IF(A500="","",N(INDEX(Projects[Service Commissioning],499)))</f>
        <v/>
      </c>
      <c r="BT500" s="5">
        <f>IF(A500="","",N(INDEX(Projects[Controls Eng],499)))</f>
        <v/>
      </c>
      <c r="BU500" s="5">
        <f>IF(A500="","",N(INDEX(Projects[Controls Purchase],499)))</f>
        <v/>
      </c>
      <c r="BV500" s="5">
        <f>IF(A500="","",N(INDEX(Projects[Software Eng],499)))</f>
        <v/>
      </c>
      <c r="BW500" s="5">
        <f>IF(A500="","",N(INDEX(Projects[Misc],499)))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67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68" t="n"/>
      <c r="C3" s="169" t="inlineStr">
        <is>
          <t xml:space="preserve">  RANK 1  —  Best Match</t>
        </is>
      </c>
      <c r="I3" s="153" t="n"/>
      <c r="J3" s="170" t="inlineStr">
        <is>
          <t xml:space="preserve">  RANK 2  —  2nd Match</t>
        </is>
      </c>
      <c r="P3" s="153" t="n"/>
      <c r="Q3" s="171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2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Year</t>
        </is>
      </c>
      <c r="B9" s="91" t="n"/>
      <c r="C9" s="135">
        <f>IFERROR(INDEX(_Helper!CB2:CB501,MATCH(LARGE(_Helper!BH2:BH501,1),_Helper!BH2:BH501,0)),"-")</f>
        <v/>
      </c>
      <c r="D9" s="91" t="n"/>
      <c r="E9" s="91" t="n"/>
      <c r="F9" s="91" t="n"/>
      <c r="G9" s="91" t="n"/>
      <c r="H9" s="91" t="n"/>
      <c r="I9" s="8" t="n"/>
      <c r="J9" s="136">
        <f>IFERROR(INDEX(_Helper!CB2:CB501,MATCH(LARGE(_Helper!BH2:BH501,2),_Helper!BH2:BH501,0)),"-")</f>
        <v/>
      </c>
      <c r="K9" s="91" t="n"/>
      <c r="L9" s="91" t="n"/>
      <c r="M9" s="91" t="n"/>
      <c r="N9" s="91" t="n"/>
      <c r="O9" s="91" t="n"/>
      <c r="P9" s="8" t="n"/>
      <c r="Q9" s="138">
        <f>IFERROR(INDEX(_Helper!CB2:CB501,MATCH(LARGE(_Helper!BH2:BH501,3),_Helper!BH2:BH501,0)),"-")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Project Value</t>
        </is>
      </c>
      <c r="B10" s="91" t="n"/>
      <c r="C10" s="135">
        <f>IFERROR(INDEX(_Helper!T2:T501,MATCH(LARGE(_Helper!BH2:BH501,1),_Helper!BH2:BH501,0))&amp;" "&amp;TEXT(INDEX(_Helper!U2:U501,MATCH(LARGE(_Helper!BH2:BH501,1),_Helper!BH2:BH501,0)),"#,##0.00")&amp;" M","-")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IFERROR(INDEX(_Helper!T2:T501,MATCH(LARGE(_Helper!BH2:BH501,2),_Helper!BH2:BH501,0))&amp;" "&amp;TEXT(INDEX(_Helper!U2:U501,MATCH(LARGE(_Helper!BH2:BH501,2),_Helper!BH2:BH501,0)),"#,##0.00")&amp;" M","-")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IFERROR(INDEX(_Helper!T2:T501,MATCH(LARGE(_Helper!BH2:BH501,3),_Helper!BH2:BH501,0))&amp;" "&amp;TEXT(INDEX(_Helper!U2:U501,MATCH(LARGE(_Helper!BH2:BH501,3),_Helper!BH2:BH501,0)),"#,##0.00")&amp;" M","-")</f>
        <v/>
      </c>
      <c r="R10" s="91" t="n"/>
      <c r="S10" s="91" t="n"/>
      <c r="T10" s="91" t="n"/>
      <c r="U10" s="91" t="n"/>
      <c r="V10" s="91" t="n"/>
    </row>
    <row r="11" ht="19.5" customHeight="1" s="74">
      <c r="A11" s="172" t="inlineStr">
        <is>
          <t xml:space="preserve">  SYSTEM SPECIFICATIONS</t>
        </is>
      </c>
    </row>
    <row r="12" ht="19.5" customHeight="1" s="74">
      <c r="A12" s="140" t="inlineStr">
        <is>
          <t>MS Shuttles</t>
        </is>
      </c>
      <c r="B12" s="91" t="n"/>
      <c r="C12" s="135">
        <f>IFERROR(INDEX(_Helper!C2:C501,MATCH(LARGE(_Helper!BH2:BH501,1),_Helper!BH2:BH501,0)),"-")</f>
        <v/>
      </c>
      <c r="D12" s="91" t="n"/>
      <c r="E12" s="91" t="n"/>
      <c r="F12" s="91" t="n"/>
      <c r="G12" s="91" t="n"/>
      <c r="H12" s="91" t="n"/>
      <c r="I12" s="7" t="n"/>
      <c r="J12" s="136">
        <f>IFERROR(INDEX(_Helper!C2:C501,MATCH(LARGE(_Helper!BH2:BH501,2),_Helper!BH2:BH501,0)),"-")</f>
        <v/>
      </c>
      <c r="K12" s="91" t="n"/>
      <c r="L12" s="91" t="n"/>
      <c r="M12" s="91" t="n"/>
      <c r="N12" s="91" t="n"/>
      <c r="O12" s="91" t="n"/>
      <c r="P12" s="7" t="n"/>
      <c r="Q12" s="138">
        <f>IFERROR(INDEX(_Helper!C2:C501,MATCH(LARGE(_Helper!BH2:BH501,3),_Helper!BH2:BH501,0)),"-")</f>
        <v/>
      </c>
      <c r="R12" s="91" t="n"/>
      <c r="S12" s="91" t="n"/>
      <c r="T12" s="91" t="n"/>
      <c r="U12" s="91" t="n"/>
      <c r="V12" s="91" t="n"/>
    </row>
    <row r="13" ht="19.5" customHeight="1" s="74">
      <c r="A13" s="137" t="inlineStr">
        <is>
          <t>MS Tote Locations</t>
        </is>
      </c>
      <c r="B13" s="91" t="n"/>
      <c r="C13" s="135">
        <f>IFERROR(INDEX(_Helper!D2:D501,MATCH(LARGE(_Helper!BH2:BH501,1),_Helper!BH2:BH501,0)),"-")</f>
        <v/>
      </c>
      <c r="D13" s="91" t="n"/>
      <c r="E13" s="91" t="n"/>
      <c r="F13" s="91" t="n"/>
      <c r="G13" s="91" t="n"/>
      <c r="H13" s="91" t="n"/>
      <c r="I13" s="8" t="n"/>
      <c r="J13" s="136">
        <f>IFERROR(INDEX(_Helper!D2:D501,MATCH(LARGE(_Helper!BH2:BH501,2),_Helper!BH2:BH501,0)),"-")</f>
        <v/>
      </c>
      <c r="K13" s="91" t="n"/>
      <c r="L13" s="91" t="n"/>
      <c r="M13" s="91" t="n"/>
      <c r="N13" s="91" t="n"/>
      <c r="O13" s="91" t="n"/>
      <c r="P13" s="8" t="n"/>
      <c r="Q13" s="138">
        <f>IFERROR(INDEX(_Helper!D2:D501,MATCH(LARGE(_Helper!BH2:BH501,3),_Helper!BH2:BH501,0)),"-")</f>
        <v/>
      </c>
      <c r="R13" s="91" t="n"/>
      <c r="S13" s="91" t="n"/>
      <c r="T13" s="91" t="n"/>
      <c r="U13" s="91" t="n"/>
      <c r="V13" s="91" t="n"/>
    </row>
    <row r="14" ht="19.5" customHeight="1" s="74">
      <c r="A14" s="140" t="inlineStr">
        <is>
          <t>AS Robots</t>
        </is>
      </c>
      <c r="B14" s="91" t="n"/>
      <c r="C14" s="135">
        <f>IFERROR(INDEX(_Helper!E2:E501,MATCH(LARGE(_Helper!BH2:BH501,1),_Helper!BH2:BH501,0)),"-")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IFERROR(INDEX(_Helper!E2:E501,MATCH(LARGE(_Helper!BH2:BH501,2),_Helper!BH2:BH501,0)),"-")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IFERROR(INDEX(_Helper!E2:E501,MATCH(LARGE(_Helper!BH2:BH501,3),_Helper!BH2:BH501,0)),"-")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AS Tote Locations</t>
        </is>
      </c>
      <c r="B15" s="91" t="n"/>
      <c r="C15" s="135">
        <f>IFERROR(INDEX(_Helper!F2:F501,MATCH(LARGE(_Helper!BH2:BH501,1),_Helper!BH2:BH501,0)),"-")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IFERROR(INDEX(_Helper!F2:F501,MATCH(LARGE(_Helper!BH2:BH501,2),_Helper!BH2:BH501,0)),"-")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IFERROR(INDEX(_Helper!F2:F501,MATCH(LARGE(_Helper!BH2:BH501,3),_Helper!BH2:BH501,0)),"-")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PS Shuttles</t>
        </is>
      </c>
      <c r="B16" s="91" t="n"/>
      <c r="C16" s="135">
        <f>IFERROR(INDEX(_Helper!G2:G501,MATCH(LARGE(_Helper!BH2:BH501,1),_Helper!BH2:BH501,0)),"-")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IFERROR(INDEX(_Helper!G2:G501,MATCH(LARGE(_Helper!BH2:BH501,2),_Helper!BH2:BH501,0)),"-")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IFERROR(INDEX(_Helper!G2:G501,MATCH(LARGE(_Helper!BH2:BH501,3),_Helper!BH2:BH501,0)),"-")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PS Pallet Locations</t>
        </is>
      </c>
      <c r="B17" s="91" t="n"/>
      <c r="C17" s="135">
        <f>IFERROR(INDEX(_Helper!H2:H501,MATCH(LARGE(_Helper!BH2:BH501,1),_Helper!BH2:BH501,0)),"-")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IFERROR(INDEX(_Helper!H2:H501,MATCH(LARGE(_Helper!BH2:BH501,2),_Helper!BH2:BH501,0)),"-")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IFERROR(INDEX(_Helper!H2:H501,MATCH(LARGE(_Helper!BH2:BH501,3),_Helper!BH2:BH501,0)),"-")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SRM Cranes</t>
        </is>
      </c>
      <c r="B18" s="91" t="n"/>
      <c r="C18" s="135">
        <f>IFERROR(INDEX(_Helper!I2:I501,MATCH(LARGE(_Helper!BH2:BH501,1),_Helper!BH2:BH501,0)),"-")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IFERROR(INDEX(_Helper!I2:I501,MATCH(LARGE(_Helper!BH2:BH501,2),_Helper!BH2:BH501,0)),"-")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IFERROR(INDEX(_Helper!I2:I501,MATCH(LARGE(_Helper!BH2:BH501,3),_Helper!BH2:BH501,0)),"-")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SRM Pallet Locations</t>
        </is>
      </c>
      <c r="B19" s="91" t="n"/>
      <c r="C19" s="135">
        <f>IFERROR(INDEX(_Helper!J2:J501,MATCH(LARGE(_Helper!BH2:BH501,1),_Helper!BH2:BH501,0)),"-")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IFERROR(INDEX(_Helper!J2:J501,MATCH(LARGE(_Helper!BH2:BH501,2),_Helper!BH2:BH501,0)),"-")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IFERROR(INDEX(_Helper!J2:J501,MATCH(LARGE(_Helper!BH2:BH501,3),_Helper!BH2:BH501,0)),"-")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Case Conveyor (m)</t>
        </is>
      </c>
      <c r="B20" s="91" t="n"/>
      <c r="C20" s="135">
        <f>IFERROR(INDEX(_Helper!K2:K501,MATCH(LARGE(_Helper!BH2:BH501,1),_Helper!BH2:BH501,0)),"-")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IFERROR(INDEX(_Helper!K2:K501,MATCH(LARGE(_Helper!BH2:BH501,2),_Helper!BH2:BH501,0)),"-")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IFERROR(INDEX(_Helper!K2:K501,MATCH(LARGE(_Helper!BH2:BH501,3),_Helper!BH2:BH501,0)),"-")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Pallet Conveyor (m)</t>
        </is>
      </c>
      <c r="B21" s="91" t="n"/>
      <c r="C21" s="135">
        <f>IFERROR(INDEX(_Helper!L2:L501,MATCH(LARGE(_Helper!BH2:BH501,1),_Helper!BH2:BH501,0)),"-")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IFERROR(INDEX(_Helper!L2:L501,MATCH(LARGE(_Helper!BH2:BH501,2),_Helper!BH2:BH501,0)),"-")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IFERROR(INDEX(_Helper!L2:L501,MATCH(LARGE(_Helper!BH2:BH501,3),_Helper!BH2:BH501,0)),"-")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72" t="inlineStr">
        <is>
          <t xml:space="preserve">  SCHEDULE  (weeks)</t>
        </is>
      </c>
    </row>
    <row r="23" ht="19.5" customHeight="1" s="74">
      <c r="A23" s="140" t="inlineStr">
        <is>
          <t>Mechanical Engineering</t>
        </is>
      </c>
      <c r="B23" s="91" t="n"/>
      <c r="C23" s="135">
        <f>IFERROR(INDEX(_Helper!M2:M501,MATCH(LARGE(_Helper!BH2:BH501,1),_Helper!BH2:BH501,0)),"-")</f>
        <v/>
      </c>
      <c r="D23" s="91" t="n"/>
      <c r="E23" s="91" t="n"/>
      <c r="F23" s="91" t="n"/>
      <c r="G23" s="91" t="n"/>
      <c r="H23" s="91" t="n"/>
      <c r="I23" s="7" t="n"/>
      <c r="J23" s="136">
        <f>IFERROR(INDEX(_Helper!M2:M501,MATCH(LARGE(_Helper!BH2:BH501,2),_Helper!BH2:BH501,0)),"-")</f>
        <v/>
      </c>
      <c r="K23" s="91" t="n"/>
      <c r="L23" s="91" t="n"/>
      <c r="M23" s="91" t="n"/>
      <c r="N23" s="91" t="n"/>
      <c r="O23" s="91" t="n"/>
      <c r="P23" s="7" t="n"/>
      <c r="Q23" s="138">
        <f>IFERROR(INDEX(_Helper!M2:M501,MATCH(LARGE(_Helper!BH2:BH501,3),_Helper!BH2:BH501,0)),"-")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37" t="inlineStr">
        <is>
          <t>Controls Engineering</t>
        </is>
      </c>
      <c r="B24" s="91" t="n"/>
      <c r="C24" s="135">
        <f>IFERROR(INDEX(_Helper!N2:N501,MATCH(LARGE(_Helper!BH2:BH501,1),_Helper!BH2:BH501,0)),"-")</f>
        <v/>
      </c>
      <c r="D24" s="91" t="n"/>
      <c r="E24" s="91" t="n"/>
      <c r="F24" s="91" t="n"/>
      <c r="G24" s="91" t="n"/>
      <c r="H24" s="91" t="n"/>
      <c r="I24" s="8" t="n"/>
      <c r="J24" s="136">
        <f>IFERROR(INDEX(_Helper!N2:N501,MATCH(LARGE(_Helper!BH2:BH501,2),_Helper!BH2:BH501,0)),"-")</f>
        <v/>
      </c>
      <c r="K24" s="91" t="n"/>
      <c r="L24" s="91" t="n"/>
      <c r="M24" s="91" t="n"/>
      <c r="N24" s="91" t="n"/>
      <c r="O24" s="91" t="n"/>
      <c r="P24" s="8" t="n"/>
      <c r="Q24" s="138">
        <f>IFERROR(INDEX(_Helper!N2:N501,MATCH(LARGE(_Helper!BH2:BH501,3),_Helper!BH2:BH501,0)),"-")</f>
        <v/>
      </c>
      <c r="R24" s="91" t="n"/>
      <c r="S24" s="91" t="n"/>
      <c r="T24" s="91" t="n"/>
      <c r="U24" s="91" t="n"/>
      <c r="V24" s="91" t="n"/>
    </row>
    <row r="25" ht="19.5" customHeight="1" s="74">
      <c r="A25" s="140" t="inlineStr">
        <is>
          <t>Systems Engineering</t>
        </is>
      </c>
      <c r="B25" s="91" t="n"/>
      <c r="C25" s="135">
        <f>IFERROR(INDEX(_Helper!O2:O501,MATCH(LARGE(_Helper!BH2:BH501,1),_Helper!BH2:BH501,0)),"-")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36">
        <f>IFERROR(INDEX(_Helper!O2:O501,MATCH(LARGE(_Helper!BH2:BH501,2),_Helper!BH2:BH501,0)),"-")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38">
        <f>IFERROR(INDEX(_Helper!O2:O501,MATCH(LARGE(_Helper!BH2:BH501,3),_Helper!BH2:BH501,0)),"-")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Software Engineering</t>
        </is>
      </c>
      <c r="B26" s="91" t="n"/>
      <c r="C26" s="135">
        <f>IFERROR(INDEX(_Helper!P2:P501,MATCH(LARGE(_Helper!BH2:BH501,1),_Helper!BH2:BH501,0)),"-")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36">
        <f>IFERROR(INDEX(_Helper!P2:P501,MATCH(LARGE(_Helper!BH2:BH501,2),_Helper!BH2:BH501,0)),"-")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38">
        <f>IFERROR(INDEX(_Helper!P2:P501,MATCH(LARGE(_Helper!BH2:BH501,3),_Helper!BH2:BH501,0)),"-")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M&amp;E Installation</t>
        </is>
      </c>
      <c r="B27" s="91" t="n"/>
      <c r="C27" s="135">
        <f>IFERROR(INDEX(_Helper!Q2:Q501,MATCH(LARGE(_Helper!BH2:BH501,1),_Helper!BH2:BH501,0)),"-")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36">
        <f>IFERROR(INDEX(_Helper!Q2:Q501,MATCH(LARGE(_Helper!BH2:BH501,2),_Helper!BH2:BH501,0)),"-")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38">
        <f>IFERROR(INDEX(_Helper!Q2:Q501,MATCH(LARGE(_Helper!BH2:BH501,3),_Helper!BH2:BH501,0)),"-")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Commissioning</t>
        </is>
      </c>
      <c r="B28" s="91" t="n"/>
      <c r="C28" s="135">
        <f>IFERROR(INDEX(_Helper!R2:R501,MATCH(LARGE(_Helper!BH2:BH501,1),_Helper!BH2:BH501,0)),"-")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36">
        <f>IFERROR(INDEX(_Helper!R2:R501,MATCH(LARGE(_Helper!BH2:BH501,2),_Helper!BH2:BH501,0)),"-")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38">
        <f>IFERROR(INDEX(_Helper!R2:R501,MATCH(LARGE(_Helper!BH2:BH501,3),_Helper!BH2:BH501,0)),"-")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34" t="inlineStr">
        <is>
          <t>TOTAL PROJECT TIMELINE</t>
        </is>
      </c>
      <c r="B29" s="91" t="n"/>
      <c r="C29" s="150">
        <f>IFERROR(INDEX(_Helper!S2:S501,MATCH(LARGE(_Helper!BH2:BH501,1),_Helper!BH2:BH501,0)),"-")</f>
        <v/>
      </c>
      <c r="D29" s="91" t="n"/>
      <c r="E29" s="91" t="n"/>
      <c r="F29" s="91" t="n"/>
      <c r="G29" s="91" t="n"/>
      <c r="H29" s="91" t="n"/>
      <c r="I29" s="9" t="n"/>
      <c r="J29" s="146">
        <f>IFERROR(INDEX(_Helper!S2:S501,MATCH(LARGE(_Helper!BH2:BH501,2),_Helper!BH2:BH501,0)),"-")</f>
        <v/>
      </c>
      <c r="K29" s="91" t="n"/>
      <c r="L29" s="91" t="n"/>
      <c r="M29" s="91" t="n"/>
      <c r="N29" s="91" t="n"/>
      <c r="O29" s="91" t="n"/>
      <c r="P29" s="9" t="n"/>
      <c r="Q29" s="151">
        <f>IFERROR(INDEX(_Helper!S2:S501,MATCH(LARGE(_Helper!BH2:BH501,3),_Helper!BH2:BH501,0)),"-")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72" t="inlineStr">
        <is>
          <t xml:space="preserve">  AUTOMATION EQUIPMENT &amp; NOTES</t>
        </is>
      </c>
    </row>
    <row r="31" ht="39.75" customHeight="1" s="74">
      <c r="A31" s="140" t="inlineStr">
        <is>
          <t>Automation Equipment</t>
        </is>
      </c>
      <c r="B31" s="91" t="n"/>
      <c r="C31" s="135">
        <f>IFERROR(INDEX(_Helper!AZ2:AZ501,MATCH(LARGE(_Helper!BH2:BH501,1),_Helper!BH2:BH501,0)),"-")</f>
        <v/>
      </c>
      <c r="D31" s="91" t="n"/>
      <c r="E31" s="91" t="n"/>
      <c r="F31" s="91" t="n"/>
      <c r="G31" s="91" t="n"/>
      <c r="H31" s="91" t="n"/>
      <c r="I31" s="7" t="n"/>
      <c r="J31" s="136">
        <f>IFERROR(INDEX(_Helper!AZ2:AZ501,MATCH(LARGE(_Helper!BH2:BH501,2),_Helper!BH2:BH501,0)),"-")</f>
        <v/>
      </c>
      <c r="K31" s="91" t="n"/>
      <c r="L31" s="91" t="n"/>
      <c r="M31" s="91" t="n"/>
      <c r="N31" s="91" t="n"/>
      <c r="O31" s="91" t="n"/>
      <c r="P31" s="7" t="n"/>
      <c r="Q31" s="138">
        <f>IFERROR(INDEX(_Helper!AZ2:AZ501,MATCH(LARGE(_Helper!BH2:BH501,3),_Helper!BH2:BH501,0)),"-")</f>
        <v/>
      </c>
      <c r="R31" s="91" t="n"/>
      <c r="S31" s="91" t="n"/>
      <c r="T31" s="91" t="n"/>
      <c r="U31" s="91" t="n"/>
      <c r="V31" s="91" t="n"/>
    </row>
    <row r="32" ht="49.5" customHeight="1" s="74">
      <c r="A32" s="137" t="inlineStr">
        <is>
          <t>Notes / Lessons Learned</t>
        </is>
      </c>
      <c r="B32" s="91" t="n"/>
      <c r="C32" s="135">
        <f>IFERROR(INDEX(Projects[Notes / Lessons Learned],MATCH(LARGE(_Helper!BH2:BH501,1),_Helper!BH2:BH501,0))&amp;"","-")</f>
        <v/>
      </c>
      <c r="D32" s="91" t="n"/>
      <c r="E32" s="91" t="n"/>
      <c r="F32" s="91" t="n"/>
      <c r="G32" s="91" t="n"/>
      <c r="H32" s="91" t="n"/>
      <c r="I32" s="8" t="n"/>
      <c r="J32" s="136">
        <f>IFERROR(INDEX(Projects[Notes / Lessons Learned],MATCH(LARGE(_Helper!BH2:BH501,2),_Helper!BH2:BH501,0))&amp;"","-")</f>
        <v/>
      </c>
      <c r="K32" s="91" t="n"/>
      <c r="L32" s="91" t="n"/>
      <c r="M32" s="91" t="n"/>
      <c r="N32" s="91" t="n"/>
      <c r="O32" s="91" t="n"/>
      <c r="P32" s="8" t="n"/>
      <c r="Q32" s="138">
        <f>IFERROR(INDEX(Projects[Notes / Lessons Learned],MATCH(LARGE(_Helper!BH2:BH501,3),_Helper!BH2:BH501,0))&amp;"","-")</f>
        <v/>
      </c>
      <c r="R32" s="91" t="n"/>
      <c r="S32" s="91" t="n"/>
      <c r="T32" s="91" t="n"/>
      <c r="U32" s="91" t="n"/>
      <c r="V32" s="91" t="n"/>
    </row>
    <row r="33" ht="18" customHeight="1" s="74">
      <c r="A33" s="17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Q19:V19"/>
    <mergeCell ref="A5:V5"/>
    <mergeCell ref="C9:H9"/>
    <mergeCell ref="J7:O7"/>
    <mergeCell ref="A7:B7"/>
    <mergeCell ref="A27:B27"/>
    <mergeCell ref="C32:H32"/>
    <mergeCell ref="C13:H13"/>
    <mergeCell ref="J17:O17"/>
    <mergeCell ref="A17:B17"/>
    <mergeCell ref="Q13:V13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6:O6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A16:B16"/>
    <mergeCell ref="Q6:V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14:O14"/>
    <mergeCell ref="J29:O29"/>
    <mergeCell ref="A29:B29"/>
    <mergeCell ref="Q24:V24"/>
    <mergeCell ref="Q18:V18"/>
    <mergeCell ref="J13:O13"/>
    <mergeCell ref="A13:B13"/>
    <mergeCell ref="A31:B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50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67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5" t="inlineStr">
        <is>
          <t xml:space="preserve">  HOW THE SMART SEARCH WORKS</t>
        </is>
      </c>
    </row>
    <row r="4" ht="15.75" customHeight="1" s="74">
      <c r="A4" s="174" t="inlineStr">
        <is>
          <t xml:space="preserve">   Step 1:  Set Include? to YES for every system in your project, NO for the rest.</t>
        </is>
      </c>
    </row>
    <row r="5" ht="15.75" customHeight="1" s="74">
      <c r="A5" s="174" t="inlineStr">
        <is>
          <t xml:space="preserve">   Step 2:  Enter your quantities for the included systems.</t>
        </is>
      </c>
    </row>
    <row r="6" ht="15.75" customHeight="1" s="74">
      <c r="A6" s="174" t="inlineStr">
        <is>
          <t xml:space="preserve">   The tool automatically distributes equal weight across all active parameters and ranks the database.</t>
        </is>
      </c>
    </row>
    <row r="7" ht="15.75" customHeight="1" s="74">
      <c r="A7" s="174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5" t="inlineStr">
        <is>
          <t xml:space="preserve">  MATCH SCORE EXPLAINED</t>
        </is>
      </c>
    </row>
    <row r="10" ht="15.75" customHeight="1" s="74">
      <c r="A10" s="174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74" t="inlineStr">
        <is>
          <t xml:space="preserve">   All active parameters receive equal weight.  Final score = average of all active parameter scores.</t>
        </is>
      </c>
    </row>
    <row r="12" ht="15.75" customHeight="1" s="74">
      <c r="A12" s="174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7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74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5" t="inlineStr">
        <is>
          <t xml:space="preserve">  SYSTEMS SUPPORTED</t>
        </is>
      </c>
    </row>
    <row r="16" ht="15.75" customHeight="1" s="74">
      <c r="A16" s="174" t="inlineStr">
        <is>
          <t xml:space="preserve">   Multishuttle    — Shuttles + Tote Locations</t>
        </is>
      </c>
    </row>
    <row r="17" ht="15.75" customHeight="1" s="74">
      <c r="A17" s="174" t="inlineStr">
        <is>
          <t xml:space="preserve">   AutoStore       — Robots + Tote Locations</t>
        </is>
      </c>
    </row>
    <row r="18" ht="15.75" customHeight="1" s="74">
      <c r="A18" s="174" t="inlineStr">
        <is>
          <t xml:space="preserve">   Pallet Shuttle  — Shuttles + Pallet Locations</t>
        </is>
      </c>
    </row>
    <row r="19" ht="15.75" customHeight="1" s="74">
      <c r="A19" s="174" t="inlineStr">
        <is>
          <t xml:space="preserve">   SRM Crane       — Cranes + Pallet Locations</t>
        </is>
      </c>
    </row>
    <row r="20" ht="15.75" customHeight="1" s="74">
      <c r="A20" s="174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5" t="inlineStr">
        <is>
          <t xml:space="preserve">  ADDING A PROJECT TO THE DATABASE</t>
        </is>
      </c>
    </row>
    <row r="23" ht="15.75" customHeight="1" s="74">
      <c r="A23" s="174" t="inlineStr">
        <is>
          <t xml:space="preserve">   1.  Go to 'Project Database' and fill in the next empty row.</t>
        </is>
      </c>
    </row>
    <row r="24" ht="15.75" customHeight="1" s="74">
      <c r="A24" s="174" t="inlineStr">
        <is>
          <t xml:space="preserve">   2.  Enter data only for systems used — leave other system columns blank.</t>
        </is>
      </c>
    </row>
    <row r="25" ht="15.75" customHeight="1" s="74">
      <c r="A25" s="174" t="inlineStr">
        <is>
          <t xml:space="preserve">   3.  All schedule phases are in WEEKS.</t>
        </is>
      </c>
    </row>
    <row r="26" ht="15.75" customHeight="1" s="74">
      <c r="A26" s="174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74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74" t="inlineStr">
        <is>
          <t xml:space="preserve">   6.  Select the Solution Type from the dropdown in column D.</t>
        </is>
      </c>
    </row>
    <row r="29" ht="21.75" customHeight="1" s="74">
      <c r="A29" s="175" t="n"/>
    </row>
    <row r="30" ht="15.75" customHeight="1" s="74">
      <c r="A30" s="165" t="inlineStr">
        <is>
          <t xml:space="preserve">  MANHOUR COST (% OF PROJECT COST)</t>
        </is>
      </c>
    </row>
    <row r="31" ht="15.75" customHeight="1" s="74">
      <c r="A31" s="174" t="inlineStr">
        <is>
          <t xml:space="preserve">   Database columns AC–AP hold fourteen manhour cost categories, each as a % of project cost:</t>
        </is>
      </c>
    </row>
    <row r="32" ht="15.75" customHeight="1" s="74">
      <c r="A32" s="17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74" t="inlineStr">
        <is>
          <t xml:space="preserve">   Enter these as percentages (type 5% or 0.05 — not 5). Values must be between 0% and 100%.</t>
        </is>
      </c>
    </row>
    <row r="34" ht="15.75" customHeight="1" s="74">
      <c r="A34" s="174" t="inlineStr">
        <is>
          <t xml:space="preserve">   Smart Search shows all fourteen categories individually in the Estimated Schedule section,</t>
        </is>
      </c>
    </row>
    <row r="35" ht="15.75" customHeight="1" s="74">
      <c r="A35" s="174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with no manhour data entered (blank or 0) shows 0.0% for every category — check the TOTAL row.</t>
        </is>
      </c>
    </row>
    <row r="38" ht="26.1" customHeight="1" s="74">
      <c r="A38" s="175" t="inlineStr">
        <is>
          <t>OPTIONAL SEARCH FILTERS</t>
        </is>
      </c>
    </row>
    <row r="39" ht="26.1" customHeight="1" s="74">
      <c r="A39" s="175" t="inlineStr">
        <is>
          <t>Use the four optional filters beside the Smart Search inputs. Blank or All includes all projects.</t>
        </is>
      </c>
    </row>
    <row r="40" ht="26.1" customHeight="1" s="74">
      <c r="A40" s="175" t="inlineStr">
        <is>
          <t>Solution Type and Won status: select a dropdown value. Year: enter an exact year (2000-2099), or clear it.</t>
        </is>
      </c>
    </row>
    <row r="41" ht="26.1" customHeight="1" s="74">
      <c r="A41" s="175" t="inlineStr">
        <is>
          <t>Region: enter text found in Client / Region, e.g. ME matches Turkey ME and KSA ME. Matching ignores letter case.</t>
        </is>
      </c>
    </row>
    <row r="42" ht="26.1" customHeight="1" s="74">
      <c r="A42" s="175" t="inlineStr">
        <is>
          <t>All selected filters must match. Projects with missing data are excluded only when that field is filtered.</t>
        </is>
      </c>
    </row>
    <row r="43" ht="26.1" customHeight="1" s="74">
      <c r="A43" s="175" t="inlineStr">
        <is>
          <t>The top five, closest-match estimate and top-three comparison all use the filtered results.</t>
        </is>
      </c>
    </row>
    <row r="44" ht="26.1" customHeight="1" s="74">
      <c r="A44" s="175" t="inlineStr">
        <is>
          <t>If no projects match, broaden or clear filters. Populate Solution Type in the database before filtering by it.</t>
        </is>
      </c>
    </row>
    <row r="46" ht="15.75" customHeight="1" s="74">
      <c r="A46" s="165" t="inlineStr">
        <is>
          <t xml:space="preserve">  PROJECT DATABASE TABLE</t>
        </is>
      </c>
    </row>
    <row r="47" ht="15.75" customHeight="1" s="74">
      <c r="A47" s="174" t="inlineStr">
        <is>
          <t xml:space="preserve">   The Project Database is an Excel Table named Projects. Use the header buttons to sort or filter.</t>
        </is>
      </c>
    </row>
    <row r="48" ht="15.75" customHeight="1" s="74">
      <c r="A48" s="174" t="inlineStr">
        <is>
          <t xml:space="preserve">   Add a project in the first empty row inside the table. Capacity: 499 projects (rows 6–504).</t>
        </is>
      </c>
    </row>
    <row r="49" ht="15.75" customHeight="1" s="74">
      <c r="A49" s="174" t="inlineStr">
        <is>
          <t xml:space="preserve">   Formulas find columns by header name, so inserting, moving or renaming columns in Excel is safe.</t>
        </is>
      </c>
    </row>
    <row r="50" ht="15.75" customHeight="1" s="74">
      <c r="A50" s="174" t="inlineStr">
        <is>
          <t xml:space="preserve">   Deleting a column that formulas use still breaks them, and a new manhour category must be added to Smart Search.</t>
        </is>
      </c>
    </row>
  </sheetData>
  <mergeCells count="45">
    <mergeCell ref="A48:B48"/>
    <mergeCell ref="A30:B30"/>
    <mergeCell ref="A24:B24"/>
    <mergeCell ref="A15:B15"/>
    <mergeCell ref="A11:B11"/>
    <mergeCell ref="A49:B49"/>
    <mergeCell ref="A1:B1"/>
    <mergeCell ref="A6:B6"/>
    <mergeCell ref="A16:B16"/>
    <mergeCell ref="A7:B7"/>
    <mergeCell ref="A25:B25"/>
    <mergeCell ref="A41:B41"/>
    <mergeCell ref="A46:B46"/>
    <mergeCell ref="A18:B18"/>
    <mergeCell ref="A27:B27"/>
    <mergeCell ref="A3:B3"/>
    <mergeCell ref="A12:B12"/>
    <mergeCell ref="A50:B50"/>
    <mergeCell ref="A26:B26"/>
    <mergeCell ref="A2:B2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35:B35"/>
    <mergeCell ref="A4:B4"/>
    <mergeCell ref="A20:B20"/>
    <mergeCell ref="A38:B38"/>
    <mergeCell ref="A29:B29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2026-09-25T06:07:39Z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