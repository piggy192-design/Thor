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  <sheet name="Change Log" sheetId="7" state="visible" r:id="rId7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T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U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V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W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X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Y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Z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BA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BB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BC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BD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BE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BF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6">
    <numFmt numFmtId="164" formatCode="#,##0.00&quot; M&quot;"/>
    <numFmt numFmtId="165" formatCode="0.0%"/>
    <numFmt numFmtId="166" formatCode="0.000000"/>
    <numFmt numFmtId="167" formatCode="#,##0.0000"/>
    <numFmt numFmtId="168" formatCode="yyyy-mm-dd"/>
    <numFmt numFmtId="169" formatCode="+0.0%;-0.0%;0.0%"/>
  </numFmts>
  <fonts count="43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i val="1"/>
      <color rgb="FF808080"/>
      <sz val="9"/>
    </font>
    <font>
      <name val="Arial"/>
      <b val="1"/>
      <color rgb="FF1D1D1B"/>
      <sz val="10"/>
    </font>
    <font>
      <name val="Arial"/>
      <b val="1"/>
      <color rgb="FFFFFFFF"/>
      <sz val="9"/>
    </font>
    <font>
      <name val="Arial"/>
      <charset val="1"/>
      <family val="2"/>
      <b val="1"/>
      <color rgb="FF4A4A6A"/>
      <sz val="12"/>
    </font>
  </fonts>
  <fills count="31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1A3A5C"/>
      </patternFill>
    </fill>
    <fill>
      <patternFill patternType="solid">
        <fgColor rgb="FF4A4A6A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99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9" fillId="0" borderId="0" applyAlignment="1" pivotButton="0" quotePrefix="0" xfId="0">
      <alignment horizontal="right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40" fillId="4" borderId="17" applyAlignment="1" pivotButton="0" quotePrefix="0" xfId="0">
      <alignment horizontal="center" vertical="center" wrapText="1"/>
    </xf>
    <xf numFmtId="0" fontId="40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165" fontId="13" fillId="15" borderId="13" applyAlignment="1" pivotButton="0" quotePrefix="0" xfId="0">
      <alignment horizontal="center" vertical="center" wrapText="1"/>
    </xf>
    <xf numFmtId="165" fontId="13" fillId="16" borderId="13" applyAlignment="1" pivotButton="0" quotePrefix="0" xfId="0">
      <alignment horizontal="center" vertical="center" wrapText="1"/>
    </xf>
    <xf numFmtId="165" fontId="13" fillId="12" borderId="13" applyAlignment="1" pivotButton="0" quotePrefix="0" xfId="0">
      <alignment horizontal="center" vertical="center" wrapText="1"/>
    </xf>
    <xf numFmtId="165" fontId="23" fillId="4" borderId="13" applyAlignment="1" pivotButton="0" quotePrefix="0" xfId="0">
      <alignment horizontal="center" vertical="center" wrapText="1"/>
    </xf>
    <xf numFmtId="165" fontId="23" fillId="13" borderId="13" applyAlignment="1" pivotButton="0" quotePrefix="0" xfId="0">
      <alignment horizontal="center" vertical="center" wrapText="1"/>
    </xf>
    <xf numFmtId="165" fontId="29" fillId="9" borderId="13" applyAlignment="1" pivotButton="0" quotePrefix="0" xfId="0">
      <alignment horizontal="center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  <xf numFmtId="0" fontId="7" fillId="12" borderId="8" applyAlignment="1" pivotButton="0" quotePrefix="0" xfId="0">
      <alignment horizontal="center" vertical="top" wrapText="1"/>
    </xf>
    <xf numFmtId="0" fontId="7" fillId="12" borderId="8" applyAlignment="1" pivotButton="0" quotePrefix="0" xfId="0">
      <alignment horizontal="left" vertical="top" wrapText="1"/>
    </xf>
    <xf numFmtId="0" fontId="41" fillId="29" borderId="1" applyAlignment="1" pivotButton="0" quotePrefix="0" xfId="0">
      <alignment horizontal="center" vertical="center" wrapText="1"/>
    </xf>
    <xf numFmtId="0" fontId="41" fillId="30" borderId="1" applyAlignment="1" pivotButton="0" quotePrefix="0" xfId="0">
      <alignment horizontal="center" vertical="center" wrapText="1"/>
    </xf>
    <xf numFmtId="169" fontId="42" fillId="15" borderId="17" applyAlignment="1" pivotButton="0" quotePrefix="0" xfId="0">
      <alignment horizontal="center" vertical="center" wrapText="1"/>
    </xf>
    <xf numFmtId="169" fontId="42" fillId="4" borderId="17" applyAlignment="1" pivotButton="0" quotePrefix="0" xfId="0">
      <alignment horizontal="center" vertical="center" wrapText="1"/>
    </xf>
    <xf numFmtId="165" fontId="0" fillId="0" borderId="23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BH504" headerRowCount="1">
  <autoFilter ref="A5:BH504"/>
  <tableColumns count="60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Value (USD M)"/>
    <tableColumn id="27" name="Automation Equipment"/>
    <tableColumn id="28" name="Notes / Lessons Learned"/>
    <tableColumn id="29" name="ID Check"/>
    <tableColumn id="30" name="Est Cost (M)"/>
    <tableColumn id="31" name="Est Mech Inst"/>
    <tableColumn id="32" name="Est Elec Inst"/>
    <tableColumn id="33" name="Est Project Management"/>
    <tableColumn id="34" name="Est Systems Eng"/>
    <tableColumn id="35" name="Est Mechanical Eng"/>
    <tableColumn id="36" name="Est Structural Engineering"/>
    <tableColumn id="37" name="Est Site Sup"/>
    <tableColumn id="38" name="Est Controls Commissioning"/>
    <tableColumn id="39" name="Est Systems Commissioning"/>
    <tableColumn id="40" name="Est Service Commissioning"/>
    <tableColumn id="41" name="Est Controls Eng"/>
    <tableColumn id="42" name="Est Controls Purchase"/>
    <tableColumn id="43" name="Est Software Eng"/>
    <tableColumn id="44" name="Est Misc"/>
    <tableColumn id="45" name="Act Cost (M)"/>
    <tableColumn id="46" name="Act Mech Inst"/>
    <tableColumn id="47" name="Act Elec Inst"/>
    <tableColumn id="48" name="Act Project Management"/>
    <tableColumn id="49" name="Act Systems Eng"/>
    <tableColumn id="50" name="Act Mechanical Eng"/>
    <tableColumn id="51" name="Act Structural Engineering"/>
    <tableColumn id="52" name="Act Site Sup"/>
    <tableColumn id="53" name="Act Controls Commissioning"/>
    <tableColumn id="54" name="Act Systems Commissioning"/>
    <tableColumn id="55" name="Act Service Commissioning"/>
    <tableColumn id="56" name="Act Controls Eng"/>
    <tableColumn id="57" name="Act Controls Purchase"/>
    <tableColumn id="58" name="Act Software Eng"/>
    <tableColumn id="59" name="Act Misc"/>
    <tableColumn id="60" name="Act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T5" dT="2026-08-27T01:56:43.02" personId="{BE8A153B-FB32-44A0-B175-14E1F655B442}" id="{D697F934-33A5-4362-8F8A-FBBF7074724E}">
    <text xml:space="preserve">Task No - 5000
</text>
  </threadedComment>
  <threadedComment ref="AU5" dT="2026-08-27T01:56:54.04" personId="{BE8A153B-FB32-44A0-B175-14E1F655B442}" id="{E0DBF5F8-7F49-4118-8720-97AB7CA0C788}">
    <text xml:space="preserve">Task Number 7300
</text>
  </threadedComment>
  <threadedComment ref="AV5" dT="2026-08-27T01:57:38.16" personId="{BE8A153B-FB32-44A0-B175-14E1F655B442}" id="{5F2C9931-CFCE-4CBB-AF48-4424C6C74487}">
    <text>Task No - 6100</text>
  </threadedComment>
  <threadedComment ref="AW5" dT="2026-08-27T01:57:54.35" personId="{BE8A153B-FB32-44A0-B175-14E1F655B442}" id="{B5BDC888-C10A-4BA0-9A4D-36C557B0FE11}">
    <text>Task No - 6200</text>
  </threadedComment>
  <threadedComment ref="AX5" dT="2026-08-27T01:58:26.72" personId="{BE8A153B-FB32-44A0-B175-14E1F655B442}" id="{29719A38-F856-43BC-9D87-6CAA8B958DCF}">
    <text>Task No - 6300</text>
  </threadedComment>
  <threadedComment ref="AY5" dT="2026-08-27T01:58:46.30" personId="{BE8A153B-FB32-44A0-B175-14E1F655B442}" id="{925DBB45-B3A5-4118-B786-1CD08A46CD9F}">
    <text>Task No - 6400</text>
  </threadedComment>
  <threadedComment ref="AZ5" dT="2026-08-27T01:59:07.13" personId="{BE8A153B-FB32-44A0-B175-14E1F655B442}" id="{8D61AD9F-B5B4-46C7-9366-1CD91C795959}">
    <text>Task No - 6500 6510 6520 6530</text>
  </threadedComment>
  <threadedComment ref="BA5" dT="2026-08-27T01:59:31.95" personId="{BE8A153B-FB32-44A0-B175-14E1F655B442}" id="{2012CEBF-9DA0-46AB-990E-ACDEECDFBAF5}">
    <text xml:space="preserve">Task No - 6600 </text>
  </threadedComment>
  <threadedComment ref="BB5" dT="2026-08-27T02:01:02.91" personId="{BE8A153B-FB32-44A0-B175-14E1F655B442}" id="{C73F9FBE-F06A-459E-9927-9E8A69C8F17D}">
    <text>Task No 6620</text>
  </threadedComment>
  <threadedComment ref="BC5" dT="2026-08-27T02:01:21.72" personId="{BE8A153B-FB32-44A0-B175-14E1F655B442}" id="{24D4C3A5-822B-421F-8CCA-89DA8714184B}">
    <text>Task No - 6630</text>
  </threadedComment>
  <threadedComment ref="BD5" dT="2026-08-27T02:01:39.51" personId="{BE8A153B-FB32-44A0-B175-14E1F655B442}" id="{12533FAD-5700-4564-B547-BEDCDD91B6D0}">
    <text>Task No - 7000</text>
  </threadedComment>
  <threadedComment ref="BE5" dT="2026-08-27T02:01:55.86" personId="{BE8A153B-FB32-44A0-B175-14E1F655B442}" id="{44924316-329F-41A6-ACF0-CA4CD4C3E125}">
    <text>Task No - 7100 7150</text>
  </threadedComment>
  <threadedComment ref="BF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BH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12" customWidth="1" style="74" min="26" max="26"/>
    <col width="44.5546875" customWidth="1" style="74" min="27" max="27"/>
    <col width="50" customWidth="1" style="74" min="28" max="28"/>
    <col width="14" customWidth="1" style="74" min="29" max="29"/>
    <col width="12" customWidth="1" style="74" min="30" max="30"/>
    <col width="11.33203125" customWidth="1" style="74" min="31" max="31"/>
    <col width="10.33203125" customWidth="1" style="74" min="32" max="32"/>
    <col width="8.44140625" customWidth="1" style="74" min="33" max="33"/>
    <col width="11" customWidth="1" style="74" min="34" max="34"/>
    <col width="13" customWidth="1" style="74" min="35" max="35"/>
    <col width="13" customWidth="1" style="74" min="36" max="36"/>
    <col width="9.5546875" customWidth="1" style="74" min="37" max="37"/>
    <col width="17.33203125" customWidth="1" style="74" min="38" max="38"/>
    <col width="13" customWidth="1" style="74" min="39" max="39"/>
    <col width="13" customWidth="1" style="74" min="40" max="40"/>
    <col width="11.44140625" customWidth="1" style="74" min="41" max="41"/>
    <col width="13" customWidth="1" style="74" min="42" max="42"/>
    <col width="10" customWidth="1" style="74" min="43" max="43"/>
    <col width="13" customWidth="1" style="74" min="44" max="44"/>
    <col width="12" customWidth="1" style="74" min="45" max="45"/>
    <col width="11.33203125" customWidth="1" style="74" min="46" max="46"/>
    <col width="10.33203125" customWidth="1" style="74" min="47" max="47"/>
    <col width="8.44140625" customWidth="1" style="74" min="48" max="48"/>
    <col width="11" customWidth="1" style="74" min="49" max="49"/>
    <col width="13" customWidth="1" style="74" min="50" max="50"/>
    <col width="13" customWidth="1" style="74" min="51" max="51"/>
    <col width="9.5546875" customWidth="1" style="74" min="52" max="52"/>
    <col width="17.33203125" customWidth="1" style="74" min="53" max="53"/>
    <col width="13" customWidth="1" style="74" min="54" max="54"/>
    <col width="13" customWidth="1" style="74" min="55" max="55"/>
    <col width="11.44140625" customWidth="1" style="74" min="56" max="56"/>
    <col width="13" customWidth="1" style="74" min="57" max="57"/>
    <col width="10" customWidth="1" style="74" min="58" max="58"/>
    <col width="13" customWidth="1" style="74" min="59" max="59"/>
    <col width="15" customWidth="1" style="74" min="60" max="60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94" t="inlineStr">
        <is>
          <t>PRESALES ESTIMATE  |  Manhour cost (% of estimated project cost)</t>
        </is>
      </c>
      <c r="AS1" s="195" t="inlineStr">
        <is>
          <t>ACTUAL  |  Manhour cost (% of final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72" t="n"/>
      <c r="AA3" s="82" t="inlineStr">
        <is>
          <t>ATTRIBUTES</t>
        </is>
      </c>
      <c r="AB3" s="72" t="n"/>
      <c r="AC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15" t="n"/>
      <c r="AA4" s="21" t="n"/>
      <c r="AB4" s="21" t="n"/>
      <c r="AC4" s="21" t="n"/>
      <c r="AD4" s="15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  <c r="AQ4" s="22" t="n"/>
      <c r="AR4" s="22" t="n"/>
      <c r="AS4" s="15" t="n"/>
      <c r="AT4" s="22" t="n"/>
      <c r="AU4" s="22" t="n"/>
      <c r="AV4" s="22" t="n"/>
      <c r="AW4" s="22" t="n"/>
      <c r="AX4" s="22" t="n"/>
      <c r="AY4" s="22" t="n"/>
      <c r="AZ4" s="22" t="n"/>
      <c r="BA4" s="22" t="n"/>
      <c r="BB4" s="22" t="n"/>
      <c r="BC4" s="22" t="n"/>
      <c r="BD4" s="22" t="n"/>
      <c r="BE4" s="22" t="n"/>
      <c r="BF4" s="22" t="n"/>
      <c r="BG4" s="22" t="n"/>
      <c r="BH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24" t="inlineStr">
        <is>
          <t>Value (USD M)</t>
        </is>
      </c>
      <c r="AA5" s="82" t="inlineStr">
        <is>
          <t>Automation Equipment</t>
        </is>
      </c>
      <c r="AB5" s="82" t="inlineStr">
        <is>
          <t>Notes / Lessons Learned</t>
        </is>
      </c>
      <c r="AC5" s="30" t="inlineStr">
        <is>
          <t>ID Check</t>
        </is>
      </c>
      <c r="AD5" s="24" t="inlineStr">
        <is>
          <t>Est Cost (M)</t>
        </is>
      </c>
      <c r="AE5" s="31" t="inlineStr">
        <is>
          <t>Est Mech Inst</t>
        </is>
      </c>
      <c r="AF5" s="31" t="inlineStr">
        <is>
          <t>Est Elec Inst</t>
        </is>
      </c>
      <c r="AG5" s="31" t="inlineStr">
        <is>
          <t>Est Project Management</t>
        </is>
      </c>
      <c r="AH5" s="31" t="inlineStr">
        <is>
          <t>Est Systems Eng</t>
        </is>
      </c>
      <c r="AI5" s="31" t="inlineStr">
        <is>
          <t>Est Mechanical Eng</t>
        </is>
      </c>
      <c r="AJ5" s="31" t="inlineStr">
        <is>
          <t>Est Structural Engineering</t>
        </is>
      </c>
      <c r="AK5" s="31" t="inlineStr">
        <is>
          <t>Est Site Sup</t>
        </is>
      </c>
      <c r="AL5" s="31" t="inlineStr">
        <is>
          <t>Est Controls Commissioning</t>
        </is>
      </c>
      <c r="AM5" s="31" t="inlineStr">
        <is>
          <t>Est Systems Commissioning</t>
        </is>
      </c>
      <c r="AN5" s="31" t="inlineStr">
        <is>
          <t>Est Service Commissioning</t>
        </is>
      </c>
      <c r="AO5" s="31" t="inlineStr">
        <is>
          <t>Est Controls Eng</t>
        </is>
      </c>
      <c r="AP5" s="31" t="inlineStr">
        <is>
          <t>Est Controls Purchase</t>
        </is>
      </c>
      <c r="AQ5" s="31" t="inlineStr">
        <is>
          <t>Est Software Eng</t>
        </is>
      </c>
      <c r="AR5" s="31" t="inlineStr">
        <is>
          <t>Est Misc</t>
        </is>
      </c>
      <c r="AS5" s="24" t="inlineStr">
        <is>
          <t>Act Cost (M)</t>
        </is>
      </c>
      <c r="AT5" s="31" t="inlineStr">
        <is>
          <t>Act Mech Inst</t>
        </is>
      </c>
      <c r="AU5" s="31" t="inlineStr">
        <is>
          <t>Act Elec Inst</t>
        </is>
      </c>
      <c r="AV5" s="31" t="inlineStr">
        <is>
          <t>Act Project Management</t>
        </is>
      </c>
      <c r="AW5" s="31" t="inlineStr">
        <is>
          <t>Act Systems Eng</t>
        </is>
      </c>
      <c r="AX5" s="31" t="inlineStr">
        <is>
          <t>Act Mechanical Eng</t>
        </is>
      </c>
      <c r="AY5" s="31" t="inlineStr">
        <is>
          <t>Act Structural Engineering</t>
        </is>
      </c>
      <c r="AZ5" s="31" t="inlineStr">
        <is>
          <t>Act Site Sup</t>
        </is>
      </c>
      <c r="BA5" s="31" t="inlineStr">
        <is>
          <t>Act Controls Commissioning</t>
        </is>
      </c>
      <c r="BB5" s="31" t="inlineStr">
        <is>
          <t>Act Systems Commissioning</t>
        </is>
      </c>
      <c r="BC5" s="31" t="inlineStr">
        <is>
          <t>Act Service Commissioning</t>
        </is>
      </c>
      <c r="BD5" s="31" t="inlineStr">
        <is>
          <t>Act Controls Eng</t>
        </is>
      </c>
      <c r="BE5" s="31" t="inlineStr">
        <is>
          <t>Act Controls Purchase</t>
        </is>
      </c>
      <c r="BF5" s="31" t="inlineStr">
        <is>
          <t>Act Software Eng</t>
        </is>
      </c>
      <c r="BG5" s="31" t="inlineStr">
        <is>
          <t>Act Misc</t>
        </is>
      </c>
      <c r="BH5" s="23" t="inlineStr">
        <is>
          <t>Act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157">
        <f>IF(OR(Y6="",X6=""),"",IFERROR(Y6*INDEX(FXRates[USD per unit],MATCH(X6,FXRates[Currency],0)),"No rate"))</f>
        <v/>
      </c>
      <c r="AA6" s="32" t="inlineStr">
        <is>
          <t>Hybotics APP Autobagger Carton Reducting Lidding Sealer Tote Stacker DeStacker MCS</t>
        </is>
      </c>
      <c r="AB6" s="32" t="n"/>
      <c r="AC6" s="36">
        <f>IF(A6="","",IF(COUNTIF($A$6:$A$504,A6)&gt;1,"⚠ Duplicate",""))</f>
        <v/>
      </c>
      <c r="AD6" s="35" t="n"/>
      <c r="AE6" s="37" t="n"/>
      <c r="AF6" s="37" t="n"/>
      <c r="AG6" s="37" t="n"/>
      <c r="AH6" s="37" t="n"/>
      <c r="AI6" s="37" t="n"/>
      <c r="AJ6" s="37" t="n"/>
      <c r="AK6" s="37" t="n"/>
      <c r="AL6" s="37" t="n"/>
      <c r="AM6" s="37" t="n"/>
      <c r="AN6" s="37" t="n"/>
      <c r="AO6" s="37" t="n"/>
      <c r="AP6" s="37" t="n"/>
      <c r="AQ6" s="37" t="n"/>
      <c r="AR6" s="37" t="n"/>
      <c r="AS6" s="35" t="n"/>
      <c r="AT6" s="37" t="n">
        <v>0</v>
      </c>
      <c r="AU6" s="37" t="n">
        <v>0</v>
      </c>
      <c r="AV6" s="37" t="n">
        <v>0</v>
      </c>
      <c r="AW6" s="37" t="n">
        <v>0</v>
      </c>
      <c r="AX6" s="37" t="n">
        <v>0</v>
      </c>
      <c r="AY6" s="37" t="n">
        <v>0</v>
      </c>
      <c r="AZ6" s="37" t="n">
        <v>0</v>
      </c>
      <c r="BA6" s="37" t="n">
        <v>0</v>
      </c>
      <c r="BB6" s="37" t="n">
        <v>0</v>
      </c>
      <c r="BC6" s="37" t="n">
        <v>0</v>
      </c>
      <c r="BD6" s="37" t="n">
        <v>0</v>
      </c>
      <c r="BE6" s="37" t="n">
        <v>0</v>
      </c>
      <c r="BF6" s="37" t="n">
        <v>0</v>
      </c>
      <c r="BG6" s="37" t="n">
        <v>0</v>
      </c>
      <c r="BH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158">
        <f>IF(OR(Y7="",X7=""),"",IFERROR(Y7*INDEX(FXRates[USD per unit],MATCH(X7,FXRates[Currency],0)),"No rate"))</f>
        <v/>
      </c>
      <c r="AA7" s="38" t="inlineStr">
        <is>
          <t xml:space="preserve">SRM BK25 </t>
        </is>
      </c>
      <c r="AB7" s="38" t="inlineStr">
        <is>
          <t>2 SRM Cranes in 1 Aisle Configuration</t>
        </is>
      </c>
      <c r="AC7" s="41">
        <f>IF(A7="","",IF(COUNTIF($A$6:$A$504,A7)&gt;1,"⚠ Duplicate",""))</f>
        <v/>
      </c>
      <c r="AD7" s="40" t="n"/>
      <c r="AE7" s="42" t="n">
        <v>0.011</v>
      </c>
      <c r="AF7" s="42" t="n">
        <v>0.011</v>
      </c>
      <c r="AG7" s="42" t="n">
        <v>0.011</v>
      </c>
      <c r="AH7" s="42" t="n">
        <v>0.004</v>
      </c>
      <c r="AI7" s="42" t="n">
        <v>0.01</v>
      </c>
      <c r="AJ7" s="42" t="n">
        <v>0.008</v>
      </c>
      <c r="AK7" s="42" t="n">
        <v>0.008</v>
      </c>
      <c r="AL7" s="42" t="n">
        <v>0.021</v>
      </c>
      <c r="AM7" s="42" t="n">
        <v>0.021</v>
      </c>
      <c r="AN7" s="42" t="n">
        <v>0.021</v>
      </c>
      <c r="AO7" s="42" t="n">
        <v>0.03</v>
      </c>
      <c r="AP7" s="42" t="n">
        <v>0.03</v>
      </c>
      <c r="AQ7" s="42" t="n">
        <v>0.003</v>
      </c>
      <c r="AR7" s="37" t="n">
        <v>0.001</v>
      </c>
      <c r="AS7" s="40" t="n"/>
      <c r="AT7" s="42" t="n"/>
      <c r="AU7" s="42" t="n"/>
      <c r="AV7" s="42" t="n"/>
      <c r="AW7" s="42" t="n"/>
      <c r="AX7" s="42" t="n"/>
      <c r="AY7" s="42" t="n"/>
      <c r="AZ7" s="42" t="n"/>
      <c r="BA7" s="42" t="n"/>
      <c r="BB7" s="42" t="n"/>
      <c r="BC7" s="42" t="n"/>
      <c r="BD7" s="42" t="n"/>
      <c r="BE7" s="42" t="n"/>
      <c r="BF7" s="42" t="n"/>
      <c r="BG7" s="37" t="n"/>
      <c r="BH7" s="38" t="n"/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157">
        <f>IF(OR(Y8="",X8=""),"",IFERROR(Y8*INDEX(FXRates[USD per unit],MATCH(X8,FXRates[Currency],0)),"No rate"))</f>
        <v/>
      </c>
      <c r="AA8" s="32" t="inlineStr">
        <is>
          <t>AutoStore</t>
        </is>
      </c>
      <c r="AB8" s="32" t="n"/>
      <c r="AC8" s="36">
        <f>IF(A8="","",IF(COUNTIF($A$6:$A$504,A8)&gt;1,"⚠ Duplicate",""))</f>
        <v/>
      </c>
      <c r="AD8" s="35" t="n"/>
      <c r="AE8" s="43" t="n">
        <v>0.05</v>
      </c>
      <c r="AF8" s="43" t="n">
        <v>0.05</v>
      </c>
      <c r="AG8" s="43" t="n">
        <v>0.05</v>
      </c>
      <c r="AH8" s="43" t="n">
        <v>0.07000000000000001</v>
      </c>
      <c r="AI8" s="43" t="n">
        <v>0.09</v>
      </c>
      <c r="AJ8" s="43" t="n">
        <v>0.06</v>
      </c>
      <c r="AK8" s="43" t="n">
        <v>0.06</v>
      </c>
      <c r="AL8" s="43" t="n">
        <v>0.01</v>
      </c>
      <c r="AM8" s="43" t="n">
        <v>0.01</v>
      </c>
      <c r="AN8" s="43" t="n">
        <v>0.01</v>
      </c>
      <c r="AO8" s="43" t="n">
        <v>0.01</v>
      </c>
      <c r="AP8" s="43" t="n">
        <v>0.01</v>
      </c>
      <c r="AQ8" s="43" t="n">
        <v>0.04</v>
      </c>
      <c r="AR8" s="37" t="n">
        <v>0.001</v>
      </c>
      <c r="AS8" s="35" t="n"/>
      <c r="AT8" s="43" t="n"/>
      <c r="AU8" s="43" t="n"/>
      <c r="AV8" s="43" t="n"/>
      <c r="AW8" s="43" t="n"/>
      <c r="AX8" s="43" t="n"/>
      <c r="AY8" s="43" t="n"/>
      <c r="AZ8" s="43" t="n"/>
      <c r="BA8" s="43" t="n"/>
      <c r="BB8" s="43" t="n"/>
      <c r="BC8" s="43" t="n"/>
      <c r="BD8" s="43" t="n"/>
      <c r="BE8" s="43" t="n"/>
      <c r="BF8" s="43" t="n"/>
      <c r="BG8" s="37" t="n"/>
      <c r="BH8" s="32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158">
        <f>IF(OR(Y9="",X9=""),"",IFERROR(Y9*INDEX(FXRates[USD per unit],MATCH(X9,FXRates[Currency],0)),"No rate"))</f>
        <v/>
      </c>
      <c r="AA9" s="38" t="inlineStr">
        <is>
          <t>AutoStore</t>
        </is>
      </c>
      <c r="AB9" s="38" t="n"/>
      <c r="AC9" s="41">
        <f>IF(A9="","",IF(COUNTIF($A$6:$A$504,A9)&gt;1,"⚠ Duplicate",""))</f>
        <v/>
      </c>
      <c r="AD9" s="40" t="n"/>
      <c r="AE9" s="42" t="n">
        <v>0.05</v>
      </c>
      <c r="AF9" s="42" t="n">
        <v>0.05</v>
      </c>
      <c r="AG9" s="42" t="n">
        <v>0.05</v>
      </c>
      <c r="AH9" s="42" t="n">
        <v>0.07000000000000001</v>
      </c>
      <c r="AI9" s="42" t="n">
        <v>0.09</v>
      </c>
      <c r="AJ9" s="42" t="n">
        <v>0.06</v>
      </c>
      <c r="AK9" s="42" t="n">
        <v>0.06</v>
      </c>
      <c r="AL9" s="42" t="n">
        <v>0.01</v>
      </c>
      <c r="AM9" s="42" t="n">
        <v>0.01</v>
      </c>
      <c r="AN9" s="42" t="n">
        <v>0.01</v>
      </c>
      <c r="AO9" s="42" t="n">
        <v>0.01</v>
      </c>
      <c r="AP9" s="42" t="n">
        <v>0.01</v>
      </c>
      <c r="AQ9" s="42" t="n">
        <v>0.04</v>
      </c>
      <c r="AR9" s="37" t="n">
        <v>0.001</v>
      </c>
      <c r="AS9" s="40" t="n"/>
      <c r="AT9" s="42" t="n"/>
      <c r="AU9" s="42" t="n"/>
      <c r="AV9" s="42" t="n"/>
      <c r="AW9" s="42" t="n"/>
      <c r="AX9" s="42" t="n"/>
      <c r="AY9" s="42" t="n"/>
      <c r="AZ9" s="42" t="n"/>
      <c r="BA9" s="42" t="n"/>
      <c r="BB9" s="42" t="n"/>
      <c r="BC9" s="42" t="n"/>
      <c r="BD9" s="42" t="n"/>
      <c r="BE9" s="42" t="n"/>
      <c r="BF9" s="42" t="n"/>
      <c r="BG9" s="37" t="n"/>
      <c r="BH9" s="38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157">
        <f>IF(OR(Y10="",X10=""),"",IFERROR(Y10*INDEX(FXRates[USD per unit],MATCH(X10,FXRates[Currency],0)),"No rate"))</f>
        <v/>
      </c>
      <c r="AA10" s="32" t="inlineStr">
        <is>
          <t>AutoStore</t>
        </is>
      </c>
      <c r="AB10" s="32" t="n"/>
      <c r="AC10" s="36">
        <f>IF(A10="","",IF(COUNTIF($A$6:$A$504,A10)&gt;1,"⚠ Duplicate",""))</f>
        <v/>
      </c>
      <c r="AD10" s="35" t="n"/>
      <c r="AE10" s="43" t="n">
        <v>0.05</v>
      </c>
      <c r="AF10" s="43" t="n">
        <v>0.05</v>
      </c>
      <c r="AG10" s="43" t="n">
        <v>0.05</v>
      </c>
      <c r="AH10" s="43" t="n">
        <v>0.07000000000000001</v>
      </c>
      <c r="AI10" s="43" t="n">
        <v>0.09</v>
      </c>
      <c r="AJ10" s="43" t="n">
        <v>0.06</v>
      </c>
      <c r="AK10" s="43" t="n">
        <v>0.06</v>
      </c>
      <c r="AL10" s="43" t="n">
        <v>0.01</v>
      </c>
      <c r="AM10" s="43" t="n">
        <v>0.01</v>
      </c>
      <c r="AN10" s="43" t="n">
        <v>0.01</v>
      </c>
      <c r="AO10" s="43" t="n">
        <v>0.01</v>
      </c>
      <c r="AP10" s="43" t="n">
        <v>0.01</v>
      </c>
      <c r="AQ10" s="43" t="n">
        <v>0.04</v>
      </c>
      <c r="AR10" s="37" t="n">
        <v>0.001</v>
      </c>
      <c r="AS10" s="35" t="n"/>
      <c r="AT10" s="43" t="n"/>
      <c r="AU10" s="43" t="n"/>
      <c r="AV10" s="43" t="n"/>
      <c r="AW10" s="43" t="n"/>
      <c r="AX10" s="43" t="n"/>
      <c r="AY10" s="43" t="n"/>
      <c r="AZ10" s="43" t="n"/>
      <c r="BA10" s="43" t="n"/>
      <c r="BB10" s="43" t="n"/>
      <c r="BC10" s="43" t="n"/>
      <c r="BD10" s="43" t="n"/>
      <c r="BE10" s="43" t="n"/>
      <c r="BF10" s="43" t="n"/>
      <c r="BG10" s="37" t="n"/>
      <c r="BH10" s="32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158">
        <f>IF(OR(Y11="",X11=""),"",IFERROR(Y11*INDEX(FXRates[USD per unit],MATCH(X11,FXRates[Currency],0)),"No rate"))</f>
        <v/>
      </c>
      <c r="AA11" s="38" t="inlineStr">
        <is>
          <t>DMS MCS Elten Tote Palletising Case Lidding</t>
        </is>
      </c>
      <c r="AB11" s="38" t="n"/>
      <c r="AC11" s="41">
        <f>IF(A11="","",IF(COUNTIF($A$6:$A$504,A11)&gt;1,"⚠ Duplicate",""))</f>
        <v/>
      </c>
      <c r="AD11" s="40" t="n"/>
      <c r="AE11" s="37" t="n"/>
      <c r="AF11" s="37" t="n"/>
      <c r="AG11" s="37" t="n"/>
      <c r="AH11" s="37" t="n"/>
      <c r="AI11" s="37" t="n"/>
      <c r="AJ11" s="37" t="n"/>
      <c r="AK11" s="37" t="n"/>
      <c r="AL11" s="37" t="n"/>
      <c r="AM11" s="37" t="n"/>
      <c r="AN11" s="37" t="n"/>
      <c r="AO11" s="37" t="n"/>
      <c r="AP11" s="37" t="n"/>
      <c r="AQ11" s="37" t="n"/>
      <c r="AR11" s="37" t="n"/>
      <c r="AS11" s="40" t="n"/>
      <c r="AT11" s="37" t="n">
        <v>0</v>
      </c>
      <c r="AU11" s="37" t="n">
        <v>0</v>
      </c>
      <c r="AV11" s="37" t="n">
        <v>0</v>
      </c>
      <c r="AW11" s="37" t="n">
        <v>0</v>
      </c>
      <c r="AX11" s="37" t="n">
        <v>0</v>
      </c>
      <c r="AY11" s="37" t="n">
        <v>0</v>
      </c>
      <c r="AZ11" s="37" t="n">
        <v>0</v>
      </c>
      <c r="BA11" s="37" t="n">
        <v>0</v>
      </c>
      <c r="BB11" s="37" t="n">
        <v>0</v>
      </c>
      <c r="BC11" s="37" t="n">
        <v>0</v>
      </c>
      <c r="BD11" s="37" t="n">
        <v>0</v>
      </c>
      <c r="BE11" s="37" t="n">
        <v>0</v>
      </c>
      <c r="BF11" s="37" t="n">
        <v>0</v>
      </c>
      <c r="BG11" s="37" t="n">
        <v>0</v>
      </c>
      <c r="BH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157">
        <f>IF(OR(Y12="",X12=""),"",IFERROR(Y12*INDEX(FXRates[USD per unit],MATCH(X12,FXRates[Currency],0)),"No rate"))</f>
        <v/>
      </c>
      <c r="AA12" s="32" t="inlineStr">
        <is>
          <t>2 Way Shuttle BK25</t>
        </is>
      </c>
      <c r="AB12" s="32" t="n"/>
      <c r="AC12" s="36">
        <f>IF(A12="","",IF(COUNTIF($A$6:$A$504,A12)&gt;1,"⚠ Duplicate",""))</f>
        <v/>
      </c>
      <c r="AD12" s="35" t="n"/>
      <c r="AE12" s="37" t="n"/>
      <c r="AF12" s="37" t="n"/>
      <c r="AG12" s="37" t="n"/>
      <c r="AH12" s="37" t="n"/>
      <c r="AI12" s="37" t="n"/>
      <c r="AJ12" s="37" t="n"/>
      <c r="AK12" s="37" t="n"/>
      <c r="AL12" s="37" t="n"/>
      <c r="AM12" s="37" t="n"/>
      <c r="AN12" s="37" t="n"/>
      <c r="AO12" s="37" t="n"/>
      <c r="AP12" s="37" t="n"/>
      <c r="AQ12" s="37" t="n"/>
      <c r="AR12" s="37" t="n"/>
      <c r="AS12" s="35" t="n"/>
      <c r="AT12" s="37" t="n">
        <v>0</v>
      </c>
      <c r="AU12" s="37" t="n">
        <v>0</v>
      </c>
      <c r="AV12" s="37" t="n">
        <v>0</v>
      </c>
      <c r="AW12" s="37" t="n">
        <v>0</v>
      </c>
      <c r="AX12" s="37" t="n">
        <v>0</v>
      </c>
      <c r="AY12" s="37" t="n">
        <v>0</v>
      </c>
      <c r="AZ12" s="37" t="n">
        <v>0</v>
      </c>
      <c r="BA12" s="37" t="n">
        <v>0</v>
      </c>
      <c r="BB12" s="37" t="n">
        <v>0</v>
      </c>
      <c r="BC12" s="37" t="n">
        <v>0</v>
      </c>
      <c r="BD12" s="37" t="n">
        <v>0</v>
      </c>
      <c r="BE12" s="37" t="n">
        <v>0</v>
      </c>
      <c r="BF12" s="37" t="n">
        <v>0</v>
      </c>
      <c r="BG12" s="37" t="n">
        <v>0</v>
      </c>
      <c r="BH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158">
        <f>IF(OR(Y13="",X13=""),"",IFERROR(Y13*INDEX(FXRates[USD per unit],MATCH(X13,FXRates[Currency],0)),"No rate"))</f>
        <v/>
      </c>
      <c r="AA13" s="38" t="inlineStr">
        <is>
          <t>DMS</t>
        </is>
      </c>
      <c r="AB13" s="38" t="n"/>
      <c r="AC13" s="41">
        <f>IF(A13="","",IF(COUNTIF($A$6:$A$504,A13)&gt;1,"⚠ Duplicate",""))</f>
        <v/>
      </c>
      <c r="AD13" s="40" t="n"/>
      <c r="AE13" s="42" t="n">
        <v>0.05</v>
      </c>
      <c r="AF13" s="42" t="n">
        <v>0.05</v>
      </c>
      <c r="AG13" s="42" t="n">
        <v>0.05</v>
      </c>
      <c r="AH13" s="42" t="n">
        <v>0.07000000000000001</v>
      </c>
      <c r="AI13" s="42" t="n">
        <v>0.09</v>
      </c>
      <c r="AJ13" s="42" t="n">
        <v>0.06</v>
      </c>
      <c r="AK13" s="42" t="n">
        <v>0.06</v>
      </c>
      <c r="AL13" s="42" t="n">
        <v>0.01</v>
      </c>
      <c r="AM13" s="42" t="n">
        <v>0.01</v>
      </c>
      <c r="AN13" s="42" t="n">
        <v>0.01</v>
      </c>
      <c r="AO13" s="42" t="n">
        <v>0.01</v>
      </c>
      <c r="AP13" s="42" t="n">
        <v>0.01</v>
      </c>
      <c r="AQ13" s="42" t="n">
        <v>0.04</v>
      </c>
      <c r="AR13" s="37" t="n">
        <v>0.001</v>
      </c>
      <c r="AS13" s="40" t="n"/>
      <c r="AT13" s="42" t="n"/>
      <c r="AU13" s="42" t="n"/>
      <c r="AV13" s="42" t="n"/>
      <c r="AW13" s="42" t="n"/>
      <c r="AX13" s="42" t="n"/>
      <c r="AY13" s="42" t="n"/>
      <c r="AZ13" s="42" t="n"/>
      <c r="BA13" s="42" t="n"/>
      <c r="BB13" s="42" t="n"/>
      <c r="BC13" s="42" t="n"/>
      <c r="BD13" s="42" t="n"/>
      <c r="BE13" s="42" t="n"/>
      <c r="BF13" s="42" t="n"/>
      <c r="BG13" s="37" t="n"/>
      <c r="BH13" s="38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157">
        <f>IF(OR(Y14="",X14=""),"",IFERROR(Y14*INDEX(FXRates[USD per unit],MATCH(X14,FXRates[Currency],0)),"No rate"))</f>
        <v/>
      </c>
      <c r="AA14" s="32" t="inlineStr">
        <is>
          <t>MCS</t>
        </is>
      </c>
      <c r="AB14" s="32" t="n"/>
      <c r="AC14" s="36">
        <f>IF(A14="","",IF(COUNTIF($A$6:$A$504,A14)&gt;1,"⚠ Duplicate",""))</f>
        <v/>
      </c>
      <c r="AD14" s="35" t="n"/>
      <c r="AE14" s="43" t="n">
        <v>0.05</v>
      </c>
      <c r="AF14" s="43" t="n">
        <v>0.05</v>
      </c>
      <c r="AG14" s="43" t="n">
        <v>0.05</v>
      </c>
      <c r="AH14" s="43" t="n">
        <v>0.07000000000000001</v>
      </c>
      <c r="AI14" s="43" t="n">
        <v>0.09</v>
      </c>
      <c r="AJ14" s="43" t="n">
        <v>0.06</v>
      </c>
      <c r="AK14" s="43" t="n">
        <v>0.06</v>
      </c>
      <c r="AL14" s="43" t="n">
        <v>0.01</v>
      </c>
      <c r="AM14" s="43" t="n">
        <v>0.01</v>
      </c>
      <c r="AN14" s="43" t="n">
        <v>0.01</v>
      </c>
      <c r="AO14" s="43" t="n">
        <v>0.01</v>
      </c>
      <c r="AP14" s="43" t="n">
        <v>0.01</v>
      </c>
      <c r="AQ14" s="43" t="n">
        <v>0.04</v>
      </c>
      <c r="AR14" s="37" t="n">
        <v>0.001</v>
      </c>
      <c r="AS14" s="35" t="n"/>
      <c r="AT14" s="43" t="n"/>
      <c r="AU14" s="43" t="n"/>
      <c r="AV14" s="43" t="n"/>
      <c r="AW14" s="43" t="n"/>
      <c r="AX14" s="43" t="n"/>
      <c r="AY14" s="43" t="n"/>
      <c r="AZ14" s="43" t="n"/>
      <c r="BA14" s="43" t="n"/>
      <c r="BB14" s="43" t="n"/>
      <c r="BC14" s="43" t="n"/>
      <c r="BD14" s="43" t="n"/>
      <c r="BE14" s="43" t="n"/>
      <c r="BF14" s="43" t="n"/>
      <c r="BG14" s="37" t="n"/>
      <c r="BH14" s="32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158">
        <f>IF(OR(Y15="",X15=""),"",IFERROR(Y15*INDEX(FXRates[USD per unit],MATCH(X15,FXRates[Currency],0)),"No rate"))</f>
        <v/>
      </c>
      <c r="AA15" s="38" t="inlineStr">
        <is>
          <t>4WS Pallet</t>
        </is>
      </c>
      <c r="AB15" s="38" t="n"/>
      <c r="AC15" s="41">
        <f>IF(A15="","",IF(COUNTIF($A$6:$A$504,A15)&gt;1,"⚠ Duplicate",""))</f>
        <v/>
      </c>
      <c r="AD15" s="40" t="n"/>
      <c r="AE15" s="42" t="n">
        <v>0.05</v>
      </c>
      <c r="AF15" s="42" t="n">
        <v>0.05</v>
      </c>
      <c r="AG15" s="42" t="n">
        <v>0.05</v>
      </c>
      <c r="AH15" s="42" t="n">
        <v>0.07000000000000001</v>
      </c>
      <c r="AI15" s="42" t="n">
        <v>0.09</v>
      </c>
      <c r="AJ15" s="42" t="n">
        <v>0.06</v>
      </c>
      <c r="AK15" s="42" t="n">
        <v>0.06</v>
      </c>
      <c r="AL15" s="42" t="n">
        <v>0.01</v>
      </c>
      <c r="AM15" s="42" t="n">
        <v>0.01</v>
      </c>
      <c r="AN15" s="42" t="n">
        <v>0.01</v>
      </c>
      <c r="AO15" s="42" t="n">
        <v>0.01</v>
      </c>
      <c r="AP15" s="42" t="n">
        <v>0.01</v>
      </c>
      <c r="AQ15" s="42" t="n">
        <v>0.04</v>
      </c>
      <c r="AR15" s="37" t="n">
        <v>0.001</v>
      </c>
      <c r="AS15" s="40" t="n"/>
      <c r="AT15" s="42" t="n"/>
      <c r="AU15" s="42" t="n"/>
      <c r="AV15" s="42" t="n"/>
      <c r="AW15" s="42" t="n"/>
      <c r="AX15" s="42" t="n"/>
      <c r="AY15" s="42" t="n"/>
      <c r="AZ15" s="42" t="n"/>
      <c r="BA15" s="42" t="n"/>
      <c r="BB15" s="42" t="n"/>
      <c r="BC15" s="42" t="n"/>
      <c r="BD15" s="42" t="n"/>
      <c r="BE15" s="42" t="n"/>
      <c r="BF15" s="42" t="n"/>
      <c r="BG15" s="37" t="n"/>
      <c r="BH15" s="38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157">
        <f>IF(OR(Y16="",X16=""),"",IFERROR(Y16*INDEX(FXRates[USD per unit],MATCH(X16,FXRates[Currency],0)),"No rate"))</f>
        <v/>
      </c>
      <c r="AA16" s="32" t="inlineStr">
        <is>
          <t>Autostore</t>
        </is>
      </c>
      <c r="AB16" s="32" t="n"/>
      <c r="AC16" s="36">
        <f>IF(A16="","",IF(COUNTIF($A$6:$A$504,A16)&gt;1,"⚠ Duplicate",""))</f>
        <v/>
      </c>
      <c r="AD16" s="35" t="n"/>
      <c r="AE16" s="37" t="n"/>
      <c r="AF16" s="37" t="n"/>
      <c r="AG16" s="37" t="n"/>
      <c r="AH16" s="37" t="n"/>
      <c r="AI16" s="37" t="n"/>
      <c r="AJ16" s="37" t="n"/>
      <c r="AK16" s="37" t="n"/>
      <c r="AL16" s="37" t="n"/>
      <c r="AM16" s="37" t="n"/>
      <c r="AN16" s="37" t="n"/>
      <c r="AO16" s="37" t="n"/>
      <c r="AP16" s="37" t="n"/>
      <c r="AQ16" s="37" t="n"/>
      <c r="AR16" s="37" t="n"/>
      <c r="AS16" s="35" t="n"/>
      <c r="AT16" s="37" t="n">
        <v>0</v>
      </c>
      <c r="AU16" s="37" t="n">
        <v>0</v>
      </c>
      <c r="AV16" s="37" t="n">
        <v>0</v>
      </c>
      <c r="AW16" s="37" t="n">
        <v>0</v>
      </c>
      <c r="AX16" s="37" t="n">
        <v>0</v>
      </c>
      <c r="AY16" s="37" t="n">
        <v>0</v>
      </c>
      <c r="AZ16" s="37" t="n">
        <v>0</v>
      </c>
      <c r="BA16" s="37" t="n">
        <v>0</v>
      </c>
      <c r="BB16" s="37" t="n">
        <v>0</v>
      </c>
      <c r="BC16" s="37" t="n">
        <v>0</v>
      </c>
      <c r="BD16" s="37" t="n">
        <v>0</v>
      </c>
      <c r="BE16" s="37" t="n">
        <v>0</v>
      </c>
      <c r="BF16" s="37" t="n">
        <v>0</v>
      </c>
      <c r="BG16" s="37" t="n">
        <v>0</v>
      </c>
      <c r="BH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158">
        <f>IF(OR(Y17="",X17=""),"",IFERROR(Y17*INDEX(FXRates[USD per unit],MATCH(X17,FXRates[Currency],0)),"No rate"))</f>
        <v/>
      </c>
      <c r="AA17" s="38" t="inlineStr">
        <is>
          <t>Autostore</t>
        </is>
      </c>
      <c r="AB17" s="38" t="n"/>
      <c r="AC17" s="41">
        <f>IF(A17="","",IF(COUNTIF($A$6:$A$504,A17)&gt;1,"⚠ Duplicate",""))</f>
        <v/>
      </c>
      <c r="AD17" s="40" t="n"/>
      <c r="AE17" s="37" t="n"/>
      <c r="AF17" s="37" t="n"/>
      <c r="AG17" s="37" t="n"/>
      <c r="AH17" s="37" t="n"/>
      <c r="AI17" s="37" t="n"/>
      <c r="AJ17" s="37" t="n"/>
      <c r="AK17" s="37" t="n"/>
      <c r="AL17" s="37" t="n"/>
      <c r="AM17" s="37" t="n"/>
      <c r="AN17" s="37" t="n"/>
      <c r="AO17" s="37" t="n"/>
      <c r="AP17" s="37" t="n"/>
      <c r="AQ17" s="37" t="n"/>
      <c r="AR17" s="37" t="n"/>
      <c r="AS17" s="40" t="n"/>
      <c r="AT17" s="37" t="n">
        <v>0</v>
      </c>
      <c r="AU17" s="37" t="n">
        <v>0</v>
      </c>
      <c r="AV17" s="37" t="n">
        <v>0</v>
      </c>
      <c r="AW17" s="37" t="n">
        <v>0</v>
      </c>
      <c r="AX17" s="37" t="n">
        <v>0</v>
      </c>
      <c r="AY17" s="37" t="n">
        <v>0</v>
      </c>
      <c r="AZ17" s="37" t="n">
        <v>0</v>
      </c>
      <c r="BA17" s="37" t="n">
        <v>0</v>
      </c>
      <c r="BB17" s="37" t="n">
        <v>0</v>
      </c>
      <c r="BC17" s="37" t="n">
        <v>0</v>
      </c>
      <c r="BD17" s="37" t="n">
        <v>0</v>
      </c>
      <c r="BE17" s="37" t="n">
        <v>0</v>
      </c>
      <c r="BF17" s="37" t="n">
        <v>0</v>
      </c>
      <c r="BG17" s="37" t="n">
        <v>0</v>
      </c>
      <c r="BH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157">
        <f>IF(OR(Y18="",X18=""),"",IFERROR(Y18*INDEX(FXRates[USD per unit],MATCH(X18,FXRates[Currency],0)),"No rate"))</f>
        <v/>
      </c>
      <c r="AA18" s="32" t="n"/>
      <c r="AB18" s="32" t="n"/>
      <c r="AC18" s="36">
        <f>IF(A18="","",IF(COUNTIF($A$6:$A$504,A18)&gt;1,"⚠ Duplicate",""))</f>
        <v/>
      </c>
      <c r="AD18" s="35" t="n"/>
      <c r="AE18" s="43" t="n">
        <v>0.05</v>
      </c>
      <c r="AF18" s="43" t="n">
        <v>0.05</v>
      </c>
      <c r="AG18" s="43" t="n">
        <v>0.05</v>
      </c>
      <c r="AH18" s="43" t="n">
        <v>0.07000000000000001</v>
      </c>
      <c r="AI18" s="43" t="n">
        <v>0.09</v>
      </c>
      <c r="AJ18" s="43" t="n">
        <v>0.06</v>
      </c>
      <c r="AK18" s="43" t="n">
        <v>0.06</v>
      </c>
      <c r="AL18" s="43" t="n">
        <v>0.01</v>
      </c>
      <c r="AM18" s="43" t="n">
        <v>0.01</v>
      </c>
      <c r="AN18" s="43" t="n">
        <v>0.01</v>
      </c>
      <c r="AO18" s="43" t="n">
        <v>0.01</v>
      </c>
      <c r="AP18" s="43" t="n">
        <v>0.01</v>
      </c>
      <c r="AQ18" s="43" t="n">
        <v>0.04</v>
      </c>
      <c r="AR18" s="37" t="n">
        <v>0.001</v>
      </c>
      <c r="AS18" s="35" t="n"/>
      <c r="AT18" s="43" t="n"/>
      <c r="AU18" s="43" t="n"/>
      <c r="AV18" s="43" t="n"/>
      <c r="AW18" s="43" t="n"/>
      <c r="AX18" s="43" t="n"/>
      <c r="AY18" s="43" t="n"/>
      <c r="AZ18" s="43" t="n"/>
      <c r="BA18" s="43" t="n"/>
      <c r="BB18" s="43" t="n"/>
      <c r="BC18" s="43" t="n"/>
      <c r="BD18" s="43" t="n"/>
      <c r="BE18" s="43" t="n"/>
      <c r="BF18" s="43" t="n"/>
      <c r="BG18" s="37" t="n"/>
      <c r="BH18" s="32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158">
        <f>IF(OR(Y19="",X19=""),"",IFERROR(Y19*INDEX(FXRates[USD per unit],MATCH(X19,FXRates[Currency],0)),"No rate"))</f>
        <v/>
      </c>
      <c r="AA19" s="38" t="inlineStr">
        <is>
          <t xml:space="preserve">SRM BK25 Shuttlecar RGV </t>
        </is>
      </c>
      <c r="AB19" s="38" t="n"/>
      <c r="AC19" s="41">
        <f>IF(A19="","",IF(COUNTIF($A$6:$A$504,A19)&gt;1,"⚠ Duplicate",""))</f>
        <v/>
      </c>
      <c r="AD19" s="40" t="n"/>
      <c r="AE19" s="37" t="n"/>
      <c r="AF19" s="37" t="n"/>
      <c r="AG19" s="37" t="n"/>
      <c r="AH19" s="37" t="n"/>
      <c r="AI19" s="37" t="n"/>
      <c r="AJ19" s="37" t="n"/>
      <c r="AK19" s="37" t="n"/>
      <c r="AL19" s="37" t="n"/>
      <c r="AM19" s="37" t="n"/>
      <c r="AN19" s="37" t="n"/>
      <c r="AO19" s="37" t="n"/>
      <c r="AP19" s="37" t="n"/>
      <c r="AQ19" s="37" t="n"/>
      <c r="AR19" s="37" t="n"/>
      <c r="AS19" s="40" t="n"/>
      <c r="AT19" s="37" t="n">
        <v>0</v>
      </c>
      <c r="AU19" s="37" t="n">
        <v>0</v>
      </c>
      <c r="AV19" s="37" t="n">
        <v>0</v>
      </c>
      <c r="AW19" s="37" t="n">
        <v>0</v>
      </c>
      <c r="AX19" s="37" t="n">
        <v>0</v>
      </c>
      <c r="AY19" s="37" t="n">
        <v>0</v>
      </c>
      <c r="AZ19" s="37" t="n">
        <v>0</v>
      </c>
      <c r="BA19" s="37" t="n">
        <v>0</v>
      </c>
      <c r="BB19" s="37" t="n">
        <v>0</v>
      </c>
      <c r="BC19" s="37" t="n">
        <v>0</v>
      </c>
      <c r="BD19" s="37" t="n">
        <v>0</v>
      </c>
      <c r="BE19" s="37" t="n">
        <v>0</v>
      </c>
      <c r="BF19" s="37" t="n">
        <v>0</v>
      </c>
      <c r="BG19" s="37" t="n">
        <v>0</v>
      </c>
      <c r="BH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157">
        <f>IF(OR(Y20="",X20=""),"",IFERROR(Y20*INDEX(FXRates[USD per unit],MATCH(X20,FXRates[Currency],0)),"No rate"))</f>
        <v/>
      </c>
      <c r="AA20" s="32" t="inlineStr">
        <is>
          <t>SRM BK25 MCS DMS AMCAP MCP FMCF RGV LIFTER PALLET ELTEN SCHWINGHANDL NORIN SUZHOU MARKEM IMAJE METTLER TOLEDO</t>
        </is>
      </c>
      <c r="AB20" s="32" t="n"/>
      <c r="AC20" s="36">
        <f>IF(A20="","",IF(COUNTIF($A$6:$A$504,A20)&gt;1,"⚠ Duplicate",""))</f>
        <v/>
      </c>
      <c r="AD20" s="35" t="n"/>
      <c r="AE20" s="37" t="n"/>
      <c r="AF20" s="37" t="n"/>
      <c r="AG20" s="37" t="n"/>
      <c r="AH20" s="37" t="n"/>
      <c r="AI20" s="37" t="n"/>
      <c r="AJ20" s="37" t="n"/>
      <c r="AK20" s="37" t="n"/>
      <c r="AL20" s="37" t="n"/>
      <c r="AM20" s="37" t="n"/>
      <c r="AN20" s="37" t="n"/>
      <c r="AO20" s="37" t="n"/>
      <c r="AP20" s="37" t="n"/>
      <c r="AQ20" s="37" t="n"/>
      <c r="AR20" s="37" t="n"/>
      <c r="AS20" s="35" t="n"/>
      <c r="AT20" s="37" t="n">
        <v>0</v>
      </c>
      <c r="AU20" s="37" t="n">
        <v>0</v>
      </c>
      <c r="AV20" s="37" t="n">
        <v>0</v>
      </c>
      <c r="AW20" s="37" t="n">
        <v>0</v>
      </c>
      <c r="AX20" s="37" t="n">
        <v>0</v>
      </c>
      <c r="AY20" s="37" t="n">
        <v>0</v>
      </c>
      <c r="AZ20" s="37" t="n">
        <v>0</v>
      </c>
      <c r="BA20" s="37" t="n">
        <v>0</v>
      </c>
      <c r="BB20" s="37" t="n">
        <v>0</v>
      </c>
      <c r="BC20" s="37" t="n">
        <v>0</v>
      </c>
      <c r="BD20" s="37" t="n">
        <v>0</v>
      </c>
      <c r="BE20" s="37" t="n">
        <v>0</v>
      </c>
      <c r="BF20" s="37" t="n">
        <v>0</v>
      </c>
      <c r="BG20" s="37" t="n">
        <v>0</v>
      </c>
      <c r="BH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158">
        <f>IF(OR(Y21="",X21=""),"",IFERROR(Y21*INDEX(FXRates[USD per unit],MATCH(X21,FXRates[Currency],0)),"No rate"))</f>
        <v/>
      </c>
      <c r="AA21" s="38" t="inlineStr">
        <is>
          <t>Autostore</t>
        </is>
      </c>
      <c r="AB21" s="38" t="n"/>
      <c r="AC21" s="41">
        <f>IF(A21="","",IF(COUNTIF($A$6:$A$504,A21)&gt;1,"⚠ Duplicate",""))</f>
        <v/>
      </c>
      <c r="AD21" s="40" t="n"/>
      <c r="AE21" s="42" t="n">
        <v>0.05</v>
      </c>
      <c r="AF21" s="42" t="n">
        <v>0.05</v>
      </c>
      <c r="AG21" s="42" t="n">
        <v>0.05</v>
      </c>
      <c r="AH21" s="42" t="n">
        <v>0.07000000000000001</v>
      </c>
      <c r="AI21" s="42" t="n">
        <v>0.09</v>
      </c>
      <c r="AJ21" s="42" t="n">
        <v>0.06</v>
      </c>
      <c r="AK21" s="42" t="n">
        <v>0.06</v>
      </c>
      <c r="AL21" s="42" t="n">
        <v>0.01</v>
      </c>
      <c r="AM21" s="42" t="n">
        <v>0.01</v>
      </c>
      <c r="AN21" s="42" t="n">
        <v>0.01</v>
      </c>
      <c r="AO21" s="42" t="n">
        <v>0.01</v>
      </c>
      <c r="AP21" s="42" t="n">
        <v>0.01</v>
      </c>
      <c r="AQ21" s="42" t="n">
        <v>0.04</v>
      </c>
      <c r="AR21" s="37" t="n">
        <v>0.001</v>
      </c>
      <c r="AS21" s="40" t="n"/>
      <c r="AT21" s="42" t="n"/>
      <c r="AU21" s="42" t="n"/>
      <c r="AV21" s="42" t="n"/>
      <c r="AW21" s="42" t="n"/>
      <c r="AX21" s="42" t="n"/>
      <c r="AY21" s="42" t="n"/>
      <c r="AZ21" s="42" t="n"/>
      <c r="BA21" s="42" t="n"/>
      <c r="BB21" s="42" t="n"/>
      <c r="BC21" s="42" t="n"/>
      <c r="BD21" s="42" t="n"/>
      <c r="BE21" s="42" t="n"/>
      <c r="BF21" s="42" t="n"/>
      <c r="BG21" s="37" t="n"/>
      <c r="BH21" s="38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157">
        <f>IF(OR(Y22="",X22=""),"",IFERROR(Y22*INDEX(FXRates[USD per unit],MATCH(X22,FXRates[Currency],0)),"No rate"))</f>
        <v/>
      </c>
      <c r="AA22" s="32" t="inlineStr">
        <is>
          <t>XB Sorter CBS crossbelt MCS</t>
        </is>
      </c>
      <c r="AB22" s="32" t="n"/>
      <c r="AC22" s="36">
        <f>IF(A22="","",IF(COUNTIF($A$6:$A$504,A22)&gt;1,"⚠ Duplicate",""))</f>
        <v/>
      </c>
      <c r="AD22" s="35" t="n"/>
      <c r="AE22" s="37" t="n"/>
      <c r="AF22" s="37" t="n"/>
      <c r="AG22" s="37" t="n"/>
      <c r="AH22" s="37" t="n"/>
      <c r="AI22" s="37" t="n"/>
      <c r="AJ22" s="37" t="n"/>
      <c r="AK22" s="37" t="n"/>
      <c r="AL22" s="37" t="n"/>
      <c r="AM22" s="37" t="n"/>
      <c r="AN22" s="37" t="n"/>
      <c r="AO22" s="37" t="n"/>
      <c r="AP22" s="37" t="n"/>
      <c r="AQ22" s="37" t="n"/>
      <c r="AR22" s="37" t="n"/>
      <c r="AS22" s="35" t="n"/>
      <c r="AT22" s="37" t="n">
        <v>0</v>
      </c>
      <c r="AU22" s="37" t="n">
        <v>0</v>
      </c>
      <c r="AV22" s="37" t="n">
        <v>0</v>
      </c>
      <c r="AW22" s="37" t="n">
        <v>0</v>
      </c>
      <c r="AX22" s="37" t="n">
        <v>0</v>
      </c>
      <c r="AY22" s="37" t="n">
        <v>0</v>
      </c>
      <c r="AZ22" s="37" t="n">
        <v>0</v>
      </c>
      <c r="BA22" s="37" t="n">
        <v>0</v>
      </c>
      <c r="BB22" s="37" t="n">
        <v>0</v>
      </c>
      <c r="BC22" s="37" t="n">
        <v>0</v>
      </c>
      <c r="BD22" s="37" t="n">
        <v>0</v>
      </c>
      <c r="BE22" s="37" t="n">
        <v>0</v>
      </c>
      <c r="BF22" s="37" t="n">
        <v>0</v>
      </c>
      <c r="BG22" s="37" t="n">
        <v>0</v>
      </c>
      <c r="BH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158">
        <f>IF(OR(Y23="",X23=""),"",IFERROR(Y23*INDEX(FXRates[USD per unit],MATCH(X23,FXRates[Currency],0)),"No rate"))</f>
        <v/>
      </c>
      <c r="AA23" s="38" t="inlineStr">
        <is>
          <t xml:space="preserve">SRM BK25 </t>
        </is>
      </c>
      <c r="AB23" s="38" t="n"/>
      <c r="AC23" s="41">
        <f>IF(A23="","",IF(COUNTIF($A$6:$A$504,A23)&gt;1,"⚠ Duplicate",""))</f>
        <v/>
      </c>
      <c r="AD23" s="40" t="n"/>
      <c r="AE23" s="42" t="n">
        <v>0.05</v>
      </c>
      <c r="AF23" s="42" t="n">
        <v>0.05</v>
      </c>
      <c r="AG23" s="42" t="n">
        <v>0.05</v>
      </c>
      <c r="AH23" s="42" t="n">
        <v>0.07000000000000001</v>
      </c>
      <c r="AI23" s="42" t="n">
        <v>0.09</v>
      </c>
      <c r="AJ23" s="42" t="n">
        <v>0.06</v>
      </c>
      <c r="AK23" s="42" t="n">
        <v>0.06</v>
      </c>
      <c r="AL23" s="42" t="n">
        <v>0.01</v>
      </c>
      <c r="AM23" s="42" t="n">
        <v>0.01</v>
      </c>
      <c r="AN23" s="42" t="n">
        <v>0.01</v>
      </c>
      <c r="AO23" s="42" t="n">
        <v>0.01</v>
      </c>
      <c r="AP23" s="42" t="n">
        <v>0.01</v>
      </c>
      <c r="AQ23" s="42" t="n">
        <v>0.04</v>
      </c>
      <c r="AR23" s="37" t="n">
        <v>0.001</v>
      </c>
      <c r="AS23" s="40" t="n"/>
      <c r="AT23" s="42" t="n"/>
      <c r="AU23" s="42" t="n"/>
      <c r="AV23" s="42" t="n"/>
      <c r="AW23" s="42" t="n"/>
      <c r="AX23" s="42" t="n"/>
      <c r="AY23" s="42" t="n"/>
      <c r="AZ23" s="42" t="n"/>
      <c r="BA23" s="42" t="n"/>
      <c r="BB23" s="42" t="n"/>
      <c r="BC23" s="42" t="n"/>
      <c r="BD23" s="42" t="n"/>
      <c r="BE23" s="42" t="n"/>
      <c r="BF23" s="42" t="n"/>
      <c r="BG23" s="37" t="n"/>
      <c r="BH23" s="38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157">
        <f>IF(OR(Y24="",X24=""),"",IFERROR(Y24*INDEX(FXRates[USD per unit],MATCH(X24,FXRates[Currency],0)),"No rate"))</f>
        <v/>
      </c>
      <c r="AA24" s="32" t="inlineStr">
        <is>
          <t>ASRS MCS DMS</t>
        </is>
      </c>
      <c r="AB24" s="32" t="n"/>
      <c r="AC24" s="36">
        <f>IF(A24="","",IF(COUNTIF($A$6:$A$504,A24)&gt;1,"⚠ Duplicate",""))</f>
        <v/>
      </c>
      <c r="AD24" s="35" t="n"/>
      <c r="AE24" s="43" t="n">
        <v>0.05</v>
      </c>
      <c r="AF24" s="43" t="n">
        <v>0.05</v>
      </c>
      <c r="AG24" s="43" t="n">
        <v>0.05</v>
      </c>
      <c r="AH24" s="43" t="n">
        <v>0.07000000000000001</v>
      </c>
      <c r="AI24" s="43" t="n">
        <v>0.09</v>
      </c>
      <c r="AJ24" s="43" t="n">
        <v>0.06</v>
      </c>
      <c r="AK24" s="43" t="n">
        <v>0.06</v>
      </c>
      <c r="AL24" s="43" t="n">
        <v>0.01</v>
      </c>
      <c r="AM24" s="43" t="n">
        <v>0.01</v>
      </c>
      <c r="AN24" s="43" t="n">
        <v>0.01</v>
      </c>
      <c r="AO24" s="43" t="n">
        <v>0.01</v>
      </c>
      <c r="AP24" s="43" t="n">
        <v>0.01</v>
      </c>
      <c r="AQ24" s="43" t="n">
        <v>0.04</v>
      </c>
      <c r="AR24" s="37" t="n">
        <v>0.001</v>
      </c>
      <c r="AS24" s="35" t="n"/>
      <c r="AT24" s="43" t="n"/>
      <c r="AU24" s="43" t="n"/>
      <c r="AV24" s="43" t="n"/>
      <c r="AW24" s="43" t="n"/>
      <c r="AX24" s="43" t="n"/>
      <c r="AY24" s="43" t="n"/>
      <c r="AZ24" s="43" t="n"/>
      <c r="BA24" s="43" t="n"/>
      <c r="BB24" s="43" t="n"/>
      <c r="BC24" s="43" t="n"/>
      <c r="BD24" s="43" t="n"/>
      <c r="BE24" s="43" t="n"/>
      <c r="BF24" s="43" t="n"/>
      <c r="BG24" s="37" t="n"/>
      <c r="BH24" s="32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158">
        <f>IF(OR(Y25="",X25=""),"",IFERROR(Y25*INDEX(FXRates[USD per unit],MATCH(X25,FXRates[Currency],0)),"No rate"))</f>
        <v/>
      </c>
      <c r="AA25" s="38" t="inlineStr">
        <is>
          <t>SRM BK25</t>
        </is>
      </c>
      <c r="AB25" s="38" t="n"/>
      <c r="AC25" s="41">
        <f>IF(A25="","",IF(COUNTIF($A$6:$A$504,A25)&gt;1,"⚠ Duplicate",""))</f>
        <v/>
      </c>
      <c r="AD25" s="40" t="n"/>
      <c r="AE25" s="42" t="n">
        <v>0.05</v>
      </c>
      <c r="AF25" s="42" t="n">
        <v>0.05</v>
      </c>
      <c r="AG25" s="42" t="n">
        <v>0.05</v>
      </c>
      <c r="AH25" s="42" t="n">
        <v>0.07000000000000001</v>
      </c>
      <c r="AI25" s="42" t="n">
        <v>0.09</v>
      </c>
      <c r="AJ25" s="42" t="n">
        <v>0.06</v>
      </c>
      <c r="AK25" s="42" t="n">
        <v>0.06</v>
      </c>
      <c r="AL25" s="42" t="n">
        <v>0.01</v>
      </c>
      <c r="AM25" s="42" t="n">
        <v>0.01</v>
      </c>
      <c r="AN25" s="42" t="n">
        <v>0.01</v>
      </c>
      <c r="AO25" s="42" t="n">
        <v>0.01</v>
      </c>
      <c r="AP25" s="42" t="n">
        <v>0.01</v>
      </c>
      <c r="AQ25" s="42" t="n">
        <v>0.04</v>
      </c>
      <c r="AR25" s="37" t="n">
        <v>0.001</v>
      </c>
      <c r="AS25" s="40" t="n"/>
      <c r="AT25" s="42" t="n"/>
      <c r="AU25" s="42" t="n"/>
      <c r="AV25" s="42" t="n"/>
      <c r="AW25" s="42" t="n"/>
      <c r="AX25" s="42" t="n"/>
      <c r="AY25" s="42" t="n"/>
      <c r="AZ25" s="42" t="n"/>
      <c r="BA25" s="42" t="n"/>
      <c r="BB25" s="42" t="n"/>
      <c r="BC25" s="42" t="n"/>
      <c r="BD25" s="42" t="n"/>
      <c r="BE25" s="42" t="n"/>
      <c r="BF25" s="42" t="n"/>
      <c r="BG25" s="37" t="n"/>
      <c r="BH25" s="38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158">
        <f>IF(OR(Y26="",X26=""),"",IFERROR(Y26*INDEX(FXRates[USD per unit],MATCH(X26,FXRates[Currency],0)),"No rate"))</f>
        <v/>
      </c>
      <c r="AA26" s="32" t="inlineStr">
        <is>
          <t>SRM BK25 MCS DMS AMCAP MCP FMCF RGV LIFTER PALLET ELTEN SCHWINGHANDL NORIN SUZHOU MARKEM IMAJE METTLER TOLEDO</t>
        </is>
      </c>
      <c r="AB26" s="32" t="inlineStr">
        <is>
          <t>Actual timeline is much, much worse compared to handover</t>
        </is>
      </c>
      <c r="AC26" s="36">
        <f>IF(A26="","",IF(COUNTIF($A$6:$A$504,A26)&gt;1,"⚠ Duplicate",""))</f>
        <v/>
      </c>
      <c r="AD26" s="40" t="n"/>
      <c r="AE26" s="37" t="n"/>
      <c r="AF26" s="37" t="n"/>
      <c r="AG26" s="37" t="n"/>
      <c r="AH26" s="37" t="n"/>
      <c r="AI26" s="37" t="n"/>
      <c r="AJ26" s="37" t="n"/>
      <c r="AK26" s="37" t="n"/>
      <c r="AL26" s="37" t="n"/>
      <c r="AM26" s="37" t="n"/>
      <c r="AN26" s="37" t="n"/>
      <c r="AO26" s="37" t="n"/>
      <c r="AP26" s="37" t="n"/>
      <c r="AQ26" s="37" t="n"/>
      <c r="AR26" s="37" t="n"/>
      <c r="AS26" s="40" t="n"/>
      <c r="AT26" s="37" t="n">
        <v>0</v>
      </c>
      <c r="AU26" s="37" t="n">
        <v>0</v>
      </c>
      <c r="AV26" s="37" t="n">
        <v>0</v>
      </c>
      <c r="AW26" s="37" t="n">
        <v>0</v>
      </c>
      <c r="AX26" s="37" t="n">
        <v>0</v>
      </c>
      <c r="AY26" s="37" t="n">
        <v>0</v>
      </c>
      <c r="AZ26" s="37" t="n">
        <v>0</v>
      </c>
      <c r="BA26" s="37" t="n">
        <v>0</v>
      </c>
      <c r="BB26" s="37" t="n">
        <v>0</v>
      </c>
      <c r="BC26" s="37" t="n">
        <v>0</v>
      </c>
      <c r="BD26" s="37" t="n">
        <v>0</v>
      </c>
      <c r="BE26" s="37" t="n">
        <v>0</v>
      </c>
      <c r="BF26" s="37" t="n">
        <v>0</v>
      </c>
      <c r="BG26" s="37" t="n">
        <v>0</v>
      </c>
      <c r="BH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158">
        <f>IF(OR(Y27="",X27=""),"",IFERROR(Y27*INDEX(FXRates[USD per unit],MATCH(X27,FXRates[Currency],0)),"No rate"))</f>
        <v/>
      </c>
      <c r="AA27" s="38" t="inlineStr">
        <is>
          <t>SRM BK25 Shuttlecar</t>
        </is>
      </c>
      <c r="AB27" s="38" t="n"/>
      <c r="AC27" s="41">
        <f>IF(A27="","",IF(COUNTIF($A$6:$A$504,A27)&gt;1,"⚠ Duplicate",""))</f>
        <v/>
      </c>
      <c r="AD27" s="40" t="n"/>
      <c r="AE27" s="37" t="n"/>
      <c r="AF27" s="37" t="n"/>
      <c r="AG27" s="37" t="n"/>
      <c r="AH27" s="37" t="n"/>
      <c r="AI27" s="37" t="n"/>
      <c r="AJ27" s="37" t="n"/>
      <c r="AK27" s="37" t="n"/>
      <c r="AL27" s="37" t="n"/>
      <c r="AM27" s="37" t="n"/>
      <c r="AN27" s="37" t="n"/>
      <c r="AO27" s="37" t="n"/>
      <c r="AP27" s="37" t="n"/>
      <c r="AQ27" s="37" t="n"/>
      <c r="AR27" s="37" t="n"/>
      <c r="AS27" s="40" t="n"/>
      <c r="AT27" s="37" t="n">
        <v>0</v>
      </c>
      <c r="AU27" s="37" t="n">
        <v>0</v>
      </c>
      <c r="AV27" s="37" t="n">
        <v>0</v>
      </c>
      <c r="AW27" s="37" t="n">
        <v>0</v>
      </c>
      <c r="AX27" s="37" t="n">
        <v>0</v>
      </c>
      <c r="AY27" s="37" t="n">
        <v>0</v>
      </c>
      <c r="AZ27" s="37" t="n">
        <v>0</v>
      </c>
      <c r="BA27" s="37" t="n">
        <v>0</v>
      </c>
      <c r="BB27" s="37" t="n">
        <v>0</v>
      </c>
      <c r="BC27" s="37" t="n">
        <v>0</v>
      </c>
      <c r="BD27" s="37" t="n">
        <v>0</v>
      </c>
      <c r="BE27" s="37" t="n">
        <v>0</v>
      </c>
      <c r="BF27" s="37" t="n">
        <v>0</v>
      </c>
      <c r="BG27" s="37" t="n">
        <v>0</v>
      </c>
      <c r="BH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158">
        <f>IF(OR(Y28="",X28=""),"",IFERROR(Y28*INDEX(FXRates[USD per unit],MATCH(X28,FXRates[Currency],0)),"No rate"))</f>
        <v/>
      </c>
      <c r="AA28" s="32" t="inlineStr">
        <is>
          <t>Autostore</t>
        </is>
      </c>
      <c r="AB28" s="32" t="n"/>
      <c r="AC28" s="36">
        <f>IF(A28="","",IF(COUNTIF($A$6:$A$504,A28)&gt;1,"⚠ Duplicate",""))</f>
        <v/>
      </c>
      <c r="AD28" s="40" t="n"/>
      <c r="AE28" s="37" t="n"/>
      <c r="AF28" s="37" t="n"/>
      <c r="AG28" s="37" t="n"/>
      <c r="AH28" s="37" t="n"/>
      <c r="AI28" s="37" t="n"/>
      <c r="AJ28" s="37" t="n"/>
      <c r="AK28" s="37" t="n"/>
      <c r="AL28" s="37" t="n"/>
      <c r="AM28" s="37" t="n"/>
      <c r="AN28" s="37" t="n"/>
      <c r="AO28" s="37" t="n"/>
      <c r="AP28" s="37" t="n"/>
      <c r="AQ28" s="37" t="n"/>
      <c r="AR28" s="37" t="n"/>
      <c r="AS28" s="40" t="n"/>
      <c r="AT28" s="37" t="n">
        <v>0</v>
      </c>
      <c r="AU28" s="37" t="n">
        <v>0</v>
      </c>
      <c r="AV28" s="37" t="n">
        <v>0</v>
      </c>
      <c r="AW28" s="37" t="n">
        <v>0</v>
      </c>
      <c r="AX28" s="37" t="n">
        <v>0</v>
      </c>
      <c r="AY28" s="37" t="n">
        <v>0</v>
      </c>
      <c r="AZ28" s="37" t="n">
        <v>0</v>
      </c>
      <c r="BA28" s="37" t="n">
        <v>0</v>
      </c>
      <c r="BB28" s="37" t="n">
        <v>0</v>
      </c>
      <c r="BC28" s="37" t="n">
        <v>0</v>
      </c>
      <c r="BD28" s="37" t="n">
        <v>0</v>
      </c>
      <c r="BE28" s="37" t="n">
        <v>0</v>
      </c>
      <c r="BF28" s="37" t="n">
        <v>0</v>
      </c>
      <c r="BG28" s="37" t="n">
        <v>0</v>
      </c>
      <c r="BH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158">
        <f>IF(OR(Y29="",X29=""),"",IFERROR(Y29*INDEX(FXRates[USD per unit],MATCH(X29,FXRates[Currency],0)),"No rate"))</f>
        <v/>
      </c>
      <c r="AA29" s="38" t="inlineStr">
        <is>
          <t>Autostore MCS</t>
        </is>
      </c>
      <c r="AB29" s="38" t="n"/>
      <c r="AC29" s="41">
        <f>IF(A29="","",IF(COUNTIF($A$6:$A$504,A29)&gt;1,"⚠ Duplicate",""))</f>
        <v/>
      </c>
      <c r="AD29" s="40" t="n"/>
      <c r="AE29" s="37" t="n"/>
      <c r="AF29" s="37" t="n"/>
      <c r="AG29" s="37" t="n"/>
      <c r="AH29" s="37" t="n"/>
      <c r="AI29" s="37" t="n"/>
      <c r="AJ29" s="37" t="n"/>
      <c r="AK29" s="37" t="n"/>
      <c r="AL29" s="37" t="n"/>
      <c r="AM29" s="37" t="n"/>
      <c r="AN29" s="37" t="n"/>
      <c r="AO29" s="37" t="n"/>
      <c r="AP29" s="37" t="n"/>
      <c r="AQ29" s="37" t="n"/>
      <c r="AR29" s="37" t="n"/>
      <c r="AS29" s="40" t="n"/>
      <c r="AT29" s="37" t="n">
        <v>0</v>
      </c>
      <c r="AU29" s="37" t="n">
        <v>0</v>
      </c>
      <c r="AV29" s="37" t="n">
        <v>0</v>
      </c>
      <c r="AW29" s="37" t="n">
        <v>0</v>
      </c>
      <c r="AX29" s="37" t="n">
        <v>0</v>
      </c>
      <c r="AY29" s="37" t="n">
        <v>0</v>
      </c>
      <c r="AZ29" s="37" t="n">
        <v>0</v>
      </c>
      <c r="BA29" s="37" t="n">
        <v>0</v>
      </c>
      <c r="BB29" s="37" t="n">
        <v>0</v>
      </c>
      <c r="BC29" s="37" t="n">
        <v>0</v>
      </c>
      <c r="BD29" s="37" t="n">
        <v>0</v>
      </c>
      <c r="BE29" s="37" t="n">
        <v>0</v>
      </c>
      <c r="BF29" s="37" t="n">
        <v>0</v>
      </c>
      <c r="BG29" s="37" t="n">
        <v>0</v>
      </c>
      <c r="BH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158">
        <f>IF(OR(Y30="",X30=""),"",IFERROR(Y30*INDEX(FXRates[USD per unit],MATCH(X30,FXRates[Currency],0)),"No rate"))</f>
        <v/>
      </c>
      <c r="AA30" s="32" t="inlineStr">
        <is>
          <t>Autostore PTL</t>
        </is>
      </c>
      <c r="AB30" s="32" t="n"/>
      <c r="AC30" s="36">
        <f>IF(A30="","",IF(COUNTIF($A$6:$A$504,A30)&gt;1,"⚠ Duplicate",""))</f>
        <v/>
      </c>
      <c r="AD30" s="40" t="n"/>
      <c r="AE30" s="43" t="n"/>
      <c r="AF30" s="43" t="n"/>
      <c r="AG30" s="43" t="n"/>
      <c r="AH30" s="43" t="n"/>
      <c r="AI30" s="43" t="n"/>
      <c r="AJ30" s="43" t="n"/>
      <c r="AK30" s="43" t="n"/>
      <c r="AL30" s="43" t="n"/>
      <c r="AM30" s="43" t="n"/>
      <c r="AN30" s="43" t="n"/>
      <c r="AO30" s="43" t="n"/>
      <c r="AP30" s="43" t="n"/>
      <c r="AQ30" s="43" t="n"/>
      <c r="AR30" s="37" t="n"/>
      <c r="AS30" s="40" t="n"/>
      <c r="AT30" s="43" t="n">
        <v>0.05985533802247048</v>
      </c>
      <c r="AU30" s="43" t="n">
        <v>0</v>
      </c>
      <c r="AV30" s="43" t="n">
        <v>0.04870852701722641</v>
      </c>
      <c r="AW30" s="43" t="n">
        <v>0.005023804116824426</v>
      </c>
      <c r="AX30" s="43" t="n">
        <v>0.08714148677968518</v>
      </c>
      <c r="AY30" s="43" t="n">
        <v>0</v>
      </c>
      <c r="AZ30" s="43" t="n">
        <v>0.03602870021356722</v>
      </c>
      <c r="BA30" s="43" t="n">
        <v>0.0007519604156778079</v>
      </c>
      <c r="BB30" s="43" t="n">
        <v>0</v>
      </c>
      <c r="BC30" s="43" t="n">
        <v>0.02176747645695123</v>
      </c>
      <c r="BD30" s="43" t="n">
        <v>0.002879828389139048</v>
      </c>
      <c r="BE30" s="43" t="n">
        <v>0</v>
      </c>
      <c r="BF30" s="43" t="n">
        <v>0.07060868402455088</v>
      </c>
      <c r="BG30" s="37" t="n">
        <v>0.02288249766353828</v>
      </c>
      <c r="BH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158">
        <f>IF(OR(Y31="",X31=""),"",IFERROR(Y31*INDEX(FXRates[USD per unit],MATCH(X31,FXRates[Currency],0)),"No rate"))</f>
        <v/>
      </c>
      <c r="AA31" s="38" t="inlineStr">
        <is>
          <t>XB Sorter CBS crossbelt MCS PTL Mezzanine Rack</t>
        </is>
      </c>
      <c r="AB31" s="38" t="n"/>
      <c r="AC31" s="41">
        <f>IF(A31="","",IF(COUNTIF($A$6:$A$504,A31)&gt;1,"⚠ Duplicate",""))</f>
        <v/>
      </c>
      <c r="AD31" s="40" t="n"/>
      <c r="AE31" s="37" t="n"/>
      <c r="AF31" s="37" t="n"/>
      <c r="AG31" s="37" t="n"/>
      <c r="AH31" s="37" t="n"/>
      <c r="AI31" s="37" t="n"/>
      <c r="AJ31" s="37" t="n"/>
      <c r="AK31" s="37" t="n"/>
      <c r="AL31" s="37" t="n"/>
      <c r="AM31" s="37" t="n"/>
      <c r="AN31" s="37" t="n"/>
      <c r="AO31" s="37" t="n"/>
      <c r="AP31" s="37" t="n"/>
      <c r="AQ31" s="37" t="n"/>
      <c r="AR31" s="37" t="n"/>
      <c r="AS31" s="40" t="n"/>
      <c r="AT31" s="37" t="n">
        <v>0</v>
      </c>
      <c r="AU31" s="37" t="n">
        <v>0</v>
      </c>
      <c r="AV31" s="37" t="n">
        <v>0</v>
      </c>
      <c r="AW31" s="37" t="n">
        <v>0</v>
      </c>
      <c r="AX31" s="37" t="n">
        <v>0</v>
      </c>
      <c r="AY31" s="37" t="n">
        <v>0</v>
      </c>
      <c r="AZ31" s="37" t="n">
        <v>0</v>
      </c>
      <c r="BA31" s="37" t="n">
        <v>0</v>
      </c>
      <c r="BB31" s="37" t="n">
        <v>0</v>
      </c>
      <c r="BC31" s="37" t="n">
        <v>0</v>
      </c>
      <c r="BD31" s="37" t="n">
        <v>0</v>
      </c>
      <c r="BE31" s="37" t="n">
        <v>0</v>
      </c>
      <c r="BF31" s="37" t="n">
        <v>0</v>
      </c>
      <c r="BG31" s="37" t="n">
        <v>0</v>
      </c>
      <c r="BH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158">
        <f>IF(OR(Y32="",X32=""),"",IFERROR(Y32*INDEX(FXRates[USD per unit],MATCH(X32,FXRates[Currency],0)),"No rate"))</f>
        <v/>
      </c>
      <c r="AA32" s="32" t="inlineStr">
        <is>
          <t xml:space="preserve">XB Sorter CBS crossbelt MCS </t>
        </is>
      </c>
      <c r="AB32" s="32" t="inlineStr">
        <is>
          <t>Purely sortation system only</t>
        </is>
      </c>
      <c r="AC32" s="36">
        <f>IF(A32="","",IF(COUNTIF($A$6:$A$504,A32)&gt;1,"⚠ Duplicate",""))</f>
        <v/>
      </c>
      <c r="AD32" s="40" t="n"/>
      <c r="AE32" s="43" t="n">
        <v>0.05</v>
      </c>
      <c r="AF32" s="43" t="n">
        <v>0.05</v>
      </c>
      <c r="AG32" s="43" t="n">
        <v>0.05</v>
      </c>
      <c r="AH32" s="43" t="n">
        <v>0.07000000000000001</v>
      </c>
      <c r="AI32" s="43" t="n">
        <v>0.09</v>
      </c>
      <c r="AJ32" s="43" t="n">
        <v>0.06</v>
      </c>
      <c r="AK32" s="43" t="n">
        <v>0.06</v>
      </c>
      <c r="AL32" s="43" t="n">
        <v>0.01</v>
      </c>
      <c r="AM32" s="43" t="n">
        <v>0.01</v>
      </c>
      <c r="AN32" s="43" t="n">
        <v>0.01</v>
      </c>
      <c r="AO32" s="43" t="n">
        <v>0.01</v>
      </c>
      <c r="AP32" s="43" t="n">
        <v>0.01</v>
      </c>
      <c r="AQ32" s="43" t="n">
        <v>0.04</v>
      </c>
      <c r="AR32" s="37" t="n">
        <v>0.001</v>
      </c>
      <c r="AS32" s="40" t="n"/>
      <c r="AT32" s="43" t="n"/>
      <c r="AU32" s="43" t="n"/>
      <c r="AV32" s="43" t="n"/>
      <c r="AW32" s="43" t="n"/>
      <c r="AX32" s="43" t="n"/>
      <c r="AY32" s="43" t="n"/>
      <c r="AZ32" s="43" t="n"/>
      <c r="BA32" s="43" t="n"/>
      <c r="BB32" s="43" t="n"/>
      <c r="BC32" s="43" t="n"/>
      <c r="BD32" s="43" t="n"/>
      <c r="BE32" s="43" t="n"/>
      <c r="BF32" s="43" t="n"/>
      <c r="BG32" s="37" t="n"/>
      <c r="BH32" s="32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158">
        <f>IF(OR(Y33="",X33=""),"",IFERROR(Y33*INDEX(FXRates[USD per unit],MATCH(X33,FXRates[Currency],0)),"No rate"))</f>
        <v/>
      </c>
      <c r="AA33" s="38" t="inlineStr">
        <is>
          <t>SRM BK25 MCS DMS 2WS AMCAP MCP FMCF RGV LIFTER PALLET ELTEN SCHWINGHANDL NORIN SUZHOU MARKEM IMAJE METTLER TOLEDO KAIXIN</t>
        </is>
      </c>
      <c r="AB33" s="38" t="n"/>
      <c r="AC33" s="41">
        <f>IF(A33="","",IF(COUNTIF($A$6:$A$504,A33)&gt;1,"⚠ Duplicate",""))</f>
        <v/>
      </c>
      <c r="AD33" s="40" t="n"/>
      <c r="AE33" s="37" t="n"/>
      <c r="AF33" s="37" t="n"/>
      <c r="AG33" s="37" t="n"/>
      <c r="AH33" s="37" t="n"/>
      <c r="AI33" s="37" t="n"/>
      <c r="AJ33" s="37" t="n"/>
      <c r="AK33" s="37" t="n"/>
      <c r="AL33" s="37" t="n"/>
      <c r="AM33" s="37" t="n"/>
      <c r="AN33" s="37" t="n"/>
      <c r="AO33" s="37" t="n"/>
      <c r="AP33" s="37" t="n"/>
      <c r="AQ33" s="37" t="n"/>
      <c r="AR33" s="37" t="n"/>
      <c r="AS33" s="40" t="n"/>
      <c r="AT33" s="37" t="n">
        <v>0</v>
      </c>
      <c r="AU33" s="37" t="n">
        <v>0</v>
      </c>
      <c r="AV33" s="37" t="n">
        <v>0</v>
      </c>
      <c r="AW33" s="37" t="n">
        <v>0</v>
      </c>
      <c r="AX33" s="37" t="n">
        <v>0</v>
      </c>
      <c r="AY33" s="37" t="n">
        <v>0</v>
      </c>
      <c r="AZ33" s="37" t="n">
        <v>0</v>
      </c>
      <c r="BA33" s="37" t="n">
        <v>0</v>
      </c>
      <c r="BB33" s="37" t="n">
        <v>0</v>
      </c>
      <c r="BC33" s="37" t="n">
        <v>0</v>
      </c>
      <c r="BD33" s="37" t="n">
        <v>0</v>
      </c>
      <c r="BE33" s="37" t="n">
        <v>0</v>
      </c>
      <c r="BF33" s="37" t="n">
        <v>0</v>
      </c>
      <c r="BG33" s="37" t="n">
        <v>0</v>
      </c>
      <c r="BH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158">
        <f>IF(OR(Y34="",X34=""),"",IFERROR(Y34*INDEX(FXRates[USD per unit],MATCH(X34,FXRates[Currency],0)),"No rate"))</f>
        <v/>
      </c>
      <c r="AA34" s="32" t="inlineStr">
        <is>
          <t>SRM  BK25 DMS MCS ELTEN QIMAROX Mezz PTL Robot Layer Picker</t>
        </is>
      </c>
      <c r="AB34" s="32" t="n"/>
      <c r="AC34" s="36">
        <f>IF(A34="","",IF(COUNTIF($A$6:$A$504,A34)&gt;1,"⚠ Duplicate",""))</f>
        <v/>
      </c>
      <c r="AD34" s="40" t="n"/>
      <c r="AE34" s="37" t="n"/>
      <c r="AF34" s="37" t="n"/>
      <c r="AG34" s="37" t="n"/>
      <c r="AH34" s="37" t="n"/>
      <c r="AI34" s="37" t="n"/>
      <c r="AJ34" s="37" t="n"/>
      <c r="AK34" s="37" t="n"/>
      <c r="AL34" s="37" t="n"/>
      <c r="AM34" s="37" t="n"/>
      <c r="AN34" s="37" t="n"/>
      <c r="AO34" s="37" t="n"/>
      <c r="AP34" s="37" t="n"/>
      <c r="AQ34" s="37" t="n"/>
      <c r="AR34" s="37" t="n"/>
      <c r="AS34" s="40" t="n"/>
      <c r="AT34" s="37" t="n">
        <v>0</v>
      </c>
      <c r="AU34" s="37" t="n">
        <v>0</v>
      </c>
      <c r="AV34" s="37" t="n">
        <v>0</v>
      </c>
      <c r="AW34" s="37" t="n">
        <v>0</v>
      </c>
      <c r="AX34" s="37" t="n">
        <v>0</v>
      </c>
      <c r="AY34" s="37" t="n">
        <v>0</v>
      </c>
      <c r="AZ34" s="37" t="n">
        <v>0</v>
      </c>
      <c r="BA34" s="37" t="n">
        <v>0</v>
      </c>
      <c r="BB34" s="37" t="n">
        <v>0</v>
      </c>
      <c r="BC34" s="37" t="n">
        <v>0</v>
      </c>
      <c r="BD34" s="37" t="n">
        <v>0</v>
      </c>
      <c r="BE34" s="37" t="n">
        <v>0</v>
      </c>
      <c r="BF34" s="37" t="n">
        <v>0</v>
      </c>
      <c r="BG34" s="37" t="n">
        <v>0</v>
      </c>
      <c r="BH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158">
        <f>IF(OR(Y35="",X35=""),"",IFERROR(Y35*INDEX(FXRates[USD per unit],MATCH(X35,FXRates[Currency],0)),"No rate"))</f>
        <v/>
      </c>
      <c r="AA35" s="38" t="inlineStr">
        <is>
          <t>Autostore</t>
        </is>
      </c>
      <c r="AB35" s="38" t="n"/>
      <c r="AC35" s="41">
        <f>IF(A35="","",IF(COUNTIF($A$6:$A$504,A35)&gt;1,"⚠ Duplicate",""))</f>
        <v/>
      </c>
      <c r="AD35" s="40" t="n"/>
      <c r="AE35" s="37" t="n"/>
      <c r="AF35" s="37" t="n"/>
      <c r="AG35" s="37" t="n"/>
      <c r="AH35" s="37" t="n"/>
      <c r="AI35" s="37" t="n"/>
      <c r="AJ35" s="37" t="n"/>
      <c r="AK35" s="37" t="n"/>
      <c r="AL35" s="37" t="n"/>
      <c r="AM35" s="37" t="n"/>
      <c r="AN35" s="37" t="n"/>
      <c r="AO35" s="37" t="n"/>
      <c r="AP35" s="37" t="n"/>
      <c r="AQ35" s="37" t="n"/>
      <c r="AR35" s="37" t="n"/>
      <c r="AS35" s="40" t="n"/>
      <c r="AT35" s="37" t="n">
        <v>0</v>
      </c>
      <c r="AU35" s="37" t="n">
        <v>0</v>
      </c>
      <c r="AV35" s="37" t="n">
        <v>0.04872205363088507</v>
      </c>
      <c r="AW35" s="37" t="n">
        <v>0</v>
      </c>
      <c r="AX35" s="37" t="n">
        <v>0.00628505670706197</v>
      </c>
      <c r="AY35" s="37" t="n">
        <v>0</v>
      </c>
      <c r="AZ35" s="37" t="n">
        <v>0.02412028341525975</v>
      </c>
      <c r="BA35" s="37" t="n">
        <v>0.08882880145980918</v>
      </c>
      <c r="BB35" s="37" t="n">
        <v>0</v>
      </c>
      <c r="BC35" s="37" t="n">
        <v>0</v>
      </c>
      <c r="BD35" s="37" t="n">
        <v>0</v>
      </c>
      <c r="BE35" s="37" t="n">
        <v>0</v>
      </c>
      <c r="BF35" s="37" t="n">
        <v>0.02466168959396852</v>
      </c>
      <c r="BG35" s="37" t="n">
        <v>0</v>
      </c>
      <c r="BH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158">
        <f>IF(OR(Y36="",X36=""),"",IFERROR(Y36*INDEX(FXRates[USD per unit],MATCH(X36,FXRates[Currency],0)),"No rate"))</f>
        <v/>
      </c>
      <c r="AA36" s="32" t="inlineStr">
        <is>
          <t>SRM BK25</t>
        </is>
      </c>
      <c r="AB36" s="32" t="inlineStr">
        <is>
          <t>Racking not in scope</t>
        </is>
      </c>
      <c r="AC36" s="36">
        <f>IF(A36="","",IF(COUNTIF($A$6:$A$504,A36)&gt;1,"⚠ Duplicate",""))</f>
        <v/>
      </c>
      <c r="AD36" s="40" t="n"/>
      <c r="AE36" s="43" t="n"/>
      <c r="AF36" s="43" t="n"/>
      <c r="AG36" s="43" t="n"/>
      <c r="AH36" s="43" t="n"/>
      <c r="AI36" s="43" t="n"/>
      <c r="AJ36" s="43" t="n"/>
      <c r="AK36" s="43" t="n"/>
      <c r="AL36" s="43" t="n"/>
      <c r="AM36" s="43" t="n"/>
      <c r="AN36" s="43" t="n"/>
      <c r="AO36" s="43" t="n"/>
      <c r="AP36" s="43" t="n"/>
      <c r="AQ36" s="43" t="n"/>
      <c r="AR36" s="37" t="n"/>
      <c r="AS36" s="40" t="n"/>
      <c r="AT36" s="43" t="n">
        <v>0.03963368956135951</v>
      </c>
      <c r="AU36" s="43" t="n">
        <v>0.03064751543143669</v>
      </c>
      <c r="AV36" s="43" t="n">
        <v>0.05305254388165813</v>
      </c>
      <c r="AW36" s="43" t="n">
        <v>0.003816509500807946</v>
      </c>
      <c r="AX36" s="43" t="n">
        <v>0.01538381475811512</v>
      </c>
      <c r="AY36" s="43" t="n">
        <v>0</v>
      </c>
      <c r="AZ36" s="43" t="n">
        <v>0.02036504009462588</v>
      </c>
      <c r="BA36" s="43" t="n">
        <v>0.02504583169153374</v>
      </c>
      <c r="BB36" s="43" t="n">
        <v>0.004009411108903849</v>
      </c>
      <c r="BC36" s="43" t="n">
        <v>0.01035387219753341</v>
      </c>
      <c r="BD36" s="43" t="n">
        <v>0.03458066536155243</v>
      </c>
      <c r="BE36" s="43" t="n">
        <v>0.04804784179532302</v>
      </c>
      <c r="BF36" s="43" t="n">
        <v>0.0230248248254304</v>
      </c>
      <c r="BG36" s="37" t="n">
        <v>0.002444267322475879</v>
      </c>
      <c r="BH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158">
        <f>IF(OR(Y37="",X37=""),"",IFERROR(Y37*INDEX(FXRates[USD per unit],MATCH(X37,FXRates[Currency],0)),"No rate"))</f>
        <v/>
      </c>
      <c r="AA37" s="38" t="inlineStr">
        <is>
          <t>Autostore</t>
        </is>
      </c>
      <c r="AB37" s="38" t="n"/>
      <c r="AC37" s="41">
        <f>IF(A37="","",IF(COUNTIF($A$6:$A$504,A37)&gt;1,"⚠ Duplicate",""))</f>
        <v/>
      </c>
      <c r="AD37" s="40" t="n"/>
      <c r="AE37" s="37" t="n"/>
      <c r="AF37" s="37" t="n"/>
      <c r="AG37" s="37" t="n"/>
      <c r="AH37" s="37" t="n"/>
      <c r="AI37" s="37" t="n"/>
      <c r="AJ37" s="37" t="n"/>
      <c r="AK37" s="37" t="n"/>
      <c r="AL37" s="37" t="n"/>
      <c r="AM37" s="37" t="n"/>
      <c r="AN37" s="37" t="n"/>
      <c r="AO37" s="37" t="n"/>
      <c r="AP37" s="37" t="n"/>
      <c r="AQ37" s="37" t="n"/>
      <c r="AR37" s="37" t="n"/>
      <c r="AS37" s="40" t="n"/>
      <c r="AT37" s="37" t="n">
        <v>0.03444602869956017</v>
      </c>
      <c r="AU37" s="37" t="n">
        <v>0</v>
      </c>
      <c r="AV37" s="37" t="n">
        <v>0.03257704845718964</v>
      </c>
      <c r="AW37" s="37" t="n">
        <v>0</v>
      </c>
      <c r="AX37" s="37" t="n">
        <v>0.03643363590853829</v>
      </c>
      <c r="AY37" s="37" t="n">
        <v>0</v>
      </c>
      <c r="AZ37" s="37" t="n">
        <v>0.01501799918725192</v>
      </c>
      <c r="BA37" s="37" t="n">
        <v>0</v>
      </c>
      <c r="BB37" s="37" t="n">
        <v>0</v>
      </c>
      <c r="BC37" s="37" t="n">
        <v>0.0002521243361430617</v>
      </c>
      <c r="BD37" s="37" t="n">
        <v>0.004086945559514623</v>
      </c>
      <c r="BE37" s="37" t="n">
        <v>0</v>
      </c>
      <c r="BF37" s="37" t="n">
        <v>0.09428801895920387</v>
      </c>
      <c r="BG37" s="37" t="n">
        <v>4.438077898621939e-05</v>
      </c>
      <c r="BH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158">
        <f>IF(OR(Y38="",X38=""),"",IFERROR(Y38*INDEX(FXRates[USD per unit],MATCH(X38,FXRates[Currency],0)),"No rate"))</f>
        <v/>
      </c>
      <c r="AA38" s="32" t="inlineStr">
        <is>
          <t>Autostore</t>
        </is>
      </c>
      <c r="AB38" s="32" t="inlineStr">
        <is>
          <t>First Plexus project, longer everything.</t>
        </is>
      </c>
      <c r="AC38" s="36">
        <f>IF(A38="","",IF(COUNTIF($A$6:$A$504,A38)&gt;1,"⚠ Duplicate",""))</f>
        <v/>
      </c>
      <c r="AD38" s="40" t="n"/>
      <c r="AE38" s="37" t="n"/>
      <c r="AF38" s="37" t="n"/>
      <c r="AG38" s="37" t="n"/>
      <c r="AH38" s="37" t="n"/>
      <c r="AI38" s="37" t="n"/>
      <c r="AJ38" s="37" t="n"/>
      <c r="AK38" s="37" t="n"/>
      <c r="AL38" s="37" t="n"/>
      <c r="AM38" s="37" t="n"/>
      <c r="AN38" s="37" t="n"/>
      <c r="AO38" s="37" t="n"/>
      <c r="AP38" s="37" t="n"/>
      <c r="AQ38" s="37" t="n"/>
      <c r="AR38" s="37" t="n"/>
      <c r="AS38" s="40" t="n"/>
      <c r="AT38" s="37" t="n">
        <v>0.03058565202536138</v>
      </c>
      <c r="AU38" s="37" t="n">
        <v>0.00663291136018963</v>
      </c>
      <c r="AV38" s="37" t="n">
        <v>0.05198480292583055</v>
      </c>
      <c r="AW38" s="37" t="n">
        <v>0</v>
      </c>
      <c r="AX38" s="37" t="n">
        <v>0.005716881067445528</v>
      </c>
      <c r="AY38" s="37" t="n">
        <v>0</v>
      </c>
      <c r="AZ38" s="37" t="n">
        <v>0.01031931406655589</v>
      </c>
      <c r="BA38" s="37" t="n">
        <v>0</v>
      </c>
      <c r="BB38" s="37" t="n">
        <v>0</v>
      </c>
      <c r="BC38" s="37" t="n">
        <v>0</v>
      </c>
      <c r="BD38" s="37" t="n">
        <v>0</v>
      </c>
      <c r="BE38" s="37" t="n">
        <v>0</v>
      </c>
      <c r="BF38" s="37" t="n">
        <v>0.1442547011430668</v>
      </c>
      <c r="BG38" s="37" t="n">
        <v>0</v>
      </c>
      <c r="BH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158">
        <f>IF(OR(Y39="",X39=""),"",IFERROR(Y39*INDEX(FXRates[USD per unit],MATCH(X39,FXRates[Currency],0)),"No rate"))</f>
        <v/>
      </c>
      <c r="AA39" s="38" t="inlineStr">
        <is>
          <t>Autostore MCS</t>
        </is>
      </c>
      <c r="AB39" s="38" t="inlineStr">
        <is>
          <t xml:space="preserve">Delayed progressive shipment schedule, 35 weeks additional on top of total timeline </t>
        </is>
      </c>
      <c r="AC39" s="41">
        <f>IF(A39="","",IF(COUNTIF($A$6:$A$504,A39)&gt;1,"⚠ Duplicate",""))</f>
        <v/>
      </c>
      <c r="AD39" s="40" t="n"/>
      <c r="AE39" s="37" t="n"/>
      <c r="AF39" s="37" t="n"/>
      <c r="AG39" s="37" t="n"/>
      <c r="AH39" s="37" t="n"/>
      <c r="AI39" s="37" t="n"/>
      <c r="AJ39" s="37" t="n"/>
      <c r="AK39" s="37" t="n"/>
      <c r="AL39" s="37" t="n"/>
      <c r="AM39" s="37" t="n"/>
      <c r="AN39" s="37" t="n"/>
      <c r="AO39" s="37" t="n"/>
      <c r="AP39" s="37" t="n"/>
      <c r="AQ39" s="37" t="n"/>
      <c r="AR39" s="37" t="n"/>
      <c r="AS39" s="40" t="n"/>
      <c r="AT39" s="37" t="n">
        <v>0</v>
      </c>
      <c r="AU39" s="37" t="n">
        <v>0</v>
      </c>
      <c r="AV39" s="37" t="n">
        <v>0</v>
      </c>
      <c r="AW39" s="37" t="n">
        <v>0</v>
      </c>
      <c r="AX39" s="37" t="n">
        <v>0</v>
      </c>
      <c r="AY39" s="37" t="n">
        <v>0</v>
      </c>
      <c r="AZ39" s="37" t="n">
        <v>0</v>
      </c>
      <c r="BA39" s="37" t="n">
        <v>0</v>
      </c>
      <c r="BB39" s="37" t="n">
        <v>0</v>
      </c>
      <c r="BC39" s="37" t="n">
        <v>0</v>
      </c>
      <c r="BD39" s="37" t="n">
        <v>0</v>
      </c>
      <c r="BE39" s="37" t="n">
        <v>0</v>
      </c>
      <c r="BF39" s="37" t="n">
        <v>0</v>
      </c>
      <c r="BG39" s="37" t="n">
        <v>0</v>
      </c>
      <c r="BH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158">
        <f>IF(OR(Y40="",X40=""),"",IFERROR(Y40*INDEX(FXRates[USD per unit],MATCH(X40,FXRates[Currency],0)),"No rate"))</f>
        <v/>
      </c>
      <c r="AA40" s="32" t="inlineStr">
        <is>
          <t>XB Sorter CBS crossbelt MCS DMS BK25 PTL Mezzanine Selective Rack</t>
        </is>
      </c>
      <c r="AB40" s="32" t="n"/>
      <c r="AC40" s="36">
        <f>IF(A40="","",IF(COUNTIF($A$6:$A$504,A40)&gt;1,"⚠ Duplicate",""))</f>
        <v/>
      </c>
      <c r="AD40" s="40" t="n"/>
      <c r="AE40" s="37" t="n"/>
      <c r="AF40" s="37" t="n"/>
      <c r="AG40" s="37" t="n"/>
      <c r="AH40" s="37" t="n"/>
      <c r="AI40" s="37" t="n"/>
      <c r="AJ40" s="37" t="n"/>
      <c r="AK40" s="37" t="n"/>
      <c r="AL40" s="37" t="n"/>
      <c r="AM40" s="37" t="n"/>
      <c r="AN40" s="37" t="n"/>
      <c r="AO40" s="37" t="n"/>
      <c r="AP40" s="37" t="n"/>
      <c r="AQ40" s="37" t="n"/>
      <c r="AR40" s="37" t="n"/>
      <c r="AS40" s="40" t="n"/>
      <c r="AT40" s="37" t="n">
        <v>0</v>
      </c>
      <c r="AU40" s="37" t="n">
        <v>0</v>
      </c>
      <c r="AV40" s="37" t="n">
        <v>0</v>
      </c>
      <c r="AW40" s="37" t="n">
        <v>0</v>
      </c>
      <c r="AX40" s="37" t="n">
        <v>0</v>
      </c>
      <c r="AY40" s="37" t="n">
        <v>0</v>
      </c>
      <c r="AZ40" s="37" t="n">
        <v>0</v>
      </c>
      <c r="BA40" s="37" t="n">
        <v>0</v>
      </c>
      <c r="BB40" s="37" t="n">
        <v>0</v>
      </c>
      <c r="BC40" s="37" t="n">
        <v>0</v>
      </c>
      <c r="BD40" s="37" t="n">
        <v>0</v>
      </c>
      <c r="BE40" s="37" t="n">
        <v>0</v>
      </c>
      <c r="BF40" s="37" t="n">
        <v>0</v>
      </c>
      <c r="BG40" s="37" t="n">
        <v>0</v>
      </c>
      <c r="BH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158">
        <f>IF(OR(Y41="",X41=""),"",IFERROR(Y41*INDEX(FXRates[USD per unit],MATCH(X41,FXRates[Currency],0)),"No rate"))</f>
        <v/>
      </c>
      <c r="AA41" s="38" t="inlineStr">
        <is>
          <t>XB Sorter CBS Crossbelt MCS Libiao Mezzanine</t>
        </is>
      </c>
      <c r="AB41" s="38" t="n"/>
      <c r="AC41" s="41">
        <f>IF(A41="","",IF(COUNTIF($A$6:$A$504,A41)&gt;1,"⚠ Duplicate",""))</f>
        <v/>
      </c>
      <c r="AD41" s="40" t="n"/>
      <c r="AE41" s="37" t="n"/>
      <c r="AF41" s="37" t="n"/>
      <c r="AG41" s="37" t="n"/>
      <c r="AH41" s="37" t="n"/>
      <c r="AI41" s="37" t="n"/>
      <c r="AJ41" s="37" t="n"/>
      <c r="AK41" s="37" t="n"/>
      <c r="AL41" s="37" t="n"/>
      <c r="AM41" s="37" t="n"/>
      <c r="AN41" s="37" t="n"/>
      <c r="AO41" s="37" t="n"/>
      <c r="AP41" s="37" t="n"/>
      <c r="AQ41" s="37" t="n"/>
      <c r="AR41" s="37" t="n"/>
      <c r="AS41" s="40" t="n"/>
      <c r="AT41" s="37" t="n">
        <v>0</v>
      </c>
      <c r="AU41" s="37" t="n">
        <v>0</v>
      </c>
      <c r="AV41" s="37" t="n">
        <v>0</v>
      </c>
      <c r="AW41" s="37" t="n">
        <v>0</v>
      </c>
      <c r="AX41" s="37" t="n">
        <v>0</v>
      </c>
      <c r="AY41" s="37" t="n">
        <v>0</v>
      </c>
      <c r="AZ41" s="37" t="n">
        <v>0</v>
      </c>
      <c r="BA41" s="37" t="n">
        <v>0</v>
      </c>
      <c r="BB41" s="37" t="n">
        <v>0</v>
      </c>
      <c r="BC41" s="37" t="n">
        <v>0</v>
      </c>
      <c r="BD41" s="37" t="n">
        <v>0</v>
      </c>
      <c r="BE41" s="37" t="n">
        <v>0</v>
      </c>
      <c r="BF41" s="37" t="n">
        <v>0</v>
      </c>
      <c r="BG41" s="37" t="n">
        <v>0</v>
      </c>
      <c r="BH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158">
        <f>IF(OR(Y42="",X42=""),"",IFERROR(Y42*INDEX(FXRates[USD per unit],MATCH(X42,FXRates[Currency],0)),"No rate"))</f>
        <v/>
      </c>
      <c r="AA42" s="32" t="inlineStr">
        <is>
          <t>4WS Pallet + AMR</t>
        </is>
      </c>
      <c r="AB42" s="32" t="n"/>
      <c r="AC42" s="36">
        <f>IF(A42="","",IF(COUNTIF($A$6:$A$504,A42)&gt;1,"⚠ Duplicate",""))</f>
        <v/>
      </c>
      <c r="AD42" s="40" t="n"/>
      <c r="AE42" s="43" t="n">
        <v>0.05</v>
      </c>
      <c r="AF42" s="43" t="n">
        <v>0.05</v>
      </c>
      <c r="AG42" s="43" t="n">
        <v>0.05</v>
      </c>
      <c r="AH42" s="43" t="n">
        <v>0.07000000000000001</v>
      </c>
      <c r="AI42" s="43" t="n">
        <v>0.09</v>
      </c>
      <c r="AJ42" s="43" t="n">
        <v>0.06</v>
      </c>
      <c r="AK42" s="43" t="n">
        <v>0.06</v>
      </c>
      <c r="AL42" s="43" t="n">
        <v>0.01</v>
      </c>
      <c r="AM42" s="43" t="n">
        <v>0.01</v>
      </c>
      <c r="AN42" s="43" t="n">
        <v>0.01</v>
      </c>
      <c r="AO42" s="43" t="n">
        <v>0.01</v>
      </c>
      <c r="AP42" s="43" t="n">
        <v>0.01</v>
      </c>
      <c r="AQ42" s="43" t="n">
        <v>0.04</v>
      </c>
      <c r="AR42" s="37" t="n">
        <v>0.001</v>
      </c>
      <c r="AS42" s="40" t="n"/>
      <c r="AT42" s="43" t="n"/>
      <c r="AU42" s="43" t="n"/>
      <c r="AV42" s="43" t="n"/>
      <c r="AW42" s="43" t="n"/>
      <c r="AX42" s="43" t="n"/>
      <c r="AY42" s="43" t="n"/>
      <c r="AZ42" s="43" t="n"/>
      <c r="BA42" s="43" t="n"/>
      <c r="BB42" s="43" t="n"/>
      <c r="BC42" s="43" t="n"/>
      <c r="BD42" s="43" t="n"/>
      <c r="BE42" s="43" t="n"/>
      <c r="BF42" s="43" t="n"/>
      <c r="BG42" s="37" t="n"/>
      <c r="BH42" s="32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158">
        <f>IF(OR(Y43="",X43=""),"",IFERROR(Y43*INDEX(FXRates[USD per unit],MATCH(X43,FXRates[Currency],0)),"No rate"))</f>
        <v/>
      </c>
      <c r="AA43" s="38" t="inlineStr">
        <is>
          <t>ASRS, DMS, Layer Picker</t>
        </is>
      </c>
      <c r="AB43" s="38" t="inlineStr">
        <is>
          <t>ASRS Rack Clad not Dematic scope, DMS Racking under Dematic scope</t>
        </is>
      </c>
      <c r="AC43" s="41">
        <f>IF(A43="","",IF(COUNTIF($A$6:$A$504,A43)&gt;1,"⚠ Duplicate",""))</f>
        <v/>
      </c>
      <c r="AD43" s="40" t="n"/>
      <c r="AE43" s="42" t="n">
        <v>0.052</v>
      </c>
      <c r="AF43" s="42" t="n">
        <v>0.052</v>
      </c>
      <c r="AG43" s="42" t="n">
        <v>0.052</v>
      </c>
      <c r="AH43" s="42" t="n">
        <v>0.008</v>
      </c>
      <c r="AI43" s="42" t="n">
        <v>0.022</v>
      </c>
      <c r="AJ43" s="42" t="n">
        <v>0.01</v>
      </c>
      <c r="AK43" s="42" t="n">
        <v>0.01</v>
      </c>
      <c r="AL43" s="42" t="n">
        <v>0.031</v>
      </c>
      <c r="AM43" s="42" t="n">
        <v>0.031</v>
      </c>
      <c r="AN43" s="42" t="n">
        <v>0.031</v>
      </c>
      <c r="AO43" s="42" t="n">
        <v>0.038</v>
      </c>
      <c r="AP43" s="42" t="n">
        <v>0.038</v>
      </c>
      <c r="AQ43" s="42" t="n">
        <v>0</v>
      </c>
      <c r="AR43" s="37" t="n">
        <v>0.001</v>
      </c>
      <c r="AS43" s="40" t="n"/>
      <c r="AT43" s="42" t="n"/>
      <c r="AU43" s="42" t="n"/>
      <c r="AV43" s="42" t="n"/>
      <c r="AW43" s="42" t="n"/>
      <c r="AX43" s="42" t="n"/>
      <c r="AY43" s="42" t="n"/>
      <c r="AZ43" s="42" t="n"/>
      <c r="BA43" s="42" t="n"/>
      <c r="BB43" s="42" t="n"/>
      <c r="BC43" s="42" t="n"/>
      <c r="BD43" s="42" t="n"/>
      <c r="BE43" s="42" t="n"/>
      <c r="BF43" s="42" t="n"/>
      <c r="BG43" s="37" t="n"/>
      <c r="BH43" s="38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158">
        <f>IF(OR(Y44="",X44=""),"",IFERROR(Y44*INDEX(FXRates[USD per unit],MATCH(X44,FXRates[Currency],0)),"No rate"))</f>
        <v/>
      </c>
      <c r="AA44" s="32" t="inlineStr">
        <is>
          <t>MCS</t>
        </is>
      </c>
      <c r="AB44" s="32" t="inlineStr">
        <is>
          <t>Zone Route Picking</t>
        </is>
      </c>
      <c r="AC44" s="36">
        <f>IF(A44="","",IF(COUNTIF($A$6:$A$504,A44)&gt;1,"⚠ Duplicate",""))</f>
        <v/>
      </c>
      <c r="AD44" s="40" t="n"/>
      <c r="AE44" s="37" t="n"/>
      <c r="AF44" s="37" t="n"/>
      <c r="AG44" s="37" t="n"/>
      <c r="AH44" s="37" t="n"/>
      <c r="AI44" s="37" t="n"/>
      <c r="AJ44" s="37" t="n"/>
      <c r="AK44" s="37" t="n"/>
      <c r="AL44" s="37" t="n"/>
      <c r="AM44" s="37" t="n"/>
      <c r="AN44" s="37" t="n"/>
      <c r="AO44" s="37" t="n"/>
      <c r="AP44" s="37" t="n"/>
      <c r="AQ44" s="37" t="n"/>
      <c r="AR44" s="37" t="n"/>
      <c r="AS44" s="40" t="n"/>
      <c r="AT44" s="37" t="n">
        <v>0</v>
      </c>
      <c r="AU44" s="37" t="n">
        <v>0</v>
      </c>
      <c r="AV44" s="37" t="n">
        <v>0</v>
      </c>
      <c r="AW44" s="37" t="n">
        <v>0</v>
      </c>
      <c r="AX44" s="37" t="n">
        <v>0</v>
      </c>
      <c r="AY44" s="37" t="n">
        <v>0</v>
      </c>
      <c r="AZ44" s="37" t="n">
        <v>0</v>
      </c>
      <c r="BA44" s="37" t="n">
        <v>0</v>
      </c>
      <c r="BB44" s="37" t="n">
        <v>0</v>
      </c>
      <c r="BC44" s="37" t="n">
        <v>0</v>
      </c>
      <c r="BD44" s="37" t="n">
        <v>0</v>
      </c>
      <c r="BE44" s="37" t="n">
        <v>0</v>
      </c>
      <c r="BF44" s="37" t="n">
        <v>0</v>
      </c>
      <c r="BG44" s="37" t="n">
        <v>0</v>
      </c>
      <c r="BH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158">
        <f>IF(OR(Y45="",X45=""),"",IFERROR(Y45*INDEX(FXRates[USD per unit],MATCH(X45,FXRates[Currency],0)),"No rate"))</f>
        <v/>
      </c>
      <c r="AA45" s="38" t="inlineStr">
        <is>
          <t>ML SRM MCS BK25 DMS</t>
        </is>
      </c>
      <c r="AB45" s="38" t="inlineStr">
        <is>
          <t>2 Aisle Miniload</t>
        </is>
      </c>
      <c r="AC45" s="41">
        <f>IF(A45="","",IF(COUNTIF($A$6:$A$504,A45)&gt;1,"⚠ Duplicate",""))</f>
        <v/>
      </c>
      <c r="AD45" s="40" t="n"/>
      <c r="AE45" s="37" t="n"/>
      <c r="AF45" s="37" t="n"/>
      <c r="AG45" s="37" t="n"/>
      <c r="AH45" s="37" t="n"/>
      <c r="AI45" s="37" t="n"/>
      <c r="AJ45" s="37" t="n"/>
      <c r="AK45" s="37" t="n"/>
      <c r="AL45" s="37" t="n"/>
      <c r="AM45" s="37" t="n"/>
      <c r="AN45" s="37" t="n"/>
      <c r="AO45" s="37" t="n"/>
      <c r="AP45" s="37" t="n"/>
      <c r="AQ45" s="37" t="n"/>
      <c r="AR45" s="37" t="n"/>
      <c r="AS45" s="40" t="n"/>
      <c r="AT45" s="37" t="n">
        <v>0</v>
      </c>
      <c r="AU45" s="37" t="n">
        <v>0</v>
      </c>
      <c r="AV45" s="37" t="n">
        <v>0</v>
      </c>
      <c r="AW45" s="37" t="n">
        <v>0</v>
      </c>
      <c r="AX45" s="37" t="n">
        <v>0</v>
      </c>
      <c r="AY45" s="37" t="n">
        <v>0</v>
      </c>
      <c r="AZ45" s="37" t="n">
        <v>0</v>
      </c>
      <c r="BA45" s="37" t="n">
        <v>0</v>
      </c>
      <c r="BB45" s="37" t="n">
        <v>0</v>
      </c>
      <c r="BC45" s="37" t="n">
        <v>0</v>
      </c>
      <c r="BD45" s="37" t="n">
        <v>0</v>
      </c>
      <c r="BE45" s="37" t="n">
        <v>0</v>
      </c>
      <c r="BF45" s="37" t="n">
        <v>0</v>
      </c>
      <c r="BG45" s="37" t="n">
        <v>0</v>
      </c>
      <c r="BH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158">
        <f>IF(OR(Y46="",X46=""),"",IFERROR(Y46*INDEX(FXRates[USD per unit],MATCH(X46,FXRates[Currency],0)),"No rate"))</f>
        <v/>
      </c>
      <c r="AA46" s="38" t="n"/>
      <c r="AB46" s="38" t="n"/>
      <c r="AC46" s="41">
        <f>IF(A46="","",IF(COUNTIF($A$6:$A$504,A46)&gt;1,"⚠ Duplicate",""))</f>
        <v/>
      </c>
      <c r="AD46" s="40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  <c r="AR46" s="42" t="n"/>
      <c r="AS46" s="40" t="n"/>
      <c r="AT46" s="42" t="n"/>
      <c r="AU46" s="42" t="n"/>
      <c r="AV46" s="42" t="n"/>
      <c r="AW46" s="42" t="n"/>
      <c r="AX46" s="42" t="n"/>
      <c r="AY46" s="42" t="n"/>
      <c r="AZ46" s="42" t="n"/>
      <c r="BA46" s="42" t="n"/>
      <c r="BB46" s="42" t="n"/>
      <c r="BC46" s="42" t="n"/>
      <c r="BD46" s="42" t="n"/>
      <c r="BE46" s="42" t="n"/>
      <c r="BF46" s="42" t="n"/>
      <c r="BG46" s="42" t="n"/>
      <c r="BH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157">
        <f>IF(OR(Y47="",X47=""),"",IFERROR(Y47*INDEX(FXRates[USD per unit],MATCH(X47,FXRates[Currency],0)),"No rate"))</f>
        <v/>
      </c>
      <c r="AA47" s="32" t="n"/>
      <c r="AB47" s="32" t="n"/>
      <c r="AC47" s="36">
        <f>IF(A47="","",IF(COUNTIF($A$6:$A$504,A47)&gt;1,"⚠ Duplicate",""))</f>
        <v/>
      </c>
      <c r="AD47" s="35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  <c r="AQ47" s="43" t="n"/>
      <c r="AR47" s="43" t="n"/>
      <c r="AS47" s="35" t="n"/>
      <c r="AT47" s="43" t="n"/>
      <c r="AU47" s="43" t="n"/>
      <c r="AV47" s="43" t="n"/>
      <c r="AW47" s="43" t="n"/>
      <c r="AX47" s="43" t="n"/>
      <c r="AY47" s="43" t="n"/>
      <c r="AZ47" s="43" t="n"/>
      <c r="BA47" s="43" t="n"/>
      <c r="BB47" s="43" t="n"/>
      <c r="BC47" s="43" t="n"/>
      <c r="BD47" s="43" t="n"/>
      <c r="BE47" s="43" t="n"/>
      <c r="BF47" s="43" t="n"/>
      <c r="BG47" s="43" t="n"/>
      <c r="BH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158">
        <f>IF(OR(Y48="",X48=""),"",IFERROR(Y48*INDEX(FXRates[USD per unit],MATCH(X48,FXRates[Currency],0)),"No rate"))</f>
        <v/>
      </c>
      <c r="AA48" s="38" t="n"/>
      <c r="AB48" s="38" t="n"/>
      <c r="AC48" s="41">
        <f>IF(A48="","",IF(COUNTIF($A$6:$A$504,A48)&gt;1,"⚠ Duplicate",""))</f>
        <v/>
      </c>
      <c r="AD48" s="40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  <c r="AR48" s="42" t="n"/>
      <c r="AS48" s="40" t="n"/>
      <c r="AT48" s="42" t="n"/>
      <c r="AU48" s="42" t="n"/>
      <c r="AV48" s="42" t="n"/>
      <c r="AW48" s="42" t="n"/>
      <c r="AX48" s="42" t="n"/>
      <c r="AY48" s="42" t="n"/>
      <c r="AZ48" s="42" t="n"/>
      <c r="BA48" s="42" t="n"/>
      <c r="BB48" s="42" t="n"/>
      <c r="BC48" s="42" t="n"/>
      <c r="BD48" s="42" t="n"/>
      <c r="BE48" s="42" t="n"/>
      <c r="BF48" s="42" t="n"/>
      <c r="BG48" s="42" t="n"/>
      <c r="BH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157">
        <f>IF(OR(Y49="",X49=""),"",IFERROR(Y49*INDEX(FXRates[USD per unit],MATCH(X49,FXRates[Currency],0)),"No rate"))</f>
        <v/>
      </c>
      <c r="AA49" s="32" t="n"/>
      <c r="AB49" s="32" t="n"/>
      <c r="AC49" s="36">
        <f>IF(A49="","",IF(COUNTIF($A$6:$A$504,A49)&gt;1,"⚠ Duplicate",""))</f>
        <v/>
      </c>
      <c r="AD49" s="35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  <c r="AQ49" s="43" t="n"/>
      <c r="AR49" s="43" t="n"/>
      <c r="AS49" s="35" t="n"/>
      <c r="AT49" s="43" t="n"/>
      <c r="AU49" s="43" t="n"/>
      <c r="AV49" s="43" t="n"/>
      <c r="AW49" s="43" t="n"/>
      <c r="AX49" s="43" t="n"/>
      <c r="AY49" s="43" t="n"/>
      <c r="AZ49" s="43" t="n"/>
      <c r="BA49" s="43" t="n"/>
      <c r="BB49" s="43" t="n"/>
      <c r="BC49" s="43" t="n"/>
      <c r="BD49" s="43" t="n"/>
      <c r="BE49" s="43" t="n"/>
      <c r="BF49" s="43" t="n"/>
      <c r="BG49" s="43" t="n"/>
      <c r="BH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158">
        <f>IF(OR(Y50="",X50=""),"",IFERROR(Y50*INDEX(FXRates[USD per unit],MATCH(X50,FXRates[Currency],0)),"No rate"))</f>
        <v/>
      </c>
      <c r="AA50" s="38" t="n"/>
      <c r="AB50" s="38" t="n"/>
      <c r="AC50" s="41">
        <f>IF(A50="","",IF(COUNTIF($A$6:$A$504,A50)&gt;1,"⚠ Duplicate",""))</f>
        <v/>
      </c>
      <c r="AD50" s="40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42" t="n"/>
      <c r="AS50" s="40" t="n"/>
      <c r="AT50" s="42" t="n"/>
      <c r="AU50" s="42" t="n"/>
      <c r="AV50" s="42" t="n"/>
      <c r="AW50" s="42" t="n"/>
      <c r="AX50" s="42" t="n"/>
      <c r="AY50" s="42" t="n"/>
      <c r="AZ50" s="42" t="n"/>
      <c r="BA50" s="42" t="n"/>
      <c r="BB50" s="42" t="n"/>
      <c r="BC50" s="42" t="n"/>
      <c r="BD50" s="42" t="n"/>
      <c r="BE50" s="42" t="n"/>
      <c r="BF50" s="42" t="n"/>
      <c r="BG50" s="42" t="n"/>
      <c r="BH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157">
        <f>IF(OR(Y51="",X51=""),"",IFERROR(Y51*INDEX(FXRates[USD per unit],MATCH(X51,FXRates[Currency],0)),"No rate"))</f>
        <v/>
      </c>
      <c r="AA51" s="32" t="n"/>
      <c r="AB51" s="32" t="n"/>
      <c r="AC51" s="36">
        <f>IF(A51="","",IF(COUNTIF($A$6:$A$504,A51)&gt;1,"⚠ Duplicate",""))</f>
        <v/>
      </c>
      <c r="AD51" s="35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  <c r="AR51" s="43" t="n"/>
      <c r="AS51" s="35" t="n"/>
      <c r="AT51" s="43" t="n"/>
      <c r="AU51" s="43" t="n"/>
      <c r="AV51" s="43" t="n"/>
      <c r="AW51" s="43" t="n"/>
      <c r="AX51" s="43" t="n"/>
      <c r="AY51" s="43" t="n"/>
      <c r="AZ51" s="43" t="n"/>
      <c r="BA51" s="43" t="n"/>
      <c r="BB51" s="43" t="n"/>
      <c r="BC51" s="43" t="n"/>
      <c r="BD51" s="43" t="n"/>
      <c r="BE51" s="43" t="n"/>
      <c r="BF51" s="43" t="n"/>
      <c r="BG51" s="43" t="n"/>
      <c r="BH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158">
        <f>IF(OR(Y52="",X52=""),"",IFERROR(Y52*INDEX(FXRates[USD per unit],MATCH(X52,FXRates[Currency],0)),"No rate"))</f>
        <v/>
      </c>
      <c r="AA52" s="38" t="n"/>
      <c r="AB52" s="38" t="n"/>
      <c r="AC52" s="41">
        <f>IF(A52="","",IF(COUNTIF($A$6:$A$504,A52)&gt;1,"⚠ Duplicate",""))</f>
        <v/>
      </c>
      <c r="AD52" s="40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  <c r="AR52" s="42" t="n"/>
      <c r="AS52" s="40" t="n"/>
      <c r="AT52" s="42" t="n"/>
      <c r="AU52" s="42" t="n"/>
      <c r="AV52" s="42" t="n"/>
      <c r="AW52" s="42" t="n"/>
      <c r="AX52" s="42" t="n"/>
      <c r="AY52" s="42" t="n"/>
      <c r="AZ52" s="42" t="n"/>
      <c r="BA52" s="42" t="n"/>
      <c r="BB52" s="42" t="n"/>
      <c r="BC52" s="42" t="n"/>
      <c r="BD52" s="42" t="n"/>
      <c r="BE52" s="42" t="n"/>
      <c r="BF52" s="42" t="n"/>
      <c r="BG52" s="42" t="n"/>
      <c r="BH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157">
        <f>IF(OR(Y53="",X53=""),"",IFERROR(Y53*INDEX(FXRates[USD per unit],MATCH(X53,FXRates[Currency],0)),"No rate"))</f>
        <v/>
      </c>
      <c r="AA53" s="32" t="n"/>
      <c r="AB53" s="32" t="n"/>
      <c r="AC53" s="36">
        <f>IF(A53="","",IF(COUNTIF($A$6:$A$504,A53)&gt;1,"⚠ Duplicate",""))</f>
        <v/>
      </c>
      <c r="AD53" s="35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  <c r="AQ53" s="43" t="n"/>
      <c r="AR53" s="43" t="n"/>
      <c r="AS53" s="35" t="n"/>
      <c r="AT53" s="43" t="n"/>
      <c r="AU53" s="43" t="n"/>
      <c r="AV53" s="43" t="n"/>
      <c r="AW53" s="43" t="n"/>
      <c r="AX53" s="43" t="n"/>
      <c r="AY53" s="43" t="n"/>
      <c r="AZ53" s="43" t="n"/>
      <c r="BA53" s="43" t="n"/>
      <c r="BB53" s="43" t="n"/>
      <c r="BC53" s="43" t="n"/>
      <c r="BD53" s="43" t="n"/>
      <c r="BE53" s="43" t="n"/>
      <c r="BF53" s="43" t="n"/>
      <c r="BG53" s="43" t="n"/>
      <c r="BH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158">
        <f>IF(OR(Y54="",X54=""),"",IFERROR(Y54*INDEX(FXRates[USD per unit],MATCH(X54,FXRates[Currency],0)),"No rate"))</f>
        <v/>
      </c>
      <c r="AA54" s="38" t="n"/>
      <c r="AB54" s="38" t="n"/>
      <c r="AC54" s="41">
        <f>IF(A54="","",IF(COUNTIF($A$6:$A$504,A54)&gt;1,"⚠ Duplicate",""))</f>
        <v/>
      </c>
      <c r="AD54" s="40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  <c r="AR54" s="42" t="n"/>
      <c r="AS54" s="40" t="n"/>
      <c r="AT54" s="42" t="n"/>
      <c r="AU54" s="42" t="n"/>
      <c r="AV54" s="42" t="n"/>
      <c r="AW54" s="42" t="n"/>
      <c r="AX54" s="42" t="n"/>
      <c r="AY54" s="42" t="n"/>
      <c r="AZ54" s="42" t="n"/>
      <c r="BA54" s="42" t="n"/>
      <c r="BB54" s="42" t="n"/>
      <c r="BC54" s="42" t="n"/>
      <c r="BD54" s="42" t="n"/>
      <c r="BE54" s="42" t="n"/>
      <c r="BF54" s="42" t="n"/>
      <c r="BG54" s="42" t="n"/>
      <c r="BH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157">
        <f>IF(OR(Y55="",X55=""),"",IFERROR(Y55*INDEX(FXRates[USD per unit],MATCH(X55,FXRates[Currency],0)),"No rate"))</f>
        <v/>
      </c>
      <c r="AA55" s="32" t="n"/>
      <c r="AB55" s="32" t="n"/>
      <c r="AC55" s="36">
        <f>IF(A55="","",IF(COUNTIF($A$6:$A$504,A55)&gt;1,"⚠ Duplicate",""))</f>
        <v/>
      </c>
      <c r="AD55" s="35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  <c r="AQ55" s="43" t="n"/>
      <c r="AR55" s="43" t="n"/>
      <c r="AS55" s="35" t="n"/>
      <c r="AT55" s="43" t="n"/>
      <c r="AU55" s="43" t="n"/>
      <c r="AV55" s="43" t="n"/>
      <c r="AW55" s="43" t="n"/>
      <c r="AX55" s="43" t="n"/>
      <c r="AY55" s="43" t="n"/>
      <c r="AZ55" s="43" t="n"/>
      <c r="BA55" s="43" t="n"/>
      <c r="BB55" s="43" t="n"/>
      <c r="BC55" s="43" t="n"/>
      <c r="BD55" s="43" t="n"/>
      <c r="BE55" s="43" t="n"/>
      <c r="BF55" s="43" t="n"/>
      <c r="BG55" s="43" t="n"/>
      <c r="BH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158">
        <f>IF(OR(Y56="",X56=""),"",IFERROR(Y56*INDEX(FXRates[USD per unit],MATCH(X56,FXRates[Currency],0)),"No rate"))</f>
        <v/>
      </c>
      <c r="AA56" s="38" t="n"/>
      <c r="AB56" s="38" t="n"/>
      <c r="AC56" s="41">
        <f>IF(A56="","",IF(COUNTIF($A$6:$A$504,A56)&gt;1,"⚠ Duplicate",""))</f>
        <v/>
      </c>
      <c r="AD56" s="40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  <c r="AR56" s="42" t="n"/>
      <c r="AS56" s="40" t="n"/>
      <c r="AT56" s="42" t="n"/>
      <c r="AU56" s="42" t="n"/>
      <c r="AV56" s="42" t="n"/>
      <c r="AW56" s="42" t="n"/>
      <c r="AX56" s="42" t="n"/>
      <c r="AY56" s="42" t="n"/>
      <c r="AZ56" s="42" t="n"/>
      <c r="BA56" s="42" t="n"/>
      <c r="BB56" s="42" t="n"/>
      <c r="BC56" s="42" t="n"/>
      <c r="BD56" s="42" t="n"/>
      <c r="BE56" s="42" t="n"/>
      <c r="BF56" s="42" t="n"/>
      <c r="BG56" s="42" t="n"/>
      <c r="BH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157">
        <f>IF(OR(Y57="",X57=""),"",IFERROR(Y57*INDEX(FXRates[USD per unit],MATCH(X57,FXRates[Currency],0)),"No rate"))</f>
        <v/>
      </c>
      <c r="AA57" s="32" t="n"/>
      <c r="AB57" s="32" t="n"/>
      <c r="AC57" s="36">
        <f>IF(A57="","",IF(COUNTIF($A$6:$A$504,A57)&gt;1,"⚠ Duplicate",""))</f>
        <v/>
      </c>
      <c r="AD57" s="35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  <c r="AQ57" s="43" t="n"/>
      <c r="AR57" s="43" t="n"/>
      <c r="AS57" s="35" t="n"/>
      <c r="AT57" s="43" t="n"/>
      <c r="AU57" s="43" t="n"/>
      <c r="AV57" s="43" t="n"/>
      <c r="AW57" s="43" t="n"/>
      <c r="AX57" s="43" t="n"/>
      <c r="AY57" s="43" t="n"/>
      <c r="AZ57" s="43" t="n"/>
      <c r="BA57" s="43" t="n"/>
      <c r="BB57" s="43" t="n"/>
      <c r="BC57" s="43" t="n"/>
      <c r="BD57" s="43" t="n"/>
      <c r="BE57" s="43" t="n"/>
      <c r="BF57" s="43" t="n"/>
      <c r="BG57" s="43" t="n"/>
      <c r="BH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158">
        <f>IF(OR(Y58="",X58=""),"",IFERROR(Y58*INDEX(FXRates[USD per unit],MATCH(X58,FXRates[Currency],0)),"No rate"))</f>
        <v/>
      </c>
      <c r="AA58" s="38" t="n"/>
      <c r="AB58" s="38" t="n"/>
      <c r="AC58" s="41">
        <f>IF(A58="","",IF(COUNTIF($A$6:$A$504,A58)&gt;1,"⚠ Duplicate",""))</f>
        <v/>
      </c>
      <c r="AD58" s="40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  <c r="AR58" s="42" t="n"/>
      <c r="AS58" s="40" t="n"/>
      <c r="AT58" s="42" t="n"/>
      <c r="AU58" s="42" t="n"/>
      <c r="AV58" s="42" t="n"/>
      <c r="AW58" s="42" t="n"/>
      <c r="AX58" s="42" t="n"/>
      <c r="AY58" s="42" t="n"/>
      <c r="AZ58" s="42" t="n"/>
      <c r="BA58" s="42" t="n"/>
      <c r="BB58" s="42" t="n"/>
      <c r="BC58" s="42" t="n"/>
      <c r="BD58" s="42" t="n"/>
      <c r="BE58" s="42" t="n"/>
      <c r="BF58" s="42" t="n"/>
      <c r="BG58" s="42" t="n"/>
      <c r="BH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157">
        <f>IF(OR(Y59="",X59=""),"",IFERROR(Y59*INDEX(FXRates[USD per unit],MATCH(X59,FXRates[Currency],0)),"No rate"))</f>
        <v/>
      </c>
      <c r="AA59" s="32" t="n"/>
      <c r="AB59" s="32" t="n"/>
      <c r="AC59" s="36">
        <f>IF(A59="","",IF(COUNTIF($A$6:$A$504,A59)&gt;1,"⚠ Duplicate",""))</f>
        <v/>
      </c>
      <c r="AD59" s="35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  <c r="AQ59" s="43" t="n"/>
      <c r="AR59" s="43" t="n"/>
      <c r="AS59" s="35" t="n"/>
      <c r="AT59" s="43" t="n"/>
      <c r="AU59" s="43" t="n"/>
      <c r="AV59" s="43" t="n"/>
      <c r="AW59" s="43" t="n"/>
      <c r="AX59" s="43" t="n"/>
      <c r="AY59" s="43" t="n"/>
      <c r="AZ59" s="43" t="n"/>
      <c r="BA59" s="43" t="n"/>
      <c r="BB59" s="43" t="n"/>
      <c r="BC59" s="43" t="n"/>
      <c r="BD59" s="43" t="n"/>
      <c r="BE59" s="43" t="n"/>
      <c r="BF59" s="43" t="n"/>
      <c r="BG59" s="43" t="n"/>
      <c r="BH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158">
        <f>IF(OR(Y60="",X60=""),"",IFERROR(Y60*INDEX(FXRates[USD per unit],MATCH(X60,FXRates[Currency],0)),"No rate"))</f>
        <v/>
      </c>
      <c r="AA60" s="38" t="n"/>
      <c r="AB60" s="38" t="n"/>
      <c r="AC60" s="41">
        <f>IF(A60="","",IF(COUNTIF($A$6:$A$504,A60)&gt;1,"⚠ Duplicate",""))</f>
        <v/>
      </c>
      <c r="AD60" s="40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  <c r="AR60" s="42" t="n"/>
      <c r="AS60" s="40" t="n"/>
      <c r="AT60" s="42" t="n"/>
      <c r="AU60" s="42" t="n"/>
      <c r="AV60" s="42" t="n"/>
      <c r="AW60" s="42" t="n"/>
      <c r="AX60" s="42" t="n"/>
      <c r="AY60" s="42" t="n"/>
      <c r="AZ60" s="42" t="n"/>
      <c r="BA60" s="42" t="n"/>
      <c r="BB60" s="42" t="n"/>
      <c r="BC60" s="42" t="n"/>
      <c r="BD60" s="42" t="n"/>
      <c r="BE60" s="42" t="n"/>
      <c r="BF60" s="42" t="n"/>
      <c r="BG60" s="42" t="n"/>
      <c r="BH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157">
        <f>IF(OR(Y61="",X61=""),"",IFERROR(Y61*INDEX(FXRates[USD per unit],MATCH(X61,FXRates[Currency],0)),"No rate"))</f>
        <v/>
      </c>
      <c r="AA61" s="32" t="n"/>
      <c r="AB61" s="32" t="n"/>
      <c r="AC61" s="36">
        <f>IF(A61="","",IF(COUNTIF($A$6:$A$504,A61)&gt;1,"⚠ Duplicate",""))</f>
        <v/>
      </c>
      <c r="AD61" s="35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  <c r="AQ61" s="43" t="n"/>
      <c r="AR61" s="43" t="n"/>
      <c r="AS61" s="35" t="n"/>
      <c r="AT61" s="43" t="n"/>
      <c r="AU61" s="43" t="n"/>
      <c r="AV61" s="43" t="n"/>
      <c r="AW61" s="43" t="n"/>
      <c r="AX61" s="43" t="n"/>
      <c r="AY61" s="43" t="n"/>
      <c r="AZ61" s="43" t="n"/>
      <c r="BA61" s="43" t="n"/>
      <c r="BB61" s="43" t="n"/>
      <c r="BC61" s="43" t="n"/>
      <c r="BD61" s="43" t="n"/>
      <c r="BE61" s="43" t="n"/>
      <c r="BF61" s="43" t="n"/>
      <c r="BG61" s="43" t="n"/>
      <c r="BH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158">
        <f>IF(OR(Y62="",X62=""),"",IFERROR(Y62*INDEX(FXRates[USD per unit],MATCH(X62,FXRates[Currency],0)),"No rate"))</f>
        <v/>
      </c>
      <c r="AA62" s="38" t="n"/>
      <c r="AB62" s="38" t="n"/>
      <c r="AC62" s="41">
        <f>IF(A62="","",IF(COUNTIF($A$6:$A$504,A62)&gt;1,"⚠ Duplicate",""))</f>
        <v/>
      </c>
      <c r="AD62" s="40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  <c r="AR62" s="42" t="n"/>
      <c r="AS62" s="40" t="n"/>
      <c r="AT62" s="42" t="n"/>
      <c r="AU62" s="42" t="n"/>
      <c r="AV62" s="42" t="n"/>
      <c r="AW62" s="42" t="n"/>
      <c r="AX62" s="42" t="n"/>
      <c r="AY62" s="42" t="n"/>
      <c r="AZ62" s="42" t="n"/>
      <c r="BA62" s="42" t="n"/>
      <c r="BB62" s="42" t="n"/>
      <c r="BC62" s="42" t="n"/>
      <c r="BD62" s="42" t="n"/>
      <c r="BE62" s="42" t="n"/>
      <c r="BF62" s="42" t="n"/>
      <c r="BG62" s="42" t="n"/>
      <c r="BH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157">
        <f>IF(OR(Y63="",X63=""),"",IFERROR(Y63*INDEX(FXRates[USD per unit],MATCH(X63,FXRates[Currency],0)),"No rate"))</f>
        <v/>
      </c>
      <c r="AA63" s="32" t="n"/>
      <c r="AB63" s="32" t="n"/>
      <c r="AC63" s="36">
        <f>IF(A63="","",IF(COUNTIF($A$6:$A$504,A63)&gt;1,"⚠ Duplicate",""))</f>
        <v/>
      </c>
      <c r="AD63" s="35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  <c r="AQ63" s="43" t="n"/>
      <c r="AR63" s="43" t="n"/>
      <c r="AS63" s="35" t="n"/>
      <c r="AT63" s="43" t="n"/>
      <c r="AU63" s="43" t="n"/>
      <c r="AV63" s="43" t="n"/>
      <c r="AW63" s="43" t="n"/>
      <c r="AX63" s="43" t="n"/>
      <c r="AY63" s="43" t="n"/>
      <c r="AZ63" s="43" t="n"/>
      <c r="BA63" s="43" t="n"/>
      <c r="BB63" s="43" t="n"/>
      <c r="BC63" s="43" t="n"/>
      <c r="BD63" s="43" t="n"/>
      <c r="BE63" s="43" t="n"/>
      <c r="BF63" s="43" t="n"/>
      <c r="BG63" s="43" t="n"/>
      <c r="BH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158">
        <f>IF(OR(Y64="",X64=""),"",IFERROR(Y64*INDEX(FXRates[USD per unit],MATCH(X64,FXRates[Currency],0)),"No rate"))</f>
        <v/>
      </c>
      <c r="AA64" s="38" t="n"/>
      <c r="AB64" s="38" t="n"/>
      <c r="AC64" s="41">
        <f>IF(A64="","",IF(COUNTIF($A$6:$A$504,A64)&gt;1,"⚠ Duplicate",""))</f>
        <v/>
      </c>
      <c r="AD64" s="40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  <c r="AR64" s="42" t="n"/>
      <c r="AS64" s="40" t="n"/>
      <c r="AT64" s="42" t="n"/>
      <c r="AU64" s="42" t="n"/>
      <c r="AV64" s="42" t="n"/>
      <c r="AW64" s="42" t="n"/>
      <c r="AX64" s="42" t="n"/>
      <c r="AY64" s="42" t="n"/>
      <c r="AZ64" s="42" t="n"/>
      <c r="BA64" s="42" t="n"/>
      <c r="BB64" s="42" t="n"/>
      <c r="BC64" s="42" t="n"/>
      <c r="BD64" s="42" t="n"/>
      <c r="BE64" s="42" t="n"/>
      <c r="BF64" s="42" t="n"/>
      <c r="BG64" s="42" t="n"/>
      <c r="BH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157">
        <f>IF(OR(Y65="",X65=""),"",IFERROR(Y65*INDEX(FXRates[USD per unit],MATCH(X65,FXRates[Currency],0)),"No rate"))</f>
        <v/>
      </c>
      <c r="AA65" s="32" t="n"/>
      <c r="AB65" s="32" t="n"/>
      <c r="AC65" s="36">
        <f>IF(A65="","",IF(COUNTIF($A$6:$A$504,A65)&gt;1,"⚠ Duplicate",""))</f>
        <v/>
      </c>
      <c r="AD65" s="35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  <c r="AQ65" s="43" t="n"/>
      <c r="AR65" s="43" t="n"/>
      <c r="AS65" s="35" t="n"/>
      <c r="AT65" s="43" t="n"/>
      <c r="AU65" s="43" t="n"/>
      <c r="AV65" s="43" t="n"/>
      <c r="AW65" s="43" t="n"/>
      <c r="AX65" s="43" t="n"/>
      <c r="AY65" s="43" t="n"/>
      <c r="AZ65" s="43" t="n"/>
      <c r="BA65" s="43" t="n"/>
      <c r="BB65" s="43" t="n"/>
      <c r="BC65" s="43" t="n"/>
      <c r="BD65" s="43" t="n"/>
      <c r="BE65" s="43" t="n"/>
      <c r="BF65" s="43" t="n"/>
      <c r="BG65" s="43" t="n"/>
      <c r="BH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158">
        <f>IF(OR(Y66="",X66=""),"",IFERROR(Y66*INDEX(FXRates[USD per unit],MATCH(X66,FXRates[Currency],0)),"No rate"))</f>
        <v/>
      </c>
      <c r="AA66" s="38" t="n"/>
      <c r="AB66" s="38" t="n"/>
      <c r="AC66" s="41">
        <f>IF(A66="","",IF(COUNTIF($A$6:$A$504,A66)&gt;1,"⚠ Duplicate",""))</f>
        <v/>
      </c>
      <c r="AD66" s="40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  <c r="AR66" s="42" t="n"/>
      <c r="AS66" s="40" t="n"/>
      <c r="AT66" s="42" t="n"/>
      <c r="AU66" s="42" t="n"/>
      <c r="AV66" s="42" t="n"/>
      <c r="AW66" s="42" t="n"/>
      <c r="AX66" s="42" t="n"/>
      <c r="AY66" s="42" t="n"/>
      <c r="AZ66" s="42" t="n"/>
      <c r="BA66" s="42" t="n"/>
      <c r="BB66" s="42" t="n"/>
      <c r="BC66" s="42" t="n"/>
      <c r="BD66" s="42" t="n"/>
      <c r="BE66" s="42" t="n"/>
      <c r="BF66" s="42" t="n"/>
      <c r="BG66" s="42" t="n"/>
      <c r="BH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157">
        <f>IF(OR(Y67="",X67=""),"",IFERROR(Y67*INDEX(FXRates[USD per unit],MATCH(X67,FXRates[Currency],0)),"No rate"))</f>
        <v/>
      </c>
      <c r="AA67" s="32" t="n"/>
      <c r="AB67" s="32" t="n"/>
      <c r="AC67" s="36">
        <f>IF(A67="","",IF(COUNTIF($A$6:$A$504,A67)&gt;1,"⚠ Duplicate",""))</f>
        <v/>
      </c>
      <c r="AD67" s="35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  <c r="AQ67" s="43" t="n"/>
      <c r="AR67" s="43" t="n"/>
      <c r="AS67" s="35" t="n"/>
      <c r="AT67" s="43" t="n"/>
      <c r="AU67" s="43" t="n"/>
      <c r="AV67" s="43" t="n"/>
      <c r="AW67" s="43" t="n"/>
      <c r="AX67" s="43" t="n"/>
      <c r="AY67" s="43" t="n"/>
      <c r="AZ67" s="43" t="n"/>
      <c r="BA67" s="43" t="n"/>
      <c r="BB67" s="43" t="n"/>
      <c r="BC67" s="43" t="n"/>
      <c r="BD67" s="43" t="n"/>
      <c r="BE67" s="43" t="n"/>
      <c r="BF67" s="43" t="n"/>
      <c r="BG67" s="43" t="n"/>
      <c r="BH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158">
        <f>IF(OR(Y68="",X68=""),"",IFERROR(Y68*INDEX(FXRates[USD per unit],MATCH(X68,FXRates[Currency],0)),"No rate"))</f>
        <v/>
      </c>
      <c r="AA68" s="38" t="n"/>
      <c r="AB68" s="38" t="n"/>
      <c r="AC68" s="41">
        <f>IF(A68="","",IF(COUNTIF($A$6:$A$504,A68)&gt;1,"⚠ Duplicate",""))</f>
        <v/>
      </c>
      <c r="AD68" s="40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  <c r="AR68" s="42" t="n"/>
      <c r="AS68" s="40" t="n"/>
      <c r="AT68" s="42" t="n"/>
      <c r="AU68" s="42" t="n"/>
      <c r="AV68" s="42" t="n"/>
      <c r="AW68" s="42" t="n"/>
      <c r="AX68" s="42" t="n"/>
      <c r="AY68" s="42" t="n"/>
      <c r="AZ68" s="42" t="n"/>
      <c r="BA68" s="42" t="n"/>
      <c r="BB68" s="42" t="n"/>
      <c r="BC68" s="42" t="n"/>
      <c r="BD68" s="42" t="n"/>
      <c r="BE68" s="42" t="n"/>
      <c r="BF68" s="42" t="n"/>
      <c r="BG68" s="42" t="n"/>
      <c r="BH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157">
        <f>IF(OR(Y69="",X69=""),"",IFERROR(Y69*INDEX(FXRates[USD per unit],MATCH(X69,FXRates[Currency],0)),"No rate"))</f>
        <v/>
      </c>
      <c r="AA69" s="32" t="n"/>
      <c r="AB69" s="32" t="n"/>
      <c r="AC69" s="36">
        <f>IF(A69="","",IF(COUNTIF($A$6:$A$504,A69)&gt;1,"⚠ Duplicate",""))</f>
        <v/>
      </c>
      <c r="AD69" s="35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  <c r="AQ69" s="43" t="n"/>
      <c r="AR69" s="43" t="n"/>
      <c r="AS69" s="35" t="n"/>
      <c r="AT69" s="43" t="n"/>
      <c r="AU69" s="43" t="n"/>
      <c r="AV69" s="43" t="n"/>
      <c r="AW69" s="43" t="n"/>
      <c r="AX69" s="43" t="n"/>
      <c r="AY69" s="43" t="n"/>
      <c r="AZ69" s="43" t="n"/>
      <c r="BA69" s="43" t="n"/>
      <c r="BB69" s="43" t="n"/>
      <c r="BC69" s="43" t="n"/>
      <c r="BD69" s="43" t="n"/>
      <c r="BE69" s="43" t="n"/>
      <c r="BF69" s="43" t="n"/>
      <c r="BG69" s="43" t="n"/>
      <c r="BH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158">
        <f>IF(OR(Y70="",X70=""),"",IFERROR(Y70*INDEX(FXRates[USD per unit],MATCH(X70,FXRates[Currency],0)),"No rate"))</f>
        <v/>
      </c>
      <c r="AA70" s="38" t="n"/>
      <c r="AB70" s="38" t="n"/>
      <c r="AC70" s="41">
        <f>IF(A70="","",IF(COUNTIF($A$6:$A$504,A70)&gt;1,"⚠ Duplicate",""))</f>
        <v/>
      </c>
      <c r="AD70" s="40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  <c r="AR70" s="42" t="n"/>
      <c r="AS70" s="40" t="n"/>
      <c r="AT70" s="42" t="n"/>
      <c r="AU70" s="42" t="n"/>
      <c r="AV70" s="42" t="n"/>
      <c r="AW70" s="42" t="n"/>
      <c r="AX70" s="42" t="n"/>
      <c r="AY70" s="42" t="n"/>
      <c r="AZ70" s="42" t="n"/>
      <c r="BA70" s="42" t="n"/>
      <c r="BB70" s="42" t="n"/>
      <c r="BC70" s="42" t="n"/>
      <c r="BD70" s="42" t="n"/>
      <c r="BE70" s="42" t="n"/>
      <c r="BF70" s="42" t="n"/>
      <c r="BG70" s="42" t="n"/>
      <c r="BH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157">
        <f>IF(OR(Y71="",X71=""),"",IFERROR(Y71*INDEX(FXRates[USD per unit],MATCH(X71,FXRates[Currency],0)),"No rate"))</f>
        <v/>
      </c>
      <c r="AA71" s="32" t="n"/>
      <c r="AB71" s="32" t="n"/>
      <c r="AC71" s="36">
        <f>IF(A71="","",IF(COUNTIF($A$6:$A$504,A71)&gt;1,"⚠ Duplicate",""))</f>
        <v/>
      </c>
      <c r="AD71" s="35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  <c r="AQ71" s="43" t="n"/>
      <c r="AR71" s="43" t="n"/>
      <c r="AS71" s="35" t="n"/>
      <c r="AT71" s="43" t="n"/>
      <c r="AU71" s="43" t="n"/>
      <c r="AV71" s="43" t="n"/>
      <c r="AW71" s="43" t="n"/>
      <c r="AX71" s="43" t="n"/>
      <c r="AY71" s="43" t="n"/>
      <c r="AZ71" s="43" t="n"/>
      <c r="BA71" s="43" t="n"/>
      <c r="BB71" s="43" t="n"/>
      <c r="BC71" s="43" t="n"/>
      <c r="BD71" s="43" t="n"/>
      <c r="BE71" s="43" t="n"/>
      <c r="BF71" s="43" t="n"/>
      <c r="BG71" s="43" t="n"/>
      <c r="BH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158">
        <f>IF(OR(Y72="",X72=""),"",IFERROR(Y72*INDEX(FXRates[USD per unit],MATCH(X72,FXRates[Currency],0)),"No rate"))</f>
        <v/>
      </c>
      <c r="AA72" s="38" t="n"/>
      <c r="AB72" s="38" t="n"/>
      <c r="AC72" s="41">
        <f>IF(A72="","",IF(COUNTIF($A$6:$A$504,A72)&gt;1,"⚠ Duplicate",""))</f>
        <v/>
      </c>
      <c r="AD72" s="40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  <c r="AR72" s="42" t="n"/>
      <c r="AS72" s="40" t="n"/>
      <c r="AT72" s="42" t="n"/>
      <c r="AU72" s="42" t="n"/>
      <c r="AV72" s="42" t="n"/>
      <c r="AW72" s="42" t="n"/>
      <c r="AX72" s="42" t="n"/>
      <c r="AY72" s="42" t="n"/>
      <c r="AZ72" s="42" t="n"/>
      <c r="BA72" s="42" t="n"/>
      <c r="BB72" s="42" t="n"/>
      <c r="BC72" s="42" t="n"/>
      <c r="BD72" s="42" t="n"/>
      <c r="BE72" s="42" t="n"/>
      <c r="BF72" s="42" t="n"/>
      <c r="BG72" s="42" t="n"/>
      <c r="BH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157">
        <f>IF(OR(Y73="",X73=""),"",IFERROR(Y73*INDEX(FXRates[USD per unit],MATCH(X73,FXRates[Currency],0)),"No rate"))</f>
        <v/>
      </c>
      <c r="AA73" s="32" t="n"/>
      <c r="AB73" s="32" t="n"/>
      <c r="AC73" s="36">
        <f>IF(A73="","",IF(COUNTIF($A$6:$A$504,A73)&gt;1,"⚠ Duplicate",""))</f>
        <v/>
      </c>
      <c r="AD73" s="35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  <c r="AQ73" s="43" t="n"/>
      <c r="AR73" s="43" t="n"/>
      <c r="AS73" s="35" t="n"/>
      <c r="AT73" s="43" t="n"/>
      <c r="AU73" s="43" t="n"/>
      <c r="AV73" s="43" t="n"/>
      <c r="AW73" s="43" t="n"/>
      <c r="AX73" s="43" t="n"/>
      <c r="AY73" s="43" t="n"/>
      <c r="AZ73" s="43" t="n"/>
      <c r="BA73" s="43" t="n"/>
      <c r="BB73" s="43" t="n"/>
      <c r="BC73" s="43" t="n"/>
      <c r="BD73" s="43" t="n"/>
      <c r="BE73" s="43" t="n"/>
      <c r="BF73" s="43" t="n"/>
      <c r="BG73" s="43" t="n"/>
      <c r="BH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158">
        <f>IF(OR(Y74="",X74=""),"",IFERROR(Y74*INDEX(FXRates[USD per unit],MATCH(X74,FXRates[Currency],0)),"No rate"))</f>
        <v/>
      </c>
      <c r="AA74" s="38" t="n"/>
      <c r="AB74" s="38" t="n"/>
      <c r="AC74" s="41">
        <f>IF(A74="","",IF(COUNTIF($A$6:$A$504,A74)&gt;1,"⚠ Duplicate",""))</f>
        <v/>
      </c>
      <c r="AD74" s="40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  <c r="AR74" s="42" t="n"/>
      <c r="AS74" s="40" t="n"/>
      <c r="AT74" s="42" t="n"/>
      <c r="AU74" s="42" t="n"/>
      <c r="AV74" s="42" t="n"/>
      <c r="AW74" s="42" t="n"/>
      <c r="AX74" s="42" t="n"/>
      <c r="AY74" s="42" t="n"/>
      <c r="AZ74" s="42" t="n"/>
      <c r="BA74" s="42" t="n"/>
      <c r="BB74" s="42" t="n"/>
      <c r="BC74" s="42" t="n"/>
      <c r="BD74" s="42" t="n"/>
      <c r="BE74" s="42" t="n"/>
      <c r="BF74" s="42" t="n"/>
      <c r="BG74" s="42" t="n"/>
      <c r="BH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157">
        <f>IF(OR(Y75="",X75=""),"",IFERROR(Y75*INDEX(FXRates[USD per unit],MATCH(X75,FXRates[Currency],0)),"No rate"))</f>
        <v/>
      </c>
      <c r="AA75" s="32" t="n"/>
      <c r="AB75" s="32" t="n"/>
      <c r="AC75" s="36">
        <f>IF(A75="","",IF(COUNTIF($A$6:$A$504,A75)&gt;1,"⚠ Duplicate",""))</f>
        <v/>
      </c>
      <c r="AD75" s="35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  <c r="AQ75" s="43" t="n"/>
      <c r="AR75" s="43" t="n"/>
      <c r="AS75" s="35" t="n"/>
      <c r="AT75" s="43" t="n"/>
      <c r="AU75" s="43" t="n"/>
      <c r="AV75" s="43" t="n"/>
      <c r="AW75" s="43" t="n"/>
      <c r="AX75" s="43" t="n"/>
      <c r="AY75" s="43" t="n"/>
      <c r="AZ75" s="43" t="n"/>
      <c r="BA75" s="43" t="n"/>
      <c r="BB75" s="43" t="n"/>
      <c r="BC75" s="43" t="n"/>
      <c r="BD75" s="43" t="n"/>
      <c r="BE75" s="43" t="n"/>
      <c r="BF75" s="43" t="n"/>
      <c r="BG75" s="43" t="n"/>
      <c r="BH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158">
        <f>IF(OR(Y76="",X76=""),"",IFERROR(Y76*INDEX(FXRates[USD per unit],MATCH(X76,FXRates[Currency],0)),"No rate"))</f>
        <v/>
      </c>
      <c r="AA76" s="38" t="n"/>
      <c r="AB76" s="38" t="n"/>
      <c r="AC76" s="41">
        <f>IF(A76="","",IF(COUNTIF($A$6:$A$504,A76)&gt;1,"⚠ Duplicate",""))</f>
        <v/>
      </c>
      <c r="AD76" s="40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  <c r="AR76" s="42" t="n"/>
      <c r="AS76" s="40" t="n"/>
      <c r="AT76" s="42" t="n"/>
      <c r="AU76" s="42" t="n"/>
      <c r="AV76" s="42" t="n"/>
      <c r="AW76" s="42" t="n"/>
      <c r="AX76" s="42" t="n"/>
      <c r="AY76" s="42" t="n"/>
      <c r="AZ76" s="42" t="n"/>
      <c r="BA76" s="42" t="n"/>
      <c r="BB76" s="42" t="n"/>
      <c r="BC76" s="42" t="n"/>
      <c r="BD76" s="42" t="n"/>
      <c r="BE76" s="42" t="n"/>
      <c r="BF76" s="42" t="n"/>
      <c r="BG76" s="42" t="n"/>
      <c r="BH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157">
        <f>IF(OR(Y77="",X77=""),"",IFERROR(Y77*INDEX(FXRates[USD per unit],MATCH(X77,FXRates[Currency],0)),"No rate"))</f>
        <v/>
      </c>
      <c r="AA77" s="32" t="n"/>
      <c r="AB77" s="32" t="n"/>
      <c r="AC77" s="36">
        <f>IF(A77="","",IF(COUNTIF($A$6:$A$504,A77)&gt;1,"⚠ Duplicate",""))</f>
        <v/>
      </c>
      <c r="AD77" s="35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  <c r="AQ77" s="43" t="n"/>
      <c r="AR77" s="43" t="n"/>
      <c r="AS77" s="35" t="n"/>
      <c r="AT77" s="43" t="n"/>
      <c r="AU77" s="43" t="n"/>
      <c r="AV77" s="43" t="n"/>
      <c r="AW77" s="43" t="n"/>
      <c r="AX77" s="43" t="n"/>
      <c r="AY77" s="43" t="n"/>
      <c r="AZ77" s="43" t="n"/>
      <c r="BA77" s="43" t="n"/>
      <c r="BB77" s="43" t="n"/>
      <c r="BC77" s="43" t="n"/>
      <c r="BD77" s="43" t="n"/>
      <c r="BE77" s="43" t="n"/>
      <c r="BF77" s="43" t="n"/>
      <c r="BG77" s="43" t="n"/>
      <c r="BH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158">
        <f>IF(OR(Y78="",X78=""),"",IFERROR(Y78*INDEX(FXRates[USD per unit],MATCH(X78,FXRates[Currency],0)),"No rate"))</f>
        <v/>
      </c>
      <c r="AA78" s="38" t="n"/>
      <c r="AB78" s="38" t="n"/>
      <c r="AC78" s="41">
        <f>IF(A78="","",IF(COUNTIF($A$6:$A$504,A78)&gt;1,"⚠ Duplicate",""))</f>
        <v/>
      </c>
      <c r="AD78" s="40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  <c r="AR78" s="42" t="n"/>
      <c r="AS78" s="40" t="n"/>
      <c r="AT78" s="42" t="n"/>
      <c r="AU78" s="42" t="n"/>
      <c r="AV78" s="42" t="n"/>
      <c r="AW78" s="42" t="n"/>
      <c r="AX78" s="42" t="n"/>
      <c r="AY78" s="42" t="n"/>
      <c r="AZ78" s="42" t="n"/>
      <c r="BA78" s="42" t="n"/>
      <c r="BB78" s="42" t="n"/>
      <c r="BC78" s="42" t="n"/>
      <c r="BD78" s="42" t="n"/>
      <c r="BE78" s="42" t="n"/>
      <c r="BF78" s="42" t="n"/>
      <c r="BG78" s="42" t="n"/>
      <c r="BH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157">
        <f>IF(OR(Y79="",X79=""),"",IFERROR(Y79*INDEX(FXRates[USD per unit],MATCH(X79,FXRates[Currency],0)),"No rate"))</f>
        <v/>
      </c>
      <c r="AA79" s="32" t="n"/>
      <c r="AB79" s="32" t="n"/>
      <c r="AC79" s="36">
        <f>IF(A79="","",IF(COUNTIF($A$6:$A$504,A79)&gt;1,"⚠ Duplicate",""))</f>
        <v/>
      </c>
      <c r="AD79" s="35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  <c r="AQ79" s="43" t="n"/>
      <c r="AR79" s="43" t="n"/>
      <c r="AS79" s="35" t="n"/>
      <c r="AT79" s="43" t="n"/>
      <c r="AU79" s="43" t="n"/>
      <c r="AV79" s="43" t="n"/>
      <c r="AW79" s="43" t="n"/>
      <c r="AX79" s="43" t="n"/>
      <c r="AY79" s="43" t="n"/>
      <c r="AZ79" s="43" t="n"/>
      <c r="BA79" s="43" t="n"/>
      <c r="BB79" s="43" t="n"/>
      <c r="BC79" s="43" t="n"/>
      <c r="BD79" s="43" t="n"/>
      <c r="BE79" s="43" t="n"/>
      <c r="BF79" s="43" t="n"/>
      <c r="BG79" s="43" t="n"/>
      <c r="BH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158">
        <f>IF(OR(Y80="",X80=""),"",IFERROR(Y80*INDEX(FXRates[USD per unit],MATCH(X80,FXRates[Currency],0)),"No rate"))</f>
        <v/>
      </c>
      <c r="AA80" s="38" t="n"/>
      <c r="AB80" s="38" t="n"/>
      <c r="AC80" s="41">
        <f>IF(A80="","",IF(COUNTIF($A$6:$A$504,A80)&gt;1,"⚠ Duplicate",""))</f>
        <v/>
      </c>
      <c r="AD80" s="40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  <c r="AR80" s="42" t="n"/>
      <c r="AS80" s="40" t="n"/>
      <c r="AT80" s="42" t="n"/>
      <c r="AU80" s="42" t="n"/>
      <c r="AV80" s="42" t="n"/>
      <c r="AW80" s="42" t="n"/>
      <c r="AX80" s="42" t="n"/>
      <c r="AY80" s="42" t="n"/>
      <c r="AZ80" s="42" t="n"/>
      <c r="BA80" s="42" t="n"/>
      <c r="BB80" s="42" t="n"/>
      <c r="BC80" s="42" t="n"/>
      <c r="BD80" s="42" t="n"/>
      <c r="BE80" s="42" t="n"/>
      <c r="BF80" s="42" t="n"/>
      <c r="BG80" s="42" t="n"/>
      <c r="BH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157">
        <f>IF(OR(Y81="",X81=""),"",IFERROR(Y81*INDEX(FXRates[USD per unit],MATCH(X81,FXRates[Currency],0)),"No rate"))</f>
        <v/>
      </c>
      <c r="AA81" s="32" t="n"/>
      <c r="AB81" s="32" t="n"/>
      <c r="AC81" s="36">
        <f>IF(A81="","",IF(COUNTIF($A$6:$A$504,A81)&gt;1,"⚠ Duplicate",""))</f>
        <v/>
      </c>
      <c r="AD81" s="35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  <c r="AQ81" s="43" t="n"/>
      <c r="AR81" s="43" t="n"/>
      <c r="AS81" s="35" t="n"/>
      <c r="AT81" s="43" t="n"/>
      <c r="AU81" s="43" t="n"/>
      <c r="AV81" s="43" t="n"/>
      <c r="AW81" s="43" t="n"/>
      <c r="AX81" s="43" t="n"/>
      <c r="AY81" s="43" t="n"/>
      <c r="AZ81" s="43" t="n"/>
      <c r="BA81" s="43" t="n"/>
      <c r="BB81" s="43" t="n"/>
      <c r="BC81" s="43" t="n"/>
      <c r="BD81" s="43" t="n"/>
      <c r="BE81" s="43" t="n"/>
      <c r="BF81" s="43" t="n"/>
      <c r="BG81" s="43" t="n"/>
      <c r="BH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158">
        <f>IF(OR(Y82="",X82=""),"",IFERROR(Y82*INDEX(FXRates[USD per unit],MATCH(X82,FXRates[Currency],0)),"No rate"))</f>
        <v/>
      </c>
      <c r="AA82" s="38" t="n"/>
      <c r="AB82" s="38" t="n"/>
      <c r="AC82" s="41">
        <f>IF(A82="","",IF(COUNTIF($A$6:$A$504,A82)&gt;1,"⚠ Duplicate",""))</f>
        <v/>
      </c>
      <c r="AD82" s="40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  <c r="AR82" s="42" t="n"/>
      <c r="AS82" s="40" t="n"/>
      <c r="AT82" s="42" t="n"/>
      <c r="AU82" s="42" t="n"/>
      <c r="AV82" s="42" t="n"/>
      <c r="AW82" s="42" t="n"/>
      <c r="AX82" s="42" t="n"/>
      <c r="AY82" s="42" t="n"/>
      <c r="AZ82" s="42" t="n"/>
      <c r="BA82" s="42" t="n"/>
      <c r="BB82" s="42" t="n"/>
      <c r="BC82" s="42" t="n"/>
      <c r="BD82" s="42" t="n"/>
      <c r="BE82" s="42" t="n"/>
      <c r="BF82" s="42" t="n"/>
      <c r="BG82" s="42" t="n"/>
      <c r="BH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157">
        <f>IF(OR(Y83="",X83=""),"",IFERROR(Y83*INDEX(FXRates[USD per unit],MATCH(X83,FXRates[Currency],0)),"No rate"))</f>
        <v/>
      </c>
      <c r="AA83" s="32" t="n"/>
      <c r="AB83" s="32" t="n"/>
      <c r="AC83" s="36">
        <f>IF(A83="","",IF(COUNTIF($A$6:$A$504,A83)&gt;1,"⚠ Duplicate",""))</f>
        <v/>
      </c>
      <c r="AD83" s="35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  <c r="AQ83" s="43" t="n"/>
      <c r="AR83" s="43" t="n"/>
      <c r="AS83" s="35" t="n"/>
      <c r="AT83" s="43" t="n"/>
      <c r="AU83" s="43" t="n"/>
      <c r="AV83" s="43" t="n"/>
      <c r="AW83" s="43" t="n"/>
      <c r="AX83" s="43" t="n"/>
      <c r="AY83" s="43" t="n"/>
      <c r="AZ83" s="43" t="n"/>
      <c r="BA83" s="43" t="n"/>
      <c r="BB83" s="43" t="n"/>
      <c r="BC83" s="43" t="n"/>
      <c r="BD83" s="43" t="n"/>
      <c r="BE83" s="43" t="n"/>
      <c r="BF83" s="43" t="n"/>
      <c r="BG83" s="43" t="n"/>
      <c r="BH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158">
        <f>IF(OR(Y84="",X84=""),"",IFERROR(Y84*INDEX(FXRates[USD per unit],MATCH(X84,FXRates[Currency],0)),"No rate"))</f>
        <v/>
      </c>
      <c r="AA84" s="38" t="n"/>
      <c r="AB84" s="38" t="n"/>
      <c r="AC84" s="41">
        <f>IF(A84="","",IF(COUNTIF($A$6:$A$504,A84)&gt;1,"⚠ Duplicate",""))</f>
        <v/>
      </c>
      <c r="AD84" s="40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  <c r="AR84" s="42" t="n"/>
      <c r="AS84" s="40" t="n"/>
      <c r="AT84" s="42" t="n"/>
      <c r="AU84" s="42" t="n"/>
      <c r="AV84" s="42" t="n"/>
      <c r="AW84" s="42" t="n"/>
      <c r="AX84" s="42" t="n"/>
      <c r="AY84" s="42" t="n"/>
      <c r="AZ84" s="42" t="n"/>
      <c r="BA84" s="42" t="n"/>
      <c r="BB84" s="42" t="n"/>
      <c r="BC84" s="42" t="n"/>
      <c r="BD84" s="42" t="n"/>
      <c r="BE84" s="42" t="n"/>
      <c r="BF84" s="42" t="n"/>
      <c r="BG84" s="42" t="n"/>
      <c r="BH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157">
        <f>IF(OR(Y85="",X85=""),"",IFERROR(Y85*INDEX(FXRates[USD per unit],MATCH(X85,FXRates[Currency],0)),"No rate"))</f>
        <v/>
      </c>
      <c r="AA85" s="32" t="n"/>
      <c r="AB85" s="32" t="n"/>
      <c r="AC85" s="36">
        <f>IF(A85="","",IF(COUNTIF($A$6:$A$504,A85)&gt;1,"⚠ Duplicate",""))</f>
        <v/>
      </c>
      <c r="AD85" s="35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  <c r="AQ85" s="43" t="n"/>
      <c r="AR85" s="43" t="n"/>
      <c r="AS85" s="35" t="n"/>
      <c r="AT85" s="43" t="n"/>
      <c r="AU85" s="43" t="n"/>
      <c r="AV85" s="43" t="n"/>
      <c r="AW85" s="43" t="n"/>
      <c r="AX85" s="43" t="n"/>
      <c r="AY85" s="43" t="n"/>
      <c r="AZ85" s="43" t="n"/>
      <c r="BA85" s="43" t="n"/>
      <c r="BB85" s="43" t="n"/>
      <c r="BC85" s="43" t="n"/>
      <c r="BD85" s="43" t="n"/>
      <c r="BE85" s="43" t="n"/>
      <c r="BF85" s="43" t="n"/>
      <c r="BG85" s="43" t="n"/>
      <c r="BH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158">
        <f>IF(OR(Y86="",X86=""),"",IFERROR(Y86*INDEX(FXRates[USD per unit],MATCH(X86,FXRates[Currency],0)),"No rate"))</f>
        <v/>
      </c>
      <c r="AA86" s="38" t="n"/>
      <c r="AB86" s="38" t="n"/>
      <c r="AC86" s="41">
        <f>IF(A86="","",IF(COUNTIF($A$6:$A$504,A86)&gt;1,"⚠ Duplicate",""))</f>
        <v/>
      </c>
      <c r="AD86" s="40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  <c r="AR86" s="42" t="n"/>
      <c r="AS86" s="40" t="n"/>
      <c r="AT86" s="42" t="n"/>
      <c r="AU86" s="42" t="n"/>
      <c r="AV86" s="42" t="n"/>
      <c r="AW86" s="42" t="n"/>
      <c r="AX86" s="42" t="n"/>
      <c r="AY86" s="42" t="n"/>
      <c r="AZ86" s="42" t="n"/>
      <c r="BA86" s="42" t="n"/>
      <c r="BB86" s="42" t="n"/>
      <c r="BC86" s="42" t="n"/>
      <c r="BD86" s="42" t="n"/>
      <c r="BE86" s="42" t="n"/>
      <c r="BF86" s="42" t="n"/>
      <c r="BG86" s="42" t="n"/>
      <c r="BH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157">
        <f>IF(OR(Y87="",X87=""),"",IFERROR(Y87*INDEX(FXRates[USD per unit],MATCH(X87,FXRates[Currency],0)),"No rate"))</f>
        <v/>
      </c>
      <c r="AA87" s="32" t="n"/>
      <c r="AB87" s="32" t="n"/>
      <c r="AC87" s="36">
        <f>IF(A87="","",IF(COUNTIF($A$6:$A$504,A87)&gt;1,"⚠ Duplicate",""))</f>
        <v/>
      </c>
      <c r="AD87" s="35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  <c r="AQ87" s="43" t="n"/>
      <c r="AR87" s="43" t="n"/>
      <c r="AS87" s="35" t="n"/>
      <c r="AT87" s="43" t="n"/>
      <c r="AU87" s="43" t="n"/>
      <c r="AV87" s="43" t="n"/>
      <c r="AW87" s="43" t="n"/>
      <c r="AX87" s="43" t="n"/>
      <c r="AY87" s="43" t="n"/>
      <c r="AZ87" s="43" t="n"/>
      <c r="BA87" s="43" t="n"/>
      <c r="BB87" s="43" t="n"/>
      <c r="BC87" s="43" t="n"/>
      <c r="BD87" s="43" t="n"/>
      <c r="BE87" s="43" t="n"/>
      <c r="BF87" s="43" t="n"/>
      <c r="BG87" s="43" t="n"/>
      <c r="BH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158">
        <f>IF(OR(Y88="",X88=""),"",IFERROR(Y88*INDEX(FXRates[USD per unit],MATCH(X88,FXRates[Currency],0)),"No rate"))</f>
        <v/>
      </c>
      <c r="AA88" s="38" t="n"/>
      <c r="AB88" s="38" t="n"/>
      <c r="AC88" s="41">
        <f>IF(A88="","",IF(COUNTIF($A$6:$A$504,A88)&gt;1,"⚠ Duplicate",""))</f>
        <v/>
      </c>
      <c r="AD88" s="40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  <c r="AR88" s="42" t="n"/>
      <c r="AS88" s="40" t="n"/>
      <c r="AT88" s="42" t="n"/>
      <c r="AU88" s="42" t="n"/>
      <c r="AV88" s="42" t="n"/>
      <c r="AW88" s="42" t="n"/>
      <c r="AX88" s="42" t="n"/>
      <c r="AY88" s="42" t="n"/>
      <c r="AZ88" s="42" t="n"/>
      <c r="BA88" s="42" t="n"/>
      <c r="BB88" s="42" t="n"/>
      <c r="BC88" s="42" t="n"/>
      <c r="BD88" s="42" t="n"/>
      <c r="BE88" s="42" t="n"/>
      <c r="BF88" s="42" t="n"/>
      <c r="BG88" s="42" t="n"/>
      <c r="BH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157">
        <f>IF(OR(Y89="",X89=""),"",IFERROR(Y89*INDEX(FXRates[USD per unit],MATCH(X89,FXRates[Currency],0)),"No rate"))</f>
        <v/>
      </c>
      <c r="AA89" s="32" t="n"/>
      <c r="AB89" s="32" t="n"/>
      <c r="AC89" s="36">
        <f>IF(A89="","",IF(COUNTIF($A$6:$A$504,A89)&gt;1,"⚠ Duplicate",""))</f>
        <v/>
      </c>
      <c r="AD89" s="35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  <c r="AQ89" s="43" t="n"/>
      <c r="AR89" s="43" t="n"/>
      <c r="AS89" s="35" t="n"/>
      <c r="AT89" s="43" t="n"/>
      <c r="AU89" s="43" t="n"/>
      <c r="AV89" s="43" t="n"/>
      <c r="AW89" s="43" t="n"/>
      <c r="AX89" s="43" t="n"/>
      <c r="AY89" s="43" t="n"/>
      <c r="AZ89" s="43" t="n"/>
      <c r="BA89" s="43" t="n"/>
      <c r="BB89" s="43" t="n"/>
      <c r="BC89" s="43" t="n"/>
      <c r="BD89" s="43" t="n"/>
      <c r="BE89" s="43" t="n"/>
      <c r="BF89" s="43" t="n"/>
      <c r="BG89" s="43" t="n"/>
      <c r="BH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158">
        <f>IF(OR(Y90="",X90=""),"",IFERROR(Y90*INDEX(FXRates[USD per unit],MATCH(X90,FXRates[Currency],0)),"No rate"))</f>
        <v/>
      </c>
      <c r="AA90" s="38" t="n"/>
      <c r="AB90" s="38" t="n"/>
      <c r="AC90" s="41">
        <f>IF(A90="","",IF(COUNTIF($A$6:$A$504,A90)&gt;1,"⚠ Duplicate",""))</f>
        <v/>
      </c>
      <c r="AD90" s="40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  <c r="AR90" s="42" t="n"/>
      <c r="AS90" s="40" t="n"/>
      <c r="AT90" s="42" t="n"/>
      <c r="AU90" s="42" t="n"/>
      <c r="AV90" s="42" t="n"/>
      <c r="AW90" s="42" t="n"/>
      <c r="AX90" s="42" t="n"/>
      <c r="AY90" s="42" t="n"/>
      <c r="AZ90" s="42" t="n"/>
      <c r="BA90" s="42" t="n"/>
      <c r="BB90" s="42" t="n"/>
      <c r="BC90" s="42" t="n"/>
      <c r="BD90" s="42" t="n"/>
      <c r="BE90" s="42" t="n"/>
      <c r="BF90" s="42" t="n"/>
      <c r="BG90" s="42" t="n"/>
      <c r="BH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157">
        <f>IF(OR(Y91="",X91=""),"",IFERROR(Y91*INDEX(FXRates[USD per unit],MATCH(X91,FXRates[Currency],0)),"No rate"))</f>
        <v/>
      </c>
      <c r="AA91" s="32" t="n"/>
      <c r="AB91" s="32" t="n"/>
      <c r="AC91" s="36">
        <f>IF(A91="","",IF(COUNTIF($A$6:$A$504,A91)&gt;1,"⚠ Duplicate",""))</f>
        <v/>
      </c>
      <c r="AD91" s="35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  <c r="AQ91" s="43" t="n"/>
      <c r="AR91" s="43" t="n"/>
      <c r="AS91" s="35" t="n"/>
      <c r="AT91" s="43" t="n"/>
      <c r="AU91" s="43" t="n"/>
      <c r="AV91" s="43" t="n"/>
      <c r="AW91" s="43" t="n"/>
      <c r="AX91" s="43" t="n"/>
      <c r="AY91" s="43" t="n"/>
      <c r="AZ91" s="43" t="n"/>
      <c r="BA91" s="43" t="n"/>
      <c r="BB91" s="43" t="n"/>
      <c r="BC91" s="43" t="n"/>
      <c r="BD91" s="43" t="n"/>
      <c r="BE91" s="43" t="n"/>
      <c r="BF91" s="43" t="n"/>
      <c r="BG91" s="43" t="n"/>
      <c r="BH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158">
        <f>IF(OR(Y92="",X92=""),"",IFERROR(Y92*INDEX(FXRates[USD per unit],MATCH(X92,FXRates[Currency],0)),"No rate"))</f>
        <v/>
      </c>
      <c r="AA92" s="38" t="n"/>
      <c r="AB92" s="38" t="n"/>
      <c r="AC92" s="41">
        <f>IF(A92="","",IF(COUNTIF($A$6:$A$504,A92)&gt;1,"⚠ Duplicate",""))</f>
        <v/>
      </c>
      <c r="AD92" s="40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  <c r="AR92" s="42" t="n"/>
      <c r="AS92" s="40" t="n"/>
      <c r="AT92" s="42" t="n"/>
      <c r="AU92" s="42" t="n"/>
      <c r="AV92" s="42" t="n"/>
      <c r="AW92" s="42" t="n"/>
      <c r="AX92" s="42" t="n"/>
      <c r="AY92" s="42" t="n"/>
      <c r="AZ92" s="42" t="n"/>
      <c r="BA92" s="42" t="n"/>
      <c r="BB92" s="42" t="n"/>
      <c r="BC92" s="42" t="n"/>
      <c r="BD92" s="42" t="n"/>
      <c r="BE92" s="42" t="n"/>
      <c r="BF92" s="42" t="n"/>
      <c r="BG92" s="42" t="n"/>
      <c r="BH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157">
        <f>IF(OR(Y93="",X93=""),"",IFERROR(Y93*INDEX(FXRates[USD per unit],MATCH(X93,FXRates[Currency],0)),"No rate"))</f>
        <v/>
      </c>
      <c r="AA93" s="32" t="n"/>
      <c r="AB93" s="32" t="n"/>
      <c r="AC93" s="36">
        <f>IF(A93="","",IF(COUNTIF($A$6:$A$504,A93)&gt;1,"⚠ Duplicate",""))</f>
        <v/>
      </c>
      <c r="AD93" s="35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  <c r="AQ93" s="43" t="n"/>
      <c r="AR93" s="43" t="n"/>
      <c r="AS93" s="35" t="n"/>
      <c r="AT93" s="43" t="n"/>
      <c r="AU93" s="43" t="n"/>
      <c r="AV93" s="43" t="n"/>
      <c r="AW93" s="43" t="n"/>
      <c r="AX93" s="43" t="n"/>
      <c r="AY93" s="43" t="n"/>
      <c r="AZ93" s="43" t="n"/>
      <c r="BA93" s="43" t="n"/>
      <c r="BB93" s="43" t="n"/>
      <c r="BC93" s="43" t="n"/>
      <c r="BD93" s="43" t="n"/>
      <c r="BE93" s="43" t="n"/>
      <c r="BF93" s="43" t="n"/>
      <c r="BG93" s="43" t="n"/>
      <c r="BH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158">
        <f>IF(OR(Y94="",X94=""),"",IFERROR(Y94*INDEX(FXRates[USD per unit],MATCH(X94,FXRates[Currency],0)),"No rate"))</f>
        <v/>
      </c>
      <c r="AA94" s="38" t="n"/>
      <c r="AB94" s="38" t="n"/>
      <c r="AC94" s="41">
        <f>IF(A94="","",IF(COUNTIF($A$6:$A$504,A94)&gt;1,"⚠ Duplicate",""))</f>
        <v/>
      </c>
      <c r="AD94" s="40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  <c r="AR94" s="42" t="n"/>
      <c r="AS94" s="40" t="n"/>
      <c r="AT94" s="42" t="n"/>
      <c r="AU94" s="42" t="n"/>
      <c r="AV94" s="42" t="n"/>
      <c r="AW94" s="42" t="n"/>
      <c r="AX94" s="42" t="n"/>
      <c r="AY94" s="42" t="n"/>
      <c r="AZ94" s="42" t="n"/>
      <c r="BA94" s="42" t="n"/>
      <c r="BB94" s="42" t="n"/>
      <c r="BC94" s="42" t="n"/>
      <c r="BD94" s="42" t="n"/>
      <c r="BE94" s="42" t="n"/>
      <c r="BF94" s="42" t="n"/>
      <c r="BG94" s="42" t="n"/>
      <c r="BH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157">
        <f>IF(OR(Y95="",X95=""),"",IFERROR(Y95*INDEX(FXRates[USD per unit],MATCH(X95,FXRates[Currency],0)),"No rate"))</f>
        <v/>
      </c>
      <c r="AA95" s="32" t="n"/>
      <c r="AB95" s="32" t="n"/>
      <c r="AC95" s="36">
        <f>IF(A95="","",IF(COUNTIF($A$6:$A$504,A95)&gt;1,"⚠ Duplicate",""))</f>
        <v/>
      </c>
      <c r="AD95" s="35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  <c r="AQ95" s="43" t="n"/>
      <c r="AR95" s="43" t="n"/>
      <c r="AS95" s="35" t="n"/>
      <c r="AT95" s="43" t="n"/>
      <c r="AU95" s="43" t="n"/>
      <c r="AV95" s="43" t="n"/>
      <c r="AW95" s="43" t="n"/>
      <c r="AX95" s="43" t="n"/>
      <c r="AY95" s="43" t="n"/>
      <c r="AZ95" s="43" t="n"/>
      <c r="BA95" s="43" t="n"/>
      <c r="BB95" s="43" t="n"/>
      <c r="BC95" s="43" t="n"/>
      <c r="BD95" s="43" t="n"/>
      <c r="BE95" s="43" t="n"/>
      <c r="BF95" s="43" t="n"/>
      <c r="BG95" s="43" t="n"/>
      <c r="BH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158">
        <f>IF(OR(Y96="",X96=""),"",IFERROR(Y96*INDEX(FXRates[USD per unit],MATCH(X96,FXRates[Currency],0)),"No rate"))</f>
        <v/>
      </c>
      <c r="AA96" s="38" t="n"/>
      <c r="AB96" s="38" t="n"/>
      <c r="AC96" s="41">
        <f>IF(A96="","",IF(COUNTIF($A$6:$A$504,A96)&gt;1,"⚠ Duplicate",""))</f>
        <v/>
      </c>
      <c r="AD96" s="40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  <c r="AR96" s="42" t="n"/>
      <c r="AS96" s="40" t="n"/>
      <c r="AT96" s="42" t="n"/>
      <c r="AU96" s="42" t="n"/>
      <c r="AV96" s="42" t="n"/>
      <c r="AW96" s="42" t="n"/>
      <c r="AX96" s="42" t="n"/>
      <c r="AY96" s="42" t="n"/>
      <c r="AZ96" s="42" t="n"/>
      <c r="BA96" s="42" t="n"/>
      <c r="BB96" s="42" t="n"/>
      <c r="BC96" s="42" t="n"/>
      <c r="BD96" s="42" t="n"/>
      <c r="BE96" s="42" t="n"/>
      <c r="BF96" s="42" t="n"/>
      <c r="BG96" s="42" t="n"/>
      <c r="BH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157">
        <f>IF(OR(Y97="",X97=""),"",IFERROR(Y97*INDEX(FXRates[USD per unit],MATCH(X97,FXRates[Currency],0)),"No rate"))</f>
        <v/>
      </c>
      <c r="AA97" s="32" t="n"/>
      <c r="AB97" s="32" t="n"/>
      <c r="AC97" s="36">
        <f>IF(A97="","",IF(COUNTIF($A$6:$A$504,A97)&gt;1,"⚠ Duplicate",""))</f>
        <v/>
      </c>
      <c r="AD97" s="35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  <c r="AR97" s="43" t="n"/>
      <c r="AS97" s="35" t="n"/>
      <c r="AT97" s="43" t="n"/>
      <c r="AU97" s="43" t="n"/>
      <c r="AV97" s="43" t="n"/>
      <c r="AW97" s="43" t="n"/>
      <c r="AX97" s="43" t="n"/>
      <c r="AY97" s="43" t="n"/>
      <c r="AZ97" s="43" t="n"/>
      <c r="BA97" s="43" t="n"/>
      <c r="BB97" s="43" t="n"/>
      <c r="BC97" s="43" t="n"/>
      <c r="BD97" s="43" t="n"/>
      <c r="BE97" s="43" t="n"/>
      <c r="BF97" s="43" t="n"/>
      <c r="BG97" s="43" t="n"/>
      <c r="BH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158">
        <f>IF(OR(Y98="",X98=""),"",IFERROR(Y98*INDEX(FXRates[USD per unit],MATCH(X98,FXRates[Currency],0)),"No rate"))</f>
        <v/>
      </c>
      <c r="AA98" s="38" t="n"/>
      <c r="AB98" s="38" t="n"/>
      <c r="AC98" s="41">
        <f>IF(A98="","",IF(COUNTIF($A$6:$A$504,A98)&gt;1,"⚠ Duplicate",""))</f>
        <v/>
      </c>
      <c r="AD98" s="40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  <c r="AR98" s="42" t="n"/>
      <c r="AS98" s="40" t="n"/>
      <c r="AT98" s="42" t="n"/>
      <c r="AU98" s="42" t="n"/>
      <c r="AV98" s="42" t="n"/>
      <c r="AW98" s="42" t="n"/>
      <c r="AX98" s="42" t="n"/>
      <c r="AY98" s="42" t="n"/>
      <c r="AZ98" s="42" t="n"/>
      <c r="BA98" s="42" t="n"/>
      <c r="BB98" s="42" t="n"/>
      <c r="BC98" s="42" t="n"/>
      <c r="BD98" s="42" t="n"/>
      <c r="BE98" s="42" t="n"/>
      <c r="BF98" s="42" t="n"/>
      <c r="BG98" s="42" t="n"/>
      <c r="BH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157">
        <f>IF(OR(Y99="",X99=""),"",IFERROR(Y99*INDEX(FXRates[USD per unit],MATCH(X99,FXRates[Currency],0)),"No rate"))</f>
        <v/>
      </c>
      <c r="AA99" s="32" t="n"/>
      <c r="AB99" s="32" t="n"/>
      <c r="AC99" s="36">
        <f>IF(A99="","",IF(COUNTIF($A$6:$A$504,A99)&gt;1,"⚠ Duplicate",""))</f>
        <v/>
      </c>
      <c r="AD99" s="35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  <c r="AQ99" s="43" t="n"/>
      <c r="AR99" s="43" t="n"/>
      <c r="AS99" s="35" t="n"/>
      <c r="AT99" s="43" t="n"/>
      <c r="AU99" s="43" t="n"/>
      <c r="AV99" s="43" t="n"/>
      <c r="AW99" s="43" t="n"/>
      <c r="AX99" s="43" t="n"/>
      <c r="AY99" s="43" t="n"/>
      <c r="AZ99" s="43" t="n"/>
      <c r="BA99" s="43" t="n"/>
      <c r="BB99" s="43" t="n"/>
      <c r="BC99" s="43" t="n"/>
      <c r="BD99" s="43" t="n"/>
      <c r="BE99" s="43" t="n"/>
      <c r="BF99" s="43" t="n"/>
      <c r="BG99" s="43" t="n"/>
      <c r="BH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158">
        <f>IF(OR(Y100="",X100=""),"",IFERROR(Y100*INDEX(FXRates[USD per unit],MATCH(X100,FXRates[Currency],0)),"No rate"))</f>
        <v/>
      </c>
      <c r="AA100" s="38" t="n"/>
      <c r="AB100" s="38" t="n"/>
      <c r="AC100" s="41">
        <f>IF(A100="","",IF(COUNTIF($A$6:$A$504,A100)&gt;1,"⚠ Duplicate",""))</f>
        <v/>
      </c>
      <c r="AD100" s="40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  <c r="AR100" s="42" t="n"/>
      <c r="AS100" s="40" t="n"/>
      <c r="AT100" s="42" t="n"/>
      <c r="AU100" s="42" t="n"/>
      <c r="AV100" s="42" t="n"/>
      <c r="AW100" s="42" t="n"/>
      <c r="AX100" s="42" t="n"/>
      <c r="AY100" s="42" t="n"/>
      <c r="AZ100" s="42" t="n"/>
      <c r="BA100" s="42" t="n"/>
      <c r="BB100" s="42" t="n"/>
      <c r="BC100" s="42" t="n"/>
      <c r="BD100" s="42" t="n"/>
      <c r="BE100" s="42" t="n"/>
      <c r="BF100" s="42" t="n"/>
      <c r="BG100" s="42" t="n"/>
      <c r="BH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157">
        <f>IF(OR(Y101="",X101=""),"",IFERROR(Y101*INDEX(FXRates[USD per unit],MATCH(X101,FXRates[Currency],0)),"No rate"))</f>
        <v/>
      </c>
      <c r="AA101" s="32" t="n"/>
      <c r="AB101" s="32" t="n"/>
      <c r="AC101" s="36">
        <f>IF(A101="","",IF(COUNTIF($A$6:$A$504,A101)&gt;1,"⚠ Duplicate",""))</f>
        <v/>
      </c>
      <c r="AD101" s="35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  <c r="AQ101" s="43" t="n"/>
      <c r="AR101" s="43" t="n"/>
      <c r="AS101" s="35" t="n"/>
      <c r="AT101" s="43" t="n"/>
      <c r="AU101" s="43" t="n"/>
      <c r="AV101" s="43" t="n"/>
      <c r="AW101" s="43" t="n"/>
      <c r="AX101" s="43" t="n"/>
      <c r="AY101" s="43" t="n"/>
      <c r="AZ101" s="43" t="n"/>
      <c r="BA101" s="43" t="n"/>
      <c r="BB101" s="43" t="n"/>
      <c r="BC101" s="43" t="n"/>
      <c r="BD101" s="43" t="n"/>
      <c r="BE101" s="43" t="n"/>
      <c r="BF101" s="43" t="n"/>
      <c r="BG101" s="43" t="n"/>
      <c r="BH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158">
        <f>IF(OR(Y102="",X102=""),"",IFERROR(Y102*INDEX(FXRates[USD per unit],MATCH(X102,FXRates[Currency],0)),"No rate"))</f>
        <v/>
      </c>
      <c r="AA102" s="38" t="n"/>
      <c r="AB102" s="38" t="n"/>
      <c r="AC102" s="41">
        <f>IF(A102="","",IF(COUNTIF($A$6:$A$504,A102)&gt;1,"⚠ Duplicate",""))</f>
        <v/>
      </c>
      <c r="AD102" s="40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  <c r="AR102" s="42" t="n"/>
      <c r="AS102" s="40" t="n"/>
      <c r="AT102" s="42" t="n"/>
      <c r="AU102" s="42" t="n"/>
      <c r="AV102" s="42" t="n"/>
      <c r="AW102" s="42" t="n"/>
      <c r="AX102" s="42" t="n"/>
      <c r="AY102" s="42" t="n"/>
      <c r="AZ102" s="42" t="n"/>
      <c r="BA102" s="42" t="n"/>
      <c r="BB102" s="42" t="n"/>
      <c r="BC102" s="42" t="n"/>
      <c r="BD102" s="42" t="n"/>
      <c r="BE102" s="42" t="n"/>
      <c r="BF102" s="42" t="n"/>
      <c r="BG102" s="42" t="n"/>
      <c r="BH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157">
        <f>IF(OR(Y103="",X103=""),"",IFERROR(Y103*INDEX(FXRates[USD per unit],MATCH(X103,FXRates[Currency],0)),"No rate"))</f>
        <v/>
      </c>
      <c r="AA103" s="32" t="n"/>
      <c r="AB103" s="32" t="n"/>
      <c r="AC103" s="36">
        <f>IF(A103="","",IF(COUNTIF($A$6:$A$504,A103)&gt;1,"⚠ Duplicate",""))</f>
        <v/>
      </c>
      <c r="AD103" s="35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  <c r="AQ103" s="43" t="n"/>
      <c r="AR103" s="43" t="n"/>
      <c r="AS103" s="35" t="n"/>
      <c r="AT103" s="43" t="n"/>
      <c r="AU103" s="43" t="n"/>
      <c r="AV103" s="43" t="n"/>
      <c r="AW103" s="43" t="n"/>
      <c r="AX103" s="43" t="n"/>
      <c r="AY103" s="43" t="n"/>
      <c r="AZ103" s="43" t="n"/>
      <c r="BA103" s="43" t="n"/>
      <c r="BB103" s="43" t="n"/>
      <c r="BC103" s="43" t="n"/>
      <c r="BD103" s="43" t="n"/>
      <c r="BE103" s="43" t="n"/>
      <c r="BF103" s="43" t="n"/>
      <c r="BG103" s="43" t="n"/>
      <c r="BH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158">
        <f>IF(OR(Y104="",X104=""),"",IFERROR(Y104*INDEX(FXRates[USD per unit],MATCH(X104,FXRates[Currency],0)),"No rate"))</f>
        <v/>
      </c>
      <c r="AA104" s="38" t="n"/>
      <c r="AB104" s="38" t="n"/>
      <c r="AC104" s="41">
        <f>IF(A104="","",IF(COUNTIF($A$6:$A$504,A104)&gt;1,"⚠ Duplicate",""))</f>
        <v/>
      </c>
      <c r="AD104" s="40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  <c r="AR104" s="42" t="n"/>
      <c r="AS104" s="40" t="n"/>
      <c r="AT104" s="42" t="n"/>
      <c r="AU104" s="42" t="n"/>
      <c r="AV104" s="42" t="n"/>
      <c r="AW104" s="42" t="n"/>
      <c r="AX104" s="42" t="n"/>
      <c r="AY104" s="42" t="n"/>
      <c r="AZ104" s="42" t="n"/>
      <c r="BA104" s="42" t="n"/>
      <c r="BB104" s="42" t="n"/>
      <c r="BC104" s="42" t="n"/>
      <c r="BD104" s="42" t="n"/>
      <c r="BE104" s="42" t="n"/>
      <c r="BF104" s="42" t="n"/>
      <c r="BG104" s="42" t="n"/>
      <c r="BH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157">
        <f>IF(OR(Y105="",X105=""),"",IFERROR(Y105*INDEX(FXRates[USD per unit],MATCH(X105,FXRates[Currency],0)),"No rate"))</f>
        <v/>
      </c>
      <c r="AA105" s="32" t="n"/>
      <c r="AB105" s="32" t="n"/>
      <c r="AC105" s="36">
        <f>IF(A105="","",IF(COUNTIF($A$6:$A$504,A105)&gt;1,"⚠ Duplicate",""))</f>
        <v/>
      </c>
      <c r="AD105" s="35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  <c r="AQ105" s="43" t="n"/>
      <c r="AR105" s="43" t="n"/>
      <c r="AS105" s="35" t="n"/>
      <c r="AT105" s="43" t="n"/>
      <c r="AU105" s="43" t="n"/>
      <c r="AV105" s="43" t="n"/>
      <c r="AW105" s="43" t="n"/>
      <c r="AX105" s="43" t="n"/>
      <c r="AY105" s="43" t="n"/>
      <c r="AZ105" s="43" t="n"/>
      <c r="BA105" s="43" t="n"/>
      <c r="BB105" s="43" t="n"/>
      <c r="BC105" s="43" t="n"/>
      <c r="BD105" s="43" t="n"/>
      <c r="BE105" s="43" t="n"/>
      <c r="BF105" s="43" t="n"/>
      <c r="BG105" s="43" t="n"/>
      <c r="BH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158">
        <f>IF(OR(Y106="",X106=""),"",IFERROR(Y106*INDEX(FXRates[USD per unit],MATCH(X106,FXRates[Currency],0)),"No rate"))</f>
        <v/>
      </c>
      <c r="AA106" s="38" t="n"/>
      <c r="AB106" s="38" t="n"/>
      <c r="AC106" s="41">
        <f>IF(A106="","",IF(COUNTIF($A$6:$A$504,A106)&gt;1,"⚠ Duplicate",""))</f>
        <v/>
      </c>
      <c r="AD106" s="40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  <c r="AR106" s="42" t="n"/>
      <c r="AS106" s="40" t="n"/>
      <c r="AT106" s="42" t="n"/>
      <c r="AU106" s="42" t="n"/>
      <c r="AV106" s="42" t="n"/>
      <c r="AW106" s="42" t="n"/>
      <c r="AX106" s="42" t="n"/>
      <c r="AY106" s="42" t="n"/>
      <c r="AZ106" s="42" t="n"/>
      <c r="BA106" s="42" t="n"/>
      <c r="BB106" s="42" t="n"/>
      <c r="BC106" s="42" t="n"/>
      <c r="BD106" s="42" t="n"/>
      <c r="BE106" s="42" t="n"/>
      <c r="BF106" s="42" t="n"/>
      <c r="BG106" s="42" t="n"/>
      <c r="BH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157">
        <f>IF(OR(Y107="",X107=""),"",IFERROR(Y107*INDEX(FXRates[USD per unit],MATCH(X107,FXRates[Currency],0)),"No rate"))</f>
        <v/>
      </c>
      <c r="AA107" s="32" t="n"/>
      <c r="AB107" s="32" t="n"/>
      <c r="AC107" s="36">
        <f>IF(A107="","",IF(COUNTIF($A$6:$A$504,A107)&gt;1,"⚠ Duplicate",""))</f>
        <v/>
      </c>
      <c r="AD107" s="35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  <c r="AQ107" s="43" t="n"/>
      <c r="AR107" s="43" t="n"/>
      <c r="AS107" s="35" t="n"/>
      <c r="AT107" s="43" t="n"/>
      <c r="AU107" s="43" t="n"/>
      <c r="AV107" s="43" t="n"/>
      <c r="AW107" s="43" t="n"/>
      <c r="AX107" s="43" t="n"/>
      <c r="AY107" s="43" t="n"/>
      <c r="AZ107" s="43" t="n"/>
      <c r="BA107" s="43" t="n"/>
      <c r="BB107" s="43" t="n"/>
      <c r="BC107" s="43" t="n"/>
      <c r="BD107" s="43" t="n"/>
      <c r="BE107" s="43" t="n"/>
      <c r="BF107" s="43" t="n"/>
      <c r="BG107" s="43" t="n"/>
      <c r="BH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158">
        <f>IF(OR(Y108="",X108=""),"",IFERROR(Y108*INDEX(FXRates[USD per unit],MATCH(X108,FXRates[Currency],0)),"No rate"))</f>
        <v/>
      </c>
      <c r="AA108" s="38" t="n"/>
      <c r="AB108" s="38" t="n"/>
      <c r="AC108" s="41">
        <f>IF(A108="","",IF(COUNTIF($A$6:$A$504,A108)&gt;1,"⚠ Duplicate",""))</f>
        <v/>
      </c>
      <c r="AD108" s="40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  <c r="AR108" s="42" t="n"/>
      <c r="AS108" s="40" t="n"/>
      <c r="AT108" s="42" t="n"/>
      <c r="AU108" s="42" t="n"/>
      <c r="AV108" s="42" t="n"/>
      <c r="AW108" s="42" t="n"/>
      <c r="AX108" s="42" t="n"/>
      <c r="AY108" s="42" t="n"/>
      <c r="AZ108" s="42" t="n"/>
      <c r="BA108" s="42" t="n"/>
      <c r="BB108" s="42" t="n"/>
      <c r="BC108" s="42" t="n"/>
      <c r="BD108" s="42" t="n"/>
      <c r="BE108" s="42" t="n"/>
      <c r="BF108" s="42" t="n"/>
      <c r="BG108" s="42" t="n"/>
      <c r="BH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157">
        <f>IF(OR(Y109="",X109=""),"",IFERROR(Y109*INDEX(FXRates[USD per unit],MATCH(X109,FXRates[Currency],0)),"No rate"))</f>
        <v/>
      </c>
      <c r="AA109" s="32" t="n"/>
      <c r="AB109" s="32" t="n"/>
      <c r="AC109" s="36">
        <f>IF(A109="","",IF(COUNTIF($A$6:$A$504,A109)&gt;1,"⚠ Duplicate",""))</f>
        <v/>
      </c>
      <c r="AD109" s="35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  <c r="AQ109" s="43" t="n"/>
      <c r="AR109" s="43" t="n"/>
      <c r="AS109" s="35" t="n"/>
      <c r="AT109" s="43" t="n"/>
      <c r="AU109" s="43" t="n"/>
      <c r="AV109" s="43" t="n"/>
      <c r="AW109" s="43" t="n"/>
      <c r="AX109" s="43" t="n"/>
      <c r="AY109" s="43" t="n"/>
      <c r="AZ109" s="43" t="n"/>
      <c r="BA109" s="43" t="n"/>
      <c r="BB109" s="43" t="n"/>
      <c r="BC109" s="43" t="n"/>
      <c r="BD109" s="43" t="n"/>
      <c r="BE109" s="43" t="n"/>
      <c r="BF109" s="43" t="n"/>
      <c r="BG109" s="43" t="n"/>
      <c r="BH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158">
        <f>IF(OR(Y110="",X110=""),"",IFERROR(Y110*INDEX(FXRates[USD per unit],MATCH(X110,FXRates[Currency],0)),"No rate"))</f>
        <v/>
      </c>
      <c r="AA110" s="38" t="n"/>
      <c r="AB110" s="38" t="n"/>
      <c r="AC110" s="41">
        <f>IF(A110="","",IF(COUNTIF($A$6:$A$504,A110)&gt;1,"⚠ Duplicate",""))</f>
        <v/>
      </c>
      <c r="AD110" s="40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  <c r="AR110" s="42" t="n"/>
      <c r="AS110" s="40" t="n"/>
      <c r="AT110" s="42" t="n"/>
      <c r="AU110" s="42" t="n"/>
      <c r="AV110" s="42" t="n"/>
      <c r="AW110" s="42" t="n"/>
      <c r="AX110" s="42" t="n"/>
      <c r="AY110" s="42" t="n"/>
      <c r="AZ110" s="42" t="n"/>
      <c r="BA110" s="42" t="n"/>
      <c r="BB110" s="42" t="n"/>
      <c r="BC110" s="42" t="n"/>
      <c r="BD110" s="42" t="n"/>
      <c r="BE110" s="42" t="n"/>
      <c r="BF110" s="42" t="n"/>
      <c r="BG110" s="42" t="n"/>
      <c r="BH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157">
        <f>IF(OR(Y111="",X111=""),"",IFERROR(Y111*INDEX(FXRates[USD per unit],MATCH(X111,FXRates[Currency],0)),"No rate"))</f>
        <v/>
      </c>
      <c r="AA111" s="32" t="n"/>
      <c r="AB111" s="32" t="n"/>
      <c r="AC111" s="36">
        <f>IF(A111="","",IF(COUNTIF($A$6:$A$504,A111)&gt;1,"⚠ Duplicate",""))</f>
        <v/>
      </c>
      <c r="AD111" s="35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  <c r="AQ111" s="43" t="n"/>
      <c r="AR111" s="43" t="n"/>
      <c r="AS111" s="35" t="n"/>
      <c r="AT111" s="43" t="n"/>
      <c r="AU111" s="43" t="n"/>
      <c r="AV111" s="43" t="n"/>
      <c r="AW111" s="43" t="n"/>
      <c r="AX111" s="43" t="n"/>
      <c r="AY111" s="43" t="n"/>
      <c r="AZ111" s="43" t="n"/>
      <c r="BA111" s="43" t="n"/>
      <c r="BB111" s="43" t="n"/>
      <c r="BC111" s="43" t="n"/>
      <c r="BD111" s="43" t="n"/>
      <c r="BE111" s="43" t="n"/>
      <c r="BF111" s="43" t="n"/>
      <c r="BG111" s="43" t="n"/>
      <c r="BH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158">
        <f>IF(OR(Y112="",X112=""),"",IFERROR(Y112*INDEX(FXRates[USD per unit],MATCH(X112,FXRates[Currency],0)),"No rate"))</f>
        <v/>
      </c>
      <c r="AA112" s="38" t="n"/>
      <c r="AB112" s="38" t="n"/>
      <c r="AC112" s="41">
        <f>IF(A112="","",IF(COUNTIF($A$6:$A$504,A112)&gt;1,"⚠ Duplicate",""))</f>
        <v/>
      </c>
      <c r="AD112" s="40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  <c r="AR112" s="42" t="n"/>
      <c r="AS112" s="40" t="n"/>
      <c r="AT112" s="42" t="n"/>
      <c r="AU112" s="42" t="n"/>
      <c r="AV112" s="42" t="n"/>
      <c r="AW112" s="42" t="n"/>
      <c r="AX112" s="42" t="n"/>
      <c r="AY112" s="42" t="n"/>
      <c r="AZ112" s="42" t="n"/>
      <c r="BA112" s="42" t="n"/>
      <c r="BB112" s="42" t="n"/>
      <c r="BC112" s="42" t="n"/>
      <c r="BD112" s="42" t="n"/>
      <c r="BE112" s="42" t="n"/>
      <c r="BF112" s="42" t="n"/>
      <c r="BG112" s="42" t="n"/>
      <c r="BH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157">
        <f>IF(OR(Y113="",X113=""),"",IFERROR(Y113*INDEX(FXRates[USD per unit],MATCH(X113,FXRates[Currency],0)),"No rate"))</f>
        <v/>
      </c>
      <c r="AA113" s="32" t="n"/>
      <c r="AB113" s="32" t="n"/>
      <c r="AC113" s="36">
        <f>IF(A113="","",IF(COUNTIF($A$6:$A$504,A113)&gt;1,"⚠ Duplicate",""))</f>
        <v/>
      </c>
      <c r="AD113" s="35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  <c r="AQ113" s="43" t="n"/>
      <c r="AR113" s="43" t="n"/>
      <c r="AS113" s="35" t="n"/>
      <c r="AT113" s="43" t="n"/>
      <c r="AU113" s="43" t="n"/>
      <c r="AV113" s="43" t="n"/>
      <c r="AW113" s="43" t="n"/>
      <c r="AX113" s="43" t="n"/>
      <c r="AY113" s="43" t="n"/>
      <c r="AZ113" s="43" t="n"/>
      <c r="BA113" s="43" t="n"/>
      <c r="BB113" s="43" t="n"/>
      <c r="BC113" s="43" t="n"/>
      <c r="BD113" s="43" t="n"/>
      <c r="BE113" s="43" t="n"/>
      <c r="BF113" s="43" t="n"/>
      <c r="BG113" s="43" t="n"/>
      <c r="BH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158">
        <f>IF(OR(Y114="",X114=""),"",IFERROR(Y114*INDEX(FXRates[USD per unit],MATCH(X114,FXRates[Currency],0)),"No rate"))</f>
        <v/>
      </c>
      <c r="AA114" s="38" t="n"/>
      <c r="AB114" s="38" t="n"/>
      <c r="AC114" s="41">
        <f>IF(A114="","",IF(COUNTIF($A$6:$A$504,A114)&gt;1,"⚠ Duplicate",""))</f>
        <v/>
      </c>
      <c r="AD114" s="40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  <c r="AR114" s="42" t="n"/>
      <c r="AS114" s="40" t="n"/>
      <c r="AT114" s="42" t="n"/>
      <c r="AU114" s="42" t="n"/>
      <c r="AV114" s="42" t="n"/>
      <c r="AW114" s="42" t="n"/>
      <c r="AX114" s="42" t="n"/>
      <c r="AY114" s="42" t="n"/>
      <c r="AZ114" s="42" t="n"/>
      <c r="BA114" s="42" t="n"/>
      <c r="BB114" s="42" t="n"/>
      <c r="BC114" s="42" t="n"/>
      <c r="BD114" s="42" t="n"/>
      <c r="BE114" s="42" t="n"/>
      <c r="BF114" s="42" t="n"/>
      <c r="BG114" s="42" t="n"/>
      <c r="BH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157">
        <f>IF(OR(Y115="",X115=""),"",IFERROR(Y115*INDEX(FXRates[USD per unit],MATCH(X115,FXRates[Currency],0)),"No rate"))</f>
        <v/>
      </c>
      <c r="AA115" s="32" t="n"/>
      <c r="AB115" s="32" t="n"/>
      <c r="AC115" s="36">
        <f>IF(A115="","",IF(COUNTIF($A$6:$A$504,A115)&gt;1,"⚠ Duplicate",""))</f>
        <v/>
      </c>
      <c r="AD115" s="35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  <c r="AQ115" s="43" t="n"/>
      <c r="AR115" s="43" t="n"/>
      <c r="AS115" s="35" t="n"/>
      <c r="AT115" s="43" t="n"/>
      <c r="AU115" s="43" t="n"/>
      <c r="AV115" s="43" t="n"/>
      <c r="AW115" s="43" t="n"/>
      <c r="AX115" s="43" t="n"/>
      <c r="AY115" s="43" t="n"/>
      <c r="AZ115" s="43" t="n"/>
      <c r="BA115" s="43" t="n"/>
      <c r="BB115" s="43" t="n"/>
      <c r="BC115" s="43" t="n"/>
      <c r="BD115" s="43" t="n"/>
      <c r="BE115" s="43" t="n"/>
      <c r="BF115" s="43" t="n"/>
      <c r="BG115" s="43" t="n"/>
      <c r="BH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158">
        <f>IF(OR(Y116="",X116=""),"",IFERROR(Y116*INDEX(FXRates[USD per unit],MATCH(X116,FXRates[Currency],0)),"No rate"))</f>
        <v/>
      </c>
      <c r="AA116" s="38" t="n"/>
      <c r="AB116" s="38" t="n"/>
      <c r="AC116" s="41">
        <f>IF(A116="","",IF(COUNTIF($A$6:$A$504,A116)&gt;1,"⚠ Duplicate",""))</f>
        <v/>
      </c>
      <c r="AD116" s="40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  <c r="AR116" s="42" t="n"/>
      <c r="AS116" s="40" t="n"/>
      <c r="AT116" s="42" t="n"/>
      <c r="AU116" s="42" t="n"/>
      <c r="AV116" s="42" t="n"/>
      <c r="AW116" s="42" t="n"/>
      <c r="AX116" s="42" t="n"/>
      <c r="AY116" s="42" t="n"/>
      <c r="AZ116" s="42" t="n"/>
      <c r="BA116" s="42" t="n"/>
      <c r="BB116" s="42" t="n"/>
      <c r="BC116" s="42" t="n"/>
      <c r="BD116" s="42" t="n"/>
      <c r="BE116" s="42" t="n"/>
      <c r="BF116" s="42" t="n"/>
      <c r="BG116" s="42" t="n"/>
      <c r="BH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157">
        <f>IF(OR(Y117="",X117=""),"",IFERROR(Y117*INDEX(FXRates[USD per unit],MATCH(X117,FXRates[Currency],0)),"No rate"))</f>
        <v/>
      </c>
      <c r="AA117" s="32" t="n"/>
      <c r="AB117" s="32" t="n"/>
      <c r="AC117" s="36">
        <f>IF(A117="","",IF(COUNTIF($A$6:$A$504,A117)&gt;1,"⚠ Duplicate",""))</f>
        <v/>
      </c>
      <c r="AD117" s="35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  <c r="AQ117" s="43" t="n"/>
      <c r="AR117" s="43" t="n"/>
      <c r="AS117" s="35" t="n"/>
      <c r="AT117" s="43" t="n"/>
      <c r="AU117" s="43" t="n"/>
      <c r="AV117" s="43" t="n"/>
      <c r="AW117" s="43" t="n"/>
      <c r="AX117" s="43" t="n"/>
      <c r="AY117" s="43" t="n"/>
      <c r="AZ117" s="43" t="n"/>
      <c r="BA117" s="43" t="n"/>
      <c r="BB117" s="43" t="n"/>
      <c r="BC117" s="43" t="n"/>
      <c r="BD117" s="43" t="n"/>
      <c r="BE117" s="43" t="n"/>
      <c r="BF117" s="43" t="n"/>
      <c r="BG117" s="43" t="n"/>
      <c r="BH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158">
        <f>IF(OR(Y118="",X118=""),"",IFERROR(Y118*INDEX(FXRates[USD per unit],MATCH(X118,FXRates[Currency],0)),"No rate"))</f>
        <v/>
      </c>
      <c r="AA118" s="38" t="n"/>
      <c r="AB118" s="38" t="n"/>
      <c r="AC118" s="41">
        <f>IF(A118="","",IF(COUNTIF($A$6:$A$504,A118)&gt;1,"⚠ Duplicate",""))</f>
        <v/>
      </c>
      <c r="AD118" s="40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  <c r="AR118" s="42" t="n"/>
      <c r="AS118" s="40" t="n"/>
      <c r="AT118" s="42" t="n"/>
      <c r="AU118" s="42" t="n"/>
      <c r="AV118" s="42" t="n"/>
      <c r="AW118" s="42" t="n"/>
      <c r="AX118" s="42" t="n"/>
      <c r="AY118" s="42" t="n"/>
      <c r="AZ118" s="42" t="n"/>
      <c r="BA118" s="42" t="n"/>
      <c r="BB118" s="42" t="n"/>
      <c r="BC118" s="42" t="n"/>
      <c r="BD118" s="42" t="n"/>
      <c r="BE118" s="42" t="n"/>
      <c r="BF118" s="42" t="n"/>
      <c r="BG118" s="42" t="n"/>
      <c r="BH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157">
        <f>IF(OR(Y119="",X119=""),"",IFERROR(Y119*INDEX(FXRates[USD per unit],MATCH(X119,FXRates[Currency],0)),"No rate"))</f>
        <v/>
      </c>
      <c r="AA119" s="32" t="n"/>
      <c r="AB119" s="32" t="n"/>
      <c r="AC119" s="36">
        <f>IF(A119="","",IF(COUNTIF($A$6:$A$504,A119)&gt;1,"⚠ Duplicate",""))</f>
        <v/>
      </c>
      <c r="AD119" s="35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  <c r="AQ119" s="43" t="n"/>
      <c r="AR119" s="43" t="n"/>
      <c r="AS119" s="35" t="n"/>
      <c r="AT119" s="43" t="n"/>
      <c r="AU119" s="43" t="n"/>
      <c r="AV119" s="43" t="n"/>
      <c r="AW119" s="43" t="n"/>
      <c r="AX119" s="43" t="n"/>
      <c r="AY119" s="43" t="n"/>
      <c r="AZ119" s="43" t="n"/>
      <c r="BA119" s="43" t="n"/>
      <c r="BB119" s="43" t="n"/>
      <c r="BC119" s="43" t="n"/>
      <c r="BD119" s="43" t="n"/>
      <c r="BE119" s="43" t="n"/>
      <c r="BF119" s="43" t="n"/>
      <c r="BG119" s="43" t="n"/>
      <c r="BH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158">
        <f>IF(OR(Y120="",X120=""),"",IFERROR(Y120*INDEX(FXRates[USD per unit],MATCH(X120,FXRates[Currency],0)),"No rate"))</f>
        <v/>
      </c>
      <c r="AA120" s="38" t="n"/>
      <c r="AB120" s="38" t="n"/>
      <c r="AC120" s="41">
        <f>IF(A120="","",IF(COUNTIF($A$6:$A$504,A120)&gt;1,"⚠ Duplicate",""))</f>
        <v/>
      </c>
      <c r="AD120" s="40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  <c r="AR120" s="42" t="n"/>
      <c r="AS120" s="40" t="n"/>
      <c r="AT120" s="42" t="n"/>
      <c r="AU120" s="42" t="n"/>
      <c r="AV120" s="42" t="n"/>
      <c r="AW120" s="42" t="n"/>
      <c r="AX120" s="42" t="n"/>
      <c r="AY120" s="42" t="n"/>
      <c r="AZ120" s="42" t="n"/>
      <c r="BA120" s="42" t="n"/>
      <c r="BB120" s="42" t="n"/>
      <c r="BC120" s="42" t="n"/>
      <c r="BD120" s="42" t="n"/>
      <c r="BE120" s="42" t="n"/>
      <c r="BF120" s="42" t="n"/>
      <c r="BG120" s="42" t="n"/>
      <c r="BH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157">
        <f>IF(OR(Y121="",X121=""),"",IFERROR(Y121*INDEX(FXRates[USD per unit],MATCH(X121,FXRates[Currency],0)),"No rate"))</f>
        <v/>
      </c>
      <c r="AA121" s="32" t="n"/>
      <c r="AB121" s="32" t="n"/>
      <c r="AC121" s="36">
        <f>IF(A121="","",IF(COUNTIF($A$6:$A$504,A121)&gt;1,"⚠ Duplicate",""))</f>
        <v/>
      </c>
      <c r="AD121" s="35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  <c r="AQ121" s="43" t="n"/>
      <c r="AR121" s="43" t="n"/>
      <c r="AS121" s="35" t="n"/>
      <c r="AT121" s="43" t="n"/>
      <c r="AU121" s="43" t="n"/>
      <c r="AV121" s="43" t="n"/>
      <c r="AW121" s="43" t="n"/>
      <c r="AX121" s="43" t="n"/>
      <c r="AY121" s="43" t="n"/>
      <c r="AZ121" s="43" t="n"/>
      <c r="BA121" s="43" t="n"/>
      <c r="BB121" s="43" t="n"/>
      <c r="BC121" s="43" t="n"/>
      <c r="BD121" s="43" t="n"/>
      <c r="BE121" s="43" t="n"/>
      <c r="BF121" s="43" t="n"/>
      <c r="BG121" s="43" t="n"/>
      <c r="BH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158">
        <f>IF(OR(Y122="",X122=""),"",IFERROR(Y122*INDEX(FXRates[USD per unit],MATCH(X122,FXRates[Currency],0)),"No rate"))</f>
        <v/>
      </c>
      <c r="AA122" s="38" t="n"/>
      <c r="AB122" s="38" t="n"/>
      <c r="AC122" s="41">
        <f>IF(A122="","",IF(COUNTIF($A$6:$A$504,A122)&gt;1,"⚠ Duplicate",""))</f>
        <v/>
      </c>
      <c r="AD122" s="40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  <c r="AR122" s="42" t="n"/>
      <c r="AS122" s="40" t="n"/>
      <c r="AT122" s="42" t="n"/>
      <c r="AU122" s="42" t="n"/>
      <c r="AV122" s="42" t="n"/>
      <c r="AW122" s="42" t="n"/>
      <c r="AX122" s="42" t="n"/>
      <c r="AY122" s="42" t="n"/>
      <c r="AZ122" s="42" t="n"/>
      <c r="BA122" s="42" t="n"/>
      <c r="BB122" s="42" t="n"/>
      <c r="BC122" s="42" t="n"/>
      <c r="BD122" s="42" t="n"/>
      <c r="BE122" s="42" t="n"/>
      <c r="BF122" s="42" t="n"/>
      <c r="BG122" s="42" t="n"/>
      <c r="BH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157">
        <f>IF(OR(Y123="",X123=""),"",IFERROR(Y123*INDEX(FXRates[USD per unit],MATCH(X123,FXRates[Currency],0)),"No rate"))</f>
        <v/>
      </c>
      <c r="AA123" s="32" t="n"/>
      <c r="AB123" s="32" t="n"/>
      <c r="AC123" s="36">
        <f>IF(A123="","",IF(COUNTIF($A$6:$A$504,A123)&gt;1,"⚠ Duplicate",""))</f>
        <v/>
      </c>
      <c r="AD123" s="35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  <c r="AQ123" s="43" t="n"/>
      <c r="AR123" s="43" t="n"/>
      <c r="AS123" s="35" t="n"/>
      <c r="AT123" s="43" t="n"/>
      <c r="AU123" s="43" t="n"/>
      <c r="AV123" s="43" t="n"/>
      <c r="AW123" s="43" t="n"/>
      <c r="AX123" s="43" t="n"/>
      <c r="AY123" s="43" t="n"/>
      <c r="AZ123" s="43" t="n"/>
      <c r="BA123" s="43" t="n"/>
      <c r="BB123" s="43" t="n"/>
      <c r="BC123" s="43" t="n"/>
      <c r="BD123" s="43" t="n"/>
      <c r="BE123" s="43" t="n"/>
      <c r="BF123" s="43" t="n"/>
      <c r="BG123" s="43" t="n"/>
      <c r="BH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158">
        <f>IF(OR(Y124="",X124=""),"",IFERROR(Y124*INDEX(FXRates[USD per unit],MATCH(X124,FXRates[Currency],0)),"No rate"))</f>
        <v/>
      </c>
      <c r="AA124" s="38" t="n"/>
      <c r="AB124" s="38" t="n"/>
      <c r="AC124" s="41">
        <f>IF(A124="","",IF(COUNTIF($A$6:$A$504,A124)&gt;1,"⚠ Duplicate",""))</f>
        <v/>
      </c>
      <c r="AD124" s="40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  <c r="AR124" s="42" t="n"/>
      <c r="AS124" s="40" t="n"/>
      <c r="AT124" s="42" t="n"/>
      <c r="AU124" s="42" t="n"/>
      <c r="AV124" s="42" t="n"/>
      <c r="AW124" s="42" t="n"/>
      <c r="AX124" s="42" t="n"/>
      <c r="AY124" s="42" t="n"/>
      <c r="AZ124" s="42" t="n"/>
      <c r="BA124" s="42" t="n"/>
      <c r="BB124" s="42" t="n"/>
      <c r="BC124" s="42" t="n"/>
      <c r="BD124" s="42" t="n"/>
      <c r="BE124" s="42" t="n"/>
      <c r="BF124" s="42" t="n"/>
      <c r="BG124" s="42" t="n"/>
      <c r="BH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157">
        <f>IF(OR(Y125="",X125=""),"",IFERROR(Y125*INDEX(FXRates[USD per unit],MATCH(X125,FXRates[Currency],0)),"No rate"))</f>
        <v/>
      </c>
      <c r="AA125" s="32" t="n"/>
      <c r="AB125" s="32" t="n"/>
      <c r="AC125" s="36">
        <f>IF(A125="","",IF(COUNTIF($A$6:$A$504,A125)&gt;1,"⚠ Duplicate",""))</f>
        <v/>
      </c>
      <c r="AD125" s="35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  <c r="AQ125" s="43" t="n"/>
      <c r="AR125" s="43" t="n"/>
      <c r="AS125" s="35" t="n"/>
      <c r="AT125" s="43" t="n"/>
      <c r="AU125" s="43" t="n"/>
      <c r="AV125" s="43" t="n"/>
      <c r="AW125" s="43" t="n"/>
      <c r="AX125" s="43" t="n"/>
      <c r="AY125" s="43" t="n"/>
      <c r="AZ125" s="43" t="n"/>
      <c r="BA125" s="43" t="n"/>
      <c r="BB125" s="43" t="n"/>
      <c r="BC125" s="43" t="n"/>
      <c r="BD125" s="43" t="n"/>
      <c r="BE125" s="43" t="n"/>
      <c r="BF125" s="43" t="n"/>
      <c r="BG125" s="43" t="n"/>
      <c r="BH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158">
        <f>IF(OR(Y126="",X126=""),"",IFERROR(Y126*INDEX(FXRates[USD per unit],MATCH(X126,FXRates[Currency],0)),"No rate"))</f>
        <v/>
      </c>
      <c r="AA126" s="38" t="n"/>
      <c r="AB126" s="38" t="n"/>
      <c r="AC126" s="41">
        <f>IF(A126="","",IF(COUNTIF($A$6:$A$504,A126)&gt;1,"⚠ Duplicate",""))</f>
        <v/>
      </c>
      <c r="AD126" s="40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  <c r="AR126" s="42" t="n"/>
      <c r="AS126" s="40" t="n"/>
      <c r="AT126" s="42" t="n"/>
      <c r="AU126" s="42" t="n"/>
      <c r="AV126" s="42" t="n"/>
      <c r="AW126" s="42" t="n"/>
      <c r="AX126" s="42" t="n"/>
      <c r="AY126" s="42" t="n"/>
      <c r="AZ126" s="42" t="n"/>
      <c r="BA126" s="42" t="n"/>
      <c r="BB126" s="42" t="n"/>
      <c r="BC126" s="42" t="n"/>
      <c r="BD126" s="42" t="n"/>
      <c r="BE126" s="42" t="n"/>
      <c r="BF126" s="42" t="n"/>
      <c r="BG126" s="42" t="n"/>
      <c r="BH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157">
        <f>IF(OR(Y127="",X127=""),"",IFERROR(Y127*INDEX(FXRates[USD per unit],MATCH(X127,FXRates[Currency],0)),"No rate"))</f>
        <v/>
      </c>
      <c r="AA127" s="32" t="n"/>
      <c r="AB127" s="32" t="n"/>
      <c r="AC127" s="36">
        <f>IF(A127="","",IF(COUNTIF($A$6:$A$504,A127)&gt;1,"⚠ Duplicate",""))</f>
        <v/>
      </c>
      <c r="AD127" s="35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  <c r="AQ127" s="43" t="n"/>
      <c r="AR127" s="43" t="n"/>
      <c r="AS127" s="35" t="n"/>
      <c r="AT127" s="43" t="n"/>
      <c r="AU127" s="43" t="n"/>
      <c r="AV127" s="43" t="n"/>
      <c r="AW127" s="43" t="n"/>
      <c r="AX127" s="43" t="n"/>
      <c r="AY127" s="43" t="n"/>
      <c r="AZ127" s="43" t="n"/>
      <c r="BA127" s="43" t="n"/>
      <c r="BB127" s="43" t="n"/>
      <c r="BC127" s="43" t="n"/>
      <c r="BD127" s="43" t="n"/>
      <c r="BE127" s="43" t="n"/>
      <c r="BF127" s="43" t="n"/>
      <c r="BG127" s="43" t="n"/>
      <c r="BH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158">
        <f>IF(OR(Y128="",X128=""),"",IFERROR(Y128*INDEX(FXRates[USD per unit],MATCH(X128,FXRates[Currency],0)),"No rate"))</f>
        <v/>
      </c>
      <c r="AA128" s="38" t="n"/>
      <c r="AB128" s="38" t="n"/>
      <c r="AC128" s="41">
        <f>IF(A128="","",IF(COUNTIF($A$6:$A$504,A128)&gt;1,"⚠ Duplicate",""))</f>
        <v/>
      </c>
      <c r="AD128" s="40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  <c r="AR128" s="42" t="n"/>
      <c r="AS128" s="40" t="n"/>
      <c r="AT128" s="42" t="n"/>
      <c r="AU128" s="42" t="n"/>
      <c r="AV128" s="42" t="n"/>
      <c r="AW128" s="42" t="n"/>
      <c r="AX128" s="42" t="n"/>
      <c r="AY128" s="42" t="n"/>
      <c r="AZ128" s="42" t="n"/>
      <c r="BA128" s="42" t="n"/>
      <c r="BB128" s="42" t="n"/>
      <c r="BC128" s="42" t="n"/>
      <c r="BD128" s="42" t="n"/>
      <c r="BE128" s="42" t="n"/>
      <c r="BF128" s="42" t="n"/>
      <c r="BG128" s="42" t="n"/>
      <c r="BH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157">
        <f>IF(OR(Y129="",X129=""),"",IFERROR(Y129*INDEX(FXRates[USD per unit],MATCH(X129,FXRates[Currency],0)),"No rate"))</f>
        <v/>
      </c>
      <c r="AA129" s="32" t="n"/>
      <c r="AB129" s="32" t="n"/>
      <c r="AC129" s="36">
        <f>IF(A129="","",IF(COUNTIF($A$6:$A$504,A129)&gt;1,"⚠ Duplicate",""))</f>
        <v/>
      </c>
      <c r="AD129" s="35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  <c r="AQ129" s="43" t="n"/>
      <c r="AR129" s="43" t="n"/>
      <c r="AS129" s="35" t="n"/>
      <c r="AT129" s="43" t="n"/>
      <c r="AU129" s="43" t="n"/>
      <c r="AV129" s="43" t="n"/>
      <c r="AW129" s="43" t="n"/>
      <c r="AX129" s="43" t="n"/>
      <c r="AY129" s="43" t="n"/>
      <c r="AZ129" s="43" t="n"/>
      <c r="BA129" s="43" t="n"/>
      <c r="BB129" s="43" t="n"/>
      <c r="BC129" s="43" t="n"/>
      <c r="BD129" s="43" t="n"/>
      <c r="BE129" s="43" t="n"/>
      <c r="BF129" s="43" t="n"/>
      <c r="BG129" s="43" t="n"/>
      <c r="BH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158">
        <f>IF(OR(Y130="",X130=""),"",IFERROR(Y130*INDEX(FXRates[USD per unit],MATCH(X130,FXRates[Currency],0)),"No rate"))</f>
        <v/>
      </c>
      <c r="AA130" s="38" t="n"/>
      <c r="AB130" s="38" t="n"/>
      <c r="AC130" s="41">
        <f>IF(A130="","",IF(COUNTIF($A$6:$A$504,A130)&gt;1,"⚠ Duplicate",""))</f>
        <v/>
      </c>
      <c r="AD130" s="40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  <c r="AR130" s="42" t="n"/>
      <c r="AS130" s="40" t="n"/>
      <c r="AT130" s="42" t="n"/>
      <c r="AU130" s="42" t="n"/>
      <c r="AV130" s="42" t="n"/>
      <c r="AW130" s="42" t="n"/>
      <c r="AX130" s="42" t="n"/>
      <c r="AY130" s="42" t="n"/>
      <c r="AZ130" s="42" t="n"/>
      <c r="BA130" s="42" t="n"/>
      <c r="BB130" s="42" t="n"/>
      <c r="BC130" s="42" t="n"/>
      <c r="BD130" s="42" t="n"/>
      <c r="BE130" s="42" t="n"/>
      <c r="BF130" s="42" t="n"/>
      <c r="BG130" s="42" t="n"/>
      <c r="BH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157">
        <f>IF(OR(Y131="",X131=""),"",IFERROR(Y131*INDEX(FXRates[USD per unit],MATCH(X131,FXRates[Currency],0)),"No rate"))</f>
        <v/>
      </c>
      <c r="AA131" s="32" t="n"/>
      <c r="AB131" s="32" t="n"/>
      <c r="AC131" s="36">
        <f>IF(A131="","",IF(COUNTIF($A$6:$A$504,A131)&gt;1,"⚠ Duplicate",""))</f>
        <v/>
      </c>
      <c r="AD131" s="35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  <c r="AQ131" s="43" t="n"/>
      <c r="AR131" s="43" t="n"/>
      <c r="AS131" s="35" t="n"/>
      <c r="AT131" s="43" t="n"/>
      <c r="AU131" s="43" t="n"/>
      <c r="AV131" s="43" t="n"/>
      <c r="AW131" s="43" t="n"/>
      <c r="AX131" s="43" t="n"/>
      <c r="AY131" s="43" t="n"/>
      <c r="AZ131" s="43" t="n"/>
      <c r="BA131" s="43" t="n"/>
      <c r="BB131" s="43" t="n"/>
      <c r="BC131" s="43" t="n"/>
      <c r="BD131" s="43" t="n"/>
      <c r="BE131" s="43" t="n"/>
      <c r="BF131" s="43" t="n"/>
      <c r="BG131" s="43" t="n"/>
      <c r="BH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158">
        <f>IF(OR(Y132="",X132=""),"",IFERROR(Y132*INDEX(FXRates[USD per unit],MATCH(X132,FXRates[Currency],0)),"No rate"))</f>
        <v/>
      </c>
      <c r="AA132" s="38" t="n"/>
      <c r="AB132" s="38" t="n"/>
      <c r="AC132" s="41">
        <f>IF(A132="","",IF(COUNTIF($A$6:$A$504,A132)&gt;1,"⚠ Duplicate",""))</f>
        <v/>
      </c>
      <c r="AD132" s="40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  <c r="AR132" s="42" t="n"/>
      <c r="AS132" s="40" t="n"/>
      <c r="AT132" s="42" t="n"/>
      <c r="AU132" s="42" t="n"/>
      <c r="AV132" s="42" t="n"/>
      <c r="AW132" s="42" t="n"/>
      <c r="AX132" s="42" t="n"/>
      <c r="AY132" s="42" t="n"/>
      <c r="AZ132" s="42" t="n"/>
      <c r="BA132" s="42" t="n"/>
      <c r="BB132" s="42" t="n"/>
      <c r="BC132" s="42" t="n"/>
      <c r="BD132" s="42" t="n"/>
      <c r="BE132" s="42" t="n"/>
      <c r="BF132" s="42" t="n"/>
      <c r="BG132" s="42" t="n"/>
      <c r="BH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157">
        <f>IF(OR(Y133="",X133=""),"",IFERROR(Y133*INDEX(FXRates[USD per unit],MATCH(X133,FXRates[Currency],0)),"No rate"))</f>
        <v/>
      </c>
      <c r="AA133" s="32" t="n"/>
      <c r="AB133" s="32" t="n"/>
      <c r="AC133" s="36">
        <f>IF(A133="","",IF(COUNTIF($A$6:$A$504,A133)&gt;1,"⚠ Duplicate",""))</f>
        <v/>
      </c>
      <c r="AD133" s="35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  <c r="AQ133" s="43" t="n"/>
      <c r="AR133" s="43" t="n"/>
      <c r="AS133" s="35" t="n"/>
      <c r="AT133" s="43" t="n"/>
      <c r="AU133" s="43" t="n"/>
      <c r="AV133" s="43" t="n"/>
      <c r="AW133" s="43" t="n"/>
      <c r="AX133" s="43" t="n"/>
      <c r="AY133" s="43" t="n"/>
      <c r="AZ133" s="43" t="n"/>
      <c r="BA133" s="43" t="n"/>
      <c r="BB133" s="43" t="n"/>
      <c r="BC133" s="43" t="n"/>
      <c r="BD133" s="43" t="n"/>
      <c r="BE133" s="43" t="n"/>
      <c r="BF133" s="43" t="n"/>
      <c r="BG133" s="43" t="n"/>
      <c r="BH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158">
        <f>IF(OR(Y134="",X134=""),"",IFERROR(Y134*INDEX(FXRates[USD per unit],MATCH(X134,FXRates[Currency],0)),"No rate"))</f>
        <v/>
      </c>
      <c r="AA134" s="38" t="n"/>
      <c r="AB134" s="38" t="n"/>
      <c r="AC134" s="41">
        <f>IF(A134="","",IF(COUNTIF($A$6:$A$504,A134)&gt;1,"⚠ Duplicate",""))</f>
        <v/>
      </c>
      <c r="AD134" s="40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  <c r="AR134" s="42" t="n"/>
      <c r="AS134" s="40" t="n"/>
      <c r="AT134" s="42" t="n"/>
      <c r="AU134" s="42" t="n"/>
      <c r="AV134" s="42" t="n"/>
      <c r="AW134" s="42" t="n"/>
      <c r="AX134" s="42" t="n"/>
      <c r="AY134" s="42" t="n"/>
      <c r="AZ134" s="42" t="n"/>
      <c r="BA134" s="42" t="n"/>
      <c r="BB134" s="42" t="n"/>
      <c r="BC134" s="42" t="n"/>
      <c r="BD134" s="42" t="n"/>
      <c r="BE134" s="42" t="n"/>
      <c r="BF134" s="42" t="n"/>
      <c r="BG134" s="42" t="n"/>
      <c r="BH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157">
        <f>IF(OR(Y135="",X135=""),"",IFERROR(Y135*INDEX(FXRates[USD per unit],MATCH(X135,FXRates[Currency],0)),"No rate"))</f>
        <v/>
      </c>
      <c r="AA135" s="32" t="n"/>
      <c r="AB135" s="32" t="n"/>
      <c r="AC135" s="36">
        <f>IF(A135="","",IF(COUNTIF($A$6:$A$504,A135)&gt;1,"⚠ Duplicate",""))</f>
        <v/>
      </c>
      <c r="AD135" s="35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  <c r="AQ135" s="43" t="n"/>
      <c r="AR135" s="43" t="n"/>
      <c r="AS135" s="35" t="n"/>
      <c r="AT135" s="43" t="n"/>
      <c r="AU135" s="43" t="n"/>
      <c r="AV135" s="43" t="n"/>
      <c r="AW135" s="43" t="n"/>
      <c r="AX135" s="43" t="n"/>
      <c r="AY135" s="43" t="n"/>
      <c r="AZ135" s="43" t="n"/>
      <c r="BA135" s="43" t="n"/>
      <c r="BB135" s="43" t="n"/>
      <c r="BC135" s="43" t="n"/>
      <c r="BD135" s="43" t="n"/>
      <c r="BE135" s="43" t="n"/>
      <c r="BF135" s="43" t="n"/>
      <c r="BG135" s="43" t="n"/>
      <c r="BH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158">
        <f>IF(OR(Y136="",X136=""),"",IFERROR(Y136*INDEX(FXRates[USD per unit],MATCH(X136,FXRates[Currency],0)),"No rate"))</f>
        <v/>
      </c>
      <c r="AA136" s="38" t="n"/>
      <c r="AB136" s="38" t="n"/>
      <c r="AC136" s="41">
        <f>IF(A136="","",IF(COUNTIF($A$6:$A$504,A136)&gt;1,"⚠ Duplicate",""))</f>
        <v/>
      </c>
      <c r="AD136" s="40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  <c r="AR136" s="42" t="n"/>
      <c r="AS136" s="40" t="n"/>
      <c r="AT136" s="42" t="n"/>
      <c r="AU136" s="42" t="n"/>
      <c r="AV136" s="42" t="n"/>
      <c r="AW136" s="42" t="n"/>
      <c r="AX136" s="42" t="n"/>
      <c r="AY136" s="42" t="n"/>
      <c r="AZ136" s="42" t="n"/>
      <c r="BA136" s="42" t="n"/>
      <c r="BB136" s="42" t="n"/>
      <c r="BC136" s="42" t="n"/>
      <c r="BD136" s="42" t="n"/>
      <c r="BE136" s="42" t="n"/>
      <c r="BF136" s="42" t="n"/>
      <c r="BG136" s="42" t="n"/>
      <c r="BH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157">
        <f>IF(OR(Y137="",X137=""),"",IFERROR(Y137*INDEX(FXRates[USD per unit],MATCH(X137,FXRates[Currency],0)),"No rate"))</f>
        <v/>
      </c>
      <c r="AA137" s="32" t="n"/>
      <c r="AB137" s="32" t="n"/>
      <c r="AC137" s="36">
        <f>IF(A137="","",IF(COUNTIF($A$6:$A$504,A137)&gt;1,"⚠ Duplicate",""))</f>
        <v/>
      </c>
      <c r="AD137" s="35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  <c r="AQ137" s="43" t="n"/>
      <c r="AR137" s="43" t="n"/>
      <c r="AS137" s="35" t="n"/>
      <c r="AT137" s="43" t="n"/>
      <c r="AU137" s="43" t="n"/>
      <c r="AV137" s="43" t="n"/>
      <c r="AW137" s="43" t="n"/>
      <c r="AX137" s="43" t="n"/>
      <c r="AY137" s="43" t="n"/>
      <c r="AZ137" s="43" t="n"/>
      <c r="BA137" s="43" t="n"/>
      <c r="BB137" s="43" t="n"/>
      <c r="BC137" s="43" t="n"/>
      <c r="BD137" s="43" t="n"/>
      <c r="BE137" s="43" t="n"/>
      <c r="BF137" s="43" t="n"/>
      <c r="BG137" s="43" t="n"/>
      <c r="BH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158">
        <f>IF(OR(Y138="",X138=""),"",IFERROR(Y138*INDEX(FXRates[USD per unit],MATCH(X138,FXRates[Currency],0)),"No rate"))</f>
        <v/>
      </c>
      <c r="AA138" s="38" t="n"/>
      <c r="AB138" s="38" t="n"/>
      <c r="AC138" s="41">
        <f>IF(A138="","",IF(COUNTIF($A$6:$A$504,A138)&gt;1,"⚠ Duplicate",""))</f>
        <v/>
      </c>
      <c r="AD138" s="40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  <c r="AR138" s="42" t="n"/>
      <c r="AS138" s="40" t="n"/>
      <c r="AT138" s="42" t="n"/>
      <c r="AU138" s="42" t="n"/>
      <c r="AV138" s="42" t="n"/>
      <c r="AW138" s="42" t="n"/>
      <c r="AX138" s="42" t="n"/>
      <c r="AY138" s="42" t="n"/>
      <c r="AZ138" s="42" t="n"/>
      <c r="BA138" s="42" t="n"/>
      <c r="BB138" s="42" t="n"/>
      <c r="BC138" s="42" t="n"/>
      <c r="BD138" s="42" t="n"/>
      <c r="BE138" s="42" t="n"/>
      <c r="BF138" s="42" t="n"/>
      <c r="BG138" s="42" t="n"/>
      <c r="BH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157">
        <f>IF(OR(Y139="",X139=""),"",IFERROR(Y139*INDEX(FXRates[USD per unit],MATCH(X139,FXRates[Currency],0)),"No rate"))</f>
        <v/>
      </c>
      <c r="AA139" s="32" t="n"/>
      <c r="AB139" s="32" t="n"/>
      <c r="AC139" s="36">
        <f>IF(A139="","",IF(COUNTIF($A$6:$A$504,A139)&gt;1,"⚠ Duplicate",""))</f>
        <v/>
      </c>
      <c r="AD139" s="35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  <c r="AQ139" s="43" t="n"/>
      <c r="AR139" s="43" t="n"/>
      <c r="AS139" s="35" t="n"/>
      <c r="AT139" s="43" t="n"/>
      <c r="AU139" s="43" t="n"/>
      <c r="AV139" s="43" t="n"/>
      <c r="AW139" s="43" t="n"/>
      <c r="AX139" s="43" t="n"/>
      <c r="AY139" s="43" t="n"/>
      <c r="AZ139" s="43" t="n"/>
      <c r="BA139" s="43" t="n"/>
      <c r="BB139" s="43" t="n"/>
      <c r="BC139" s="43" t="n"/>
      <c r="BD139" s="43" t="n"/>
      <c r="BE139" s="43" t="n"/>
      <c r="BF139" s="43" t="n"/>
      <c r="BG139" s="43" t="n"/>
      <c r="BH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158">
        <f>IF(OR(Y140="",X140=""),"",IFERROR(Y140*INDEX(FXRates[USD per unit],MATCH(X140,FXRates[Currency],0)),"No rate"))</f>
        <v/>
      </c>
      <c r="AA140" s="38" t="n"/>
      <c r="AB140" s="38" t="n"/>
      <c r="AC140" s="41">
        <f>IF(A140="","",IF(COUNTIF($A$6:$A$504,A140)&gt;1,"⚠ Duplicate",""))</f>
        <v/>
      </c>
      <c r="AD140" s="40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  <c r="AR140" s="42" t="n"/>
      <c r="AS140" s="40" t="n"/>
      <c r="AT140" s="42" t="n"/>
      <c r="AU140" s="42" t="n"/>
      <c r="AV140" s="42" t="n"/>
      <c r="AW140" s="42" t="n"/>
      <c r="AX140" s="42" t="n"/>
      <c r="AY140" s="42" t="n"/>
      <c r="AZ140" s="42" t="n"/>
      <c r="BA140" s="42" t="n"/>
      <c r="BB140" s="42" t="n"/>
      <c r="BC140" s="42" t="n"/>
      <c r="BD140" s="42" t="n"/>
      <c r="BE140" s="42" t="n"/>
      <c r="BF140" s="42" t="n"/>
      <c r="BG140" s="42" t="n"/>
      <c r="BH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157">
        <f>IF(OR(Y141="",X141=""),"",IFERROR(Y141*INDEX(FXRates[USD per unit],MATCH(X141,FXRates[Currency],0)),"No rate"))</f>
        <v/>
      </c>
      <c r="AA141" s="32" t="n"/>
      <c r="AB141" s="32" t="n"/>
      <c r="AC141" s="36">
        <f>IF(A141="","",IF(COUNTIF($A$6:$A$504,A141)&gt;1,"⚠ Duplicate",""))</f>
        <v/>
      </c>
      <c r="AD141" s="35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  <c r="AQ141" s="43" t="n"/>
      <c r="AR141" s="43" t="n"/>
      <c r="AS141" s="35" t="n"/>
      <c r="AT141" s="43" t="n"/>
      <c r="AU141" s="43" t="n"/>
      <c r="AV141" s="43" t="n"/>
      <c r="AW141" s="43" t="n"/>
      <c r="AX141" s="43" t="n"/>
      <c r="AY141" s="43" t="n"/>
      <c r="AZ141" s="43" t="n"/>
      <c r="BA141" s="43" t="n"/>
      <c r="BB141" s="43" t="n"/>
      <c r="BC141" s="43" t="n"/>
      <c r="BD141" s="43" t="n"/>
      <c r="BE141" s="43" t="n"/>
      <c r="BF141" s="43" t="n"/>
      <c r="BG141" s="43" t="n"/>
      <c r="BH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158">
        <f>IF(OR(Y142="",X142=""),"",IFERROR(Y142*INDEX(FXRates[USD per unit],MATCH(X142,FXRates[Currency],0)),"No rate"))</f>
        <v/>
      </c>
      <c r="AA142" s="38" t="n"/>
      <c r="AB142" s="38" t="n"/>
      <c r="AC142" s="41">
        <f>IF(A142="","",IF(COUNTIF($A$6:$A$504,A142)&gt;1,"⚠ Duplicate",""))</f>
        <v/>
      </c>
      <c r="AD142" s="40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  <c r="AR142" s="42" t="n"/>
      <c r="AS142" s="40" t="n"/>
      <c r="AT142" s="42" t="n"/>
      <c r="AU142" s="42" t="n"/>
      <c r="AV142" s="42" t="n"/>
      <c r="AW142" s="42" t="n"/>
      <c r="AX142" s="42" t="n"/>
      <c r="AY142" s="42" t="n"/>
      <c r="AZ142" s="42" t="n"/>
      <c r="BA142" s="42" t="n"/>
      <c r="BB142" s="42" t="n"/>
      <c r="BC142" s="42" t="n"/>
      <c r="BD142" s="42" t="n"/>
      <c r="BE142" s="42" t="n"/>
      <c r="BF142" s="42" t="n"/>
      <c r="BG142" s="42" t="n"/>
      <c r="BH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157">
        <f>IF(OR(Y143="",X143=""),"",IFERROR(Y143*INDEX(FXRates[USD per unit],MATCH(X143,FXRates[Currency],0)),"No rate"))</f>
        <v/>
      </c>
      <c r="AA143" s="32" t="n"/>
      <c r="AB143" s="32" t="n"/>
      <c r="AC143" s="36">
        <f>IF(A143="","",IF(COUNTIF($A$6:$A$504,A143)&gt;1,"⚠ Duplicate",""))</f>
        <v/>
      </c>
      <c r="AD143" s="35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  <c r="AR143" s="43" t="n"/>
      <c r="AS143" s="35" t="n"/>
      <c r="AT143" s="43" t="n"/>
      <c r="AU143" s="43" t="n"/>
      <c r="AV143" s="43" t="n"/>
      <c r="AW143" s="43" t="n"/>
      <c r="AX143" s="43" t="n"/>
      <c r="AY143" s="43" t="n"/>
      <c r="AZ143" s="43" t="n"/>
      <c r="BA143" s="43" t="n"/>
      <c r="BB143" s="43" t="n"/>
      <c r="BC143" s="43" t="n"/>
      <c r="BD143" s="43" t="n"/>
      <c r="BE143" s="43" t="n"/>
      <c r="BF143" s="43" t="n"/>
      <c r="BG143" s="43" t="n"/>
      <c r="BH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158">
        <f>IF(OR(Y144="",X144=""),"",IFERROR(Y144*INDEX(FXRates[USD per unit],MATCH(X144,FXRates[Currency],0)),"No rate"))</f>
        <v/>
      </c>
      <c r="AA144" s="38" t="n"/>
      <c r="AB144" s="38" t="n"/>
      <c r="AC144" s="41">
        <f>IF(A144="","",IF(COUNTIF($A$6:$A$504,A144)&gt;1,"⚠ Duplicate",""))</f>
        <v/>
      </c>
      <c r="AD144" s="40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  <c r="AR144" s="42" t="n"/>
      <c r="AS144" s="40" t="n"/>
      <c r="AT144" s="42" t="n"/>
      <c r="AU144" s="42" t="n"/>
      <c r="AV144" s="42" t="n"/>
      <c r="AW144" s="42" t="n"/>
      <c r="AX144" s="42" t="n"/>
      <c r="AY144" s="42" t="n"/>
      <c r="AZ144" s="42" t="n"/>
      <c r="BA144" s="42" t="n"/>
      <c r="BB144" s="42" t="n"/>
      <c r="BC144" s="42" t="n"/>
      <c r="BD144" s="42" t="n"/>
      <c r="BE144" s="42" t="n"/>
      <c r="BF144" s="42" t="n"/>
      <c r="BG144" s="42" t="n"/>
      <c r="BH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157">
        <f>IF(OR(Y145="",X145=""),"",IFERROR(Y145*INDEX(FXRates[USD per unit],MATCH(X145,FXRates[Currency],0)),"No rate"))</f>
        <v/>
      </c>
      <c r="AA145" s="32" t="n"/>
      <c r="AB145" s="32" t="n"/>
      <c r="AC145" s="36">
        <f>IF(A145="","",IF(COUNTIF($A$6:$A$504,A145)&gt;1,"⚠ Duplicate",""))</f>
        <v/>
      </c>
      <c r="AD145" s="35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  <c r="AQ145" s="43" t="n"/>
      <c r="AR145" s="43" t="n"/>
      <c r="AS145" s="35" t="n"/>
      <c r="AT145" s="43" t="n"/>
      <c r="AU145" s="43" t="n"/>
      <c r="AV145" s="43" t="n"/>
      <c r="AW145" s="43" t="n"/>
      <c r="AX145" s="43" t="n"/>
      <c r="AY145" s="43" t="n"/>
      <c r="AZ145" s="43" t="n"/>
      <c r="BA145" s="43" t="n"/>
      <c r="BB145" s="43" t="n"/>
      <c r="BC145" s="43" t="n"/>
      <c r="BD145" s="43" t="n"/>
      <c r="BE145" s="43" t="n"/>
      <c r="BF145" s="43" t="n"/>
      <c r="BG145" s="43" t="n"/>
      <c r="BH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158">
        <f>IF(OR(Y146="",X146=""),"",IFERROR(Y146*INDEX(FXRates[USD per unit],MATCH(X146,FXRates[Currency],0)),"No rate"))</f>
        <v/>
      </c>
      <c r="AA146" s="38" t="n"/>
      <c r="AB146" s="38" t="n"/>
      <c r="AC146" s="41">
        <f>IF(A146="","",IF(COUNTIF($A$6:$A$504,A146)&gt;1,"⚠ Duplicate",""))</f>
        <v/>
      </c>
      <c r="AD146" s="40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  <c r="AR146" s="42" t="n"/>
      <c r="AS146" s="40" t="n"/>
      <c r="AT146" s="42" t="n"/>
      <c r="AU146" s="42" t="n"/>
      <c r="AV146" s="42" t="n"/>
      <c r="AW146" s="42" t="n"/>
      <c r="AX146" s="42" t="n"/>
      <c r="AY146" s="42" t="n"/>
      <c r="AZ146" s="42" t="n"/>
      <c r="BA146" s="42" t="n"/>
      <c r="BB146" s="42" t="n"/>
      <c r="BC146" s="42" t="n"/>
      <c r="BD146" s="42" t="n"/>
      <c r="BE146" s="42" t="n"/>
      <c r="BF146" s="42" t="n"/>
      <c r="BG146" s="42" t="n"/>
      <c r="BH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157">
        <f>IF(OR(Y147="",X147=""),"",IFERROR(Y147*INDEX(FXRates[USD per unit],MATCH(X147,FXRates[Currency],0)),"No rate"))</f>
        <v/>
      </c>
      <c r="AA147" s="32" t="n"/>
      <c r="AB147" s="32" t="n"/>
      <c r="AC147" s="36">
        <f>IF(A147="","",IF(COUNTIF($A$6:$A$504,A147)&gt;1,"⚠ Duplicate",""))</f>
        <v/>
      </c>
      <c r="AD147" s="35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  <c r="AQ147" s="43" t="n"/>
      <c r="AR147" s="43" t="n"/>
      <c r="AS147" s="35" t="n"/>
      <c r="AT147" s="43" t="n"/>
      <c r="AU147" s="43" t="n"/>
      <c r="AV147" s="43" t="n"/>
      <c r="AW147" s="43" t="n"/>
      <c r="AX147" s="43" t="n"/>
      <c r="AY147" s="43" t="n"/>
      <c r="AZ147" s="43" t="n"/>
      <c r="BA147" s="43" t="n"/>
      <c r="BB147" s="43" t="n"/>
      <c r="BC147" s="43" t="n"/>
      <c r="BD147" s="43" t="n"/>
      <c r="BE147" s="43" t="n"/>
      <c r="BF147" s="43" t="n"/>
      <c r="BG147" s="43" t="n"/>
      <c r="BH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158">
        <f>IF(OR(Y148="",X148=""),"",IFERROR(Y148*INDEX(FXRates[USD per unit],MATCH(X148,FXRates[Currency],0)),"No rate"))</f>
        <v/>
      </c>
      <c r="AA148" s="38" t="n"/>
      <c r="AB148" s="38" t="n"/>
      <c r="AC148" s="41">
        <f>IF(A148="","",IF(COUNTIF($A$6:$A$504,A148)&gt;1,"⚠ Duplicate",""))</f>
        <v/>
      </c>
      <c r="AD148" s="40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  <c r="AR148" s="42" t="n"/>
      <c r="AS148" s="40" t="n"/>
      <c r="AT148" s="42" t="n"/>
      <c r="AU148" s="42" t="n"/>
      <c r="AV148" s="42" t="n"/>
      <c r="AW148" s="42" t="n"/>
      <c r="AX148" s="42" t="n"/>
      <c r="AY148" s="42" t="n"/>
      <c r="AZ148" s="42" t="n"/>
      <c r="BA148" s="42" t="n"/>
      <c r="BB148" s="42" t="n"/>
      <c r="BC148" s="42" t="n"/>
      <c r="BD148" s="42" t="n"/>
      <c r="BE148" s="42" t="n"/>
      <c r="BF148" s="42" t="n"/>
      <c r="BG148" s="42" t="n"/>
      <c r="BH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157">
        <f>IF(OR(Y149="",X149=""),"",IFERROR(Y149*INDEX(FXRates[USD per unit],MATCH(X149,FXRates[Currency],0)),"No rate"))</f>
        <v/>
      </c>
      <c r="AA149" s="32" t="n"/>
      <c r="AB149" s="32" t="n"/>
      <c r="AC149" s="36">
        <f>IF(A149="","",IF(COUNTIF($A$6:$A$504,A149)&gt;1,"⚠ Duplicate",""))</f>
        <v/>
      </c>
      <c r="AD149" s="35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  <c r="AQ149" s="43" t="n"/>
      <c r="AR149" s="43" t="n"/>
      <c r="AS149" s="35" t="n"/>
      <c r="AT149" s="43" t="n"/>
      <c r="AU149" s="43" t="n"/>
      <c r="AV149" s="43" t="n"/>
      <c r="AW149" s="43" t="n"/>
      <c r="AX149" s="43" t="n"/>
      <c r="AY149" s="43" t="n"/>
      <c r="AZ149" s="43" t="n"/>
      <c r="BA149" s="43" t="n"/>
      <c r="BB149" s="43" t="n"/>
      <c r="BC149" s="43" t="n"/>
      <c r="BD149" s="43" t="n"/>
      <c r="BE149" s="43" t="n"/>
      <c r="BF149" s="43" t="n"/>
      <c r="BG149" s="43" t="n"/>
      <c r="BH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158">
        <f>IF(OR(Y150="",X150=""),"",IFERROR(Y150*INDEX(FXRates[USD per unit],MATCH(X150,FXRates[Currency],0)),"No rate"))</f>
        <v/>
      </c>
      <c r="AA150" s="38" t="n"/>
      <c r="AB150" s="38" t="n"/>
      <c r="AC150" s="41">
        <f>IF(A150="","",IF(COUNTIF($A$6:$A$504,A150)&gt;1,"⚠ Duplicate",""))</f>
        <v/>
      </c>
      <c r="AD150" s="40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  <c r="AR150" s="42" t="n"/>
      <c r="AS150" s="40" t="n"/>
      <c r="AT150" s="42" t="n"/>
      <c r="AU150" s="42" t="n"/>
      <c r="AV150" s="42" t="n"/>
      <c r="AW150" s="42" t="n"/>
      <c r="AX150" s="42" t="n"/>
      <c r="AY150" s="42" t="n"/>
      <c r="AZ150" s="42" t="n"/>
      <c r="BA150" s="42" t="n"/>
      <c r="BB150" s="42" t="n"/>
      <c r="BC150" s="42" t="n"/>
      <c r="BD150" s="42" t="n"/>
      <c r="BE150" s="42" t="n"/>
      <c r="BF150" s="42" t="n"/>
      <c r="BG150" s="42" t="n"/>
      <c r="BH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157">
        <f>IF(OR(Y151="",X151=""),"",IFERROR(Y151*INDEX(FXRates[USD per unit],MATCH(X151,FXRates[Currency],0)),"No rate"))</f>
        <v/>
      </c>
      <c r="AA151" s="32" t="n"/>
      <c r="AB151" s="32" t="n"/>
      <c r="AC151" s="36">
        <f>IF(A151="","",IF(COUNTIF($A$6:$A$504,A151)&gt;1,"⚠ Duplicate",""))</f>
        <v/>
      </c>
      <c r="AD151" s="35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  <c r="AQ151" s="43" t="n"/>
      <c r="AR151" s="43" t="n"/>
      <c r="AS151" s="35" t="n"/>
      <c r="AT151" s="43" t="n"/>
      <c r="AU151" s="43" t="n"/>
      <c r="AV151" s="43" t="n"/>
      <c r="AW151" s="43" t="n"/>
      <c r="AX151" s="43" t="n"/>
      <c r="AY151" s="43" t="n"/>
      <c r="AZ151" s="43" t="n"/>
      <c r="BA151" s="43" t="n"/>
      <c r="BB151" s="43" t="n"/>
      <c r="BC151" s="43" t="n"/>
      <c r="BD151" s="43" t="n"/>
      <c r="BE151" s="43" t="n"/>
      <c r="BF151" s="43" t="n"/>
      <c r="BG151" s="43" t="n"/>
      <c r="BH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158">
        <f>IF(OR(Y152="",X152=""),"",IFERROR(Y152*INDEX(FXRates[USD per unit],MATCH(X152,FXRates[Currency],0)),"No rate"))</f>
        <v/>
      </c>
      <c r="AA152" s="38" t="n"/>
      <c r="AB152" s="38" t="n"/>
      <c r="AC152" s="41">
        <f>IF(A152="","",IF(COUNTIF($A$6:$A$504,A152)&gt;1,"⚠ Duplicate",""))</f>
        <v/>
      </c>
      <c r="AD152" s="40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  <c r="AR152" s="42" t="n"/>
      <c r="AS152" s="40" t="n"/>
      <c r="AT152" s="42" t="n"/>
      <c r="AU152" s="42" t="n"/>
      <c r="AV152" s="42" t="n"/>
      <c r="AW152" s="42" t="n"/>
      <c r="AX152" s="42" t="n"/>
      <c r="AY152" s="42" t="n"/>
      <c r="AZ152" s="42" t="n"/>
      <c r="BA152" s="42" t="n"/>
      <c r="BB152" s="42" t="n"/>
      <c r="BC152" s="42" t="n"/>
      <c r="BD152" s="42" t="n"/>
      <c r="BE152" s="42" t="n"/>
      <c r="BF152" s="42" t="n"/>
      <c r="BG152" s="42" t="n"/>
      <c r="BH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157">
        <f>IF(OR(Y153="",X153=""),"",IFERROR(Y153*INDEX(FXRates[USD per unit],MATCH(X153,FXRates[Currency],0)),"No rate"))</f>
        <v/>
      </c>
      <c r="AA153" s="32" t="n"/>
      <c r="AB153" s="32" t="n"/>
      <c r="AC153" s="36">
        <f>IF(A153="","",IF(COUNTIF($A$6:$A$504,A153)&gt;1,"⚠ Duplicate",""))</f>
        <v/>
      </c>
      <c r="AD153" s="35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  <c r="AQ153" s="43" t="n"/>
      <c r="AR153" s="43" t="n"/>
      <c r="AS153" s="35" t="n"/>
      <c r="AT153" s="43" t="n"/>
      <c r="AU153" s="43" t="n"/>
      <c r="AV153" s="43" t="n"/>
      <c r="AW153" s="43" t="n"/>
      <c r="AX153" s="43" t="n"/>
      <c r="AY153" s="43" t="n"/>
      <c r="AZ153" s="43" t="n"/>
      <c r="BA153" s="43" t="n"/>
      <c r="BB153" s="43" t="n"/>
      <c r="BC153" s="43" t="n"/>
      <c r="BD153" s="43" t="n"/>
      <c r="BE153" s="43" t="n"/>
      <c r="BF153" s="43" t="n"/>
      <c r="BG153" s="43" t="n"/>
      <c r="BH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158">
        <f>IF(OR(Y154="",X154=""),"",IFERROR(Y154*INDEX(FXRates[USD per unit],MATCH(X154,FXRates[Currency],0)),"No rate"))</f>
        <v/>
      </c>
      <c r="AA154" s="38" t="n"/>
      <c r="AB154" s="38" t="n"/>
      <c r="AC154" s="41">
        <f>IF(A154="","",IF(COUNTIF($A$6:$A$504,A154)&gt;1,"⚠ Duplicate",""))</f>
        <v/>
      </c>
      <c r="AD154" s="40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  <c r="AR154" s="42" t="n"/>
      <c r="AS154" s="40" t="n"/>
      <c r="AT154" s="42" t="n"/>
      <c r="AU154" s="42" t="n"/>
      <c r="AV154" s="42" t="n"/>
      <c r="AW154" s="42" t="n"/>
      <c r="AX154" s="42" t="n"/>
      <c r="AY154" s="42" t="n"/>
      <c r="AZ154" s="42" t="n"/>
      <c r="BA154" s="42" t="n"/>
      <c r="BB154" s="42" t="n"/>
      <c r="BC154" s="42" t="n"/>
      <c r="BD154" s="42" t="n"/>
      <c r="BE154" s="42" t="n"/>
      <c r="BF154" s="42" t="n"/>
      <c r="BG154" s="42" t="n"/>
      <c r="BH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157">
        <f>IF(OR(Y155="",X155=""),"",IFERROR(Y155*INDEX(FXRates[USD per unit],MATCH(X155,FXRates[Currency],0)),"No rate"))</f>
        <v/>
      </c>
      <c r="AA155" s="32" t="n"/>
      <c r="AB155" s="32" t="n"/>
      <c r="AC155" s="36">
        <f>IF(A155="","",IF(COUNTIF($A$6:$A$504,A155)&gt;1,"⚠ Duplicate",""))</f>
        <v/>
      </c>
      <c r="AD155" s="35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  <c r="AQ155" s="43" t="n"/>
      <c r="AR155" s="43" t="n"/>
      <c r="AS155" s="35" t="n"/>
      <c r="AT155" s="43" t="n"/>
      <c r="AU155" s="43" t="n"/>
      <c r="AV155" s="43" t="n"/>
      <c r="AW155" s="43" t="n"/>
      <c r="AX155" s="43" t="n"/>
      <c r="AY155" s="43" t="n"/>
      <c r="AZ155" s="43" t="n"/>
      <c r="BA155" s="43" t="n"/>
      <c r="BB155" s="43" t="n"/>
      <c r="BC155" s="43" t="n"/>
      <c r="BD155" s="43" t="n"/>
      <c r="BE155" s="43" t="n"/>
      <c r="BF155" s="43" t="n"/>
      <c r="BG155" s="43" t="n"/>
      <c r="BH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158">
        <f>IF(OR(Y156="",X156=""),"",IFERROR(Y156*INDEX(FXRates[USD per unit],MATCH(X156,FXRates[Currency],0)),"No rate"))</f>
        <v/>
      </c>
      <c r="AA156" s="38" t="n"/>
      <c r="AB156" s="38" t="n"/>
      <c r="AC156" s="41">
        <f>IF(A156="","",IF(COUNTIF($A$6:$A$504,A156)&gt;1,"⚠ Duplicate",""))</f>
        <v/>
      </c>
      <c r="AD156" s="40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  <c r="AR156" s="42" t="n"/>
      <c r="AS156" s="40" t="n"/>
      <c r="AT156" s="42" t="n"/>
      <c r="AU156" s="42" t="n"/>
      <c r="AV156" s="42" t="n"/>
      <c r="AW156" s="42" t="n"/>
      <c r="AX156" s="42" t="n"/>
      <c r="AY156" s="42" t="n"/>
      <c r="AZ156" s="42" t="n"/>
      <c r="BA156" s="42" t="n"/>
      <c r="BB156" s="42" t="n"/>
      <c r="BC156" s="42" t="n"/>
      <c r="BD156" s="42" t="n"/>
      <c r="BE156" s="42" t="n"/>
      <c r="BF156" s="42" t="n"/>
      <c r="BG156" s="42" t="n"/>
      <c r="BH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157">
        <f>IF(OR(Y157="",X157=""),"",IFERROR(Y157*INDEX(FXRates[USD per unit],MATCH(X157,FXRates[Currency],0)),"No rate"))</f>
        <v/>
      </c>
      <c r="AA157" s="32" t="n"/>
      <c r="AB157" s="32" t="n"/>
      <c r="AC157" s="36">
        <f>IF(A157="","",IF(COUNTIF($A$6:$A$504,A157)&gt;1,"⚠ Duplicate",""))</f>
        <v/>
      </c>
      <c r="AD157" s="35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  <c r="AQ157" s="43" t="n"/>
      <c r="AR157" s="43" t="n"/>
      <c r="AS157" s="35" t="n"/>
      <c r="AT157" s="43" t="n"/>
      <c r="AU157" s="43" t="n"/>
      <c r="AV157" s="43" t="n"/>
      <c r="AW157" s="43" t="n"/>
      <c r="AX157" s="43" t="n"/>
      <c r="AY157" s="43" t="n"/>
      <c r="AZ157" s="43" t="n"/>
      <c r="BA157" s="43" t="n"/>
      <c r="BB157" s="43" t="n"/>
      <c r="BC157" s="43" t="n"/>
      <c r="BD157" s="43" t="n"/>
      <c r="BE157" s="43" t="n"/>
      <c r="BF157" s="43" t="n"/>
      <c r="BG157" s="43" t="n"/>
      <c r="BH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158">
        <f>IF(OR(Y158="",X158=""),"",IFERROR(Y158*INDEX(FXRates[USD per unit],MATCH(X158,FXRates[Currency],0)),"No rate"))</f>
        <v/>
      </c>
      <c r="AA158" s="38" t="n"/>
      <c r="AB158" s="38" t="n"/>
      <c r="AC158" s="41">
        <f>IF(A158="","",IF(COUNTIF($A$6:$A$504,A158)&gt;1,"⚠ Duplicate",""))</f>
        <v/>
      </c>
      <c r="AD158" s="40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  <c r="AR158" s="42" t="n"/>
      <c r="AS158" s="40" t="n"/>
      <c r="AT158" s="42" t="n"/>
      <c r="AU158" s="42" t="n"/>
      <c r="AV158" s="42" t="n"/>
      <c r="AW158" s="42" t="n"/>
      <c r="AX158" s="42" t="n"/>
      <c r="AY158" s="42" t="n"/>
      <c r="AZ158" s="42" t="n"/>
      <c r="BA158" s="42" t="n"/>
      <c r="BB158" s="42" t="n"/>
      <c r="BC158" s="42" t="n"/>
      <c r="BD158" s="42" t="n"/>
      <c r="BE158" s="42" t="n"/>
      <c r="BF158" s="42" t="n"/>
      <c r="BG158" s="42" t="n"/>
      <c r="BH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157">
        <f>IF(OR(Y159="",X159=""),"",IFERROR(Y159*INDEX(FXRates[USD per unit],MATCH(X159,FXRates[Currency],0)),"No rate"))</f>
        <v/>
      </c>
      <c r="AA159" s="32" t="n"/>
      <c r="AB159" s="32" t="n"/>
      <c r="AC159" s="36">
        <f>IF(A159="","",IF(COUNTIF($A$6:$A$504,A159)&gt;1,"⚠ Duplicate",""))</f>
        <v/>
      </c>
      <c r="AD159" s="35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  <c r="AQ159" s="43" t="n"/>
      <c r="AR159" s="43" t="n"/>
      <c r="AS159" s="35" t="n"/>
      <c r="AT159" s="43" t="n"/>
      <c r="AU159" s="43" t="n"/>
      <c r="AV159" s="43" t="n"/>
      <c r="AW159" s="43" t="n"/>
      <c r="AX159" s="43" t="n"/>
      <c r="AY159" s="43" t="n"/>
      <c r="AZ159" s="43" t="n"/>
      <c r="BA159" s="43" t="n"/>
      <c r="BB159" s="43" t="n"/>
      <c r="BC159" s="43" t="n"/>
      <c r="BD159" s="43" t="n"/>
      <c r="BE159" s="43" t="n"/>
      <c r="BF159" s="43" t="n"/>
      <c r="BG159" s="43" t="n"/>
      <c r="BH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158">
        <f>IF(OR(Y160="",X160=""),"",IFERROR(Y160*INDEX(FXRates[USD per unit],MATCH(X160,FXRates[Currency],0)),"No rate"))</f>
        <v/>
      </c>
      <c r="AA160" s="38" t="n"/>
      <c r="AB160" s="38" t="n"/>
      <c r="AC160" s="41">
        <f>IF(A160="","",IF(COUNTIF($A$6:$A$504,A160)&gt;1,"⚠ Duplicate",""))</f>
        <v/>
      </c>
      <c r="AD160" s="40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  <c r="AR160" s="42" t="n"/>
      <c r="AS160" s="40" t="n"/>
      <c r="AT160" s="42" t="n"/>
      <c r="AU160" s="42" t="n"/>
      <c r="AV160" s="42" t="n"/>
      <c r="AW160" s="42" t="n"/>
      <c r="AX160" s="42" t="n"/>
      <c r="AY160" s="42" t="n"/>
      <c r="AZ160" s="42" t="n"/>
      <c r="BA160" s="42" t="n"/>
      <c r="BB160" s="42" t="n"/>
      <c r="BC160" s="42" t="n"/>
      <c r="BD160" s="42" t="n"/>
      <c r="BE160" s="42" t="n"/>
      <c r="BF160" s="42" t="n"/>
      <c r="BG160" s="42" t="n"/>
      <c r="BH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157">
        <f>IF(OR(Y161="",X161=""),"",IFERROR(Y161*INDEX(FXRates[USD per unit],MATCH(X161,FXRates[Currency],0)),"No rate"))</f>
        <v/>
      </c>
      <c r="AA161" s="32" t="n"/>
      <c r="AB161" s="32" t="n"/>
      <c r="AC161" s="36">
        <f>IF(A161="","",IF(COUNTIF($A$6:$A$504,A161)&gt;1,"⚠ Duplicate",""))</f>
        <v/>
      </c>
      <c r="AD161" s="35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  <c r="AQ161" s="43" t="n"/>
      <c r="AR161" s="43" t="n"/>
      <c r="AS161" s="35" t="n"/>
      <c r="AT161" s="43" t="n"/>
      <c r="AU161" s="43" t="n"/>
      <c r="AV161" s="43" t="n"/>
      <c r="AW161" s="43" t="n"/>
      <c r="AX161" s="43" t="n"/>
      <c r="AY161" s="43" t="n"/>
      <c r="AZ161" s="43" t="n"/>
      <c r="BA161" s="43" t="n"/>
      <c r="BB161" s="43" t="n"/>
      <c r="BC161" s="43" t="n"/>
      <c r="BD161" s="43" t="n"/>
      <c r="BE161" s="43" t="n"/>
      <c r="BF161" s="43" t="n"/>
      <c r="BG161" s="43" t="n"/>
      <c r="BH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158">
        <f>IF(OR(Y162="",X162=""),"",IFERROR(Y162*INDEX(FXRates[USD per unit],MATCH(X162,FXRates[Currency],0)),"No rate"))</f>
        <v/>
      </c>
      <c r="AA162" s="38" t="n"/>
      <c r="AB162" s="38" t="n"/>
      <c r="AC162" s="41">
        <f>IF(A162="","",IF(COUNTIF($A$6:$A$504,A162)&gt;1,"⚠ Duplicate",""))</f>
        <v/>
      </c>
      <c r="AD162" s="40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  <c r="AR162" s="42" t="n"/>
      <c r="AS162" s="40" t="n"/>
      <c r="AT162" s="42" t="n"/>
      <c r="AU162" s="42" t="n"/>
      <c r="AV162" s="42" t="n"/>
      <c r="AW162" s="42" t="n"/>
      <c r="AX162" s="42" t="n"/>
      <c r="AY162" s="42" t="n"/>
      <c r="AZ162" s="42" t="n"/>
      <c r="BA162" s="42" t="n"/>
      <c r="BB162" s="42" t="n"/>
      <c r="BC162" s="42" t="n"/>
      <c r="BD162" s="42" t="n"/>
      <c r="BE162" s="42" t="n"/>
      <c r="BF162" s="42" t="n"/>
      <c r="BG162" s="42" t="n"/>
      <c r="BH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157">
        <f>IF(OR(Y163="",X163=""),"",IFERROR(Y163*INDEX(FXRates[USD per unit],MATCH(X163,FXRates[Currency],0)),"No rate"))</f>
        <v/>
      </c>
      <c r="AA163" s="32" t="n"/>
      <c r="AB163" s="32" t="n"/>
      <c r="AC163" s="36">
        <f>IF(A163="","",IF(COUNTIF($A$6:$A$504,A163)&gt;1,"⚠ Duplicate",""))</f>
        <v/>
      </c>
      <c r="AD163" s="35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  <c r="AQ163" s="43" t="n"/>
      <c r="AR163" s="43" t="n"/>
      <c r="AS163" s="35" t="n"/>
      <c r="AT163" s="43" t="n"/>
      <c r="AU163" s="43" t="n"/>
      <c r="AV163" s="43" t="n"/>
      <c r="AW163" s="43" t="n"/>
      <c r="AX163" s="43" t="n"/>
      <c r="AY163" s="43" t="n"/>
      <c r="AZ163" s="43" t="n"/>
      <c r="BA163" s="43" t="n"/>
      <c r="BB163" s="43" t="n"/>
      <c r="BC163" s="43" t="n"/>
      <c r="BD163" s="43" t="n"/>
      <c r="BE163" s="43" t="n"/>
      <c r="BF163" s="43" t="n"/>
      <c r="BG163" s="43" t="n"/>
      <c r="BH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158">
        <f>IF(OR(Y164="",X164=""),"",IFERROR(Y164*INDEX(FXRates[USD per unit],MATCH(X164,FXRates[Currency],0)),"No rate"))</f>
        <v/>
      </c>
      <c r="AA164" s="38" t="n"/>
      <c r="AB164" s="38" t="n"/>
      <c r="AC164" s="41">
        <f>IF(A164="","",IF(COUNTIF($A$6:$A$504,A164)&gt;1,"⚠ Duplicate",""))</f>
        <v/>
      </c>
      <c r="AD164" s="40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  <c r="AR164" s="42" t="n"/>
      <c r="AS164" s="40" t="n"/>
      <c r="AT164" s="42" t="n"/>
      <c r="AU164" s="42" t="n"/>
      <c r="AV164" s="42" t="n"/>
      <c r="AW164" s="42" t="n"/>
      <c r="AX164" s="42" t="n"/>
      <c r="AY164" s="42" t="n"/>
      <c r="AZ164" s="42" t="n"/>
      <c r="BA164" s="42" t="n"/>
      <c r="BB164" s="42" t="n"/>
      <c r="BC164" s="42" t="n"/>
      <c r="BD164" s="42" t="n"/>
      <c r="BE164" s="42" t="n"/>
      <c r="BF164" s="42" t="n"/>
      <c r="BG164" s="42" t="n"/>
      <c r="BH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157">
        <f>IF(OR(Y165="",X165=""),"",IFERROR(Y165*INDEX(FXRates[USD per unit],MATCH(X165,FXRates[Currency],0)),"No rate"))</f>
        <v/>
      </c>
      <c r="AA165" s="32" t="n"/>
      <c r="AB165" s="32" t="n"/>
      <c r="AC165" s="36">
        <f>IF(A165="","",IF(COUNTIF($A$6:$A$504,A165)&gt;1,"⚠ Duplicate",""))</f>
        <v/>
      </c>
      <c r="AD165" s="35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  <c r="AQ165" s="43" t="n"/>
      <c r="AR165" s="43" t="n"/>
      <c r="AS165" s="35" t="n"/>
      <c r="AT165" s="43" t="n"/>
      <c r="AU165" s="43" t="n"/>
      <c r="AV165" s="43" t="n"/>
      <c r="AW165" s="43" t="n"/>
      <c r="AX165" s="43" t="n"/>
      <c r="AY165" s="43" t="n"/>
      <c r="AZ165" s="43" t="n"/>
      <c r="BA165" s="43" t="n"/>
      <c r="BB165" s="43" t="n"/>
      <c r="BC165" s="43" t="n"/>
      <c r="BD165" s="43" t="n"/>
      <c r="BE165" s="43" t="n"/>
      <c r="BF165" s="43" t="n"/>
      <c r="BG165" s="43" t="n"/>
      <c r="BH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158">
        <f>IF(OR(Y166="",X166=""),"",IFERROR(Y166*INDEX(FXRates[USD per unit],MATCH(X166,FXRates[Currency],0)),"No rate"))</f>
        <v/>
      </c>
      <c r="AA166" s="38" t="n"/>
      <c r="AB166" s="38" t="n"/>
      <c r="AC166" s="41">
        <f>IF(A166="","",IF(COUNTIF($A$6:$A$504,A166)&gt;1,"⚠ Duplicate",""))</f>
        <v/>
      </c>
      <c r="AD166" s="40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  <c r="AR166" s="42" t="n"/>
      <c r="AS166" s="40" t="n"/>
      <c r="AT166" s="42" t="n"/>
      <c r="AU166" s="42" t="n"/>
      <c r="AV166" s="42" t="n"/>
      <c r="AW166" s="42" t="n"/>
      <c r="AX166" s="42" t="n"/>
      <c r="AY166" s="42" t="n"/>
      <c r="AZ166" s="42" t="n"/>
      <c r="BA166" s="42" t="n"/>
      <c r="BB166" s="42" t="n"/>
      <c r="BC166" s="42" t="n"/>
      <c r="BD166" s="42" t="n"/>
      <c r="BE166" s="42" t="n"/>
      <c r="BF166" s="42" t="n"/>
      <c r="BG166" s="42" t="n"/>
      <c r="BH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157">
        <f>IF(OR(Y167="",X167=""),"",IFERROR(Y167*INDEX(FXRates[USD per unit],MATCH(X167,FXRates[Currency],0)),"No rate"))</f>
        <v/>
      </c>
      <c r="AA167" s="32" t="n"/>
      <c r="AB167" s="32" t="n"/>
      <c r="AC167" s="36">
        <f>IF(A167="","",IF(COUNTIF($A$6:$A$504,A167)&gt;1,"⚠ Duplicate",""))</f>
        <v/>
      </c>
      <c r="AD167" s="35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  <c r="AQ167" s="43" t="n"/>
      <c r="AR167" s="43" t="n"/>
      <c r="AS167" s="35" t="n"/>
      <c r="AT167" s="43" t="n"/>
      <c r="AU167" s="43" t="n"/>
      <c r="AV167" s="43" t="n"/>
      <c r="AW167" s="43" t="n"/>
      <c r="AX167" s="43" t="n"/>
      <c r="AY167" s="43" t="n"/>
      <c r="AZ167" s="43" t="n"/>
      <c r="BA167" s="43" t="n"/>
      <c r="BB167" s="43" t="n"/>
      <c r="BC167" s="43" t="n"/>
      <c r="BD167" s="43" t="n"/>
      <c r="BE167" s="43" t="n"/>
      <c r="BF167" s="43" t="n"/>
      <c r="BG167" s="43" t="n"/>
      <c r="BH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158">
        <f>IF(OR(Y168="",X168=""),"",IFERROR(Y168*INDEX(FXRates[USD per unit],MATCH(X168,FXRates[Currency],0)),"No rate"))</f>
        <v/>
      </c>
      <c r="AA168" s="38" t="n"/>
      <c r="AB168" s="38" t="n"/>
      <c r="AC168" s="41">
        <f>IF(A168="","",IF(COUNTIF($A$6:$A$504,A168)&gt;1,"⚠ Duplicate",""))</f>
        <v/>
      </c>
      <c r="AD168" s="40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  <c r="AR168" s="42" t="n"/>
      <c r="AS168" s="40" t="n"/>
      <c r="AT168" s="42" t="n"/>
      <c r="AU168" s="42" t="n"/>
      <c r="AV168" s="42" t="n"/>
      <c r="AW168" s="42" t="n"/>
      <c r="AX168" s="42" t="n"/>
      <c r="AY168" s="42" t="n"/>
      <c r="AZ168" s="42" t="n"/>
      <c r="BA168" s="42" t="n"/>
      <c r="BB168" s="42" t="n"/>
      <c r="BC168" s="42" t="n"/>
      <c r="BD168" s="42" t="n"/>
      <c r="BE168" s="42" t="n"/>
      <c r="BF168" s="42" t="n"/>
      <c r="BG168" s="42" t="n"/>
      <c r="BH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157">
        <f>IF(OR(Y169="",X169=""),"",IFERROR(Y169*INDEX(FXRates[USD per unit],MATCH(X169,FXRates[Currency],0)),"No rate"))</f>
        <v/>
      </c>
      <c r="AA169" s="32" t="n"/>
      <c r="AB169" s="32" t="n"/>
      <c r="AC169" s="36">
        <f>IF(A169="","",IF(COUNTIF($A$6:$A$504,A169)&gt;1,"⚠ Duplicate",""))</f>
        <v/>
      </c>
      <c r="AD169" s="35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  <c r="AQ169" s="43" t="n"/>
      <c r="AR169" s="43" t="n"/>
      <c r="AS169" s="35" t="n"/>
      <c r="AT169" s="43" t="n"/>
      <c r="AU169" s="43" t="n"/>
      <c r="AV169" s="43" t="n"/>
      <c r="AW169" s="43" t="n"/>
      <c r="AX169" s="43" t="n"/>
      <c r="AY169" s="43" t="n"/>
      <c r="AZ169" s="43" t="n"/>
      <c r="BA169" s="43" t="n"/>
      <c r="BB169" s="43" t="n"/>
      <c r="BC169" s="43" t="n"/>
      <c r="BD169" s="43" t="n"/>
      <c r="BE169" s="43" t="n"/>
      <c r="BF169" s="43" t="n"/>
      <c r="BG169" s="43" t="n"/>
      <c r="BH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158">
        <f>IF(OR(Y170="",X170=""),"",IFERROR(Y170*INDEX(FXRates[USD per unit],MATCH(X170,FXRates[Currency],0)),"No rate"))</f>
        <v/>
      </c>
      <c r="AA170" s="38" t="n"/>
      <c r="AB170" s="38" t="n"/>
      <c r="AC170" s="41">
        <f>IF(A170="","",IF(COUNTIF($A$6:$A$504,A170)&gt;1,"⚠ Duplicate",""))</f>
        <v/>
      </c>
      <c r="AD170" s="40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  <c r="AR170" s="42" t="n"/>
      <c r="AS170" s="40" t="n"/>
      <c r="AT170" s="42" t="n"/>
      <c r="AU170" s="42" t="n"/>
      <c r="AV170" s="42" t="n"/>
      <c r="AW170" s="42" t="n"/>
      <c r="AX170" s="42" t="n"/>
      <c r="AY170" s="42" t="n"/>
      <c r="AZ170" s="42" t="n"/>
      <c r="BA170" s="42" t="n"/>
      <c r="BB170" s="42" t="n"/>
      <c r="BC170" s="42" t="n"/>
      <c r="BD170" s="42" t="n"/>
      <c r="BE170" s="42" t="n"/>
      <c r="BF170" s="42" t="n"/>
      <c r="BG170" s="42" t="n"/>
      <c r="BH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157">
        <f>IF(OR(Y171="",X171=""),"",IFERROR(Y171*INDEX(FXRates[USD per unit],MATCH(X171,FXRates[Currency],0)),"No rate"))</f>
        <v/>
      </c>
      <c r="AA171" s="32" t="n"/>
      <c r="AB171" s="32" t="n"/>
      <c r="AC171" s="36">
        <f>IF(A171="","",IF(COUNTIF($A$6:$A$504,A171)&gt;1,"⚠ Duplicate",""))</f>
        <v/>
      </c>
      <c r="AD171" s="35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  <c r="AQ171" s="43" t="n"/>
      <c r="AR171" s="43" t="n"/>
      <c r="AS171" s="35" t="n"/>
      <c r="AT171" s="43" t="n"/>
      <c r="AU171" s="43" t="n"/>
      <c r="AV171" s="43" t="n"/>
      <c r="AW171" s="43" t="n"/>
      <c r="AX171" s="43" t="n"/>
      <c r="AY171" s="43" t="n"/>
      <c r="AZ171" s="43" t="n"/>
      <c r="BA171" s="43" t="n"/>
      <c r="BB171" s="43" t="n"/>
      <c r="BC171" s="43" t="n"/>
      <c r="BD171" s="43" t="n"/>
      <c r="BE171" s="43" t="n"/>
      <c r="BF171" s="43" t="n"/>
      <c r="BG171" s="43" t="n"/>
      <c r="BH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158">
        <f>IF(OR(Y172="",X172=""),"",IFERROR(Y172*INDEX(FXRates[USD per unit],MATCH(X172,FXRates[Currency],0)),"No rate"))</f>
        <v/>
      </c>
      <c r="AA172" s="38" t="n"/>
      <c r="AB172" s="38" t="n"/>
      <c r="AC172" s="41">
        <f>IF(A172="","",IF(COUNTIF($A$6:$A$504,A172)&gt;1,"⚠ Duplicate",""))</f>
        <v/>
      </c>
      <c r="AD172" s="40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  <c r="AR172" s="42" t="n"/>
      <c r="AS172" s="40" t="n"/>
      <c r="AT172" s="42" t="n"/>
      <c r="AU172" s="42" t="n"/>
      <c r="AV172" s="42" t="n"/>
      <c r="AW172" s="42" t="n"/>
      <c r="AX172" s="42" t="n"/>
      <c r="AY172" s="42" t="n"/>
      <c r="AZ172" s="42" t="n"/>
      <c r="BA172" s="42" t="n"/>
      <c r="BB172" s="42" t="n"/>
      <c r="BC172" s="42" t="n"/>
      <c r="BD172" s="42" t="n"/>
      <c r="BE172" s="42" t="n"/>
      <c r="BF172" s="42" t="n"/>
      <c r="BG172" s="42" t="n"/>
      <c r="BH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157">
        <f>IF(OR(Y173="",X173=""),"",IFERROR(Y173*INDEX(FXRates[USD per unit],MATCH(X173,FXRates[Currency],0)),"No rate"))</f>
        <v/>
      </c>
      <c r="AA173" s="32" t="n"/>
      <c r="AB173" s="32" t="n"/>
      <c r="AC173" s="36">
        <f>IF(A173="","",IF(COUNTIF($A$6:$A$504,A173)&gt;1,"⚠ Duplicate",""))</f>
        <v/>
      </c>
      <c r="AD173" s="35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  <c r="AQ173" s="43" t="n"/>
      <c r="AR173" s="43" t="n"/>
      <c r="AS173" s="35" t="n"/>
      <c r="AT173" s="43" t="n"/>
      <c r="AU173" s="43" t="n"/>
      <c r="AV173" s="43" t="n"/>
      <c r="AW173" s="43" t="n"/>
      <c r="AX173" s="43" t="n"/>
      <c r="AY173" s="43" t="n"/>
      <c r="AZ173" s="43" t="n"/>
      <c r="BA173" s="43" t="n"/>
      <c r="BB173" s="43" t="n"/>
      <c r="BC173" s="43" t="n"/>
      <c r="BD173" s="43" t="n"/>
      <c r="BE173" s="43" t="n"/>
      <c r="BF173" s="43" t="n"/>
      <c r="BG173" s="43" t="n"/>
      <c r="BH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158">
        <f>IF(OR(Y174="",X174=""),"",IFERROR(Y174*INDEX(FXRates[USD per unit],MATCH(X174,FXRates[Currency],0)),"No rate"))</f>
        <v/>
      </c>
      <c r="AA174" s="38" t="n"/>
      <c r="AB174" s="38" t="n"/>
      <c r="AC174" s="41">
        <f>IF(A174="","",IF(COUNTIF($A$6:$A$504,A174)&gt;1,"⚠ Duplicate",""))</f>
        <v/>
      </c>
      <c r="AD174" s="40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  <c r="AR174" s="42" t="n"/>
      <c r="AS174" s="40" t="n"/>
      <c r="AT174" s="42" t="n"/>
      <c r="AU174" s="42" t="n"/>
      <c r="AV174" s="42" t="n"/>
      <c r="AW174" s="42" t="n"/>
      <c r="AX174" s="42" t="n"/>
      <c r="AY174" s="42" t="n"/>
      <c r="AZ174" s="42" t="n"/>
      <c r="BA174" s="42" t="n"/>
      <c r="BB174" s="42" t="n"/>
      <c r="BC174" s="42" t="n"/>
      <c r="BD174" s="42" t="n"/>
      <c r="BE174" s="42" t="n"/>
      <c r="BF174" s="42" t="n"/>
      <c r="BG174" s="42" t="n"/>
      <c r="BH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157">
        <f>IF(OR(Y175="",X175=""),"",IFERROR(Y175*INDEX(FXRates[USD per unit],MATCH(X175,FXRates[Currency],0)),"No rate"))</f>
        <v/>
      </c>
      <c r="AA175" s="32" t="n"/>
      <c r="AB175" s="32" t="n"/>
      <c r="AC175" s="36">
        <f>IF(A175="","",IF(COUNTIF($A$6:$A$504,A175)&gt;1,"⚠ Duplicate",""))</f>
        <v/>
      </c>
      <c r="AD175" s="35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  <c r="AQ175" s="43" t="n"/>
      <c r="AR175" s="43" t="n"/>
      <c r="AS175" s="35" t="n"/>
      <c r="AT175" s="43" t="n"/>
      <c r="AU175" s="43" t="n"/>
      <c r="AV175" s="43" t="n"/>
      <c r="AW175" s="43" t="n"/>
      <c r="AX175" s="43" t="n"/>
      <c r="AY175" s="43" t="n"/>
      <c r="AZ175" s="43" t="n"/>
      <c r="BA175" s="43" t="n"/>
      <c r="BB175" s="43" t="n"/>
      <c r="BC175" s="43" t="n"/>
      <c r="BD175" s="43" t="n"/>
      <c r="BE175" s="43" t="n"/>
      <c r="BF175" s="43" t="n"/>
      <c r="BG175" s="43" t="n"/>
      <c r="BH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158">
        <f>IF(OR(Y176="",X176=""),"",IFERROR(Y176*INDEX(FXRates[USD per unit],MATCH(X176,FXRates[Currency],0)),"No rate"))</f>
        <v/>
      </c>
      <c r="AA176" s="38" t="n"/>
      <c r="AB176" s="38" t="n"/>
      <c r="AC176" s="41">
        <f>IF(A176="","",IF(COUNTIF($A$6:$A$504,A176)&gt;1,"⚠ Duplicate",""))</f>
        <v/>
      </c>
      <c r="AD176" s="40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  <c r="AR176" s="42" t="n"/>
      <c r="AS176" s="40" t="n"/>
      <c r="AT176" s="42" t="n"/>
      <c r="AU176" s="42" t="n"/>
      <c r="AV176" s="42" t="n"/>
      <c r="AW176" s="42" t="n"/>
      <c r="AX176" s="42" t="n"/>
      <c r="AY176" s="42" t="n"/>
      <c r="AZ176" s="42" t="n"/>
      <c r="BA176" s="42" t="n"/>
      <c r="BB176" s="42" t="n"/>
      <c r="BC176" s="42" t="n"/>
      <c r="BD176" s="42" t="n"/>
      <c r="BE176" s="42" t="n"/>
      <c r="BF176" s="42" t="n"/>
      <c r="BG176" s="42" t="n"/>
      <c r="BH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157">
        <f>IF(OR(Y177="",X177=""),"",IFERROR(Y177*INDEX(FXRates[USD per unit],MATCH(X177,FXRates[Currency],0)),"No rate"))</f>
        <v/>
      </c>
      <c r="AA177" s="32" t="n"/>
      <c r="AB177" s="32" t="n"/>
      <c r="AC177" s="36">
        <f>IF(A177="","",IF(COUNTIF($A$6:$A$504,A177)&gt;1,"⚠ Duplicate",""))</f>
        <v/>
      </c>
      <c r="AD177" s="35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  <c r="AQ177" s="43" t="n"/>
      <c r="AR177" s="43" t="n"/>
      <c r="AS177" s="35" t="n"/>
      <c r="AT177" s="43" t="n"/>
      <c r="AU177" s="43" t="n"/>
      <c r="AV177" s="43" t="n"/>
      <c r="AW177" s="43" t="n"/>
      <c r="AX177" s="43" t="n"/>
      <c r="AY177" s="43" t="n"/>
      <c r="AZ177" s="43" t="n"/>
      <c r="BA177" s="43" t="n"/>
      <c r="BB177" s="43" t="n"/>
      <c r="BC177" s="43" t="n"/>
      <c r="BD177" s="43" t="n"/>
      <c r="BE177" s="43" t="n"/>
      <c r="BF177" s="43" t="n"/>
      <c r="BG177" s="43" t="n"/>
      <c r="BH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158">
        <f>IF(OR(Y178="",X178=""),"",IFERROR(Y178*INDEX(FXRates[USD per unit],MATCH(X178,FXRates[Currency],0)),"No rate"))</f>
        <v/>
      </c>
      <c r="AA178" s="38" t="n"/>
      <c r="AB178" s="38" t="n"/>
      <c r="AC178" s="41">
        <f>IF(A178="","",IF(COUNTIF($A$6:$A$504,A178)&gt;1,"⚠ Duplicate",""))</f>
        <v/>
      </c>
      <c r="AD178" s="40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  <c r="AR178" s="42" t="n"/>
      <c r="AS178" s="40" t="n"/>
      <c r="AT178" s="42" t="n"/>
      <c r="AU178" s="42" t="n"/>
      <c r="AV178" s="42" t="n"/>
      <c r="AW178" s="42" t="n"/>
      <c r="AX178" s="42" t="n"/>
      <c r="AY178" s="42" t="n"/>
      <c r="AZ178" s="42" t="n"/>
      <c r="BA178" s="42" t="n"/>
      <c r="BB178" s="42" t="n"/>
      <c r="BC178" s="42" t="n"/>
      <c r="BD178" s="42" t="n"/>
      <c r="BE178" s="42" t="n"/>
      <c r="BF178" s="42" t="n"/>
      <c r="BG178" s="42" t="n"/>
      <c r="BH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157">
        <f>IF(OR(Y179="",X179=""),"",IFERROR(Y179*INDEX(FXRates[USD per unit],MATCH(X179,FXRates[Currency],0)),"No rate"))</f>
        <v/>
      </c>
      <c r="AA179" s="32" t="n"/>
      <c r="AB179" s="32" t="n"/>
      <c r="AC179" s="36">
        <f>IF(A179="","",IF(COUNTIF($A$6:$A$504,A179)&gt;1,"⚠ Duplicate",""))</f>
        <v/>
      </c>
      <c r="AD179" s="35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  <c r="AQ179" s="43" t="n"/>
      <c r="AR179" s="43" t="n"/>
      <c r="AS179" s="35" t="n"/>
      <c r="AT179" s="43" t="n"/>
      <c r="AU179" s="43" t="n"/>
      <c r="AV179" s="43" t="n"/>
      <c r="AW179" s="43" t="n"/>
      <c r="AX179" s="43" t="n"/>
      <c r="AY179" s="43" t="n"/>
      <c r="AZ179" s="43" t="n"/>
      <c r="BA179" s="43" t="n"/>
      <c r="BB179" s="43" t="n"/>
      <c r="BC179" s="43" t="n"/>
      <c r="BD179" s="43" t="n"/>
      <c r="BE179" s="43" t="n"/>
      <c r="BF179" s="43" t="n"/>
      <c r="BG179" s="43" t="n"/>
      <c r="BH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158">
        <f>IF(OR(Y180="",X180=""),"",IFERROR(Y180*INDEX(FXRates[USD per unit],MATCH(X180,FXRates[Currency],0)),"No rate"))</f>
        <v/>
      </c>
      <c r="AA180" s="38" t="n"/>
      <c r="AB180" s="38" t="n"/>
      <c r="AC180" s="41">
        <f>IF(A180="","",IF(COUNTIF($A$6:$A$504,A180)&gt;1,"⚠ Duplicate",""))</f>
        <v/>
      </c>
      <c r="AD180" s="40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  <c r="AR180" s="42" t="n"/>
      <c r="AS180" s="40" t="n"/>
      <c r="AT180" s="42" t="n"/>
      <c r="AU180" s="42" t="n"/>
      <c r="AV180" s="42" t="n"/>
      <c r="AW180" s="42" t="n"/>
      <c r="AX180" s="42" t="n"/>
      <c r="AY180" s="42" t="n"/>
      <c r="AZ180" s="42" t="n"/>
      <c r="BA180" s="42" t="n"/>
      <c r="BB180" s="42" t="n"/>
      <c r="BC180" s="42" t="n"/>
      <c r="BD180" s="42" t="n"/>
      <c r="BE180" s="42" t="n"/>
      <c r="BF180" s="42" t="n"/>
      <c r="BG180" s="42" t="n"/>
      <c r="BH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157">
        <f>IF(OR(Y181="",X181=""),"",IFERROR(Y181*INDEX(FXRates[USD per unit],MATCH(X181,FXRates[Currency],0)),"No rate"))</f>
        <v/>
      </c>
      <c r="AA181" s="32" t="n"/>
      <c r="AB181" s="32" t="n"/>
      <c r="AC181" s="36">
        <f>IF(A181="","",IF(COUNTIF($A$6:$A$504,A181)&gt;1,"⚠ Duplicate",""))</f>
        <v/>
      </c>
      <c r="AD181" s="35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  <c r="AQ181" s="43" t="n"/>
      <c r="AR181" s="43" t="n"/>
      <c r="AS181" s="35" t="n"/>
      <c r="AT181" s="43" t="n"/>
      <c r="AU181" s="43" t="n"/>
      <c r="AV181" s="43" t="n"/>
      <c r="AW181" s="43" t="n"/>
      <c r="AX181" s="43" t="n"/>
      <c r="AY181" s="43" t="n"/>
      <c r="AZ181" s="43" t="n"/>
      <c r="BA181" s="43" t="n"/>
      <c r="BB181" s="43" t="n"/>
      <c r="BC181" s="43" t="n"/>
      <c r="BD181" s="43" t="n"/>
      <c r="BE181" s="43" t="n"/>
      <c r="BF181" s="43" t="n"/>
      <c r="BG181" s="43" t="n"/>
      <c r="BH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158">
        <f>IF(OR(Y182="",X182=""),"",IFERROR(Y182*INDEX(FXRates[USD per unit],MATCH(X182,FXRates[Currency],0)),"No rate"))</f>
        <v/>
      </c>
      <c r="AA182" s="38" t="n"/>
      <c r="AB182" s="38" t="n"/>
      <c r="AC182" s="41">
        <f>IF(A182="","",IF(COUNTIF($A$6:$A$504,A182)&gt;1,"⚠ Duplicate",""))</f>
        <v/>
      </c>
      <c r="AD182" s="40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  <c r="AR182" s="42" t="n"/>
      <c r="AS182" s="40" t="n"/>
      <c r="AT182" s="42" t="n"/>
      <c r="AU182" s="42" t="n"/>
      <c r="AV182" s="42" t="n"/>
      <c r="AW182" s="42" t="n"/>
      <c r="AX182" s="42" t="n"/>
      <c r="AY182" s="42" t="n"/>
      <c r="AZ182" s="42" t="n"/>
      <c r="BA182" s="42" t="n"/>
      <c r="BB182" s="42" t="n"/>
      <c r="BC182" s="42" t="n"/>
      <c r="BD182" s="42" t="n"/>
      <c r="BE182" s="42" t="n"/>
      <c r="BF182" s="42" t="n"/>
      <c r="BG182" s="42" t="n"/>
      <c r="BH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157">
        <f>IF(OR(Y183="",X183=""),"",IFERROR(Y183*INDEX(FXRates[USD per unit],MATCH(X183,FXRates[Currency],0)),"No rate"))</f>
        <v/>
      </c>
      <c r="AA183" s="32" t="n"/>
      <c r="AB183" s="32" t="n"/>
      <c r="AC183" s="36">
        <f>IF(A183="","",IF(COUNTIF($A$6:$A$504,A183)&gt;1,"⚠ Duplicate",""))</f>
        <v/>
      </c>
      <c r="AD183" s="35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  <c r="AQ183" s="43" t="n"/>
      <c r="AR183" s="43" t="n"/>
      <c r="AS183" s="35" t="n"/>
      <c r="AT183" s="43" t="n"/>
      <c r="AU183" s="43" t="n"/>
      <c r="AV183" s="43" t="n"/>
      <c r="AW183" s="43" t="n"/>
      <c r="AX183" s="43" t="n"/>
      <c r="AY183" s="43" t="n"/>
      <c r="AZ183" s="43" t="n"/>
      <c r="BA183" s="43" t="n"/>
      <c r="BB183" s="43" t="n"/>
      <c r="BC183" s="43" t="n"/>
      <c r="BD183" s="43" t="n"/>
      <c r="BE183" s="43" t="n"/>
      <c r="BF183" s="43" t="n"/>
      <c r="BG183" s="43" t="n"/>
      <c r="BH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158">
        <f>IF(OR(Y184="",X184=""),"",IFERROR(Y184*INDEX(FXRates[USD per unit],MATCH(X184,FXRates[Currency],0)),"No rate"))</f>
        <v/>
      </c>
      <c r="AA184" s="38" t="n"/>
      <c r="AB184" s="38" t="n"/>
      <c r="AC184" s="41">
        <f>IF(A184="","",IF(COUNTIF($A$6:$A$504,A184)&gt;1,"⚠ Duplicate",""))</f>
        <v/>
      </c>
      <c r="AD184" s="40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  <c r="AR184" s="42" t="n"/>
      <c r="AS184" s="40" t="n"/>
      <c r="AT184" s="42" t="n"/>
      <c r="AU184" s="42" t="n"/>
      <c r="AV184" s="42" t="n"/>
      <c r="AW184" s="42" t="n"/>
      <c r="AX184" s="42" t="n"/>
      <c r="AY184" s="42" t="n"/>
      <c r="AZ184" s="42" t="n"/>
      <c r="BA184" s="42" t="n"/>
      <c r="BB184" s="42" t="n"/>
      <c r="BC184" s="42" t="n"/>
      <c r="BD184" s="42" t="n"/>
      <c r="BE184" s="42" t="n"/>
      <c r="BF184" s="42" t="n"/>
      <c r="BG184" s="42" t="n"/>
      <c r="BH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157">
        <f>IF(OR(Y185="",X185=""),"",IFERROR(Y185*INDEX(FXRates[USD per unit],MATCH(X185,FXRates[Currency],0)),"No rate"))</f>
        <v/>
      </c>
      <c r="AA185" s="32" t="n"/>
      <c r="AB185" s="32" t="n"/>
      <c r="AC185" s="36">
        <f>IF(A185="","",IF(COUNTIF($A$6:$A$504,A185)&gt;1,"⚠ Duplicate",""))</f>
        <v/>
      </c>
      <c r="AD185" s="35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  <c r="AQ185" s="43" t="n"/>
      <c r="AR185" s="43" t="n"/>
      <c r="AS185" s="35" t="n"/>
      <c r="AT185" s="43" t="n"/>
      <c r="AU185" s="43" t="n"/>
      <c r="AV185" s="43" t="n"/>
      <c r="AW185" s="43" t="n"/>
      <c r="AX185" s="43" t="n"/>
      <c r="AY185" s="43" t="n"/>
      <c r="AZ185" s="43" t="n"/>
      <c r="BA185" s="43" t="n"/>
      <c r="BB185" s="43" t="n"/>
      <c r="BC185" s="43" t="n"/>
      <c r="BD185" s="43" t="n"/>
      <c r="BE185" s="43" t="n"/>
      <c r="BF185" s="43" t="n"/>
      <c r="BG185" s="43" t="n"/>
      <c r="BH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158">
        <f>IF(OR(Y186="",X186=""),"",IFERROR(Y186*INDEX(FXRates[USD per unit],MATCH(X186,FXRates[Currency],0)),"No rate"))</f>
        <v/>
      </c>
      <c r="AA186" s="38" t="n"/>
      <c r="AB186" s="38" t="n"/>
      <c r="AC186" s="41">
        <f>IF(A186="","",IF(COUNTIF($A$6:$A$504,A186)&gt;1,"⚠ Duplicate",""))</f>
        <v/>
      </c>
      <c r="AD186" s="40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  <c r="AR186" s="42" t="n"/>
      <c r="AS186" s="40" t="n"/>
      <c r="AT186" s="42" t="n"/>
      <c r="AU186" s="42" t="n"/>
      <c r="AV186" s="42" t="n"/>
      <c r="AW186" s="42" t="n"/>
      <c r="AX186" s="42" t="n"/>
      <c r="AY186" s="42" t="n"/>
      <c r="AZ186" s="42" t="n"/>
      <c r="BA186" s="42" t="n"/>
      <c r="BB186" s="42" t="n"/>
      <c r="BC186" s="42" t="n"/>
      <c r="BD186" s="42" t="n"/>
      <c r="BE186" s="42" t="n"/>
      <c r="BF186" s="42" t="n"/>
      <c r="BG186" s="42" t="n"/>
      <c r="BH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157">
        <f>IF(OR(Y187="",X187=""),"",IFERROR(Y187*INDEX(FXRates[USD per unit],MATCH(X187,FXRates[Currency],0)),"No rate"))</f>
        <v/>
      </c>
      <c r="AA187" s="32" t="n"/>
      <c r="AB187" s="32" t="n"/>
      <c r="AC187" s="36">
        <f>IF(A187="","",IF(COUNTIF($A$6:$A$504,A187)&gt;1,"⚠ Duplicate",""))</f>
        <v/>
      </c>
      <c r="AD187" s="35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  <c r="AQ187" s="43" t="n"/>
      <c r="AR187" s="43" t="n"/>
      <c r="AS187" s="35" t="n"/>
      <c r="AT187" s="43" t="n"/>
      <c r="AU187" s="43" t="n"/>
      <c r="AV187" s="43" t="n"/>
      <c r="AW187" s="43" t="n"/>
      <c r="AX187" s="43" t="n"/>
      <c r="AY187" s="43" t="n"/>
      <c r="AZ187" s="43" t="n"/>
      <c r="BA187" s="43" t="n"/>
      <c r="BB187" s="43" t="n"/>
      <c r="BC187" s="43" t="n"/>
      <c r="BD187" s="43" t="n"/>
      <c r="BE187" s="43" t="n"/>
      <c r="BF187" s="43" t="n"/>
      <c r="BG187" s="43" t="n"/>
      <c r="BH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158">
        <f>IF(OR(Y188="",X188=""),"",IFERROR(Y188*INDEX(FXRates[USD per unit],MATCH(X188,FXRates[Currency],0)),"No rate"))</f>
        <v/>
      </c>
      <c r="AA188" s="38" t="n"/>
      <c r="AB188" s="38" t="n"/>
      <c r="AC188" s="41">
        <f>IF(A188="","",IF(COUNTIF($A$6:$A$504,A188)&gt;1,"⚠ Duplicate",""))</f>
        <v/>
      </c>
      <c r="AD188" s="40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  <c r="AR188" s="42" t="n"/>
      <c r="AS188" s="40" t="n"/>
      <c r="AT188" s="42" t="n"/>
      <c r="AU188" s="42" t="n"/>
      <c r="AV188" s="42" t="n"/>
      <c r="AW188" s="42" t="n"/>
      <c r="AX188" s="42" t="n"/>
      <c r="AY188" s="42" t="n"/>
      <c r="AZ188" s="42" t="n"/>
      <c r="BA188" s="42" t="n"/>
      <c r="BB188" s="42" t="n"/>
      <c r="BC188" s="42" t="n"/>
      <c r="BD188" s="42" t="n"/>
      <c r="BE188" s="42" t="n"/>
      <c r="BF188" s="42" t="n"/>
      <c r="BG188" s="42" t="n"/>
      <c r="BH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157">
        <f>IF(OR(Y189="",X189=""),"",IFERROR(Y189*INDEX(FXRates[USD per unit],MATCH(X189,FXRates[Currency],0)),"No rate"))</f>
        <v/>
      </c>
      <c r="AA189" s="32" t="n"/>
      <c r="AB189" s="32" t="n"/>
      <c r="AC189" s="36">
        <f>IF(A189="","",IF(COUNTIF($A$6:$A$504,A189)&gt;1,"⚠ Duplicate",""))</f>
        <v/>
      </c>
      <c r="AD189" s="35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  <c r="AR189" s="43" t="n"/>
      <c r="AS189" s="35" t="n"/>
      <c r="AT189" s="43" t="n"/>
      <c r="AU189" s="43" t="n"/>
      <c r="AV189" s="43" t="n"/>
      <c r="AW189" s="43" t="n"/>
      <c r="AX189" s="43" t="n"/>
      <c r="AY189" s="43" t="n"/>
      <c r="AZ189" s="43" t="n"/>
      <c r="BA189" s="43" t="n"/>
      <c r="BB189" s="43" t="n"/>
      <c r="BC189" s="43" t="n"/>
      <c r="BD189" s="43" t="n"/>
      <c r="BE189" s="43" t="n"/>
      <c r="BF189" s="43" t="n"/>
      <c r="BG189" s="43" t="n"/>
      <c r="BH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158">
        <f>IF(OR(Y190="",X190=""),"",IFERROR(Y190*INDEX(FXRates[USD per unit],MATCH(X190,FXRates[Currency],0)),"No rate"))</f>
        <v/>
      </c>
      <c r="AA190" s="38" t="n"/>
      <c r="AB190" s="38" t="n"/>
      <c r="AC190" s="41">
        <f>IF(A190="","",IF(COUNTIF($A$6:$A$504,A190)&gt;1,"⚠ Duplicate",""))</f>
        <v/>
      </c>
      <c r="AD190" s="40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  <c r="AR190" s="42" t="n"/>
      <c r="AS190" s="40" t="n"/>
      <c r="AT190" s="42" t="n"/>
      <c r="AU190" s="42" t="n"/>
      <c r="AV190" s="42" t="n"/>
      <c r="AW190" s="42" t="n"/>
      <c r="AX190" s="42" t="n"/>
      <c r="AY190" s="42" t="n"/>
      <c r="AZ190" s="42" t="n"/>
      <c r="BA190" s="42" t="n"/>
      <c r="BB190" s="42" t="n"/>
      <c r="BC190" s="42" t="n"/>
      <c r="BD190" s="42" t="n"/>
      <c r="BE190" s="42" t="n"/>
      <c r="BF190" s="42" t="n"/>
      <c r="BG190" s="42" t="n"/>
      <c r="BH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157">
        <f>IF(OR(Y191="",X191=""),"",IFERROR(Y191*INDEX(FXRates[USD per unit],MATCH(X191,FXRates[Currency],0)),"No rate"))</f>
        <v/>
      </c>
      <c r="AA191" s="32" t="n"/>
      <c r="AB191" s="32" t="n"/>
      <c r="AC191" s="36">
        <f>IF(A191="","",IF(COUNTIF($A$6:$A$504,A191)&gt;1,"⚠ Duplicate",""))</f>
        <v/>
      </c>
      <c r="AD191" s="35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  <c r="AQ191" s="43" t="n"/>
      <c r="AR191" s="43" t="n"/>
      <c r="AS191" s="35" t="n"/>
      <c r="AT191" s="43" t="n"/>
      <c r="AU191" s="43" t="n"/>
      <c r="AV191" s="43" t="n"/>
      <c r="AW191" s="43" t="n"/>
      <c r="AX191" s="43" t="n"/>
      <c r="AY191" s="43" t="n"/>
      <c r="AZ191" s="43" t="n"/>
      <c r="BA191" s="43" t="n"/>
      <c r="BB191" s="43" t="n"/>
      <c r="BC191" s="43" t="n"/>
      <c r="BD191" s="43" t="n"/>
      <c r="BE191" s="43" t="n"/>
      <c r="BF191" s="43" t="n"/>
      <c r="BG191" s="43" t="n"/>
      <c r="BH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158">
        <f>IF(OR(Y192="",X192=""),"",IFERROR(Y192*INDEX(FXRates[USD per unit],MATCH(X192,FXRates[Currency],0)),"No rate"))</f>
        <v/>
      </c>
      <c r="AA192" s="38" t="n"/>
      <c r="AB192" s="38" t="n"/>
      <c r="AC192" s="41">
        <f>IF(A192="","",IF(COUNTIF($A$6:$A$504,A192)&gt;1,"⚠ Duplicate",""))</f>
        <v/>
      </c>
      <c r="AD192" s="40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  <c r="AR192" s="42" t="n"/>
      <c r="AS192" s="40" t="n"/>
      <c r="AT192" s="42" t="n"/>
      <c r="AU192" s="42" t="n"/>
      <c r="AV192" s="42" t="n"/>
      <c r="AW192" s="42" t="n"/>
      <c r="AX192" s="42" t="n"/>
      <c r="AY192" s="42" t="n"/>
      <c r="AZ192" s="42" t="n"/>
      <c r="BA192" s="42" t="n"/>
      <c r="BB192" s="42" t="n"/>
      <c r="BC192" s="42" t="n"/>
      <c r="BD192" s="42" t="n"/>
      <c r="BE192" s="42" t="n"/>
      <c r="BF192" s="42" t="n"/>
      <c r="BG192" s="42" t="n"/>
      <c r="BH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157">
        <f>IF(OR(Y193="",X193=""),"",IFERROR(Y193*INDEX(FXRates[USD per unit],MATCH(X193,FXRates[Currency],0)),"No rate"))</f>
        <v/>
      </c>
      <c r="AA193" s="32" t="n"/>
      <c r="AB193" s="32" t="n"/>
      <c r="AC193" s="36">
        <f>IF(A193="","",IF(COUNTIF($A$6:$A$504,A193)&gt;1,"⚠ Duplicate",""))</f>
        <v/>
      </c>
      <c r="AD193" s="35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  <c r="AQ193" s="43" t="n"/>
      <c r="AR193" s="43" t="n"/>
      <c r="AS193" s="35" t="n"/>
      <c r="AT193" s="43" t="n"/>
      <c r="AU193" s="43" t="n"/>
      <c r="AV193" s="43" t="n"/>
      <c r="AW193" s="43" t="n"/>
      <c r="AX193" s="43" t="n"/>
      <c r="AY193" s="43" t="n"/>
      <c r="AZ193" s="43" t="n"/>
      <c r="BA193" s="43" t="n"/>
      <c r="BB193" s="43" t="n"/>
      <c r="BC193" s="43" t="n"/>
      <c r="BD193" s="43" t="n"/>
      <c r="BE193" s="43" t="n"/>
      <c r="BF193" s="43" t="n"/>
      <c r="BG193" s="43" t="n"/>
      <c r="BH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158">
        <f>IF(OR(Y194="",X194=""),"",IFERROR(Y194*INDEX(FXRates[USD per unit],MATCH(X194,FXRates[Currency],0)),"No rate"))</f>
        <v/>
      </c>
      <c r="AA194" s="38" t="n"/>
      <c r="AB194" s="38" t="n"/>
      <c r="AC194" s="41">
        <f>IF(A194="","",IF(COUNTIF($A$6:$A$504,A194)&gt;1,"⚠ Duplicate",""))</f>
        <v/>
      </c>
      <c r="AD194" s="40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  <c r="AR194" s="42" t="n"/>
      <c r="AS194" s="40" t="n"/>
      <c r="AT194" s="42" t="n"/>
      <c r="AU194" s="42" t="n"/>
      <c r="AV194" s="42" t="n"/>
      <c r="AW194" s="42" t="n"/>
      <c r="AX194" s="42" t="n"/>
      <c r="AY194" s="42" t="n"/>
      <c r="AZ194" s="42" t="n"/>
      <c r="BA194" s="42" t="n"/>
      <c r="BB194" s="42" t="n"/>
      <c r="BC194" s="42" t="n"/>
      <c r="BD194" s="42" t="n"/>
      <c r="BE194" s="42" t="n"/>
      <c r="BF194" s="42" t="n"/>
      <c r="BG194" s="42" t="n"/>
      <c r="BH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157">
        <f>IF(OR(Y195="",X195=""),"",IFERROR(Y195*INDEX(FXRates[USD per unit],MATCH(X195,FXRates[Currency],0)),"No rate"))</f>
        <v/>
      </c>
      <c r="AA195" s="32" t="n"/>
      <c r="AB195" s="32" t="n"/>
      <c r="AC195" s="36">
        <f>IF(A195="","",IF(COUNTIF($A$6:$A$504,A195)&gt;1,"⚠ Duplicate",""))</f>
        <v/>
      </c>
      <c r="AD195" s="35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  <c r="AQ195" s="43" t="n"/>
      <c r="AR195" s="43" t="n"/>
      <c r="AS195" s="35" t="n"/>
      <c r="AT195" s="43" t="n"/>
      <c r="AU195" s="43" t="n"/>
      <c r="AV195" s="43" t="n"/>
      <c r="AW195" s="43" t="n"/>
      <c r="AX195" s="43" t="n"/>
      <c r="AY195" s="43" t="n"/>
      <c r="AZ195" s="43" t="n"/>
      <c r="BA195" s="43" t="n"/>
      <c r="BB195" s="43" t="n"/>
      <c r="BC195" s="43" t="n"/>
      <c r="BD195" s="43" t="n"/>
      <c r="BE195" s="43" t="n"/>
      <c r="BF195" s="43" t="n"/>
      <c r="BG195" s="43" t="n"/>
      <c r="BH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158">
        <f>IF(OR(Y196="",X196=""),"",IFERROR(Y196*INDEX(FXRates[USD per unit],MATCH(X196,FXRates[Currency],0)),"No rate"))</f>
        <v/>
      </c>
      <c r="AA196" s="38" t="n"/>
      <c r="AB196" s="38" t="n"/>
      <c r="AC196" s="41">
        <f>IF(A196="","",IF(COUNTIF($A$6:$A$504,A196)&gt;1,"⚠ Duplicate",""))</f>
        <v/>
      </c>
      <c r="AD196" s="40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  <c r="AR196" s="42" t="n"/>
      <c r="AS196" s="40" t="n"/>
      <c r="AT196" s="42" t="n"/>
      <c r="AU196" s="42" t="n"/>
      <c r="AV196" s="42" t="n"/>
      <c r="AW196" s="42" t="n"/>
      <c r="AX196" s="42" t="n"/>
      <c r="AY196" s="42" t="n"/>
      <c r="AZ196" s="42" t="n"/>
      <c r="BA196" s="42" t="n"/>
      <c r="BB196" s="42" t="n"/>
      <c r="BC196" s="42" t="n"/>
      <c r="BD196" s="42" t="n"/>
      <c r="BE196" s="42" t="n"/>
      <c r="BF196" s="42" t="n"/>
      <c r="BG196" s="42" t="n"/>
      <c r="BH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157">
        <f>IF(OR(Y197="",X197=""),"",IFERROR(Y197*INDEX(FXRates[USD per unit],MATCH(X197,FXRates[Currency],0)),"No rate"))</f>
        <v/>
      </c>
      <c r="AA197" s="32" t="n"/>
      <c r="AB197" s="32" t="n"/>
      <c r="AC197" s="36">
        <f>IF(A197="","",IF(COUNTIF($A$6:$A$504,A197)&gt;1,"⚠ Duplicate",""))</f>
        <v/>
      </c>
      <c r="AD197" s="35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  <c r="AQ197" s="43" t="n"/>
      <c r="AR197" s="43" t="n"/>
      <c r="AS197" s="35" t="n"/>
      <c r="AT197" s="43" t="n"/>
      <c r="AU197" s="43" t="n"/>
      <c r="AV197" s="43" t="n"/>
      <c r="AW197" s="43" t="n"/>
      <c r="AX197" s="43" t="n"/>
      <c r="AY197" s="43" t="n"/>
      <c r="AZ197" s="43" t="n"/>
      <c r="BA197" s="43" t="n"/>
      <c r="BB197" s="43" t="n"/>
      <c r="BC197" s="43" t="n"/>
      <c r="BD197" s="43" t="n"/>
      <c r="BE197" s="43" t="n"/>
      <c r="BF197" s="43" t="n"/>
      <c r="BG197" s="43" t="n"/>
      <c r="BH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158">
        <f>IF(OR(Y198="",X198=""),"",IFERROR(Y198*INDEX(FXRates[USD per unit],MATCH(X198,FXRates[Currency],0)),"No rate"))</f>
        <v/>
      </c>
      <c r="AA198" s="38" t="n"/>
      <c r="AB198" s="38" t="n"/>
      <c r="AC198" s="41">
        <f>IF(A198="","",IF(COUNTIF($A$6:$A$504,A198)&gt;1,"⚠ Duplicate",""))</f>
        <v/>
      </c>
      <c r="AD198" s="40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  <c r="AR198" s="42" t="n"/>
      <c r="AS198" s="40" t="n"/>
      <c r="AT198" s="42" t="n"/>
      <c r="AU198" s="42" t="n"/>
      <c r="AV198" s="42" t="n"/>
      <c r="AW198" s="42" t="n"/>
      <c r="AX198" s="42" t="n"/>
      <c r="AY198" s="42" t="n"/>
      <c r="AZ198" s="42" t="n"/>
      <c r="BA198" s="42" t="n"/>
      <c r="BB198" s="42" t="n"/>
      <c r="BC198" s="42" t="n"/>
      <c r="BD198" s="42" t="n"/>
      <c r="BE198" s="42" t="n"/>
      <c r="BF198" s="42" t="n"/>
      <c r="BG198" s="42" t="n"/>
      <c r="BH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157">
        <f>IF(OR(Y199="",X199=""),"",IFERROR(Y199*INDEX(FXRates[USD per unit],MATCH(X199,FXRates[Currency],0)),"No rate"))</f>
        <v/>
      </c>
      <c r="AA199" s="32" t="n"/>
      <c r="AB199" s="32" t="n"/>
      <c r="AC199" s="36">
        <f>IF(A199="","",IF(COUNTIF($A$6:$A$504,A199)&gt;1,"⚠ Duplicate",""))</f>
        <v/>
      </c>
      <c r="AD199" s="35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  <c r="AQ199" s="43" t="n"/>
      <c r="AR199" s="43" t="n"/>
      <c r="AS199" s="35" t="n"/>
      <c r="AT199" s="43" t="n"/>
      <c r="AU199" s="43" t="n"/>
      <c r="AV199" s="43" t="n"/>
      <c r="AW199" s="43" t="n"/>
      <c r="AX199" s="43" t="n"/>
      <c r="AY199" s="43" t="n"/>
      <c r="AZ199" s="43" t="n"/>
      <c r="BA199" s="43" t="n"/>
      <c r="BB199" s="43" t="n"/>
      <c r="BC199" s="43" t="n"/>
      <c r="BD199" s="43" t="n"/>
      <c r="BE199" s="43" t="n"/>
      <c r="BF199" s="43" t="n"/>
      <c r="BG199" s="43" t="n"/>
      <c r="BH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158">
        <f>IF(OR(Y200="",X200=""),"",IFERROR(Y200*INDEX(FXRates[USD per unit],MATCH(X200,FXRates[Currency],0)),"No rate"))</f>
        <v/>
      </c>
      <c r="AA200" s="38" t="n"/>
      <c r="AB200" s="38" t="n"/>
      <c r="AC200" s="41">
        <f>IF(A200="","",IF(COUNTIF($A$6:$A$504,A200)&gt;1,"⚠ Duplicate",""))</f>
        <v/>
      </c>
      <c r="AD200" s="40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  <c r="AR200" s="42" t="n"/>
      <c r="AS200" s="40" t="n"/>
      <c r="AT200" s="42" t="n"/>
      <c r="AU200" s="42" t="n"/>
      <c r="AV200" s="42" t="n"/>
      <c r="AW200" s="42" t="n"/>
      <c r="AX200" s="42" t="n"/>
      <c r="AY200" s="42" t="n"/>
      <c r="AZ200" s="42" t="n"/>
      <c r="BA200" s="42" t="n"/>
      <c r="BB200" s="42" t="n"/>
      <c r="BC200" s="42" t="n"/>
      <c r="BD200" s="42" t="n"/>
      <c r="BE200" s="42" t="n"/>
      <c r="BF200" s="42" t="n"/>
      <c r="BG200" s="42" t="n"/>
      <c r="BH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157">
        <f>IF(OR(Y201="",X201=""),"",IFERROR(Y201*INDEX(FXRates[USD per unit],MATCH(X201,FXRates[Currency],0)),"No rate"))</f>
        <v/>
      </c>
      <c r="AA201" s="32" t="n"/>
      <c r="AB201" s="32" t="n"/>
      <c r="AC201" s="36">
        <f>IF(A201="","",IF(COUNTIF($A$6:$A$504,A201)&gt;1,"⚠ Duplicate",""))</f>
        <v/>
      </c>
      <c r="AD201" s="35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  <c r="AQ201" s="43" t="n"/>
      <c r="AR201" s="43" t="n"/>
      <c r="AS201" s="35" t="n"/>
      <c r="AT201" s="43" t="n"/>
      <c r="AU201" s="43" t="n"/>
      <c r="AV201" s="43" t="n"/>
      <c r="AW201" s="43" t="n"/>
      <c r="AX201" s="43" t="n"/>
      <c r="AY201" s="43" t="n"/>
      <c r="AZ201" s="43" t="n"/>
      <c r="BA201" s="43" t="n"/>
      <c r="BB201" s="43" t="n"/>
      <c r="BC201" s="43" t="n"/>
      <c r="BD201" s="43" t="n"/>
      <c r="BE201" s="43" t="n"/>
      <c r="BF201" s="43" t="n"/>
      <c r="BG201" s="43" t="n"/>
      <c r="BH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158">
        <f>IF(OR(Y202="",X202=""),"",IFERROR(Y202*INDEX(FXRates[USD per unit],MATCH(X202,FXRates[Currency],0)),"No rate"))</f>
        <v/>
      </c>
      <c r="AA202" s="38" t="n"/>
      <c r="AB202" s="38" t="n"/>
      <c r="AC202" s="41">
        <f>IF(A202="","",IF(COUNTIF($A$6:$A$504,A202)&gt;1,"⚠ Duplicate",""))</f>
        <v/>
      </c>
      <c r="AD202" s="40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  <c r="AR202" s="42" t="n"/>
      <c r="AS202" s="40" t="n"/>
      <c r="AT202" s="42" t="n"/>
      <c r="AU202" s="42" t="n"/>
      <c r="AV202" s="42" t="n"/>
      <c r="AW202" s="42" t="n"/>
      <c r="AX202" s="42" t="n"/>
      <c r="AY202" s="42" t="n"/>
      <c r="AZ202" s="42" t="n"/>
      <c r="BA202" s="42" t="n"/>
      <c r="BB202" s="42" t="n"/>
      <c r="BC202" s="42" t="n"/>
      <c r="BD202" s="42" t="n"/>
      <c r="BE202" s="42" t="n"/>
      <c r="BF202" s="42" t="n"/>
      <c r="BG202" s="42" t="n"/>
      <c r="BH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157">
        <f>IF(OR(Y203="",X203=""),"",IFERROR(Y203*INDEX(FXRates[USD per unit],MATCH(X203,FXRates[Currency],0)),"No rate"))</f>
        <v/>
      </c>
      <c r="AA203" s="32" t="n"/>
      <c r="AB203" s="32" t="n"/>
      <c r="AC203" s="36">
        <f>IF(A203="","",IF(COUNTIF($A$6:$A$504,A203)&gt;1,"⚠ Duplicate",""))</f>
        <v/>
      </c>
      <c r="AD203" s="35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  <c r="AQ203" s="43" t="n"/>
      <c r="AR203" s="43" t="n"/>
      <c r="AS203" s="35" t="n"/>
      <c r="AT203" s="43" t="n"/>
      <c r="AU203" s="43" t="n"/>
      <c r="AV203" s="43" t="n"/>
      <c r="AW203" s="43" t="n"/>
      <c r="AX203" s="43" t="n"/>
      <c r="AY203" s="43" t="n"/>
      <c r="AZ203" s="43" t="n"/>
      <c r="BA203" s="43" t="n"/>
      <c r="BB203" s="43" t="n"/>
      <c r="BC203" s="43" t="n"/>
      <c r="BD203" s="43" t="n"/>
      <c r="BE203" s="43" t="n"/>
      <c r="BF203" s="43" t="n"/>
      <c r="BG203" s="43" t="n"/>
      <c r="BH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158">
        <f>IF(OR(Y204="",X204=""),"",IFERROR(Y204*INDEX(FXRates[USD per unit],MATCH(X204,FXRates[Currency],0)),"No rate"))</f>
        <v/>
      </c>
      <c r="AA204" s="38" t="n"/>
      <c r="AB204" s="38" t="n"/>
      <c r="AC204" s="41">
        <f>IF(A204="","",IF(COUNTIF($A$6:$A$504,A204)&gt;1,"⚠ Duplicate",""))</f>
        <v/>
      </c>
      <c r="AD204" s="40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  <c r="AR204" s="42" t="n"/>
      <c r="AS204" s="40" t="n"/>
      <c r="AT204" s="42" t="n"/>
      <c r="AU204" s="42" t="n"/>
      <c r="AV204" s="42" t="n"/>
      <c r="AW204" s="42" t="n"/>
      <c r="AX204" s="42" t="n"/>
      <c r="AY204" s="42" t="n"/>
      <c r="AZ204" s="42" t="n"/>
      <c r="BA204" s="42" t="n"/>
      <c r="BB204" s="42" t="n"/>
      <c r="BC204" s="42" t="n"/>
      <c r="BD204" s="42" t="n"/>
      <c r="BE204" s="42" t="n"/>
      <c r="BF204" s="42" t="n"/>
      <c r="BG204" s="42" t="n"/>
      <c r="BH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157">
        <f>IF(OR(Y205="",X205=""),"",IFERROR(Y205*INDEX(FXRates[USD per unit],MATCH(X205,FXRates[Currency],0)),"No rate"))</f>
        <v/>
      </c>
      <c r="AA205" s="32" t="n"/>
      <c r="AB205" s="32" t="n"/>
      <c r="AC205" s="36">
        <f>IF(A205="","",IF(COUNTIF($A$6:$A$504,A205)&gt;1,"⚠ Duplicate",""))</f>
        <v/>
      </c>
      <c r="AD205" s="35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  <c r="AQ205" s="43" t="n"/>
      <c r="AR205" s="43" t="n"/>
      <c r="AS205" s="35" t="n"/>
      <c r="AT205" s="43" t="n"/>
      <c r="AU205" s="43" t="n"/>
      <c r="AV205" s="43" t="n"/>
      <c r="AW205" s="43" t="n"/>
      <c r="AX205" s="43" t="n"/>
      <c r="AY205" s="43" t="n"/>
      <c r="AZ205" s="43" t="n"/>
      <c r="BA205" s="43" t="n"/>
      <c r="BB205" s="43" t="n"/>
      <c r="BC205" s="43" t="n"/>
      <c r="BD205" s="43" t="n"/>
      <c r="BE205" s="43" t="n"/>
      <c r="BF205" s="43" t="n"/>
      <c r="BG205" s="43" t="n"/>
      <c r="BH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158">
        <f>IF(OR(Y206="",X206=""),"",IFERROR(Y206*INDEX(FXRates[USD per unit],MATCH(X206,FXRates[Currency],0)),"No rate"))</f>
        <v/>
      </c>
      <c r="AA206" s="38" t="n"/>
      <c r="AB206" s="38" t="n"/>
      <c r="AC206" s="41">
        <f>IF(A206="","",IF(COUNTIF($A$6:$A$504,A206)&gt;1,"⚠ Duplicate",""))</f>
        <v/>
      </c>
      <c r="AD206" s="40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  <c r="AR206" s="42" t="n"/>
      <c r="AS206" s="40" t="n"/>
      <c r="AT206" s="42" t="n"/>
      <c r="AU206" s="42" t="n"/>
      <c r="AV206" s="42" t="n"/>
      <c r="AW206" s="42" t="n"/>
      <c r="AX206" s="42" t="n"/>
      <c r="AY206" s="42" t="n"/>
      <c r="AZ206" s="42" t="n"/>
      <c r="BA206" s="42" t="n"/>
      <c r="BB206" s="42" t="n"/>
      <c r="BC206" s="42" t="n"/>
      <c r="BD206" s="42" t="n"/>
      <c r="BE206" s="42" t="n"/>
      <c r="BF206" s="42" t="n"/>
      <c r="BG206" s="42" t="n"/>
      <c r="BH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157">
        <f>IF(OR(Y207="",X207=""),"",IFERROR(Y207*INDEX(FXRates[USD per unit],MATCH(X207,FXRates[Currency],0)),"No rate"))</f>
        <v/>
      </c>
      <c r="AA207" s="32" t="n"/>
      <c r="AB207" s="32" t="n"/>
      <c r="AC207" s="36">
        <f>IF(A207="","",IF(COUNTIF($A$6:$A$504,A207)&gt;1,"⚠ Duplicate",""))</f>
        <v/>
      </c>
      <c r="AD207" s="35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  <c r="AQ207" s="43" t="n"/>
      <c r="AR207" s="43" t="n"/>
      <c r="AS207" s="35" t="n"/>
      <c r="AT207" s="43" t="n"/>
      <c r="AU207" s="43" t="n"/>
      <c r="AV207" s="43" t="n"/>
      <c r="AW207" s="43" t="n"/>
      <c r="AX207" s="43" t="n"/>
      <c r="AY207" s="43" t="n"/>
      <c r="AZ207" s="43" t="n"/>
      <c r="BA207" s="43" t="n"/>
      <c r="BB207" s="43" t="n"/>
      <c r="BC207" s="43" t="n"/>
      <c r="BD207" s="43" t="n"/>
      <c r="BE207" s="43" t="n"/>
      <c r="BF207" s="43" t="n"/>
      <c r="BG207" s="43" t="n"/>
      <c r="BH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158">
        <f>IF(OR(Y208="",X208=""),"",IFERROR(Y208*INDEX(FXRates[USD per unit],MATCH(X208,FXRates[Currency],0)),"No rate"))</f>
        <v/>
      </c>
      <c r="AA208" s="38" t="n"/>
      <c r="AB208" s="38" t="n"/>
      <c r="AC208" s="41">
        <f>IF(A208="","",IF(COUNTIF($A$6:$A$504,A208)&gt;1,"⚠ Duplicate",""))</f>
        <v/>
      </c>
      <c r="AD208" s="40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  <c r="AR208" s="42" t="n"/>
      <c r="AS208" s="40" t="n"/>
      <c r="AT208" s="42" t="n"/>
      <c r="AU208" s="42" t="n"/>
      <c r="AV208" s="42" t="n"/>
      <c r="AW208" s="42" t="n"/>
      <c r="AX208" s="42" t="n"/>
      <c r="AY208" s="42" t="n"/>
      <c r="AZ208" s="42" t="n"/>
      <c r="BA208" s="42" t="n"/>
      <c r="BB208" s="42" t="n"/>
      <c r="BC208" s="42" t="n"/>
      <c r="BD208" s="42" t="n"/>
      <c r="BE208" s="42" t="n"/>
      <c r="BF208" s="42" t="n"/>
      <c r="BG208" s="42" t="n"/>
      <c r="BH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157">
        <f>IF(OR(Y209="",X209=""),"",IFERROR(Y209*INDEX(FXRates[USD per unit],MATCH(X209,FXRates[Currency],0)),"No rate"))</f>
        <v/>
      </c>
      <c r="AA209" s="32" t="n"/>
      <c r="AB209" s="32" t="n"/>
      <c r="AC209" s="36">
        <f>IF(A209="","",IF(COUNTIF($A$6:$A$504,A209)&gt;1,"⚠ Duplicate",""))</f>
        <v/>
      </c>
      <c r="AD209" s="35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  <c r="AQ209" s="43" t="n"/>
      <c r="AR209" s="43" t="n"/>
      <c r="AS209" s="35" t="n"/>
      <c r="AT209" s="43" t="n"/>
      <c r="AU209" s="43" t="n"/>
      <c r="AV209" s="43" t="n"/>
      <c r="AW209" s="43" t="n"/>
      <c r="AX209" s="43" t="n"/>
      <c r="AY209" s="43" t="n"/>
      <c r="AZ209" s="43" t="n"/>
      <c r="BA209" s="43" t="n"/>
      <c r="BB209" s="43" t="n"/>
      <c r="BC209" s="43" t="n"/>
      <c r="BD209" s="43" t="n"/>
      <c r="BE209" s="43" t="n"/>
      <c r="BF209" s="43" t="n"/>
      <c r="BG209" s="43" t="n"/>
      <c r="BH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158">
        <f>IF(OR(Y210="",X210=""),"",IFERROR(Y210*INDEX(FXRates[USD per unit],MATCH(X210,FXRates[Currency],0)),"No rate"))</f>
        <v/>
      </c>
      <c r="AA210" s="38" t="n"/>
      <c r="AB210" s="38" t="n"/>
      <c r="AC210" s="41">
        <f>IF(A210="","",IF(COUNTIF($A$6:$A$504,A210)&gt;1,"⚠ Duplicate",""))</f>
        <v/>
      </c>
      <c r="AD210" s="40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  <c r="AR210" s="42" t="n"/>
      <c r="AS210" s="40" t="n"/>
      <c r="AT210" s="42" t="n"/>
      <c r="AU210" s="42" t="n"/>
      <c r="AV210" s="42" t="n"/>
      <c r="AW210" s="42" t="n"/>
      <c r="AX210" s="42" t="n"/>
      <c r="AY210" s="42" t="n"/>
      <c r="AZ210" s="42" t="n"/>
      <c r="BA210" s="42" t="n"/>
      <c r="BB210" s="42" t="n"/>
      <c r="BC210" s="42" t="n"/>
      <c r="BD210" s="42" t="n"/>
      <c r="BE210" s="42" t="n"/>
      <c r="BF210" s="42" t="n"/>
      <c r="BG210" s="42" t="n"/>
      <c r="BH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157">
        <f>IF(OR(Y211="",X211=""),"",IFERROR(Y211*INDEX(FXRates[USD per unit],MATCH(X211,FXRates[Currency],0)),"No rate"))</f>
        <v/>
      </c>
      <c r="AA211" s="32" t="n"/>
      <c r="AB211" s="32" t="n"/>
      <c r="AC211" s="36">
        <f>IF(A211="","",IF(COUNTIF($A$6:$A$504,A211)&gt;1,"⚠ Duplicate",""))</f>
        <v/>
      </c>
      <c r="AD211" s="35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  <c r="AQ211" s="43" t="n"/>
      <c r="AR211" s="43" t="n"/>
      <c r="AS211" s="35" t="n"/>
      <c r="AT211" s="43" t="n"/>
      <c r="AU211" s="43" t="n"/>
      <c r="AV211" s="43" t="n"/>
      <c r="AW211" s="43" t="n"/>
      <c r="AX211" s="43" t="n"/>
      <c r="AY211" s="43" t="n"/>
      <c r="AZ211" s="43" t="n"/>
      <c r="BA211" s="43" t="n"/>
      <c r="BB211" s="43" t="n"/>
      <c r="BC211" s="43" t="n"/>
      <c r="BD211" s="43" t="n"/>
      <c r="BE211" s="43" t="n"/>
      <c r="BF211" s="43" t="n"/>
      <c r="BG211" s="43" t="n"/>
      <c r="BH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158">
        <f>IF(OR(Y212="",X212=""),"",IFERROR(Y212*INDEX(FXRates[USD per unit],MATCH(X212,FXRates[Currency],0)),"No rate"))</f>
        <v/>
      </c>
      <c r="AA212" s="38" t="n"/>
      <c r="AB212" s="38" t="n"/>
      <c r="AC212" s="41">
        <f>IF(A212="","",IF(COUNTIF($A$6:$A$504,A212)&gt;1,"⚠ Duplicate",""))</f>
        <v/>
      </c>
      <c r="AD212" s="40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  <c r="AQ212" s="42" t="n"/>
      <c r="AR212" s="42" t="n"/>
      <c r="AS212" s="40" t="n"/>
      <c r="AT212" s="42" t="n"/>
      <c r="AU212" s="42" t="n"/>
      <c r="AV212" s="42" t="n"/>
      <c r="AW212" s="42" t="n"/>
      <c r="AX212" s="42" t="n"/>
      <c r="AY212" s="42" t="n"/>
      <c r="AZ212" s="42" t="n"/>
      <c r="BA212" s="42" t="n"/>
      <c r="BB212" s="42" t="n"/>
      <c r="BC212" s="42" t="n"/>
      <c r="BD212" s="42" t="n"/>
      <c r="BE212" s="42" t="n"/>
      <c r="BF212" s="42" t="n"/>
      <c r="BG212" s="42" t="n"/>
      <c r="BH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157">
        <f>IF(OR(Y213="",X213=""),"",IFERROR(Y213*INDEX(FXRates[USD per unit],MATCH(X213,FXRates[Currency],0)),"No rate"))</f>
        <v/>
      </c>
      <c r="AA213" s="32" t="n"/>
      <c r="AB213" s="32" t="n"/>
      <c r="AC213" s="36">
        <f>IF(A213="","",IF(COUNTIF($A$6:$A$504,A213)&gt;1,"⚠ Duplicate",""))</f>
        <v/>
      </c>
      <c r="AD213" s="35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  <c r="AQ213" s="43" t="n"/>
      <c r="AR213" s="43" t="n"/>
      <c r="AS213" s="35" t="n"/>
      <c r="AT213" s="43" t="n"/>
      <c r="AU213" s="43" t="n"/>
      <c r="AV213" s="43" t="n"/>
      <c r="AW213" s="43" t="n"/>
      <c r="AX213" s="43" t="n"/>
      <c r="AY213" s="43" t="n"/>
      <c r="AZ213" s="43" t="n"/>
      <c r="BA213" s="43" t="n"/>
      <c r="BB213" s="43" t="n"/>
      <c r="BC213" s="43" t="n"/>
      <c r="BD213" s="43" t="n"/>
      <c r="BE213" s="43" t="n"/>
      <c r="BF213" s="43" t="n"/>
      <c r="BG213" s="43" t="n"/>
      <c r="BH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158">
        <f>IF(OR(Y214="",X214=""),"",IFERROR(Y214*INDEX(FXRates[USD per unit],MATCH(X214,FXRates[Currency],0)),"No rate"))</f>
        <v/>
      </c>
      <c r="AA214" s="38" t="n"/>
      <c r="AB214" s="38" t="n"/>
      <c r="AC214" s="41">
        <f>IF(A214="","",IF(COUNTIF($A$6:$A$504,A214)&gt;1,"⚠ Duplicate",""))</f>
        <v/>
      </c>
      <c r="AD214" s="40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  <c r="AQ214" s="42" t="n"/>
      <c r="AR214" s="42" t="n"/>
      <c r="AS214" s="40" t="n"/>
      <c r="AT214" s="42" t="n"/>
      <c r="AU214" s="42" t="n"/>
      <c r="AV214" s="42" t="n"/>
      <c r="AW214" s="42" t="n"/>
      <c r="AX214" s="42" t="n"/>
      <c r="AY214" s="42" t="n"/>
      <c r="AZ214" s="42" t="n"/>
      <c r="BA214" s="42" t="n"/>
      <c r="BB214" s="42" t="n"/>
      <c r="BC214" s="42" t="n"/>
      <c r="BD214" s="42" t="n"/>
      <c r="BE214" s="42" t="n"/>
      <c r="BF214" s="42" t="n"/>
      <c r="BG214" s="42" t="n"/>
      <c r="BH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157">
        <f>IF(OR(Y215="",X215=""),"",IFERROR(Y215*INDEX(FXRates[USD per unit],MATCH(X215,FXRates[Currency],0)),"No rate"))</f>
        <v/>
      </c>
      <c r="AA215" s="32" t="n"/>
      <c r="AB215" s="32" t="n"/>
      <c r="AC215" s="36">
        <f>IF(A215="","",IF(COUNTIF($A$6:$A$504,A215)&gt;1,"⚠ Duplicate",""))</f>
        <v/>
      </c>
      <c r="AD215" s="35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  <c r="AQ215" s="43" t="n"/>
      <c r="AR215" s="43" t="n"/>
      <c r="AS215" s="35" t="n"/>
      <c r="AT215" s="43" t="n"/>
      <c r="AU215" s="43" t="n"/>
      <c r="AV215" s="43" t="n"/>
      <c r="AW215" s="43" t="n"/>
      <c r="AX215" s="43" t="n"/>
      <c r="AY215" s="43" t="n"/>
      <c r="AZ215" s="43" t="n"/>
      <c r="BA215" s="43" t="n"/>
      <c r="BB215" s="43" t="n"/>
      <c r="BC215" s="43" t="n"/>
      <c r="BD215" s="43" t="n"/>
      <c r="BE215" s="43" t="n"/>
      <c r="BF215" s="43" t="n"/>
      <c r="BG215" s="43" t="n"/>
      <c r="BH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158">
        <f>IF(OR(Y216="",X216=""),"",IFERROR(Y216*INDEX(FXRates[USD per unit],MATCH(X216,FXRates[Currency],0)),"No rate"))</f>
        <v/>
      </c>
      <c r="AA216" s="38" t="n"/>
      <c r="AB216" s="38" t="n"/>
      <c r="AC216" s="41">
        <f>IF(A216="","",IF(COUNTIF($A$6:$A$504,A216)&gt;1,"⚠ Duplicate",""))</f>
        <v/>
      </c>
      <c r="AD216" s="40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  <c r="AQ216" s="42" t="n"/>
      <c r="AR216" s="42" t="n"/>
      <c r="AS216" s="40" t="n"/>
      <c r="AT216" s="42" t="n"/>
      <c r="AU216" s="42" t="n"/>
      <c r="AV216" s="42" t="n"/>
      <c r="AW216" s="42" t="n"/>
      <c r="AX216" s="42" t="n"/>
      <c r="AY216" s="42" t="n"/>
      <c r="AZ216" s="42" t="n"/>
      <c r="BA216" s="42" t="n"/>
      <c r="BB216" s="42" t="n"/>
      <c r="BC216" s="42" t="n"/>
      <c r="BD216" s="42" t="n"/>
      <c r="BE216" s="42" t="n"/>
      <c r="BF216" s="42" t="n"/>
      <c r="BG216" s="42" t="n"/>
      <c r="BH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157">
        <f>IF(OR(Y217="",X217=""),"",IFERROR(Y217*INDEX(FXRates[USD per unit],MATCH(X217,FXRates[Currency],0)),"No rate"))</f>
        <v/>
      </c>
      <c r="AA217" s="32" t="n"/>
      <c r="AB217" s="32" t="n"/>
      <c r="AC217" s="36">
        <f>IF(A217="","",IF(COUNTIF($A$6:$A$504,A217)&gt;1,"⚠ Duplicate",""))</f>
        <v/>
      </c>
      <c r="AD217" s="35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  <c r="AQ217" s="43" t="n"/>
      <c r="AR217" s="43" t="n"/>
      <c r="AS217" s="35" t="n"/>
      <c r="AT217" s="43" t="n"/>
      <c r="AU217" s="43" t="n"/>
      <c r="AV217" s="43" t="n"/>
      <c r="AW217" s="43" t="n"/>
      <c r="AX217" s="43" t="n"/>
      <c r="AY217" s="43" t="n"/>
      <c r="AZ217" s="43" t="n"/>
      <c r="BA217" s="43" t="n"/>
      <c r="BB217" s="43" t="n"/>
      <c r="BC217" s="43" t="n"/>
      <c r="BD217" s="43" t="n"/>
      <c r="BE217" s="43" t="n"/>
      <c r="BF217" s="43" t="n"/>
      <c r="BG217" s="43" t="n"/>
      <c r="BH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158">
        <f>IF(OR(Y218="",X218=""),"",IFERROR(Y218*INDEX(FXRates[USD per unit],MATCH(X218,FXRates[Currency],0)),"No rate"))</f>
        <v/>
      </c>
      <c r="AA218" s="38" t="n"/>
      <c r="AB218" s="38" t="n"/>
      <c r="AC218" s="41">
        <f>IF(A218="","",IF(COUNTIF($A$6:$A$504,A218)&gt;1,"⚠ Duplicate",""))</f>
        <v/>
      </c>
      <c r="AD218" s="40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  <c r="AQ218" s="42" t="n"/>
      <c r="AR218" s="42" t="n"/>
      <c r="AS218" s="40" t="n"/>
      <c r="AT218" s="42" t="n"/>
      <c r="AU218" s="42" t="n"/>
      <c r="AV218" s="42" t="n"/>
      <c r="AW218" s="42" t="n"/>
      <c r="AX218" s="42" t="n"/>
      <c r="AY218" s="42" t="n"/>
      <c r="AZ218" s="42" t="n"/>
      <c r="BA218" s="42" t="n"/>
      <c r="BB218" s="42" t="n"/>
      <c r="BC218" s="42" t="n"/>
      <c r="BD218" s="42" t="n"/>
      <c r="BE218" s="42" t="n"/>
      <c r="BF218" s="42" t="n"/>
      <c r="BG218" s="42" t="n"/>
      <c r="BH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157">
        <f>IF(OR(Y219="",X219=""),"",IFERROR(Y219*INDEX(FXRates[USD per unit],MATCH(X219,FXRates[Currency],0)),"No rate"))</f>
        <v/>
      </c>
      <c r="AA219" s="32" t="n"/>
      <c r="AB219" s="32" t="n"/>
      <c r="AC219" s="36">
        <f>IF(A219="","",IF(COUNTIF($A$6:$A$504,A219)&gt;1,"⚠ Duplicate",""))</f>
        <v/>
      </c>
      <c r="AD219" s="35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  <c r="AQ219" s="43" t="n"/>
      <c r="AR219" s="43" t="n"/>
      <c r="AS219" s="35" t="n"/>
      <c r="AT219" s="43" t="n"/>
      <c r="AU219" s="43" t="n"/>
      <c r="AV219" s="43" t="n"/>
      <c r="AW219" s="43" t="n"/>
      <c r="AX219" s="43" t="n"/>
      <c r="AY219" s="43" t="n"/>
      <c r="AZ219" s="43" t="n"/>
      <c r="BA219" s="43" t="n"/>
      <c r="BB219" s="43" t="n"/>
      <c r="BC219" s="43" t="n"/>
      <c r="BD219" s="43" t="n"/>
      <c r="BE219" s="43" t="n"/>
      <c r="BF219" s="43" t="n"/>
      <c r="BG219" s="43" t="n"/>
      <c r="BH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158">
        <f>IF(OR(Y220="",X220=""),"",IFERROR(Y220*INDEX(FXRates[USD per unit],MATCH(X220,FXRates[Currency],0)),"No rate"))</f>
        <v/>
      </c>
      <c r="AA220" s="38" t="n"/>
      <c r="AB220" s="38" t="n"/>
      <c r="AC220" s="41">
        <f>IF(A220="","",IF(COUNTIF($A$6:$A$504,A220)&gt;1,"⚠ Duplicate",""))</f>
        <v/>
      </c>
      <c r="AD220" s="40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  <c r="AQ220" s="42" t="n"/>
      <c r="AR220" s="42" t="n"/>
      <c r="AS220" s="40" t="n"/>
      <c r="AT220" s="42" t="n"/>
      <c r="AU220" s="42" t="n"/>
      <c r="AV220" s="42" t="n"/>
      <c r="AW220" s="42" t="n"/>
      <c r="AX220" s="42" t="n"/>
      <c r="AY220" s="42" t="n"/>
      <c r="AZ220" s="42" t="n"/>
      <c r="BA220" s="42" t="n"/>
      <c r="BB220" s="42" t="n"/>
      <c r="BC220" s="42" t="n"/>
      <c r="BD220" s="42" t="n"/>
      <c r="BE220" s="42" t="n"/>
      <c r="BF220" s="42" t="n"/>
      <c r="BG220" s="42" t="n"/>
      <c r="BH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157">
        <f>IF(OR(Y221="",X221=""),"",IFERROR(Y221*INDEX(FXRates[USD per unit],MATCH(X221,FXRates[Currency],0)),"No rate"))</f>
        <v/>
      </c>
      <c r="AA221" s="32" t="n"/>
      <c r="AB221" s="32" t="n"/>
      <c r="AC221" s="36">
        <f>IF(A221="","",IF(COUNTIF($A$6:$A$504,A221)&gt;1,"⚠ Duplicate",""))</f>
        <v/>
      </c>
      <c r="AD221" s="35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  <c r="AQ221" s="43" t="n"/>
      <c r="AR221" s="43" t="n"/>
      <c r="AS221" s="35" t="n"/>
      <c r="AT221" s="43" t="n"/>
      <c r="AU221" s="43" t="n"/>
      <c r="AV221" s="43" t="n"/>
      <c r="AW221" s="43" t="n"/>
      <c r="AX221" s="43" t="n"/>
      <c r="AY221" s="43" t="n"/>
      <c r="AZ221" s="43" t="n"/>
      <c r="BA221" s="43" t="n"/>
      <c r="BB221" s="43" t="n"/>
      <c r="BC221" s="43" t="n"/>
      <c r="BD221" s="43" t="n"/>
      <c r="BE221" s="43" t="n"/>
      <c r="BF221" s="43" t="n"/>
      <c r="BG221" s="43" t="n"/>
      <c r="BH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158">
        <f>IF(OR(Y222="",X222=""),"",IFERROR(Y222*INDEX(FXRates[USD per unit],MATCH(X222,FXRates[Currency],0)),"No rate"))</f>
        <v/>
      </c>
      <c r="AA222" s="38" t="n"/>
      <c r="AB222" s="38" t="n"/>
      <c r="AC222" s="41">
        <f>IF(A222="","",IF(COUNTIF($A$6:$A$504,A222)&gt;1,"⚠ Duplicate",""))</f>
        <v/>
      </c>
      <c r="AD222" s="40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  <c r="AQ222" s="42" t="n"/>
      <c r="AR222" s="42" t="n"/>
      <c r="AS222" s="40" t="n"/>
      <c r="AT222" s="42" t="n"/>
      <c r="AU222" s="42" t="n"/>
      <c r="AV222" s="42" t="n"/>
      <c r="AW222" s="42" t="n"/>
      <c r="AX222" s="42" t="n"/>
      <c r="AY222" s="42" t="n"/>
      <c r="AZ222" s="42" t="n"/>
      <c r="BA222" s="42" t="n"/>
      <c r="BB222" s="42" t="n"/>
      <c r="BC222" s="42" t="n"/>
      <c r="BD222" s="42" t="n"/>
      <c r="BE222" s="42" t="n"/>
      <c r="BF222" s="42" t="n"/>
      <c r="BG222" s="42" t="n"/>
      <c r="BH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157">
        <f>IF(OR(Y223="",X223=""),"",IFERROR(Y223*INDEX(FXRates[USD per unit],MATCH(X223,FXRates[Currency],0)),"No rate"))</f>
        <v/>
      </c>
      <c r="AA223" s="32" t="n"/>
      <c r="AB223" s="32" t="n"/>
      <c r="AC223" s="36">
        <f>IF(A223="","",IF(COUNTIF($A$6:$A$504,A223)&gt;1,"⚠ Duplicate",""))</f>
        <v/>
      </c>
      <c r="AD223" s="35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  <c r="AQ223" s="43" t="n"/>
      <c r="AR223" s="43" t="n"/>
      <c r="AS223" s="35" t="n"/>
      <c r="AT223" s="43" t="n"/>
      <c r="AU223" s="43" t="n"/>
      <c r="AV223" s="43" t="n"/>
      <c r="AW223" s="43" t="n"/>
      <c r="AX223" s="43" t="n"/>
      <c r="AY223" s="43" t="n"/>
      <c r="AZ223" s="43" t="n"/>
      <c r="BA223" s="43" t="n"/>
      <c r="BB223" s="43" t="n"/>
      <c r="BC223" s="43" t="n"/>
      <c r="BD223" s="43" t="n"/>
      <c r="BE223" s="43" t="n"/>
      <c r="BF223" s="43" t="n"/>
      <c r="BG223" s="43" t="n"/>
      <c r="BH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158">
        <f>IF(OR(Y224="",X224=""),"",IFERROR(Y224*INDEX(FXRates[USD per unit],MATCH(X224,FXRates[Currency],0)),"No rate"))</f>
        <v/>
      </c>
      <c r="AA224" s="38" t="n"/>
      <c r="AB224" s="38" t="n"/>
      <c r="AC224" s="41">
        <f>IF(A224="","",IF(COUNTIF($A$6:$A$504,A224)&gt;1,"⚠ Duplicate",""))</f>
        <v/>
      </c>
      <c r="AD224" s="40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  <c r="AQ224" s="42" t="n"/>
      <c r="AR224" s="42" t="n"/>
      <c r="AS224" s="40" t="n"/>
      <c r="AT224" s="42" t="n"/>
      <c r="AU224" s="42" t="n"/>
      <c r="AV224" s="42" t="n"/>
      <c r="AW224" s="42" t="n"/>
      <c r="AX224" s="42" t="n"/>
      <c r="AY224" s="42" t="n"/>
      <c r="AZ224" s="42" t="n"/>
      <c r="BA224" s="42" t="n"/>
      <c r="BB224" s="42" t="n"/>
      <c r="BC224" s="42" t="n"/>
      <c r="BD224" s="42" t="n"/>
      <c r="BE224" s="42" t="n"/>
      <c r="BF224" s="42" t="n"/>
      <c r="BG224" s="42" t="n"/>
      <c r="BH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157">
        <f>IF(OR(Y225="",X225=""),"",IFERROR(Y225*INDEX(FXRates[USD per unit],MATCH(X225,FXRates[Currency],0)),"No rate"))</f>
        <v/>
      </c>
      <c r="AA225" s="32" t="n"/>
      <c r="AB225" s="32" t="n"/>
      <c r="AC225" s="36">
        <f>IF(A225="","",IF(COUNTIF($A$6:$A$504,A225)&gt;1,"⚠ Duplicate",""))</f>
        <v/>
      </c>
      <c r="AD225" s="35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  <c r="AQ225" s="43" t="n"/>
      <c r="AR225" s="43" t="n"/>
      <c r="AS225" s="35" t="n"/>
      <c r="AT225" s="43" t="n"/>
      <c r="AU225" s="43" t="n"/>
      <c r="AV225" s="43" t="n"/>
      <c r="AW225" s="43" t="n"/>
      <c r="AX225" s="43" t="n"/>
      <c r="AY225" s="43" t="n"/>
      <c r="AZ225" s="43" t="n"/>
      <c r="BA225" s="43" t="n"/>
      <c r="BB225" s="43" t="n"/>
      <c r="BC225" s="43" t="n"/>
      <c r="BD225" s="43" t="n"/>
      <c r="BE225" s="43" t="n"/>
      <c r="BF225" s="43" t="n"/>
      <c r="BG225" s="43" t="n"/>
      <c r="BH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158">
        <f>IF(OR(Y226="",X226=""),"",IFERROR(Y226*INDEX(FXRates[USD per unit],MATCH(X226,FXRates[Currency],0)),"No rate"))</f>
        <v/>
      </c>
      <c r="AA226" s="38" t="n"/>
      <c r="AB226" s="38" t="n"/>
      <c r="AC226" s="41">
        <f>IF(A226="","",IF(COUNTIF($A$6:$A$504,A226)&gt;1,"⚠ Duplicate",""))</f>
        <v/>
      </c>
      <c r="AD226" s="40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  <c r="AQ226" s="42" t="n"/>
      <c r="AR226" s="42" t="n"/>
      <c r="AS226" s="40" t="n"/>
      <c r="AT226" s="42" t="n"/>
      <c r="AU226" s="42" t="n"/>
      <c r="AV226" s="42" t="n"/>
      <c r="AW226" s="42" t="n"/>
      <c r="AX226" s="42" t="n"/>
      <c r="AY226" s="42" t="n"/>
      <c r="AZ226" s="42" t="n"/>
      <c r="BA226" s="42" t="n"/>
      <c r="BB226" s="42" t="n"/>
      <c r="BC226" s="42" t="n"/>
      <c r="BD226" s="42" t="n"/>
      <c r="BE226" s="42" t="n"/>
      <c r="BF226" s="42" t="n"/>
      <c r="BG226" s="42" t="n"/>
      <c r="BH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157">
        <f>IF(OR(Y227="",X227=""),"",IFERROR(Y227*INDEX(FXRates[USD per unit],MATCH(X227,FXRates[Currency],0)),"No rate"))</f>
        <v/>
      </c>
      <c r="AA227" s="32" t="n"/>
      <c r="AB227" s="32" t="n"/>
      <c r="AC227" s="36">
        <f>IF(A227="","",IF(COUNTIF($A$6:$A$504,A227)&gt;1,"⚠ Duplicate",""))</f>
        <v/>
      </c>
      <c r="AD227" s="35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  <c r="AQ227" s="43" t="n"/>
      <c r="AR227" s="43" t="n"/>
      <c r="AS227" s="35" t="n"/>
      <c r="AT227" s="43" t="n"/>
      <c r="AU227" s="43" t="n"/>
      <c r="AV227" s="43" t="n"/>
      <c r="AW227" s="43" t="n"/>
      <c r="AX227" s="43" t="n"/>
      <c r="AY227" s="43" t="n"/>
      <c r="AZ227" s="43" t="n"/>
      <c r="BA227" s="43" t="n"/>
      <c r="BB227" s="43" t="n"/>
      <c r="BC227" s="43" t="n"/>
      <c r="BD227" s="43" t="n"/>
      <c r="BE227" s="43" t="n"/>
      <c r="BF227" s="43" t="n"/>
      <c r="BG227" s="43" t="n"/>
      <c r="BH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158">
        <f>IF(OR(Y228="",X228=""),"",IFERROR(Y228*INDEX(FXRates[USD per unit],MATCH(X228,FXRates[Currency],0)),"No rate"))</f>
        <v/>
      </c>
      <c r="AA228" s="38" t="n"/>
      <c r="AB228" s="38" t="n"/>
      <c r="AC228" s="41">
        <f>IF(A228="","",IF(COUNTIF($A$6:$A$504,A228)&gt;1,"⚠ Duplicate",""))</f>
        <v/>
      </c>
      <c r="AD228" s="40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  <c r="AQ228" s="42" t="n"/>
      <c r="AR228" s="42" t="n"/>
      <c r="AS228" s="40" t="n"/>
      <c r="AT228" s="42" t="n"/>
      <c r="AU228" s="42" t="n"/>
      <c r="AV228" s="42" t="n"/>
      <c r="AW228" s="42" t="n"/>
      <c r="AX228" s="42" t="n"/>
      <c r="AY228" s="42" t="n"/>
      <c r="AZ228" s="42" t="n"/>
      <c r="BA228" s="42" t="n"/>
      <c r="BB228" s="42" t="n"/>
      <c r="BC228" s="42" t="n"/>
      <c r="BD228" s="42" t="n"/>
      <c r="BE228" s="42" t="n"/>
      <c r="BF228" s="42" t="n"/>
      <c r="BG228" s="42" t="n"/>
      <c r="BH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157">
        <f>IF(OR(Y229="",X229=""),"",IFERROR(Y229*INDEX(FXRates[USD per unit],MATCH(X229,FXRates[Currency],0)),"No rate"))</f>
        <v/>
      </c>
      <c r="AA229" s="32" t="n"/>
      <c r="AB229" s="32" t="n"/>
      <c r="AC229" s="36">
        <f>IF(A229="","",IF(COUNTIF($A$6:$A$504,A229)&gt;1,"⚠ Duplicate",""))</f>
        <v/>
      </c>
      <c r="AD229" s="35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  <c r="AQ229" s="43" t="n"/>
      <c r="AR229" s="43" t="n"/>
      <c r="AS229" s="35" t="n"/>
      <c r="AT229" s="43" t="n"/>
      <c r="AU229" s="43" t="n"/>
      <c r="AV229" s="43" t="n"/>
      <c r="AW229" s="43" t="n"/>
      <c r="AX229" s="43" t="n"/>
      <c r="AY229" s="43" t="n"/>
      <c r="AZ229" s="43" t="n"/>
      <c r="BA229" s="43" t="n"/>
      <c r="BB229" s="43" t="n"/>
      <c r="BC229" s="43" t="n"/>
      <c r="BD229" s="43" t="n"/>
      <c r="BE229" s="43" t="n"/>
      <c r="BF229" s="43" t="n"/>
      <c r="BG229" s="43" t="n"/>
      <c r="BH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158">
        <f>IF(OR(Y230="",X230=""),"",IFERROR(Y230*INDEX(FXRates[USD per unit],MATCH(X230,FXRates[Currency],0)),"No rate"))</f>
        <v/>
      </c>
      <c r="AA230" s="38" t="n"/>
      <c r="AB230" s="38" t="n"/>
      <c r="AC230" s="41">
        <f>IF(A230="","",IF(COUNTIF($A$6:$A$504,A230)&gt;1,"⚠ Duplicate",""))</f>
        <v/>
      </c>
      <c r="AD230" s="40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  <c r="AQ230" s="42" t="n"/>
      <c r="AR230" s="42" t="n"/>
      <c r="AS230" s="40" t="n"/>
      <c r="AT230" s="42" t="n"/>
      <c r="AU230" s="42" t="n"/>
      <c r="AV230" s="42" t="n"/>
      <c r="AW230" s="42" t="n"/>
      <c r="AX230" s="42" t="n"/>
      <c r="AY230" s="42" t="n"/>
      <c r="AZ230" s="42" t="n"/>
      <c r="BA230" s="42" t="n"/>
      <c r="BB230" s="42" t="n"/>
      <c r="BC230" s="42" t="n"/>
      <c r="BD230" s="42" t="n"/>
      <c r="BE230" s="42" t="n"/>
      <c r="BF230" s="42" t="n"/>
      <c r="BG230" s="42" t="n"/>
      <c r="BH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157">
        <f>IF(OR(Y231="",X231=""),"",IFERROR(Y231*INDEX(FXRates[USD per unit],MATCH(X231,FXRates[Currency],0)),"No rate"))</f>
        <v/>
      </c>
      <c r="AA231" s="32" t="n"/>
      <c r="AB231" s="32" t="n"/>
      <c r="AC231" s="36">
        <f>IF(A231="","",IF(COUNTIF($A$6:$A$504,A231)&gt;1,"⚠ Duplicate",""))</f>
        <v/>
      </c>
      <c r="AD231" s="35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  <c r="AQ231" s="43" t="n"/>
      <c r="AR231" s="43" t="n"/>
      <c r="AS231" s="35" t="n"/>
      <c r="AT231" s="43" t="n"/>
      <c r="AU231" s="43" t="n"/>
      <c r="AV231" s="43" t="n"/>
      <c r="AW231" s="43" t="n"/>
      <c r="AX231" s="43" t="n"/>
      <c r="AY231" s="43" t="n"/>
      <c r="AZ231" s="43" t="n"/>
      <c r="BA231" s="43" t="n"/>
      <c r="BB231" s="43" t="n"/>
      <c r="BC231" s="43" t="n"/>
      <c r="BD231" s="43" t="n"/>
      <c r="BE231" s="43" t="n"/>
      <c r="BF231" s="43" t="n"/>
      <c r="BG231" s="43" t="n"/>
      <c r="BH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158">
        <f>IF(OR(Y232="",X232=""),"",IFERROR(Y232*INDEX(FXRates[USD per unit],MATCH(X232,FXRates[Currency],0)),"No rate"))</f>
        <v/>
      </c>
      <c r="AA232" s="38" t="n"/>
      <c r="AB232" s="38" t="n"/>
      <c r="AC232" s="41">
        <f>IF(A232="","",IF(COUNTIF($A$6:$A$504,A232)&gt;1,"⚠ Duplicate",""))</f>
        <v/>
      </c>
      <c r="AD232" s="40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  <c r="AQ232" s="42" t="n"/>
      <c r="AR232" s="42" t="n"/>
      <c r="AS232" s="40" t="n"/>
      <c r="AT232" s="42" t="n"/>
      <c r="AU232" s="42" t="n"/>
      <c r="AV232" s="42" t="n"/>
      <c r="AW232" s="42" t="n"/>
      <c r="AX232" s="42" t="n"/>
      <c r="AY232" s="42" t="n"/>
      <c r="AZ232" s="42" t="n"/>
      <c r="BA232" s="42" t="n"/>
      <c r="BB232" s="42" t="n"/>
      <c r="BC232" s="42" t="n"/>
      <c r="BD232" s="42" t="n"/>
      <c r="BE232" s="42" t="n"/>
      <c r="BF232" s="42" t="n"/>
      <c r="BG232" s="42" t="n"/>
      <c r="BH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157">
        <f>IF(OR(Y233="",X233=""),"",IFERROR(Y233*INDEX(FXRates[USD per unit],MATCH(X233,FXRates[Currency],0)),"No rate"))</f>
        <v/>
      </c>
      <c r="AA233" s="32" t="n"/>
      <c r="AB233" s="32" t="n"/>
      <c r="AC233" s="36">
        <f>IF(A233="","",IF(COUNTIF($A$6:$A$504,A233)&gt;1,"⚠ Duplicate",""))</f>
        <v/>
      </c>
      <c r="AD233" s="35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  <c r="AQ233" s="43" t="n"/>
      <c r="AR233" s="43" t="n"/>
      <c r="AS233" s="35" t="n"/>
      <c r="AT233" s="43" t="n"/>
      <c r="AU233" s="43" t="n"/>
      <c r="AV233" s="43" t="n"/>
      <c r="AW233" s="43" t="n"/>
      <c r="AX233" s="43" t="n"/>
      <c r="AY233" s="43" t="n"/>
      <c r="AZ233" s="43" t="n"/>
      <c r="BA233" s="43" t="n"/>
      <c r="BB233" s="43" t="n"/>
      <c r="BC233" s="43" t="n"/>
      <c r="BD233" s="43" t="n"/>
      <c r="BE233" s="43" t="n"/>
      <c r="BF233" s="43" t="n"/>
      <c r="BG233" s="43" t="n"/>
      <c r="BH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158">
        <f>IF(OR(Y234="",X234=""),"",IFERROR(Y234*INDEX(FXRates[USD per unit],MATCH(X234,FXRates[Currency],0)),"No rate"))</f>
        <v/>
      </c>
      <c r="AA234" s="38" t="n"/>
      <c r="AB234" s="38" t="n"/>
      <c r="AC234" s="41">
        <f>IF(A234="","",IF(COUNTIF($A$6:$A$504,A234)&gt;1,"⚠ Duplicate",""))</f>
        <v/>
      </c>
      <c r="AD234" s="40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  <c r="AQ234" s="42" t="n"/>
      <c r="AR234" s="42" t="n"/>
      <c r="AS234" s="40" t="n"/>
      <c r="AT234" s="42" t="n"/>
      <c r="AU234" s="42" t="n"/>
      <c r="AV234" s="42" t="n"/>
      <c r="AW234" s="42" t="n"/>
      <c r="AX234" s="42" t="n"/>
      <c r="AY234" s="42" t="n"/>
      <c r="AZ234" s="42" t="n"/>
      <c r="BA234" s="42" t="n"/>
      <c r="BB234" s="42" t="n"/>
      <c r="BC234" s="42" t="n"/>
      <c r="BD234" s="42" t="n"/>
      <c r="BE234" s="42" t="n"/>
      <c r="BF234" s="42" t="n"/>
      <c r="BG234" s="42" t="n"/>
      <c r="BH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157">
        <f>IF(OR(Y235="",X235=""),"",IFERROR(Y235*INDEX(FXRates[USD per unit],MATCH(X235,FXRates[Currency],0)),"No rate"))</f>
        <v/>
      </c>
      <c r="AA235" s="32" t="n"/>
      <c r="AB235" s="32" t="n"/>
      <c r="AC235" s="36">
        <f>IF(A235="","",IF(COUNTIF($A$6:$A$504,A235)&gt;1,"⚠ Duplicate",""))</f>
        <v/>
      </c>
      <c r="AD235" s="35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  <c r="AQ235" s="43" t="n"/>
      <c r="AR235" s="43" t="n"/>
      <c r="AS235" s="35" t="n"/>
      <c r="AT235" s="43" t="n"/>
      <c r="AU235" s="43" t="n"/>
      <c r="AV235" s="43" t="n"/>
      <c r="AW235" s="43" t="n"/>
      <c r="AX235" s="43" t="n"/>
      <c r="AY235" s="43" t="n"/>
      <c r="AZ235" s="43" t="n"/>
      <c r="BA235" s="43" t="n"/>
      <c r="BB235" s="43" t="n"/>
      <c r="BC235" s="43" t="n"/>
      <c r="BD235" s="43" t="n"/>
      <c r="BE235" s="43" t="n"/>
      <c r="BF235" s="43" t="n"/>
      <c r="BG235" s="43" t="n"/>
      <c r="BH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158">
        <f>IF(OR(Y236="",X236=""),"",IFERROR(Y236*INDEX(FXRates[USD per unit],MATCH(X236,FXRates[Currency],0)),"No rate"))</f>
        <v/>
      </c>
      <c r="AA236" s="38" t="n"/>
      <c r="AB236" s="38" t="n"/>
      <c r="AC236" s="41">
        <f>IF(A236="","",IF(COUNTIF($A$6:$A$504,A236)&gt;1,"⚠ Duplicate",""))</f>
        <v/>
      </c>
      <c r="AD236" s="40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  <c r="AQ236" s="42" t="n"/>
      <c r="AR236" s="42" t="n"/>
      <c r="AS236" s="40" t="n"/>
      <c r="AT236" s="42" t="n"/>
      <c r="AU236" s="42" t="n"/>
      <c r="AV236" s="42" t="n"/>
      <c r="AW236" s="42" t="n"/>
      <c r="AX236" s="42" t="n"/>
      <c r="AY236" s="42" t="n"/>
      <c r="AZ236" s="42" t="n"/>
      <c r="BA236" s="42" t="n"/>
      <c r="BB236" s="42" t="n"/>
      <c r="BC236" s="42" t="n"/>
      <c r="BD236" s="42" t="n"/>
      <c r="BE236" s="42" t="n"/>
      <c r="BF236" s="42" t="n"/>
      <c r="BG236" s="42" t="n"/>
      <c r="BH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157">
        <f>IF(OR(Y237="",X237=""),"",IFERROR(Y237*INDEX(FXRates[USD per unit],MATCH(X237,FXRates[Currency],0)),"No rate"))</f>
        <v/>
      </c>
      <c r="AA237" s="32" t="n"/>
      <c r="AB237" s="32" t="n"/>
      <c r="AC237" s="36">
        <f>IF(A237="","",IF(COUNTIF($A$6:$A$504,A237)&gt;1,"⚠ Duplicate",""))</f>
        <v/>
      </c>
      <c r="AD237" s="35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  <c r="AQ237" s="43" t="n"/>
      <c r="AR237" s="43" t="n"/>
      <c r="AS237" s="35" t="n"/>
      <c r="AT237" s="43" t="n"/>
      <c r="AU237" s="43" t="n"/>
      <c r="AV237" s="43" t="n"/>
      <c r="AW237" s="43" t="n"/>
      <c r="AX237" s="43" t="n"/>
      <c r="AY237" s="43" t="n"/>
      <c r="AZ237" s="43" t="n"/>
      <c r="BA237" s="43" t="n"/>
      <c r="BB237" s="43" t="n"/>
      <c r="BC237" s="43" t="n"/>
      <c r="BD237" s="43" t="n"/>
      <c r="BE237" s="43" t="n"/>
      <c r="BF237" s="43" t="n"/>
      <c r="BG237" s="43" t="n"/>
      <c r="BH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158">
        <f>IF(OR(Y238="",X238=""),"",IFERROR(Y238*INDEX(FXRates[USD per unit],MATCH(X238,FXRates[Currency],0)),"No rate"))</f>
        <v/>
      </c>
      <c r="AA238" s="38" t="n"/>
      <c r="AB238" s="38" t="n"/>
      <c r="AC238" s="41">
        <f>IF(A238="","",IF(COUNTIF($A$6:$A$504,A238)&gt;1,"⚠ Duplicate",""))</f>
        <v/>
      </c>
      <c r="AD238" s="40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  <c r="AQ238" s="42" t="n"/>
      <c r="AR238" s="42" t="n"/>
      <c r="AS238" s="40" t="n"/>
      <c r="AT238" s="42" t="n"/>
      <c r="AU238" s="42" t="n"/>
      <c r="AV238" s="42" t="n"/>
      <c r="AW238" s="42" t="n"/>
      <c r="AX238" s="42" t="n"/>
      <c r="AY238" s="42" t="n"/>
      <c r="AZ238" s="42" t="n"/>
      <c r="BA238" s="42" t="n"/>
      <c r="BB238" s="42" t="n"/>
      <c r="BC238" s="42" t="n"/>
      <c r="BD238" s="42" t="n"/>
      <c r="BE238" s="42" t="n"/>
      <c r="BF238" s="42" t="n"/>
      <c r="BG238" s="42" t="n"/>
      <c r="BH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157">
        <f>IF(OR(Y239="",X239=""),"",IFERROR(Y239*INDEX(FXRates[USD per unit],MATCH(X239,FXRates[Currency],0)),"No rate"))</f>
        <v/>
      </c>
      <c r="AA239" s="32" t="n"/>
      <c r="AB239" s="32" t="n"/>
      <c r="AC239" s="36">
        <f>IF(A239="","",IF(COUNTIF($A$6:$A$504,A239)&gt;1,"⚠ Duplicate",""))</f>
        <v/>
      </c>
      <c r="AD239" s="35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  <c r="AQ239" s="43" t="n"/>
      <c r="AR239" s="43" t="n"/>
      <c r="AS239" s="35" t="n"/>
      <c r="AT239" s="43" t="n"/>
      <c r="AU239" s="43" t="n"/>
      <c r="AV239" s="43" t="n"/>
      <c r="AW239" s="43" t="n"/>
      <c r="AX239" s="43" t="n"/>
      <c r="AY239" s="43" t="n"/>
      <c r="AZ239" s="43" t="n"/>
      <c r="BA239" s="43" t="n"/>
      <c r="BB239" s="43" t="n"/>
      <c r="BC239" s="43" t="n"/>
      <c r="BD239" s="43" t="n"/>
      <c r="BE239" s="43" t="n"/>
      <c r="BF239" s="43" t="n"/>
      <c r="BG239" s="43" t="n"/>
      <c r="BH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158">
        <f>IF(OR(Y240="",X240=""),"",IFERROR(Y240*INDEX(FXRates[USD per unit],MATCH(X240,FXRates[Currency],0)),"No rate"))</f>
        <v/>
      </c>
      <c r="AA240" s="38" t="n"/>
      <c r="AB240" s="38" t="n"/>
      <c r="AC240" s="41">
        <f>IF(A240="","",IF(COUNTIF($A$6:$A$504,A240)&gt;1,"⚠ Duplicate",""))</f>
        <v/>
      </c>
      <c r="AD240" s="40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  <c r="AQ240" s="42" t="n"/>
      <c r="AR240" s="42" t="n"/>
      <c r="AS240" s="40" t="n"/>
      <c r="AT240" s="42" t="n"/>
      <c r="AU240" s="42" t="n"/>
      <c r="AV240" s="42" t="n"/>
      <c r="AW240" s="42" t="n"/>
      <c r="AX240" s="42" t="n"/>
      <c r="AY240" s="42" t="n"/>
      <c r="AZ240" s="42" t="n"/>
      <c r="BA240" s="42" t="n"/>
      <c r="BB240" s="42" t="n"/>
      <c r="BC240" s="42" t="n"/>
      <c r="BD240" s="42" t="n"/>
      <c r="BE240" s="42" t="n"/>
      <c r="BF240" s="42" t="n"/>
      <c r="BG240" s="42" t="n"/>
      <c r="BH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157">
        <f>IF(OR(Y241="",X241=""),"",IFERROR(Y241*INDEX(FXRates[USD per unit],MATCH(X241,FXRates[Currency],0)),"No rate"))</f>
        <v/>
      </c>
      <c r="AA241" s="32" t="n"/>
      <c r="AB241" s="32" t="n"/>
      <c r="AC241" s="36">
        <f>IF(A241="","",IF(COUNTIF($A$6:$A$504,A241)&gt;1,"⚠ Duplicate",""))</f>
        <v/>
      </c>
      <c r="AD241" s="35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  <c r="AQ241" s="43" t="n"/>
      <c r="AR241" s="43" t="n"/>
      <c r="AS241" s="35" t="n"/>
      <c r="AT241" s="43" t="n"/>
      <c r="AU241" s="43" t="n"/>
      <c r="AV241" s="43" t="n"/>
      <c r="AW241" s="43" t="n"/>
      <c r="AX241" s="43" t="n"/>
      <c r="AY241" s="43" t="n"/>
      <c r="AZ241" s="43" t="n"/>
      <c r="BA241" s="43" t="n"/>
      <c r="BB241" s="43" t="n"/>
      <c r="BC241" s="43" t="n"/>
      <c r="BD241" s="43" t="n"/>
      <c r="BE241" s="43" t="n"/>
      <c r="BF241" s="43" t="n"/>
      <c r="BG241" s="43" t="n"/>
      <c r="BH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158">
        <f>IF(OR(Y242="",X242=""),"",IFERROR(Y242*INDEX(FXRates[USD per unit],MATCH(X242,FXRates[Currency],0)),"No rate"))</f>
        <v/>
      </c>
      <c r="AA242" s="38" t="n"/>
      <c r="AB242" s="38" t="n"/>
      <c r="AC242" s="41">
        <f>IF(A242="","",IF(COUNTIF($A$6:$A$504,A242)&gt;1,"⚠ Duplicate",""))</f>
        <v/>
      </c>
      <c r="AD242" s="40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  <c r="AQ242" s="42" t="n"/>
      <c r="AR242" s="42" t="n"/>
      <c r="AS242" s="40" t="n"/>
      <c r="AT242" s="42" t="n"/>
      <c r="AU242" s="42" t="n"/>
      <c r="AV242" s="42" t="n"/>
      <c r="AW242" s="42" t="n"/>
      <c r="AX242" s="42" t="n"/>
      <c r="AY242" s="42" t="n"/>
      <c r="AZ242" s="42" t="n"/>
      <c r="BA242" s="42" t="n"/>
      <c r="BB242" s="42" t="n"/>
      <c r="BC242" s="42" t="n"/>
      <c r="BD242" s="42" t="n"/>
      <c r="BE242" s="42" t="n"/>
      <c r="BF242" s="42" t="n"/>
      <c r="BG242" s="42" t="n"/>
      <c r="BH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157">
        <f>IF(OR(Y243="",X243=""),"",IFERROR(Y243*INDEX(FXRates[USD per unit],MATCH(X243,FXRates[Currency],0)),"No rate"))</f>
        <v/>
      </c>
      <c r="AA243" s="32" t="n"/>
      <c r="AB243" s="32" t="n"/>
      <c r="AC243" s="36">
        <f>IF(A243="","",IF(COUNTIF($A$6:$A$504,A243)&gt;1,"⚠ Duplicate",""))</f>
        <v/>
      </c>
      <c r="AD243" s="35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  <c r="AQ243" s="43" t="n"/>
      <c r="AR243" s="43" t="n"/>
      <c r="AS243" s="35" t="n"/>
      <c r="AT243" s="43" t="n"/>
      <c r="AU243" s="43" t="n"/>
      <c r="AV243" s="43" t="n"/>
      <c r="AW243" s="43" t="n"/>
      <c r="AX243" s="43" t="n"/>
      <c r="AY243" s="43" t="n"/>
      <c r="AZ243" s="43" t="n"/>
      <c r="BA243" s="43" t="n"/>
      <c r="BB243" s="43" t="n"/>
      <c r="BC243" s="43" t="n"/>
      <c r="BD243" s="43" t="n"/>
      <c r="BE243" s="43" t="n"/>
      <c r="BF243" s="43" t="n"/>
      <c r="BG243" s="43" t="n"/>
      <c r="BH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158">
        <f>IF(OR(Y244="",X244=""),"",IFERROR(Y244*INDEX(FXRates[USD per unit],MATCH(X244,FXRates[Currency],0)),"No rate"))</f>
        <v/>
      </c>
      <c r="AA244" s="38" t="n"/>
      <c r="AB244" s="38" t="n"/>
      <c r="AC244" s="41">
        <f>IF(A244="","",IF(COUNTIF($A$6:$A$504,A244)&gt;1,"⚠ Duplicate",""))</f>
        <v/>
      </c>
      <c r="AD244" s="40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  <c r="AQ244" s="42" t="n"/>
      <c r="AR244" s="42" t="n"/>
      <c r="AS244" s="40" t="n"/>
      <c r="AT244" s="42" t="n"/>
      <c r="AU244" s="42" t="n"/>
      <c r="AV244" s="42" t="n"/>
      <c r="AW244" s="42" t="n"/>
      <c r="AX244" s="42" t="n"/>
      <c r="AY244" s="42" t="n"/>
      <c r="AZ244" s="42" t="n"/>
      <c r="BA244" s="42" t="n"/>
      <c r="BB244" s="42" t="n"/>
      <c r="BC244" s="42" t="n"/>
      <c r="BD244" s="42" t="n"/>
      <c r="BE244" s="42" t="n"/>
      <c r="BF244" s="42" t="n"/>
      <c r="BG244" s="42" t="n"/>
      <c r="BH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157">
        <f>IF(OR(Y245="",X245=""),"",IFERROR(Y245*INDEX(FXRates[USD per unit],MATCH(X245,FXRates[Currency],0)),"No rate"))</f>
        <v/>
      </c>
      <c r="AA245" s="32" t="n"/>
      <c r="AB245" s="32" t="n"/>
      <c r="AC245" s="36">
        <f>IF(A245="","",IF(COUNTIF($A$6:$A$504,A245)&gt;1,"⚠ Duplicate",""))</f>
        <v/>
      </c>
      <c r="AD245" s="35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  <c r="AQ245" s="43" t="n"/>
      <c r="AR245" s="43" t="n"/>
      <c r="AS245" s="35" t="n"/>
      <c r="AT245" s="43" t="n"/>
      <c r="AU245" s="43" t="n"/>
      <c r="AV245" s="43" t="n"/>
      <c r="AW245" s="43" t="n"/>
      <c r="AX245" s="43" t="n"/>
      <c r="AY245" s="43" t="n"/>
      <c r="AZ245" s="43" t="n"/>
      <c r="BA245" s="43" t="n"/>
      <c r="BB245" s="43" t="n"/>
      <c r="BC245" s="43" t="n"/>
      <c r="BD245" s="43" t="n"/>
      <c r="BE245" s="43" t="n"/>
      <c r="BF245" s="43" t="n"/>
      <c r="BG245" s="43" t="n"/>
      <c r="BH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158">
        <f>IF(OR(Y246="",X246=""),"",IFERROR(Y246*INDEX(FXRates[USD per unit],MATCH(X246,FXRates[Currency],0)),"No rate"))</f>
        <v/>
      </c>
      <c r="AA246" s="38" t="n"/>
      <c r="AB246" s="38" t="n"/>
      <c r="AC246" s="41">
        <f>IF(A246="","",IF(COUNTIF($A$6:$A$504,A246)&gt;1,"⚠ Duplicate",""))</f>
        <v/>
      </c>
      <c r="AD246" s="40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  <c r="AQ246" s="42" t="n"/>
      <c r="AR246" s="42" t="n"/>
      <c r="AS246" s="40" t="n"/>
      <c r="AT246" s="42" t="n"/>
      <c r="AU246" s="42" t="n"/>
      <c r="AV246" s="42" t="n"/>
      <c r="AW246" s="42" t="n"/>
      <c r="AX246" s="42" t="n"/>
      <c r="AY246" s="42" t="n"/>
      <c r="AZ246" s="42" t="n"/>
      <c r="BA246" s="42" t="n"/>
      <c r="BB246" s="42" t="n"/>
      <c r="BC246" s="42" t="n"/>
      <c r="BD246" s="42" t="n"/>
      <c r="BE246" s="42" t="n"/>
      <c r="BF246" s="42" t="n"/>
      <c r="BG246" s="42" t="n"/>
      <c r="BH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157">
        <f>IF(OR(Y247="",X247=""),"",IFERROR(Y247*INDEX(FXRates[USD per unit],MATCH(X247,FXRates[Currency],0)),"No rate"))</f>
        <v/>
      </c>
      <c r="AA247" s="32" t="n"/>
      <c r="AB247" s="32" t="n"/>
      <c r="AC247" s="36">
        <f>IF(A247="","",IF(COUNTIF($A$6:$A$504,A247)&gt;1,"⚠ Duplicate",""))</f>
        <v/>
      </c>
      <c r="AD247" s="35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  <c r="AQ247" s="43" t="n"/>
      <c r="AR247" s="43" t="n"/>
      <c r="AS247" s="35" t="n"/>
      <c r="AT247" s="43" t="n"/>
      <c r="AU247" s="43" t="n"/>
      <c r="AV247" s="43" t="n"/>
      <c r="AW247" s="43" t="n"/>
      <c r="AX247" s="43" t="n"/>
      <c r="AY247" s="43" t="n"/>
      <c r="AZ247" s="43" t="n"/>
      <c r="BA247" s="43" t="n"/>
      <c r="BB247" s="43" t="n"/>
      <c r="BC247" s="43" t="n"/>
      <c r="BD247" s="43" t="n"/>
      <c r="BE247" s="43" t="n"/>
      <c r="BF247" s="43" t="n"/>
      <c r="BG247" s="43" t="n"/>
      <c r="BH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158">
        <f>IF(OR(Y248="",X248=""),"",IFERROR(Y248*INDEX(FXRates[USD per unit],MATCH(X248,FXRates[Currency],0)),"No rate"))</f>
        <v/>
      </c>
      <c r="AA248" s="38" t="n"/>
      <c r="AB248" s="38" t="n"/>
      <c r="AC248" s="41">
        <f>IF(A248="","",IF(COUNTIF($A$6:$A$504,A248)&gt;1,"⚠ Duplicate",""))</f>
        <v/>
      </c>
      <c r="AD248" s="40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  <c r="AQ248" s="42" t="n"/>
      <c r="AR248" s="42" t="n"/>
      <c r="AS248" s="40" t="n"/>
      <c r="AT248" s="42" t="n"/>
      <c r="AU248" s="42" t="n"/>
      <c r="AV248" s="42" t="n"/>
      <c r="AW248" s="42" t="n"/>
      <c r="AX248" s="42" t="n"/>
      <c r="AY248" s="42" t="n"/>
      <c r="AZ248" s="42" t="n"/>
      <c r="BA248" s="42" t="n"/>
      <c r="BB248" s="42" t="n"/>
      <c r="BC248" s="42" t="n"/>
      <c r="BD248" s="42" t="n"/>
      <c r="BE248" s="42" t="n"/>
      <c r="BF248" s="42" t="n"/>
      <c r="BG248" s="42" t="n"/>
      <c r="BH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157">
        <f>IF(OR(Y249="",X249=""),"",IFERROR(Y249*INDEX(FXRates[USD per unit],MATCH(X249,FXRates[Currency],0)),"No rate"))</f>
        <v/>
      </c>
      <c r="AA249" s="32" t="n"/>
      <c r="AB249" s="32" t="n"/>
      <c r="AC249" s="36">
        <f>IF(A249="","",IF(COUNTIF($A$6:$A$504,A249)&gt;1,"⚠ Duplicate",""))</f>
        <v/>
      </c>
      <c r="AD249" s="35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  <c r="AQ249" s="43" t="n"/>
      <c r="AR249" s="43" t="n"/>
      <c r="AS249" s="35" t="n"/>
      <c r="AT249" s="43" t="n"/>
      <c r="AU249" s="43" t="n"/>
      <c r="AV249" s="43" t="n"/>
      <c r="AW249" s="43" t="n"/>
      <c r="AX249" s="43" t="n"/>
      <c r="AY249" s="43" t="n"/>
      <c r="AZ249" s="43" t="n"/>
      <c r="BA249" s="43" t="n"/>
      <c r="BB249" s="43" t="n"/>
      <c r="BC249" s="43" t="n"/>
      <c r="BD249" s="43" t="n"/>
      <c r="BE249" s="43" t="n"/>
      <c r="BF249" s="43" t="n"/>
      <c r="BG249" s="43" t="n"/>
      <c r="BH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158">
        <f>IF(OR(Y250="",X250=""),"",IFERROR(Y250*INDEX(FXRates[USD per unit],MATCH(X250,FXRates[Currency],0)),"No rate"))</f>
        <v/>
      </c>
      <c r="AA250" s="38" t="n"/>
      <c r="AB250" s="38" t="n"/>
      <c r="AC250" s="41">
        <f>IF(A250="","",IF(COUNTIF($A$6:$A$504,A250)&gt;1,"⚠ Duplicate",""))</f>
        <v/>
      </c>
      <c r="AD250" s="40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  <c r="AQ250" s="42" t="n"/>
      <c r="AR250" s="42" t="n"/>
      <c r="AS250" s="40" t="n"/>
      <c r="AT250" s="42" t="n"/>
      <c r="AU250" s="42" t="n"/>
      <c r="AV250" s="42" t="n"/>
      <c r="AW250" s="42" t="n"/>
      <c r="AX250" s="42" t="n"/>
      <c r="AY250" s="42" t="n"/>
      <c r="AZ250" s="42" t="n"/>
      <c r="BA250" s="42" t="n"/>
      <c r="BB250" s="42" t="n"/>
      <c r="BC250" s="42" t="n"/>
      <c r="BD250" s="42" t="n"/>
      <c r="BE250" s="42" t="n"/>
      <c r="BF250" s="42" t="n"/>
      <c r="BG250" s="42" t="n"/>
      <c r="BH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157">
        <f>IF(OR(Y251="",X251=""),"",IFERROR(Y251*INDEX(FXRates[USD per unit],MATCH(X251,FXRates[Currency],0)),"No rate"))</f>
        <v/>
      </c>
      <c r="AA251" s="32" t="n"/>
      <c r="AB251" s="32" t="n"/>
      <c r="AC251" s="36">
        <f>IF(A251="","",IF(COUNTIF($A$6:$A$504,A251)&gt;1,"⚠ Duplicate",""))</f>
        <v/>
      </c>
      <c r="AD251" s="35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  <c r="AQ251" s="43" t="n"/>
      <c r="AR251" s="43" t="n"/>
      <c r="AS251" s="35" t="n"/>
      <c r="AT251" s="43" t="n"/>
      <c r="AU251" s="43" t="n"/>
      <c r="AV251" s="43" t="n"/>
      <c r="AW251" s="43" t="n"/>
      <c r="AX251" s="43" t="n"/>
      <c r="AY251" s="43" t="n"/>
      <c r="AZ251" s="43" t="n"/>
      <c r="BA251" s="43" t="n"/>
      <c r="BB251" s="43" t="n"/>
      <c r="BC251" s="43" t="n"/>
      <c r="BD251" s="43" t="n"/>
      <c r="BE251" s="43" t="n"/>
      <c r="BF251" s="43" t="n"/>
      <c r="BG251" s="43" t="n"/>
      <c r="BH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158">
        <f>IF(OR(Y252="",X252=""),"",IFERROR(Y252*INDEX(FXRates[USD per unit],MATCH(X252,FXRates[Currency],0)),"No rate"))</f>
        <v/>
      </c>
      <c r="AA252" s="38" t="n"/>
      <c r="AB252" s="38" t="n"/>
      <c r="AC252" s="41">
        <f>IF(A252="","",IF(COUNTIF($A$6:$A$504,A252)&gt;1,"⚠ Duplicate",""))</f>
        <v/>
      </c>
      <c r="AD252" s="40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  <c r="AQ252" s="42" t="n"/>
      <c r="AR252" s="42" t="n"/>
      <c r="AS252" s="40" t="n"/>
      <c r="AT252" s="42" t="n"/>
      <c r="AU252" s="42" t="n"/>
      <c r="AV252" s="42" t="n"/>
      <c r="AW252" s="42" t="n"/>
      <c r="AX252" s="42" t="n"/>
      <c r="AY252" s="42" t="n"/>
      <c r="AZ252" s="42" t="n"/>
      <c r="BA252" s="42" t="n"/>
      <c r="BB252" s="42" t="n"/>
      <c r="BC252" s="42" t="n"/>
      <c r="BD252" s="42" t="n"/>
      <c r="BE252" s="42" t="n"/>
      <c r="BF252" s="42" t="n"/>
      <c r="BG252" s="42" t="n"/>
      <c r="BH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157">
        <f>IF(OR(Y253="",X253=""),"",IFERROR(Y253*INDEX(FXRates[USD per unit],MATCH(X253,FXRates[Currency],0)),"No rate"))</f>
        <v/>
      </c>
      <c r="AA253" s="32" t="n"/>
      <c r="AB253" s="32" t="n"/>
      <c r="AC253" s="36">
        <f>IF(A253="","",IF(COUNTIF($A$6:$A$504,A253)&gt;1,"⚠ Duplicate",""))</f>
        <v/>
      </c>
      <c r="AD253" s="35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  <c r="AQ253" s="43" t="n"/>
      <c r="AR253" s="43" t="n"/>
      <c r="AS253" s="35" t="n"/>
      <c r="AT253" s="43" t="n"/>
      <c r="AU253" s="43" t="n"/>
      <c r="AV253" s="43" t="n"/>
      <c r="AW253" s="43" t="n"/>
      <c r="AX253" s="43" t="n"/>
      <c r="AY253" s="43" t="n"/>
      <c r="AZ253" s="43" t="n"/>
      <c r="BA253" s="43" t="n"/>
      <c r="BB253" s="43" t="n"/>
      <c r="BC253" s="43" t="n"/>
      <c r="BD253" s="43" t="n"/>
      <c r="BE253" s="43" t="n"/>
      <c r="BF253" s="43" t="n"/>
      <c r="BG253" s="43" t="n"/>
      <c r="BH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158">
        <f>IF(OR(Y254="",X254=""),"",IFERROR(Y254*INDEX(FXRates[USD per unit],MATCH(X254,FXRates[Currency],0)),"No rate"))</f>
        <v/>
      </c>
      <c r="AA254" s="38" t="n"/>
      <c r="AB254" s="38" t="n"/>
      <c r="AC254" s="41">
        <f>IF(A254="","",IF(COUNTIF($A$6:$A$504,A254)&gt;1,"⚠ Duplicate",""))</f>
        <v/>
      </c>
      <c r="AD254" s="40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  <c r="AQ254" s="42" t="n"/>
      <c r="AR254" s="42" t="n"/>
      <c r="AS254" s="40" t="n"/>
      <c r="AT254" s="42" t="n"/>
      <c r="AU254" s="42" t="n"/>
      <c r="AV254" s="42" t="n"/>
      <c r="AW254" s="42" t="n"/>
      <c r="AX254" s="42" t="n"/>
      <c r="AY254" s="42" t="n"/>
      <c r="AZ254" s="42" t="n"/>
      <c r="BA254" s="42" t="n"/>
      <c r="BB254" s="42" t="n"/>
      <c r="BC254" s="42" t="n"/>
      <c r="BD254" s="42" t="n"/>
      <c r="BE254" s="42" t="n"/>
      <c r="BF254" s="42" t="n"/>
      <c r="BG254" s="42" t="n"/>
      <c r="BH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157">
        <f>IF(OR(Y255="",X255=""),"",IFERROR(Y255*INDEX(FXRates[USD per unit],MATCH(X255,FXRates[Currency],0)),"No rate"))</f>
        <v/>
      </c>
      <c r="AA255" s="32" t="n"/>
      <c r="AB255" s="32" t="n"/>
      <c r="AC255" s="36">
        <f>IF(A255="","",IF(COUNTIF($A$6:$A$504,A255)&gt;1,"⚠ Duplicate",""))</f>
        <v/>
      </c>
      <c r="AD255" s="35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  <c r="AQ255" s="43" t="n"/>
      <c r="AR255" s="43" t="n"/>
      <c r="AS255" s="35" t="n"/>
      <c r="AT255" s="43" t="n"/>
      <c r="AU255" s="43" t="n"/>
      <c r="AV255" s="43" t="n"/>
      <c r="AW255" s="43" t="n"/>
      <c r="AX255" s="43" t="n"/>
      <c r="AY255" s="43" t="n"/>
      <c r="AZ255" s="43" t="n"/>
      <c r="BA255" s="43" t="n"/>
      <c r="BB255" s="43" t="n"/>
      <c r="BC255" s="43" t="n"/>
      <c r="BD255" s="43" t="n"/>
      <c r="BE255" s="43" t="n"/>
      <c r="BF255" s="43" t="n"/>
      <c r="BG255" s="43" t="n"/>
      <c r="BH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158">
        <f>IF(OR(Y256="",X256=""),"",IFERROR(Y256*INDEX(FXRates[USD per unit],MATCH(X256,FXRates[Currency],0)),"No rate"))</f>
        <v/>
      </c>
      <c r="AA256" s="38" t="n"/>
      <c r="AB256" s="38" t="n"/>
      <c r="AC256" s="41">
        <f>IF(A256="","",IF(COUNTIF($A$6:$A$504,A256)&gt;1,"⚠ Duplicate",""))</f>
        <v/>
      </c>
      <c r="AD256" s="40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  <c r="AQ256" s="42" t="n"/>
      <c r="AR256" s="42" t="n"/>
      <c r="AS256" s="40" t="n"/>
      <c r="AT256" s="42" t="n"/>
      <c r="AU256" s="42" t="n"/>
      <c r="AV256" s="42" t="n"/>
      <c r="AW256" s="42" t="n"/>
      <c r="AX256" s="42" t="n"/>
      <c r="AY256" s="42" t="n"/>
      <c r="AZ256" s="42" t="n"/>
      <c r="BA256" s="42" t="n"/>
      <c r="BB256" s="42" t="n"/>
      <c r="BC256" s="42" t="n"/>
      <c r="BD256" s="42" t="n"/>
      <c r="BE256" s="42" t="n"/>
      <c r="BF256" s="42" t="n"/>
      <c r="BG256" s="42" t="n"/>
      <c r="BH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157">
        <f>IF(OR(Y257="",X257=""),"",IFERROR(Y257*INDEX(FXRates[USD per unit],MATCH(X257,FXRates[Currency],0)),"No rate"))</f>
        <v/>
      </c>
      <c r="AA257" s="32" t="n"/>
      <c r="AB257" s="32" t="n"/>
      <c r="AC257" s="36">
        <f>IF(A257="","",IF(COUNTIF($A$6:$A$504,A257)&gt;1,"⚠ Duplicate",""))</f>
        <v/>
      </c>
      <c r="AD257" s="35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  <c r="AQ257" s="43" t="n"/>
      <c r="AR257" s="43" t="n"/>
      <c r="AS257" s="35" t="n"/>
      <c r="AT257" s="43" t="n"/>
      <c r="AU257" s="43" t="n"/>
      <c r="AV257" s="43" t="n"/>
      <c r="AW257" s="43" t="n"/>
      <c r="AX257" s="43" t="n"/>
      <c r="AY257" s="43" t="n"/>
      <c r="AZ257" s="43" t="n"/>
      <c r="BA257" s="43" t="n"/>
      <c r="BB257" s="43" t="n"/>
      <c r="BC257" s="43" t="n"/>
      <c r="BD257" s="43" t="n"/>
      <c r="BE257" s="43" t="n"/>
      <c r="BF257" s="43" t="n"/>
      <c r="BG257" s="43" t="n"/>
      <c r="BH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158">
        <f>IF(OR(Y258="",X258=""),"",IFERROR(Y258*INDEX(FXRates[USD per unit],MATCH(X258,FXRates[Currency],0)),"No rate"))</f>
        <v/>
      </c>
      <c r="AA258" s="38" t="n"/>
      <c r="AB258" s="38" t="n"/>
      <c r="AC258" s="41">
        <f>IF(A258="","",IF(COUNTIF($A$6:$A$504,A258)&gt;1,"⚠ Duplicate",""))</f>
        <v/>
      </c>
      <c r="AD258" s="40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  <c r="AQ258" s="42" t="n"/>
      <c r="AR258" s="42" t="n"/>
      <c r="AS258" s="40" t="n"/>
      <c r="AT258" s="42" t="n"/>
      <c r="AU258" s="42" t="n"/>
      <c r="AV258" s="42" t="n"/>
      <c r="AW258" s="42" t="n"/>
      <c r="AX258" s="42" t="n"/>
      <c r="AY258" s="42" t="n"/>
      <c r="AZ258" s="42" t="n"/>
      <c r="BA258" s="42" t="n"/>
      <c r="BB258" s="42" t="n"/>
      <c r="BC258" s="42" t="n"/>
      <c r="BD258" s="42" t="n"/>
      <c r="BE258" s="42" t="n"/>
      <c r="BF258" s="42" t="n"/>
      <c r="BG258" s="42" t="n"/>
      <c r="BH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157">
        <f>IF(OR(Y259="",X259=""),"",IFERROR(Y259*INDEX(FXRates[USD per unit],MATCH(X259,FXRates[Currency],0)),"No rate"))</f>
        <v/>
      </c>
      <c r="AA259" s="32" t="n"/>
      <c r="AB259" s="32" t="n"/>
      <c r="AC259" s="36">
        <f>IF(A259="","",IF(COUNTIF($A$6:$A$504,A259)&gt;1,"⚠ Duplicate",""))</f>
        <v/>
      </c>
      <c r="AD259" s="35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  <c r="AQ259" s="43" t="n"/>
      <c r="AR259" s="43" t="n"/>
      <c r="AS259" s="35" t="n"/>
      <c r="AT259" s="43" t="n"/>
      <c r="AU259" s="43" t="n"/>
      <c r="AV259" s="43" t="n"/>
      <c r="AW259" s="43" t="n"/>
      <c r="AX259" s="43" t="n"/>
      <c r="AY259" s="43" t="n"/>
      <c r="AZ259" s="43" t="n"/>
      <c r="BA259" s="43" t="n"/>
      <c r="BB259" s="43" t="n"/>
      <c r="BC259" s="43" t="n"/>
      <c r="BD259" s="43" t="n"/>
      <c r="BE259" s="43" t="n"/>
      <c r="BF259" s="43" t="n"/>
      <c r="BG259" s="43" t="n"/>
      <c r="BH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158">
        <f>IF(OR(Y260="",X260=""),"",IFERROR(Y260*INDEX(FXRates[USD per unit],MATCH(X260,FXRates[Currency],0)),"No rate"))</f>
        <v/>
      </c>
      <c r="AA260" s="38" t="n"/>
      <c r="AB260" s="38" t="n"/>
      <c r="AC260" s="41">
        <f>IF(A260="","",IF(COUNTIF($A$6:$A$504,A260)&gt;1,"⚠ Duplicate",""))</f>
        <v/>
      </c>
      <c r="AD260" s="40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  <c r="AQ260" s="42" t="n"/>
      <c r="AR260" s="42" t="n"/>
      <c r="AS260" s="40" t="n"/>
      <c r="AT260" s="42" t="n"/>
      <c r="AU260" s="42" t="n"/>
      <c r="AV260" s="42" t="n"/>
      <c r="AW260" s="42" t="n"/>
      <c r="AX260" s="42" t="n"/>
      <c r="AY260" s="42" t="n"/>
      <c r="AZ260" s="42" t="n"/>
      <c r="BA260" s="42" t="n"/>
      <c r="BB260" s="42" t="n"/>
      <c r="BC260" s="42" t="n"/>
      <c r="BD260" s="42" t="n"/>
      <c r="BE260" s="42" t="n"/>
      <c r="BF260" s="42" t="n"/>
      <c r="BG260" s="42" t="n"/>
      <c r="BH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157">
        <f>IF(OR(Y261="",X261=""),"",IFERROR(Y261*INDEX(FXRates[USD per unit],MATCH(X261,FXRates[Currency],0)),"No rate"))</f>
        <v/>
      </c>
      <c r="AA261" s="32" t="n"/>
      <c r="AB261" s="32" t="n"/>
      <c r="AC261" s="36">
        <f>IF(A261="","",IF(COUNTIF($A$6:$A$504,A261)&gt;1,"⚠ Duplicate",""))</f>
        <v/>
      </c>
      <c r="AD261" s="35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  <c r="AQ261" s="43" t="n"/>
      <c r="AR261" s="43" t="n"/>
      <c r="AS261" s="35" t="n"/>
      <c r="AT261" s="43" t="n"/>
      <c r="AU261" s="43" t="n"/>
      <c r="AV261" s="43" t="n"/>
      <c r="AW261" s="43" t="n"/>
      <c r="AX261" s="43" t="n"/>
      <c r="AY261" s="43" t="n"/>
      <c r="AZ261" s="43" t="n"/>
      <c r="BA261" s="43" t="n"/>
      <c r="BB261" s="43" t="n"/>
      <c r="BC261" s="43" t="n"/>
      <c r="BD261" s="43" t="n"/>
      <c r="BE261" s="43" t="n"/>
      <c r="BF261" s="43" t="n"/>
      <c r="BG261" s="43" t="n"/>
      <c r="BH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158">
        <f>IF(OR(Y262="",X262=""),"",IFERROR(Y262*INDEX(FXRates[USD per unit],MATCH(X262,FXRates[Currency],0)),"No rate"))</f>
        <v/>
      </c>
      <c r="AA262" s="38" t="n"/>
      <c r="AB262" s="38" t="n"/>
      <c r="AC262" s="41">
        <f>IF(A262="","",IF(COUNTIF($A$6:$A$504,A262)&gt;1,"⚠ Duplicate",""))</f>
        <v/>
      </c>
      <c r="AD262" s="40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  <c r="AQ262" s="42" t="n"/>
      <c r="AR262" s="42" t="n"/>
      <c r="AS262" s="40" t="n"/>
      <c r="AT262" s="42" t="n"/>
      <c r="AU262" s="42" t="n"/>
      <c r="AV262" s="42" t="n"/>
      <c r="AW262" s="42" t="n"/>
      <c r="AX262" s="42" t="n"/>
      <c r="AY262" s="42" t="n"/>
      <c r="AZ262" s="42" t="n"/>
      <c r="BA262" s="42" t="n"/>
      <c r="BB262" s="42" t="n"/>
      <c r="BC262" s="42" t="n"/>
      <c r="BD262" s="42" t="n"/>
      <c r="BE262" s="42" t="n"/>
      <c r="BF262" s="42" t="n"/>
      <c r="BG262" s="42" t="n"/>
      <c r="BH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157">
        <f>IF(OR(Y263="",X263=""),"",IFERROR(Y263*INDEX(FXRates[USD per unit],MATCH(X263,FXRates[Currency],0)),"No rate"))</f>
        <v/>
      </c>
      <c r="AA263" s="32" t="n"/>
      <c r="AB263" s="32" t="n"/>
      <c r="AC263" s="36">
        <f>IF(A263="","",IF(COUNTIF($A$6:$A$504,A263)&gt;1,"⚠ Duplicate",""))</f>
        <v/>
      </c>
      <c r="AD263" s="35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  <c r="AQ263" s="43" t="n"/>
      <c r="AR263" s="43" t="n"/>
      <c r="AS263" s="35" t="n"/>
      <c r="AT263" s="43" t="n"/>
      <c r="AU263" s="43" t="n"/>
      <c r="AV263" s="43" t="n"/>
      <c r="AW263" s="43" t="n"/>
      <c r="AX263" s="43" t="n"/>
      <c r="AY263" s="43" t="n"/>
      <c r="AZ263" s="43" t="n"/>
      <c r="BA263" s="43" t="n"/>
      <c r="BB263" s="43" t="n"/>
      <c r="BC263" s="43" t="n"/>
      <c r="BD263" s="43" t="n"/>
      <c r="BE263" s="43" t="n"/>
      <c r="BF263" s="43" t="n"/>
      <c r="BG263" s="43" t="n"/>
      <c r="BH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158">
        <f>IF(OR(Y264="",X264=""),"",IFERROR(Y264*INDEX(FXRates[USD per unit],MATCH(X264,FXRates[Currency],0)),"No rate"))</f>
        <v/>
      </c>
      <c r="AA264" s="38" t="n"/>
      <c r="AB264" s="38" t="n"/>
      <c r="AC264" s="41">
        <f>IF(A264="","",IF(COUNTIF($A$6:$A$504,A264)&gt;1,"⚠ Duplicate",""))</f>
        <v/>
      </c>
      <c r="AD264" s="40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  <c r="AQ264" s="42" t="n"/>
      <c r="AR264" s="42" t="n"/>
      <c r="AS264" s="40" t="n"/>
      <c r="AT264" s="42" t="n"/>
      <c r="AU264" s="42" t="n"/>
      <c r="AV264" s="42" t="n"/>
      <c r="AW264" s="42" t="n"/>
      <c r="AX264" s="42" t="n"/>
      <c r="AY264" s="42" t="n"/>
      <c r="AZ264" s="42" t="n"/>
      <c r="BA264" s="42" t="n"/>
      <c r="BB264" s="42" t="n"/>
      <c r="BC264" s="42" t="n"/>
      <c r="BD264" s="42" t="n"/>
      <c r="BE264" s="42" t="n"/>
      <c r="BF264" s="42" t="n"/>
      <c r="BG264" s="42" t="n"/>
      <c r="BH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157">
        <f>IF(OR(Y265="",X265=""),"",IFERROR(Y265*INDEX(FXRates[USD per unit],MATCH(X265,FXRates[Currency],0)),"No rate"))</f>
        <v/>
      </c>
      <c r="AA265" s="32" t="n"/>
      <c r="AB265" s="32" t="n"/>
      <c r="AC265" s="36">
        <f>IF(A265="","",IF(COUNTIF($A$6:$A$504,A265)&gt;1,"⚠ Duplicate",""))</f>
        <v/>
      </c>
      <c r="AD265" s="35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  <c r="AQ265" s="43" t="n"/>
      <c r="AR265" s="43" t="n"/>
      <c r="AS265" s="35" t="n"/>
      <c r="AT265" s="43" t="n"/>
      <c r="AU265" s="43" t="n"/>
      <c r="AV265" s="43" t="n"/>
      <c r="AW265" s="43" t="n"/>
      <c r="AX265" s="43" t="n"/>
      <c r="AY265" s="43" t="n"/>
      <c r="AZ265" s="43" t="n"/>
      <c r="BA265" s="43" t="n"/>
      <c r="BB265" s="43" t="n"/>
      <c r="BC265" s="43" t="n"/>
      <c r="BD265" s="43" t="n"/>
      <c r="BE265" s="43" t="n"/>
      <c r="BF265" s="43" t="n"/>
      <c r="BG265" s="43" t="n"/>
      <c r="BH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158">
        <f>IF(OR(Y266="",X266=""),"",IFERROR(Y266*INDEX(FXRates[USD per unit],MATCH(X266,FXRates[Currency],0)),"No rate"))</f>
        <v/>
      </c>
      <c r="AA266" s="38" t="n"/>
      <c r="AB266" s="38" t="n"/>
      <c r="AC266" s="41">
        <f>IF(A266="","",IF(COUNTIF($A$6:$A$504,A266)&gt;1,"⚠ Duplicate",""))</f>
        <v/>
      </c>
      <c r="AD266" s="40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  <c r="AQ266" s="42" t="n"/>
      <c r="AR266" s="42" t="n"/>
      <c r="AS266" s="40" t="n"/>
      <c r="AT266" s="42" t="n"/>
      <c r="AU266" s="42" t="n"/>
      <c r="AV266" s="42" t="n"/>
      <c r="AW266" s="42" t="n"/>
      <c r="AX266" s="42" t="n"/>
      <c r="AY266" s="42" t="n"/>
      <c r="AZ266" s="42" t="n"/>
      <c r="BA266" s="42" t="n"/>
      <c r="BB266" s="42" t="n"/>
      <c r="BC266" s="42" t="n"/>
      <c r="BD266" s="42" t="n"/>
      <c r="BE266" s="42" t="n"/>
      <c r="BF266" s="42" t="n"/>
      <c r="BG266" s="42" t="n"/>
      <c r="BH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157">
        <f>IF(OR(Y267="",X267=""),"",IFERROR(Y267*INDEX(FXRates[USD per unit],MATCH(X267,FXRates[Currency],0)),"No rate"))</f>
        <v/>
      </c>
      <c r="AA267" s="32" t="n"/>
      <c r="AB267" s="32" t="n"/>
      <c r="AC267" s="36">
        <f>IF(A267="","",IF(COUNTIF($A$6:$A$504,A267)&gt;1,"⚠ Duplicate",""))</f>
        <v/>
      </c>
      <c r="AD267" s="35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  <c r="AQ267" s="43" t="n"/>
      <c r="AR267" s="43" t="n"/>
      <c r="AS267" s="35" t="n"/>
      <c r="AT267" s="43" t="n"/>
      <c r="AU267" s="43" t="n"/>
      <c r="AV267" s="43" t="n"/>
      <c r="AW267" s="43" t="n"/>
      <c r="AX267" s="43" t="n"/>
      <c r="AY267" s="43" t="n"/>
      <c r="AZ267" s="43" t="n"/>
      <c r="BA267" s="43" t="n"/>
      <c r="BB267" s="43" t="n"/>
      <c r="BC267" s="43" t="n"/>
      <c r="BD267" s="43" t="n"/>
      <c r="BE267" s="43" t="n"/>
      <c r="BF267" s="43" t="n"/>
      <c r="BG267" s="43" t="n"/>
      <c r="BH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158">
        <f>IF(OR(Y268="",X268=""),"",IFERROR(Y268*INDEX(FXRates[USD per unit],MATCH(X268,FXRates[Currency],0)),"No rate"))</f>
        <v/>
      </c>
      <c r="AA268" s="38" t="n"/>
      <c r="AB268" s="38" t="n"/>
      <c r="AC268" s="41">
        <f>IF(A268="","",IF(COUNTIF($A$6:$A$504,A268)&gt;1,"⚠ Duplicate",""))</f>
        <v/>
      </c>
      <c r="AD268" s="40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  <c r="AQ268" s="42" t="n"/>
      <c r="AR268" s="42" t="n"/>
      <c r="AS268" s="40" t="n"/>
      <c r="AT268" s="42" t="n"/>
      <c r="AU268" s="42" t="n"/>
      <c r="AV268" s="42" t="n"/>
      <c r="AW268" s="42" t="n"/>
      <c r="AX268" s="42" t="n"/>
      <c r="AY268" s="42" t="n"/>
      <c r="AZ268" s="42" t="n"/>
      <c r="BA268" s="42" t="n"/>
      <c r="BB268" s="42" t="n"/>
      <c r="BC268" s="42" t="n"/>
      <c r="BD268" s="42" t="n"/>
      <c r="BE268" s="42" t="n"/>
      <c r="BF268" s="42" t="n"/>
      <c r="BG268" s="42" t="n"/>
      <c r="BH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157">
        <f>IF(OR(Y269="",X269=""),"",IFERROR(Y269*INDEX(FXRates[USD per unit],MATCH(X269,FXRates[Currency],0)),"No rate"))</f>
        <v/>
      </c>
      <c r="AA269" s="32" t="n"/>
      <c r="AB269" s="32" t="n"/>
      <c r="AC269" s="36">
        <f>IF(A269="","",IF(COUNTIF($A$6:$A$504,A269)&gt;1,"⚠ Duplicate",""))</f>
        <v/>
      </c>
      <c r="AD269" s="35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  <c r="AQ269" s="43" t="n"/>
      <c r="AR269" s="43" t="n"/>
      <c r="AS269" s="35" t="n"/>
      <c r="AT269" s="43" t="n"/>
      <c r="AU269" s="43" t="n"/>
      <c r="AV269" s="43" t="n"/>
      <c r="AW269" s="43" t="n"/>
      <c r="AX269" s="43" t="n"/>
      <c r="AY269" s="43" t="n"/>
      <c r="AZ269" s="43" t="n"/>
      <c r="BA269" s="43" t="n"/>
      <c r="BB269" s="43" t="n"/>
      <c r="BC269" s="43" t="n"/>
      <c r="BD269" s="43" t="n"/>
      <c r="BE269" s="43" t="n"/>
      <c r="BF269" s="43" t="n"/>
      <c r="BG269" s="43" t="n"/>
      <c r="BH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158">
        <f>IF(OR(Y270="",X270=""),"",IFERROR(Y270*INDEX(FXRates[USD per unit],MATCH(X270,FXRates[Currency],0)),"No rate"))</f>
        <v/>
      </c>
      <c r="AA270" s="38" t="n"/>
      <c r="AB270" s="38" t="n"/>
      <c r="AC270" s="41">
        <f>IF(A270="","",IF(COUNTIF($A$6:$A$504,A270)&gt;1,"⚠ Duplicate",""))</f>
        <v/>
      </c>
      <c r="AD270" s="40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  <c r="AQ270" s="42" t="n"/>
      <c r="AR270" s="42" t="n"/>
      <c r="AS270" s="40" t="n"/>
      <c r="AT270" s="42" t="n"/>
      <c r="AU270" s="42" t="n"/>
      <c r="AV270" s="42" t="n"/>
      <c r="AW270" s="42" t="n"/>
      <c r="AX270" s="42" t="n"/>
      <c r="AY270" s="42" t="n"/>
      <c r="AZ270" s="42" t="n"/>
      <c r="BA270" s="42" t="n"/>
      <c r="BB270" s="42" t="n"/>
      <c r="BC270" s="42" t="n"/>
      <c r="BD270" s="42" t="n"/>
      <c r="BE270" s="42" t="n"/>
      <c r="BF270" s="42" t="n"/>
      <c r="BG270" s="42" t="n"/>
      <c r="BH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157">
        <f>IF(OR(Y271="",X271=""),"",IFERROR(Y271*INDEX(FXRates[USD per unit],MATCH(X271,FXRates[Currency],0)),"No rate"))</f>
        <v/>
      </c>
      <c r="AA271" s="32" t="n"/>
      <c r="AB271" s="32" t="n"/>
      <c r="AC271" s="36">
        <f>IF(A271="","",IF(COUNTIF($A$6:$A$504,A271)&gt;1,"⚠ Duplicate",""))</f>
        <v/>
      </c>
      <c r="AD271" s="35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  <c r="AQ271" s="43" t="n"/>
      <c r="AR271" s="43" t="n"/>
      <c r="AS271" s="35" t="n"/>
      <c r="AT271" s="43" t="n"/>
      <c r="AU271" s="43" t="n"/>
      <c r="AV271" s="43" t="n"/>
      <c r="AW271" s="43" t="n"/>
      <c r="AX271" s="43" t="n"/>
      <c r="AY271" s="43" t="n"/>
      <c r="AZ271" s="43" t="n"/>
      <c r="BA271" s="43" t="n"/>
      <c r="BB271" s="43" t="n"/>
      <c r="BC271" s="43" t="n"/>
      <c r="BD271" s="43" t="n"/>
      <c r="BE271" s="43" t="n"/>
      <c r="BF271" s="43" t="n"/>
      <c r="BG271" s="43" t="n"/>
      <c r="BH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158">
        <f>IF(OR(Y272="",X272=""),"",IFERROR(Y272*INDEX(FXRates[USD per unit],MATCH(X272,FXRates[Currency],0)),"No rate"))</f>
        <v/>
      </c>
      <c r="AA272" s="38" t="n"/>
      <c r="AB272" s="38" t="n"/>
      <c r="AC272" s="41">
        <f>IF(A272="","",IF(COUNTIF($A$6:$A$504,A272)&gt;1,"⚠ Duplicate",""))</f>
        <v/>
      </c>
      <c r="AD272" s="40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  <c r="AQ272" s="42" t="n"/>
      <c r="AR272" s="42" t="n"/>
      <c r="AS272" s="40" t="n"/>
      <c r="AT272" s="42" t="n"/>
      <c r="AU272" s="42" t="n"/>
      <c r="AV272" s="42" t="n"/>
      <c r="AW272" s="42" t="n"/>
      <c r="AX272" s="42" t="n"/>
      <c r="AY272" s="42" t="n"/>
      <c r="AZ272" s="42" t="n"/>
      <c r="BA272" s="42" t="n"/>
      <c r="BB272" s="42" t="n"/>
      <c r="BC272" s="42" t="n"/>
      <c r="BD272" s="42" t="n"/>
      <c r="BE272" s="42" t="n"/>
      <c r="BF272" s="42" t="n"/>
      <c r="BG272" s="42" t="n"/>
      <c r="BH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157">
        <f>IF(OR(Y273="",X273=""),"",IFERROR(Y273*INDEX(FXRates[USD per unit],MATCH(X273,FXRates[Currency],0)),"No rate"))</f>
        <v/>
      </c>
      <c r="AA273" s="32" t="n"/>
      <c r="AB273" s="32" t="n"/>
      <c r="AC273" s="36">
        <f>IF(A273="","",IF(COUNTIF($A$6:$A$504,A273)&gt;1,"⚠ Duplicate",""))</f>
        <v/>
      </c>
      <c r="AD273" s="35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  <c r="AQ273" s="43" t="n"/>
      <c r="AR273" s="43" t="n"/>
      <c r="AS273" s="35" t="n"/>
      <c r="AT273" s="43" t="n"/>
      <c r="AU273" s="43" t="n"/>
      <c r="AV273" s="43" t="n"/>
      <c r="AW273" s="43" t="n"/>
      <c r="AX273" s="43" t="n"/>
      <c r="AY273" s="43" t="n"/>
      <c r="AZ273" s="43" t="n"/>
      <c r="BA273" s="43" t="n"/>
      <c r="BB273" s="43" t="n"/>
      <c r="BC273" s="43" t="n"/>
      <c r="BD273" s="43" t="n"/>
      <c r="BE273" s="43" t="n"/>
      <c r="BF273" s="43" t="n"/>
      <c r="BG273" s="43" t="n"/>
      <c r="BH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158">
        <f>IF(OR(Y274="",X274=""),"",IFERROR(Y274*INDEX(FXRates[USD per unit],MATCH(X274,FXRates[Currency],0)),"No rate"))</f>
        <v/>
      </c>
      <c r="AA274" s="38" t="n"/>
      <c r="AB274" s="38" t="n"/>
      <c r="AC274" s="41">
        <f>IF(A274="","",IF(COUNTIF($A$6:$A$504,A274)&gt;1,"⚠ Duplicate",""))</f>
        <v/>
      </c>
      <c r="AD274" s="40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  <c r="AQ274" s="42" t="n"/>
      <c r="AR274" s="42" t="n"/>
      <c r="AS274" s="40" t="n"/>
      <c r="AT274" s="42" t="n"/>
      <c r="AU274" s="42" t="n"/>
      <c r="AV274" s="42" t="n"/>
      <c r="AW274" s="42" t="n"/>
      <c r="AX274" s="42" t="n"/>
      <c r="AY274" s="42" t="n"/>
      <c r="AZ274" s="42" t="n"/>
      <c r="BA274" s="42" t="n"/>
      <c r="BB274" s="42" t="n"/>
      <c r="BC274" s="42" t="n"/>
      <c r="BD274" s="42" t="n"/>
      <c r="BE274" s="42" t="n"/>
      <c r="BF274" s="42" t="n"/>
      <c r="BG274" s="42" t="n"/>
      <c r="BH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157">
        <f>IF(OR(Y275="",X275=""),"",IFERROR(Y275*INDEX(FXRates[USD per unit],MATCH(X275,FXRates[Currency],0)),"No rate"))</f>
        <v/>
      </c>
      <c r="AA275" s="32" t="n"/>
      <c r="AB275" s="32" t="n"/>
      <c r="AC275" s="36">
        <f>IF(A275="","",IF(COUNTIF($A$6:$A$504,A275)&gt;1,"⚠ Duplicate",""))</f>
        <v/>
      </c>
      <c r="AD275" s="35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  <c r="AQ275" s="43" t="n"/>
      <c r="AR275" s="43" t="n"/>
      <c r="AS275" s="35" t="n"/>
      <c r="AT275" s="43" t="n"/>
      <c r="AU275" s="43" t="n"/>
      <c r="AV275" s="43" t="n"/>
      <c r="AW275" s="43" t="n"/>
      <c r="AX275" s="43" t="n"/>
      <c r="AY275" s="43" t="n"/>
      <c r="AZ275" s="43" t="n"/>
      <c r="BA275" s="43" t="n"/>
      <c r="BB275" s="43" t="n"/>
      <c r="BC275" s="43" t="n"/>
      <c r="BD275" s="43" t="n"/>
      <c r="BE275" s="43" t="n"/>
      <c r="BF275" s="43" t="n"/>
      <c r="BG275" s="43" t="n"/>
      <c r="BH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158">
        <f>IF(OR(Y276="",X276=""),"",IFERROR(Y276*INDEX(FXRates[USD per unit],MATCH(X276,FXRates[Currency],0)),"No rate"))</f>
        <v/>
      </c>
      <c r="AA276" s="38" t="n"/>
      <c r="AB276" s="38" t="n"/>
      <c r="AC276" s="41">
        <f>IF(A276="","",IF(COUNTIF($A$6:$A$504,A276)&gt;1,"⚠ Duplicate",""))</f>
        <v/>
      </c>
      <c r="AD276" s="40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  <c r="AQ276" s="42" t="n"/>
      <c r="AR276" s="42" t="n"/>
      <c r="AS276" s="40" t="n"/>
      <c r="AT276" s="42" t="n"/>
      <c r="AU276" s="42" t="n"/>
      <c r="AV276" s="42" t="n"/>
      <c r="AW276" s="42" t="n"/>
      <c r="AX276" s="42" t="n"/>
      <c r="AY276" s="42" t="n"/>
      <c r="AZ276" s="42" t="n"/>
      <c r="BA276" s="42" t="n"/>
      <c r="BB276" s="42" t="n"/>
      <c r="BC276" s="42" t="n"/>
      <c r="BD276" s="42" t="n"/>
      <c r="BE276" s="42" t="n"/>
      <c r="BF276" s="42" t="n"/>
      <c r="BG276" s="42" t="n"/>
      <c r="BH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157">
        <f>IF(OR(Y277="",X277=""),"",IFERROR(Y277*INDEX(FXRates[USD per unit],MATCH(X277,FXRates[Currency],0)),"No rate"))</f>
        <v/>
      </c>
      <c r="AA277" s="32" t="n"/>
      <c r="AB277" s="32" t="n"/>
      <c r="AC277" s="36">
        <f>IF(A277="","",IF(COUNTIF($A$6:$A$504,A277)&gt;1,"⚠ Duplicate",""))</f>
        <v/>
      </c>
      <c r="AD277" s="35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  <c r="AQ277" s="43" t="n"/>
      <c r="AR277" s="43" t="n"/>
      <c r="AS277" s="35" t="n"/>
      <c r="AT277" s="43" t="n"/>
      <c r="AU277" s="43" t="n"/>
      <c r="AV277" s="43" t="n"/>
      <c r="AW277" s="43" t="n"/>
      <c r="AX277" s="43" t="n"/>
      <c r="AY277" s="43" t="n"/>
      <c r="AZ277" s="43" t="n"/>
      <c r="BA277" s="43" t="n"/>
      <c r="BB277" s="43" t="n"/>
      <c r="BC277" s="43" t="n"/>
      <c r="BD277" s="43" t="n"/>
      <c r="BE277" s="43" t="n"/>
      <c r="BF277" s="43" t="n"/>
      <c r="BG277" s="43" t="n"/>
      <c r="BH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158">
        <f>IF(OR(Y278="",X278=""),"",IFERROR(Y278*INDEX(FXRates[USD per unit],MATCH(X278,FXRates[Currency],0)),"No rate"))</f>
        <v/>
      </c>
      <c r="AA278" s="38" t="n"/>
      <c r="AB278" s="38" t="n"/>
      <c r="AC278" s="41">
        <f>IF(A278="","",IF(COUNTIF($A$6:$A$504,A278)&gt;1,"⚠ Duplicate",""))</f>
        <v/>
      </c>
      <c r="AD278" s="40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  <c r="AQ278" s="42" t="n"/>
      <c r="AR278" s="42" t="n"/>
      <c r="AS278" s="40" t="n"/>
      <c r="AT278" s="42" t="n"/>
      <c r="AU278" s="42" t="n"/>
      <c r="AV278" s="42" t="n"/>
      <c r="AW278" s="42" t="n"/>
      <c r="AX278" s="42" t="n"/>
      <c r="AY278" s="42" t="n"/>
      <c r="AZ278" s="42" t="n"/>
      <c r="BA278" s="42" t="n"/>
      <c r="BB278" s="42" t="n"/>
      <c r="BC278" s="42" t="n"/>
      <c r="BD278" s="42" t="n"/>
      <c r="BE278" s="42" t="n"/>
      <c r="BF278" s="42" t="n"/>
      <c r="BG278" s="42" t="n"/>
      <c r="BH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157">
        <f>IF(OR(Y279="",X279=""),"",IFERROR(Y279*INDEX(FXRates[USD per unit],MATCH(X279,FXRates[Currency],0)),"No rate"))</f>
        <v/>
      </c>
      <c r="AA279" s="32" t="n"/>
      <c r="AB279" s="32" t="n"/>
      <c r="AC279" s="36">
        <f>IF(A279="","",IF(COUNTIF($A$6:$A$504,A279)&gt;1,"⚠ Duplicate",""))</f>
        <v/>
      </c>
      <c r="AD279" s="35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  <c r="AQ279" s="43" t="n"/>
      <c r="AR279" s="43" t="n"/>
      <c r="AS279" s="35" t="n"/>
      <c r="AT279" s="43" t="n"/>
      <c r="AU279" s="43" t="n"/>
      <c r="AV279" s="43" t="n"/>
      <c r="AW279" s="43" t="n"/>
      <c r="AX279" s="43" t="n"/>
      <c r="AY279" s="43" t="n"/>
      <c r="AZ279" s="43" t="n"/>
      <c r="BA279" s="43" t="n"/>
      <c r="BB279" s="43" t="n"/>
      <c r="BC279" s="43" t="n"/>
      <c r="BD279" s="43" t="n"/>
      <c r="BE279" s="43" t="n"/>
      <c r="BF279" s="43" t="n"/>
      <c r="BG279" s="43" t="n"/>
      <c r="BH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158">
        <f>IF(OR(Y280="",X280=""),"",IFERROR(Y280*INDEX(FXRates[USD per unit],MATCH(X280,FXRates[Currency],0)),"No rate"))</f>
        <v/>
      </c>
      <c r="AA280" s="38" t="n"/>
      <c r="AB280" s="38" t="n"/>
      <c r="AC280" s="41">
        <f>IF(A280="","",IF(COUNTIF($A$6:$A$504,A280)&gt;1,"⚠ Duplicate",""))</f>
        <v/>
      </c>
      <c r="AD280" s="40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  <c r="AQ280" s="42" t="n"/>
      <c r="AR280" s="42" t="n"/>
      <c r="AS280" s="40" t="n"/>
      <c r="AT280" s="42" t="n"/>
      <c r="AU280" s="42" t="n"/>
      <c r="AV280" s="42" t="n"/>
      <c r="AW280" s="42" t="n"/>
      <c r="AX280" s="42" t="n"/>
      <c r="AY280" s="42" t="n"/>
      <c r="AZ280" s="42" t="n"/>
      <c r="BA280" s="42" t="n"/>
      <c r="BB280" s="42" t="n"/>
      <c r="BC280" s="42" t="n"/>
      <c r="BD280" s="42" t="n"/>
      <c r="BE280" s="42" t="n"/>
      <c r="BF280" s="42" t="n"/>
      <c r="BG280" s="42" t="n"/>
      <c r="BH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157">
        <f>IF(OR(Y281="",X281=""),"",IFERROR(Y281*INDEX(FXRates[USD per unit],MATCH(X281,FXRates[Currency],0)),"No rate"))</f>
        <v/>
      </c>
      <c r="AA281" s="32" t="n"/>
      <c r="AB281" s="32" t="n"/>
      <c r="AC281" s="36">
        <f>IF(A281="","",IF(COUNTIF($A$6:$A$504,A281)&gt;1,"⚠ Duplicate",""))</f>
        <v/>
      </c>
      <c r="AD281" s="35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  <c r="AQ281" s="43" t="n"/>
      <c r="AR281" s="43" t="n"/>
      <c r="AS281" s="35" t="n"/>
      <c r="AT281" s="43" t="n"/>
      <c r="AU281" s="43" t="n"/>
      <c r="AV281" s="43" t="n"/>
      <c r="AW281" s="43" t="n"/>
      <c r="AX281" s="43" t="n"/>
      <c r="AY281" s="43" t="n"/>
      <c r="AZ281" s="43" t="n"/>
      <c r="BA281" s="43" t="n"/>
      <c r="BB281" s="43" t="n"/>
      <c r="BC281" s="43" t="n"/>
      <c r="BD281" s="43" t="n"/>
      <c r="BE281" s="43" t="n"/>
      <c r="BF281" s="43" t="n"/>
      <c r="BG281" s="43" t="n"/>
      <c r="BH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158">
        <f>IF(OR(Y282="",X282=""),"",IFERROR(Y282*INDEX(FXRates[USD per unit],MATCH(X282,FXRates[Currency],0)),"No rate"))</f>
        <v/>
      </c>
      <c r="AA282" s="38" t="n"/>
      <c r="AB282" s="38" t="n"/>
      <c r="AC282" s="41">
        <f>IF(A282="","",IF(COUNTIF($A$6:$A$504,A282)&gt;1,"⚠ Duplicate",""))</f>
        <v/>
      </c>
      <c r="AD282" s="40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  <c r="AQ282" s="42" t="n"/>
      <c r="AR282" s="42" t="n"/>
      <c r="AS282" s="40" t="n"/>
      <c r="AT282" s="42" t="n"/>
      <c r="AU282" s="42" t="n"/>
      <c r="AV282" s="42" t="n"/>
      <c r="AW282" s="42" t="n"/>
      <c r="AX282" s="42" t="n"/>
      <c r="AY282" s="42" t="n"/>
      <c r="AZ282" s="42" t="n"/>
      <c r="BA282" s="42" t="n"/>
      <c r="BB282" s="42" t="n"/>
      <c r="BC282" s="42" t="n"/>
      <c r="BD282" s="42" t="n"/>
      <c r="BE282" s="42" t="n"/>
      <c r="BF282" s="42" t="n"/>
      <c r="BG282" s="42" t="n"/>
      <c r="BH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157">
        <f>IF(OR(Y283="",X283=""),"",IFERROR(Y283*INDEX(FXRates[USD per unit],MATCH(X283,FXRates[Currency],0)),"No rate"))</f>
        <v/>
      </c>
      <c r="AA283" s="32" t="n"/>
      <c r="AB283" s="32" t="n"/>
      <c r="AC283" s="36">
        <f>IF(A283="","",IF(COUNTIF($A$6:$A$504,A283)&gt;1,"⚠ Duplicate",""))</f>
        <v/>
      </c>
      <c r="AD283" s="35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  <c r="AQ283" s="43" t="n"/>
      <c r="AR283" s="43" t="n"/>
      <c r="AS283" s="35" t="n"/>
      <c r="AT283" s="43" t="n"/>
      <c r="AU283" s="43" t="n"/>
      <c r="AV283" s="43" t="n"/>
      <c r="AW283" s="43" t="n"/>
      <c r="AX283" s="43" t="n"/>
      <c r="AY283" s="43" t="n"/>
      <c r="AZ283" s="43" t="n"/>
      <c r="BA283" s="43" t="n"/>
      <c r="BB283" s="43" t="n"/>
      <c r="BC283" s="43" t="n"/>
      <c r="BD283" s="43" t="n"/>
      <c r="BE283" s="43" t="n"/>
      <c r="BF283" s="43" t="n"/>
      <c r="BG283" s="43" t="n"/>
      <c r="BH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158">
        <f>IF(OR(Y284="",X284=""),"",IFERROR(Y284*INDEX(FXRates[USD per unit],MATCH(X284,FXRates[Currency],0)),"No rate"))</f>
        <v/>
      </c>
      <c r="AA284" s="38" t="n"/>
      <c r="AB284" s="38" t="n"/>
      <c r="AC284" s="41">
        <f>IF(A284="","",IF(COUNTIF($A$6:$A$504,A284)&gt;1,"⚠ Duplicate",""))</f>
        <v/>
      </c>
      <c r="AD284" s="40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  <c r="AQ284" s="42" t="n"/>
      <c r="AR284" s="42" t="n"/>
      <c r="AS284" s="40" t="n"/>
      <c r="AT284" s="42" t="n"/>
      <c r="AU284" s="42" t="n"/>
      <c r="AV284" s="42" t="n"/>
      <c r="AW284" s="42" t="n"/>
      <c r="AX284" s="42" t="n"/>
      <c r="AY284" s="42" t="n"/>
      <c r="AZ284" s="42" t="n"/>
      <c r="BA284" s="42" t="n"/>
      <c r="BB284" s="42" t="n"/>
      <c r="BC284" s="42" t="n"/>
      <c r="BD284" s="42" t="n"/>
      <c r="BE284" s="42" t="n"/>
      <c r="BF284" s="42" t="n"/>
      <c r="BG284" s="42" t="n"/>
      <c r="BH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157">
        <f>IF(OR(Y285="",X285=""),"",IFERROR(Y285*INDEX(FXRates[USD per unit],MATCH(X285,FXRates[Currency],0)),"No rate"))</f>
        <v/>
      </c>
      <c r="AA285" s="32" t="n"/>
      <c r="AB285" s="32" t="n"/>
      <c r="AC285" s="36">
        <f>IF(A285="","",IF(COUNTIF($A$6:$A$504,A285)&gt;1,"⚠ Duplicate",""))</f>
        <v/>
      </c>
      <c r="AD285" s="35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  <c r="AQ285" s="43" t="n"/>
      <c r="AR285" s="43" t="n"/>
      <c r="AS285" s="35" t="n"/>
      <c r="AT285" s="43" t="n"/>
      <c r="AU285" s="43" t="n"/>
      <c r="AV285" s="43" t="n"/>
      <c r="AW285" s="43" t="n"/>
      <c r="AX285" s="43" t="n"/>
      <c r="AY285" s="43" t="n"/>
      <c r="AZ285" s="43" t="n"/>
      <c r="BA285" s="43" t="n"/>
      <c r="BB285" s="43" t="n"/>
      <c r="BC285" s="43" t="n"/>
      <c r="BD285" s="43" t="n"/>
      <c r="BE285" s="43" t="n"/>
      <c r="BF285" s="43" t="n"/>
      <c r="BG285" s="43" t="n"/>
      <c r="BH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158">
        <f>IF(OR(Y286="",X286=""),"",IFERROR(Y286*INDEX(FXRates[USD per unit],MATCH(X286,FXRates[Currency],0)),"No rate"))</f>
        <v/>
      </c>
      <c r="AA286" s="38" t="n"/>
      <c r="AB286" s="38" t="n"/>
      <c r="AC286" s="41">
        <f>IF(A286="","",IF(COUNTIF($A$6:$A$504,A286)&gt;1,"⚠ Duplicate",""))</f>
        <v/>
      </c>
      <c r="AD286" s="40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  <c r="AQ286" s="42" t="n"/>
      <c r="AR286" s="42" t="n"/>
      <c r="AS286" s="40" t="n"/>
      <c r="AT286" s="42" t="n"/>
      <c r="AU286" s="42" t="n"/>
      <c r="AV286" s="42" t="n"/>
      <c r="AW286" s="42" t="n"/>
      <c r="AX286" s="42" t="n"/>
      <c r="AY286" s="42" t="n"/>
      <c r="AZ286" s="42" t="n"/>
      <c r="BA286" s="42" t="n"/>
      <c r="BB286" s="42" t="n"/>
      <c r="BC286" s="42" t="n"/>
      <c r="BD286" s="42" t="n"/>
      <c r="BE286" s="42" t="n"/>
      <c r="BF286" s="42" t="n"/>
      <c r="BG286" s="42" t="n"/>
      <c r="BH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157">
        <f>IF(OR(Y287="",X287=""),"",IFERROR(Y287*INDEX(FXRates[USD per unit],MATCH(X287,FXRates[Currency],0)),"No rate"))</f>
        <v/>
      </c>
      <c r="AA287" s="32" t="n"/>
      <c r="AB287" s="32" t="n"/>
      <c r="AC287" s="36">
        <f>IF(A287="","",IF(COUNTIF($A$6:$A$504,A287)&gt;1,"⚠ Duplicate",""))</f>
        <v/>
      </c>
      <c r="AD287" s="35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  <c r="AQ287" s="43" t="n"/>
      <c r="AR287" s="43" t="n"/>
      <c r="AS287" s="35" t="n"/>
      <c r="AT287" s="43" t="n"/>
      <c r="AU287" s="43" t="n"/>
      <c r="AV287" s="43" t="n"/>
      <c r="AW287" s="43" t="n"/>
      <c r="AX287" s="43" t="n"/>
      <c r="AY287" s="43" t="n"/>
      <c r="AZ287" s="43" t="n"/>
      <c r="BA287" s="43" t="n"/>
      <c r="BB287" s="43" t="n"/>
      <c r="BC287" s="43" t="n"/>
      <c r="BD287" s="43" t="n"/>
      <c r="BE287" s="43" t="n"/>
      <c r="BF287" s="43" t="n"/>
      <c r="BG287" s="43" t="n"/>
      <c r="BH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158">
        <f>IF(OR(Y288="",X288=""),"",IFERROR(Y288*INDEX(FXRates[USD per unit],MATCH(X288,FXRates[Currency],0)),"No rate"))</f>
        <v/>
      </c>
      <c r="AA288" s="38" t="n"/>
      <c r="AB288" s="38" t="n"/>
      <c r="AC288" s="41">
        <f>IF(A288="","",IF(COUNTIF($A$6:$A$504,A288)&gt;1,"⚠ Duplicate",""))</f>
        <v/>
      </c>
      <c r="AD288" s="40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  <c r="AQ288" s="42" t="n"/>
      <c r="AR288" s="42" t="n"/>
      <c r="AS288" s="40" t="n"/>
      <c r="AT288" s="42" t="n"/>
      <c r="AU288" s="42" t="n"/>
      <c r="AV288" s="42" t="n"/>
      <c r="AW288" s="42" t="n"/>
      <c r="AX288" s="42" t="n"/>
      <c r="AY288" s="42" t="n"/>
      <c r="AZ288" s="42" t="n"/>
      <c r="BA288" s="42" t="n"/>
      <c r="BB288" s="42" t="n"/>
      <c r="BC288" s="42" t="n"/>
      <c r="BD288" s="42" t="n"/>
      <c r="BE288" s="42" t="n"/>
      <c r="BF288" s="42" t="n"/>
      <c r="BG288" s="42" t="n"/>
      <c r="BH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157">
        <f>IF(OR(Y289="",X289=""),"",IFERROR(Y289*INDEX(FXRates[USD per unit],MATCH(X289,FXRates[Currency],0)),"No rate"))</f>
        <v/>
      </c>
      <c r="AA289" s="32" t="n"/>
      <c r="AB289" s="32" t="n"/>
      <c r="AC289" s="36">
        <f>IF(A289="","",IF(COUNTIF($A$6:$A$504,A289)&gt;1,"⚠ Duplicate",""))</f>
        <v/>
      </c>
      <c r="AD289" s="35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  <c r="AQ289" s="43" t="n"/>
      <c r="AR289" s="43" t="n"/>
      <c r="AS289" s="35" t="n"/>
      <c r="AT289" s="43" t="n"/>
      <c r="AU289" s="43" t="n"/>
      <c r="AV289" s="43" t="n"/>
      <c r="AW289" s="43" t="n"/>
      <c r="AX289" s="43" t="n"/>
      <c r="AY289" s="43" t="n"/>
      <c r="AZ289" s="43" t="n"/>
      <c r="BA289" s="43" t="n"/>
      <c r="BB289" s="43" t="n"/>
      <c r="BC289" s="43" t="n"/>
      <c r="BD289" s="43" t="n"/>
      <c r="BE289" s="43" t="n"/>
      <c r="BF289" s="43" t="n"/>
      <c r="BG289" s="43" t="n"/>
      <c r="BH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158">
        <f>IF(OR(Y290="",X290=""),"",IFERROR(Y290*INDEX(FXRates[USD per unit],MATCH(X290,FXRates[Currency],0)),"No rate"))</f>
        <v/>
      </c>
      <c r="AA290" s="38" t="n"/>
      <c r="AB290" s="38" t="n"/>
      <c r="AC290" s="41">
        <f>IF(A290="","",IF(COUNTIF($A$6:$A$504,A290)&gt;1,"⚠ Duplicate",""))</f>
        <v/>
      </c>
      <c r="AD290" s="40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  <c r="AQ290" s="42" t="n"/>
      <c r="AR290" s="42" t="n"/>
      <c r="AS290" s="40" t="n"/>
      <c r="AT290" s="42" t="n"/>
      <c r="AU290" s="42" t="n"/>
      <c r="AV290" s="42" t="n"/>
      <c r="AW290" s="42" t="n"/>
      <c r="AX290" s="42" t="n"/>
      <c r="AY290" s="42" t="n"/>
      <c r="AZ290" s="42" t="n"/>
      <c r="BA290" s="42" t="n"/>
      <c r="BB290" s="42" t="n"/>
      <c r="BC290" s="42" t="n"/>
      <c r="BD290" s="42" t="n"/>
      <c r="BE290" s="42" t="n"/>
      <c r="BF290" s="42" t="n"/>
      <c r="BG290" s="42" t="n"/>
      <c r="BH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157">
        <f>IF(OR(Y291="",X291=""),"",IFERROR(Y291*INDEX(FXRates[USD per unit],MATCH(X291,FXRates[Currency],0)),"No rate"))</f>
        <v/>
      </c>
      <c r="AA291" s="32" t="n"/>
      <c r="AB291" s="32" t="n"/>
      <c r="AC291" s="36">
        <f>IF(A291="","",IF(COUNTIF($A$6:$A$504,A291)&gt;1,"⚠ Duplicate",""))</f>
        <v/>
      </c>
      <c r="AD291" s="35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  <c r="AQ291" s="43" t="n"/>
      <c r="AR291" s="43" t="n"/>
      <c r="AS291" s="35" t="n"/>
      <c r="AT291" s="43" t="n"/>
      <c r="AU291" s="43" t="n"/>
      <c r="AV291" s="43" t="n"/>
      <c r="AW291" s="43" t="n"/>
      <c r="AX291" s="43" t="n"/>
      <c r="AY291" s="43" t="n"/>
      <c r="AZ291" s="43" t="n"/>
      <c r="BA291" s="43" t="n"/>
      <c r="BB291" s="43" t="n"/>
      <c r="BC291" s="43" t="n"/>
      <c r="BD291" s="43" t="n"/>
      <c r="BE291" s="43" t="n"/>
      <c r="BF291" s="43" t="n"/>
      <c r="BG291" s="43" t="n"/>
      <c r="BH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158">
        <f>IF(OR(Y292="",X292=""),"",IFERROR(Y292*INDEX(FXRates[USD per unit],MATCH(X292,FXRates[Currency],0)),"No rate"))</f>
        <v/>
      </c>
      <c r="AA292" s="38" t="n"/>
      <c r="AB292" s="38" t="n"/>
      <c r="AC292" s="41">
        <f>IF(A292="","",IF(COUNTIF($A$6:$A$504,A292)&gt;1,"⚠ Duplicate",""))</f>
        <v/>
      </c>
      <c r="AD292" s="40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  <c r="AQ292" s="42" t="n"/>
      <c r="AR292" s="42" t="n"/>
      <c r="AS292" s="40" t="n"/>
      <c r="AT292" s="42" t="n"/>
      <c r="AU292" s="42" t="n"/>
      <c r="AV292" s="42" t="n"/>
      <c r="AW292" s="42" t="n"/>
      <c r="AX292" s="42" t="n"/>
      <c r="AY292" s="42" t="n"/>
      <c r="AZ292" s="42" t="n"/>
      <c r="BA292" s="42" t="n"/>
      <c r="BB292" s="42" t="n"/>
      <c r="BC292" s="42" t="n"/>
      <c r="BD292" s="42" t="n"/>
      <c r="BE292" s="42" t="n"/>
      <c r="BF292" s="42" t="n"/>
      <c r="BG292" s="42" t="n"/>
      <c r="BH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157">
        <f>IF(OR(Y293="",X293=""),"",IFERROR(Y293*INDEX(FXRates[USD per unit],MATCH(X293,FXRates[Currency],0)),"No rate"))</f>
        <v/>
      </c>
      <c r="AA293" s="32" t="n"/>
      <c r="AB293" s="32" t="n"/>
      <c r="AC293" s="36">
        <f>IF(A293="","",IF(COUNTIF($A$6:$A$504,A293)&gt;1,"⚠ Duplicate",""))</f>
        <v/>
      </c>
      <c r="AD293" s="35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  <c r="AQ293" s="43" t="n"/>
      <c r="AR293" s="43" t="n"/>
      <c r="AS293" s="35" t="n"/>
      <c r="AT293" s="43" t="n"/>
      <c r="AU293" s="43" t="n"/>
      <c r="AV293" s="43" t="n"/>
      <c r="AW293" s="43" t="n"/>
      <c r="AX293" s="43" t="n"/>
      <c r="AY293" s="43" t="n"/>
      <c r="AZ293" s="43" t="n"/>
      <c r="BA293" s="43" t="n"/>
      <c r="BB293" s="43" t="n"/>
      <c r="BC293" s="43" t="n"/>
      <c r="BD293" s="43" t="n"/>
      <c r="BE293" s="43" t="n"/>
      <c r="BF293" s="43" t="n"/>
      <c r="BG293" s="43" t="n"/>
      <c r="BH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158">
        <f>IF(OR(Y294="",X294=""),"",IFERROR(Y294*INDEX(FXRates[USD per unit],MATCH(X294,FXRates[Currency],0)),"No rate"))</f>
        <v/>
      </c>
      <c r="AA294" s="38" t="n"/>
      <c r="AB294" s="38" t="n"/>
      <c r="AC294" s="41">
        <f>IF(A294="","",IF(COUNTIF($A$6:$A$504,A294)&gt;1,"⚠ Duplicate",""))</f>
        <v/>
      </c>
      <c r="AD294" s="40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  <c r="AQ294" s="42" t="n"/>
      <c r="AR294" s="42" t="n"/>
      <c r="AS294" s="40" t="n"/>
      <c r="AT294" s="42" t="n"/>
      <c r="AU294" s="42" t="n"/>
      <c r="AV294" s="42" t="n"/>
      <c r="AW294" s="42" t="n"/>
      <c r="AX294" s="42" t="n"/>
      <c r="AY294" s="42" t="n"/>
      <c r="AZ294" s="42" t="n"/>
      <c r="BA294" s="42" t="n"/>
      <c r="BB294" s="42" t="n"/>
      <c r="BC294" s="42" t="n"/>
      <c r="BD294" s="42" t="n"/>
      <c r="BE294" s="42" t="n"/>
      <c r="BF294" s="42" t="n"/>
      <c r="BG294" s="42" t="n"/>
      <c r="BH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157">
        <f>IF(OR(Y295="",X295=""),"",IFERROR(Y295*INDEX(FXRates[USD per unit],MATCH(X295,FXRates[Currency],0)),"No rate"))</f>
        <v/>
      </c>
      <c r="AA295" s="32" t="n"/>
      <c r="AB295" s="32" t="n"/>
      <c r="AC295" s="36">
        <f>IF(A295="","",IF(COUNTIF($A$6:$A$504,A295)&gt;1,"⚠ Duplicate",""))</f>
        <v/>
      </c>
      <c r="AD295" s="35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  <c r="AQ295" s="43" t="n"/>
      <c r="AR295" s="43" t="n"/>
      <c r="AS295" s="35" t="n"/>
      <c r="AT295" s="43" t="n"/>
      <c r="AU295" s="43" t="n"/>
      <c r="AV295" s="43" t="n"/>
      <c r="AW295" s="43" t="n"/>
      <c r="AX295" s="43" t="n"/>
      <c r="AY295" s="43" t="n"/>
      <c r="AZ295" s="43" t="n"/>
      <c r="BA295" s="43" t="n"/>
      <c r="BB295" s="43" t="n"/>
      <c r="BC295" s="43" t="n"/>
      <c r="BD295" s="43" t="n"/>
      <c r="BE295" s="43" t="n"/>
      <c r="BF295" s="43" t="n"/>
      <c r="BG295" s="43" t="n"/>
      <c r="BH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158">
        <f>IF(OR(Y296="",X296=""),"",IFERROR(Y296*INDEX(FXRates[USD per unit],MATCH(X296,FXRates[Currency],0)),"No rate"))</f>
        <v/>
      </c>
      <c r="AA296" s="38" t="n"/>
      <c r="AB296" s="38" t="n"/>
      <c r="AC296" s="41">
        <f>IF(A296="","",IF(COUNTIF($A$6:$A$504,A296)&gt;1,"⚠ Duplicate",""))</f>
        <v/>
      </c>
      <c r="AD296" s="40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  <c r="AQ296" s="42" t="n"/>
      <c r="AR296" s="42" t="n"/>
      <c r="AS296" s="40" t="n"/>
      <c r="AT296" s="42" t="n"/>
      <c r="AU296" s="42" t="n"/>
      <c r="AV296" s="42" t="n"/>
      <c r="AW296" s="42" t="n"/>
      <c r="AX296" s="42" t="n"/>
      <c r="AY296" s="42" t="n"/>
      <c r="AZ296" s="42" t="n"/>
      <c r="BA296" s="42" t="n"/>
      <c r="BB296" s="42" t="n"/>
      <c r="BC296" s="42" t="n"/>
      <c r="BD296" s="42" t="n"/>
      <c r="BE296" s="42" t="n"/>
      <c r="BF296" s="42" t="n"/>
      <c r="BG296" s="42" t="n"/>
      <c r="BH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157">
        <f>IF(OR(Y297="",X297=""),"",IFERROR(Y297*INDEX(FXRates[USD per unit],MATCH(X297,FXRates[Currency],0)),"No rate"))</f>
        <v/>
      </c>
      <c r="AA297" s="32" t="n"/>
      <c r="AB297" s="32" t="n"/>
      <c r="AC297" s="36">
        <f>IF(A297="","",IF(COUNTIF($A$6:$A$504,A297)&gt;1,"⚠ Duplicate",""))</f>
        <v/>
      </c>
      <c r="AD297" s="35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  <c r="AQ297" s="43" t="n"/>
      <c r="AR297" s="43" t="n"/>
      <c r="AS297" s="35" t="n"/>
      <c r="AT297" s="43" t="n"/>
      <c r="AU297" s="43" t="n"/>
      <c r="AV297" s="43" t="n"/>
      <c r="AW297" s="43" t="n"/>
      <c r="AX297" s="43" t="n"/>
      <c r="AY297" s="43" t="n"/>
      <c r="AZ297" s="43" t="n"/>
      <c r="BA297" s="43" t="n"/>
      <c r="BB297" s="43" t="n"/>
      <c r="BC297" s="43" t="n"/>
      <c r="BD297" s="43" t="n"/>
      <c r="BE297" s="43" t="n"/>
      <c r="BF297" s="43" t="n"/>
      <c r="BG297" s="43" t="n"/>
      <c r="BH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158">
        <f>IF(OR(Y298="",X298=""),"",IFERROR(Y298*INDEX(FXRates[USD per unit],MATCH(X298,FXRates[Currency],0)),"No rate"))</f>
        <v/>
      </c>
      <c r="AA298" s="38" t="n"/>
      <c r="AB298" s="38" t="n"/>
      <c r="AC298" s="41">
        <f>IF(A298="","",IF(COUNTIF($A$6:$A$504,A298)&gt;1,"⚠ Duplicate",""))</f>
        <v/>
      </c>
      <c r="AD298" s="40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  <c r="AQ298" s="42" t="n"/>
      <c r="AR298" s="42" t="n"/>
      <c r="AS298" s="40" t="n"/>
      <c r="AT298" s="42" t="n"/>
      <c r="AU298" s="42" t="n"/>
      <c r="AV298" s="42" t="n"/>
      <c r="AW298" s="42" t="n"/>
      <c r="AX298" s="42" t="n"/>
      <c r="AY298" s="42" t="n"/>
      <c r="AZ298" s="42" t="n"/>
      <c r="BA298" s="42" t="n"/>
      <c r="BB298" s="42" t="n"/>
      <c r="BC298" s="42" t="n"/>
      <c r="BD298" s="42" t="n"/>
      <c r="BE298" s="42" t="n"/>
      <c r="BF298" s="42" t="n"/>
      <c r="BG298" s="42" t="n"/>
      <c r="BH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157">
        <f>IF(OR(Y299="",X299=""),"",IFERROR(Y299*INDEX(FXRates[USD per unit],MATCH(X299,FXRates[Currency],0)),"No rate"))</f>
        <v/>
      </c>
      <c r="AA299" s="32" t="n"/>
      <c r="AB299" s="32" t="n"/>
      <c r="AC299" s="36">
        <f>IF(A299="","",IF(COUNTIF($A$6:$A$504,A299)&gt;1,"⚠ Duplicate",""))</f>
        <v/>
      </c>
      <c r="AD299" s="35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  <c r="AQ299" s="43" t="n"/>
      <c r="AR299" s="43" t="n"/>
      <c r="AS299" s="35" t="n"/>
      <c r="AT299" s="43" t="n"/>
      <c r="AU299" s="43" t="n"/>
      <c r="AV299" s="43" t="n"/>
      <c r="AW299" s="43" t="n"/>
      <c r="AX299" s="43" t="n"/>
      <c r="AY299" s="43" t="n"/>
      <c r="AZ299" s="43" t="n"/>
      <c r="BA299" s="43" t="n"/>
      <c r="BB299" s="43" t="n"/>
      <c r="BC299" s="43" t="n"/>
      <c r="BD299" s="43" t="n"/>
      <c r="BE299" s="43" t="n"/>
      <c r="BF299" s="43" t="n"/>
      <c r="BG299" s="43" t="n"/>
      <c r="BH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158">
        <f>IF(OR(Y300="",X300=""),"",IFERROR(Y300*INDEX(FXRates[USD per unit],MATCH(X300,FXRates[Currency],0)),"No rate"))</f>
        <v/>
      </c>
      <c r="AA300" s="38" t="n"/>
      <c r="AB300" s="38" t="n"/>
      <c r="AC300" s="41">
        <f>IF(A300="","",IF(COUNTIF($A$6:$A$504,A300)&gt;1,"⚠ Duplicate",""))</f>
        <v/>
      </c>
      <c r="AD300" s="40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  <c r="AQ300" s="42" t="n"/>
      <c r="AR300" s="42" t="n"/>
      <c r="AS300" s="40" t="n"/>
      <c r="AT300" s="42" t="n"/>
      <c r="AU300" s="42" t="n"/>
      <c r="AV300" s="42" t="n"/>
      <c r="AW300" s="42" t="n"/>
      <c r="AX300" s="42" t="n"/>
      <c r="AY300" s="42" t="n"/>
      <c r="AZ300" s="42" t="n"/>
      <c r="BA300" s="42" t="n"/>
      <c r="BB300" s="42" t="n"/>
      <c r="BC300" s="42" t="n"/>
      <c r="BD300" s="42" t="n"/>
      <c r="BE300" s="42" t="n"/>
      <c r="BF300" s="42" t="n"/>
      <c r="BG300" s="42" t="n"/>
      <c r="BH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157">
        <f>IF(OR(Y301="",X301=""),"",IFERROR(Y301*INDEX(FXRates[USD per unit],MATCH(X301,FXRates[Currency],0)),"No rate"))</f>
        <v/>
      </c>
      <c r="AA301" s="32" t="n"/>
      <c r="AB301" s="32" t="n"/>
      <c r="AC301" s="36">
        <f>IF(A301="","",IF(COUNTIF($A$6:$A$504,A301)&gt;1,"⚠ Duplicate",""))</f>
        <v/>
      </c>
      <c r="AD301" s="35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  <c r="AQ301" s="43" t="n"/>
      <c r="AR301" s="43" t="n"/>
      <c r="AS301" s="35" t="n"/>
      <c r="AT301" s="43" t="n"/>
      <c r="AU301" s="43" t="n"/>
      <c r="AV301" s="43" t="n"/>
      <c r="AW301" s="43" t="n"/>
      <c r="AX301" s="43" t="n"/>
      <c r="AY301" s="43" t="n"/>
      <c r="AZ301" s="43" t="n"/>
      <c r="BA301" s="43" t="n"/>
      <c r="BB301" s="43" t="n"/>
      <c r="BC301" s="43" t="n"/>
      <c r="BD301" s="43" t="n"/>
      <c r="BE301" s="43" t="n"/>
      <c r="BF301" s="43" t="n"/>
      <c r="BG301" s="43" t="n"/>
      <c r="BH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158">
        <f>IF(OR(Y302="",X302=""),"",IFERROR(Y302*INDEX(FXRates[USD per unit],MATCH(X302,FXRates[Currency],0)),"No rate"))</f>
        <v/>
      </c>
      <c r="AA302" s="38" t="n"/>
      <c r="AB302" s="38" t="n"/>
      <c r="AC302" s="41">
        <f>IF(A302="","",IF(COUNTIF($A$6:$A$504,A302)&gt;1,"⚠ Duplicate",""))</f>
        <v/>
      </c>
      <c r="AD302" s="40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  <c r="AQ302" s="42" t="n"/>
      <c r="AR302" s="42" t="n"/>
      <c r="AS302" s="40" t="n"/>
      <c r="AT302" s="42" t="n"/>
      <c r="AU302" s="42" t="n"/>
      <c r="AV302" s="42" t="n"/>
      <c r="AW302" s="42" t="n"/>
      <c r="AX302" s="42" t="n"/>
      <c r="AY302" s="42" t="n"/>
      <c r="AZ302" s="42" t="n"/>
      <c r="BA302" s="42" t="n"/>
      <c r="BB302" s="42" t="n"/>
      <c r="BC302" s="42" t="n"/>
      <c r="BD302" s="42" t="n"/>
      <c r="BE302" s="42" t="n"/>
      <c r="BF302" s="42" t="n"/>
      <c r="BG302" s="42" t="n"/>
      <c r="BH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157">
        <f>IF(OR(Y303="",X303=""),"",IFERROR(Y303*INDEX(FXRates[USD per unit],MATCH(X303,FXRates[Currency],0)),"No rate"))</f>
        <v/>
      </c>
      <c r="AA303" s="32" t="n"/>
      <c r="AB303" s="32" t="n"/>
      <c r="AC303" s="36">
        <f>IF(A303="","",IF(COUNTIF($A$6:$A$504,A303)&gt;1,"⚠ Duplicate",""))</f>
        <v/>
      </c>
      <c r="AD303" s="35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  <c r="AQ303" s="43" t="n"/>
      <c r="AR303" s="43" t="n"/>
      <c r="AS303" s="35" t="n"/>
      <c r="AT303" s="43" t="n"/>
      <c r="AU303" s="43" t="n"/>
      <c r="AV303" s="43" t="n"/>
      <c r="AW303" s="43" t="n"/>
      <c r="AX303" s="43" t="n"/>
      <c r="AY303" s="43" t="n"/>
      <c r="AZ303" s="43" t="n"/>
      <c r="BA303" s="43" t="n"/>
      <c r="BB303" s="43" t="n"/>
      <c r="BC303" s="43" t="n"/>
      <c r="BD303" s="43" t="n"/>
      <c r="BE303" s="43" t="n"/>
      <c r="BF303" s="43" t="n"/>
      <c r="BG303" s="43" t="n"/>
      <c r="BH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158">
        <f>IF(OR(Y304="",X304=""),"",IFERROR(Y304*INDEX(FXRates[USD per unit],MATCH(X304,FXRates[Currency],0)),"No rate"))</f>
        <v/>
      </c>
      <c r="AA304" s="38" t="n"/>
      <c r="AB304" s="38" t="n"/>
      <c r="AC304" s="41">
        <f>IF(A304="","",IF(COUNTIF($A$6:$A$504,A304)&gt;1,"⚠ Duplicate",""))</f>
        <v/>
      </c>
      <c r="AD304" s="40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  <c r="AQ304" s="42" t="n"/>
      <c r="AR304" s="42" t="n"/>
      <c r="AS304" s="40" t="n"/>
      <c r="AT304" s="42" t="n"/>
      <c r="AU304" s="42" t="n"/>
      <c r="AV304" s="42" t="n"/>
      <c r="AW304" s="42" t="n"/>
      <c r="AX304" s="42" t="n"/>
      <c r="AY304" s="42" t="n"/>
      <c r="AZ304" s="42" t="n"/>
      <c r="BA304" s="42" t="n"/>
      <c r="BB304" s="42" t="n"/>
      <c r="BC304" s="42" t="n"/>
      <c r="BD304" s="42" t="n"/>
      <c r="BE304" s="42" t="n"/>
      <c r="BF304" s="42" t="n"/>
      <c r="BG304" s="42" t="n"/>
      <c r="BH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157">
        <f>IF(OR(Y305="",X305=""),"",IFERROR(Y305*INDEX(FXRates[USD per unit],MATCH(X305,FXRates[Currency],0)),"No rate"))</f>
        <v/>
      </c>
      <c r="AA305" s="32" t="n"/>
      <c r="AB305" s="32" t="n"/>
      <c r="AC305" s="36">
        <f>IF(A305="","",IF(COUNTIF($A$6:$A$504,A305)&gt;1,"⚠ Duplicate",""))</f>
        <v/>
      </c>
      <c r="AD305" s="35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  <c r="AQ305" s="43" t="n"/>
      <c r="AR305" s="43" t="n"/>
      <c r="AS305" s="35" t="n"/>
      <c r="AT305" s="43" t="n"/>
      <c r="AU305" s="43" t="n"/>
      <c r="AV305" s="43" t="n"/>
      <c r="AW305" s="43" t="n"/>
      <c r="AX305" s="43" t="n"/>
      <c r="AY305" s="43" t="n"/>
      <c r="AZ305" s="43" t="n"/>
      <c r="BA305" s="43" t="n"/>
      <c r="BB305" s="43" t="n"/>
      <c r="BC305" s="43" t="n"/>
      <c r="BD305" s="43" t="n"/>
      <c r="BE305" s="43" t="n"/>
      <c r="BF305" s="43" t="n"/>
      <c r="BG305" s="43" t="n"/>
      <c r="BH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158">
        <f>IF(OR(Y306="",X306=""),"",IFERROR(Y306*INDEX(FXRates[USD per unit],MATCH(X306,FXRates[Currency],0)),"No rate"))</f>
        <v/>
      </c>
      <c r="AA306" s="38" t="n"/>
      <c r="AB306" s="38" t="n"/>
      <c r="AC306" s="41">
        <f>IF(A306="","",IF(COUNTIF($A$6:$A$504,A306)&gt;1,"⚠ Duplicate",""))</f>
        <v/>
      </c>
      <c r="AD306" s="40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  <c r="AQ306" s="42" t="n"/>
      <c r="AR306" s="42" t="n"/>
      <c r="AS306" s="40" t="n"/>
      <c r="AT306" s="42" t="n"/>
      <c r="AU306" s="42" t="n"/>
      <c r="AV306" s="42" t="n"/>
      <c r="AW306" s="42" t="n"/>
      <c r="AX306" s="42" t="n"/>
      <c r="AY306" s="42" t="n"/>
      <c r="AZ306" s="42" t="n"/>
      <c r="BA306" s="42" t="n"/>
      <c r="BB306" s="42" t="n"/>
      <c r="BC306" s="42" t="n"/>
      <c r="BD306" s="42" t="n"/>
      <c r="BE306" s="42" t="n"/>
      <c r="BF306" s="42" t="n"/>
      <c r="BG306" s="42" t="n"/>
      <c r="BH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157">
        <f>IF(OR(Y307="",X307=""),"",IFERROR(Y307*INDEX(FXRates[USD per unit],MATCH(X307,FXRates[Currency],0)),"No rate"))</f>
        <v/>
      </c>
      <c r="AA307" s="32" t="n"/>
      <c r="AB307" s="32" t="n"/>
      <c r="AC307" s="36">
        <f>IF(A307="","",IF(COUNTIF($A$6:$A$504,A307)&gt;1,"⚠ Duplicate",""))</f>
        <v/>
      </c>
      <c r="AD307" s="35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  <c r="AQ307" s="43" t="n"/>
      <c r="AR307" s="43" t="n"/>
      <c r="AS307" s="35" t="n"/>
      <c r="AT307" s="43" t="n"/>
      <c r="AU307" s="43" t="n"/>
      <c r="AV307" s="43" t="n"/>
      <c r="AW307" s="43" t="n"/>
      <c r="AX307" s="43" t="n"/>
      <c r="AY307" s="43" t="n"/>
      <c r="AZ307" s="43" t="n"/>
      <c r="BA307" s="43" t="n"/>
      <c r="BB307" s="43" t="n"/>
      <c r="BC307" s="43" t="n"/>
      <c r="BD307" s="43" t="n"/>
      <c r="BE307" s="43" t="n"/>
      <c r="BF307" s="43" t="n"/>
      <c r="BG307" s="43" t="n"/>
      <c r="BH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158">
        <f>IF(OR(Y308="",X308=""),"",IFERROR(Y308*INDEX(FXRates[USD per unit],MATCH(X308,FXRates[Currency],0)),"No rate"))</f>
        <v/>
      </c>
      <c r="AA308" s="38" t="n"/>
      <c r="AB308" s="38" t="n"/>
      <c r="AC308" s="41">
        <f>IF(A308="","",IF(COUNTIF($A$6:$A$504,A308)&gt;1,"⚠ Duplicate",""))</f>
        <v/>
      </c>
      <c r="AD308" s="40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  <c r="AQ308" s="42" t="n"/>
      <c r="AR308" s="42" t="n"/>
      <c r="AS308" s="40" t="n"/>
      <c r="AT308" s="42" t="n"/>
      <c r="AU308" s="42" t="n"/>
      <c r="AV308" s="42" t="n"/>
      <c r="AW308" s="42" t="n"/>
      <c r="AX308" s="42" t="n"/>
      <c r="AY308" s="42" t="n"/>
      <c r="AZ308" s="42" t="n"/>
      <c r="BA308" s="42" t="n"/>
      <c r="BB308" s="42" t="n"/>
      <c r="BC308" s="42" t="n"/>
      <c r="BD308" s="42" t="n"/>
      <c r="BE308" s="42" t="n"/>
      <c r="BF308" s="42" t="n"/>
      <c r="BG308" s="42" t="n"/>
      <c r="BH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157">
        <f>IF(OR(Y309="",X309=""),"",IFERROR(Y309*INDEX(FXRates[USD per unit],MATCH(X309,FXRates[Currency],0)),"No rate"))</f>
        <v/>
      </c>
      <c r="AA309" s="32" t="n"/>
      <c r="AB309" s="32" t="n"/>
      <c r="AC309" s="36">
        <f>IF(A309="","",IF(COUNTIF($A$6:$A$504,A309)&gt;1,"⚠ Duplicate",""))</f>
        <v/>
      </c>
      <c r="AD309" s="35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  <c r="AQ309" s="43" t="n"/>
      <c r="AR309" s="43" t="n"/>
      <c r="AS309" s="35" t="n"/>
      <c r="AT309" s="43" t="n"/>
      <c r="AU309" s="43" t="n"/>
      <c r="AV309" s="43" t="n"/>
      <c r="AW309" s="43" t="n"/>
      <c r="AX309" s="43" t="n"/>
      <c r="AY309" s="43" t="n"/>
      <c r="AZ309" s="43" t="n"/>
      <c r="BA309" s="43" t="n"/>
      <c r="BB309" s="43" t="n"/>
      <c r="BC309" s="43" t="n"/>
      <c r="BD309" s="43" t="n"/>
      <c r="BE309" s="43" t="n"/>
      <c r="BF309" s="43" t="n"/>
      <c r="BG309" s="43" t="n"/>
      <c r="BH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158">
        <f>IF(OR(Y310="",X310=""),"",IFERROR(Y310*INDEX(FXRates[USD per unit],MATCH(X310,FXRates[Currency],0)),"No rate"))</f>
        <v/>
      </c>
      <c r="AA310" s="38" t="n"/>
      <c r="AB310" s="38" t="n"/>
      <c r="AC310" s="41">
        <f>IF(A310="","",IF(COUNTIF($A$6:$A$504,A310)&gt;1,"⚠ Duplicate",""))</f>
        <v/>
      </c>
      <c r="AD310" s="40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  <c r="AQ310" s="42" t="n"/>
      <c r="AR310" s="42" t="n"/>
      <c r="AS310" s="40" t="n"/>
      <c r="AT310" s="42" t="n"/>
      <c r="AU310" s="42" t="n"/>
      <c r="AV310" s="42" t="n"/>
      <c r="AW310" s="42" t="n"/>
      <c r="AX310" s="42" t="n"/>
      <c r="AY310" s="42" t="n"/>
      <c r="AZ310" s="42" t="n"/>
      <c r="BA310" s="42" t="n"/>
      <c r="BB310" s="42" t="n"/>
      <c r="BC310" s="42" t="n"/>
      <c r="BD310" s="42" t="n"/>
      <c r="BE310" s="42" t="n"/>
      <c r="BF310" s="42" t="n"/>
      <c r="BG310" s="42" t="n"/>
      <c r="BH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157">
        <f>IF(OR(Y311="",X311=""),"",IFERROR(Y311*INDEX(FXRates[USD per unit],MATCH(X311,FXRates[Currency],0)),"No rate"))</f>
        <v/>
      </c>
      <c r="AA311" s="32" t="n"/>
      <c r="AB311" s="32" t="n"/>
      <c r="AC311" s="36">
        <f>IF(A311="","",IF(COUNTIF($A$6:$A$504,A311)&gt;1,"⚠ Duplicate",""))</f>
        <v/>
      </c>
      <c r="AD311" s="35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  <c r="AQ311" s="43" t="n"/>
      <c r="AR311" s="43" t="n"/>
      <c r="AS311" s="35" t="n"/>
      <c r="AT311" s="43" t="n"/>
      <c r="AU311" s="43" t="n"/>
      <c r="AV311" s="43" t="n"/>
      <c r="AW311" s="43" t="n"/>
      <c r="AX311" s="43" t="n"/>
      <c r="AY311" s="43" t="n"/>
      <c r="AZ311" s="43" t="n"/>
      <c r="BA311" s="43" t="n"/>
      <c r="BB311" s="43" t="n"/>
      <c r="BC311" s="43" t="n"/>
      <c r="BD311" s="43" t="n"/>
      <c r="BE311" s="43" t="n"/>
      <c r="BF311" s="43" t="n"/>
      <c r="BG311" s="43" t="n"/>
      <c r="BH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158">
        <f>IF(OR(Y312="",X312=""),"",IFERROR(Y312*INDEX(FXRates[USD per unit],MATCH(X312,FXRates[Currency],0)),"No rate"))</f>
        <v/>
      </c>
      <c r="AA312" s="38" t="n"/>
      <c r="AB312" s="38" t="n"/>
      <c r="AC312" s="41">
        <f>IF(A312="","",IF(COUNTIF($A$6:$A$504,A312)&gt;1,"⚠ Duplicate",""))</f>
        <v/>
      </c>
      <c r="AD312" s="40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  <c r="AQ312" s="42" t="n"/>
      <c r="AR312" s="42" t="n"/>
      <c r="AS312" s="40" t="n"/>
      <c r="AT312" s="42" t="n"/>
      <c r="AU312" s="42" t="n"/>
      <c r="AV312" s="42" t="n"/>
      <c r="AW312" s="42" t="n"/>
      <c r="AX312" s="42" t="n"/>
      <c r="AY312" s="42" t="n"/>
      <c r="AZ312" s="42" t="n"/>
      <c r="BA312" s="42" t="n"/>
      <c r="BB312" s="42" t="n"/>
      <c r="BC312" s="42" t="n"/>
      <c r="BD312" s="42" t="n"/>
      <c r="BE312" s="42" t="n"/>
      <c r="BF312" s="42" t="n"/>
      <c r="BG312" s="42" t="n"/>
      <c r="BH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157">
        <f>IF(OR(Y313="",X313=""),"",IFERROR(Y313*INDEX(FXRates[USD per unit],MATCH(X313,FXRates[Currency],0)),"No rate"))</f>
        <v/>
      </c>
      <c r="AA313" s="32" t="n"/>
      <c r="AB313" s="32" t="n"/>
      <c r="AC313" s="36">
        <f>IF(A313="","",IF(COUNTIF($A$6:$A$504,A313)&gt;1,"⚠ Duplicate",""))</f>
        <v/>
      </c>
      <c r="AD313" s="35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  <c r="AQ313" s="43" t="n"/>
      <c r="AR313" s="43" t="n"/>
      <c r="AS313" s="35" t="n"/>
      <c r="AT313" s="43" t="n"/>
      <c r="AU313" s="43" t="n"/>
      <c r="AV313" s="43" t="n"/>
      <c r="AW313" s="43" t="n"/>
      <c r="AX313" s="43" t="n"/>
      <c r="AY313" s="43" t="n"/>
      <c r="AZ313" s="43" t="n"/>
      <c r="BA313" s="43" t="n"/>
      <c r="BB313" s="43" t="n"/>
      <c r="BC313" s="43" t="n"/>
      <c r="BD313" s="43" t="n"/>
      <c r="BE313" s="43" t="n"/>
      <c r="BF313" s="43" t="n"/>
      <c r="BG313" s="43" t="n"/>
      <c r="BH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158">
        <f>IF(OR(Y314="",X314=""),"",IFERROR(Y314*INDEX(FXRates[USD per unit],MATCH(X314,FXRates[Currency],0)),"No rate"))</f>
        <v/>
      </c>
      <c r="AA314" s="38" t="n"/>
      <c r="AB314" s="38" t="n"/>
      <c r="AC314" s="41">
        <f>IF(A314="","",IF(COUNTIF($A$6:$A$504,A314)&gt;1,"⚠ Duplicate",""))</f>
        <v/>
      </c>
      <c r="AD314" s="40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  <c r="AQ314" s="42" t="n"/>
      <c r="AR314" s="42" t="n"/>
      <c r="AS314" s="40" t="n"/>
      <c r="AT314" s="42" t="n"/>
      <c r="AU314" s="42" t="n"/>
      <c r="AV314" s="42" t="n"/>
      <c r="AW314" s="42" t="n"/>
      <c r="AX314" s="42" t="n"/>
      <c r="AY314" s="42" t="n"/>
      <c r="AZ314" s="42" t="n"/>
      <c r="BA314" s="42" t="n"/>
      <c r="BB314" s="42" t="n"/>
      <c r="BC314" s="42" t="n"/>
      <c r="BD314" s="42" t="n"/>
      <c r="BE314" s="42" t="n"/>
      <c r="BF314" s="42" t="n"/>
      <c r="BG314" s="42" t="n"/>
      <c r="BH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157">
        <f>IF(OR(Y315="",X315=""),"",IFERROR(Y315*INDEX(FXRates[USD per unit],MATCH(X315,FXRates[Currency],0)),"No rate"))</f>
        <v/>
      </c>
      <c r="AA315" s="32" t="n"/>
      <c r="AB315" s="32" t="n"/>
      <c r="AC315" s="36">
        <f>IF(A315="","",IF(COUNTIF($A$6:$A$504,A315)&gt;1,"⚠ Duplicate",""))</f>
        <v/>
      </c>
      <c r="AD315" s="35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  <c r="AQ315" s="43" t="n"/>
      <c r="AR315" s="43" t="n"/>
      <c r="AS315" s="35" t="n"/>
      <c r="AT315" s="43" t="n"/>
      <c r="AU315" s="43" t="n"/>
      <c r="AV315" s="43" t="n"/>
      <c r="AW315" s="43" t="n"/>
      <c r="AX315" s="43" t="n"/>
      <c r="AY315" s="43" t="n"/>
      <c r="AZ315" s="43" t="n"/>
      <c r="BA315" s="43" t="n"/>
      <c r="BB315" s="43" t="n"/>
      <c r="BC315" s="43" t="n"/>
      <c r="BD315" s="43" t="n"/>
      <c r="BE315" s="43" t="n"/>
      <c r="BF315" s="43" t="n"/>
      <c r="BG315" s="43" t="n"/>
      <c r="BH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158">
        <f>IF(OR(Y316="",X316=""),"",IFERROR(Y316*INDEX(FXRates[USD per unit],MATCH(X316,FXRates[Currency],0)),"No rate"))</f>
        <v/>
      </c>
      <c r="AA316" s="38" t="n"/>
      <c r="AB316" s="38" t="n"/>
      <c r="AC316" s="41">
        <f>IF(A316="","",IF(COUNTIF($A$6:$A$504,A316)&gt;1,"⚠ Duplicate",""))</f>
        <v/>
      </c>
      <c r="AD316" s="40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  <c r="AQ316" s="42" t="n"/>
      <c r="AR316" s="42" t="n"/>
      <c r="AS316" s="40" t="n"/>
      <c r="AT316" s="42" t="n"/>
      <c r="AU316" s="42" t="n"/>
      <c r="AV316" s="42" t="n"/>
      <c r="AW316" s="42" t="n"/>
      <c r="AX316" s="42" t="n"/>
      <c r="AY316" s="42" t="n"/>
      <c r="AZ316" s="42" t="n"/>
      <c r="BA316" s="42" t="n"/>
      <c r="BB316" s="42" t="n"/>
      <c r="BC316" s="42" t="n"/>
      <c r="BD316" s="42" t="n"/>
      <c r="BE316" s="42" t="n"/>
      <c r="BF316" s="42" t="n"/>
      <c r="BG316" s="42" t="n"/>
      <c r="BH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157">
        <f>IF(OR(Y317="",X317=""),"",IFERROR(Y317*INDEX(FXRates[USD per unit],MATCH(X317,FXRates[Currency],0)),"No rate"))</f>
        <v/>
      </c>
      <c r="AA317" s="32" t="n"/>
      <c r="AB317" s="32" t="n"/>
      <c r="AC317" s="36">
        <f>IF(A317="","",IF(COUNTIF($A$6:$A$504,A317)&gt;1,"⚠ Duplicate",""))</f>
        <v/>
      </c>
      <c r="AD317" s="35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  <c r="AQ317" s="43" t="n"/>
      <c r="AR317" s="43" t="n"/>
      <c r="AS317" s="35" t="n"/>
      <c r="AT317" s="43" t="n"/>
      <c r="AU317" s="43" t="n"/>
      <c r="AV317" s="43" t="n"/>
      <c r="AW317" s="43" t="n"/>
      <c r="AX317" s="43" t="n"/>
      <c r="AY317" s="43" t="n"/>
      <c r="AZ317" s="43" t="n"/>
      <c r="BA317" s="43" t="n"/>
      <c r="BB317" s="43" t="n"/>
      <c r="BC317" s="43" t="n"/>
      <c r="BD317" s="43" t="n"/>
      <c r="BE317" s="43" t="n"/>
      <c r="BF317" s="43" t="n"/>
      <c r="BG317" s="43" t="n"/>
      <c r="BH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158">
        <f>IF(OR(Y318="",X318=""),"",IFERROR(Y318*INDEX(FXRates[USD per unit],MATCH(X318,FXRates[Currency],0)),"No rate"))</f>
        <v/>
      </c>
      <c r="AA318" s="38" t="n"/>
      <c r="AB318" s="38" t="n"/>
      <c r="AC318" s="41">
        <f>IF(A318="","",IF(COUNTIF($A$6:$A$504,A318)&gt;1,"⚠ Duplicate",""))</f>
        <v/>
      </c>
      <c r="AD318" s="40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  <c r="AQ318" s="42" t="n"/>
      <c r="AR318" s="42" t="n"/>
      <c r="AS318" s="40" t="n"/>
      <c r="AT318" s="42" t="n"/>
      <c r="AU318" s="42" t="n"/>
      <c r="AV318" s="42" t="n"/>
      <c r="AW318" s="42" t="n"/>
      <c r="AX318" s="42" t="n"/>
      <c r="AY318" s="42" t="n"/>
      <c r="AZ318" s="42" t="n"/>
      <c r="BA318" s="42" t="n"/>
      <c r="BB318" s="42" t="n"/>
      <c r="BC318" s="42" t="n"/>
      <c r="BD318" s="42" t="n"/>
      <c r="BE318" s="42" t="n"/>
      <c r="BF318" s="42" t="n"/>
      <c r="BG318" s="42" t="n"/>
      <c r="BH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157">
        <f>IF(OR(Y319="",X319=""),"",IFERROR(Y319*INDEX(FXRates[USD per unit],MATCH(X319,FXRates[Currency],0)),"No rate"))</f>
        <v/>
      </c>
      <c r="AA319" s="32" t="n"/>
      <c r="AB319" s="32" t="n"/>
      <c r="AC319" s="36">
        <f>IF(A319="","",IF(COUNTIF($A$6:$A$504,A319)&gt;1,"⚠ Duplicate",""))</f>
        <v/>
      </c>
      <c r="AD319" s="35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  <c r="AQ319" s="43" t="n"/>
      <c r="AR319" s="43" t="n"/>
      <c r="AS319" s="35" t="n"/>
      <c r="AT319" s="43" t="n"/>
      <c r="AU319" s="43" t="n"/>
      <c r="AV319" s="43" t="n"/>
      <c r="AW319" s="43" t="n"/>
      <c r="AX319" s="43" t="n"/>
      <c r="AY319" s="43" t="n"/>
      <c r="AZ319" s="43" t="n"/>
      <c r="BA319" s="43" t="n"/>
      <c r="BB319" s="43" t="n"/>
      <c r="BC319" s="43" t="n"/>
      <c r="BD319" s="43" t="n"/>
      <c r="BE319" s="43" t="n"/>
      <c r="BF319" s="43" t="n"/>
      <c r="BG319" s="43" t="n"/>
      <c r="BH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158">
        <f>IF(OR(Y320="",X320=""),"",IFERROR(Y320*INDEX(FXRates[USD per unit],MATCH(X320,FXRates[Currency],0)),"No rate"))</f>
        <v/>
      </c>
      <c r="AA320" s="38" t="n"/>
      <c r="AB320" s="38" t="n"/>
      <c r="AC320" s="41">
        <f>IF(A320="","",IF(COUNTIF($A$6:$A$504,A320)&gt;1,"⚠ Duplicate",""))</f>
        <v/>
      </c>
      <c r="AD320" s="40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  <c r="AQ320" s="42" t="n"/>
      <c r="AR320" s="42" t="n"/>
      <c r="AS320" s="40" t="n"/>
      <c r="AT320" s="42" t="n"/>
      <c r="AU320" s="42" t="n"/>
      <c r="AV320" s="42" t="n"/>
      <c r="AW320" s="42" t="n"/>
      <c r="AX320" s="42" t="n"/>
      <c r="AY320" s="42" t="n"/>
      <c r="AZ320" s="42" t="n"/>
      <c r="BA320" s="42" t="n"/>
      <c r="BB320" s="42" t="n"/>
      <c r="BC320" s="42" t="n"/>
      <c r="BD320" s="42" t="n"/>
      <c r="BE320" s="42" t="n"/>
      <c r="BF320" s="42" t="n"/>
      <c r="BG320" s="42" t="n"/>
      <c r="BH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157">
        <f>IF(OR(Y321="",X321=""),"",IFERROR(Y321*INDEX(FXRates[USD per unit],MATCH(X321,FXRates[Currency],0)),"No rate"))</f>
        <v/>
      </c>
      <c r="AA321" s="32" t="n"/>
      <c r="AB321" s="32" t="n"/>
      <c r="AC321" s="36">
        <f>IF(A321="","",IF(COUNTIF($A$6:$A$504,A321)&gt;1,"⚠ Duplicate",""))</f>
        <v/>
      </c>
      <c r="AD321" s="35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  <c r="AQ321" s="43" t="n"/>
      <c r="AR321" s="43" t="n"/>
      <c r="AS321" s="35" t="n"/>
      <c r="AT321" s="43" t="n"/>
      <c r="AU321" s="43" t="n"/>
      <c r="AV321" s="43" t="n"/>
      <c r="AW321" s="43" t="n"/>
      <c r="AX321" s="43" t="n"/>
      <c r="AY321" s="43" t="n"/>
      <c r="AZ321" s="43" t="n"/>
      <c r="BA321" s="43" t="n"/>
      <c r="BB321" s="43" t="n"/>
      <c r="BC321" s="43" t="n"/>
      <c r="BD321" s="43" t="n"/>
      <c r="BE321" s="43" t="n"/>
      <c r="BF321" s="43" t="n"/>
      <c r="BG321" s="43" t="n"/>
      <c r="BH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158">
        <f>IF(OR(Y322="",X322=""),"",IFERROR(Y322*INDEX(FXRates[USD per unit],MATCH(X322,FXRates[Currency],0)),"No rate"))</f>
        <v/>
      </c>
      <c r="AA322" s="38" t="n"/>
      <c r="AB322" s="38" t="n"/>
      <c r="AC322" s="41">
        <f>IF(A322="","",IF(COUNTIF($A$6:$A$504,A322)&gt;1,"⚠ Duplicate",""))</f>
        <v/>
      </c>
      <c r="AD322" s="40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  <c r="AQ322" s="42" t="n"/>
      <c r="AR322" s="42" t="n"/>
      <c r="AS322" s="40" t="n"/>
      <c r="AT322" s="42" t="n"/>
      <c r="AU322" s="42" t="n"/>
      <c r="AV322" s="42" t="n"/>
      <c r="AW322" s="42" t="n"/>
      <c r="AX322" s="42" t="n"/>
      <c r="AY322" s="42" t="n"/>
      <c r="AZ322" s="42" t="n"/>
      <c r="BA322" s="42" t="n"/>
      <c r="BB322" s="42" t="n"/>
      <c r="BC322" s="42" t="n"/>
      <c r="BD322" s="42" t="n"/>
      <c r="BE322" s="42" t="n"/>
      <c r="BF322" s="42" t="n"/>
      <c r="BG322" s="42" t="n"/>
      <c r="BH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157">
        <f>IF(OR(Y323="",X323=""),"",IFERROR(Y323*INDEX(FXRates[USD per unit],MATCH(X323,FXRates[Currency],0)),"No rate"))</f>
        <v/>
      </c>
      <c r="AA323" s="32" t="n"/>
      <c r="AB323" s="32" t="n"/>
      <c r="AC323" s="36">
        <f>IF(A323="","",IF(COUNTIF($A$6:$A$504,A323)&gt;1,"⚠ Duplicate",""))</f>
        <v/>
      </c>
      <c r="AD323" s="35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  <c r="AQ323" s="43" t="n"/>
      <c r="AR323" s="43" t="n"/>
      <c r="AS323" s="35" t="n"/>
      <c r="AT323" s="43" t="n"/>
      <c r="AU323" s="43" t="n"/>
      <c r="AV323" s="43" t="n"/>
      <c r="AW323" s="43" t="n"/>
      <c r="AX323" s="43" t="n"/>
      <c r="AY323" s="43" t="n"/>
      <c r="AZ323" s="43" t="n"/>
      <c r="BA323" s="43" t="n"/>
      <c r="BB323" s="43" t="n"/>
      <c r="BC323" s="43" t="n"/>
      <c r="BD323" s="43" t="n"/>
      <c r="BE323" s="43" t="n"/>
      <c r="BF323" s="43" t="n"/>
      <c r="BG323" s="43" t="n"/>
      <c r="BH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158">
        <f>IF(OR(Y324="",X324=""),"",IFERROR(Y324*INDEX(FXRates[USD per unit],MATCH(X324,FXRates[Currency],0)),"No rate"))</f>
        <v/>
      </c>
      <c r="AA324" s="38" t="n"/>
      <c r="AB324" s="38" t="n"/>
      <c r="AC324" s="41">
        <f>IF(A324="","",IF(COUNTIF($A$6:$A$504,A324)&gt;1,"⚠ Duplicate",""))</f>
        <v/>
      </c>
      <c r="AD324" s="40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  <c r="AQ324" s="42" t="n"/>
      <c r="AR324" s="42" t="n"/>
      <c r="AS324" s="40" t="n"/>
      <c r="AT324" s="42" t="n"/>
      <c r="AU324" s="42" t="n"/>
      <c r="AV324" s="42" t="n"/>
      <c r="AW324" s="42" t="n"/>
      <c r="AX324" s="42" t="n"/>
      <c r="AY324" s="42" t="n"/>
      <c r="AZ324" s="42" t="n"/>
      <c r="BA324" s="42" t="n"/>
      <c r="BB324" s="42" t="n"/>
      <c r="BC324" s="42" t="n"/>
      <c r="BD324" s="42" t="n"/>
      <c r="BE324" s="42" t="n"/>
      <c r="BF324" s="42" t="n"/>
      <c r="BG324" s="42" t="n"/>
      <c r="BH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157">
        <f>IF(OR(Y325="",X325=""),"",IFERROR(Y325*INDEX(FXRates[USD per unit],MATCH(X325,FXRates[Currency],0)),"No rate"))</f>
        <v/>
      </c>
      <c r="AA325" s="32" t="n"/>
      <c r="AB325" s="32" t="n"/>
      <c r="AC325" s="36">
        <f>IF(A325="","",IF(COUNTIF($A$6:$A$504,A325)&gt;1,"⚠ Duplicate",""))</f>
        <v/>
      </c>
      <c r="AD325" s="35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  <c r="AQ325" s="43" t="n"/>
      <c r="AR325" s="43" t="n"/>
      <c r="AS325" s="35" t="n"/>
      <c r="AT325" s="43" t="n"/>
      <c r="AU325" s="43" t="n"/>
      <c r="AV325" s="43" t="n"/>
      <c r="AW325" s="43" t="n"/>
      <c r="AX325" s="43" t="n"/>
      <c r="AY325" s="43" t="n"/>
      <c r="AZ325" s="43" t="n"/>
      <c r="BA325" s="43" t="n"/>
      <c r="BB325" s="43" t="n"/>
      <c r="BC325" s="43" t="n"/>
      <c r="BD325" s="43" t="n"/>
      <c r="BE325" s="43" t="n"/>
      <c r="BF325" s="43" t="n"/>
      <c r="BG325" s="43" t="n"/>
      <c r="BH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158">
        <f>IF(OR(Y326="",X326=""),"",IFERROR(Y326*INDEX(FXRates[USD per unit],MATCH(X326,FXRates[Currency],0)),"No rate"))</f>
        <v/>
      </c>
      <c r="AA326" s="38" t="n"/>
      <c r="AB326" s="38" t="n"/>
      <c r="AC326" s="41">
        <f>IF(A326="","",IF(COUNTIF($A$6:$A$504,A326)&gt;1,"⚠ Duplicate",""))</f>
        <v/>
      </c>
      <c r="AD326" s="40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  <c r="AQ326" s="42" t="n"/>
      <c r="AR326" s="42" t="n"/>
      <c r="AS326" s="40" t="n"/>
      <c r="AT326" s="42" t="n"/>
      <c r="AU326" s="42" t="n"/>
      <c r="AV326" s="42" t="n"/>
      <c r="AW326" s="42" t="n"/>
      <c r="AX326" s="42" t="n"/>
      <c r="AY326" s="42" t="n"/>
      <c r="AZ326" s="42" t="n"/>
      <c r="BA326" s="42" t="n"/>
      <c r="BB326" s="42" t="n"/>
      <c r="BC326" s="42" t="n"/>
      <c r="BD326" s="42" t="n"/>
      <c r="BE326" s="42" t="n"/>
      <c r="BF326" s="42" t="n"/>
      <c r="BG326" s="42" t="n"/>
      <c r="BH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157">
        <f>IF(OR(Y327="",X327=""),"",IFERROR(Y327*INDEX(FXRates[USD per unit],MATCH(X327,FXRates[Currency],0)),"No rate"))</f>
        <v/>
      </c>
      <c r="AA327" s="32" t="n"/>
      <c r="AB327" s="32" t="n"/>
      <c r="AC327" s="36">
        <f>IF(A327="","",IF(COUNTIF($A$6:$A$504,A327)&gt;1,"⚠ Duplicate",""))</f>
        <v/>
      </c>
      <c r="AD327" s="35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  <c r="AQ327" s="43" t="n"/>
      <c r="AR327" s="43" t="n"/>
      <c r="AS327" s="35" t="n"/>
      <c r="AT327" s="43" t="n"/>
      <c r="AU327" s="43" t="n"/>
      <c r="AV327" s="43" t="n"/>
      <c r="AW327" s="43" t="n"/>
      <c r="AX327" s="43" t="n"/>
      <c r="AY327" s="43" t="n"/>
      <c r="AZ327" s="43" t="n"/>
      <c r="BA327" s="43" t="n"/>
      <c r="BB327" s="43" t="n"/>
      <c r="BC327" s="43" t="n"/>
      <c r="BD327" s="43" t="n"/>
      <c r="BE327" s="43" t="n"/>
      <c r="BF327" s="43" t="n"/>
      <c r="BG327" s="43" t="n"/>
      <c r="BH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158">
        <f>IF(OR(Y328="",X328=""),"",IFERROR(Y328*INDEX(FXRates[USD per unit],MATCH(X328,FXRates[Currency],0)),"No rate"))</f>
        <v/>
      </c>
      <c r="AA328" s="38" t="n"/>
      <c r="AB328" s="38" t="n"/>
      <c r="AC328" s="41">
        <f>IF(A328="","",IF(COUNTIF($A$6:$A$504,A328)&gt;1,"⚠ Duplicate",""))</f>
        <v/>
      </c>
      <c r="AD328" s="40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  <c r="AQ328" s="42" t="n"/>
      <c r="AR328" s="42" t="n"/>
      <c r="AS328" s="40" t="n"/>
      <c r="AT328" s="42" t="n"/>
      <c r="AU328" s="42" t="n"/>
      <c r="AV328" s="42" t="n"/>
      <c r="AW328" s="42" t="n"/>
      <c r="AX328" s="42" t="n"/>
      <c r="AY328" s="42" t="n"/>
      <c r="AZ328" s="42" t="n"/>
      <c r="BA328" s="42" t="n"/>
      <c r="BB328" s="42" t="n"/>
      <c r="BC328" s="42" t="n"/>
      <c r="BD328" s="42" t="n"/>
      <c r="BE328" s="42" t="n"/>
      <c r="BF328" s="42" t="n"/>
      <c r="BG328" s="42" t="n"/>
      <c r="BH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157">
        <f>IF(OR(Y329="",X329=""),"",IFERROR(Y329*INDEX(FXRates[USD per unit],MATCH(X329,FXRates[Currency],0)),"No rate"))</f>
        <v/>
      </c>
      <c r="AA329" s="32" t="n"/>
      <c r="AB329" s="32" t="n"/>
      <c r="AC329" s="36">
        <f>IF(A329="","",IF(COUNTIF($A$6:$A$504,A329)&gt;1,"⚠ Duplicate",""))</f>
        <v/>
      </c>
      <c r="AD329" s="35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  <c r="AQ329" s="43" t="n"/>
      <c r="AR329" s="43" t="n"/>
      <c r="AS329" s="35" t="n"/>
      <c r="AT329" s="43" t="n"/>
      <c r="AU329" s="43" t="n"/>
      <c r="AV329" s="43" t="n"/>
      <c r="AW329" s="43" t="n"/>
      <c r="AX329" s="43" t="n"/>
      <c r="AY329" s="43" t="n"/>
      <c r="AZ329" s="43" t="n"/>
      <c r="BA329" s="43" t="n"/>
      <c r="BB329" s="43" t="n"/>
      <c r="BC329" s="43" t="n"/>
      <c r="BD329" s="43" t="n"/>
      <c r="BE329" s="43" t="n"/>
      <c r="BF329" s="43" t="n"/>
      <c r="BG329" s="43" t="n"/>
      <c r="BH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158">
        <f>IF(OR(Y330="",X330=""),"",IFERROR(Y330*INDEX(FXRates[USD per unit],MATCH(X330,FXRates[Currency],0)),"No rate"))</f>
        <v/>
      </c>
      <c r="AA330" s="38" t="n"/>
      <c r="AB330" s="38" t="n"/>
      <c r="AC330" s="41">
        <f>IF(A330="","",IF(COUNTIF($A$6:$A$504,A330)&gt;1,"⚠ Duplicate",""))</f>
        <v/>
      </c>
      <c r="AD330" s="40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  <c r="AQ330" s="42" t="n"/>
      <c r="AR330" s="42" t="n"/>
      <c r="AS330" s="40" t="n"/>
      <c r="AT330" s="42" t="n"/>
      <c r="AU330" s="42" t="n"/>
      <c r="AV330" s="42" t="n"/>
      <c r="AW330" s="42" t="n"/>
      <c r="AX330" s="42" t="n"/>
      <c r="AY330" s="42" t="n"/>
      <c r="AZ330" s="42" t="n"/>
      <c r="BA330" s="42" t="n"/>
      <c r="BB330" s="42" t="n"/>
      <c r="BC330" s="42" t="n"/>
      <c r="BD330" s="42" t="n"/>
      <c r="BE330" s="42" t="n"/>
      <c r="BF330" s="42" t="n"/>
      <c r="BG330" s="42" t="n"/>
      <c r="BH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157">
        <f>IF(OR(Y331="",X331=""),"",IFERROR(Y331*INDEX(FXRates[USD per unit],MATCH(X331,FXRates[Currency],0)),"No rate"))</f>
        <v/>
      </c>
      <c r="AA331" s="32" t="n"/>
      <c r="AB331" s="32" t="n"/>
      <c r="AC331" s="36">
        <f>IF(A331="","",IF(COUNTIF($A$6:$A$504,A331)&gt;1,"⚠ Duplicate",""))</f>
        <v/>
      </c>
      <c r="AD331" s="35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  <c r="AQ331" s="43" t="n"/>
      <c r="AR331" s="43" t="n"/>
      <c r="AS331" s="35" t="n"/>
      <c r="AT331" s="43" t="n"/>
      <c r="AU331" s="43" t="n"/>
      <c r="AV331" s="43" t="n"/>
      <c r="AW331" s="43" t="n"/>
      <c r="AX331" s="43" t="n"/>
      <c r="AY331" s="43" t="n"/>
      <c r="AZ331" s="43" t="n"/>
      <c r="BA331" s="43" t="n"/>
      <c r="BB331" s="43" t="n"/>
      <c r="BC331" s="43" t="n"/>
      <c r="BD331" s="43" t="n"/>
      <c r="BE331" s="43" t="n"/>
      <c r="BF331" s="43" t="n"/>
      <c r="BG331" s="43" t="n"/>
      <c r="BH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158">
        <f>IF(OR(Y332="",X332=""),"",IFERROR(Y332*INDEX(FXRates[USD per unit],MATCH(X332,FXRates[Currency],0)),"No rate"))</f>
        <v/>
      </c>
      <c r="AA332" s="38" t="n"/>
      <c r="AB332" s="38" t="n"/>
      <c r="AC332" s="41">
        <f>IF(A332="","",IF(COUNTIF($A$6:$A$504,A332)&gt;1,"⚠ Duplicate",""))</f>
        <v/>
      </c>
      <c r="AD332" s="40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  <c r="AQ332" s="42" t="n"/>
      <c r="AR332" s="42" t="n"/>
      <c r="AS332" s="40" t="n"/>
      <c r="AT332" s="42" t="n"/>
      <c r="AU332" s="42" t="n"/>
      <c r="AV332" s="42" t="n"/>
      <c r="AW332" s="42" t="n"/>
      <c r="AX332" s="42" t="n"/>
      <c r="AY332" s="42" t="n"/>
      <c r="AZ332" s="42" t="n"/>
      <c r="BA332" s="42" t="n"/>
      <c r="BB332" s="42" t="n"/>
      <c r="BC332" s="42" t="n"/>
      <c r="BD332" s="42" t="n"/>
      <c r="BE332" s="42" t="n"/>
      <c r="BF332" s="42" t="n"/>
      <c r="BG332" s="42" t="n"/>
      <c r="BH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157">
        <f>IF(OR(Y333="",X333=""),"",IFERROR(Y333*INDEX(FXRates[USD per unit],MATCH(X333,FXRates[Currency],0)),"No rate"))</f>
        <v/>
      </c>
      <c r="AA333" s="32" t="n"/>
      <c r="AB333" s="32" t="n"/>
      <c r="AC333" s="36">
        <f>IF(A333="","",IF(COUNTIF($A$6:$A$504,A333)&gt;1,"⚠ Duplicate",""))</f>
        <v/>
      </c>
      <c r="AD333" s="35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  <c r="AQ333" s="43" t="n"/>
      <c r="AR333" s="43" t="n"/>
      <c r="AS333" s="35" t="n"/>
      <c r="AT333" s="43" t="n"/>
      <c r="AU333" s="43" t="n"/>
      <c r="AV333" s="43" t="n"/>
      <c r="AW333" s="43" t="n"/>
      <c r="AX333" s="43" t="n"/>
      <c r="AY333" s="43" t="n"/>
      <c r="AZ333" s="43" t="n"/>
      <c r="BA333" s="43" t="n"/>
      <c r="BB333" s="43" t="n"/>
      <c r="BC333" s="43" t="n"/>
      <c r="BD333" s="43" t="n"/>
      <c r="BE333" s="43" t="n"/>
      <c r="BF333" s="43" t="n"/>
      <c r="BG333" s="43" t="n"/>
      <c r="BH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158">
        <f>IF(OR(Y334="",X334=""),"",IFERROR(Y334*INDEX(FXRates[USD per unit],MATCH(X334,FXRates[Currency],0)),"No rate"))</f>
        <v/>
      </c>
      <c r="AA334" s="38" t="n"/>
      <c r="AB334" s="38" t="n"/>
      <c r="AC334" s="41">
        <f>IF(A334="","",IF(COUNTIF($A$6:$A$504,A334)&gt;1,"⚠ Duplicate",""))</f>
        <v/>
      </c>
      <c r="AD334" s="40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  <c r="AQ334" s="42" t="n"/>
      <c r="AR334" s="42" t="n"/>
      <c r="AS334" s="40" t="n"/>
      <c r="AT334" s="42" t="n"/>
      <c r="AU334" s="42" t="n"/>
      <c r="AV334" s="42" t="n"/>
      <c r="AW334" s="42" t="n"/>
      <c r="AX334" s="42" t="n"/>
      <c r="AY334" s="42" t="n"/>
      <c r="AZ334" s="42" t="n"/>
      <c r="BA334" s="42" t="n"/>
      <c r="BB334" s="42" t="n"/>
      <c r="BC334" s="42" t="n"/>
      <c r="BD334" s="42" t="n"/>
      <c r="BE334" s="42" t="n"/>
      <c r="BF334" s="42" t="n"/>
      <c r="BG334" s="42" t="n"/>
      <c r="BH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157">
        <f>IF(OR(Y335="",X335=""),"",IFERROR(Y335*INDEX(FXRates[USD per unit],MATCH(X335,FXRates[Currency],0)),"No rate"))</f>
        <v/>
      </c>
      <c r="AA335" s="32" t="n"/>
      <c r="AB335" s="32" t="n"/>
      <c r="AC335" s="36">
        <f>IF(A335="","",IF(COUNTIF($A$6:$A$504,A335)&gt;1,"⚠ Duplicate",""))</f>
        <v/>
      </c>
      <c r="AD335" s="35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  <c r="AQ335" s="43" t="n"/>
      <c r="AR335" s="43" t="n"/>
      <c r="AS335" s="35" t="n"/>
      <c r="AT335" s="43" t="n"/>
      <c r="AU335" s="43" t="n"/>
      <c r="AV335" s="43" t="n"/>
      <c r="AW335" s="43" t="n"/>
      <c r="AX335" s="43" t="n"/>
      <c r="AY335" s="43" t="n"/>
      <c r="AZ335" s="43" t="n"/>
      <c r="BA335" s="43" t="n"/>
      <c r="BB335" s="43" t="n"/>
      <c r="BC335" s="43" t="n"/>
      <c r="BD335" s="43" t="n"/>
      <c r="BE335" s="43" t="n"/>
      <c r="BF335" s="43" t="n"/>
      <c r="BG335" s="43" t="n"/>
      <c r="BH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158">
        <f>IF(OR(Y336="",X336=""),"",IFERROR(Y336*INDEX(FXRates[USD per unit],MATCH(X336,FXRates[Currency],0)),"No rate"))</f>
        <v/>
      </c>
      <c r="AA336" s="38" t="n"/>
      <c r="AB336" s="38" t="n"/>
      <c r="AC336" s="41">
        <f>IF(A336="","",IF(COUNTIF($A$6:$A$504,A336)&gt;1,"⚠ Duplicate",""))</f>
        <v/>
      </c>
      <c r="AD336" s="40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  <c r="AQ336" s="42" t="n"/>
      <c r="AR336" s="42" t="n"/>
      <c r="AS336" s="40" t="n"/>
      <c r="AT336" s="42" t="n"/>
      <c r="AU336" s="42" t="n"/>
      <c r="AV336" s="42" t="n"/>
      <c r="AW336" s="42" t="n"/>
      <c r="AX336" s="42" t="n"/>
      <c r="AY336" s="42" t="n"/>
      <c r="AZ336" s="42" t="n"/>
      <c r="BA336" s="42" t="n"/>
      <c r="BB336" s="42" t="n"/>
      <c r="BC336" s="42" t="n"/>
      <c r="BD336" s="42" t="n"/>
      <c r="BE336" s="42" t="n"/>
      <c r="BF336" s="42" t="n"/>
      <c r="BG336" s="42" t="n"/>
      <c r="BH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157">
        <f>IF(OR(Y337="",X337=""),"",IFERROR(Y337*INDEX(FXRates[USD per unit],MATCH(X337,FXRates[Currency],0)),"No rate"))</f>
        <v/>
      </c>
      <c r="AA337" s="32" t="n"/>
      <c r="AB337" s="32" t="n"/>
      <c r="AC337" s="36">
        <f>IF(A337="","",IF(COUNTIF($A$6:$A$504,A337)&gt;1,"⚠ Duplicate",""))</f>
        <v/>
      </c>
      <c r="AD337" s="35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  <c r="AQ337" s="43" t="n"/>
      <c r="AR337" s="43" t="n"/>
      <c r="AS337" s="35" t="n"/>
      <c r="AT337" s="43" t="n"/>
      <c r="AU337" s="43" t="n"/>
      <c r="AV337" s="43" t="n"/>
      <c r="AW337" s="43" t="n"/>
      <c r="AX337" s="43" t="n"/>
      <c r="AY337" s="43" t="n"/>
      <c r="AZ337" s="43" t="n"/>
      <c r="BA337" s="43" t="n"/>
      <c r="BB337" s="43" t="n"/>
      <c r="BC337" s="43" t="n"/>
      <c r="BD337" s="43" t="n"/>
      <c r="BE337" s="43" t="n"/>
      <c r="BF337" s="43" t="n"/>
      <c r="BG337" s="43" t="n"/>
      <c r="BH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158">
        <f>IF(OR(Y338="",X338=""),"",IFERROR(Y338*INDEX(FXRates[USD per unit],MATCH(X338,FXRates[Currency],0)),"No rate"))</f>
        <v/>
      </c>
      <c r="AA338" s="38" t="n"/>
      <c r="AB338" s="38" t="n"/>
      <c r="AC338" s="41">
        <f>IF(A338="","",IF(COUNTIF($A$6:$A$504,A338)&gt;1,"⚠ Duplicate",""))</f>
        <v/>
      </c>
      <c r="AD338" s="40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  <c r="AQ338" s="42" t="n"/>
      <c r="AR338" s="42" t="n"/>
      <c r="AS338" s="40" t="n"/>
      <c r="AT338" s="42" t="n"/>
      <c r="AU338" s="42" t="n"/>
      <c r="AV338" s="42" t="n"/>
      <c r="AW338" s="42" t="n"/>
      <c r="AX338" s="42" t="n"/>
      <c r="AY338" s="42" t="n"/>
      <c r="AZ338" s="42" t="n"/>
      <c r="BA338" s="42" t="n"/>
      <c r="BB338" s="42" t="n"/>
      <c r="BC338" s="42" t="n"/>
      <c r="BD338" s="42" t="n"/>
      <c r="BE338" s="42" t="n"/>
      <c r="BF338" s="42" t="n"/>
      <c r="BG338" s="42" t="n"/>
      <c r="BH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157">
        <f>IF(OR(Y339="",X339=""),"",IFERROR(Y339*INDEX(FXRates[USD per unit],MATCH(X339,FXRates[Currency],0)),"No rate"))</f>
        <v/>
      </c>
      <c r="AA339" s="32" t="n"/>
      <c r="AB339" s="32" t="n"/>
      <c r="AC339" s="36">
        <f>IF(A339="","",IF(COUNTIF($A$6:$A$504,A339)&gt;1,"⚠ Duplicate",""))</f>
        <v/>
      </c>
      <c r="AD339" s="35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  <c r="AQ339" s="43" t="n"/>
      <c r="AR339" s="43" t="n"/>
      <c r="AS339" s="35" t="n"/>
      <c r="AT339" s="43" t="n"/>
      <c r="AU339" s="43" t="n"/>
      <c r="AV339" s="43" t="n"/>
      <c r="AW339" s="43" t="n"/>
      <c r="AX339" s="43" t="n"/>
      <c r="AY339" s="43" t="n"/>
      <c r="AZ339" s="43" t="n"/>
      <c r="BA339" s="43" t="n"/>
      <c r="BB339" s="43" t="n"/>
      <c r="BC339" s="43" t="n"/>
      <c r="BD339" s="43" t="n"/>
      <c r="BE339" s="43" t="n"/>
      <c r="BF339" s="43" t="n"/>
      <c r="BG339" s="43" t="n"/>
      <c r="BH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158">
        <f>IF(OR(Y340="",X340=""),"",IFERROR(Y340*INDEX(FXRates[USD per unit],MATCH(X340,FXRates[Currency],0)),"No rate"))</f>
        <v/>
      </c>
      <c r="AA340" s="38" t="n"/>
      <c r="AB340" s="38" t="n"/>
      <c r="AC340" s="41">
        <f>IF(A340="","",IF(COUNTIF($A$6:$A$504,A340)&gt;1,"⚠ Duplicate",""))</f>
        <v/>
      </c>
      <c r="AD340" s="40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  <c r="AQ340" s="42" t="n"/>
      <c r="AR340" s="42" t="n"/>
      <c r="AS340" s="40" t="n"/>
      <c r="AT340" s="42" t="n"/>
      <c r="AU340" s="42" t="n"/>
      <c r="AV340" s="42" t="n"/>
      <c r="AW340" s="42" t="n"/>
      <c r="AX340" s="42" t="n"/>
      <c r="AY340" s="42" t="n"/>
      <c r="AZ340" s="42" t="n"/>
      <c r="BA340" s="42" t="n"/>
      <c r="BB340" s="42" t="n"/>
      <c r="BC340" s="42" t="n"/>
      <c r="BD340" s="42" t="n"/>
      <c r="BE340" s="42" t="n"/>
      <c r="BF340" s="42" t="n"/>
      <c r="BG340" s="42" t="n"/>
      <c r="BH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157">
        <f>IF(OR(Y341="",X341=""),"",IFERROR(Y341*INDEX(FXRates[USD per unit],MATCH(X341,FXRates[Currency],0)),"No rate"))</f>
        <v/>
      </c>
      <c r="AA341" s="32" t="n"/>
      <c r="AB341" s="32" t="n"/>
      <c r="AC341" s="36">
        <f>IF(A341="","",IF(COUNTIF($A$6:$A$504,A341)&gt;1,"⚠ Duplicate",""))</f>
        <v/>
      </c>
      <c r="AD341" s="35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  <c r="AQ341" s="43" t="n"/>
      <c r="AR341" s="43" t="n"/>
      <c r="AS341" s="35" t="n"/>
      <c r="AT341" s="43" t="n"/>
      <c r="AU341" s="43" t="n"/>
      <c r="AV341" s="43" t="n"/>
      <c r="AW341" s="43" t="n"/>
      <c r="AX341" s="43" t="n"/>
      <c r="AY341" s="43" t="n"/>
      <c r="AZ341" s="43" t="n"/>
      <c r="BA341" s="43" t="n"/>
      <c r="BB341" s="43" t="n"/>
      <c r="BC341" s="43" t="n"/>
      <c r="BD341" s="43" t="n"/>
      <c r="BE341" s="43" t="n"/>
      <c r="BF341" s="43" t="n"/>
      <c r="BG341" s="43" t="n"/>
      <c r="BH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158">
        <f>IF(OR(Y342="",X342=""),"",IFERROR(Y342*INDEX(FXRates[USD per unit],MATCH(X342,FXRates[Currency],0)),"No rate"))</f>
        <v/>
      </c>
      <c r="AA342" s="38" t="n"/>
      <c r="AB342" s="38" t="n"/>
      <c r="AC342" s="41">
        <f>IF(A342="","",IF(COUNTIF($A$6:$A$504,A342)&gt;1,"⚠ Duplicate",""))</f>
        <v/>
      </c>
      <c r="AD342" s="40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  <c r="AQ342" s="42" t="n"/>
      <c r="AR342" s="42" t="n"/>
      <c r="AS342" s="40" t="n"/>
      <c r="AT342" s="42" t="n"/>
      <c r="AU342" s="42" t="n"/>
      <c r="AV342" s="42" t="n"/>
      <c r="AW342" s="42" t="n"/>
      <c r="AX342" s="42" t="n"/>
      <c r="AY342" s="42" t="n"/>
      <c r="AZ342" s="42" t="n"/>
      <c r="BA342" s="42" t="n"/>
      <c r="BB342" s="42" t="n"/>
      <c r="BC342" s="42" t="n"/>
      <c r="BD342" s="42" t="n"/>
      <c r="BE342" s="42" t="n"/>
      <c r="BF342" s="42" t="n"/>
      <c r="BG342" s="42" t="n"/>
      <c r="BH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157">
        <f>IF(OR(Y343="",X343=""),"",IFERROR(Y343*INDEX(FXRates[USD per unit],MATCH(X343,FXRates[Currency],0)),"No rate"))</f>
        <v/>
      </c>
      <c r="AA343" s="32" t="n"/>
      <c r="AB343" s="32" t="n"/>
      <c r="AC343" s="36">
        <f>IF(A343="","",IF(COUNTIF($A$6:$A$504,A343)&gt;1,"⚠ Duplicate",""))</f>
        <v/>
      </c>
      <c r="AD343" s="35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  <c r="AQ343" s="43" t="n"/>
      <c r="AR343" s="43" t="n"/>
      <c r="AS343" s="35" t="n"/>
      <c r="AT343" s="43" t="n"/>
      <c r="AU343" s="43" t="n"/>
      <c r="AV343" s="43" t="n"/>
      <c r="AW343" s="43" t="n"/>
      <c r="AX343" s="43" t="n"/>
      <c r="AY343" s="43" t="n"/>
      <c r="AZ343" s="43" t="n"/>
      <c r="BA343" s="43" t="n"/>
      <c r="BB343" s="43" t="n"/>
      <c r="BC343" s="43" t="n"/>
      <c r="BD343" s="43" t="n"/>
      <c r="BE343" s="43" t="n"/>
      <c r="BF343" s="43" t="n"/>
      <c r="BG343" s="43" t="n"/>
      <c r="BH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158">
        <f>IF(OR(Y344="",X344=""),"",IFERROR(Y344*INDEX(FXRates[USD per unit],MATCH(X344,FXRates[Currency],0)),"No rate"))</f>
        <v/>
      </c>
      <c r="AA344" s="38" t="n"/>
      <c r="AB344" s="38" t="n"/>
      <c r="AC344" s="41">
        <f>IF(A344="","",IF(COUNTIF($A$6:$A$504,A344)&gt;1,"⚠ Duplicate",""))</f>
        <v/>
      </c>
      <c r="AD344" s="40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  <c r="AQ344" s="42" t="n"/>
      <c r="AR344" s="42" t="n"/>
      <c r="AS344" s="40" t="n"/>
      <c r="AT344" s="42" t="n"/>
      <c r="AU344" s="42" t="n"/>
      <c r="AV344" s="42" t="n"/>
      <c r="AW344" s="42" t="n"/>
      <c r="AX344" s="42" t="n"/>
      <c r="AY344" s="42" t="n"/>
      <c r="AZ344" s="42" t="n"/>
      <c r="BA344" s="42" t="n"/>
      <c r="BB344" s="42" t="n"/>
      <c r="BC344" s="42" t="n"/>
      <c r="BD344" s="42" t="n"/>
      <c r="BE344" s="42" t="n"/>
      <c r="BF344" s="42" t="n"/>
      <c r="BG344" s="42" t="n"/>
      <c r="BH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157">
        <f>IF(OR(Y345="",X345=""),"",IFERROR(Y345*INDEX(FXRates[USD per unit],MATCH(X345,FXRates[Currency],0)),"No rate"))</f>
        <v/>
      </c>
      <c r="AA345" s="32" t="n"/>
      <c r="AB345" s="32" t="n"/>
      <c r="AC345" s="36">
        <f>IF(A345="","",IF(COUNTIF($A$6:$A$504,A345)&gt;1,"⚠ Duplicate",""))</f>
        <v/>
      </c>
      <c r="AD345" s="35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  <c r="AQ345" s="43" t="n"/>
      <c r="AR345" s="43" t="n"/>
      <c r="AS345" s="35" t="n"/>
      <c r="AT345" s="43" t="n"/>
      <c r="AU345" s="43" t="n"/>
      <c r="AV345" s="43" t="n"/>
      <c r="AW345" s="43" t="n"/>
      <c r="AX345" s="43" t="n"/>
      <c r="AY345" s="43" t="n"/>
      <c r="AZ345" s="43" t="n"/>
      <c r="BA345" s="43" t="n"/>
      <c r="BB345" s="43" t="n"/>
      <c r="BC345" s="43" t="n"/>
      <c r="BD345" s="43" t="n"/>
      <c r="BE345" s="43" t="n"/>
      <c r="BF345" s="43" t="n"/>
      <c r="BG345" s="43" t="n"/>
      <c r="BH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158">
        <f>IF(OR(Y346="",X346=""),"",IFERROR(Y346*INDEX(FXRates[USD per unit],MATCH(X346,FXRates[Currency],0)),"No rate"))</f>
        <v/>
      </c>
      <c r="AA346" s="38" t="n"/>
      <c r="AB346" s="38" t="n"/>
      <c r="AC346" s="41">
        <f>IF(A346="","",IF(COUNTIF($A$6:$A$504,A346)&gt;1,"⚠ Duplicate",""))</f>
        <v/>
      </c>
      <c r="AD346" s="40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  <c r="AQ346" s="42" t="n"/>
      <c r="AR346" s="42" t="n"/>
      <c r="AS346" s="40" t="n"/>
      <c r="AT346" s="42" t="n"/>
      <c r="AU346" s="42" t="n"/>
      <c r="AV346" s="42" t="n"/>
      <c r="AW346" s="42" t="n"/>
      <c r="AX346" s="42" t="n"/>
      <c r="AY346" s="42" t="n"/>
      <c r="AZ346" s="42" t="n"/>
      <c r="BA346" s="42" t="n"/>
      <c r="BB346" s="42" t="n"/>
      <c r="BC346" s="42" t="n"/>
      <c r="BD346" s="42" t="n"/>
      <c r="BE346" s="42" t="n"/>
      <c r="BF346" s="42" t="n"/>
      <c r="BG346" s="42" t="n"/>
      <c r="BH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157">
        <f>IF(OR(Y347="",X347=""),"",IFERROR(Y347*INDEX(FXRates[USD per unit],MATCH(X347,FXRates[Currency],0)),"No rate"))</f>
        <v/>
      </c>
      <c r="AA347" s="32" t="n"/>
      <c r="AB347" s="32" t="n"/>
      <c r="AC347" s="36">
        <f>IF(A347="","",IF(COUNTIF($A$6:$A$504,A347)&gt;1,"⚠ Duplicate",""))</f>
        <v/>
      </c>
      <c r="AD347" s="35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  <c r="AQ347" s="43" t="n"/>
      <c r="AR347" s="43" t="n"/>
      <c r="AS347" s="35" t="n"/>
      <c r="AT347" s="43" t="n"/>
      <c r="AU347" s="43" t="n"/>
      <c r="AV347" s="43" t="n"/>
      <c r="AW347" s="43" t="n"/>
      <c r="AX347" s="43" t="n"/>
      <c r="AY347" s="43" t="n"/>
      <c r="AZ347" s="43" t="n"/>
      <c r="BA347" s="43" t="n"/>
      <c r="BB347" s="43" t="n"/>
      <c r="BC347" s="43" t="n"/>
      <c r="BD347" s="43" t="n"/>
      <c r="BE347" s="43" t="n"/>
      <c r="BF347" s="43" t="n"/>
      <c r="BG347" s="43" t="n"/>
      <c r="BH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158">
        <f>IF(OR(Y348="",X348=""),"",IFERROR(Y348*INDEX(FXRates[USD per unit],MATCH(X348,FXRates[Currency],0)),"No rate"))</f>
        <v/>
      </c>
      <c r="AA348" s="38" t="n"/>
      <c r="AB348" s="38" t="n"/>
      <c r="AC348" s="41">
        <f>IF(A348="","",IF(COUNTIF($A$6:$A$504,A348)&gt;1,"⚠ Duplicate",""))</f>
        <v/>
      </c>
      <c r="AD348" s="40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  <c r="AQ348" s="42" t="n"/>
      <c r="AR348" s="42" t="n"/>
      <c r="AS348" s="40" t="n"/>
      <c r="AT348" s="42" t="n"/>
      <c r="AU348" s="42" t="n"/>
      <c r="AV348" s="42" t="n"/>
      <c r="AW348" s="42" t="n"/>
      <c r="AX348" s="42" t="n"/>
      <c r="AY348" s="42" t="n"/>
      <c r="AZ348" s="42" t="n"/>
      <c r="BA348" s="42" t="n"/>
      <c r="BB348" s="42" t="n"/>
      <c r="BC348" s="42" t="n"/>
      <c r="BD348" s="42" t="n"/>
      <c r="BE348" s="42" t="n"/>
      <c r="BF348" s="42" t="n"/>
      <c r="BG348" s="42" t="n"/>
      <c r="BH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157">
        <f>IF(OR(Y349="",X349=""),"",IFERROR(Y349*INDEX(FXRates[USD per unit],MATCH(X349,FXRates[Currency],0)),"No rate"))</f>
        <v/>
      </c>
      <c r="AA349" s="32" t="n"/>
      <c r="AB349" s="32" t="n"/>
      <c r="AC349" s="36">
        <f>IF(A349="","",IF(COUNTIF($A$6:$A$504,A349)&gt;1,"⚠ Duplicate",""))</f>
        <v/>
      </c>
      <c r="AD349" s="35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  <c r="AQ349" s="43" t="n"/>
      <c r="AR349" s="43" t="n"/>
      <c r="AS349" s="35" t="n"/>
      <c r="AT349" s="43" t="n"/>
      <c r="AU349" s="43" t="n"/>
      <c r="AV349" s="43" t="n"/>
      <c r="AW349" s="43" t="n"/>
      <c r="AX349" s="43" t="n"/>
      <c r="AY349" s="43" t="n"/>
      <c r="AZ349" s="43" t="n"/>
      <c r="BA349" s="43" t="n"/>
      <c r="BB349" s="43" t="n"/>
      <c r="BC349" s="43" t="n"/>
      <c r="BD349" s="43" t="n"/>
      <c r="BE349" s="43" t="n"/>
      <c r="BF349" s="43" t="n"/>
      <c r="BG349" s="43" t="n"/>
      <c r="BH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158">
        <f>IF(OR(Y350="",X350=""),"",IFERROR(Y350*INDEX(FXRates[USD per unit],MATCH(X350,FXRates[Currency],0)),"No rate"))</f>
        <v/>
      </c>
      <c r="AA350" s="38" t="n"/>
      <c r="AB350" s="38" t="n"/>
      <c r="AC350" s="41">
        <f>IF(A350="","",IF(COUNTIF($A$6:$A$504,A350)&gt;1,"⚠ Duplicate",""))</f>
        <v/>
      </c>
      <c r="AD350" s="40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  <c r="AQ350" s="42" t="n"/>
      <c r="AR350" s="42" t="n"/>
      <c r="AS350" s="40" t="n"/>
      <c r="AT350" s="42" t="n"/>
      <c r="AU350" s="42" t="n"/>
      <c r="AV350" s="42" t="n"/>
      <c r="AW350" s="42" t="n"/>
      <c r="AX350" s="42" t="n"/>
      <c r="AY350" s="42" t="n"/>
      <c r="AZ350" s="42" t="n"/>
      <c r="BA350" s="42" t="n"/>
      <c r="BB350" s="42" t="n"/>
      <c r="BC350" s="42" t="n"/>
      <c r="BD350" s="42" t="n"/>
      <c r="BE350" s="42" t="n"/>
      <c r="BF350" s="42" t="n"/>
      <c r="BG350" s="42" t="n"/>
      <c r="BH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157">
        <f>IF(OR(Y351="",X351=""),"",IFERROR(Y351*INDEX(FXRates[USD per unit],MATCH(X351,FXRates[Currency],0)),"No rate"))</f>
        <v/>
      </c>
      <c r="AA351" s="32" t="n"/>
      <c r="AB351" s="32" t="n"/>
      <c r="AC351" s="36">
        <f>IF(A351="","",IF(COUNTIF($A$6:$A$504,A351)&gt;1,"⚠ Duplicate",""))</f>
        <v/>
      </c>
      <c r="AD351" s="35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  <c r="AQ351" s="43" t="n"/>
      <c r="AR351" s="43" t="n"/>
      <c r="AS351" s="35" t="n"/>
      <c r="AT351" s="43" t="n"/>
      <c r="AU351" s="43" t="n"/>
      <c r="AV351" s="43" t="n"/>
      <c r="AW351" s="43" t="n"/>
      <c r="AX351" s="43" t="n"/>
      <c r="AY351" s="43" t="n"/>
      <c r="AZ351" s="43" t="n"/>
      <c r="BA351" s="43" t="n"/>
      <c r="BB351" s="43" t="n"/>
      <c r="BC351" s="43" t="n"/>
      <c r="BD351" s="43" t="n"/>
      <c r="BE351" s="43" t="n"/>
      <c r="BF351" s="43" t="n"/>
      <c r="BG351" s="43" t="n"/>
      <c r="BH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158">
        <f>IF(OR(Y352="",X352=""),"",IFERROR(Y352*INDEX(FXRates[USD per unit],MATCH(X352,FXRates[Currency],0)),"No rate"))</f>
        <v/>
      </c>
      <c r="AA352" s="38" t="n"/>
      <c r="AB352" s="38" t="n"/>
      <c r="AC352" s="41">
        <f>IF(A352="","",IF(COUNTIF($A$6:$A$504,A352)&gt;1,"⚠ Duplicate",""))</f>
        <v/>
      </c>
      <c r="AD352" s="40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  <c r="AQ352" s="42" t="n"/>
      <c r="AR352" s="42" t="n"/>
      <c r="AS352" s="40" t="n"/>
      <c r="AT352" s="42" t="n"/>
      <c r="AU352" s="42" t="n"/>
      <c r="AV352" s="42" t="n"/>
      <c r="AW352" s="42" t="n"/>
      <c r="AX352" s="42" t="n"/>
      <c r="AY352" s="42" t="n"/>
      <c r="AZ352" s="42" t="n"/>
      <c r="BA352" s="42" t="n"/>
      <c r="BB352" s="42" t="n"/>
      <c r="BC352" s="42" t="n"/>
      <c r="BD352" s="42" t="n"/>
      <c r="BE352" s="42" t="n"/>
      <c r="BF352" s="42" t="n"/>
      <c r="BG352" s="42" t="n"/>
      <c r="BH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157">
        <f>IF(OR(Y353="",X353=""),"",IFERROR(Y353*INDEX(FXRates[USD per unit],MATCH(X353,FXRates[Currency],0)),"No rate"))</f>
        <v/>
      </c>
      <c r="AA353" s="32" t="n"/>
      <c r="AB353" s="32" t="n"/>
      <c r="AC353" s="36">
        <f>IF(A353="","",IF(COUNTIF($A$6:$A$504,A353)&gt;1,"⚠ Duplicate",""))</f>
        <v/>
      </c>
      <c r="AD353" s="35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  <c r="AQ353" s="43" t="n"/>
      <c r="AR353" s="43" t="n"/>
      <c r="AS353" s="35" t="n"/>
      <c r="AT353" s="43" t="n"/>
      <c r="AU353" s="43" t="n"/>
      <c r="AV353" s="43" t="n"/>
      <c r="AW353" s="43" t="n"/>
      <c r="AX353" s="43" t="n"/>
      <c r="AY353" s="43" t="n"/>
      <c r="AZ353" s="43" t="n"/>
      <c r="BA353" s="43" t="n"/>
      <c r="BB353" s="43" t="n"/>
      <c r="BC353" s="43" t="n"/>
      <c r="BD353" s="43" t="n"/>
      <c r="BE353" s="43" t="n"/>
      <c r="BF353" s="43" t="n"/>
      <c r="BG353" s="43" t="n"/>
      <c r="BH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158">
        <f>IF(OR(Y354="",X354=""),"",IFERROR(Y354*INDEX(FXRates[USD per unit],MATCH(X354,FXRates[Currency],0)),"No rate"))</f>
        <v/>
      </c>
      <c r="AA354" s="38" t="n"/>
      <c r="AB354" s="38" t="n"/>
      <c r="AC354" s="41">
        <f>IF(A354="","",IF(COUNTIF($A$6:$A$504,A354)&gt;1,"⚠ Duplicate",""))</f>
        <v/>
      </c>
      <c r="AD354" s="40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  <c r="AQ354" s="42" t="n"/>
      <c r="AR354" s="42" t="n"/>
      <c r="AS354" s="40" t="n"/>
      <c r="AT354" s="42" t="n"/>
      <c r="AU354" s="42" t="n"/>
      <c r="AV354" s="42" t="n"/>
      <c r="AW354" s="42" t="n"/>
      <c r="AX354" s="42" t="n"/>
      <c r="AY354" s="42" t="n"/>
      <c r="AZ354" s="42" t="n"/>
      <c r="BA354" s="42" t="n"/>
      <c r="BB354" s="42" t="n"/>
      <c r="BC354" s="42" t="n"/>
      <c r="BD354" s="42" t="n"/>
      <c r="BE354" s="42" t="n"/>
      <c r="BF354" s="42" t="n"/>
      <c r="BG354" s="42" t="n"/>
      <c r="BH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157">
        <f>IF(OR(Y355="",X355=""),"",IFERROR(Y355*INDEX(FXRates[USD per unit],MATCH(X355,FXRates[Currency],0)),"No rate"))</f>
        <v/>
      </c>
      <c r="AA355" s="32" t="n"/>
      <c r="AB355" s="32" t="n"/>
      <c r="AC355" s="36">
        <f>IF(A355="","",IF(COUNTIF($A$6:$A$504,A355)&gt;1,"⚠ Duplicate",""))</f>
        <v/>
      </c>
      <c r="AD355" s="35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  <c r="AQ355" s="43" t="n"/>
      <c r="AR355" s="43" t="n"/>
      <c r="AS355" s="35" t="n"/>
      <c r="AT355" s="43" t="n"/>
      <c r="AU355" s="43" t="n"/>
      <c r="AV355" s="43" t="n"/>
      <c r="AW355" s="43" t="n"/>
      <c r="AX355" s="43" t="n"/>
      <c r="AY355" s="43" t="n"/>
      <c r="AZ355" s="43" t="n"/>
      <c r="BA355" s="43" t="n"/>
      <c r="BB355" s="43" t="n"/>
      <c r="BC355" s="43" t="n"/>
      <c r="BD355" s="43" t="n"/>
      <c r="BE355" s="43" t="n"/>
      <c r="BF355" s="43" t="n"/>
      <c r="BG355" s="43" t="n"/>
      <c r="BH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158">
        <f>IF(OR(Y356="",X356=""),"",IFERROR(Y356*INDEX(FXRates[USD per unit],MATCH(X356,FXRates[Currency],0)),"No rate"))</f>
        <v/>
      </c>
      <c r="AA356" s="38" t="n"/>
      <c r="AB356" s="38" t="n"/>
      <c r="AC356" s="41">
        <f>IF(A356="","",IF(COUNTIF($A$6:$A$504,A356)&gt;1,"⚠ Duplicate",""))</f>
        <v/>
      </c>
      <c r="AD356" s="40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  <c r="AQ356" s="42" t="n"/>
      <c r="AR356" s="42" t="n"/>
      <c r="AS356" s="40" t="n"/>
      <c r="AT356" s="42" t="n"/>
      <c r="AU356" s="42" t="n"/>
      <c r="AV356" s="42" t="n"/>
      <c r="AW356" s="42" t="n"/>
      <c r="AX356" s="42" t="n"/>
      <c r="AY356" s="42" t="n"/>
      <c r="AZ356" s="42" t="n"/>
      <c r="BA356" s="42" t="n"/>
      <c r="BB356" s="42" t="n"/>
      <c r="BC356" s="42" t="n"/>
      <c r="BD356" s="42" t="n"/>
      <c r="BE356" s="42" t="n"/>
      <c r="BF356" s="42" t="n"/>
      <c r="BG356" s="42" t="n"/>
      <c r="BH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157">
        <f>IF(OR(Y357="",X357=""),"",IFERROR(Y357*INDEX(FXRates[USD per unit],MATCH(X357,FXRates[Currency],0)),"No rate"))</f>
        <v/>
      </c>
      <c r="AA357" s="32" t="n"/>
      <c r="AB357" s="32" t="n"/>
      <c r="AC357" s="36">
        <f>IF(A357="","",IF(COUNTIF($A$6:$A$504,A357)&gt;1,"⚠ Duplicate",""))</f>
        <v/>
      </c>
      <c r="AD357" s="35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  <c r="AQ357" s="43" t="n"/>
      <c r="AR357" s="43" t="n"/>
      <c r="AS357" s="35" t="n"/>
      <c r="AT357" s="43" t="n"/>
      <c r="AU357" s="43" t="n"/>
      <c r="AV357" s="43" t="n"/>
      <c r="AW357" s="43" t="n"/>
      <c r="AX357" s="43" t="n"/>
      <c r="AY357" s="43" t="n"/>
      <c r="AZ357" s="43" t="n"/>
      <c r="BA357" s="43" t="n"/>
      <c r="BB357" s="43" t="n"/>
      <c r="BC357" s="43" t="n"/>
      <c r="BD357" s="43" t="n"/>
      <c r="BE357" s="43" t="n"/>
      <c r="BF357" s="43" t="n"/>
      <c r="BG357" s="43" t="n"/>
      <c r="BH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158">
        <f>IF(OR(Y358="",X358=""),"",IFERROR(Y358*INDEX(FXRates[USD per unit],MATCH(X358,FXRates[Currency],0)),"No rate"))</f>
        <v/>
      </c>
      <c r="AA358" s="38" t="n"/>
      <c r="AB358" s="38" t="n"/>
      <c r="AC358" s="41">
        <f>IF(A358="","",IF(COUNTIF($A$6:$A$504,A358)&gt;1,"⚠ Duplicate",""))</f>
        <v/>
      </c>
      <c r="AD358" s="40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  <c r="AQ358" s="42" t="n"/>
      <c r="AR358" s="42" t="n"/>
      <c r="AS358" s="40" t="n"/>
      <c r="AT358" s="42" t="n"/>
      <c r="AU358" s="42" t="n"/>
      <c r="AV358" s="42" t="n"/>
      <c r="AW358" s="42" t="n"/>
      <c r="AX358" s="42" t="n"/>
      <c r="AY358" s="42" t="n"/>
      <c r="AZ358" s="42" t="n"/>
      <c r="BA358" s="42" t="n"/>
      <c r="BB358" s="42" t="n"/>
      <c r="BC358" s="42" t="n"/>
      <c r="BD358" s="42" t="n"/>
      <c r="BE358" s="42" t="n"/>
      <c r="BF358" s="42" t="n"/>
      <c r="BG358" s="42" t="n"/>
      <c r="BH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157">
        <f>IF(OR(Y359="",X359=""),"",IFERROR(Y359*INDEX(FXRates[USD per unit],MATCH(X359,FXRates[Currency],0)),"No rate"))</f>
        <v/>
      </c>
      <c r="AA359" s="32" t="n"/>
      <c r="AB359" s="32" t="n"/>
      <c r="AC359" s="36">
        <f>IF(A359="","",IF(COUNTIF($A$6:$A$504,A359)&gt;1,"⚠ Duplicate",""))</f>
        <v/>
      </c>
      <c r="AD359" s="35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  <c r="AQ359" s="43" t="n"/>
      <c r="AR359" s="43" t="n"/>
      <c r="AS359" s="35" t="n"/>
      <c r="AT359" s="43" t="n"/>
      <c r="AU359" s="43" t="n"/>
      <c r="AV359" s="43" t="n"/>
      <c r="AW359" s="43" t="n"/>
      <c r="AX359" s="43" t="n"/>
      <c r="AY359" s="43" t="n"/>
      <c r="AZ359" s="43" t="n"/>
      <c r="BA359" s="43" t="n"/>
      <c r="BB359" s="43" t="n"/>
      <c r="BC359" s="43" t="n"/>
      <c r="BD359" s="43" t="n"/>
      <c r="BE359" s="43" t="n"/>
      <c r="BF359" s="43" t="n"/>
      <c r="BG359" s="43" t="n"/>
      <c r="BH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158">
        <f>IF(OR(Y360="",X360=""),"",IFERROR(Y360*INDEX(FXRates[USD per unit],MATCH(X360,FXRates[Currency],0)),"No rate"))</f>
        <v/>
      </c>
      <c r="AA360" s="38" t="n"/>
      <c r="AB360" s="38" t="n"/>
      <c r="AC360" s="41">
        <f>IF(A360="","",IF(COUNTIF($A$6:$A$504,A360)&gt;1,"⚠ Duplicate",""))</f>
        <v/>
      </c>
      <c r="AD360" s="40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  <c r="AQ360" s="42" t="n"/>
      <c r="AR360" s="42" t="n"/>
      <c r="AS360" s="40" t="n"/>
      <c r="AT360" s="42" t="n"/>
      <c r="AU360" s="42" t="n"/>
      <c r="AV360" s="42" t="n"/>
      <c r="AW360" s="42" t="n"/>
      <c r="AX360" s="42" t="n"/>
      <c r="AY360" s="42" t="n"/>
      <c r="AZ360" s="42" t="n"/>
      <c r="BA360" s="42" t="n"/>
      <c r="BB360" s="42" t="n"/>
      <c r="BC360" s="42" t="n"/>
      <c r="BD360" s="42" t="n"/>
      <c r="BE360" s="42" t="n"/>
      <c r="BF360" s="42" t="n"/>
      <c r="BG360" s="42" t="n"/>
      <c r="BH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157">
        <f>IF(OR(Y361="",X361=""),"",IFERROR(Y361*INDEX(FXRates[USD per unit],MATCH(X361,FXRates[Currency],0)),"No rate"))</f>
        <v/>
      </c>
      <c r="AA361" s="32" t="n"/>
      <c r="AB361" s="32" t="n"/>
      <c r="AC361" s="36">
        <f>IF(A361="","",IF(COUNTIF($A$6:$A$504,A361)&gt;1,"⚠ Duplicate",""))</f>
        <v/>
      </c>
      <c r="AD361" s="35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  <c r="AQ361" s="43" t="n"/>
      <c r="AR361" s="43" t="n"/>
      <c r="AS361" s="35" t="n"/>
      <c r="AT361" s="43" t="n"/>
      <c r="AU361" s="43" t="n"/>
      <c r="AV361" s="43" t="n"/>
      <c r="AW361" s="43" t="n"/>
      <c r="AX361" s="43" t="n"/>
      <c r="AY361" s="43" t="n"/>
      <c r="AZ361" s="43" t="n"/>
      <c r="BA361" s="43" t="n"/>
      <c r="BB361" s="43" t="n"/>
      <c r="BC361" s="43" t="n"/>
      <c r="BD361" s="43" t="n"/>
      <c r="BE361" s="43" t="n"/>
      <c r="BF361" s="43" t="n"/>
      <c r="BG361" s="43" t="n"/>
      <c r="BH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158">
        <f>IF(OR(Y362="",X362=""),"",IFERROR(Y362*INDEX(FXRates[USD per unit],MATCH(X362,FXRates[Currency],0)),"No rate"))</f>
        <v/>
      </c>
      <c r="AA362" s="38" t="n"/>
      <c r="AB362" s="38" t="n"/>
      <c r="AC362" s="41">
        <f>IF(A362="","",IF(COUNTIF($A$6:$A$504,A362)&gt;1,"⚠ Duplicate",""))</f>
        <v/>
      </c>
      <c r="AD362" s="40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  <c r="AQ362" s="42" t="n"/>
      <c r="AR362" s="42" t="n"/>
      <c r="AS362" s="40" t="n"/>
      <c r="AT362" s="42" t="n"/>
      <c r="AU362" s="42" t="n"/>
      <c r="AV362" s="42" t="n"/>
      <c r="AW362" s="42" t="n"/>
      <c r="AX362" s="42" t="n"/>
      <c r="AY362" s="42" t="n"/>
      <c r="AZ362" s="42" t="n"/>
      <c r="BA362" s="42" t="n"/>
      <c r="BB362" s="42" t="n"/>
      <c r="BC362" s="42" t="n"/>
      <c r="BD362" s="42" t="n"/>
      <c r="BE362" s="42" t="n"/>
      <c r="BF362" s="42" t="n"/>
      <c r="BG362" s="42" t="n"/>
      <c r="BH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157">
        <f>IF(OR(Y363="",X363=""),"",IFERROR(Y363*INDEX(FXRates[USD per unit],MATCH(X363,FXRates[Currency],0)),"No rate"))</f>
        <v/>
      </c>
      <c r="AA363" s="32" t="n"/>
      <c r="AB363" s="32" t="n"/>
      <c r="AC363" s="36">
        <f>IF(A363="","",IF(COUNTIF($A$6:$A$504,A363)&gt;1,"⚠ Duplicate",""))</f>
        <v/>
      </c>
      <c r="AD363" s="35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  <c r="AQ363" s="43" t="n"/>
      <c r="AR363" s="43" t="n"/>
      <c r="AS363" s="35" t="n"/>
      <c r="AT363" s="43" t="n"/>
      <c r="AU363" s="43" t="n"/>
      <c r="AV363" s="43" t="n"/>
      <c r="AW363" s="43" t="n"/>
      <c r="AX363" s="43" t="n"/>
      <c r="AY363" s="43" t="n"/>
      <c r="AZ363" s="43" t="n"/>
      <c r="BA363" s="43" t="n"/>
      <c r="BB363" s="43" t="n"/>
      <c r="BC363" s="43" t="n"/>
      <c r="BD363" s="43" t="n"/>
      <c r="BE363" s="43" t="n"/>
      <c r="BF363" s="43" t="n"/>
      <c r="BG363" s="43" t="n"/>
      <c r="BH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158">
        <f>IF(OR(Y364="",X364=""),"",IFERROR(Y364*INDEX(FXRates[USD per unit],MATCH(X364,FXRates[Currency],0)),"No rate"))</f>
        <v/>
      </c>
      <c r="AA364" s="38" t="n"/>
      <c r="AB364" s="38" t="n"/>
      <c r="AC364" s="41">
        <f>IF(A364="","",IF(COUNTIF($A$6:$A$504,A364)&gt;1,"⚠ Duplicate",""))</f>
        <v/>
      </c>
      <c r="AD364" s="40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  <c r="AQ364" s="42" t="n"/>
      <c r="AR364" s="42" t="n"/>
      <c r="AS364" s="40" t="n"/>
      <c r="AT364" s="42" t="n"/>
      <c r="AU364" s="42" t="n"/>
      <c r="AV364" s="42" t="n"/>
      <c r="AW364" s="42" t="n"/>
      <c r="AX364" s="42" t="n"/>
      <c r="AY364" s="42" t="n"/>
      <c r="AZ364" s="42" t="n"/>
      <c r="BA364" s="42" t="n"/>
      <c r="BB364" s="42" t="n"/>
      <c r="BC364" s="42" t="n"/>
      <c r="BD364" s="42" t="n"/>
      <c r="BE364" s="42" t="n"/>
      <c r="BF364" s="42" t="n"/>
      <c r="BG364" s="42" t="n"/>
      <c r="BH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157">
        <f>IF(OR(Y365="",X365=""),"",IFERROR(Y365*INDEX(FXRates[USD per unit],MATCH(X365,FXRates[Currency],0)),"No rate"))</f>
        <v/>
      </c>
      <c r="AA365" s="32" t="n"/>
      <c r="AB365" s="32" t="n"/>
      <c r="AC365" s="36">
        <f>IF(A365="","",IF(COUNTIF($A$6:$A$504,A365)&gt;1,"⚠ Duplicate",""))</f>
        <v/>
      </c>
      <c r="AD365" s="35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  <c r="AQ365" s="43" t="n"/>
      <c r="AR365" s="43" t="n"/>
      <c r="AS365" s="35" t="n"/>
      <c r="AT365" s="43" t="n"/>
      <c r="AU365" s="43" t="n"/>
      <c r="AV365" s="43" t="n"/>
      <c r="AW365" s="43" t="n"/>
      <c r="AX365" s="43" t="n"/>
      <c r="AY365" s="43" t="n"/>
      <c r="AZ365" s="43" t="n"/>
      <c r="BA365" s="43" t="n"/>
      <c r="BB365" s="43" t="n"/>
      <c r="BC365" s="43" t="n"/>
      <c r="BD365" s="43" t="n"/>
      <c r="BE365" s="43" t="n"/>
      <c r="BF365" s="43" t="n"/>
      <c r="BG365" s="43" t="n"/>
      <c r="BH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158">
        <f>IF(OR(Y366="",X366=""),"",IFERROR(Y366*INDEX(FXRates[USD per unit],MATCH(X366,FXRates[Currency],0)),"No rate"))</f>
        <v/>
      </c>
      <c r="AA366" s="38" t="n"/>
      <c r="AB366" s="38" t="n"/>
      <c r="AC366" s="41">
        <f>IF(A366="","",IF(COUNTIF($A$6:$A$504,A366)&gt;1,"⚠ Duplicate",""))</f>
        <v/>
      </c>
      <c r="AD366" s="40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  <c r="AQ366" s="42" t="n"/>
      <c r="AR366" s="42" t="n"/>
      <c r="AS366" s="40" t="n"/>
      <c r="AT366" s="42" t="n"/>
      <c r="AU366" s="42" t="n"/>
      <c r="AV366" s="42" t="n"/>
      <c r="AW366" s="42" t="n"/>
      <c r="AX366" s="42" t="n"/>
      <c r="AY366" s="42" t="n"/>
      <c r="AZ366" s="42" t="n"/>
      <c r="BA366" s="42" t="n"/>
      <c r="BB366" s="42" t="n"/>
      <c r="BC366" s="42" t="n"/>
      <c r="BD366" s="42" t="n"/>
      <c r="BE366" s="42" t="n"/>
      <c r="BF366" s="42" t="n"/>
      <c r="BG366" s="42" t="n"/>
      <c r="BH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157">
        <f>IF(OR(Y367="",X367=""),"",IFERROR(Y367*INDEX(FXRates[USD per unit],MATCH(X367,FXRates[Currency],0)),"No rate"))</f>
        <v/>
      </c>
      <c r="AA367" s="32" t="n"/>
      <c r="AB367" s="32" t="n"/>
      <c r="AC367" s="36">
        <f>IF(A367="","",IF(COUNTIF($A$6:$A$504,A367)&gt;1,"⚠ Duplicate",""))</f>
        <v/>
      </c>
      <c r="AD367" s="35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  <c r="AQ367" s="43" t="n"/>
      <c r="AR367" s="43" t="n"/>
      <c r="AS367" s="35" t="n"/>
      <c r="AT367" s="43" t="n"/>
      <c r="AU367" s="43" t="n"/>
      <c r="AV367" s="43" t="n"/>
      <c r="AW367" s="43" t="n"/>
      <c r="AX367" s="43" t="n"/>
      <c r="AY367" s="43" t="n"/>
      <c r="AZ367" s="43" t="n"/>
      <c r="BA367" s="43" t="n"/>
      <c r="BB367" s="43" t="n"/>
      <c r="BC367" s="43" t="n"/>
      <c r="BD367" s="43" t="n"/>
      <c r="BE367" s="43" t="n"/>
      <c r="BF367" s="43" t="n"/>
      <c r="BG367" s="43" t="n"/>
      <c r="BH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158">
        <f>IF(OR(Y368="",X368=""),"",IFERROR(Y368*INDEX(FXRates[USD per unit],MATCH(X368,FXRates[Currency],0)),"No rate"))</f>
        <v/>
      </c>
      <c r="AA368" s="38" t="n"/>
      <c r="AB368" s="38" t="n"/>
      <c r="AC368" s="41">
        <f>IF(A368="","",IF(COUNTIF($A$6:$A$504,A368)&gt;1,"⚠ Duplicate",""))</f>
        <v/>
      </c>
      <c r="AD368" s="40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  <c r="AQ368" s="42" t="n"/>
      <c r="AR368" s="42" t="n"/>
      <c r="AS368" s="40" t="n"/>
      <c r="AT368" s="42" t="n"/>
      <c r="AU368" s="42" t="n"/>
      <c r="AV368" s="42" t="n"/>
      <c r="AW368" s="42" t="n"/>
      <c r="AX368" s="42" t="n"/>
      <c r="AY368" s="42" t="n"/>
      <c r="AZ368" s="42" t="n"/>
      <c r="BA368" s="42" t="n"/>
      <c r="BB368" s="42" t="n"/>
      <c r="BC368" s="42" t="n"/>
      <c r="BD368" s="42" t="n"/>
      <c r="BE368" s="42" t="n"/>
      <c r="BF368" s="42" t="n"/>
      <c r="BG368" s="42" t="n"/>
      <c r="BH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157">
        <f>IF(OR(Y369="",X369=""),"",IFERROR(Y369*INDEX(FXRates[USD per unit],MATCH(X369,FXRates[Currency],0)),"No rate"))</f>
        <v/>
      </c>
      <c r="AA369" s="32" t="n"/>
      <c r="AB369" s="32" t="n"/>
      <c r="AC369" s="36">
        <f>IF(A369="","",IF(COUNTIF($A$6:$A$504,A369)&gt;1,"⚠ Duplicate",""))</f>
        <v/>
      </c>
      <c r="AD369" s="35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  <c r="AQ369" s="43" t="n"/>
      <c r="AR369" s="43" t="n"/>
      <c r="AS369" s="35" t="n"/>
      <c r="AT369" s="43" t="n"/>
      <c r="AU369" s="43" t="n"/>
      <c r="AV369" s="43" t="n"/>
      <c r="AW369" s="43" t="n"/>
      <c r="AX369" s="43" t="n"/>
      <c r="AY369" s="43" t="n"/>
      <c r="AZ369" s="43" t="n"/>
      <c r="BA369" s="43" t="n"/>
      <c r="BB369" s="43" t="n"/>
      <c r="BC369" s="43" t="n"/>
      <c r="BD369" s="43" t="n"/>
      <c r="BE369" s="43" t="n"/>
      <c r="BF369" s="43" t="n"/>
      <c r="BG369" s="43" t="n"/>
      <c r="BH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158">
        <f>IF(OR(Y370="",X370=""),"",IFERROR(Y370*INDEX(FXRates[USD per unit],MATCH(X370,FXRates[Currency],0)),"No rate"))</f>
        <v/>
      </c>
      <c r="AA370" s="38" t="n"/>
      <c r="AB370" s="38" t="n"/>
      <c r="AC370" s="41">
        <f>IF(A370="","",IF(COUNTIF($A$6:$A$504,A370)&gt;1,"⚠ Duplicate",""))</f>
        <v/>
      </c>
      <c r="AD370" s="40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  <c r="AQ370" s="42" t="n"/>
      <c r="AR370" s="42" t="n"/>
      <c r="AS370" s="40" t="n"/>
      <c r="AT370" s="42" t="n"/>
      <c r="AU370" s="42" t="n"/>
      <c r="AV370" s="42" t="n"/>
      <c r="AW370" s="42" t="n"/>
      <c r="AX370" s="42" t="n"/>
      <c r="AY370" s="42" t="n"/>
      <c r="AZ370" s="42" t="n"/>
      <c r="BA370" s="42" t="n"/>
      <c r="BB370" s="42" t="n"/>
      <c r="BC370" s="42" t="n"/>
      <c r="BD370" s="42" t="n"/>
      <c r="BE370" s="42" t="n"/>
      <c r="BF370" s="42" t="n"/>
      <c r="BG370" s="42" t="n"/>
      <c r="BH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157">
        <f>IF(OR(Y371="",X371=""),"",IFERROR(Y371*INDEX(FXRates[USD per unit],MATCH(X371,FXRates[Currency],0)),"No rate"))</f>
        <v/>
      </c>
      <c r="AA371" s="32" t="n"/>
      <c r="AB371" s="32" t="n"/>
      <c r="AC371" s="36">
        <f>IF(A371="","",IF(COUNTIF($A$6:$A$504,A371)&gt;1,"⚠ Duplicate",""))</f>
        <v/>
      </c>
      <c r="AD371" s="35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  <c r="AQ371" s="43" t="n"/>
      <c r="AR371" s="43" t="n"/>
      <c r="AS371" s="35" t="n"/>
      <c r="AT371" s="43" t="n"/>
      <c r="AU371" s="43" t="n"/>
      <c r="AV371" s="43" t="n"/>
      <c r="AW371" s="43" t="n"/>
      <c r="AX371" s="43" t="n"/>
      <c r="AY371" s="43" t="n"/>
      <c r="AZ371" s="43" t="n"/>
      <c r="BA371" s="43" t="n"/>
      <c r="BB371" s="43" t="n"/>
      <c r="BC371" s="43" t="n"/>
      <c r="BD371" s="43" t="n"/>
      <c r="BE371" s="43" t="n"/>
      <c r="BF371" s="43" t="n"/>
      <c r="BG371" s="43" t="n"/>
      <c r="BH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158">
        <f>IF(OR(Y372="",X372=""),"",IFERROR(Y372*INDEX(FXRates[USD per unit],MATCH(X372,FXRates[Currency],0)),"No rate"))</f>
        <v/>
      </c>
      <c r="AA372" s="38" t="n"/>
      <c r="AB372" s="38" t="n"/>
      <c r="AC372" s="41">
        <f>IF(A372="","",IF(COUNTIF($A$6:$A$504,A372)&gt;1,"⚠ Duplicate",""))</f>
        <v/>
      </c>
      <c r="AD372" s="40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  <c r="AQ372" s="42" t="n"/>
      <c r="AR372" s="42" t="n"/>
      <c r="AS372" s="40" t="n"/>
      <c r="AT372" s="42" t="n"/>
      <c r="AU372" s="42" t="n"/>
      <c r="AV372" s="42" t="n"/>
      <c r="AW372" s="42" t="n"/>
      <c r="AX372" s="42" t="n"/>
      <c r="AY372" s="42" t="n"/>
      <c r="AZ372" s="42" t="n"/>
      <c r="BA372" s="42" t="n"/>
      <c r="BB372" s="42" t="n"/>
      <c r="BC372" s="42" t="n"/>
      <c r="BD372" s="42" t="n"/>
      <c r="BE372" s="42" t="n"/>
      <c r="BF372" s="42" t="n"/>
      <c r="BG372" s="42" t="n"/>
      <c r="BH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157">
        <f>IF(OR(Y373="",X373=""),"",IFERROR(Y373*INDEX(FXRates[USD per unit],MATCH(X373,FXRates[Currency],0)),"No rate"))</f>
        <v/>
      </c>
      <c r="AA373" s="32" t="n"/>
      <c r="AB373" s="32" t="n"/>
      <c r="AC373" s="36">
        <f>IF(A373="","",IF(COUNTIF($A$6:$A$504,A373)&gt;1,"⚠ Duplicate",""))</f>
        <v/>
      </c>
      <c r="AD373" s="35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  <c r="AQ373" s="43" t="n"/>
      <c r="AR373" s="43" t="n"/>
      <c r="AS373" s="35" t="n"/>
      <c r="AT373" s="43" t="n"/>
      <c r="AU373" s="43" t="n"/>
      <c r="AV373" s="43" t="n"/>
      <c r="AW373" s="43" t="n"/>
      <c r="AX373" s="43" t="n"/>
      <c r="AY373" s="43" t="n"/>
      <c r="AZ373" s="43" t="n"/>
      <c r="BA373" s="43" t="n"/>
      <c r="BB373" s="43" t="n"/>
      <c r="BC373" s="43" t="n"/>
      <c r="BD373" s="43" t="n"/>
      <c r="BE373" s="43" t="n"/>
      <c r="BF373" s="43" t="n"/>
      <c r="BG373" s="43" t="n"/>
      <c r="BH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158">
        <f>IF(OR(Y374="",X374=""),"",IFERROR(Y374*INDEX(FXRates[USD per unit],MATCH(X374,FXRates[Currency],0)),"No rate"))</f>
        <v/>
      </c>
      <c r="AA374" s="38" t="n"/>
      <c r="AB374" s="38" t="n"/>
      <c r="AC374" s="41">
        <f>IF(A374="","",IF(COUNTIF($A$6:$A$504,A374)&gt;1,"⚠ Duplicate",""))</f>
        <v/>
      </c>
      <c r="AD374" s="40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  <c r="AQ374" s="42" t="n"/>
      <c r="AR374" s="42" t="n"/>
      <c r="AS374" s="40" t="n"/>
      <c r="AT374" s="42" t="n"/>
      <c r="AU374" s="42" t="n"/>
      <c r="AV374" s="42" t="n"/>
      <c r="AW374" s="42" t="n"/>
      <c r="AX374" s="42" t="n"/>
      <c r="AY374" s="42" t="n"/>
      <c r="AZ374" s="42" t="n"/>
      <c r="BA374" s="42" t="n"/>
      <c r="BB374" s="42" t="n"/>
      <c r="BC374" s="42" t="n"/>
      <c r="BD374" s="42" t="n"/>
      <c r="BE374" s="42" t="n"/>
      <c r="BF374" s="42" t="n"/>
      <c r="BG374" s="42" t="n"/>
      <c r="BH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157">
        <f>IF(OR(Y375="",X375=""),"",IFERROR(Y375*INDEX(FXRates[USD per unit],MATCH(X375,FXRates[Currency],0)),"No rate"))</f>
        <v/>
      </c>
      <c r="AA375" s="32" t="n"/>
      <c r="AB375" s="32" t="n"/>
      <c r="AC375" s="36">
        <f>IF(A375="","",IF(COUNTIF($A$6:$A$504,A375)&gt;1,"⚠ Duplicate",""))</f>
        <v/>
      </c>
      <c r="AD375" s="35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  <c r="AQ375" s="43" t="n"/>
      <c r="AR375" s="43" t="n"/>
      <c r="AS375" s="35" t="n"/>
      <c r="AT375" s="43" t="n"/>
      <c r="AU375" s="43" t="n"/>
      <c r="AV375" s="43" t="n"/>
      <c r="AW375" s="43" t="n"/>
      <c r="AX375" s="43" t="n"/>
      <c r="AY375" s="43" t="n"/>
      <c r="AZ375" s="43" t="n"/>
      <c r="BA375" s="43" t="n"/>
      <c r="BB375" s="43" t="n"/>
      <c r="BC375" s="43" t="n"/>
      <c r="BD375" s="43" t="n"/>
      <c r="BE375" s="43" t="n"/>
      <c r="BF375" s="43" t="n"/>
      <c r="BG375" s="43" t="n"/>
      <c r="BH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158">
        <f>IF(OR(Y376="",X376=""),"",IFERROR(Y376*INDEX(FXRates[USD per unit],MATCH(X376,FXRates[Currency],0)),"No rate"))</f>
        <v/>
      </c>
      <c r="AA376" s="38" t="n"/>
      <c r="AB376" s="38" t="n"/>
      <c r="AC376" s="41">
        <f>IF(A376="","",IF(COUNTIF($A$6:$A$504,A376)&gt;1,"⚠ Duplicate",""))</f>
        <v/>
      </c>
      <c r="AD376" s="40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  <c r="AQ376" s="42" t="n"/>
      <c r="AR376" s="42" t="n"/>
      <c r="AS376" s="40" t="n"/>
      <c r="AT376" s="42" t="n"/>
      <c r="AU376" s="42" t="n"/>
      <c r="AV376" s="42" t="n"/>
      <c r="AW376" s="42" t="n"/>
      <c r="AX376" s="42" t="n"/>
      <c r="AY376" s="42" t="n"/>
      <c r="AZ376" s="42" t="n"/>
      <c r="BA376" s="42" t="n"/>
      <c r="BB376" s="42" t="n"/>
      <c r="BC376" s="42" t="n"/>
      <c r="BD376" s="42" t="n"/>
      <c r="BE376" s="42" t="n"/>
      <c r="BF376" s="42" t="n"/>
      <c r="BG376" s="42" t="n"/>
      <c r="BH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157">
        <f>IF(OR(Y377="",X377=""),"",IFERROR(Y377*INDEX(FXRates[USD per unit],MATCH(X377,FXRates[Currency],0)),"No rate"))</f>
        <v/>
      </c>
      <c r="AA377" s="32" t="n"/>
      <c r="AB377" s="32" t="n"/>
      <c r="AC377" s="36">
        <f>IF(A377="","",IF(COUNTIF($A$6:$A$504,A377)&gt;1,"⚠ Duplicate",""))</f>
        <v/>
      </c>
      <c r="AD377" s="35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  <c r="AQ377" s="43" t="n"/>
      <c r="AR377" s="43" t="n"/>
      <c r="AS377" s="35" t="n"/>
      <c r="AT377" s="43" t="n"/>
      <c r="AU377" s="43" t="n"/>
      <c r="AV377" s="43" t="n"/>
      <c r="AW377" s="43" t="n"/>
      <c r="AX377" s="43" t="n"/>
      <c r="AY377" s="43" t="n"/>
      <c r="AZ377" s="43" t="n"/>
      <c r="BA377" s="43" t="n"/>
      <c r="BB377" s="43" t="n"/>
      <c r="BC377" s="43" t="n"/>
      <c r="BD377" s="43" t="n"/>
      <c r="BE377" s="43" t="n"/>
      <c r="BF377" s="43" t="n"/>
      <c r="BG377" s="43" t="n"/>
      <c r="BH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158">
        <f>IF(OR(Y378="",X378=""),"",IFERROR(Y378*INDEX(FXRates[USD per unit],MATCH(X378,FXRates[Currency],0)),"No rate"))</f>
        <v/>
      </c>
      <c r="AA378" s="38" t="n"/>
      <c r="AB378" s="38" t="n"/>
      <c r="AC378" s="41">
        <f>IF(A378="","",IF(COUNTIF($A$6:$A$504,A378)&gt;1,"⚠ Duplicate",""))</f>
        <v/>
      </c>
      <c r="AD378" s="40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  <c r="AQ378" s="42" t="n"/>
      <c r="AR378" s="42" t="n"/>
      <c r="AS378" s="40" t="n"/>
      <c r="AT378" s="42" t="n"/>
      <c r="AU378" s="42" t="n"/>
      <c r="AV378" s="42" t="n"/>
      <c r="AW378" s="42" t="n"/>
      <c r="AX378" s="42" t="n"/>
      <c r="AY378" s="42" t="n"/>
      <c r="AZ378" s="42" t="n"/>
      <c r="BA378" s="42" t="n"/>
      <c r="BB378" s="42" t="n"/>
      <c r="BC378" s="42" t="n"/>
      <c r="BD378" s="42" t="n"/>
      <c r="BE378" s="42" t="n"/>
      <c r="BF378" s="42" t="n"/>
      <c r="BG378" s="42" t="n"/>
      <c r="BH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157">
        <f>IF(OR(Y379="",X379=""),"",IFERROR(Y379*INDEX(FXRates[USD per unit],MATCH(X379,FXRates[Currency],0)),"No rate"))</f>
        <v/>
      </c>
      <c r="AA379" s="32" t="n"/>
      <c r="AB379" s="32" t="n"/>
      <c r="AC379" s="36">
        <f>IF(A379="","",IF(COUNTIF($A$6:$A$504,A379)&gt;1,"⚠ Duplicate",""))</f>
        <v/>
      </c>
      <c r="AD379" s="35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  <c r="AQ379" s="43" t="n"/>
      <c r="AR379" s="43" t="n"/>
      <c r="AS379" s="35" t="n"/>
      <c r="AT379" s="43" t="n"/>
      <c r="AU379" s="43" t="n"/>
      <c r="AV379" s="43" t="n"/>
      <c r="AW379" s="43" t="n"/>
      <c r="AX379" s="43" t="n"/>
      <c r="AY379" s="43" t="n"/>
      <c r="AZ379" s="43" t="n"/>
      <c r="BA379" s="43" t="n"/>
      <c r="BB379" s="43" t="n"/>
      <c r="BC379" s="43" t="n"/>
      <c r="BD379" s="43" t="n"/>
      <c r="BE379" s="43" t="n"/>
      <c r="BF379" s="43" t="n"/>
      <c r="BG379" s="43" t="n"/>
      <c r="BH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158">
        <f>IF(OR(Y380="",X380=""),"",IFERROR(Y380*INDEX(FXRates[USD per unit],MATCH(X380,FXRates[Currency],0)),"No rate"))</f>
        <v/>
      </c>
      <c r="AA380" s="38" t="n"/>
      <c r="AB380" s="38" t="n"/>
      <c r="AC380" s="41">
        <f>IF(A380="","",IF(COUNTIF($A$6:$A$504,A380)&gt;1,"⚠ Duplicate",""))</f>
        <v/>
      </c>
      <c r="AD380" s="40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  <c r="AQ380" s="42" t="n"/>
      <c r="AR380" s="42" t="n"/>
      <c r="AS380" s="40" t="n"/>
      <c r="AT380" s="42" t="n"/>
      <c r="AU380" s="42" t="n"/>
      <c r="AV380" s="42" t="n"/>
      <c r="AW380" s="42" t="n"/>
      <c r="AX380" s="42" t="n"/>
      <c r="AY380" s="42" t="n"/>
      <c r="AZ380" s="42" t="n"/>
      <c r="BA380" s="42" t="n"/>
      <c r="BB380" s="42" t="n"/>
      <c r="BC380" s="42" t="n"/>
      <c r="BD380" s="42" t="n"/>
      <c r="BE380" s="42" t="n"/>
      <c r="BF380" s="42" t="n"/>
      <c r="BG380" s="42" t="n"/>
      <c r="BH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157">
        <f>IF(OR(Y381="",X381=""),"",IFERROR(Y381*INDEX(FXRates[USD per unit],MATCH(X381,FXRates[Currency],0)),"No rate"))</f>
        <v/>
      </c>
      <c r="AA381" s="32" t="n"/>
      <c r="AB381" s="32" t="n"/>
      <c r="AC381" s="36">
        <f>IF(A381="","",IF(COUNTIF($A$6:$A$504,A381)&gt;1,"⚠ Duplicate",""))</f>
        <v/>
      </c>
      <c r="AD381" s="35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  <c r="AQ381" s="43" t="n"/>
      <c r="AR381" s="43" t="n"/>
      <c r="AS381" s="35" t="n"/>
      <c r="AT381" s="43" t="n"/>
      <c r="AU381" s="43" t="n"/>
      <c r="AV381" s="43" t="n"/>
      <c r="AW381" s="43" t="n"/>
      <c r="AX381" s="43" t="n"/>
      <c r="AY381" s="43" t="n"/>
      <c r="AZ381" s="43" t="n"/>
      <c r="BA381" s="43" t="n"/>
      <c r="BB381" s="43" t="n"/>
      <c r="BC381" s="43" t="n"/>
      <c r="BD381" s="43" t="n"/>
      <c r="BE381" s="43" t="n"/>
      <c r="BF381" s="43" t="n"/>
      <c r="BG381" s="43" t="n"/>
      <c r="BH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158">
        <f>IF(OR(Y382="",X382=""),"",IFERROR(Y382*INDEX(FXRates[USD per unit],MATCH(X382,FXRates[Currency],0)),"No rate"))</f>
        <v/>
      </c>
      <c r="AA382" s="38" t="n"/>
      <c r="AB382" s="38" t="n"/>
      <c r="AC382" s="41">
        <f>IF(A382="","",IF(COUNTIF($A$6:$A$504,A382)&gt;1,"⚠ Duplicate",""))</f>
        <v/>
      </c>
      <c r="AD382" s="40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  <c r="AQ382" s="42" t="n"/>
      <c r="AR382" s="42" t="n"/>
      <c r="AS382" s="40" t="n"/>
      <c r="AT382" s="42" t="n"/>
      <c r="AU382" s="42" t="n"/>
      <c r="AV382" s="42" t="n"/>
      <c r="AW382" s="42" t="n"/>
      <c r="AX382" s="42" t="n"/>
      <c r="AY382" s="42" t="n"/>
      <c r="AZ382" s="42" t="n"/>
      <c r="BA382" s="42" t="n"/>
      <c r="BB382" s="42" t="n"/>
      <c r="BC382" s="42" t="n"/>
      <c r="BD382" s="42" t="n"/>
      <c r="BE382" s="42" t="n"/>
      <c r="BF382" s="42" t="n"/>
      <c r="BG382" s="42" t="n"/>
      <c r="BH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157">
        <f>IF(OR(Y383="",X383=""),"",IFERROR(Y383*INDEX(FXRates[USD per unit],MATCH(X383,FXRates[Currency],0)),"No rate"))</f>
        <v/>
      </c>
      <c r="AA383" s="32" t="n"/>
      <c r="AB383" s="32" t="n"/>
      <c r="AC383" s="36">
        <f>IF(A383="","",IF(COUNTIF($A$6:$A$504,A383)&gt;1,"⚠ Duplicate",""))</f>
        <v/>
      </c>
      <c r="AD383" s="35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  <c r="AQ383" s="43" t="n"/>
      <c r="AR383" s="43" t="n"/>
      <c r="AS383" s="35" t="n"/>
      <c r="AT383" s="43" t="n"/>
      <c r="AU383" s="43" t="n"/>
      <c r="AV383" s="43" t="n"/>
      <c r="AW383" s="43" t="n"/>
      <c r="AX383" s="43" t="n"/>
      <c r="AY383" s="43" t="n"/>
      <c r="AZ383" s="43" t="n"/>
      <c r="BA383" s="43" t="n"/>
      <c r="BB383" s="43" t="n"/>
      <c r="BC383" s="43" t="n"/>
      <c r="BD383" s="43" t="n"/>
      <c r="BE383" s="43" t="n"/>
      <c r="BF383" s="43" t="n"/>
      <c r="BG383" s="43" t="n"/>
      <c r="BH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158">
        <f>IF(OR(Y384="",X384=""),"",IFERROR(Y384*INDEX(FXRates[USD per unit],MATCH(X384,FXRates[Currency],0)),"No rate"))</f>
        <v/>
      </c>
      <c r="AA384" s="38" t="n"/>
      <c r="AB384" s="38" t="n"/>
      <c r="AC384" s="41">
        <f>IF(A384="","",IF(COUNTIF($A$6:$A$504,A384)&gt;1,"⚠ Duplicate",""))</f>
        <v/>
      </c>
      <c r="AD384" s="40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  <c r="AQ384" s="42" t="n"/>
      <c r="AR384" s="42" t="n"/>
      <c r="AS384" s="40" t="n"/>
      <c r="AT384" s="42" t="n"/>
      <c r="AU384" s="42" t="n"/>
      <c r="AV384" s="42" t="n"/>
      <c r="AW384" s="42" t="n"/>
      <c r="AX384" s="42" t="n"/>
      <c r="AY384" s="42" t="n"/>
      <c r="AZ384" s="42" t="n"/>
      <c r="BA384" s="42" t="n"/>
      <c r="BB384" s="42" t="n"/>
      <c r="BC384" s="42" t="n"/>
      <c r="BD384" s="42" t="n"/>
      <c r="BE384" s="42" t="n"/>
      <c r="BF384" s="42" t="n"/>
      <c r="BG384" s="42" t="n"/>
      <c r="BH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157">
        <f>IF(OR(Y385="",X385=""),"",IFERROR(Y385*INDEX(FXRates[USD per unit],MATCH(X385,FXRates[Currency],0)),"No rate"))</f>
        <v/>
      </c>
      <c r="AA385" s="32" t="n"/>
      <c r="AB385" s="32" t="n"/>
      <c r="AC385" s="36">
        <f>IF(A385="","",IF(COUNTIF($A$6:$A$504,A385)&gt;1,"⚠ Duplicate",""))</f>
        <v/>
      </c>
      <c r="AD385" s="35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  <c r="AQ385" s="43" t="n"/>
      <c r="AR385" s="43" t="n"/>
      <c r="AS385" s="35" t="n"/>
      <c r="AT385" s="43" t="n"/>
      <c r="AU385" s="43" t="n"/>
      <c r="AV385" s="43" t="n"/>
      <c r="AW385" s="43" t="n"/>
      <c r="AX385" s="43" t="n"/>
      <c r="AY385" s="43" t="n"/>
      <c r="AZ385" s="43" t="n"/>
      <c r="BA385" s="43" t="n"/>
      <c r="BB385" s="43" t="n"/>
      <c r="BC385" s="43" t="n"/>
      <c r="BD385" s="43" t="n"/>
      <c r="BE385" s="43" t="n"/>
      <c r="BF385" s="43" t="n"/>
      <c r="BG385" s="43" t="n"/>
      <c r="BH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158">
        <f>IF(OR(Y386="",X386=""),"",IFERROR(Y386*INDEX(FXRates[USD per unit],MATCH(X386,FXRates[Currency],0)),"No rate"))</f>
        <v/>
      </c>
      <c r="AA386" s="38" t="n"/>
      <c r="AB386" s="38" t="n"/>
      <c r="AC386" s="41">
        <f>IF(A386="","",IF(COUNTIF($A$6:$A$504,A386)&gt;1,"⚠ Duplicate",""))</f>
        <v/>
      </c>
      <c r="AD386" s="40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  <c r="AQ386" s="42" t="n"/>
      <c r="AR386" s="42" t="n"/>
      <c r="AS386" s="40" t="n"/>
      <c r="AT386" s="42" t="n"/>
      <c r="AU386" s="42" t="n"/>
      <c r="AV386" s="42" t="n"/>
      <c r="AW386" s="42" t="n"/>
      <c r="AX386" s="42" t="n"/>
      <c r="AY386" s="42" t="n"/>
      <c r="AZ386" s="42" t="n"/>
      <c r="BA386" s="42" t="n"/>
      <c r="BB386" s="42" t="n"/>
      <c r="BC386" s="42" t="n"/>
      <c r="BD386" s="42" t="n"/>
      <c r="BE386" s="42" t="n"/>
      <c r="BF386" s="42" t="n"/>
      <c r="BG386" s="42" t="n"/>
      <c r="BH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157">
        <f>IF(OR(Y387="",X387=""),"",IFERROR(Y387*INDEX(FXRates[USD per unit],MATCH(X387,FXRates[Currency],0)),"No rate"))</f>
        <v/>
      </c>
      <c r="AA387" s="32" t="n"/>
      <c r="AB387" s="32" t="n"/>
      <c r="AC387" s="36">
        <f>IF(A387="","",IF(COUNTIF($A$6:$A$504,A387)&gt;1,"⚠ Duplicate",""))</f>
        <v/>
      </c>
      <c r="AD387" s="35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  <c r="AQ387" s="43" t="n"/>
      <c r="AR387" s="43" t="n"/>
      <c r="AS387" s="35" t="n"/>
      <c r="AT387" s="43" t="n"/>
      <c r="AU387" s="43" t="n"/>
      <c r="AV387" s="43" t="n"/>
      <c r="AW387" s="43" t="n"/>
      <c r="AX387" s="43" t="n"/>
      <c r="AY387" s="43" t="n"/>
      <c r="AZ387" s="43" t="n"/>
      <c r="BA387" s="43" t="n"/>
      <c r="BB387" s="43" t="n"/>
      <c r="BC387" s="43" t="n"/>
      <c r="BD387" s="43" t="n"/>
      <c r="BE387" s="43" t="n"/>
      <c r="BF387" s="43" t="n"/>
      <c r="BG387" s="43" t="n"/>
      <c r="BH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158">
        <f>IF(OR(Y388="",X388=""),"",IFERROR(Y388*INDEX(FXRates[USD per unit],MATCH(X388,FXRates[Currency],0)),"No rate"))</f>
        <v/>
      </c>
      <c r="AA388" s="38" t="n"/>
      <c r="AB388" s="38" t="n"/>
      <c r="AC388" s="41">
        <f>IF(A388="","",IF(COUNTIF($A$6:$A$504,A388)&gt;1,"⚠ Duplicate",""))</f>
        <v/>
      </c>
      <c r="AD388" s="40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  <c r="AQ388" s="42" t="n"/>
      <c r="AR388" s="42" t="n"/>
      <c r="AS388" s="40" t="n"/>
      <c r="AT388" s="42" t="n"/>
      <c r="AU388" s="42" t="n"/>
      <c r="AV388" s="42" t="n"/>
      <c r="AW388" s="42" t="n"/>
      <c r="AX388" s="42" t="n"/>
      <c r="AY388" s="42" t="n"/>
      <c r="AZ388" s="42" t="n"/>
      <c r="BA388" s="42" t="n"/>
      <c r="BB388" s="42" t="n"/>
      <c r="BC388" s="42" t="n"/>
      <c r="BD388" s="42" t="n"/>
      <c r="BE388" s="42" t="n"/>
      <c r="BF388" s="42" t="n"/>
      <c r="BG388" s="42" t="n"/>
      <c r="BH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157">
        <f>IF(OR(Y389="",X389=""),"",IFERROR(Y389*INDEX(FXRates[USD per unit],MATCH(X389,FXRates[Currency],0)),"No rate"))</f>
        <v/>
      </c>
      <c r="AA389" s="32" t="n"/>
      <c r="AB389" s="32" t="n"/>
      <c r="AC389" s="36">
        <f>IF(A389="","",IF(COUNTIF($A$6:$A$504,A389)&gt;1,"⚠ Duplicate",""))</f>
        <v/>
      </c>
      <c r="AD389" s="35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  <c r="AQ389" s="43" t="n"/>
      <c r="AR389" s="43" t="n"/>
      <c r="AS389" s="35" t="n"/>
      <c r="AT389" s="43" t="n"/>
      <c r="AU389" s="43" t="n"/>
      <c r="AV389" s="43" t="n"/>
      <c r="AW389" s="43" t="n"/>
      <c r="AX389" s="43" t="n"/>
      <c r="AY389" s="43" t="n"/>
      <c r="AZ389" s="43" t="n"/>
      <c r="BA389" s="43" t="n"/>
      <c r="BB389" s="43" t="n"/>
      <c r="BC389" s="43" t="n"/>
      <c r="BD389" s="43" t="n"/>
      <c r="BE389" s="43" t="n"/>
      <c r="BF389" s="43" t="n"/>
      <c r="BG389" s="43" t="n"/>
      <c r="BH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158">
        <f>IF(OR(Y390="",X390=""),"",IFERROR(Y390*INDEX(FXRates[USD per unit],MATCH(X390,FXRates[Currency],0)),"No rate"))</f>
        <v/>
      </c>
      <c r="AA390" s="38" t="n"/>
      <c r="AB390" s="38" t="n"/>
      <c r="AC390" s="41">
        <f>IF(A390="","",IF(COUNTIF($A$6:$A$504,A390)&gt;1,"⚠ Duplicate",""))</f>
        <v/>
      </c>
      <c r="AD390" s="40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  <c r="AQ390" s="42" t="n"/>
      <c r="AR390" s="42" t="n"/>
      <c r="AS390" s="40" t="n"/>
      <c r="AT390" s="42" t="n"/>
      <c r="AU390" s="42" t="n"/>
      <c r="AV390" s="42" t="n"/>
      <c r="AW390" s="42" t="n"/>
      <c r="AX390" s="42" t="n"/>
      <c r="AY390" s="42" t="n"/>
      <c r="AZ390" s="42" t="n"/>
      <c r="BA390" s="42" t="n"/>
      <c r="BB390" s="42" t="n"/>
      <c r="BC390" s="42" t="n"/>
      <c r="BD390" s="42" t="n"/>
      <c r="BE390" s="42" t="n"/>
      <c r="BF390" s="42" t="n"/>
      <c r="BG390" s="42" t="n"/>
      <c r="BH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157">
        <f>IF(OR(Y391="",X391=""),"",IFERROR(Y391*INDEX(FXRates[USD per unit],MATCH(X391,FXRates[Currency],0)),"No rate"))</f>
        <v/>
      </c>
      <c r="AA391" s="32" t="n"/>
      <c r="AB391" s="32" t="n"/>
      <c r="AC391" s="36">
        <f>IF(A391="","",IF(COUNTIF($A$6:$A$504,A391)&gt;1,"⚠ Duplicate",""))</f>
        <v/>
      </c>
      <c r="AD391" s="35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  <c r="AQ391" s="43" t="n"/>
      <c r="AR391" s="43" t="n"/>
      <c r="AS391" s="35" t="n"/>
      <c r="AT391" s="43" t="n"/>
      <c r="AU391" s="43" t="n"/>
      <c r="AV391" s="43" t="n"/>
      <c r="AW391" s="43" t="n"/>
      <c r="AX391" s="43" t="n"/>
      <c r="AY391" s="43" t="n"/>
      <c r="AZ391" s="43" t="n"/>
      <c r="BA391" s="43" t="n"/>
      <c r="BB391" s="43" t="n"/>
      <c r="BC391" s="43" t="n"/>
      <c r="BD391" s="43" t="n"/>
      <c r="BE391" s="43" t="n"/>
      <c r="BF391" s="43" t="n"/>
      <c r="BG391" s="43" t="n"/>
      <c r="BH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158">
        <f>IF(OR(Y392="",X392=""),"",IFERROR(Y392*INDEX(FXRates[USD per unit],MATCH(X392,FXRates[Currency],0)),"No rate"))</f>
        <v/>
      </c>
      <c r="AA392" s="38" t="n"/>
      <c r="AB392" s="38" t="n"/>
      <c r="AC392" s="41">
        <f>IF(A392="","",IF(COUNTIF($A$6:$A$504,A392)&gt;1,"⚠ Duplicate",""))</f>
        <v/>
      </c>
      <c r="AD392" s="40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  <c r="AQ392" s="42" t="n"/>
      <c r="AR392" s="42" t="n"/>
      <c r="AS392" s="40" t="n"/>
      <c r="AT392" s="42" t="n"/>
      <c r="AU392" s="42" t="n"/>
      <c r="AV392" s="42" t="n"/>
      <c r="AW392" s="42" t="n"/>
      <c r="AX392" s="42" t="n"/>
      <c r="AY392" s="42" t="n"/>
      <c r="AZ392" s="42" t="n"/>
      <c r="BA392" s="42" t="n"/>
      <c r="BB392" s="42" t="n"/>
      <c r="BC392" s="42" t="n"/>
      <c r="BD392" s="42" t="n"/>
      <c r="BE392" s="42" t="n"/>
      <c r="BF392" s="42" t="n"/>
      <c r="BG392" s="42" t="n"/>
      <c r="BH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157">
        <f>IF(OR(Y393="",X393=""),"",IFERROR(Y393*INDEX(FXRates[USD per unit],MATCH(X393,FXRates[Currency],0)),"No rate"))</f>
        <v/>
      </c>
      <c r="AA393" s="32" t="n"/>
      <c r="AB393" s="32" t="n"/>
      <c r="AC393" s="36">
        <f>IF(A393="","",IF(COUNTIF($A$6:$A$504,A393)&gt;1,"⚠ Duplicate",""))</f>
        <v/>
      </c>
      <c r="AD393" s="35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  <c r="AQ393" s="43" t="n"/>
      <c r="AR393" s="43" t="n"/>
      <c r="AS393" s="35" t="n"/>
      <c r="AT393" s="43" t="n"/>
      <c r="AU393" s="43" t="n"/>
      <c r="AV393" s="43" t="n"/>
      <c r="AW393" s="43" t="n"/>
      <c r="AX393" s="43" t="n"/>
      <c r="AY393" s="43" t="n"/>
      <c r="AZ393" s="43" t="n"/>
      <c r="BA393" s="43" t="n"/>
      <c r="BB393" s="43" t="n"/>
      <c r="BC393" s="43" t="n"/>
      <c r="BD393" s="43" t="n"/>
      <c r="BE393" s="43" t="n"/>
      <c r="BF393" s="43" t="n"/>
      <c r="BG393" s="43" t="n"/>
      <c r="BH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158">
        <f>IF(OR(Y394="",X394=""),"",IFERROR(Y394*INDEX(FXRates[USD per unit],MATCH(X394,FXRates[Currency],0)),"No rate"))</f>
        <v/>
      </c>
      <c r="AA394" s="38" t="n"/>
      <c r="AB394" s="38" t="n"/>
      <c r="AC394" s="41">
        <f>IF(A394="","",IF(COUNTIF($A$6:$A$504,A394)&gt;1,"⚠ Duplicate",""))</f>
        <v/>
      </c>
      <c r="AD394" s="40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  <c r="AQ394" s="42" t="n"/>
      <c r="AR394" s="42" t="n"/>
      <c r="AS394" s="40" t="n"/>
      <c r="AT394" s="42" t="n"/>
      <c r="AU394" s="42" t="n"/>
      <c r="AV394" s="42" t="n"/>
      <c r="AW394" s="42" t="n"/>
      <c r="AX394" s="42" t="n"/>
      <c r="AY394" s="42" t="n"/>
      <c r="AZ394" s="42" t="n"/>
      <c r="BA394" s="42" t="n"/>
      <c r="BB394" s="42" t="n"/>
      <c r="BC394" s="42" t="n"/>
      <c r="BD394" s="42" t="n"/>
      <c r="BE394" s="42" t="n"/>
      <c r="BF394" s="42" t="n"/>
      <c r="BG394" s="42" t="n"/>
      <c r="BH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157">
        <f>IF(OR(Y395="",X395=""),"",IFERROR(Y395*INDEX(FXRates[USD per unit],MATCH(X395,FXRates[Currency],0)),"No rate"))</f>
        <v/>
      </c>
      <c r="AA395" s="32" t="n"/>
      <c r="AB395" s="32" t="n"/>
      <c r="AC395" s="36">
        <f>IF(A395="","",IF(COUNTIF($A$6:$A$504,A395)&gt;1,"⚠ Duplicate",""))</f>
        <v/>
      </c>
      <c r="AD395" s="35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  <c r="AQ395" s="43" t="n"/>
      <c r="AR395" s="43" t="n"/>
      <c r="AS395" s="35" t="n"/>
      <c r="AT395" s="43" t="n"/>
      <c r="AU395" s="43" t="n"/>
      <c r="AV395" s="43" t="n"/>
      <c r="AW395" s="43" t="n"/>
      <c r="AX395" s="43" t="n"/>
      <c r="AY395" s="43" t="n"/>
      <c r="AZ395" s="43" t="n"/>
      <c r="BA395" s="43" t="n"/>
      <c r="BB395" s="43" t="n"/>
      <c r="BC395" s="43" t="n"/>
      <c r="BD395" s="43" t="n"/>
      <c r="BE395" s="43" t="n"/>
      <c r="BF395" s="43" t="n"/>
      <c r="BG395" s="43" t="n"/>
      <c r="BH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158">
        <f>IF(OR(Y396="",X396=""),"",IFERROR(Y396*INDEX(FXRates[USD per unit],MATCH(X396,FXRates[Currency],0)),"No rate"))</f>
        <v/>
      </c>
      <c r="AA396" s="38" t="n"/>
      <c r="AB396" s="38" t="n"/>
      <c r="AC396" s="41">
        <f>IF(A396="","",IF(COUNTIF($A$6:$A$504,A396)&gt;1,"⚠ Duplicate",""))</f>
        <v/>
      </c>
      <c r="AD396" s="40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  <c r="AQ396" s="42" t="n"/>
      <c r="AR396" s="42" t="n"/>
      <c r="AS396" s="40" t="n"/>
      <c r="AT396" s="42" t="n"/>
      <c r="AU396" s="42" t="n"/>
      <c r="AV396" s="42" t="n"/>
      <c r="AW396" s="42" t="n"/>
      <c r="AX396" s="42" t="n"/>
      <c r="AY396" s="42" t="n"/>
      <c r="AZ396" s="42" t="n"/>
      <c r="BA396" s="42" t="n"/>
      <c r="BB396" s="42" t="n"/>
      <c r="BC396" s="42" t="n"/>
      <c r="BD396" s="42" t="n"/>
      <c r="BE396" s="42" t="n"/>
      <c r="BF396" s="42" t="n"/>
      <c r="BG396" s="42" t="n"/>
      <c r="BH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157">
        <f>IF(OR(Y397="",X397=""),"",IFERROR(Y397*INDEX(FXRates[USD per unit],MATCH(X397,FXRates[Currency],0)),"No rate"))</f>
        <v/>
      </c>
      <c r="AA397" s="32" t="n"/>
      <c r="AB397" s="32" t="n"/>
      <c r="AC397" s="36">
        <f>IF(A397="","",IF(COUNTIF($A$6:$A$504,A397)&gt;1,"⚠ Duplicate",""))</f>
        <v/>
      </c>
      <c r="AD397" s="35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  <c r="AQ397" s="43" t="n"/>
      <c r="AR397" s="43" t="n"/>
      <c r="AS397" s="35" t="n"/>
      <c r="AT397" s="43" t="n"/>
      <c r="AU397" s="43" t="n"/>
      <c r="AV397" s="43" t="n"/>
      <c r="AW397" s="43" t="n"/>
      <c r="AX397" s="43" t="n"/>
      <c r="AY397" s="43" t="n"/>
      <c r="AZ397" s="43" t="n"/>
      <c r="BA397" s="43" t="n"/>
      <c r="BB397" s="43" t="n"/>
      <c r="BC397" s="43" t="n"/>
      <c r="BD397" s="43" t="n"/>
      <c r="BE397" s="43" t="n"/>
      <c r="BF397" s="43" t="n"/>
      <c r="BG397" s="43" t="n"/>
      <c r="BH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158">
        <f>IF(OR(Y398="",X398=""),"",IFERROR(Y398*INDEX(FXRates[USD per unit],MATCH(X398,FXRates[Currency],0)),"No rate"))</f>
        <v/>
      </c>
      <c r="AA398" s="38" t="n"/>
      <c r="AB398" s="38" t="n"/>
      <c r="AC398" s="41">
        <f>IF(A398="","",IF(COUNTIF($A$6:$A$504,A398)&gt;1,"⚠ Duplicate",""))</f>
        <v/>
      </c>
      <c r="AD398" s="40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  <c r="AQ398" s="42" t="n"/>
      <c r="AR398" s="42" t="n"/>
      <c r="AS398" s="40" t="n"/>
      <c r="AT398" s="42" t="n"/>
      <c r="AU398" s="42" t="n"/>
      <c r="AV398" s="42" t="n"/>
      <c r="AW398" s="42" t="n"/>
      <c r="AX398" s="42" t="n"/>
      <c r="AY398" s="42" t="n"/>
      <c r="AZ398" s="42" t="n"/>
      <c r="BA398" s="42" t="n"/>
      <c r="BB398" s="42" t="n"/>
      <c r="BC398" s="42" t="n"/>
      <c r="BD398" s="42" t="n"/>
      <c r="BE398" s="42" t="n"/>
      <c r="BF398" s="42" t="n"/>
      <c r="BG398" s="42" t="n"/>
      <c r="BH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157">
        <f>IF(OR(Y399="",X399=""),"",IFERROR(Y399*INDEX(FXRates[USD per unit],MATCH(X399,FXRates[Currency],0)),"No rate"))</f>
        <v/>
      </c>
      <c r="AA399" s="32" t="n"/>
      <c r="AB399" s="32" t="n"/>
      <c r="AC399" s="36">
        <f>IF(A399="","",IF(COUNTIF($A$6:$A$504,A399)&gt;1,"⚠ Duplicate",""))</f>
        <v/>
      </c>
      <c r="AD399" s="35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  <c r="AQ399" s="43" t="n"/>
      <c r="AR399" s="43" t="n"/>
      <c r="AS399" s="35" t="n"/>
      <c r="AT399" s="43" t="n"/>
      <c r="AU399" s="43" t="n"/>
      <c r="AV399" s="43" t="n"/>
      <c r="AW399" s="43" t="n"/>
      <c r="AX399" s="43" t="n"/>
      <c r="AY399" s="43" t="n"/>
      <c r="AZ399" s="43" t="n"/>
      <c r="BA399" s="43" t="n"/>
      <c r="BB399" s="43" t="n"/>
      <c r="BC399" s="43" t="n"/>
      <c r="BD399" s="43" t="n"/>
      <c r="BE399" s="43" t="n"/>
      <c r="BF399" s="43" t="n"/>
      <c r="BG399" s="43" t="n"/>
      <c r="BH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158">
        <f>IF(OR(Y400="",X400=""),"",IFERROR(Y400*INDEX(FXRates[USD per unit],MATCH(X400,FXRates[Currency],0)),"No rate"))</f>
        <v/>
      </c>
      <c r="AA400" s="38" t="n"/>
      <c r="AB400" s="38" t="n"/>
      <c r="AC400" s="41">
        <f>IF(A400="","",IF(COUNTIF($A$6:$A$504,A400)&gt;1,"⚠ Duplicate",""))</f>
        <v/>
      </c>
      <c r="AD400" s="40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  <c r="AQ400" s="42" t="n"/>
      <c r="AR400" s="42" t="n"/>
      <c r="AS400" s="40" t="n"/>
      <c r="AT400" s="42" t="n"/>
      <c r="AU400" s="42" t="n"/>
      <c r="AV400" s="42" t="n"/>
      <c r="AW400" s="42" t="n"/>
      <c r="AX400" s="42" t="n"/>
      <c r="AY400" s="42" t="n"/>
      <c r="AZ400" s="42" t="n"/>
      <c r="BA400" s="42" t="n"/>
      <c r="BB400" s="42" t="n"/>
      <c r="BC400" s="42" t="n"/>
      <c r="BD400" s="42" t="n"/>
      <c r="BE400" s="42" t="n"/>
      <c r="BF400" s="42" t="n"/>
      <c r="BG400" s="42" t="n"/>
      <c r="BH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157">
        <f>IF(OR(Y401="",X401=""),"",IFERROR(Y401*INDEX(FXRates[USD per unit],MATCH(X401,FXRates[Currency],0)),"No rate"))</f>
        <v/>
      </c>
      <c r="AA401" s="32" t="n"/>
      <c r="AB401" s="32" t="n"/>
      <c r="AC401" s="36">
        <f>IF(A401="","",IF(COUNTIF($A$6:$A$504,A401)&gt;1,"⚠ Duplicate",""))</f>
        <v/>
      </c>
      <c r="AD401" s="35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  <c r="AQ401" s="43" t="n"/>
      <c r="AR401" s="43" t="n"/>
      <c r="AS401" s="35" t="n"/>
      <c r="AT401" s="43" t="n"/>
      <c r="AU401" s="43" t="n"/>
      <c r="AV401" s="43" t="n"/>
      <c r="AW401" s="43" t="n"/>
      <c r="AX401" s="43" t="n"/>
      <c r="AY401" s="43" t="n"/>
      <c r="AZ401" s="43" t="n"/>
      <c r="BA401" s="43" t="n"/>
      <c r="BB401" s="43" t="n"/>
      <c r="BC401" s="43" t="n"/>
      <c r="BD401" s="43" t="n"/>
      <c r="BE401" s="43" t="n"/>
      <c r="BF401" s="43" t="n"/>
      <c r="BG401" s="43" t="n"/>
      <c r="BH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158">
        <f>IF(OR(Y402="",X402=""),"",IFERROR(Y402*INDEX(FXRates[USD per unit],MATCH(X402,FXRates[Currency],0)),"No rate"))</f>
        <v/>
      </c>
      <c r="AA402" s="38" t="n"/>
      <c r="AB402" s="38" t="n"/>
      <c r="AC402" s="41">
        <f>IF(A402="","",IF(COUNTIF($A$6:$A$504,A402)&gt;1,"⚠ Duplicate",""))</f>
        <v/>
      </c>
      <c r="AD402" s="40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  <c r="AQ402" s="42" t="n"/>
      <c r="AR402" s="42" t="n"/>
      <c r="AS402" s="40" t="n"/>
      <c r="AT402" s="42" t="n"/>
      <c r="AU402" s="42" t="n"/>
      <c r="AV402" s="42" t="n"/>
      <c r="AW402" s="42" t="n"/>
      <c r="AX402" s="42" t="n"/>
      <c r="AY402" s="42" t="n"/>
      <c r="AZ402" s="42" t="n"/>
      <c r="BA402" s="42" t="n"/>
      <c r="BB402" s="42" t="n"/>
      <c r="BC402" s="42" t="n"/>
      <c r="BD402" s="42" t="n"/>
      <c r="BE402" s="42" t="n"/>
      <c r="BF402" s="42" t="n"/>
      <c r="BG402" s="42" t="n"/>
      <c r="BH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157">
        <f>IF(OR(Y403="",X403=""),"",IFERROR(Y403*INDEX(FXRates[USD per unit],MATCH(X403,FXRates[Currency],0)),"No rate"))</f>
        <v/>
      </c>
      <c r="AA403" s="32" t="n"/>
      <c r="AB403" s="32" t="n"/>
      <c r="AC403" s="36">
        <f>IF(A403="","",IF(COUNTIF($A$6:$A$504,A403)&gt;1,"⚠ Duplicate",""))</f>
        <v/>
      </c>
      <c r="AD403" s="35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  <c r="AQ403" s="43" t="n"/>
      <c r="AR403" s="43" t="n"/>
      <c r="AS403" s="35" t="n"/>
      <c r="AT403" s="43" t="n"/>
      <c r="AU403" s="43" t="n"/>
      <c r="AV403" s="43" t="n"/>
      <c r="AW403" s="43" t="n"/>
      <c r="AX403" s="43" t="n"/>
      <c r="AY403" s="43" t="n"/>
      <c r="AZ403" s="43" t="n"/>
      <c r="BA403" s="43" t="n"/>
      <c r="BB403" s="43" t="n"/>
      <c r="BC403" s="43" t="n"/>
      <c r="BD403" s="43" t="n"/>
      <c r="BE403" s="43" t="n"/>
      <c r="BF403" s="43" t="n"/>
      <c r="BG403" s="43" t="n"/>
      <c r="BH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158">
        <f>IF(OR(Y404="",X404=""),"",IFERROR(Y404*INDEX(FXRates[USD per unit],MATCH(X404,FXRates[Currency],0)),"No rate"))</f>
        <v/>
      </c>
      <c r="AA404" s="38" t="n"/>
      <c r="AB404" s="38" t="n"/>
      <c r="AC404" s="41">
        <f>IF(A404="","",IF(COUNTIF($A$6:$A$504,A404)&gt;1,"⚠ Duplicate",""))</f>
        <v/>
      </c>
      <c r="AD404" s="40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  <c r="AQ404" s="42" t="n"/>
      <c r="AR404" s="42" t="n"/>
      <c r="AS404" s="40" t="n"/>
      <c r="AT404" s="42" t="n"/>
      <c r="AU404" s="42" t="n"/>
      <c r="AV404" s="42" t="n"/>
      <c r="AW404" s="42" t="n"/>
      <c r="AX404" s="42" t="n"/>
      <c r="AY404" s="42" t="n"/>
      <c r="AZ404" s="42" t="n"/>
      <c r="BA404" s="42" t="n"/>
      <c r="BB404" s="42" t="n"/>
      <c r="BC404" s="42" t="n"/>
      <c r="BD404" s="42" t="n"/>
      <c r="BE404" s="42" t="n"/>
      <c r="BF404" s="42" t="n"/>
      <c r="BG404" s="42" t="n"/>
      <c r="BH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157">
        <f>IF(OR(Y405="",X405=""),"",IFERROR(Y405*INDEX(FXRates[USD per unit],MATCH(X405,FXRates[Currency],0)),"No rate"))</f>
        <v/>
      </c>
      <c r="AA405" s="32" t="n"/>
      <c r="AB405" s="32" t="n"/>
      <c r="AC405" s="36">
        <f>IF(A405="","",IF(COUNTIF($A$6:$A$504,A405)&gt;1,"⚠ Duplicate",""))</f>
        <v/>
      </c>
      <c r="AD405" s="35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  <c r="AQ405" s="43" t="n"/>
      <c r="AR405" s="43" t="n"/>
      <c r="AS405" s="35" t="n"/>
      <c r="AT405" s="43" t="n"/>
      <c r="AU405" s="43" t="n"/>
      <c r="AV405" s="43" t="n"/>
      <c r="AW405" s="43" t="n"/>
      <c r="AX405" s="43" t="n"/>
      <c r="AY405" s="43" t="n"/>
      <c r="AZ405" s="43" t="n"/>
      <c r="BA405" s="43" t="n"/>
      <c r="BB405" s="43" t="n"/>
      <c r="BC405" s="43" t="n"/>
      <c r="BD405" s="43" t="n"/>
      <c r="BE405" s="43" t="n"/>
      <c r="BF405" s="43" t="n"/>
      <c r="BG405" s="43" t="n"/>
      <c r="BH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158">
        <f>IF(OR(Y406="",X406=""),"",IFERROR(Y406*INDEX(FXRates[USD per unit],MATCH(X406,FXRates[Currency],0)),"No rate"))</f>
        <v/>
      </c>
      <c r="AA406" s="38" t="n"/>
      <c r="AB406" s="38" t="n"/>
      <c r="AC406" s="41">
        <f>IF(A406="","",IF(COUNTIF($A$6:$A$504,A406)&gt;1,"⚠ Duplicate",""))</f>
        <v/>
      </c>
      <c r="AD406" s="40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  <c r="AQ406" s="42" t="n"/>
      <c r="AR406" s="42" t="n"/>
      <c r="AS406" s="40" t="n"/>
      <c r="AT406" s="42" t="n"/>
      <c r="AU406" s="42" t="n"/>
      <c r="AV406" s="42" t="n"/>
      <c r="AW406" s="42" t="n"/>
      <c r="AX406" s="42" t="n"/>
      <c r="AY406" s="42" t="n"/>
      <c r="AZ406" s="42" t="n"/>
      <c r="BA406" s="42" t="n"/>
      <c r="BB406" s="42" t="n"/>
      <c r="BC406" s="42" t="n"/>
      <c r="BD406" s="42" t="n"/>
      <c r="BE406" s="42" t="n"/>
      <c r="BF406" s="42" t="n"/>
      <c r="BG406" s="42" t="n"/>
      <c r="BH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157">
        <f>IF(OR(Y407="",X407=""),"",IFERROR(Y407*INDEX(FXRates[USD per unit],MATCH(X407,FXRates[Currency],0)),"No rate"))</f>
        <v/>
      </c>
      <c r="AA407" s="32" t="n"/>
      <c r="AB407" s="32" t="n"/>
      <c r="AC407" s="36">
        <f>IF(A407="","",IF(COUNTIF($A$6:$A$504,A407)&gt;1,"⚠ Duplicate",""))</f>
        <v/>
      </c>
      <c r="AD407" s="35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  <c r="AQ407" s="43" t="n"/>
      <c r="AR407" s="43" t="n"/>
      <c r="AS407" s="35" t="n"/>
      <c r="AT407" s="43" t="n"/>
      <c r="AU407" s="43" t="n"/>
      <c r="AV407" s="43" t="n"/>
      <c r="AW407" s="43" t="n"/>
      <c r="AX407" s="43" t="n"/>
      <c r="AY407" s="43" t="n"/>
      <c r="AZ407" s="43" t="n"/>
      <c r="BA407" s="43" t="n"/>
      <c r="BB407" s="43" t="n"/>
      <c r="BC407" s="43" t="n"/>
      <c r="BD407" s="43" t="n"/>
      <c r="BE407" s="43" t="n"/>
      <c r="BF407" s="43" t="n"/>
      <c r="BG407" s="43" t="n"/>
      <c r="BH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158">
        <f>IF(OR(Y408="",X408=""),"",IFERROR(Y408*INDEX(FXRates[USD per unit],MATCH(X408,FXRates[Currency],0)),"No rate"))</f>
        <v/>
      </c>
      <c r="AA408" s="38" t="n"/>
      <c r="AB408" s="38" t="n"/>
      <c r="AC408" s="41">
        <f>IF(A408="","",IF(COUNTIF($A$6:$A$504,A408)&gt;1,"⚠ Duplicate",""))</f>
        <v/>
      </c>
      <c r="AD408" s="40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  <c r="AQ408" s="42" t="n"/>
      <c r="AR408" s="42" t="n"/>
      <c r="AS408" s="40" t="n"/>
      <c r="AT408" s="42" t="n"/>
      <c r="AU408" s="42" t="n"/>
      <c r="AV408" s="42" t="n"/>
      <c r="AW408" s="42" t="n"/>
      <c r="AX408" s="42" t="n"/>
      <c r="AY408" s="42" t="n"/>
      <c r="AZ408" s="42" t="n"/>
      <c r="BA408" s="42" t="n"/>
      <c r="BB408" s="42" t="n"/>
      <c r="BC408" s="42" t="n"/>
      <c r="BD408" s="42" t="n"/>
      <c r="BE408" s="42" t="n"/>
      <c r="BF408" s="42" t="n"/>
      <c r="BG408" s="42" t="n"/>
      <c r="BH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157">
        <f>IF(OR(Y409="",X409=""),"",IFERROR(Y409*INDEX(FXRates[USD per unit],MATCH(X409,FXRates[Currency],0)),"No rate"))</f>
        <v/>
      </c>
      <c r="AA409" s="32" t="n"/>
      <c r="AB409" s="32" t="n"/>
      <c r="AC409" s="36">
        <f>IF(A409="","",IF(COUNTIF($A$6:$A$504,A409)&gt;1,"⚠ Duplicate",""))</f>
        <v/>
      </c>
      <c r="AD409" s="35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  <c r="AQ409" s="43" t="n"/>
      <c r="AR409" s="43" t="n"/>
      <c r="AS409" s="35" t="n"/>
      <c r="AT409" s="43" t="n"/>
      <c r="AU409" s="43" t="n"/>
      <c r="AV409" s="43" t="n"/>
      <c r="AW409" s="43" t="n"/>
      <c r="AX409" s="43" t="n"/>
      <c r="AY409" s="43" t="n"/>
      <c r="AZ409" s="43" t="n"/>
      <c r="BA409" s="43" t="n"/>
      <c r="BB409" s="43" t="n"/>
      <c r="BC409" s="43" t="n"/>
      <c r="BD409" s="43" t="n"/>
      <c r="BE409" s="43" t="n"/>
      <c r="BF409" s="43" t="n"/>
      <c r="BG409" s="43" t="n"/>
      <c r="BH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158">
        <f>IF(OR(Y410="",X410=""),"",IFERROR(Y410*INDEX(FXRates[USD per unit],MATCH(X410,FXRates[Currency],0)),"No rate"))</f>
        <v/>
      </c>
      <c r="AA410" s="38" t="n"/>
      <c r="AB410" s="38" t="n"/>
      <c r="AC410" s="41">
        <f>IF(A410="","",IF(COUNTIF($A$6:$A$504,A410)&gt;1,"⚠ Duplicate",""))</f>
        <v/>
      </c>
      <c r="AD410" s="40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  <c r="AQ410" s="42" t="n"/>
      <c r="AR410" s="42" t="n"/>
      <c r="AS410" s="40" t="n"/>
      <c r="AT410" s="42" t="n"/>
      <c r="AU410" s="42" t="n"/>
      <c r="AV410" s="42" t="n"/>
      <c r="AW410" s="42" t="n"/>
      <c r="AX410" s="42" t="n"/>
      <c r="AY410" s="42" t="n"/>
      <c r="AZ410" s="42" t="n"/>
      <c r="BA410" s="42" t="n"/>
      <c r="BB410" s="42" t="n"/>
      <c r="BC410" s="42" t="n"/>
      <c r="BD410" s="42" t="n"/>
      <c r="BE410" s="42" t="n"/>
      <c r="BF410" s="42" t="n"/>
      <c r="BG410" s="42" t="n"/>
      <c r="BH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157">
        <f>IF(OR(Y411="",X411=""),"",IFERROR(Y411*INDEX(FXRates[USD per unit],MATCH(X411,FXRates[Currency],0)),"No rate"))</f>
        <v/>
      </c>
      <c r="AA411" s="32" t="n"/>
      <c r="AB411" s="32" t="n"/>
      <c r="AC411" s="36">
        <f>IF(A411="","",IF(COUNTIF($A$6:$A$504,A411)&gt;1,"⚠ Duplicate",""))</f>
        <v/>
      </c>
      <c r="AD411" s="35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  <c r="AQ411" s="43" t="n"/>
      <c r="AR411" s="43" t="n"/>
      <c r="AS411" s="35" t="n"/>
      <c r="AT411" s="43" t="n"/>
      <c r="AU411" s="43" t="n"/>
      <c r="AV411" s="43" t="n"/>
      <c r="AW411" s="43" t="n"/>
      <c r="AX411" s="43" t="n"/>
      <c r="AY411" s="43" t="n"/>
      <c r="AZ411" s="43" t="n"/>
      <c r="BA411" s="43" t="n"/>
      <c r="BB411" s="43" t="n"/>
      <c r="BC411" s="43" t="n"/>
      <c r="BD411" s="43" t="n"/>
      <c r="BE411" s="43" t="n"/>
      <c r="BF411" s="43" t="n"/>
      <c r="BG411" s="43" t="n"/>
      <c r="BH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158">
        <f>IF(OR(Y412="",X412=""),"",IFERROR(Y412*INDEX(FXRates[USD per unit],MATCH(X412,FXRates[Currency],0)),"No rate"))</f>
        <v/>
      </c>
      <c r="AA412" s="38" t="n"/>
      <c r="AB412" s="38" t="n"/>
      <c r="AC412" s="41">
        <f>IF(A412="","",IF(COUNTIF($A$6:$A$504,A412)&gt;1,"⚠ Duplicate",""))</f>
        <v/>
      </c>
      <c r="AD412" s="40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  <c r="AQ412" s="42" t="n"/>
      <c r="AR412" s="42" t="n"/>
      <c r="AS412" s="40" t="n"/>
      <c r="AT412" s="42" t="n"/>
      <c r="AU412" s="42" t="n"/>
      <c r="AV412" s="42" t="n"/>
      <c r="AW412" s="42" t="n"/>
      <c r="AX412" s="42" t="n"/>
      <c r="AY412" s="42" t="n"/>
      <c r="AZ412" s="42" t="n"/>
      <c r="BA412" s="42" t="n"/>
      <c r="BB412" s="42" t="n"/>
      <c r="BC412" s="42" t="n"/>
      <c r="BD412" s="42" t="n"/>
      <c r="BE412" s="42" t="n"/>
      <c r="BF412" s="42" t="n"/>
      <c r="BG412" s="42" t="n"/>
      <c r="BH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157">
        <f>IF(OR(Y413="",X413=""),"",IFERROR(Y413*INDEX(FXRates[USD per unit],MATCH(X413,FXRates[Currency],0)),"No rate"))</f>
        <v/>
      </c>
      <c r="AA413" s="32" t="n"/>
      <c r="AB413" s="32" t="n"/>
      <c r="AC413" s="36">
        <f>IF(A413="","",IF(COUNTIF($A$6:$A$504,A413)&gt;1,"⚠ Duplicate",""))</f>
        <v/>
      </c>
      <c r="AD413" s="35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  <c r="AQ413" s="43" t="n"/>
      <c r="AR413" s="43" t="n"/>
      <c r="AS413" s="35" t="n"/>
      <c r="AT413" s="43" t="n"/>
      <c r="AU413" s="43" t="n"/>
      <c r="AV413" s="43" t="n"/>
      <c r="AW413" s="43" t="n"/>
      <c r="AX413" s="43" t="n"/>
      <c r="AY413" s="43" t="n"/>
      <c r="AZ413" s="43" t="n"/>
      <c r="BA413" s="43" t="n"/>
      <c r="BB413" s="43" t="n"/>
      <c r="BC413" s="43" t="n"/>
      <c r="BD413" s="43" t="n"/>
      <c r="BE413" s="43" t="n"/>
      <c r="BF413" s="43" t="n"/>
      <c r="BG413" s="43" t="n"/>
      <c r="BH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158">
        <f>IF(OR(Y414="",X414=""),"",IFERROR(Y414*INDEX(FXRates[USD per unit],MATCH(X414,FXRates[Currency],0)),"No rate"))</f>
        <v/>
      </c>
      <c r="AA414" s="38" t="n"/>
      <c r="AB414" s="38" t="n"/>
      <c r="AC414" s="41">
        <f>IF(A414="","",IF(COUNTIF($A$6:$A$504,A414)&gt;1,"⚠ Duplicate",""))</f>
        <v/>
      </c>
      <c r="AD414" s="40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  <c r="AQ414" s="42" t="n"/>
      <c r="AR414" s="42" t="n"/>
      <c r="AS414" s="40" t="n"/>
      <c r="AT414" s="42" t="n"/>
      <c r="AU414" s="42" t="n"/>
      <c r="AV414" s="42" t="n"/>
      <c r="AW414" s="42" t="n"/>
      <c r="AX414" s="42" t="n"/>
      <c r="AY414" s="42" t="n"/>
      <c r="AZ414" s="42" t="n"/>
      <c r="BA414" s="42" t="n"/>
      <c r="BB414" s="42" t="n"/>
      <c r="BC414" s="42" t="n"/>
      <c r="BD414" s="42" t="n"/>
      <c r="BE414" s="42" t="n"/>
      <c r="BF414" s="42" t="n"/>
      <c r="BG414" s="42" t="n"/>
      <c r="BH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157">
        <f>IF(OR(Y415="",X415=""),"",IFERROR(Y415*INDEX(FXRates[USD per unit],MATCH(X415,FXRates[Currency],0)),"No rate"))</f>
        <v/>
      </c>
      <c r="AA415" s="32" t="n"/>
      <c r="AB415" s="32" t="n"/>
      <c r="AC415" s="36">
        <f>IF(A415="","",IF(COUNTIF($A$6:$A$504,A415)&gt;1,"⚠ Duplicate",""))</f>
        <v/>
      </c>
      <c r="AD415" s="35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  <c r="AQ415" s="43" t="n"/>
      <c r="AR415" s="43" t="n"/>
      <c r="AS415" s="35" t="n"/>
      <c r="AT415" s="43" t="n"/>
      <c r="AU415" s="43" t="n"/>
      <c r="AV415" s="43" t="n"/>
      <c r="AW415" s="43" t="n"/>
      <c r="AX415" s="43" t="n"/>
      <c r="AY415" s="43" t="n"/>
      <c r="AZ415" s="43" t="n"/>
      <c r="BA415" s="43" t="n"/>
      <c r="BB415" s="43" t="n"/>
      <c r="BC415" s="43" t="n"/>
      <c r="BD415" s="43" t="n"/>
      <c r="BE415" s="43" t="n"/>
      <c r="BF415" s="43" t="n"/>
      <c r="BG415" s="43" t="n"/>
      <c r="BH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158">
        <f>IF(OR(Y416="",X416=""),"",IFERROR(Y416*INDEX(FXRates[USD per unit],MATCH(X416,FXRates[Currency],0)),"No rate"))</f>
        <v/>
      </c>
      <c r="AA416" s="38" t="n"/>
      <c r="AB416" s="38" t="n"/>
      <c r="AC416" s="41">
        <f>IF(A416="","",IF(COUNTIF($A$6:$A$504,A416)&gt;1,"⚠ Duplicate",""))</f>
        <v/>
      </c>
      <c r="AD416" s="40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  <c r="AQ416" s="42" t="n"/>
      <c r="AR416" s="42" t="n"/>
      <c r="AS416" s="40" t="n"/>
      <c r="AT416" s="42" t="n"/>
      <c r="AU416" s="42" t="n"/>
      <c r="AV416" s="42" t="n"/>
      <c r="AW416" s="42" t="n"/>
      <c r="AX416" s="42" t="n"/>
      <c r="AY416" s="42" t="n"/>
      <c r="AZ416" s="42" t="n"/>
      <c r="BA416" s="42" t="n"/>
      <c r="BB416" s="42" t="n"/>
      <c r="BC416" s="42" t="n"/>
      <c r="BD416" s="42" t="n"/>
      <c r="BE416" s="42" t="n"/>
      <c r="BF416" s="42" t="n"/>
      <c r="BG416" s="42" t="n"/>
      <c r="BH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157">
        <f>IF(OR(Y417="",X417=""),"",IFERROR(Y417*INDEX(FXRates[USD per unit],MATCH(X417,FXRates[Currency],0)),"No rate"))</f>
        <v/>
      </c>
      <c r="AA417" s="32" t="n"/>
      <c r="AB417" s="32" t="n"/>
      <c r="AC417" s="36">
        <f>IF(A417="","",IF(COUNTIF($A$6:$A$504,A417)&gt;1,"⚠ Duplicate",""))</f>
        <v/>
      </c>
      <c r="AD417" s="35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  <c r="AQ417" s="43" t="n"/>
      <c r="AR417" s="43" t="n"/>
      <c r="AS417" s="35" t="n"/>
      <c r="AT417" s="43" t="n"/>
      <c r="AU417" s="43" t="n"/>
      <c r="AV417" s="43" t="n"/>
      <c r="AW417" s="43" t="n"/>
      <c r="AX417" s="43" t="n"/>
      <c r="AY417" s="43" t="n"/>
      <c r="AZ417" s="43" t="n"/>
      <c r="BA417" s="43" t="n"/>
      <c r="BB417" s="43" t="n"/>
      <c r="BC417" s="43" t="n"/>
      <c r="BD417" s="43" t="n"/>
      <c r="BE417" s="43" t="n"/>
      <c r="BF417" s="43" t="n"/>
      <c r="BG417" s="43" t="n"/>
      <c r="BH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158">
        <f>IF(OR(Y418="",X418=""),"",IFERROR(Y418*INDEX(FXRates[USD per unit],MATCH(X418,FXRates[Currency],0)),"No rate"))</f>
        <v/>
      </c>
      <c r="AA418" s="38" t="n"/>
      <c r="AB418" s="38" t="n"/>
      <c r="AC418" s="41">
        <f>IF(A418="","",IF(COUNTIF($A$6:$A$504,A418)&gt;1,"⚠ Duplicate",""))</f>
        <v/>
      </c>
      <c r="AD418" s="40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  <c r="AQ418" s="42" t="n"/>
      <c r="AR418" s="42" t="n"/>
      <c r="AS418" s="40" t="n"/>
      <c r="AT418" s="42" t="n"/>
      <c r="AU418" s="42" t="n"/>
      <c r="AV418" s="42" t="n"/>
      <c r="AW418" s="42" t="n"/>
      <c r="AX418" s="42" t="n"/>
      <c r="AY418" s="42" t="n"/>
      <c r="AZ418" s="42" t="n"/>
      <c r="BA418" s="42" t="n"/>
      <c r="BB418" s="42" t="n"/>
      <c r="BC418" s="42" t="n"/>
      <c r="BD418" s="42" t="n"/>
      <c r="BE418" s="42" t="n"/>
      <c r="BF418" s="42" t="n"/>
      <c r="BG418" s="42" t="n"/>
      <c r="BH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157">
        <f>IF(OR(Y419="",X419=""),"",IFERROR(Y419*INDEX(FXRates[USD per unit],MATCH(X419,FXRates[Currency],0)),"No rate"))</f>
        <v/>
      </c>
      <c r="AA419" s="32" t="n"/>
      <c r="AB419" s="32" t="n"/>
      <c r="AC419" s="36">
        <f>IF(A419="","",IF(COUNTIF($A$6:$A$504,A419)&gt;1,"⚠ Duplicate",""))</f>
        <v/>
      </c>
      <c r="AD419" s="35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  <c r="AQ419" s="43" t="n"/>
      <c r="AR419" s="43" t="n"/>
      <c r="AS419" s="35" t="n"/>
      <c r="AT419" s="43" t="n"/>
      <c r="AU419" s="43" t="n"/>
      <c r="AV419" s="43" t="n"/>
      <c r="AW419" s="43" t="n"/>
      <c r="AX419" s="43" t="n"/>
      <c r="AY419" s="43" t="n"/>
      <c r="AZ419" s="43" t="n"/>
      <c r="BA419" s="43" t="n"/>
      <c r="BB419" s="43" t="n"/>
      <c r="BC419" s="43" t="n"/>
      <c r="BD419" s="43" t="n"/>
      <c r="BE419" s="43" t="n"/>
      <c r="BF419" s="43" t="n"/>
      <c r="BG419" s="43" t="n"/>
      <c r="BH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158">
        <f>IF(OR(Y420="",X420=""),"",IFERROR(Y420*INDEX(FXRates[USD per unit],MATCH(X420,FXRates[Currency],0)),"No rate"))</f>
        <v/>
      </c>
      <c r="AA420" s="38" t="n"/>
      <c r="AB420" s="38" t="n"/>
      <c r="AC420" s="41">
        <f>IF(A420="","",IF(COUNTIF($A$6:$A$504,A420)&gt;1,"⚠ Duplicate",""))</f>
        <v/>
      </c>
      <c r="AD420" s="40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  <c r="AQ420" s="42" t="n"/>
      <c r="AR420" s="42" t="n"/>
      <c r="AS420" s="40" t="n"/>
      <c r="AT420" s="42" t="n"/>
      <c r="AU420" s="42" t="n"/>
      <c r="AV420" s="42" t="n"/>
      <c r="AW420" s="42" t="n"/>
      <c r="AX420" s="42" t="n"/>
      <c r="AY420" s="42" t="n"/>
      <c r="AZ420" s="42" t="n"/>
      <c r="BA420" s="42" t="n"/>
      <c r="BB420" s="42" t="n"/>
      <c r="BC420" s="42" t="n"/>
      <c r="BD420" s="42" t="n"/>
      <c r="BE420" s="42" t="n"/>
      <c r="BF420" s="42" t="n"/>
      <c r="BG420" s="42" t="n"/>
      <c r="BH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157">
        <f>IF(OR(Y421="",X421=""),"",IFERROR(Y421*INDEX(FXRates[USD per unit],MATCH(X421,FXRates[Currency],0)),"No rate"))</f>
        <v/>
      </c>
      <c r="AA421" s="32" t="n"/>
      <c r="AB421" s="32" t="n"/>
      <c r="AC421" s="36">
        <f>IF(A421="","",IF(COUNTIF($A$6:$A$504,A421)&gt;1,"⚠ Duplicate",""))</f>
        <v/>
      </c>
      <c r="AD421" s="35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  <c r="AQ421" s="43" t="n"/>
      <c r="AR421" s="43" t="n"/>
      <c r="AS421" s="35" t="n"/>
      <c r="AT421" s="43" t="n"/>
      <c r="AU421" s="43" t="n"/>
      <c r="AV421" s="43" t="n"/>
      <c r="AW421" s="43" t="n"/>
      <c r="AX421" s="43" t="n"/>
      <c r="AY421" s="43" t="n"/>
      <c r="AZ421" s="43" t="n"/>
      <c r="BA421" s="43" t="n"/>
      <c r="BB421" s="43" t="n"/>
      <c r="BC421" s="43" t="n"/>
      <c r="BD421" s="43" t="n"/>
      <c r="BE421" s="43" t="n"/>
      <c r="BF421" s="43" t="n"/>
      <c r="BG421" s="43" t="n"/>
      <c r="BH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158">
        <f>IF(OR(Y422="",X422=""),"",IFERROR(Y422*INDEX(FXRates[USD per unit],MATCH(X422,FXRates[Currency],0)),"No rate"))</f>
        <v/>
      </c>
      <c r="AA422" s="38" t="n"/>
      <c r="AB422" s="38" t="n"/>
      <c r="AC422" s="41">
        <f>IF(A422="","",IF(COUNTIF($A$6:$A$504,A422)&gt;1,"⚠ Duplicate",""))</f>
        <v/>
      </c>
      <c r="AD422" s="40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  <c r="AQ422" s="42" t="n"/>
      <c r="AR422" s="42" t="n"/>
      <c r="AS422" s="40" t="n"/>
      <c r="AT422" s="42" t="n"/>
      <c r="AU422" s="42" t="n"/>
      <c r="AV422" s="42" t="n"/>
      <c r="AW422" s="42" t="n"/>
      <c r="AX422" s="42" t="n"/>
      <c r="AY422" s="42" t="n"/>
      <c r="AZ422" s="42" t="n"/>
      <c r="BA422" s="42" t="n"/>
      <c r="BB422" s="42" t="n"/>
      <c r="BC422" s="42" t="n"/>
      <c r="BD422" s="42" t="n"/>
      <c r="BE422" s="42" t="n"/>
      <c r="BF422" s="42" t="n"/>
      <c r="BG422" s="42" t="n"/>
      <c r="BH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157">
        <f>IF(OR(Y423="",X423=""),"",IFERROR(Y423*INDEX(FXRates[USD per unit],MATCH(X423,FXRates[Currency],0)),"No rate"))</f>
        <v/>
      </c>
      <c r="AA423" s="32" t="n"/>
      <c r="AB423" s="32" t="n"/>
      <c r="AC423" s="36">
        <f>IF(A423="","",IF(COUNTIF($A$6:$A$504,A423)&gt;1,"⚠ Duplicate",""))</f>
        <v/>
      </c>
      <c r="AD423" s="35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  <c r="AQ423" s="43" t="n"/>
      <c r="AR423" s="43" t="n"/>
      <c r="AS423" s="35" t="n"/>
      <c r="AT423" s="43" t="n"/>
      <c r="AU423" s="43" t="n"/>
      <c r="AV423" s="43" t="n"/>
      <c r="AW423" s="43" t="n"/>
      <c r="AX423" s="43" t="n"/>
      <c r="AY423" s="43" t="n"/>
      <c r="AZ423" s="43" t="n"/>
      <c r="BA423" s="43" t="n"/>
      <c r="BB423" s="43" t="n"/>
      <c r="BC423" s="43" t="n"/>
      <c r="BD423" s="43" t="n"/>
      <c r="BE423" s="43" t="n"/>
      <c r="BF423" s="43" t="n"/>
      <c r="BG423" s="43" t="n"/>
      <c r="BH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158">
        <f>IF(OR(Y424="",X424=""),"",IFERROR(Y424*INDEX(FXRates[USD per unit],MATCH(X424,FXRates[Currency],0)),"No rate"))</f>
        <v/>
      </c>
      <c r="AA424" s="38" t="n"/>
      <c r="AB424" s="38" t="n"/>
      <c r="AC424" s="41">
        <f>IF(A424="","",IF(COUNTIF($A$6:$A$504,A424)&gt;1,"⚠ Duplicate",""))</f>
        <v/>
      </c>
      <c r="AD424" s="40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  <c r="AQ424" s="42" t="n"/>
      <c r="AR424" s="42" t="n"/>
      <c r="AS424" s="40" t="n"/>
      <c r="AT424" s="42" t="n"/>
      <c r="AU424" s="42" t="n"/>
      <c r="AV424" s="42" t="n"/>
      <c r="AW424" s="42" t="n"/>
      <c r="AX424" s="42" t="n"/>
      <c r="AY424" s="42" t="n"/>
      <c r="AZ424" s="42" t="n"/>
      <c r="BA424" s="42" t="n"/>
      <c r="BB424" s="42" t="n"/>
      <c r="BC424" s="42" t="n"/>
      <c r="BD424" s="42" t="n"/>
      <c r="BE424" s="42" t="n"/>
      <c r="BF424" s="42" t="n"/>
      <c r="BG424" s="42" t="n"/>
      <c r="BH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157">
        <f>IF(OR(Y425="",X425=""),"",IFERROR(Y425*INDEX(FXRates[USD per unit],MATCH(X425,FXRates[Currency],0)),"No rate"))</f>
        <v/>
      </c>
      <c r="AA425" s="32" t="n"/>
      <c r="AB425" s="32" t="n"/>
      <c r="AC425" s="36">
        <f>IF(A425="","",IF(COUNTIF($A$6:$A$504,A425)&gt;1,"⚠ Duplicate",""))</f>
        <v/>
      </c>
      <c r="AD425" s="35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  <c r="AQ425" s="43" t="n"/>
      <c r="AR425" s="43" t="n"/>
      <c r="AS425" s="35" t="n"/>
      <c r="AT425" s="43" t="n"/>
      <c r="AU425" s="43" t="n"/>
      <c r="AV425" s="43" t="n"/>
      <c r="AW425" s="43" t="n"/>
      <c r="AX425" s="43" t="n"/>
      <c r="AY425" s="43" t="n"/>
      <c r="AZ425" s="43" t="n"/>
      <c r="BA425" s="43" t="n"/>
      <c r="BB425" s="43" t="n"/>
      <c r="BC425" s="43" t="n"/>
      <c r="BD425" s="43" t="n"/>
      <c r="BE425" s="43" t="n"/>
      <c r="BF425" s="43" t="n"/>
      <c r="BG425" s="43" t="n"/>
      <c r="BH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158">
        <f>IF(OR(Y426="",X426=""),"",IFERROR(Y426*INDEX(FXRates[USD per unit],MATCH(X426,FXRates[Currency],0)),"No rate"))</f>
        <v/>
      </c>
      <c r="AA426" s="38" t="n"/>
      <c r="AB426" s="38" t="n"/>
      <c r="AC426" s="41">
        <f>IF(A426="","",IF(COUNTIF($A$6:$A$504,A426)&gt;1,"⚠ Duplicate",""))</f>
        <v/>
      </c>
      <c r="AD426" s="40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  <c r="AQ426" s="42" t="n"/>
      <c r="AR426" s="42" t="n"/>
      <c r="AS426" s="40" t="n"/>
      <c r="AT426" s="42" t="n"/>
      <c r="AU426" s="42" t="n"/>
      <c r="AV426" s="42" t="n"/>
      <c r="AW426" s="42" t="n"/>
      <c r="AX426" s="42" t="n"/>
      <c r="AY426" s="42" t="n"/>
      <c r="AZ426" s="42" t="n"/>
      <c r="BA426" s="42" t="n"/>
      <c r="BB426" s="42" t="n"/>
      <c r="BC426" s="42" t="n"/>
      <c r="BD426" s="42" t="n"/>
      <c r="BE426" s="42" t="n"/>
      <c r="BF426" s="42" t="n"/>
      <c r="BG426" s="42" t="n"/>
      <c r="BH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157">
        <f>IF(OR(Y427="",X427=""),"",IFERROR(Y427*INDEX(FXRates[USD per unit],MATCH(X427,FXRates[Currency],0)),"No rate"))</f>
        <v/>
      </c>
      <c r="AA427" s="32" t="n"/>
      <c r="AB427" s="32" t="n"/>
      <c r="AC427" s="36">
        <f>IF(A427="","",IF(COUNTIF($A$6:$A$504,A427)&gt;1,"⚠ Duplicate",""))</f>
        <v/>
      </c>
      <c r="AD427" s="35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  <c r="AQ427" s="43" t="n"/>
      <c r="AR427" s="43" t="n"/>
      <c r="AS427" s="35" t="n"/>
      <c r="AT427" s="43" t="n"/>
      <c r="AU427" s="43" t="n"/>
      <c r="AV427" s="43" t="n"/>
      <c r="AW427" s="43" t="n"/>
      <c r="AX427" s="43" t="n"/>
      <c r="AY427" s="43" t="n"/>
      <c r="AZ427" s="43" t="n"/>
      <c r="BA427" s="43" t="n"/>
      <c r="BB427" s="43" t="n"/>
      <c r="BC427" s="43" t="n"/>
      <c r="BD427" s="43" t="n"/>
      <c r="BE427" s="43" t="n"/>
      <c r="BF427" s="43" t="n"/>
      <c r="BG427" s="43" t="n"/>
      <c r="BH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158">
        <f>IF(OR(Y428="",X428=""),"",IFERROR(Y428*INDEX(FXRates[USD per unit],MATCH(X428,FXRates[Currency],0)),"No rate"))</f>
        <v/>
      </c>
      <c r="AA428" s="38" t="n"/>
      <c r="AB428" s="38" t="n"/>
      <c r="AC428" s="41">
        <f>IF(A428="","",IF(COUNTIF($A$6:$A$504,A428)&gt;1,"⚠ Duplicate",""))</f>
        <v/>
      </c>
      <c r="AD428" s="40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  <c r="AQ428" s="42" t="n"/>
      <c r="AR428" s="42" t="n"/>
      <c r="AS428" s="40" t="n"/>
      <c r="AT428" s="42" t="n"/>
      <c r="AU428" s="42" t="n"/>
      <c r="AV428" s="42" t="n"/>
      <c r="AW428" s="42" t="n"/>
      <c r="AX428" s="42" t="n"/>
      <c r="AY428" s="42" t="n"/>
      <c r="AZ428" s="42" t="n"/>
      <c r="BA428" s="42" t="n"/>
      <c r="BB428" s="42" t="n"/>
      <c r="BC428" s="42" t="n"/>
      <c r="BD428" s="42" t="n"/>
      <c r="BE428" s="42" t="n"/>
      <c r="BF428" s="42" t="n"/>
      <c r="BG428" s="42" t="n"/>
      <c r="BH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157">
        <f>IF(OR(Y429="",X429=""),"",IFERROR(Y429*INDEX(FXRates[USD per unit],MATCH(X429,FXRates[Currency],0)),"No rate"))</f>
        <v/>
      </c>
      <c r="AA429" s="32" t="n"/>
      <c r="AB429" s="32" t="n"/>
      <c r="AC429" s="36">
        <f>IF(A429="","",IF(COUNTIF($A$6:$A$504,A429)&gt;1,"⚠ Duplicate",""))</f>
        <v/>
      </c>
      <c r="AD429" s="35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  <c r="AQ429" s="43" t="n"/>
      <c r="AR429" s="43" t="n"/>
      <c r="AS429" s="35" t="n"/>
      <c r="AT429" s="43" t="n"/>
      <c r="AU429" s="43" t="n"/>
      <c r="AV429" s="43" t="n"/>
      <c r="AW429" s="43" t="n"/>
      <c r="AX429" s="43" t="n"/>
      <c r="AY429" s="43" t="n"/>
      <c r="AZ429" s="43" t="n"/>
      <c r="BA429" s="43" t="n"/>
      <c r="BB429" s="43" t="n"/>
      <c r="BC429" s="43" t="n"/>
      <c r="BD429" s="43" t="n"/>
      <c r="BE429" s="43" t="n"/>
      <c r="BF429" s="43" t="n"/>
      <c r="BG429" s="43" t="n"/>
      <c r="BH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158">
        <f>IF(OR(Y430="",X430=""),"",IFERROR(Y430*INDEX(FXRates[USD per unit],MATCH(X430,FXRates[Currency],0)),"No rate"))</f>
        <v/>
      </c>
      <c r="AA430" s="38" t="n"/>
      <c r="AB430" s="38" t="n"/>
      <c r="AC430" s="41">
        <f>IF(A430="","",IF(COUNTIF($A$6:$A$504,A430)&gt;1,"⚠ Duplicate",""))</f>
        <v/>
      </c>
      <c r="AD430" s="40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  <c r="AQ430" s="42" t="n"/>
      <c r="AR430" s="42" t="n"/>
      <c r="AS430" s="40" t="n"/>
      <c r="AT430" s="42" t="n"/>
      <c r="AU430" s="42" t="n"/>
      <c r="AV430" s="42" t="n"/>
      <c r="AW430" s="42" t="n"/>
      <c r="AX430" s="42" t="n"/>
      <c r="AY430" s="42" t="n"/>
      <c r="AZ430" s="42" t="n"/>
      <c r="BA430" s="42" t="n"/>
      <c r="BB430" s="42" t="n"/>
      <c r="BC430" s="42" t="n"/>
      <c r="BD430" s="42" t="n"/>
      <c r="BE430" s="42" t="n"/>
      <c r="BF430" s="42" t="n"/>
      <c r="BG430" s="42" t="n"/>
      <c r="BH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157">
        <f>IF(OR(Y431="",X431=""),"",IFERROR(Y431*INDEX(FXRates[USD per unit],MATCH(X431,FXRates[Currency],0)),"No rate"))</f>
        <v/>
      </c>
      <c r="AA431" s="32" t="n"/>
      <c r="AB431" s="32" t="n"/>
      <c r="AC431" s="36">
        <f>IF(A431="","",IF(COUNTIF($A$6:$A$504,A431)&gt;1,"⚠ Duplicate",""))</f>
        <v/>
      </c>
      <c r="AD431" s="35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  <c r="AQ431" s="43" t="n"/>
      <c r="AR431" s="43" t="n"/>
      <c r="AS431" s="35" t="n"/>
      <c r="AT431" s="43" t="n"/>
      <c r="AU431" s="43" t="n"/>
      <c r="AV431" s="43" t="n"/>
      <c r="AW431" s="43" t="n"/>
      <c r="AX431" s="43" t="n"/>
      <c r="AY431" s="43" t="n"/>
      <c r="AZ431" s="43" t="n"/>
      <c r="BA431" s="43" t="n"/>
      <c r="BB431" s="43" t="n"/>
      <c r="BC431" s="43" t="n"/>
      <c r="BD431" s="43" t="n"/>
      <c r="BE431" s="43" t="n"/>
      <c r="BF431" s="43" t="n"/>
      <c r="BG431" s="43" t="n"/>
      <c r="BH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158">
        <f>IF(OR(Y432="",X432=""),"",IFERROR(Y432*INDEX(FXRates[USD per unit],MATCH(X432,FXRates[Currency],0)),"No rate"))</f>
        <v/>
      </c>
      <c r="AA432" s="38" t="n"/>
      <c r="AB432" s="38" t="n"/>
      <c r="AC432" s="41">
        <f>IF(A432="","",IF(COUNTIF($A$6:$A$504,A432)&gt;1,"⚠ Duplicate",""))</f>
        <v/>
      </c>
      <c r="AD432" s="40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  <c r="AQ432" s="42" t="n"/>
      <c r="AR432" s="42" t="n"/>
      <c r="AS432" s="40" t="n"/>
      <c r="AT432" s="42" t="n"/>
      <c r="AU432" s="42" t="n"/>
      <c r="AV432" s="42" t="n"/>
      <c r="AW432" s="42" t="n"/>
      <c r="AX432" s="42" t="n"/>
      <c r="AY432" s="42" t="n"/>
      <c r="AZ432" s="42" t="n"/>
      <c r="BA432" s="42" t="n"/>
      <c r="BB432" s="42" t="n"/>
      <c r="BC432" s="42" t="n"/>
      <c r="BD432" s="42" t="n"/>
      <c r="BE432" s="42" t="n"/>
      <c r="BF432" s="42" t="n"/>
      <c r="BG432" s="42" t="n"/>
      <c r="BH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157">
        <f>IF(OR(Y433="",X433=""),"",IFERROR(Y433*INDEX(FXRates[USD per unit],MATCH(X433,FXRates[Currency],0)),"No rate"))</f>
        <v/>
      </c>
      <c r="AA433" s="32" t="n"/>
      <c r="AB433" s="32" t="n"/>
      <c r="AC433" s="36">
        <f>IF(A433="","",IF(COUNTIF($A$6:$A$504,A433)&gt;1,"⚠ Duplicate",""))</f>
        <v/>
      </c>
      <c r="AD433" s="35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  <c r="AQ433" s="43" t="n"/>
      <c r="AR433" s="43" t="n"/>
      <c r="AS433" s="35" t="n"/>
      <c r="AT433" s="43" t="n"/>
      <c r="AU433" s="43" t="n"/>
      <c r="AV433" s="43" t="n"/>
      <c r="AW433" s="43" t="n"/>
      <c r="AX433" s="43" t="n"/>
      <c r="AY433" s="43" t="n"/>
      <c r="AZ433" s="43" t="n"/>
      <c r="BA433" s="43" t="n"/>
      <c r="BB433" s="43" t="n"/>
      <c r="BC433" s="43" t="n"/>
      <c r="BD433" s="43" t="n"/>
      <c r="BE433" s="43" t="n"/>
      <c r="BF433" s="43" t="n"/>
      <c r="BG433" s="43" t="n"/>
      <c r="BH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158">
        <f>IF(OR(Y434="",X434=""),"",IFERROR(Y434*INDEX(FXRates[USD per unit],MATCH(X434,FXRates[Currency],0)),"No rate"))</f>
        <v/>
      </c>
      <c r="AA434" s="38" t="n"/>
      <c r="AB434" s="38" t="n"/>
      <c r="AC434" s="41">
        <f>IF(A434="","",IF(COUNTIF($A$6:$A$504,A434)&gt;1,"⚠ Duplicate",""))</f>
        <v/>
      </c>
      <c r="AD434" s="40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  <c r="AQ434" s="42" t="n"/>
      <c r="AR434" s="42" t="n"/>
      <c r="AS434" s="40" t="n"/>
      <c r="AT434" s="42" t="n"/>
      <c r="AU434" s="42" t="n"/>
      <c r="AV434" s="42" t="n"/>
      <c r="AW434" s="42" t="n"/>
      <c r="AX434" s="42" t="n"/>
      <c r="AY434" s="42" t="n"/>
      <c r="AZ434" s="42" t="n"/>
      <c r="BA434" s="42" t="n"/>
      <c r="BB434" s="42" t="n"/>
      <c r="BC434" s="42" t="n"/>
      <c r="BD434" s="42" t="n"/>
      <c r="BE434" s="42" t="n"/>
      <c r="BF434" s="42" t="n"/>
      <c r="BG434" s="42" t="n"/>
      <c r="BH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157">
        <f>IF(OR(Y435="",X435=""),"",IFERROR(Y435*INDEX(FXRates[USD per unit],MATCH(X435,FXRates[Currency],0)),"No rate"))</f>
        <v/>
      </c>
      <c r="AA435" s="32" t="n"/>
      <c r="AB435" s="32" t="n"/>
      <c r="AC435" s="36">
        <f>IF(A435="","",IF(COUNTIF($A$6:$A$504,A435)&gt;1,"⚠ Duplicate",""))</f>
        <v/>
      </c>
      <c r="AD435" s="35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  <c r="AQ435" s="43" t="n"/>
      <c r="AR435" s="43" t="n"/>
      <c r="AS435" s="35" t="n"/>
      <c r="AT435" s="43" t="n"/>
      <c r="AU435" s="43" t="n"/>
      <c r="AV435" s="43" t="n"/>
      <c r="AW435" s="43" t="n"/>
      <c r="AX435" s="43" t="n"/>
      <c r="AY435" s="43" t="n"/>
      <c r="AZ435" s="43" t="n"/>
      <c r="BA435" s="43" t="n"/>
      <c r="BB435" s="43" t="n"/>
      <c r="BC435" s="43" t="n"/>
      <c r="BD435" s="43" t="n"/>
      <c r="BE435" s="43" t="n"/>
      <c r="BF435" s="43" t="n"/>
      <c r="BG435" s="43" t="n"/>
      <c r="BH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158">
        <f>IF(OR(Y436="",X436=""),"",IFERROR(Y436*INDEX(FXRates[USD per unit],MATCH(X436,FXRates[Currency],0)),"No rate"))</f>
        <v/>
      </c>
      <c r="AA436" s="38" t="n"/>
      <c r="AB436" s="38" t="n"/>
      <c r="AC436" s="41">
        <f>IF(A436="","",IF(COUNTIF($A$6:$A$504,A436)&gt;1,"⚠ Duplicate",""))</f>
        <v/>
      </c>
      <c r="AD436" s="40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  <c r="AQ436" s="42" t="n"/>
      <c r="AR436" s="42" t="n"/>
      <c r="AS436" s="40" t="n"/>
      <c r="AT436" s="42" t="n"/>
      <c r="AU436" s="42" t="n"/>
      <c r="AV436" s="42" t="n"/>
      <c r="AW436" s="42" t="n"/>
      <c r="AX436" s="42" t="n"/>
      <c r="AY436" s="42" t="n"/>
      <c r="AZ436" s="42" t="n"/>
      <c r="BA436" s="42" t="n"/>
      <c r="BB436" s="42" t="n"/>
      <c r="BC436" s="42" t="n"/>
      <c r="BD436" s="42" t="n"/>
      <c r="BE436" s="42" t="n"/>
      <c r="BF436" s="42" t="n"/>
      <c r="BG436" s="42" t="n"/>
      <c r="BH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157">
        <f>IF(OR(Y437="",X437=""),"",IFERROR(Y437*INDEX(FXRates[USD per unit],MATCH(X437,FXRates[Currency],0)),"No rate"))</f>
        <v/>
      </c>
      <c r="AA437" s="32" t="n"/>
      <c r="AB437" s="32" t="n"/>
      <c r="AC437" s="36">
        <f>IF(A437="","",IF(COUNTIF($A$6:$A$504,A437)&gt;1,"⚠ Duplicate",""))</f>
        <v/>
      </c>
      <c r="AD437" s="35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  <c r="AQ437" s="43" t="n"/>
      <c r="AR437" s="43" t="n"/>
      <c r="AS437" s="35" t="n"/>
      <c r="AT437" s="43" t="n"/>
      <c r="AU437" s="43" t="n"/>
      <c r="AV437" s="43" t="n"/>
      <c r="AW437" s="43" t="n"/>
      <c r="AX437" s="43" t="n"/>
      <c r="AY437" s="43" t="n"/>
      <c r="AZ437" s="43" t="n"/>
      <c r="BA437" s="43" t="n"/>
      <c r="BB437" s="43" t="n"/>
      <c r="BC437" s="43" t="n"/>
      <c r="BD437" s="43" t="n"/>
      <c r="BE437" s="43" t="n"/>
      <c r="BF437" s="43" t="n"/>
      <c r="BG437" s="43" t="n"/>
      <c r="BH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158">
        <f>IF(OR(Y438="",X438=""),"",IFERROR(Y438*INDEX(FXRates[USD per unit],MATCH(X438,FXRates[Currency],0)),"No rate"))</f>
        <v/>
      </c>
      <c r="AA438" s="38" t="n"/>
      <c r="AB438" s="38" t="n"/>
      <c r="AC438" s="41">
        <f>IF(A438="","",IF(COUNTIF($A$6:$A$504,A438)&gt;1,"⚠ Duplicate",""))</f>
        <v/>
      </c>
      <c r="AD438" s="40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  <c r="AQ438" s="42" t="n"/>
      <c r="AR438" s="42" t="n"/>
      <c r="AS438" s="40" t="n"/>
      <c r="AT438" s="42" t="n"/>
      <c r="AU438" s="42" t="n"/>
      <c r="AV438" s="42" t="n"/>
      <c r="AW438" s="42" t="n"/>
      <c r="AX438" s="42" t="n"/>
      <c r="AY438" s="42" t="n"/>
      <c r="AZ438" s="42" t="n"/>
      <c r="BA438" s="42" t="n"/>
      <c r="BB438" s="42" t="n"/>
      <c r="BC438" s="42" t="n"/>
      <c r="BD438" s="42" t="n"/>
      <c r="BE438" s="42" t="n"/>
      <c r="BF438" s="42" t="n"/>
      <c r="BG438" s="42" t="n"/>
      <c r="BH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157">
        <f>IF(OR(Y439="",X439=""),"",IFERROR(Y439*INDEX(FXRates[USD per unit],MATCH(X439,FXRates[Currency],0)),"No rate"))</f>
        <v/>
      </c>
      <c r="AA439" s="32" t="n"/>
      <c r="AB439" s="32" t="n"/>
      <c r="AC439" s="36">
        <f>IF(A439="","",IF(COUNTIF($A$6:$A$504,A439)&gt;1,"⚠ Duplicate",""))</f>
        <v/>
      </c>
      <c r="AD439" s="35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  <c r="AQ439" s="43" t="n"/>
      <c r="AR439" s="43" t="n"/>
      <c r="AS439" s="35" t="n"/>
      <c r="AT439" s="43" t="n"/>
      <c r="AU439" s="43" t="n"/>
      <c r="AV439" s="43" t="n"/>
      <c r="AW439" s="43" t="n"/>
      <c r="AX439" s="43" t="n"/>
      <c r="AY439" s="43" t="n"/>
      <c r="AZ439" s="43" t="n"/>
      <c r="BA439" s="43" t="n"/>
      <c r="BB439" s="43" t="n"/>
      <c r="BC439" s="43" t="n"/>
      <c r="BD439" s="43" t="n"/>
      <c r="BE439" s="43" t="n"/>
      <c r="BF439" s="43" t="n"/>
      <c r="BG439" s="43" t="n"/>
      <c r="BH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158">
        <f>IF(OR(Y440="",X440=""),"",IFERROR(Y440*INDEX(FXRates[USD per unit],MATCH(X440,FXRates[Currency],0)),"No rate"))</f>
        <v/>
      </c>
      <c r="AA440" s="38" t="n"/>
      <c r="AB440" s="38" t="n"/>
      <c r="AC440" s="41">
        <f>IF(A440="","",IF(COUNTIF($A$6:$A$504,A440)&gt;1,"⚠ Duplicate",""))</f>
        <v/>
      </c>
      <c r="AD440" s="40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  <c r="AQ440" s="42" t="n"/>
      <c r="AR440" s="42" t="n"/>
      <c r="AS440" s="40" t="n"/>
      <c r="AT440" s="42" t="n"/>
      <c r="AU440" s="42" t="n"/>
      <c r="AV440" s="42" t="n"/>
      <c r="AW440" s="42" t="n"/>
      <c r="AX440" s="42" t="n"/>
      <c r="AY440" s="42" t="n"/>
      <c r="AZ440" s="42" t="n"/>
      <c r="BA440" s="42" t="n"/>
      <c r="BB440" s="42" t="n"/>
      <c r="BC440" s="42" t="n"/>
      <c r="BD440" s="42" t="n"/>
      <c r="BE440" s="42" t="n"/>
      <c r="BF440" s="42" t="n"/>
      <c r="BG440" s="42" t="n"/>
      <c r="BH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157">
        <f>IF(OR(Y441="",X441=""),"",IFERROR(Y441*INDEX(FXRates[USD per unit],MATCH(X441,FXRates[Currency],0)),"No rate"))</f>
        <v/>
      </c>
      <c r="AA441" s="32" t="n"/>
      <c r="AB441" s="32" t="n"/>
      <c r="AC441" s="36">
        <f>IF(A441="","",IF(COUNTIF($A$6:$A$504,A441)&gt;1,"⚠ Duplicate",""))</f>
        <v/>
      </c>
      <c r="AD441" s="35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  <c r="AQ441" s="43" t="n"/>
      <c r="AR441" s="43" t="n"/>
      <c r="AS441" s="35" t="n"/>
      <c r="AT441" s="43" t="n"/>
      <c r="AU441" s="43" t="n"/>
      <c r="AV441" s="43" t="n"/>
      <c r="AW441" s="43" t="n"/>
      <c r="AX441" s="43" t="n"/>
      <c r="AY441" s="43" t="n"/>
      <c r="AZ441" s="43" t="n"/>
      <c r="BA441" s="43" t="n"/>
      <c r="BB441" s="43" t="n"/>
      <c r="BC441" s="43" t="n"/>
      <c r="BD441" s="43" t="n"/>
      <c r="BE441" s="43" t="n"/>
      <c r="BF441" s="43" t="n"/>
      <c r="BG441" s="43" t="n"/>
      <c r="BH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158">
        <f>IF(OR(Y442="",X442=""),"",IFERROR(Y442*INDEX(FXRates[USD per unit],MATCH(X442,FXRates[Currency],0)),"No rate"))</f>
        <v/>
      </c>
      <c r="AA442" s="38" t="n"/>
      <c r="AB442" s="38" t="n"/>
      <c r="AC442" s="41">
        <f>IF(A442="","",IF(COUNTIF($A$6:$A$504,A442)&gt;1,"⚠ Duplicate",""))</f>
        <v/>
      </c>
      <c r="AD442" s="40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  <c r="AQ442" s="42" t="n"/>
      <c r="AR442" s="42" t="n"/>
      <c r="AS442" s="40" t="n"/>
      <c r="AT442" s="42" t="n"/>
      <c r="AU442" s="42" t="n"/>
      <c r="AV442" s="42" t="n"/>
      <c r="AW442" s="42" t="n"/>
      <c r="AX442" s="42" t="n"/>
      <c r="AY442" s="42" t="n"/>
      <c r="AZ442" s="42" t="n"/>
      <c r="BA442" s="42" t="n"/>
      <c r="BB442" s="42" t="n"/>
      <c r="BC442" s="42" t="n"/>
      <c r="BD442" s="42" t="n"/>
      <c r="BE442" s="42" t="n"/>
      <c r="BF442" s="42" t="n"/>
      <c r="BG442" s="42" t="n"/>
      <c r="BH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157">
        <f>IF(OR(Y443="",X443=""),"",IFERROR(Y443*INDEX(FXRates[USD per unit],MATCH(X443,FXRates[Currency],0)),"No rate"))</f>
        <v/>
      </c>
      <c r="AA443" s="32" t="n"/>
      <c r="AB443" s="32" t="n"/>
      <c r="AC443" s="36">
        <f>IF(A443="","",IF(COUNTIF($A$6:$A$504,A443)&gt;1,"⚠ Duplicate",""))</f>
        <v/>
      </c>
      <c r="AD443" s="35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  <c r="AQ443" s="43" t="n"/>
      <c r="AR443" s="43" t="n"/>
      <c r="AS443" s="35" t="n"/>
      <c r="AT443" s="43" t="n"/>
      <c r="AU443" s="43" t="n"/>
      <c r="AV443" s="43" t="n"/>
      <c r="AW443" s="43" t="n"/>
      <c r="AX443" s="43" t="n"/>
      <c r="AY443" s="43" t="n"/>
      <c r="AZ443" s="43" t="n"/>
      <c r="BA443" s="43" t="n"/>
      <c r="BB443" s="43" t="n"/>
      <c r="BC443" s="43" t="n"/>
      <c r="BD443" s="43" t="n"/>
      <c r="BE443" s="43" t="n"/>
      <c r="BF443" s="43" t="n"/>
      <c r="BG443" s="43" t="n"/>
      <c r="BH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158">
        <f>IF(OR(Y444="",X444=""),"",IFERROR(Y444*INDEX(FXRates[USD per unit],MATCH(X444,FXRates[Currency],0)),"No rate"))</f>
        <v/>
      </c>
      <c r="AA444" s="38" t="n"/>
      <c r="AB444" s="38" t="n"/>
      <c r="AC444" s="41">
        <f>IF(A444="","",IF(COUNTIF($A$6:$A$504,A444)&gt;1,"⚠ Duplicate",""))</f>
        <v/>
      </c>
      <c r="AD444" s="40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  <c r="AQ444" s="42" t="n"/>
      <c r="AR444" s="42" t="n"/>
      <c r="AS444" s="40" t="n"/>
      <c r="AT444" s="42" t="n"/>
      <c r="AU444" s="42" t="n"/>
      <c r="AV444" s="42" t="n"/>
      <c r="AW444" s="42" t="n"/>
      <c r="AX444" s="42" t="n"/>
      <c r="AY444" s="42" t="n"/>
      <c r="AZ444" s="42" t="n"/>
      <c r="BA444" s="42" t="n"/>
      <c r="BB444" s="42" t="n"/>
      <c r="BC444" s="42" t="n"/>
      <c r="BD444" s="42" t="n"/>
      <c r="BE444" s="42" t="n"/>
      <c r="BF444" s="42" t="n"/>
      <c r="BG444" s="42" t="n"/>
      <c r="BH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157">
        <f>IF(OR(Y445="",X445=""),"",IFERROR(Y445*INDEX(FXRates[USD per unit],MATCH(X445,FXRates[Currency],0)),"No rate"))</f>
        <v/>
      </c>
      <c r="AA445" s="32" t="n"/>
      <c r="AB445" s="32" t="n"/>
      <c r="AC445" s="36">
        <f>IF(A445="","",IF(COUNTIF($A$6:$A$504,A445)&gt;1,"⚠ Duplicate",""))</f>
        <v/>
      </c>
      <c r="AD445" s="35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  <c r="AQ445" s="43" t="n"/>
      <c r="AR445" s="43" t="n"/>
      <c r="AS445" s="35" t="n"/>
      <c r="AT445" s="43" t="n"/>
      <c r="AU445" s="43" t="n"/>
      <c r="AV445" s="43" t="n"/>
      <c r="AW445" s="43" t="n"/>
      <c r="AX445" s="43" t="n"/>
      <c r="AY445" s="43" t="n"/>
      <c r="AZ445" s="43" t="n"/>
      <c r="BA445" s="43" t="n"/>
      <c r="BB445" s="43" t="n"/>
      <c r="BC445" s="43" t="n"/>
      <c r="BD445" s="43" t="n"/>
      <c r="BE445" s="43" t="n"/>
      <c r="BF445" s="43" t="n"/>
      <c r="BG445" s="43" t="n"/>
      <c r="BH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158">
        <f>IF(OR(Y446="",X446=""),"",IFERROR(Y446*INDEX(FXRates[USD per unit],MATCH(X446,FXRates[Currency],0)),"No rate"))</f>
        <v/>
      </c>
      <c r="AA446" s="38" t="n"/>
      <c r="AB446" s="38" t="n"/>
      <c r="AC446" s="41">
        <f>IF(A446="","",IF(COUNTIF($A$6:$A$504,A446)&gt;1,"⚠ Duplicate",""))</f>
        <v/>
      </c>
      <c r="AD446" s="40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  <c r="AQ446" s="42" t="n"/>
      <c r="AR446" s="42" t="n"/>
      <c r="AS446" s="40" t="n"/>
      <c r="AT446" s="42" t="n"/>
      <c r="AU446" s="42" t="n"/>
      <c r="AV446" s="42" t="n"/>
      <c r="AW446" s="42" t="n"/>
      <c r="AX446" s="42" t="n"/>
      <c r="AY446" s="42" t="n"/>
      <c r="AZ446" s="42" t="n"/>
      <c r="BA446" s="42" t="n"/>
      <c r="BB446" s="42" t="n"/>
      <c r="BC446" s="42" t="n"/>
      <c r="BD446" s="42" t="n"/>
      <c r="BE446" s="42" t="n"/>
      <c r="BF446" s="42" t="n"/>
      <c r="BG446" s="42" t="n"/>
      <c r="BH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157">
        <f>IF(OR(Y447="",X447=""),"",IFERROR(Y447*INDEX(FXRates[USD per unit],MATCH(X447,FXRates[Currency],0)),"No rate"))</f>
        <v/>
      </c>
      <c r="AA447" s="32" t="n"/>
      <c r="AB447" s="32" t="n"/>
      <c r="AC447" s="36">
        <f>IF(A447="","",IF(COUNTIF($A$6:$A$504,A447)&gt;1,"⚠ Duplicate",""))</f>
        <v/>
      </c>
      <c r="AD447" s="35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  <c r="AQ447" s="43" t="n"/>
      <c r="AR447" s="43" t="n"/>
      <c r="AS447" s="35" t="n"/>
      <c r="AT447" s="43" t="n"/>
      <c r="AU447" s="43" t="n"/>
      <c r="AV447" s="43" t="n"/>
      <c r="AW447" s="43" t="n"/>
      <c r="AX447" s="43" t="n"/>
      <c r="AY447" s="43" t="n"/>
      <c r="AZ447" s="43" t="n"/>
      <c r="BA447" s="43" t="n"/>
      <c r="BB447" s="43" t="n"/>
      <c r="BC447" s="43" t="n"/>
      <c r="BD447" s="43" t="n"/>
      <c r="BE447" s="43" t="n"/>
      <c r="BF447" s="43" t="n"/>
      <c r="BG447" s="43" t="n"/>
      <c r="BH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158">
        <f>IF(OR(Y448="",X448=""),"",IFERROR(Y448*INDEX(FXRates[USD per unit],MATCH(X448,FXRates[Currency],0)),"No rate"))</f>
        <v/>
      </c>
      <c r="AA448" s="38" t="n"/>
      <c r="AB448" s="38" t="n"/>
      <c r="AC448" s="41">
        <f>IF(A448="","",IF(COUNTIF($A$6:$A$504,A448)&gt;1,"⚠ Duplicate",""))</f>
        <v/>
      </c>
      <c r="AD448" s="40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  <c r="AQ448" s="42" t="n"/>
      <c r="AR448" s="42" t="n"/>
      <c r="AS448" s="40" t="n"/>
      <c r="AT448" s="42" t="n"/>
      <c r="AU448" s="42" t="n"/>
      <c r="AV448" s="42" t="n"/>
      <c r="AW448" s="42" t="n"/>
      <c r="AX448" s="42" t="n"/>
      <c r="AY448" s="42" t="n"/>
      <c r="AZ448" s="42" t="n"/>
      <c r="BA448" s="42" t="n"/>
      <c r="BB448" s="42" t="n"/>
      <c r="BC448" s="42" t="n"/>
      <c r="BD448" s="42" t="n"/>
      <c r="BE448" s="42" t="n"/>
      <c r="BF448" s="42" t="n"/>
      <c r="BG448" s="42" t="n"/>
      <c r="BH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157">
        <f>IF(OR(Y449="",X449=""),"",IFERROR(Y449*INDEX(FXRates[USD per unit],MATCH(X449,FXRates[Currency],0)),"No rate"))</f>
        <v/>
      </c>
      <c r="AA449" s="32" t="n"/>
      <c r="AB449" s="32" t="n"/>
      <c r="AC449" s="36">
        <f>IF(A449="","",IF(COUNTIF($A$6:$A$504,A449)&gt;1,"⚠ Duplicate",""))</f>
        <v/>
      </c>
      <c r="AD449" s="35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  <c r="AQ449" s="43" t="n"/>
      <c r="AR449" s="43" t="n"/>
      <c r="AS449" s="35" t="n"/>
      <c r="AT449" s="43" t="n"/>
      <c r="AU449" s="43" t="n"/>
      <c r="AV449" s="43" t="n"/>
      <c r="AW449" s="43" t="n"/>
      <c r="AX449" s="43" t="n"/>
      <c r="AY449" s="43" t="n"/>
      <c r="AZ449" s="43" t="n"/>
      <c r="BA449" s="43" t="n"/>
      <c r="BB449" s="43" t="n"/>
      <c r="BC449" s="43" t="n"/>
      <c r="BD449" s="43" t="n"/>
      <c r="BE449" s="43" t="n"/>
      <c r="BF449" s="43" t="n"/>
      <c r="BG449" s="43" t="n"/>
      <c r="BH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158">
        <f>IF(OR(Y450="",X450=""),"",IFERROR(Y450*INDEX(FXRates[USD per unit],MATCH(X450,FXRates[Currency],0)),"No rate"))</f>
        <v/>
      </c>
      <c r="AA450" s="38" t="n"/>
      <c r="AB450" s="38" t="n"/>
      <c r="AC450" s="41">
        <f>IF(A450="","",IF(COUNTIF($A$6:$A$504,A450)&gt;1,"⚠ Duplicate",""))</f>
        <v/>
      </c>
      <c r="AD450" s="40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  <c r="AQ450" s="42" t="n"/>
      <c r="AR450" s="42" t="n"/>
      <c r="AS450" s="40" t="n"/>
      <c r="AT450" s="42" t="n"/>
      <c r="AU450" s="42" t="n"/>
      <c r="AV450" s="42" t="n"/>
      <c r="AW450" s="42" t="n"/>
      <c r="AX450" s="42" t="n"/>
      <c r="AY450" s="42" t="n"/>
      <c r="AZ450" s="42" t="n"/>
      <c r="BA450" s="42" t="n"/>
      <c r="BB450" s="42" t="n"/>
      <c r="BC450" s="42" t="n"/>
      <c r="BD450" s="42" t="n"/>
      <c r="BE450" s="42" t="n"/>
      <c r="BF450" s="42" t="n"/>
      <c r="BG450" s="42" t="n"/>
      <c r="BH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157">
        <f>IF(OR(Y451="",X451=""),"",IFERROR(Y451*INDEX(FXRates[USD per unit],MATCH(X451,FXRates[Currency],0)),"No rate"))</f>
        <v/>
      </c>
      <c r="AA451" s="32" t="n"/>
      <c r="AB451" s="32" t="n"/>
      <c r="AC451" s="36">
        <f>IF(A451="","",IF(COUNTIF($A$6:$A$504,A451)&gt;1,"⚠ Duplicate",""))</f>
        <v/>
      </c>
      <c r="AD451" s="35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  <c r="AQ451" s="43" t="n"/>
      <c r="AR451" s="43" t="n"/>
      <c r="AS451" s="35" t="n"/>
      <c r="AT451" s="43" t="n"/>
      <c r="AU451" s="43" t="n"/>
      <c r="AV451" s="43" t="n"/>
      <c r="AW451" s="43" t="n"/>
      <c r="AX451" s="43" t="n"/>
      <c r="AY451" s="43" t="n"/>
      <c r="AZ451" s="43" t="n"/>
      <c r="BA451" s="43" t="n"/>
      <c r="BB451" s="43" t="n"/>
      <c r="BC451" s="43" t="n"/>
      <c r="BD451" s="43" t="n"/>
      <c r="BE451" s="43" t="n"/>
      <c r="BF451" s="43" t="n"/>
      <c r="BG451" s="43" t="n"/>
      <c r="BH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158">
        <f>IF(OR(Y452="",X452=""),"",IFERROR(Y452*INDEX(FXRates[USD per unit],MATCH(X452,FXRates[Currency],0)),"No rate"))</f>
        <v/>
      </c>
      <c r="AA452" s="38" t="n"/>
      <c r="AB452" s="38" t="n"/>
      <c r="AC452" s="41">
        <f>IF(A452="","",IF(COUNTIF($A$6:$A$504,A452)&gt;1,"⚠ Duplicate",""))</f>
        <v/>
      </c>
      <c r="AD452" s="40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  <c r="AQ452" s="42" t="n"/>
      <c r="AR452" s="42" t="n"/>
      <c r="AS452" s="40" t="n"/>
      <c r="AT452" s="42" t="n"/>
      <c r="AU452" s="42" t="n"/>
      <c r="AV452" s="42" t="n"/>
      <c r="AW452" s="42" t="n"/>
      <c r="AX452" s="42" t="n"/>
      <c r="AY452" s="42" t="n"/>
      <c r="AZ452" s="42" t="n"/>
      <c r="BA452" s="42" t="n"/>
      <c r="BB452" s="42" t="n"/>
      <c r="BC452" s="42" t="n"/>
      <c r="BD452" s="42" t="n"/>
      <c r="BE452" s="42" t="n"/>
      <c r="BF452" s="42" t="n"/>
      <c r="BG452" s="42" t="n"/>
      <c r="BH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157">
        <f>IF(OR(Y453="",X453=""),"",IFERROR(Y453*INDEX(FXRates[USD per unit],MATCH(X453,FXRates[Currency],0)),"No rate"))</f>
        <v/>
      </c>
      <c r="AA453" s="32" t="n"/>
      <c r="AB453" s="32" t="n"/>
      <c r="AC453" s="36">
        <f>IF(A453="","",IF(COUNTIF($A$6:$A$504,A453)&gt;1,"⚠ Duplicate",""))</f>
        <v/>
      </c>
      <c r="AD453" s="35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  <c r="AQ453" s="43" t="n"/>
      <c r="AR453" s="43" t="n"/>
      <c r="AS453" s="35" t="n"/>
      <c r="AT453" s="43" t="n"/>
      <c r="AU453" s="43" t="n"/>
      <c r="AV453" s="43" t="n"/>
      <c r="AW453" s="43" t="n"/>
      <c r="AX453" s="43" t="n"/>
      <c r="AY453" s="43" t="n"/>
      <c r="AZ453" s="43" t="n"/>
      <c r="BA453" s="43" t="n"/>
      <c r="BB453" s="43" t="n"/>
      <c r="BC453" s="43" t="n"/>
      <c r="BD453" s="43" t="n"/>
      <c r="BE453" s="43" t="n"/>
      <c r="BF453" s="43" t="n"/>
      <c r="BG453" s="43" t="n"/>
      <c r="BH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158">
        <f>IF(OR(Y454="",X454=""),"",IFERROR(Y454*INDEX(FXRates[USD per unit],MATCH(X454,FXRates[Currency],0)),"No rate"))</f>
        <v/>
      </c>
      <c r="AA454" s="38" t="n"/>
      <c r="AB454" s="38" t="n"/>
      <c r="AC454" s="41">
        <f>IF(A454="","",IF(COUNTIF($A$6:$A$504,A454)&gt;1,"⚠ Duplicate",""))</f>
        <v/>
      </c>
      <c r="AD454" s="40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  <c r="AQ454" s="42" t="n"/>
      <c r="AR454" s="42" t="n"/>
      <c r="AS454" s="40" t="n"/>
      <c r="AT454" s="42" t="n"/>
      <c r="AU454" s="42" t="n"/>
      <c r="AV454" s="42" t="n"/>
      <c r="AW454" s="42" t="n"/>
      <c r="AX454" s="42" t="n"/>
      <c r="AY454" s="42" t="n"/>
      <c r="AZ454" s="42" t="n"/>
      <c r="BA454" s="42" t="n"/>
      <c r="BB454" s="42" t="n"/>
      <c r="BC454" s="42" t="n"/>
      <c r="BD454" s="42" t="n"/>
      <c r="BE454" s="42" t="n"/>
      <c r="BF454" s="42" t="n"/>
      <c r="BG454" s="42" t="n"/>
      <c r="BH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157">
        <f>IF(OR(Y455="",X455=""),"",IFERROR(Y455*INDEX(FXRates[USD per unit],MATCH(X455,FXRates[Currency],0)),"No rate"))</f>
        <v/>
      </c>
      <c r="AA455" s="32" t="n"/>
      <c r="AB455" s="32" t="n"/>
      <c r="AC455" s="36">
        <f>IF(A455="","",IF(COUNTIF($A$6:$A$504,A455)&gt;1,"⚠ Duplicate",""))</f>
        <v/>
      </c>
      <c r="AD455" s="35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  <c r="AQ455" s="43" t="n"/>
      <c r="AR455" s="43" t="n"/>
      <c r="AS455" s="35" t="n"/>
      <c r="AT455" s="43" t="n"/>
      <c r="AU455" s="43" t="n"/>
      <c r="AV455" s="43" t="n"/>
      <c r="AW455" s="43" t="n"/>
      <c r="AX455" s="43" t="n"/>
      <c r="AY455" s="43" t="n"/>
      <c r="AZ455" s="43" t="n"/>
      <c r="BA455" s="43" t="n"/>
      <c r="BB455" s="43" t="n"/>
      <c r="BC455" s="43" t="n"/>
      <c r="BD455" s="43" t="n"/>
      <c r="BE455" s="43" t="n"/>
      <c r="BF455" s="43" t="n"/>
      <c r="BG455" s="43" t="n"/>
      <c r="BH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158">
        <f>IF(OR(Y456="",X456=""),"",IFERROR(Y456*INDEX(FXRates[USD per unit],MATCH(X456,FXRates[Currency],0)),"No rate"))</f>
        <v/>
      </c>
      <c r="AA456" s="38" t="n"/>
      <c r="AB456" s="38" t="n"/>
      <c r="AC456" s="41">
        <f>IF(A456="","",IF(COUNTIF($A$6:$A$504,A456)&gt;1,"⚠ Duplicate",""))</f>
        <v/>
      </c>
      <c r="AD456" s="40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  <c r="AQ456" s="42" t="n"/>
      <c r="AR456" s="42" t="n"/>
      <c r="AS456" s="40" t="n"/>
      <c r="AT456" s="42" t="n"/>
      <c r="AU456" s="42" t="n"/>
      <c r="AV456" s="42" t="n"/>
      <c r="AW456" s="42" t="n"/>
      <c r="AX456" s="42" t="n"/>
      <c r="AY456" s="42" t="n"/>
      <c r="AZ456" s="42" t="n"/>
      <c r="BA456" s="42" t="n"/>
      <c r="BB456" s="42" t="n"/>
      <c r="BC456" s="42" t="n"/>
      <c r="BD456" s="42" t="n"/>
      <c r="BE456" s="42" t="n"/>
      <c r="BF456" s="42" t="n"/>
      <c r="BG456" s="42" t="n"/>
      <c r="BH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157">
        <f>IF(OR(Y457="",X457=""),"",IFERROR(Y457*INDEX(FXRates[USD per unit],MATCH(X457,FXRates[Currency],0)),"No rate"))</f>
        <v/>
      </c>
      <c r="AA457" s="32" t="n"/>
      <c r="AB457" s="32" t="n"/>
      <c r="AC457" s="36">
        <f>IF(A457="","",IF(COUNTIF($A$6:$A$504,A457)&gt;1,"⚠ Duplicate",""))</f>
        <v/>
      </c>
      <c r="AD457" s="35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  <c r="AQ457" s="43" t="n"/>
      <c r="AR457" s="43" t="n"/>
      <c r="AS457" s="35" t="n"/>
      <c r="AT457" s="43" t="n"/>
      <c r="AU457" s="43" t="n"/>
      <c r="AV457" s="43" t="n"/>
      <c r="AW457" s="43" t="n"/>
      <c r="AX457" s="43" t="n"/>
      <c r="AY457" s="43" t="n"/>
      <c r="AZ457" s="43" t="n"/>
      <c r="BA457" s="43" t="n"/>
      <c r="BB457" s="43" t="n"/>
      <c r="BC457" s="43" t="n"/>
      <c r="BD457" s="43" t="n"/>
      <c r="BE457" s="43" t="n"/>
      <c r="BF457" s="43" t="n"/>
      <c r="BG457" s="43" t="n"/>
      <c r="BH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158">
        <f>IF(OR(Y458="",X458=""),"",IFERROR(Y458*INDEX(FXRates[USD per unit],MATCH(X458,FXRates[Currency],0)),"No rate"))</f>
        <v/>
      </c>
      <c r="AA458" s="38" t="n"/>
      <c r="AB458" s="38" t="n"/>
      <c r="AC458" s="41">
        <f>IF(A458="","",IF(COUNTIF($A$6:$A$504,A458)&gt;1,"⚠ Duplicate",""))</f>
        <v/>
      </c>
      <c r="AD458" s="40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  <c r="AQ458" s="42" t="n"/>
      <c r="AR458" s="42" t="n"/>
      <c r="AS458" s="40" t="n"/>
      <c r="AT458" s="42" t="n"/>
      <c r="AU458" s="42" t="n"/>
      <c r="AV458" s="42" t="n"/>
      <c r="AW458" s="42" t="n"/>
      <c r="AX458" s="42" t="n"/>
      <c r="AY458" s="42" t="n"/>
      <c r="AZ458" s="42" t="n"/>
      <c r="BA458" s="42" t="n"/>
      <c r="BB458" s="42" t="n"/>
      <c r="BC458" s="42" t="n"/>
      <c r="BD458" s="42" t="n"/>
      <c r="BE458" s="42" t="n"/>
      <c r="BF458" s="42" t="n"/>
      <c r="BG458" s="42" t="n"/>
      <c r="BH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157">
        <f>IF(OR(Y459="",X459=""),"",IFERROR(Y459*INDEX(FXRates[USD per unit],MATCH(X459,FXRates[Currency],0)),"No rate"))</f>
        <v/>
      </c>
      <c r="AA459" s="32" t="n"/>
      <c r="AB459" s="32" t="n"/>
      <c r="AC459" s="36">
        <f>IF(A459="","",IF(COUNTIF($A$6:$A$504,A459)&gt;1,"⚠ Duplicate",""))</f>
        <v/>
      </c>
      <c r="AD459" s="35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  <c r="AQ459" s="43" t="n"/>
      <c r="AR459" s="43" t="n"/>
      <c r="AS459" s="35" t="n"/>
      <c r="AT459" s="43" t="n"/>
      <c r="AU459" s="43" t="n"/>
      <c r="AV459" s="43" t="n"/>
      <c r="AW459" s="43" t="n"/>
      <c r="AX459" s="43" t="n"/>
      <c r="AY459" s="43" t="n"/>
      <c r="AZ459" s="43" t="n"/>
      <c r="BA459" s="43" t="n"/>
      <c r="BB459" s="43" t="n"/>
      <c r="BC459" s="43" t="n"/>
      <c r="BD459" s="43" t="n"/>
      <c r="BE459" s="43" t="n"/>
      <c r="BF459" s="43" t="n"/>
      <c r="BG459" s="43" t="n"/>
      <c r="BH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158">
        <f>IF(OR(Y460="",X460=""),"",IFERROR(Y460*INDEX(FXRates[USD per unit],MATCH(X460,FXRates[Currency],0)),"No rate"))</f>
        <v/>
      </c>
      <c r="AA460" s="38" t="n"/>
      <c r="AB460" s="38" t="n"/>
      <c r="AC460" s="41">
        <f>IF(A460="","",IF(COUNTIF($A$6:$A$504,A460)&gt;1,"⚠ Duplicate",""))</f>
        <v/>
      </c>
      <c r="AD460" s="40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  <c r="AQ460" s="42" t="n"/>
      <c r="AR460" s="42" t="n"/>
      <c r="AS460" s="40" t="n"/>
      <c r="AT460" s="42" t="n"/>
      <c r="AU460" s="42" t="n"/>
      <c r="AV460" s="42" t="n"/>
      <c r="AW460" s="42" t="n"/>
      <c r="AX460" s="42" t="n"/>
      <c r="AY460" s="42" t="n"/>
      <c r="AZ460" s="42" t="n"/>
      <c r="BA460" s="42" t="n"/>
      <c r="BB460" s="42" t="n"/>
      <c r="BC460" s="42" t="n"/>
      <c r="BD460" s="42" t="n"/>
      <c r="BE460" s="42" t="n"/>
      <c r="BF460" s="42" t="n"/>
      <c r="BG460" s="42" t="n"/>
      <c r="BH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157">
        <f>IF(OR(Y461="",X461=""),"",IFERROR(Y461*INDEX(FXRates[USD per unit],MATCH(X461,FXRates[Currency],0)),"No rate"))</f>
        <v/>
      </c>
      <c r="AA461" s="32" t="n"/>
      <c r="AB461" s="32" t="n"/>
      <c r="AC461" s="36">
        <f>IF(A461="","",IF(COUNTIF($A$6:$A$504,A461)&gt;1,"⚠ Duplicate",""))</f>
        <v/>
      </c>
      <c r="AD461" s="35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  <c r="AQ461" s="43" t="n"/>
      <c r="AR461" s="43" t="n"/>
      <c r="AS461" s="35" t="n"/>
      <c r="AT461" s="43" t="n"/>
      <c r="AU461" s="43" t="n"/>
      <c r="AV461" s="43" t="n"/>
      <c r="AW461" s="43" t="n"/>
      <c r="AX461" s="43" t="n"/>
      <c r="AY461" s="43" t="n"/>
      <c r="AZ461" s="43" t="n"/>
      <c r="BA461" s="43" t="n"/>
      <c r="BB461" s="43" t="n"/>
      <c r="BC461" s="43" t="n"/>
      <c r="BD461" s="43" t="n"/>
      <c r="BE461" s="43" t="n"/>
      <c r="BF461" s="43" t="n"/>
      <c r="BG461" s="43" t="n"/>
      <c r="BH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158">
        <f>IF(OR(Y462="",X462=""),"",IFERROR(Y462*INDEX(FXRates[USD per unit],MATCH(X462,FXRates[Currency],0)),"No rate"))</f>
        <v/>
      </c>
      <c r="AA462" s="38" t="n"/>
      <c r="AB462" s="38" t="n"/>
      <c r="AC462" s="41">
        <f>IF(A462="","",IF(COUNTIF($A$6:$A$504,A462)&gt;1,"⚠ Duplicate",""))</f>
        <v/>
      </c>
      <c r="AD462" s="40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  <c r="AQ462" s="42" t="n"/>
      <c r="AR462" s="42" t="n"/>
      <c r="AS462" s="40" t="n"/>
      <c r="AT462" s="42" t="n"/>
      <c r="AU462" s="42" t="n"/>
      <c r="AV462" s="42" t="n"/>
      <c r="AW462" s="42" t="n"/>
      <c r="AX462" s="42" t="n"/>
      <c r="AY462" s="42" t="n"/>
      <c r="AZ462" s="42" t="n"/>
      <c r="BA462" s="42" t="n"/>
      <c r="BB462" s="42" t="n"/>
      <c r="BC462" s="42" t="n"/>
      <c r="BD462" s="42" t="n"/>
      <c r="BE462" s="42" t="n"/>
      <c r="BF462" s="42" t="n"/>
      <c r="BG462" s="42" t="n"/>
      <c r="BH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157">
        <f>IF(OR(Y463="",X463=""),"",IFERROR(Y463*INDEX(FXRates[USD per unit],MATCH(X463,FXRates[Currency],0)),"No rate"))</f>
        <v/>
      </c>
      <c r="AA463" s="32" t="n"/>
      <c r="AB463" s="32" t="n"/>
      <c r="AC463" s="36">
        <f>IF(A463="","",IF(COUNTIF($A$6:$A$504,A463)&gt;1,"⚠ Duplicate",""))</f>
        <v/>
      </c>
      <c r="AD463" s="35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  <c r="AQ463" s="43" t="n"/>
      <c r="AR463" s="43" t="n"/>
      <c r="AS463" s="35" t="n"/>
      <c r="AT463" s="43" t="n"/>
      <c r="AU463" s="43" t="n"/>
      <c r="AV463" s="43" t="n"/>
      <c r="AW463" s="43" t="n"/>
      <c r="AX463" s="43" t="n"/>
      <c r="AY463" s="43" t="n"/>
      <c r="AZ463" s="43" t="n"/>
      <c r="BA463" s="43" t="n"/>
      <c r="BB463" s="43" t="n"/>
      <c r="BC463" s="43" t="n"/>
      <c r="BD463" s="43" t="n"/>
      <c r="BE463" s="43" t="n"/>
      <c r="BF463" s="43" t="n"/>
      <c r="BG463" s="43" t="n"/>
      <c r="BH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158">
        <f>IF(OR(Y464="",X464=""),"",IFERROR(Y464*INDEX(FXRates[USD per unit],MATCH(X464,FXRates[Currency],0)),"No rate"))</f>
        <v/>
      </c>
      <c r="AA464" s="38" t="n"/>
      <c r="AB464" s="38" t="n"/>
      <c r="AC464" s="41">
        <f>IF(A464="","",IF(COUNTIF($A$6:$A$504,A464)&gt;1,"⚠ Duplicate",""))</f>
        <v/>
      </c>
      <c r="AD464" s="40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  <c r="AQ464" s="42" t="n"/>
      <c r="AR464" s="42" t="n"/>
      <c r="AS464" s="40" t="n"/>
      <c r="AT464" s="42" t="n"/>
      <c r="AU464" s="42" t="n"/>
      <c r="AV464" s="42" t="n"/>
      <c r="AW464" s="42" t="n"/>
      <c r="AX464" s="42" t="n"/>
      <c r="AY464" s="42" t="n"/>
      <c r="AZ464" s="42" t="n"/>
      <c r="BA464" s="42" t="n"/>
      <c r="BB464" s="42" t="n"/>
      <c r="BC464" s="42" t="n"/>
      <c r="BD464" s="42" t="n"/>
      <c r="BE464" s="42" t="n"/>
      <c r="BF464" s="42" t="n"/>
      <c r="BG464" s="42" t="n"/>
      <c r="BH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157">
        <f>IF(OR(Y465="",X465=""),"",IFERROR(Y465*INDEX(FXRates[USD per unit],MATCH(X465,FXRates[Currency],0)),"No rate"))</f>
        <v/>
      </c>
      <c r="AA465" s="32" t="n"/>
      <c r="AB465" s="32" t="n"/>
      <c r="AC465" s="36">
        <f>IF(A465="","",IF(COUNTIF($A$6:$A$504,A465)&gt;1,"⚠ Duplicate",""))</f>
        <v/>
      </c>
      <c r="AD465" s="35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  <c r="AQ465" s="43" t="n"/>
      <c r="AR465" s="43" t="n"/>
      <c r="AS465" s="35" t="n"/>
      <c r="AT465" s="43" t="n"/>
      <c r="AU465" s="43" t="n"/>
      <c r="AV465" s="43" t="n"/>
      <c r="AW465" s="43" t="n"/>
      <c r="AX465" s="43" t="n"/>
      <c r="AY465" s="43" t="n"/>
      <c r="AZ465" s="43" t="n"/>
      <c r="BA465" s="43" t="n"/>
      <c r="BB465" s="43" t="n"/>
      <c r="BC465" s="43" t="n"/>
      <c r="BD465" s="43" t="n"/>
      <c r="BE465" s="43" t="n"/>
      <c r="BF465" s="43" t="n"/>
      <c r="BG465" s="43" t="n"/>
      <c r="BH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158">
        <f>IF(OR(Y466="",X466=""),"",IFERROR(Y466*INDEX(FXRates[USD per unit],MATCH(X466,FXRates[Currency],0)),"No rate"))</f>
        <v/>
      </c>
      <c r="AA466" s="38" t="n"/>
      <c r="AB466" s="38" t="n"/>
      <c r="AC466" s="41">
        <f>IF(A466="","",IF(COUNTIF($A$6:$A$504,A466)&gt;1,"⚠ Duplicate",""))</f>
        <v/>
      </c>
      <c r="AD466" s="40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  <c r="AQ466" s="42" t="n"/>
      <c r="AR466" s="42" t="n"/>
      <c r="AS466" s="40" t="n"/>
      <c r="AT466" s="42" t="n"/>
      <c r="AU466" s="42" t="n"/>
      <c r="AV466" s="42" t="n"/>
      <c r="AW466" s="42" t="n"/>
      <c r="AX466" s="42" t="n"/>
      <c r="AY466" s="42" t="n"/>
      <c r="AZ466" s="42" t="n"/>
      <c r="BA466" s="42" t="n"/>
      <c r="BB466" s="42" t="n"/>
      <c r="BC466" s="42" t="n"/>
      <c r="BD466" s="42" t="n"/>
      <c r="BE466" s="42" t="n"/>
      <c r="BF466" s="42" t="n"/>
      <c r="BG466" s="42" t="n"/>
      <c r="BH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157">
        <f>IF(OR(Y467="",X467=""),"",IFERROR(Y467*INDEX(FXRates[USD per unit],MATCH(X467,FXRates[Currency],0)),"No rate"))</f>
        <v/>
      </c>
      <c r="AA467" s="32" t="n"/>
      <c r="AB467" s="32" t="n"/>
      <c r="AC467" s="36">
        <f>IF(A467="","",IF(COUNTIF($A$6:$A$504,A467)&gt;1,"⚠ Duplicate",""))</f>
        <v/>
      </c>
      <c r="AD467" s="35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  <c r="AQ467" s="43" t="n"/>
      <c r="AR467" s="43" t="n"/>
      <c r="AS467" s="35" t="n"/>
      <c r="AT467" s="43" t="n"/>
      <c r="AU467" s="43" t="n"/>
      <c r="AV467" s="43" t="n"/>
      <c r="AW467" s="43" t="n"/>
      <c r="AX467" s="43" t="n"/>
      <c r="AY467" s="43" t="n"/>
      <c r="AZ467" s="43" t="n"/>
      <c r="BA467" s="43" t="n"/>
      <c r="BB467" s="43" t="n"/>
      <c r="BC467" s="43" t="n"/>
      <c r="BD467" s="43" t="n"/>
      <c r="BE467" s="43" t="n"/>
      <c r="BF467" s="43" t="n"/>
      <c r="BG467" s="43" t="n"/>
      <c r="BH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158">
        <f>IF(OR(Y468="",X468=""),"",IFERROR(Y468*INDEX(FXRates[USD per unit],MATCH(X468,FXRates[Currency],0)),"No rate"))</f>
        <v/>
      </c>
      <c r="AA468" s="38" t="n"/>
      <c r="AB468" s="38" t="n"/>
      <c r="AC468" s="41">
        <f>IF(A468="","",IF(COUNTIF($A$6:$A$504,A468)&gt;1,"⚠ Duplicate",""))</f>
        <v/>
      </c>
      <c r="AD468" s="40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  <c r="AQ468" s="42" t="n"/>
      <c r="AR468" s="42" t="n"/>
      <c r="AS468" s="40" t="n"/>
      <c r="AT468" s="42" t="n"/>
      <c r="AU468" s="42" t="n"/>
      <c r="AV468" s="42" t="n"/>
      <c r="AW468" s="42" t="n"/>
      <c r="AX468" s="42" t="n"/>
      <c r="AY468" s="42" t="n"/>
      <c r="AZ468" s="42" t="n"/>
      <c r="BA468" s="42" t="n"/>
      <c r="BB468" s="42" t="n"/>
      <c r="BC468" s="42" t="n"/>
      <c r="BD468" s="42" t="n"/>
      <c r="BE468" s="42" t="n"/>
      <c r="BF468" s="42" t="n"/>
      <c r="BG468" s="42" t="n"/>
      <c r="BH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157">
        <f>IF(OR(Y469="",X469=""),"",IFERROR(Y469*INDEX(FXRates[USD per unit],MATCH(X469,FXRates[Currency],0)),"No rate"))</f>
        <v/>
      </c>
      <c r="AA469" s="32" t="n"/>
      <c r="AB469" s="32" t="n"/>
      <c r="AC469" s="36">
        <f>IF(A469="","",IF(COUNTIF($A$6:$A$504,A469)&gt;1,"⚠ Duplicate",""))</f>
        <v/>
      </c>
      <c r="AD469" s="35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  <c r="AQ469" s="43" t="n"/>
      <c r="AR469" s="43" t="n"/>
      <c r="AS469" s="35" t="n"/>
      <c r="AT469" s="43" t="n"/>
      <c r="AU469" s="43" t="n"/>
      <c r="AV469" s="43" t="n"/>
      <c r="AW469" s="43" t="n"/>
      <c r="AX469" s="43" t="n"/>
      <c r="AY469" s="43" t="n"/>
      <c r="AZ469" s="43" t="n"/>
      <c r="BA469" s="43" t="n"/>
      <c r="BB469" s="43" t="n"/>
      <c r="BC469" s="43" t="n"/>
      <c r="BD469" s="43" t="n"/>
      <c r="BE469" s="43" t="n"/>
      <c r="BF469" s="43" t="n"/>
      <c r="BG469" s="43" t="n"/>
      <c r="BH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158">
        <f>IF(OR(Y470="",X470=""),"",IFERROR(Y470*INDEX(FXRates[USD per unit],MATCH(X470,FXRates[Currency],0)),"No rate"))</f>
        <v/>
      </c>
      <c r="AA470" s="38" t="n"/>
      <c r="AB470" s="38" t="n"/>
      <c r="AC470" s="41">
        <f>IF(A470="","",IF(COUNTIF($A$6:$A$504,A470)&gt;1,"⚠ Duplicate",""))</f>
        <v/>
      </c>
      <c r="AD470" s="40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  <c r="AQ470" s="42" t="n"/>
      <c r="AR470" s="42" t="n"/>
      <c r="AS470" s="40" t="n"/>
      <c r="AT470" s="42" t="n"/>
      <c r="AU470" s="42" t="n"/>
      <c r="AV470" s="42" t="n"/>
      <c r="AW470" s="42" t="n"/>
      <c r="AX470" s="42" t="n"/>
      <c r="AY470" s="42" t="n"/>
      <c r="AZ470" s="42" t="n"/>
      <c r="BA470" s="42" t="n"/>
      <c r="BB470" s="42" t="n"/>
      <c r="BC470" s="42" t="n"/>
      <c r="BD470" s="42" t="n"/>
      <c r="BE470" s="42" t="n"/>
      <c r="BF470" s="42" t="n"/>
      <c r="BG470" s="42" t="n"/>
      <c r="BH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157">
        <f>IF(OR(Y471="",X471=""),"",IFERROR(Y471*INDEX(FXRates[USD per unit],MATCH(X471,FXRates[Currency],0)),"No rate"))</f>
        <v/>
      </c>
      <c r="AA471" s="32" t="n"/>
      <c r="AB471" s="32" t="n"/>
      <c r="AC471" s="36">
        <f>IF(A471="","",IF(COUNTIF($A$6:$A$504,A471)&gt;1,"⚠ Duplicate",""))</f>
        <v/>
      </c>
      <c r="AD471" s="35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  <c r="AQ471" s="43" t="n"/>
      <c r="AR471" s="43" t="n"/>
      <c r="AS471" s="35" t="n"/>
      <c r="AT471" s="43" t="n"/>
      <c r="AU471" s="43" t="n"/>
      <c r="AV471" s="43" t="n"/>
      <c r="AW471" s="43" t="n"/>
      <c r="AX471" s="43" t="n"/>
      <c r="AY471" s="43" t="n"/>
      <c r="AZ471" s="43" t="n"/>
      <c r="BA471" s="43" t="n"/>
      <c r="BB471" s="43" t="n"/>
      <c r="BC471" s="43" t="n"/>
      <c r="BD471" s="43" t="n"/>
      <c r="BE471" s="43" t="n"/>
      <c r="BF471" s="43" t="n"/>
      <c r="BG471" s="43" t="n"/>
      <c r="BH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158">
        <f>IF(OR(Y472="",X472=""),"",IFERROR(Y472*INDEX(FXRates[USD per unit],MATCH(X472,FXRates[Currency],0)),"No rate"))</f>
        <v/>
      </c>
      <c r="AA472" s="38" t="n"/>
      <c r="AB472" s="38" t="n"/>
      <c r="AC472" s="41">
        <f>IF(A472="","",IF(COUNTIF($A$6:$A$504,A472)&gt;1,"⚠ Duplicate",""))</f>
        <v/>
      </c>
      <c r="AD472" s="40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  <c r="AQ472" s="42" t="n"/>
      <c r="AR472" s="42" t="n"/>
      <c r="AS472" s="40" t="n"/>
      <c r="AT472" s="42" t="n"/>
      <c r="AU472" s="42" t="n"/>
      <c r="AV472" s="42" t="n"/>
      <c r="AW472" s="42" t="n"/>
      <c r="AX472" s="42" t="n"/>
      <c r="AY472" s="42" t="n"/>
      <c r="AZ472" s="42" t="n"/>
      <c r="BA472" s="42" t="n"/>
      <c r="BB472" s="42" t="n"/>
      <c r="BC472" s="42" t="n"/>
      <c r="BD472" s="42" t="n"/>
      <c r="BE472" s="42" t="n"/>
      <c r="BF472" s="42" t="n"/>
      <c r="BG472" s="42" t="n"/>
      <c r="BH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157">
        <f>IF(OR(Y473="",X473=""),"",IFERROR(Y473*INDEX(FXRates[USD per unit],MATCH(X473,FXRates[Currency],0)),"No rate"))</f>
        <v/>
      </c>
      <c r="AA473" s="32" t="n"/>
      <c r="AB473" s="32" t="n"/>
      <c r="AC473" s="36">
        <f>IF(A473="","",IF(COUNTIF($A$6:$A$504,A473)&gt;1,"⚠ Duplicate",""))</f>
        <v/>
      </c>
      <c r="AD473" s="35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  <c r="AQ473" s="43" t="n"/>
      <c r="AR473" s="43" t="n"/>
      <c r="AS473" s="35" t="n"/>
      <c r="AT473" s="43" t="n"/>
      <c r="AU473" s="43" t="n"/>
      <c r="AV473" s="43" t="n"/>
      <c r="AW473" s="43" t="n"/>
      <c r="AX473" s="43" t="n"/>
      <c r="AY473" s="43" t="n"/>
      <c r="AZ473" s="43" t="n"/>
      <c r="BA473" s="43" t="n"/>
      <c r="BB473" s="43" t="n"/>
      <c r="BC473" s="43" t="n"/>
      <c r="BD473" s="43" t="n"/>
      <c r="BE473" s="43" t="n"/>
      <c r="BF473" s="43" t="n"/>
      <c r="BG473" s="43" t="n"/>
      <c r="BH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158">
        <f>IF(OR(Y474="",X474=""),"",IFERROR(Y474*INDEX(FXRates[USD per unit],MATCH(X474,FXRates[Currency],0)),"No rate"))</f>
        <v/>
      </c>
      <c r="AA474" s="38" t="n"/>
      <c r="AB474" s="38" t="n"/>
      <c r="AC474" s="41">
        <f>IF(A474="","",IF(COUNTIF($A$6:$A$504,A474)&gt;1,"⚠ Duplicate",""))</f>
        <v/>
      </c>
      <c r="AD474" s="40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  <c r="AQ474" s="42" t="n"/>
      <c r="AR474" s="42" t="n"/>
      <c r="AS474" s="40" t="n"/>
      <c r="AT474" s="42" t="n"/>
      <c r="AU474" s="42" t="n"/>
      <c r="AV474" s="42" t="n"/>
      <c r="AW474" s="42" t="n"/>
      <c r="AX474" s="42" t="n"/>
      <c r="AY474" s="42" t="n"/>
      <c r="AZ474" s="42" t="n"/>
      <c r="BA474" s="42" t="n"/>
      <c r="BB474" s="42" t="n"/>
      <c r="BC474" s="42" t="n"/>
      <c r="BD474" s="42" t="n"/>
      <c r="BE474" s="42" t="n"/>
      <c r="BF474" s="42" t="n"/>
      <c r="BG474" s="42" t="n"/>
      <c r="BH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157">
        <f>IF(OR(Y475="",X475=""),"",IFERROR(Y475*INDEX(FXRates[USD per unit],MATCH(X475,FXRates[Currency],0)),"No rate"))</f>
        <v/>
      </c>
      <c r="AA475" s="32" t="n"/>
      <c r="AB475" s="32" t="n"/>
      <c r="AC475" s="36">
        <f>IF(A475="","",IF(COUNTIF($A$6:$A$504,A475)&gt;1,"⚠ Duplicate",""))</f>
        <v/>
      </c>
      <c r="AD475" s="35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  <c r="AQ475" s="43" t="n"/>
      <c r="AR475" s="43" t="n"/>
      <c r="AS475" s="35" t="n"/>
      <c r="AT475" s="43" t="n"/>
      <c r="AU475" s="43" t="n"/>
      <c r="AV475" s="43" t="n"/>
      <c r="AW475" s="43" t="n"/>
      <c r="AX475" s="43" t="n"/>
      <c r="AY475" s="43" t="n"/>
      <c r="AZ475" s="43" t="n"/>
      <c r="BA475" s="43" t="n"/>
      <c r="BB475" s="43" t="n"/>
      <c r="BC475" s="43" t="n"/>
      <c r="BD475" s="43" t="n"/>
      <c r="BE475" s="43" t="n"/>
      <c r="BF475" s="43" t="n"/>
      <c r="BG475" s="43" t="n"/>
      <c r="BH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158">
        <f>IF(OR(Y476="",X476=""),"",IFERROR(Y476*INDEX(FXRates[USD per unit],MATCH(X476,FXRates[Currency],0)),"No rate"))</f>
        <v/>
      </c>
      <c r="AA476" s="38" t="n"/>
      <c r="AB476" s="38" t="n"/>
      <c r="AC476" s="41">
        <f>IF(A476="","",IF(COUNTIF($A$6:$A$504,A476)&gt;1,"⚠ Duplicate",""))</f>
        <v/>
      </c>
      <c r="AD476" s="40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  <c r="AQ476" s="42" t="n"/>
      <c r="AR476" s="42" t="n"/>
      <c r="AS476" s="40" t="n"/>
      <c r="AT476" s="42" t="n"/>
      <c r="AU476" s="42" t="n"/>
      <c r="AV476" s="42" t="n"/>
      <c r="AW476" s="42" t="n"/>
      <c r="AX476" s="42" t="n"/>
      <c r="AY476" s="42" t="n"/>
      <c r="AZ476" s="42" t="n"/>
      <c r="BA476" s="42" t="n"/>
      <c r="BB476" s="42" t="n"/>
      <c r="BC476" s="42" t="n"/>
      <c r="BD476" s="42" t="n"/>
      <c r="BE476" s="42" t="n"/>
      <c r="BF476" s="42" t="n"/>
      <c r="BG476" s="42" t="n"/>
      <c r="BH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157">
        <f>IF(OR(Y477="",X477=""),"",IFERROR(Y477*INDEX(FXRates[USD per unit],MATCH(X477,FXRates[Currency],0)),"No rate"))</f>
        <v/>
      </c>
      <c r="AA477" s="32" t="n"/>
      <c r="AB477" s="32" t="n"/>
      <c r="AC477" s="36">
        <f>IF(A477="","",IF(COUNTIF($A$6:$A$504,A477)&gt;1,"⚠ Duplicate",""))</f>
        <v/>
      </c>
      <c r="AD477" s="35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  <c r="AQ477" s="43" t="n"/>
      <c r="AR477" s="43" t="n"/>
      <c r="AS477" s="35" t="n"/>
      <c r="AT477" s="43" t="n"/>
      <c r="AU477" s="43" t="n"/>
      <c r="AV477" s="43" t="n"/>
      <c r="AW477" s="43" t="n"/>
      <c r="AX477" s="43" t="n"/>
      <c r="AY477" s="43" t="n"/>
      <c r="AZ477" s="43" t="n"/>
      <c r="BA477" s="43" t="n"/>
      <c r="BB477" s="43" t="n"/>
      <c r="BC477" s="43" t="n"/>
      <c r="BD477" s="43" t="n"/>
      <c r="BE477" s="43" t="n"/>
      <c r="BF477" s="43" t="n"/>
      <c r="BG477" s="43" t="n"/>
      <c r="BH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158">
        <f>IF(OR(Y478="",X478=""),"",IFERROR(Y478*INDEX(FXRates[USD per unit],MATCH(X478,FXRates[Currency],0)),"No rate"))</f>
        <v/>
      </c>
      <c r="AA478" s="38" t="n"/>
      <c r="AB478" s="38" t="n"/>
      <c r="AC478" s="41">
        <f>IF(A478="","",IF(COUNTIF($A$6:$A$504,A478)&gt;1,"⚠ Duplicate",""))</f>
        <v/>
      </c>
      <c r="AD478" s="40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  <c r="AQ478" s="42" t="n"/>
      <c r="AR478" s="42" t="n"/>
      <c r="AS478" s="40" t="n"/>
      <c r="AT478" s="42" t="n"/>
      <c r="AU478" s="42" t="n"/>
      <c r="AV478" s="42" t="n"/>
      <c r="AW478" s="42" t="n"/>
      <c r="AX478" s="42" t="n"/>
      <c r="AY478" s="42" t="n"/>
      <c r="AZ478" s="42" t="n"/>
      <c r="BA478" s="42" t="n"/>
      <c r="BB478" s="42" t="n"/>
      <c r="BC478" s="42" t="n"/>
      <c r="BD478" s="42" t="n"/>
      <c r="BE478" s="42" t="n"/>
      <c r="BF478" s="42" t="n"/>
      <c r="BG478" s="42" t="n"/>
      <c r="BH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157">
        <f>IF(OR(Y479="",X479=""),"",IFERROR(Y479*INDEX(FXRates[USD per unit],MATCH(X479,FXRates[Currency],0)),"No rate"))</f>
        <v/>
      </c>
      <c r="AA479" s="32" t="n"/>
      <c r="AB479" s="32" t="n"/>
      <c r="AC479" s="36">
        <f>IF(A479="","",IF(COUNTIF($A$6:$A$504,A479)&gt;1,"⚠ Duplicate",""))</f>
        <v/>
      </c>
      <c r="AD479" s="35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  <c r="AQ479" s="43" t="n"/>
      <c r="AR479" s="43" t="n"/>
      <c r="AS479" s="35" t="n"/>
      <c r="AT479" s="43" t="n"/>
      <c r="AU479" s="43" t="n"/>
      <c r="AV479" s="43" t="n"/>
      <c r="AW479" s="43" t="n"/>
      <c r="AX479" s="43" t="n"/>
      <c r="AY479" s="43" t="n"/>
      <c r="AZ479" s="43" t="n"/>
      <c r="BA479" s="43" t="n"/>
      <c r="BB479" s="43" t="n"/>
      <c r="BC479" s="43" t="n"/>
      <c r="BD479" s="43" t="n"/>
      <c r="BE479" s="43" t="n"/>
      <c r="BF479" s="43" t="n"/>
      <c r="BG479" s="43" t="n"/>
      <c r="BH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158">
        <f>IF(OR(Y480="",X480=""),"",IFERROR(Y480*INDEX(FXRates[USD per unit],MATCH(X480,FXRates[Currency],0)),"No rate"))</f>
        <v/>
      </c>
      <c r="AA480" s="38" t="n"/>
      <c r="AB480" s="38" t="n"/>
      <c r="AC480" s="41">
        <f>IF(A480="","",IF(COUNTIF($A$6:$A$504,A480)&gt;1,"⚠ Duplicate",""))</f>
        <v/>
      </c>
      <c r="AD480" s="40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  <c r="AQ480" s="42" t="n"/>
      <c r="AR480" s="42" t="n"/>
      <c r="AS480" s="40" t="n"/>
      <c r="AT480" s="42" t="n"/>
      <c r="AU480" s="42" t="n"/>
      <c r="AV480" s="42" t="n"/>
      <c r="AW480" s="42" t="n"/>
      <c r="AX480" s="42" t="n"/>
      <c r="AY480" s="42" t="n"/>
      <c r="AZ480" s="42" t="n"/>
      <c r="BA480" s="42" t="n"/>
      <c r="BB480" s="42" t="n"/>
      <c r="BC480" s="42" t="n"/>
      <c r="BD480" s="42" t="n"/>
      <c r="BE480" s="42" t="n"/>
      <c r="BF480" s="42" t="n"/>
      <c r="BG480" s="42" t="n"/>
      <c r="BH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157">
        <f>IF(OR(Y481="",X481=""),"",IFERROR(Y481*INDEX(FXRates[USD per unit],MATCH(X481,FXRates[Currency],0)),"No rate"))</f>
        <v/>
      </c>
      <c r="AA481" s="32" t="n"/>
      <c r="AB481" s="32" t="n"/>
      <c r="AC481" s="36">
        <f>IF(A481="","",IF(COUNTIF($A$6:$A$504,A481)&gt;1,"⚠ Duplicate",""))</f>
        <v/>
      </c>
      <c r="AD481" s="35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  <c r="AQ481" s="43" t="n"/>
      <c r="AR481" s="43" t="n"/>
      <c r="AS481" s="35" t="n"/>
      <c r="AT481" s="43" t="n"/>
      <c r="AU481" s="43" t="n"/>
      <c r="AV481" s="43" t="n"/>
      <c r="AW481" s="43" t="n"/>
      <c r="AX481" s="43" t="n"/>
      <c r="AY481" s="43" t="n"/>
      <c r="AZ481" s="43" t="n"/>
      <c r="BA481" s="43" t="n"/>
      <c r="BB481" s="43" t="n"/>
      <c r="BC481" s="43" t="n"/>
      <c r="BD481" s="43" t="n"/>
      <c r="BE481" s="43" t="n"/>
      <c r="BF481" s="43" t="n"/>
      <c r="BG481" s="43" t="n"/>
      <c r="BH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158">
        <f>IF(OR(Y482="",X482=""),"",IFERROR(Y482*INDEX(FXRates[USD per unit],MATCH(X482,FXRates[Currency],0)),"No rate"))</f>
        <v/>
      </c>
      <c r="AA482" s="38" t="n"/>
      <c r="AB482" s="38" t="n"/>
      <c r="AC482" s="41">
        <f>IF(A482="","",IF(COUNTIF($A$6:$A$504,A482)&gt;1,"⚠ Duplicate",""))</f>
        <v/>
      </c>
      <c r="AD482" s="40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  <c r="AQ482" s="42" t="n"/>
      <c r="AR482" s="42" t="n"/>
      <c r="AS482" s="40" t="n"/>
      <c r="AT482" s="42" t="n"/>
      <c r="AU482" s="42" t="n"/>
      <c r="AV482" s="42" t="n"/>
      <c r="AW482" s="42" t="n"/>
      <c r="AX482" s="42" t="n"/>
      <c r="AY482" s="42" t="n"/>
      <c r="AZ482" s="42" t="n"/>
      <c r="BA482" s="42" t="n"/>
      <c r="BB482" s="42" t="n"/>
      <c r="BC482" s="42" t="n"/>
      <c r="BD482" s="42" t="n"/>
      <c r="BE482" s="42" t="n"/>
      <c r="BF482" s="42" t="n"/>
      <c r="BG482" s="42" t="n"/>
      <c r="BH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157">
        <f>IF(OR(Y483="",X483=""),"",IFERROR(Y483*INDEX(FXRates[USD per unit],MATCH(X483,FXRates[Currency],0)),"No rate"))</f>
        <v/>
      </c>
      <c r="AA483" s="32" t="n"/>
      <c r="AB483" s="32" t="n"/>
      <c r="AC483" s="36">
        <f>IF(A483="","",IF(COUNTIF($A$6:$A$504,A483)&gt;1,"⚠ Duplicate",""))</f>
        <v/>
      </c>
      <c r="AD483" s="35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  <c r="AQ483" s="43" t="n"/>
      <c r="AR483" s="43" t="n"/>
      <c r="AS483" s="35" t="n"/>
      <c r="AT483" s="43" t="n"/>
      <c r="AU483" s="43" t="n"/>
      <c r="AV483" s="43" t="n"/>
      <c r="AW483" s="43" t="n"/>
      <c r="AX483" s="43" t="n"/>
      <c r="AY483" s="43" t="n"/>
      <c r="AZ483" s="43" t="n"/>
      <c r="BA483" s="43" t="n"/>
      <c r="BB483" s="43" t="n"/>
      <c r="BC483" s="43" t="n"/>
      <c r="BD483" s="43" t="n"/>
      <c r="BE483" s="43" t="n"/>
      <c r="BF483" s="43" t="n"/>
      <c r="BG483" s="43" t="n"/>
      <c r="BH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158">
        <f>IF(OR(Y484="",X484=""),"",IFERROR(Y484*INDEX(FXRates[USD per unit],MATCH(X484,FXRates[Currency],0)),"No rate"))</f>
        <v/>
      </c>
      <c r="AA484" s="38" t="n"/>
      <c r="AB484" s="38" t="n"/>
      <c r="AC484" s="41">
        <f>IF(A484="","",IF(COUNTIF($A$6:$A$504,A484)&gt;1,"⚠ Duplicate",""))</f>
        <v/>
      </c>
      <c r="AD484" s="40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  <c r="AQ484" s="42" t="n"/>
      <c r="AR484" s="42" t="n"/>
      <c r="AS484" s="40" t="n"/>
      <c r="AT484" s="42" t="n"/>
      <c r="AU484" s="42" t="n"/>
      <c r="AV484" s="42" t="n"/>
      <c r="AW484" s="42" t="n"/>
      <c r="AX484" s="42" t="n"/>
      <c r="AY484" s="42" t="n"/>
      <c r="AZ484" s="42" t="n"/>
      <c r="BA484" s="42" t="n"/>
      <c r="BB484" s="42" t="n"/>
      <c r="BC484" s="42" t="n"/>
      <c r="BD484" s="42" t="n"/>
      <c r="BE484" s="42" t="n"/>
      <c r="BF484" s="42" t="n"/>
      <c r="BG484" s="42" t="n"/>
      <c r="BH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157">
        <f>IF(OR(Y485="",X485=""),"",IFERROR(Y485*INDEX(FXRates[USD per unit],MATCH(X485,FXRates[Currency],0)),"No rate"))</f>
        <v/>
      </c>
      <c r="AA485" s="32" t="n"/>
      <c r="AB485" s="32" t="n"/>
      <c r="AC485" s="36">
        <f>IF(A485="","",IF(COUNTIF($A$6:$A$504,A485)&gt;1,"⚠ Duplicate",""))</f>
        <v/>
      </c>
      <c r="AD485" s="35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  <c r="AQ485" s="43" t="n"/>
      <c r="AR485" s="43" t="n"/>
      <c r="AS485" s="35" t="n"/>
      <c r="AT485" s="43" t="n"/>
      <c r="AU485" s="43" t="n"/>
      <c r="AV485" s="43" t="n"/>
      <c r="AW485" s="43" t="n"/>
      <c r="AX485" s="43" t="n"/>
      <c r="AY485" s="43" t="n"/>
      <c r="AZ485" s="43" t="n"/>
      <c r="BA485" s="43" t="n"/>
      <c r="BB485" s="43" t="n"/>
      <c r="BC485" s="43" t="n"/>
      <c r="BD485" s="43" t="n"/>
      <c r="BE485" s="43" t="n"/>
      <c r="BF485" s="43" t="n"/>
      <c r="BG485" s="43" t="n"/>
      <c r="BH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158">
        <f>IF(OR(Y486="",X486=""),"",IFERROR(Y486*INDEX(FXRates[USD per unit],MATCH(X486,FXRates[Currency],0)),"No rate"))</f>
        <v/>
      </c>
      <c r="AA486" s="38" t="n"/>
      <c r="AB486" s="38" t="n"/>
      <c r="AC486" s="41">
        <f>IF(A486="","",IF(COUNTIF($A$6:$A$504,A486)&gt;1,"⚠ Duplicate",""))</f>
        <v/>
      </c>
      <c r="AD486" s="40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  <c r="AQ486" s="42" t="n"/>
      <c r="AR486" s="42" t="n"/>
      <c r="AS486" s="40" t="n"/>
      <c r="AT486" s="42" t="n"/>
      <c r="AU486" s="42" t="n"/>
      <c r="AV486" s="42" t="n"/>
      <c r="AW486" s="42" t="n"/>
      <c r="AX486" s="42" t="n"/>
      <c r="AY486" s="42" t="n"/>
      <c r="AZ486" s="42" t="n"/>
      <c r="BA486" s="42" t="n"/>
      <c r="BB486" s="42" t="n"/>
      <c r="BC486" s="42" t="n"/>
      <c r="BD486" s="42" t="n"/>
      <c r="BE486" s="42" t="n"/>
      <c r="BF486" s="42" t="n"/>
      <c r="BG486" s="42" t="n"/>
      <c r="BH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157">
        <f>IF(OR(Y487="",X487=""),"",IFERROR(Y487*INDEX(FXRates[USD per unit],MATCH(X487,FXRates[Currency],0)),"No rate"))</f>
        <v/>
      </c>
      <c r="AA487" s="32" t="n"/>
      <c r="AB487" s="32" t="n"/>
      <c r="AC487" s="36">
        <f>IF(A487="","",IF(COUNTIF($A$6:$A$504,A487)&gt;1,"⚠ Duplicate",""))</f>
        <v/>
      </c>
      <c r="AD487" s="35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  <c r="AQ487" s="43" t="n"/>
      <c r="AR487" s="43" t="n"/>
      <c r="AS487" s="35" t="n"/>
      <c r="AT487" s="43" t="n"/>
      <c r="AU487" s="43" t="n"/>
      <c r="AV487" s="43" t="n"/>
      <c r="AW487" s="43" t="n"/>
      <c r="AX487" s="43" t="n"/>
      <c r="AY487" s="43" t="n"/>
      <c r="AZ487" s="43" t="n"/>
      <c r="BA487" s="43" t="n"/>
      <c r="BB487" s="43" t="n"/>
      <c r="BC487" s="43" t="n"/>
      <c r="BD487" s="43" t="n"/>
      <c r="BE487" s="43" t="n"/>
      <c r="BF487" s="43" t="n"/>
      <c r="BG487" s="43" t="n"/>
      <c r="BH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158">
        <f>IF(OR(Y488="",X488=""),"",IFERROR(Y488*INDEX(FXRates[USD per unit],MATCH(X488,FXRates[Currency],0)),"No rate"))</f>
        <v/>
      </c>
      <c r="AA488" s="38" t="n"/>
      <c r="AB488" s="38" t="n"/>
      <c r="AC488" s="41">
        <f>IF(A488="","",IF(COUNTIF($A$6:$A$504,A488)&gt;1,"⚠ Duplicate",""))</f>
        <v/>
      </c>
      <c r="AD488" s="40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  <c r="AQ488" s="42" t="n"/>
      <c r="AR488" s="42" t="n"/>
      <c r="AS488" s="40" t="n"/>
      <c r="AT488" s="42" t="n"/>
      <c r="AU488" s="42" t="n"/>
      <c r="AV488" s="42" t="n"/>
      <c r="AW488" s="42" t="n"/>
      <c r="AX488" s="42" t="n"/>
      <c r="AY488" s="42" t="n"/>
      <c r="AZ488" s="42" t="n"/>
      <c r="BA488" s="42" t="n"/>
      <c r="BB488" s="42" t="n"/>
      <c r="BC488" s="42" t="n"/>
      <c r="BD488" s="42" t="n"/>
      <c r="BE488" s="42" t="n"/>
      <c r="BF488" s="42" t="n"/>
      <c r="BG488" s="42" t="n"/>
      <c r="BH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157">
        <f>IF(OR(Y489="",X489=""),"",IFERROR(Y489*INDEX(FXRates[USD per unit],MATCH(X489,FXRates[Currency],0)),"No rate"))</f>
        <v/>
      </c>
      <c r="AA489" s="32" t="n"/>
      <c r="AB489" s="32" t="n"/>
      <c r="AC489" s="36">
        <f>IF(A489="","",IF(COUNTIF($A$6:$A$504,A489)&gt;1,"⚠ Duplicate",""))</f>
        <v/>
      </c>
      <c r="AD489" s="35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  <c r="AQ489" s="43" t="n"/>
      <c r="AR489" s="43" t="n"/>
      <c r="AS489" s="35" t="n"/>
      <c r="AT489" s="43" t="n"/>
      <c r="AU489" s="43" t="n"/>
      <c r="AV489" s="43" t="n"/>
      <c r="AW489" s="43" t="n"/>
      <c r="AX489" s="43" t="n"/>
      <c r="AY489" s="43" t="n"/>
      <c r="AZ489" s="43" t="n"/>
      <c r="BA489" s="43" t="n"/>
      <c r="BB489" s="43" t="n"/>
      <c r="BC489" s="43" t="n"/>
      <c r="BD489" s="43" t="n"/>
      <c r="BE489" s="43" t="n"/>
      <c r="BF489" s="43" t="n"/>
      <c r="BG489" s="43" t="n"/>
      <c r="BH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158">
        <f>IF(OR(Y490="",X490=""),"",IFERROR(Y490*INDEX(FXRates[USD per unit],MATCH(X490,FXRates[Currency],0)),"No rate"))</f>
        <v/>
      </c>
      <c r="AA490" s="38" t="n"/>
      <c r="AB490" s="38" t="n"/>
      <c r="AC490" s="41">
        <f>IF(A490="","",IF(COUNTIF($A$6:$A$504,A490)&gt;1,"⚠ Duplicate",""))</f>
        <v/>
      </c>
      <c r="AD490" s="40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  <c r="AQ490" s="42" t="n"/>
      <c r="AR490" s="42" t="n"/>
      <c r="AS490" s="40" t="n"/>
      <c r="AT490" s="42" t="n"/>
      <c r="AU490" s="42" t="n"/>
      <c r="AV490" s="42" t="n"/>
      <c r="AW490" s="42" t="n"/>
      <c r="AX490" s="42" t="n"/>
      <c r="AY490" s="42" t="n"/>
      <c r="AZ490" s="42" t="n"/>
      <c r="BA490" s="42" t="n"/>
      <c r="BB490" s="42" t="n"/>
      <c r="BC490" s="42" t="n"/>
      <c r="BD490" s="42" t="n"/>
      <c r="BE490" s="42" t="n"/>
      <c r="BF490" s="42" t="n"/>
      <c r="BG490" s="42" t="n"/>
      <c r="BH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157">
        <f>IF(OR(Y491="",X491=""),"",IFERROR(Y491*INDEX(FXRates[USD per unit],MATCH(X491,FXRates[Currency],0)),"No rate"))</f>
        <v/>
      </c>
      <c r="AA491" s="32" t="n"/>
      <c r="AB491" s="32" t="n"/>
      <c r="AC491" s="36">
        <f>IF(A491="","",IF(COUNTIF($A$6:$A$504,A491)&gt;1,"⚠ Duplicate",""))</f>
        <v/>
      </c>
      <c r="AD491" s="35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  <c r="AQ491" s="43" t="n"/>
      <c r="AR491" s="43" t="n"/>
      <c r="AS491" s="35" t="n"/>
      <c r="AT491" s="43" t="n"/>
      <c r="AU491" s="43" t="n"/>
      <c r="AV491" s="43" t="n"/>
      <c r="AW491" s="43" t="n"/>
      <c r="AX491" s="43" t="n"/>
      <c r="AY491" s="43" t="n"/>
      <c r="AZ491" s="43" t="n"/>
      <c r="BA491" s="43" t="n"/>
      <c r="BB491" s="43" t="n"/>
      <c r="BC491" s="43" t="n"/>
      <c r="BD491" s="43" t="n"/>
      <c r="BE491" s="43" t="n"/>
      <c r="BF491" s="43" t="n"/>
      <c r="BG491" s="43" t="n"/>
      <c r="BH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158">
        <f>IF(OR(Y492="",X492=""),"",IFERROR(Y492*INDEX(FXRates[USD per unit],MATCH(X492,FXRates[Currency],0)),"No rate"))</f>
        <v/>
      </c>
      <c r="AA492" s="38" t="n"/>
      <c r="AB492" s="38" t="n"/>
      <c r="AC492" s="41">
        <f>IF(A492="","",IF(COUNTIF($A$6:$A$504,A492)&gt;1,"⚠ Duplicate",""))</f>
        <v/>
      </c>
      <c r="AD492" s="40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  <c r="AQ492" s="42" t="n"/>
      <c r="AR492" s="42" t="n"/>
      <c r="AS492" s="40" t="n"/>
      <c r="AT492" s="42" t="n"/>
      <c r="AU492" s="42" t="n"/>
      <c r="AV492" s="42" t="n"/>
      <c r="AW492" s="42" t="n"/>
      <c r="AX492" s="42" t="n"/>
      <c r="AY492" s="42" t="n"/>
      <c r="AZ492" s="42" t="n"/>
      <c r="BA492" s="42" t="n"/>
      <c r="BB492" s="42" t="n"/>
      <c r="BC492" s="42" t="n"/>
      <c r="BD492" s="42" t="n"/>
      <c r="BE492" s="42" t="n"/>
      <c r="BF492" s="42" t="n"/>
      <c r="BG492" s="42" t="n"/>
      <c r="BH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157">
        <f>IF(OR(Y493="",X493=""),"",IFERROR(Y493*INDEX(FXRates[USD per unit],MATCH(X493,FXRates[Currency],0)),"No rate"))</f>
        <v/>
      </c>
      <c r="AA493" s="32" t="n"/>
      <c r="AB493" s="32" t="n"/>
      <c r="AC493" s="36">
        <f>IF(A493="","",IF(COUNTIF($A$6:$A$504,A493)&gt;1,"⚠ Duplicate",""))</f>
        <v/>
      </c>
      <c r="AD493" s="35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  <c r="AQ493" s="43" t="n"/>
      <c r="AR493" s="43" t="n"/>
      <c r="AS493" s="35" t="n"/>
      <c r="AT493" s="43" t="n"/>
      <c r="AU493" s="43" t="n"/>
      <c r="AV493" s="43" t="n"/>
      <c r="AW493" s="43" t="n"/>
      <c r="AX493" s="43" t="n"/>
      <c r="AY493" s="43" t="n"/>
      <c r="AZ493" s="43" t="n"/>
      <c r="BA493" s="43" t="n"/>
      <c r="BB493" s="43" t="n"/>
      <c r="BC493" s="43" t="n"/>
      <c r="BD493" s="43" t="n"/>
      <c r="BE493" s="43" t="n"/>
      <c r="BF493" s="43" t="n"/>
      <c r="BG493" s="43" t="n"/>
      <c r="BH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158">
        <f>IF(OR(Y494="",X494=""),"",IFERROR(Y494*INDEX(FXRates[USD per unit],MATCH(X494,FXRates[Currency],0)),"No rate"))</f>
        <v/>
      </c>
      <c r="AA494" s="38" t="n"/>
      <c r="AB494" s="38" t="n"/>
      <c r="AC494" s="41">
        <f>IF(A494="","",IF(COUNTIF($A$6:$A$504,A494)&gt;1,"⚠ Duplicate",""))</f>
        <v/>
      </c>
      <c r="AD494" s="40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  <c r="AQ494" s="42" t="n"/>
      <c r="AR494" s="42" t="n"/>
      <c r="AS494" s="40" t="n"/>
      <c r="AT494" s="42" t="n"/>
      <c r="AU494" s="42" t="n"/>
      <c r="AV494" s="42" t="n"/>
      <c r="AW494" s="42" t="n"/>
      <c r="AX494" s="42" t="n"/>
      <c r="AY494" s="42" t="n"/>
      <c r="AZ494" s="42" t="n"/>
      <c r="BA494" s="42" t="n"/>
      <c r="BB494" s="42" t="n"/>
      <c r="BC494" s="42" t="n"/>
      <c r="BD494" s="42" t="n"/>
      <c r="BE494" s="42" t="n"/>
      <c r="BF494" s="42" t="n"/>
      <c r="BG494" s="42" t="n"/>
      <c r="BH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157">
        <f>IF(OR(Y495="",X495=""),"",IFERROR(Y495*INDEX(FXRates[USD per unit],MATCH(X495,FXRates[Currency],0)),"No rate"))</f>
        <v/>
      </c>
      <c r="AA495" s="32" t="n"/>
      <c r="AB495" s="32" t="n"/>
      <c r="AC495" s="36">
        <f>IF(A495="","",IF(COUNTIF($A$6:$A$504,A495)&gt;1,"⚠ Duplicate",""))</f>
        <v/>
      </c>
      <c r="AD495" s="35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  <c r="AQ495" s="43" t="n"/>
      <c r="AR495" s="43" t="n"/>
      <c r="AS495" s="35" t="n"/>
      <c r="AT495" s="43" t="n"/>
      <c r="AU495" s="43" t="n"/>
      <c r="AV495" s="43" t="n"/>
      <c r="AW495" s="43" t="n"/>
      <c r="AX495" s="43" t="n"/>
      <c r="AY495" s="43" t="n"/>
      <c r="AZ495" s="43" t="n"/>
      <c r="BA495" s="43" t="n"/>
      <c r="BB495" s="43" t="n"/>
      <c r="BC495" s="43" t="n"/>
      <c r="BD495" s="43" t="n"/>
      <c r="BE495" s="43" t="n"/>
      <c r="BF495" s="43" t="n"/>
      <c r="BG495" s="43" t="n"/>
      <c r="BH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158">
        <f>IF(OR(Y496="",X496=""),"",IFERROR(Y496*INDEX(FXRates[USD per unit],MATCH(X496,FXRates[Currency],0)),"No rate"))</f>
        <v/>
      </c>
      <c r="AA496" s="38" t="n"/>
      <c r="AB496" s="38" t="n"/>
      <c r="AC496" s="41">
        <f>IF(A496="","",IF(COUNTIF($A$6:$A$504,A496)&gt;1,"⚠ Duplicate",""))</f>
        <v/>
      </c>
      <c r="AD496" s="40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  <c r="AQ496" s="42" t="n"/>
      <c r="AR496" s="42" t="n"/>
      <c r="AS496" s="40" t="n"/>
      <c r="AT496" s="42" t="n"/>
      <c r="AU496" s="42" t="n"/>
      <c r="AV496" s="42" t="n"/>
      <c r="AW496" s="42" t="n"/>
      <c r="AX496" s="42" t="n"/>
      <c r="AY496" s="42" t="n"/>
      <c r="AZ496" s="42" t="n"/>
      <c r="BA496" s="42" t="n"/>
      <c r="BB496" s="42" t="n"/>
      <c r="BC496" s="42" t="n"/>
      <c r="BD496" s="42" t="n"/>
      <c r="BE496" s="42" t="n"/>
      <c r="BF496" s="42" t="n"/>
      <c r="BG496" s="42" t="n"/>
      <c r="BH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157">
        <f>IF(OR(Y497="",X497=""),"",IFERROR(Y497*INDEX(FXRates[USD per unit],MATCH(X497,FXRates[Currency],0)),"No rate"))</f>
        <v/>
      </c>
      <c r="AA497" s="32" t="n"/>
      <c r="AB497" s="32" t="n"/>
      <c r="AC497" s="36">
        <f>IF(A497="","",IF(COUNTIF($A$6:$A$504,A497)&gt;1,"⚠ Duplicate",""))</f>
        <v/>
      </c>
      <c r="AD497" s="35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  <c r="AQ497" s="43" t="n"/>
      <c r="AR497" s="43" t="n"/>
      <c r="AS497" s="35" t="n"/>
      <c r="AT497" s="43" t="n"/>
      <c r="AU497" s="43" t="n"/>
      <c r="AV497" s="43" t="n"/>
      <c r="AW497" s="43" t="n"/>
      <c r="AX497" s="43" t="n"/>
      <c r="AY497" s="43" t="n"/>
      <c r="AZ497" s="43" t="n"/>
      <c r="BA497" s="43" t="n"/>
      <c r="BB497" s="43" t="n"/>
      <c r="BC497" s="43" t="n"/>
      <c r="BD497" s="43" t="n"/>
      <c r="BE497" s="43" t="n"/>
      <c r="BF497" s="43" t="n"/>
      <c r="BG497" s="43" t="n"/>
      <c r="BH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158">
        <f>IF(OR(Y498="",X498=""),"",IFERROR(Y498*INDEX(FXRates[USD per unit],MATCH(X498,FXRates[Currency],0)),"No rate"))</f>
        <v/>
      </c>
      <c r="AA498" s="38" t="n"/>
      <c r="AB498" s="38" t="n"/>
      <c r="AC498" s="41">
        <f>IF(A498="","",IF(COUNTIF($A$6:$A$504,A498)&gt;1,"⚠ Duplicate",""))</f>
        <v/>
      </c>
      <c r="AD498" s="40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  <c r="AQ498" s="42" t="n"/>
      <c r="AR498" s="42" t="n"/>
      <c r="AS498" s="40" t="n"/>
      <c r="AT498" s="42" t="n"/>
      <c r="AU498" s="42" t="n"/>
      <c r="AV498" s="42" t="n"/>
      <c r="AW498" s="42" t="n"/>
      <c r="AX498" s="42" t="n"/>
      <c r="AY498" s="42" t="n"/>
      <c r="AZ498" s="42" t="n"/>
      <c r="BA498" s="42" t="n"/>
      <c r="BB498" s="42" t="n"/>
      <c r="BC498" s="42" t="n"/>
      <c r="BD498" s="42" t="n"/>
      <c r="BE498" s="42" t="n"/>
      <c r="BF498" s="42" t="n"/>
      <c r="BG498" s="42" t="n"/>
      <c r="BH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157">
        <f>IF(OR(Y499="",X499=""),"",IFERROR(Y499*INDEX(FXRates[USD per unit],MATCH(X499,FXRates[Currency],0)),"No rate"))</f>
        <v/>
      </c>
      <c r="AA499" s="32" t="n"/>
      <c r="AB499" s="32" t="n"/>
      <c r="AC499" s="36">
        <f>IF(A499="","",IF(COUNTIF($A$6:$A$504,A499)&gt;1,"⚠ Duplicate",""))</f>
        <v/>
      </c>
      <c r="AD499" s="35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  <c r="AQ499" s="43" t="n"/>
      <c r="AR499" s="43" t="n"/>
      <c r="AS499" s="35" t="n"/>
      <c r="AT499" s="43" t="n"/>
      <c r="AU499" s="43" t="n"/>
      <c r="AV499" s="43" t="n"/>
      <c r="AW499" s="43" t="n"/>
      <c r="AX499" s="43" t="n"/>
      <c r="AY499" s="43" t="n"/>
      <c r="AZ499" s="43" t="n"/>
      <c r="BA499" s="43" t="n"/>
      <c r="BB499" s="43" t="n"/>
      <c r="BC499" s="43" t="n"/>
      <c r="BD499" s="43" t="n"/>
      <c r="BE499" s="43" t="n"/>
      <c r="BF499" s="43" t="n"/>
      <c r="BG499" s="43" t="n"/>
      <c r="BH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158">
        <f>IF(OR(Y500="",X500=""),"",IFERROR(Y500*INDEX(FXRates[USD per unit],MATCH(X500,FXRates[Currency],0)),"No rate"))</f>
        <v/>
      </c>
      <c r="AA500" s="38" t="n"/>
      <c r="AB500" s="38" t="n"/>
      <c r="AC500" s="41">
        <f>IF(A500="","",IF(COUNTIF($A$6:$A$504,A500)&gt;1,"⚠ Duplicate",""))</f>
        <v/>
      </c>
      <c r="AD500" s="40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  <c r="AQ500" s="42" t="n"/>
      <c r="AR500" s="42" t="n"/>
      <c r="AS500" s="40" t="n"/>
      <c r="AT500" s="42" t="n"/>
      <c r="AU500" s="42" t="n"/>
      <c r="AV500" s="42" t="n"/>
      <c r="AW500" s="42" t="n"/>
      <c r="AX500" s="42" t="n"/>
      <c r="AY500" s="42" t="n"/>
      <c r="AZ500" s="42" t="n"/>
      <c r="BA500" s="42" t="n"/>
      <c r="BB500" s="42" t="n"/>
      <c r="BC500" s="42" t="n"/>
      <c r="BD500" s="42" t="n"/>
      <c r="BE500" s="42" t="n"/>
      <c r="BF500" s="42" t="n"/>
      <c r="BG500" s="42" t="n"/>
      <c r="BH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157">
        <f>IF(OR(Y501="",X501=""),"",IFERROR(Y501*INDEX(FXRates[USD per unit],MATCH(X501,FXRates[Currency],0)),"No rate"))</f>
        <v/>
      </c>
      <c r="AA501" s="32" t="n"/>
      <c r="AB501" s="32" t="n"/>
      <c r="AC501" s="36">
        <f>IF(A501="","",IF(COUNTIF($A$6:$A$504,A501)&gt;1,"⚠ Duplicate",""))</f>
        <v/>
      </c>
      <c r="AD501" s="35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  <c r="AQ501" s="43" t="n"/>
      <c r="AR501" s="43" t="n"/>
      <c r="AS501" s="35" t="n"/>
      <c r="AT501" s="43" t="n"/>
      <c r="AU501" s="43" t="n"/>
      <c r="AV501" s="43" t="n"/>
      <c r="AW501" s="43" t="n"/>
      <c r="AX501" s="43" t="n"/>
      <c r="AY501" s="43" t="n"/>
      <c r="AZ501" s="43" t="n"/>
      <c r="BA501" s="43" t="n"/>
      <c r="BB501" s="43" t="n"/>
      <c r="BC501" s="43" t="n"/>
      <c r="BD501" s="43" t="n"/>
      <c r="BE501" s="43" t="n"/>
      <c r="BF501" s="43" t="n"/>
      <c r="BG501" s="43" t="n"/>
      <c r="BH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158">
        <f>IF(OR(Y502="",X502=""),"",IFERROR(Y502*INDEX(FXRates[USD per unit],MATCH(X502,FXRates[Currency],0)),"No rate"))</f>
        <v/>
      </c>
      <c r="AA502" s="38" t="n"/>
      <c r="AB502" s="38" t="n"/>
      <c r="AC502" s="41">
        <f>IF(A502="","",IF(COUNTIF($A$6:$A$504,A502)&gt;1,"⚠ Duplicate",""))</f>
        <v/>
      </c>
      <c r="AD502" s="40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  <c r="AQ502" s="42" t="n"/>
      <c r="AR502" s="42" t="n"/>
      <c r="AS502" s="40" t="n"/>
      <c r="AT502" s="42" t="n"/>
      <c r="AU502" s="42" t="n"/>
      <c r="AV502" s="42" t="n"/>
      <c r="AW502" s="42" t="n"/>
      <c r="AX502" s="42" t="n"/>
      <c r="AY502" s="42" t="n"/>
      <c r="AZ502" s="42" t="n"/>
      <c r="BA502" s="42" t="n"/>
      <c r="BB502" s="42" t="n"/>
      <c r="BC502" s="42" t="n"/>
      <c r="BD502" s="42" t="n"/>
      <c r="BE502" s="42" t="n"/>
      <c r="BF502" s="42" t="n"/>
      <c r="BG502" s="42" t="n"/>
      <c r="BH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157">
        <f>IF(OR(Y503="",X503=""),"",IFERROR(Y503*INDEX(FXRates[USD per unit],MATCH(X503,FXRates[Currency],0)),"No rate"))</f>
        <v/>
      </c>
      <c r="AA503" s="32" t="n"/>
      <c r="AB503" s="32" t="n"/>
      <c r="AC503" s="36">
        <f>IF(A503="","",IF(COUNTIF($A$6:$A$504,A503)&gt;1,"⚠ Duplicate",""))</f>
        <v/>
      </c>
      <c r="AD503" s="35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  <c r="AQ503" s="43" t="n"/>
      <c r="AR503" s="43" t="n"/>
      <c r="AS503" s="35" t="n"/>
      <c r="AT503" s="43" t="n"/>
      <c r="AU503" s="43" t="n"/>
      <c r="AV503" s="43" t="n"/>
      <c r="AW503" s="43" t="n"/>
      <c r="AX503" s="43" t="n"/>
      <c r="AY503" s="43" t="n"/>
      <c r="AZ503" s="43" t="n"/>
      <c r="BA503" s="43" t="n"/>
      <c r="BB503" s="43" t="n"/>
      <c r="BC503" s="43" t="n"/>
      <c r="BD503" s="43" t="n"/>
      <c r="BE503" s="43" t="n"/>
      <c r="BF503" s="43" t="n"/>
      <c r="BG503" s="43" t="n"/>
      <c r="BH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158">
        <f>IF(OR(Y504="",X504=""),"",IFERROR(Y504*INDEX(FXRates[USD per unit],MATCH(X504,FXRates[Currency],0)),"No rate"))</f>
        <v/>
      </c>
      <c r="AA504" s="38" t="n"/>
      <c r="AB504" s="38" t="n"/>
      <c r="AC504" s="41">
        <f>IF(A504="","",IF(COUNTIF($A$6:$A$504,A504)&gt;1,"⚠ Duplicate",""))</f>
        <v/>
      </c>
      <c r="AD504" s="40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  <c r="AQ504" s="42" t="n"/>
      <c r="AR504" s="42" t="n"/>
      <c r="AS504" s="40" t="n"/>
      <c r="AT504" s="42" t="n"/>
      <c r="AU504" s="42" t="n"/>
      <c r="AV504" s="42" t="n"/>
      <c r="AW504" s="42" t="n"/>
      <c r="AX504" s="42" t="n"/>
      <c r="AY504" s="42" t="n"/>
      <c r="AZ504" s="42" t="n"/>
      <c r="BA504" s="42" t="n"/>
      <c r="BB504" s="42" t="n"/>
      <c r="BC504" s="42" t="n"/>
      <c r="BD504" s="42" t="n"/>
      <c r="BE504" s="42" t="n"/>
      <c r="BF504" s="42" t="n"/>
      <c r="BG504" s="42" t="n"/>
      <c r="BH504" s="38" t="n"/>
    </row>
  </sheetData>
  <mergeCells count="15">
    <mergeCell ref="AA3:AC3"/>
    <mergeCell ref="O3:P3"/>
    <mergeCell ref="Q3:V3"/>
    <mergeCell ref="Q4:T4"/>
    <mergeCell ref="A3:F3"/>
    <mergeCell ref="AB2:AC2"/>
    <mergeCell ref="A2:AA2"/>
    <mergeCell ref="U4:V4"/>
    <mergeCell ref="M3:N3"/>
    <mergeCell ref="X3:Z3"/>
    <mergeCell ref="AS1:BH3"/>
    <mergeCell ref="AD1:AR3"/>
    <mergeCell ref="G3:H3"/>
    <mergeCell ref="K3:L3"/>
    <mergeCell ref="I3:J3"/>
  </mergeCells>
  <conditionalFormatting sqref="BH6:BH504">
    <cfRule type="expression" priority="1" dxfId="3">
      <formula>$BH6="Unverified"</formula>
    </cfRule>
    <cfRule type="expression" priority="2" dxfId="4">
      <formula>$BH6="No data"</formula>
    </cfRule>
  </conditionalFormatting>
  <conditionalFormatting sqref="A6:BH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AT36:BG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35:BG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37:BG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38:BG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30:BG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2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T6:BG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BH6:BH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  <dataValidation sqref="AE6:AR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AD6:AD504" showDropDown="0" showInputMessage="0" showErrorMessage="1" allowBlank="1" errorTitle="Invalid project cost" error="Enter the cost in millions, in the project currency. Type 12.5, not 12.5M." promptTitle="Project cost (M)" prompt="The presales estimated project cost, in millions of the project currency." type="decimal" operator="greaterThanOrEqual">
      <formula1>0</formula1>
    </dataValidation>
    <dataValidation sqref="AS6:AS504" showDropDown="0" showInputMessage="0" showErrorMessage="1" allowBlank="1" errorTitle="Invalid project cost" error="Enter the cost in millions, in the project currency. Type 12.5, not 12.5M." promptTitle="Project cost (M)" prompt="The final actual project cost, in millions of the project currency." type="decimal" operator="greaterThanOrEqual">
      <formula1>0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72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5" customWidth="1" style="74" min="22" max="22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  <c r="I1" s="160" t="inlineStr">
        <is>
          <t>Version v42  ·  2026-09-25  ·  see Change Log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1" t="inlineStr">
        <is>
          <t>All</t>
        </is>
      </c>
      <c r="M5" s="162" t="n"/>
      <c r="N5" s="162" t="n"/>
      <c r="O5" s="162" t="n"/>
      <c r="P5" s="162" t="n"/>
      <c r="Q5" s="163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1" t="n"/>
      <c r="M6" s="162" t="n"/>
      <c r="N6" s="162" t="n"/>
      <c r="O6" s="162" t="n"/>
      <c r="P6" s="162" t="n"/>
      <c r="Q6" s="163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4" t="n"/>
      <c r="M7" s="162" t="n"/>
      <c r="N7" s="162" t="n"/>
      <c r="O7" s="162" t="n"/>
      <c r="P7" s="162" t="n"/>
      <c r="Q7" s="163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1" t="inlineStr">
        <is>
          <t>All</t>
        </is>
      </c>
      <c r="M8" s="162" t="n"/>
      <c r="N8" s="162" t="n"/>
      <c r="O8" s="162" t="n"/>
      <c r="P8" s="162" t="n"/>
      <c r="Q8" s="163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5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6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7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8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  <c r="V16" s="28" t="inlineStr">
        <is>
          <t>Solution
Type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  <c r="V17" s="61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  <c r="V18" s="32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  <c r="V19" s="38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  <c r="V20" s="32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  <c r="V21" s="38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74">
      <c r="A22" s="3" t="n"/>
    </row>
    <row r="23" ht="24" customHeight="1" s="74">
      <c r="A23" s="168" t="inlineStr">
        <is>
          <t xml:space="preserve">  📅  ESTIMATED SCHEDULE &amp; MANHOUR COST  —  from closest match</t>
        </is>
      </c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70" t="n"/>
      <c r="S24" s="70" t="n"/>
      <c r="T24" s="70" t="n"/>
      <c r="U24" s="70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107" t="inlineStr">
        <is>
          <t>Solution Type</t>
        </is>
      </c>
      <c r="S25" s="88" t="n"/>
      <c r="T25" s="88" t="n"/>
      <c r="U25" s="88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106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S26" s="91" t="n"/>
      <c r="T26" s="91" t="n"/>
      <c r="U26" s="91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170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4" s="94" t="n"/>
      <c r="Q34" s="94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Presales est.</t>
        </is>
      </c>
      <c r="L35" s="88" t="n"/>
      <c r="M35" s="88" t="n"/>
      <c r="N35" s="88" t="n"/>
      <c r="O35" s="107" t="inlineStr">
        <is>
          <t>Actual</t>
        </is>
      </c>
      <c r="P35" s="88" t="n"/>
      <c r="Q35" s="88" t="n"/>
      <c r="R35" s="107" t="inlineStr">
        <is>
          <t>Difference</t>
        </is>
      </c>
      <c r="S35" s="88" t="n"/>
      <c r="T35" s="88" t="n"/>
      <c r="U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IFERROR(IF(INDEX(_Helper!A2:A501,MATCH(LARGE(_Helper!BH2:BH501,1),_Helper!BH2:BH501,0))="","-",IF(N(INDEX(_Helper!CT2:CT501,MATCH(LARGE(_Helper!BH2:BH501,1),_Helper!BH2:BH501,0)))=0,"—",INDEX(_Helper!CF2:CF501,MATCH(LARGE(_Helper!BH2:BH501,1),_Helper!BH2:BH501,0)))),"-")</f>
        <v/>
      </c>
      <c r="L36" s="94" t="n"/>
      <c r="M36" s="94" t="n"/>
      <c r="N36" s="94" t="n"/>
      <c r="O36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won"),INDEX(_Helper!BJ2:BJ501,MATCH(LARGE(_Helper!BH2:BH501,1),_Helper!BH2:BH501,0)))),"-")</f>
        <v/>
      </c>
      <c r="P36" s="94" t="n"/>
      <c r="Q36" s="94" t="n"/>
      <c r="R36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data",N(INDEX(_Helper!BX2:BX501,MATCH(LARGE(_Helper!BH2:BH501,1),_Helper!BH2:BH501,0)))=0)),"",INDEX(_Helper!BJ2:BJ501,MATCH(LARGE(_Helper!BH2:BH501,1),_Helper!BH2:BH501,0))-INDEX(_Helper!CF2:CF501,MATCH(LARGE(_Helper!BH2:BH501,1),_Helper!BH2:BH501,0))),"")</f>
        <v/>
      </c>
      <c r="S36" s="94" t="n"/>
      <c r="T36" s="94" t="n"/>
      <c r="U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IFERROR(IF(INDEX(_Helper!A2:A501,MATCH(LARGE(_Helper!BH2:BH501,1),_Helper!BH2:BH501,0))="","-",IF(N(INDEX(_Helper!CT2:CT501,MATCH(LARGE(_Helper!BH2:BH501,1),_Helper!BH2:BH501,0)))=0,"—",INDEX(_Helper!CG2:CG501,MATCH(LARGE(_Helper!BH2:BH501,1),_Helper!BH2:BH501,0)))),"-")</f>
        <v/>
      </c>
      <c r="L37" s="94" t="n"/>
      <c r="M37" s="94" t="n"/>
      <c r="N37" s="94" t="n"/>
      <c r="O3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won"),INDEX(_Helper!BK2:BK501,MATCH(LARGE(_Helper!BH2:BH501,1),_Helper!BH2:BH501,0)))),"-")</f>
        <v/>
      </c>
      <c r="P37" s="94" t="n"/>
      <c r="Q37" s="94" t="n"/>
      <c r="R37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data",N(INDEX(_Helper!BX2:BX501,MATCH(LARGE(_Helper!BH2:BH501,1),_Helper!BH2:BH501,0)))=0)),"",INDEX(_Helper!BK2:BK501,MATCH(LARGE(_Helper!BH2:BH501,1),_Helper!BH2:BH501,0))-INDEX(_Helper!CG2:CG501,MATCH(LARGE(_Helper!BH2:BH501,1),_Helper!BH2:BH501,0))),"")</f>
        <v/>
      </c>
      <c r="S37" s="94" t="n"/>
      <c r="T37" s="94" t="n"/>
      <c r="U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IFERROR(IF(INDEX(_Helper!A2:A501,MATCH(LARGE(_Helper!BH2:BH501,1),_Helper!BH2:BH501,0))="","-",IF(N(INDEX(_Helper!CT2:CT501,MATCH(LARGE(_Helper!BH2:BH501,1),_Helper!BH2:BH501,0)))=0,"—",INDEX(_Helper!CH2:CH501,MATCH(LARGE(_Helper!BH2:BH501,1),_Helper!BH2:BH501,0)))),"-")</f>
        <v/>
      </c>
      <c r="L38" s="94" t="n"/>
      <c r="M38" s="94" t="n"/>
      <c r="N38" s="94" t="n"/>
      <c r="O3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won"),INDEX(_Helper!BL2:BL501,MATCH(LARGE(_Helper!BH2:BH501,1),_Helper!BH2:BH501,0)))),"-")</f>
        <v/>
      </c>
      <c r="P38" s="94" t="n"/>
      <c r="Q38" s="94" t="n"/>
      <c r="R38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data",N(INDEX(_Helper!BX2:BX501,MATCH(LARGE(_Helper!BH2:BH501,1),_Helper!BH2:BH501,0)))=0)),"",INDEX(_Helper!BL2:BL501,MATCH(LARGE(_Helper!BH2:BH501,1),_Helper!BH2:BH501,0))-INDEX(_Helper!CH2:CH501,MATCH(LARGE(_Helper!BH2:BH501,1),_Helper!BH2:BH501,0))),"")</f>
        <v/>
      </c>
      <c r="S38" s="94" t="n"/>
      <c r="T38" s="94" t="n"/>
      <c r="U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IFERROR(IF(INDEX(_Helper!A2:A501,MATCH(LARGE(_Helper!BH2:BH501,1),_Helper!BH2:BH501,0))="","-",IF(N(INDEX(_Helper!CT2:CT501,MATCH(LARGE(_Helper!BH2:BH501,1),_Helper!BH2:BH501,0)))=0,"—",INDEX(_Helper!CI2:CI501,MATCH(LARGE(_Helper!BH2:BH501,1),_Helper!BH2:BH501,0)))),"-")</f>
        <v/>
      </c>
      <c r="L39" s="94" t="n"/>
      <c r="M39" s="94" t="n"/>
      <c r="N39" s="94" t="n"/>
      <c r="O3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won"),INDEX(_Helper!BM2:BM501,MATCH(LARGE(_Helper!BH2:BH501,1),_Helper!BH2:BH501,0)))),"-")</f>
        <v/>
      </c>
      <c r="P39" s="94" t="n"/>
      <c r="Q39" s="94" t="n"/>
      <c r="R39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data",N(INDEX(_Helper!BX2:BX501,MATCH(LARGE(_Helper!BH2:BH501,1),_Helper!BH2:BH501,0)))=0)),"",INDEX(_Helper!BM2:BM501,MATCH(LARGE(_Helper!BH2:BH501,1),_Helper!BH2:BH501,0))-INDEX(_Helper!CI2:CI501,MATCH(LARGE(_Helper!BH2:BH501,1),_Helper!BH2:BH501,0))),"")</f>
        <v/>
      </c>
      <c r="S39" s="94" t="n"/>
      <c r="T39" s="94" t="n"/>
      <c r="U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IFERROR(IF(INDEX(_Helper!A2:A501,MATCH(LARGE(_Helper!BH2:BH501,1),_Helper!BH2:BH501,0))="","-",IF(N(INDEX(_Helper!CT2:CT501,MATCH(LARGE(_Helper!BH2:BH501,1),_Helper!BH2:BH501,0)))=0,"—",INDEX(_Helper!CJ2:CJ501,MATCH(LARGE(_Helper!BH2:BH501,1),_Helper!BH2:BH501,0)))),"-")</f>
        <v/>
      </c>
      <c r="L40" s="94" t="n"/>
      <c r="M40" s="94" t="n"/>
      <c r="N40" s="94" t="n"/>
      <c r="O40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won"),INDEX(_Helper!BN2:BN501,MATCH(LARGE(_Helper!BH2:BH501,1),_Helper!BH2:BH501,0)))),"-")</f>
        <v/>
      </c>
      <c r="P40" s="94" t="n"/>
      <c r="Q40" s="94" t="n"/>
      <c r="R40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data",N(INDEX(_Helper!BX2:BX501,MATCH(LARGE(_Helper!BH2:BH501,1),_Helper!BH2:BH501,0)))=0)),"",INDEX(_Helper!BN2:BN501,MATCH(LARGE(_Helper!BH2:BH501,1),_Helper!BH2:BH501,0))-INDEX(_Helper!CJ2:CJ501,MATCH(LARGE(_Helper!BH2:BH501,1),_Helper!BH2:BH501,0))),"")</f>
        <v/>
      </c>
      <c r="S40" s="94" t="n"/>
      <c r="T40" s="94" t="n"/>
      <c r="U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IFERROR(IF(INDEX(_Helper!A2:A501,MATCH(LARGE(_Helper!BH2:BH501,1),_Helper!BH2:BH501,0))="","-",IF(N(INDEX(_Helper!CT2:CT501,MATCH(LARGE(_Helper!BH2:BH501,1),_Helper!BH2:BH501,0)))=0,"—",INDEX(_Helper!CK2:CK501,MATCH(LARGE(_Helper!BH2:BH501,1),_Helper!BH2:BH501,0)))),"-")</f>
        <v/>
      </c>
      <c r="L41" s="94" t="n"/>
      <c r="M41" s="94" t="n"/>
      <c r="N41" s="94" t="n"/>
      <c r="O41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won"),INDEX(_Helper!BO2:BO501,MATCH(LARGE(_Helper!BH2:BH501,1),_Helper!BH2:BH501,0)))),"-")</f>
        <v/>
      </c>
      <c r="P41" s="94" t="n"/>
      <c r="Q41" s="94" t="n"/>
      <c r="R41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data",N(INDEX(_Helper!BX2:BX501,MATCH(LARGE(_Helper!BH2:BH501,1),_Helper!BH2:BH501,0)))=0)),"",INDEX(_Helper!BO2:BO501,MATCH(LARGE(_Helper!BH2:BH501,1),_Helper!BH2:BH501,0))-INDEX(_Helper!CK2:CK501,MATCH(LARGE(_Helper!BH2:BH501,1),_Helper!BH2:BH501,0))),"")</f>
        <v/>
      </c>
      <c r="S41" s="94" t="n"/>
      <c r="T41" s="94" t="n"/>
      <c r="U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IFERROR(IF(INDEX(_Helper!A2:A501,MATCH(LARGE(_Helper!BH2:BH501,1),_Helper!BH2:BH501,0))="","-",IF(N(INDEX(_Helper!CT2:CT501,MATCH(LARGE(_Helper!BH2:BH501,1),_Helper!BH2:BH501,0)))=0,"—",INDEX(_Helper!CL2:CL501,MATCH(LARGE(_Helper!BH2:BH501,1),_Helper!BH2:BH501,0)))),"-")</f>
        <v/>
      </c>
      <c r="L42" s="94" t="n"/>
      <c r="M42" s="94" t="n"/>
      <c r="N42" s="94" t="n"/>
      <c r="O42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won"),INDEX(_Helper!BP2:BP501,MATCH(LARGE(_Helper!BH2:BH501,1),_Helper!BH2:BH501,0)))),"-")</f>
        <v/>
      </c>
      <c r="P42" s="94" t="n"/>
      <c r="Q42" s="94" t="n"/>
      <c r="R42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data",N(INDEX(_Helper!BX2:BX501,MATCH(LARGE(_Helper!BH2:BH501,1),_Helper!BH2:BH501,0)))=0)),"",INDEX(_Helper!BP2:BP501,MATCH(LARGE(_Helper!BH2:BH501,1),_Helper!BH2:BH501,0))-INDEX(_Helper!CL2:CL501,MATCH(LARGE(_Helper!BH2:BH501,1),_Helper!BH2:BH501,0))),"")</f>
        <v/>
      </c>
      <c r="S42" s="94" t="n"/>
      <c r="T42" s="94" t="n"/>
      <c r="U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IFERROR(IF(INDEX(_Helper!A2:A501,MATCH(LARGE(_Helper!BH2:BH501,1),_Helper!BH2:BH501,0))="","-",IF(N(INDEX(_Helper!CT2:CT501,MATCH(LARGE(_Helper!BH2:BH501,1),_Helper!BH2:BH501,0)))=0,"—",INDEX(_Helper!CM2:CM501,MATCH(LARGE(_Helper!BH2:BH501,1),_Helper!BH2:BH501,0)))),"-")</f>
        <v/>
      </c>
      <c r="L43" s="94" t="n"/>
      <c r="M43" s="94" t="n"/>
      <c r="N43" s="94" t="n"/>
      <c r="O43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won"),INDEX(_Helper!BQ2:BQ501,MATCH(LARGE(_Helper!BH2:BH501,1),_Helper!BH2:BH501,0)))),"-")</f>
        <v/>
      </c>
      <c r="P43" s="94" t="n"/>
      <c r="Q43" s="94" t="n"/>
      <c r="R43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data",N(INDEX(_Helper!BX2:BX501,MATCH(LARGE(_Helper!BH2:BH501,1),_Helper!BH2:BH501,0)))=0)),"",INDEX(_Helper!BQ2:BQ501,MATCH(LARGE(_Helper!BH2:BH501,1),_Helper!BH2:BH501,0))-INDEX(_Helper!CM2:CM501,MATCH(LARGE(_Helper!BH2:BH501,1),_Helper!BH2:BH501,0))),"")</f>
        <v/>
      </c>
      <c r="S43" s="94" t="n"/>
      <c r="T43" s="94" t="n"/>
      <c r="U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IFERROR(IF(INDEX(_Helper!A2:A501,MATCH(LARGE(_Helper!BH2:BH501,1),_Helper!BH2:BH501,0))="","-",IF(N(INDEX(_Helper!CT2:CT501,MATCH(LARGE(_Helper!BH2:BH501,1),_Helper!BH2:BH501,0)))=0,"—",INDEX(_Helper!CN2:CN501,MATCH(LARGE(_Helper!BH2:BH501,1),_Helper!BH2:BH501,0)))),"-")</f>
        <v/>
      </c>
      <c r="L44" s="94" t="n"/>
      <c r="M44" s="94" t="n"/>
      <c r="N44" s="94" t="n"/>
      <c r="O44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won"),INDEX(_Helper!BR2:BR501,MATCH(LARGE(_Helper!BH2:BH501,1),_Helper!BH2:BH501,0)))),"-")</f>
        <v/>
      </c>
      <c r="P44" s="94" t="n"/>
      <c r="Q44" s="94" t="n"/>
      <c r="R44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data",N(INDEX(_Helper!BX2:BX501,MATCH(LARGE(_Helper!BH2:BH501,1),_Helper!BH2:BH501,0)))=0)),"",INDEX(_Helper!BR2:BR501,MATCH(LARGE(_Helper!BH2:BH501,1),_Helper!BH2:BH501,0))-INDEX(_Helper!CN2:CN501,MATCH(LARGE(_Helper!BH2:BH501,1),_Helper!BH2:BH501,0))),"")</f>
        <v/>
      </c>
      <c r="S44" s="94" t="n"/>
      <c r="T44" s="94" t="n"/>
      <c r="U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IFERROR(IF(INDEX(_Helper!A2:A501,MATCH(LARGE(_Helper!BH2:BH501,1),_Helper!BH2:BH501,0))="","-",IF(N(INDEX(_Helper!CT2:CT501,MATCH(LARGE(_Helper!BH2:BH501,1),_Helper!BH2:BH501,0)))=0,"—",INDEX(_Helper!CO2:CO501,MATCH(LARGE(_Helper!BH2:BH501,1),_Helper!BH2:BH501,0)))),"-")</f>
        <v/>
      </c>
      <c r="L45" s="94" t="n"/>
      <c r="M45" s="94" t="n"/>
      <c r="N45" s="94" t="n"/>
      <c r="O45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won"),INDEX(_Helper!BS2:BS501,MATCH(LARGE(_Helper!BH2:BH501,1),_Helper!BH2:BH501,0)))),"-")</f>
        <v/>
      </c>
      <c r="P45" s="94" t="n"/>
      <c r="Q45" s="94" t="n"/>
      <c r="R45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data",N(INDEX(_Helper!BX2:BX501,MATCH(LARGE(_Helper!BH2:BH501,1),_Helper!BH2:BH501,0)))=0)),"",INDEX(_Helper!BS2:BS501,MATCH(LARGE(_Helper!BH2:BH501,1),_Helper!BH2:BH501,0))-INDEX(_Helper!CO2:CO501,MATCH(LARGE(_Helper!BH2:BH501,1),_Helper!BH2:BH501,0))),"")</f>
        <v/>
      </c>
      <c r="S45" s="94" t="n"/>
      <c r="T45" s="94" t="n"/>
      <c r="U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IFERROR(IF(INDEX(_Helper!A2:A501,MATCH(LARGE(_Helper!BH2:BH501,1),_Helper!BH2:BH501,0))="","-",IF(N(INDEX(_Helper!CT2:CT501,MATCH(LARGE(_Helper!BH2:BH501,1),_Helper!BH2:BH501,0)))=0,"—",INDEX(_Helper!CP2:CP501,MATCH(LARGE(_Helper!BH2:BH501,1),_Helper!BH2:BH501,0)))),"-")</f>
        <v/>
      </c>
      <c r="L46" s="94" t="n"/>
      <c r="M46" s="94" t="n"/>
      <c r="N46" s="94" t="n"/>
      <c r="O46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won"),INDEX(_Helper!BT2:BT501,MATCH(LARGE(_Helper!BH2:BH501,1),_Helper!BH2:BH501,0)))),"-")</f>
        <v/>
      </c>
      <c r="P46" s="94" t="n"/>
      <c r="Q46" s="94" t="n"/>
      <c r="R46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data",N(INDEX(_Helper!BX2:BX501,MATCH(LARGE(_Helper!BH2:BH501,1),_Helper!BH2:BH501,0)))=0)),"",INDEX(_Helper!BT2:BT501,MATCH(LARGE(_Helper!BH2:BH501,1),_Helper!BH2:BH501,0))-INDEX(_Helper!CP2:CP501,MATCH(LARGE(_Helper!BH2:BH501,1),_Helper!BH2:BH501,0))),"")</f>
        <v/>
      </c>
      <c r="S46" s="94" t="n"/>
      <c r="T46" s="94" t="n"/>
      <c r="U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IFERROR(IF(INDEX(_Helper!A2:A501,MATCH(LARGE(_Helper!BH2:BH501,1),_Helper!BH2:BH501,0))="","-",IF(N(INDEX(_Helper!CT2:CT501,MATCH(LARGE(_Helper!BH2:BH501,1),_Helper!BH2:BH501,0)))=0,"—",INDEX(_Helper!CQ2:CQ501,MATCH(LARGE(_Helper!BH2:BH501,1),_Helper!BH2:BH501,0)))),"-")</f>
        <v/>
      </c>
      <c r="L47" s="94" t="n"/>
      <c r="M47" s="94" t="n"/>
      <c r="N47" s="94" t="n"/>
      <c r="O4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won"),INDEX(_Helper!BU2:BU501,MATCH(LARGE(_Helper!BH2:BH501,1),_Helper!BH2:BH501,0)))),"-")</f>
        <v/>
      </c>
      <c r="P47" s="94" t="n"/>
      <c r="Q47" s="94" t="n"/>
      <c r="R47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data",N(INDEX(_Helper!BX2:BX501,MATCH(LARGE(_Helper!BH2:BH501,1),_Helper!BH2:BH501,0)))=0)),"",INDEX(_Helper!BU2:BU501,MATCH(LARGE(_Helper!BH2:BH501,1),_Helper!BH2:BH501,0))-INDEX(_Helper!CQ2:CQ501,MATCH(LARGE(_Helper!BH2:BH501,1),_Helper!BH2:BH501,0))),"")</f>
        <v/>
      </c>
      <c r="S47" s="94" t="n"/>
      <c r="T47" s="94" t="n"/>
      <c r="U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IFERROR(IF(INDEX(_Helper!A2:A501,MATCH(LARGE(_Helper!BH2:BH501,1),_Helper!BH2:BH501,0))="","-",IF(N(INDEX(_Helper!CT2:CT501,MATCH(LARGE(_Helper!BH2:BH501,1),_Helper!BH2:BH501,0)))=0,"—",INDEX(_Helper!CR2:CR501,MATCH(LARGE(_Helper!BH2:BH501,1),_Helper!BH2:BH501,0)))),"-")</f>
        <v/>
      </c>
      <c r="L48" s="94" t="n"/>
      <c r="M48" s="94" t="n"/>
      <c r="N48" s="94" t="n"/>
      <c r="O4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won"),INDEX(_Helper!BV2:BV501,MATCH(LARGE(_Helper!BH2:BH501,1),_Helper!BH2:BH501,0)))),"-")</f>
        <v/>
      </c>
      <c r="P48" s="94" t="n"/>
      <c r="Q48" s="94" t="n"/>
      <c r="R48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data",N(INDEX(_Helper!BX2:BX501,MATCH(LARGE(_Helper!BH2:BH501,1),_Helper!BH2:BH501,0)))=0)),"",INDEX(_Helper!BV2:BV501,MATCH(LARGE(_Helper!BH2:BH501,1),_Helper!BH2:BH501,0))-INDEX(_Helper!CR2:CR501,MATCH(LARGE(_Helper!BH2:BH501,1),_Helper!BH2:BH501,0))),"")</f>
        <v/>
      </c>
      <c r="S48" s="94" t="n"/>
      <c r="T48" s="94" t="n"/>
      <c r="U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IFERROR(IF(INDEX(_Helper!A2:A501,MATCH(LARGE(_Helper!BH2:BH501,1),_Helper!BH2:BH501,0))="","-",IF(N(INDEX(_Helper!CT2:CT501,MATCH(LARGE(_Helper!BH2:BH501,1),_Helper!BH2:BH501,0)))=0,"—",INDEX(_Helper!CS2:CS501,MATCH(LARGE(_Helper!BH2:BH501,1),_Helper!BH2:BH501,0)))),"-")</f>
        <v/>
      </c>
      <c r="L49" s="94" t="n"/>
      <c r="M49" s="94" t="n"/>
      <c r="N49" s="94" t="n"/>
      <c r="O4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won"),INDEX(_Helper!BW2:BW501,MATCH(LARGE(_Helper!BH2:BH501,1),_Helper!BH2:BH501,0)))),"-")</f>
        <v/>
      </c>
      <c r="P49" s="94" t="n"/>
      <c r="Q49" s="94" t="n"/>
      <c r="R49" s="196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data",N(INDEX(_Helper!BX2:BX501,MATCH(LARGE(_Helper!BH2:BH501,1),_Helper!BH2:BH501,0)))=0)),"",INDEX(_Helper!BW2:BW501,MATCH(LARGE(_Helper!BH2:BH501,1),_Helper!BH2:BH501,0))-INDEX(_Helper!CS2:CS501,MATCH(LARGE(_Helper!BH2:BH501,1),_Helper!BH2:BH501,0))),"")</f>
        <v/>
      </c>
      <c r="S49" s="94" t="n"/>
      <c r="T49" s="94" t="n"/>
      <c r="U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IFERROR(IF(INDEX(_Helper!A2:A501,MATCH(LARGE(_Helper!BH2:BH501,1),_Helper!BH2:BH501,0))="","-",IF(N(INDEX(_Helper!CT2:CT501,MATCH(LARGE(_Helper!BH2:BH501,1),_Helper!BH2:BH501,0)))=0,"No data",INDEX(_Helper!CT2:CT501,MATCH(LARGE(_Helper!BH2:BH501,1),_Helper!BH2:BH501,0)))),"-")</f>
        <v/>
      </c>
      <c r="L50" s="94" t="n"/>
      <c r="M50" s="94" t="n"/>
      <c r="N50" s="94" t="n"/>
      <c r="O50" s="112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won"),INDEX(_Helper!BX2:BX501,MATCH(LARGE(_Helper!BH2:BH501,1),_Helper!BH2:BH501,0)))),"-")</f>
        <v/>
      </c>
      <c r="P50" s="94" t="n"/>
      <c r="Q50" s="94" t="n"/>
      <c r="R50" s="197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data",N(INDEX(_Helper!BX2:BX501,MATCH(LARGE(_Helper!BH2:BH501,1),_Helper!BH2:BH501,0)))=0)),"",INDEX(_Helper!BX2:BX501,MATCH(LARGE(_Helper!BH2:BH501,1),_Helper!BH2:BH501,0))-INDEX(_Helper!CT2:CT501,MATCH(LARGE(_Helper!BH2:BH501,1),_Helper!BH2:BH501,0))),"")</f>
        <v/>
      </c>
      <c r="S50" s="94" t="n"/>
      <c r="T50" s="94" t="n"/>
      <c r="U50" s="94" t="n"/>
    </row>
    <row r="51" ht="21.75" customHeight="1" s="74">
      <c r="A51" s="92" t="inlineStr">
        <is>
          <t>Project cost (M)</t>
        </is>
      </c>
      <c r="B51" s="91" t="n"/>
      <c r="C51" s="91" t="n"/>
      <c r="D51" s="91" t="n"/>
      <c r="E51" s="91" t="n"/>
      <c r="F51" s="91" t="n"/>
      <c r="G51" s="91" t="n"/>
      <c r="H51" s="91" t="n"/>
      <c r="I51" s="91" t="n"/>
      <c r="J51" s="91" t="n"/>
      <c r="K51" s="128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L51" s="94" t="n"/>
      <c r="M51" s="94" t="n"/>
      <c r="N51" s="94" t="n"/>
      <c r="O51" s="170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P51" s="94" t="n"/>
      <c r="Q51" s="94" t="n"/>
      <c r="R51" s="128">
        <f>IFERROR(IF(AND(N(INDEX(_Helper!CU2:CU501,MATCH(LARGE(_Helper!BH2:BH501,1),_Helper!BH2:BH501,0)))&gt;0,N(INDEX(_Helper!CV2:CV501,MATCH(LARGE(_Helper!BH2:BH501,1),_Helper!BH2:BH501,0)))&gt;0),IF((INDEX(_Helper!CV2:CV501,MATCH(LARGE(_Helper!BH2:BH501,1),_Helper!BH2:BH501,0))-INDEX(_Helper!CU2:CU501,MATCH(LARGE(_Helper!BH2:BH501,1),_Helper!BH2:BH501,0)))&lt;0,"-","+")&amp;TEXT(ABS(INDEX(_Helper!CV2:CV501,MATCH(LARGE(_Helper!BH2:BH501,1),_Helper!BH2:BH501,0))-INDEX(_Helper!CU2:CU501,MATCH(LARGE(_Helper!BH2:BH501,1),_Helper!BH2:BH501,0))),"#,##0.00")&amp;" M",""),"")</f>
        <v/>
      </c>
      <c r="S51" s="94" t="n"/>
      <c r="T51" s="94" t="n"/>
      <c r="U51" s="94" t="n"/>
    </row>
    <row r="52" ht="21.75" customHeight="1" s="74">
      <c r="A52" s="92" t="inlineStr">
        <is>
          <t>Manhour cost (M)</t>
        </is>
      </c>
      <c r="B52" s="91" t="n"/>
      <c r="C52" s="91" t="n"/>
      <c r="D52" s="91" t="n"/>
      <c r="E52" s="91" t="n"/>
      <c r="F52" s="91" t="n"/>
      <c r="G52" s="91" t="n"/>
      <c r="H52" s="91" t="n"/>
      <c r="I52" s="91" t="n"/>
      <c r="J52" s="91" t="n"/>
      <c r="K52" s="128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L52" s="94" t="n"/>
      <c r="M52" s="94" t="n"/>
      <c r="N52" s="94" t="n"/>
      <c r="O52" s="170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P52" s="94" t="n"/>
      <c r="Q52" s="94" t="n"/>
      <c r="R52" s="128">
        <f>IFERROR(IF(OR(N(INDEX(_Helper!CT2:CT501,MATCH(LARGE(_Helper!BH2:BH501,1),_Helper!BH2:BH501,0)))=0,OR(INDEX(_Helper!CE2:CE501,MATCH(LARGE(_Helper!BH2:BH501,1),_Helper!BH2:BH501,0))="",INDEX(_Helper!CE2:CE501,MATCH(LARGE(_Helper!BH2:BH501,1),_Helper!BH2:BH501,0))="No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,N(INDEX(_Helper!CU2:CU501,MATCH(LARGE(_Helper!BH2:BH501,1),_Helper!BH2:BH501,0)))=0,N(INDEX(_Helper!CV2:CV501,MATCH(LARGE(_Helper!BH2:BH501,1),_Helper!BH2:BH501,0)))=0),"",IF(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&lt;0,"-","+")&amp;TEXT(ABS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,"#,##0.00")&amp;" M"),"")</f>
        <v/>
      </c>
      <c r="S52" s="94" t="n"/>
      <c r="T52" s="94" t="n"/>
      <c r="U52" s="94" t="n"/>
    </row>
    <row r="53" ht="21.75" customHeight="1" s="74">
      <c r="A53" s="92" t="inlineStr">
        <is>
          <t>Actual data status</t>
        </is>
      </c>
      <c r="B53" s="91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128" t="n"/>
      <c r="L53" s="94" t="n"/>
      <c r="M53" s="94" t="n"/>
      <c r="N53" s="94" t="n"/>
      <c r="O53" s="170">
        <f>IFERROR(IF(INDEX(_Helper!A2:A501,MATCH(LARGE(_Helper!BH2:BH501,1),_Helper!BH2:BH501,0))="","-",IF(INDEX(_Helper!CC2:CC501,MATCH(LARGE(_Helper!BH2:BH501,1),_Helper!BH2:BH501,0))&lt;&gt;"Yes","Not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set)",INDEX(_Helper!CE2:CE501,MATCH(LARGE(_Helper!BH2:BH501,1),_Helper!BH2:BH501,0))))),"-")</f>
        <v/>
      </c>
      <c r="P53" s="94" t="n"/>
      <c r="Q53" s="94" t="n"/>
    </row>
    <row r="54" ht="15.75" customHeight="1" s="74"/>
    <row r="55" ht="15.75" customHeight="1" s="74"/>
    <row r="56" ht="21.75" customHeight="1" s="74">
      <c r="A56" s="168" t="inlineStr">
        <is>
          <t xml:space="preserve">  SYSTEM MATCH SCORECARD  —  closest match breakdown</t>
        </is>
      </c>
      <c r="R56" s="3" t="n"/>
      <c r="S56" s="3" t="n"/>
      <c r="T56" s="3" t="n"/>
      <c r="U56" s="3" t="n"/>
    </row>
    <row r="57" ht="19.5" customHeight="1" s="74">
      <c r="A57" s="127" t="inlineStr">
        <is>
          <t>System</t>
        </is>
      </c>
      <c r="B57" s="88" t="n"/>
      <c r="C57" s="88" t="n"/>
      <c r="D57" s="88" t="n"/>
      <c r="E57" s="88" t="n"/>
      <c r="F57" s="87" t="inlineStr">
        <is>
          <t>Score</t>
        </is>
      </c>
      <c r="G57" s="88" t="n"/>
      <c r="H57" s="88" t="n"/>
      <c r="I57" s="87" t="inlineStr">
        <is>
          <t>Status</t>
        </is>
      </c>
      <c r="J57" s="88" t="n"/>
      <c r="K57" s="88" t="n"/>
      <c r="L57" s="87" t="inlineStr">
        <is>
          <t>Match Strength  ◀──────────────▶</t>
        </is>
      </c>
      <c r="M57" s="88" t="n"/>
      <c r="N57" s="88" t="n"/>
      <c r="O57" s="88" t="n"/>
      <c r="P57" s="88" t="n"/>
      <c r="Q57" s="88" t="n"/>
      <c r="R57" s="3" t="n"/>
      <c r="S57" s="3" t="n"/>
      <c r="T57" s="3" t="n"/>
      <c r="U57" s="3" t="n"/>
    </row>
    <row r="58" ht="24" customHeight="1" s="74">
      <c r="A58" s="95" t="inlineStr">
        <is>
          <t>Multishuttle</t>
        </is>
      </c>
      <c r="B58" s="72" t="n"/>
      <c r="C58" s="72" t="n"/>
      <c r="D58" s="72" t="n"/>
      <c r="E58" s="72" t="n"/>
      <c r="F58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8" s="94" t="n"/>
      <c r="H58" s="94" t="n"/>
      <c r="I58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8" s="91" t="n"/>
      <c r="K58" s="91" t="n"/>
      <c r="L58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131" t="inlineStr">
        <is>
          <t>AutoStore</t>
        </is>
      </c>
      <c r="B59" s="72" t="n"/>
      <c r="C59" s="72" t="n"/>
      <c r="D59" s="72" t="n"/>
      <c r="E59" s="72" t="n"/>
      <c r="F59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9" s="94" t="n"/>
      <c r="H59" s="94" t="n"/>
      <c r="I59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9" s="91" t="n"/>
      <c r="K59" s="91" t="n"/>
      <c r="L59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05" t="inlineStr">
        <is>
          <t>Pallet Shuttle</t>
        </is>
      </c>
      <c r="B60" s="72" t="n"/>
      <c r="C60" s="72" t="n"/>
      <c r="D60" s="72" t="n"/>
      <c r="E60" s="72" t="n"/>
      <c r="F60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60" s="94" t="n"/>
      <c r="H60" s="94" t="n"/>
      <c r="I60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60" s="91" t="n"/>
      <c r="K60" s="91" t="n"/>
      <c r="L60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24" customHeight="1" s="74">
      <c r="A61" s="133" t="inlineStr">
        <is>
          <t>SRM Crane</t>
        </is>
      </c>
      <c r="B61" s="72" t="n"/>
      <c r="C61" s="72" t="n"/>
      <c r="D61" s="72" t="n"/>
      <c r="E61" s="72" t="n"/>
      <c r="F61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61" s="94" t="n"/>
      <c r="H61" s="94" t="n"/>
      <c r="I61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61" s="91" t="n"/>
      <c r="K61" s="91" t="n"/>
      <c r="L61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61" s="91" t="n"/>
      <c r="N61" s="91" t="n"/>
      <c r="O61" s="91" t="n"/>
      <c r="P61" s="91" t="n"/>
      <c r="Q61" s="91" t="n"/>
      <c r="R61" s="3" t="n"/>
      <c r="S61" s="3" t="n"/>
      <c r="T61" s="3" t="n"/>
      <c r="U61" s="3" t="n"/>
    </row>
    <row r="62" ht="24" customHeight="1" s="74">
      <c r="A62" s="89" t="inlineStr">
        <is>
          <t>Conveyors</t>
        </is>
      </c>
      <c r="B62" s="72" t="n"/>
      <c r="C62" s="72" t="n"/>
      <c r="D62" s="72" t="n"/>
      <c r="E62" s="72" t="n"/>
      <c r="F62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62" s="94" t="n"/>
      <c r="H62" s="94" t="n"/>
      <c r="I62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62" s="91" t="n"/>
      <c r="K62" s="91" t="n"/>
      <c r="L62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62" s="91" t="n"/>
      <c r="N62" s="91" t="n"/>
      <c r="O62" s="91" t="n"/>
      <c r="P62" s="91" t="n"/>
      <c r="Q62" s="91" t="n"/>
      <c r="R62" s="3" t="n"/>
      <c r="S62" s="3" t="n"/>
      <c r="T62" s="3" t="n"/>
      <c r="U62" s="3" t="n"/>
    </row>
    <row r="63" ht="24" customHeight="1" s="74">
      <c r="A63" s="132" t="inlineStr">
        <is>
          <t>Keywords</t>
        </is>
      </c>
      <c r="B63" s="72" t="n"/>
      <c r="C63" s="72" t="n"/>
      <c r="D63" s="72" t="n"/>
      <c r="E63" s="72" t="n"/>
      <c r="F63" s="126">
        <f>IF('Smart Search'!G13=0,"—",TEXT(IFERROR(INDEX(_Helper!BD2:BD501,MATCH(LARGE(_Helper!BH2:BH501,1),_Helper!BH2:BH501,0))/IFERROR(1/'Smart Search'!H13,0),0),"0%"))</f>
        <v/>
      </c>
      <c r="G63" s="94" t="n"/>
      <c r="H63" s="94" t="n"/>
      <c r="I63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3" s="91" t="n"/>
      <c r="K63" s="91" t="n"/>
      <c r="L63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3" s="91" t="n"/>
      <c r="N63" s="91" t="n"/>
      <c r="O63" s="91" t="n"/>
      <c r="P63" s="91" t="n"/>
      <c r="Q63" s="91" t="n"/>
      <c r="R63" s="3" t="n"/>
      <c r="S63" s="3" t="n"/>
      <c r="T63" s="3" t="n"/>
      <c r="U63" s="3" t="n"/>
    </row>
    <row r="64" ht="15.75" customHeight="1" s="74">
      <c r="A64" s="171" t="inlineStr">
        <is>
          <t xml:space="preserve">  ✅ Strong ≥ 70%     🟡 Partial 30–69%     ❌ Weak &lt; 30%     — System not included in search</t>
        </is>
      </c>
      <c r="R64" s="3" t="n"/>
      <c r="S64" s="3" t="n"/>
      <c r="T64" s="3" t="n"/>
      <c r="U64" s="3" t="n"/>
    </row>
    <row r="65" s="74"/>
    <row r="66" s="74"/>
    <row r="67" s="74"/>
    <row r="68" s="74"/>
    <row r="69" s="74"/>
    <row r="70" s="74"/>
    <row r="71" s="74"/>
    <row r="72" s="74"/>
  </sheetData>
  <mergeCells count="154">
    <mergeCell ref="L62:Q62"/>
    <mergeCell ref="K48:N48"/>
    <mergeCell ref="I10:Q11"/>
    <mergeCell ref="O44:Q44"/>
    <mergeCell ref="A14:V14"/>
    <mergeCell ref="L8:Q8"/>
    <mergeCell ref="A43:J43"/>
    <mergeCell ref="K38:N38"/>
    <mergeCell ref="A52:J52"/>
    <mergeCell ref="O51:Q51"/>
    <mergeCell ref="L63:Q63"/>
    <mergeCell ref="R52:U52"/>
    <mergeCell ref="O47:Q47"/>
    <mergeCell ref="K49:N49"/>
    <mergeCell ref="I8:K8"/>
    <mergeCell ref="A34:J34"/>
    <mergeCell ref="R44:U44"/>
    <mergeCell ref="K33:N33"/>
    <mergeCell ref="F61:H61"/>
    <mergeCell ref="A11:G11"/>
    <mergeCell ref="A15:V15"/>
    <mergeCell ref="A49:J49"/>
    <mergeCell ref="I63:K63"/>
    <mergeCell ref="A36:J36"/>
    <mergeCell ref="A57:E57"/>
    <mergeCell ref="K26:N26"/>
    <mergeCell ref="I59:K59"/>
    <mergeCell ref="K35:N35"/>
    <mergeCell ref="A63:E63"/>
    <mergeCell ref="R51:U51"/>
    <mergeCell ref="O39:Q39"/>
    <mergeCell ref="R41:U41"/>
    <mergeCell ref="A32:J32"/>
    <mergeCell ref="L5:Q5"/>
    <mergeCell ref="K39:N39"/>
    <mergeCell ref="A29:J29"/>
    <mergeCell ref="R43:U43"/>
    <mergeCell ref="A38:J38"/>
    <mergeCell ref="O50:Q50"/>
    <mergeCell ref="K37:N37"/>
    <mergeCell ref="A44:J44"/>
    <mergeCell ref="I62:K62"/>
    <mergeCell ref="A31:J31"/>
    <mergeCell ref="O46:Q46"/>
    <mergeCell ref="A40:J40"/>
    <mergeCell ref="O52:Q52"/>
    <mergeCell ref="A23:U23"/>
    <mergeCell ref="O48:Q48"/>
    <mergeCell ref="A1:G1"/>
    <mergeCell ref="O38:Q38"/>
    <mergeCell ref="K51:N51"/>
    <mergeCell ref="R25:U25"/>
    <mergeCell ref="I9:Q9"/>
    <mergeCell ref="K32:N32"/>
    <mergeCell ref="K41:N41"/>
    <mergeCell ref="K50:N50"/>
    <mergeCell ref="R45:U45"/>
    <mergeCell ref="A24:U24"/>
    <mergeCell ref="A3:G3"/>
    <mergeCell ref="L57:Q57"/>
    <mergeCell ref="A26:D26"/>
    <mergeCell ref="A12:G12"/>
    <mergeCell ref="K43:N43"/>
    <mergeCell ref="A50:J50"/>
    <mergeCell ref="K52:N52"/>
    <mergeCell ref="A58:E58"/>
    <mergeCell ref="R47:U47"/>
    <mergeCell ref="A42:J42"/>
    <mergeCell ref="K27:N27"/>
    <mergeCell ref="F59:H59"/>
    <mergeCell ref="A47:J47"/>
    <mergeCell ref="E10:G10"/>
    <mergeCell ref="K42:N42"/>
    <mergeCell ref="O49:Q49"/>
    <mergeCell ref="O41:Q41"/>
    <mergeCell ref="O35:Q35"/>
    <mergeCell ref="A60:E60"/>
    <mergeCell ref="A64:Q64"/>
    <mergeCell ref="O25:Q25"/>
    <mergeCell ref="A28:J28"/>
    <mergeCell ref="O43:Q43"/>
    <mergeCell ref="K28:N28"/>
    <mergeCell ref="I5:K5"/>
    <mergeCell ref="O42:Q42"/>
    <mergeCell ref="A30:J30"/>
    <mergeCell ref="K25:N25"/>
    <mergeCell ref="F58:H58"/>
    <mergeCell ref="K30:N30"/>
    <mergeCell ref="L6:Q6"/>
    <mergeCell ref="A51:J51"/>
    <mergeCell ref="E25:J25"/>
    <mergeCell ref="K45:N45"/>
    <mergeCell ref="A56:Q56"/>
    <mergeCell ref="F60:H60"/>
    <mergeCell ref="R49:U49"/>
    <mergeCell ref="F57:H57"/>
    <mergeCell ref="K29:N29"/>
    <mergeCell ref="O37:Q37"/>
    <mergeCell ref="K47:N47"/>
    <mergeCell ref="A41:J41"/>
    <mergeCell ref="F63:H63"/>
    <mergeCell ref="K31:N31"/>
    <mergeCell ref="L7:Q7"/>
    <mergeCell ref="K46:N46"/>
    <mergeCell ref="K40:N40"/>
    <mergeCell ref="O53:Q53"/>
    <mergeCell ref="R36:U36"/>
    <mergeCell ref="A27:J27"/>
    <mergeCell ref="A2:G2"/>
    <mergeCell ref="I57:K57"/>
    <mergeCell ref="R42:U42"/>
    <mergeCell ref="I7:K7"/>
    <mergeCell ref="A33:J33"/>
    <mergeCell ref="A59:E59"/>
    <mergeCell ref="O26:Q26"/>
    <mergeCell ref="A53:J53"/>
    <mergeCell ref="A35:J35"/>
    <mergeCell ref="I58:K58"/>
    <mergeCell ref="R46:U46"/>
    <mergeCell ref="A61:E61"/>
    <mergeCell ref="F62:H62"/>
    <mergeCell ref="I12:Q12"/>
    <mergeCell ref="L58:Q58"/>
    <mergeCell ref="R39:U39"/>
    <mergeCell ref="O40:Q40"/>
    <mergeCell ref="R48:U48"/>
    <mergeCell ref="L60:Q60"/>
    <mergeCell ref="A39:J39"/>
    <mergeCell ref="K34:N34"/>
    <mergeCell ref="A48:J48"/>
    <mergeCell ref="E26:J26"/>
    <mergeCell ref="I1:Q1"/>
    <mergeCell ref="R38:U38"/>
    <mergeCell ref="I4:Q4"/>
    <mergeCell ref="A45:J45"/>
    <mergeCell ref="K36:N36"/>
    <mergeCell ref="L59:Q59"/>
    <mergeCell ref="I60:K60"/>
    <mergeCell ref="R40:U40"/>
    <mergeCell ref="A25:D25"/>
    <mergeCell ref="L61:Q61"/>
    <mergeCell ref="R37:U37"/>
    <mergeCell ref="O34:Q34"/>
    <mergeCell ref="I6:K6"/>
    <mergeCell ref="A46:J46"/>
    <mergeCell ref="K44:N44"/>
    <mergeCell ref="A37:J37"/>
    <mergeCell ref="A62:E62"/>
    <mergeCell ref="R26:U26"/>
    <mergeCell ref="O36:Q36"/>
    <mergeCell ref="R35:U35"/>
    <mergeCell ref="I61:K61"/>
    <mergeCell ref="O45:Q45"/>
    <mergeCell ref="R50:U50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V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Act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  <c r="CE1" s="4" t="inlineStr">
        <is>
          <t>Act Data Status</t>
        </is>
      </c>
      <c r="CF1" s="4" t="inlineStr">
        <is>
          <t>MH% Est Mech Inst</t>
        </is>
      </c>
      <c r="CG1" s="4" t="inlineStr">
        <is>
          <t>MH% Est Elec Inst</t>
        </is>
      </c>
      <c r="CH1" s="4" t="inlineStr">
        <is>
          <t>MH% Est Project Management</t>
        </is>
      </c>
      <c r="CI1" s="4" t="inlineStr">
        <is>
          <t>MH% Est Systems Eng</t>
        </is>
      </c>
      <c r="CJ1" s="4" t="inlineStr">
        <is>
          <t>MH% Est Mechanical Eng</t>
        </is>
      </c>
      <c r="CK1" s="4" t="inlineStr">
        <is>
          <t>MH% Est Structural Engineering</t>
        </is>
      </c>
      <c r="CL1" s="4" t="inlineStr">
        <is>
          <t>MH% Est Site Sup</t>
        </is>
      </c>
      <c r="CM1" s="4" t="inlineStr">
        <is>
          <t>MH% Est Controls Commissioning</t>
        </is>
      </c>
      <c r="CN1" s="4" t="inlineStr">
        <is>
          <t>MH% Est Systems Commissioning</t>
        </is>
      </c>
      <c r="CO1" s="4" t="inlineStr">
        <is>
          <t>MH% Est Service Commissioning</t>
        </is>
      </c>
      <c r="CP1" s="4" t="inlineStr">
        <is>
          <t>MH% Est Controls Eng</t>
        </is>
      </c>
      <c r="CQ1" s="4" t="inlineStr">
        <is>
          <t>MH% Est Controls Purchase</t>
        </is>
      </c>
      <c r="CR1" s="4" t="inlineStr">
        <is>
          <t>MH% Est Software Eng</t>
        </is>
      </c>
      <c r="CS1" s="4" t="inlineStr">
        <is>
          <t>MH% Est Misc</t>
        </is>
      </c>
      <c r="CT1" s="4" t="inlineStr">
        <is>
          <t>MH% Est TOTAL</t>
        </is>
      </c>
      <c r="CU1" s="4" t="inlineStr">
        <is>
          <t>Est Cost (M)</t>
        </is>
      </c>
      <c r="CV1" s="4" t="inlineStr">
        <is>
          <t>Act Cost (M)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IF(A2="","",N(INDEX(Projects[Act Mech Inst],1)))</f>
        <v/>
      </c>
      <c r="BK2" s="5">
        <f>IF(A2="","",N(INDEX(Projects[Act Elec Inst],1)))</f>
        <v/>
      </c>
      <c r="BL2" s="5">
        <f>IF(A2="","",N(INDEX(Projects[Act Project Management],1)))</f>
        <v/>
      </c>
      <c r="BM2" s="5">
        <f>IF(A2="","",N(INDEX(Projects[Act Systems Eng],1)))</f>
        <v/>
      </c>
      <c r="BN2" s="5">
        <f>IF(A2="","",N(INDEX(Projects[Act Mechanical Eng],1)))</f>
        <v/>
      </c>
      <c r="BO2" s="5">
        <f>IF(A2="","",N(INDEX(Projects[Act Structural Engineering],1)))</f>
        <v/>
      </c>
      <c r="BP2" s="5">
        <f>IF(A2="","",N(INDEX(Projects[Act Site Sup],1)))</f>
        <v/>
      </c>
      <c r="BQ2" s="5">
        <f>IF(A2="","",N(INDEX(Projects[Act Controls Commissioning],1)))</f>
        <v/>
      </c>
      <c r="BR2" s="5">
        <f>IF(A2="","",N(INDEX(Projects[Act Systems Commissioning],1)))</f>
        <v/>
      </c>
      <c r="BS2" s="5">
        <f>IF(A2="","",N(INDEX(Projects[Act Service Commissioning],1)))</f>
        <v/>
      </c>
      <c r="BT2" s="5">
        <f>IF(A2="","",N(INDEX(Projects[Act Controls Eng],1)))</f>
        <v/>
      </c>
      <c r="BU2" s="5">
        <f>IF(A2="","",N(INDEX(Projects[Act Controls Purchase],1)))</f>
        <v/>
      </c>
      <c r="BV2" s="5">
        <f>IF(A2="","",N(INDEX(Projects[Act Software Eng],1)))</f>
        <v/>
      </c>
      <c r="BW2" s="5">
        <f>IF(A2="","",N(INDEX(Projects[Act 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  <c r="CE2" s="5">
        <f>INDEX(Projects[Act Data Status],1)&amp;""</f>
        <v/>
      </c>
      <c r="CF2" s="5">
        <f>IF(A2="","",N(INDEX(Projects[Est Mech Inst],1)))</f>
        <v/>
      </c>
      <c r="CG2" s="5">
        <f>IF(A2="","",N(INDEX(Projects[Est Elec Inst],1)))</f>
        <v/>
      </c>
      <c r="CH2" s="5">
        <f>IF(A2="","",N(INDEX(Projects[Est Project Management],1)))</f>
        <v/>
      </c>
      <c r="CI2" s="5">
        <f>IF(A2="","",N(INDEX(Projects[Est Systems Eng],1)))</f>
        <v/>
      </c>
      <c r="CJ2" s="5">
        <f>IF(A2="","",N(INDEX(Projects[Est Mechanical Eng],1)))</f>
        <v/>
      </c>
      <c r="CK2" s="5">
        <f>IF(A2="","",N(INDEX(Projects[Est Structural Engineering],1)))</f>
        <v/>
      </c>
      <c r="CL2" s="5">
        <f>IF(A2="","",N(INDEX(Projects[Est Site Sup],1)))</f>
        <v/>
      </c>
      <c r="CM2" s="5">
        <f>IF(A2="","",N(INDEX(Projects[Est Controls Commissioning],1)))</f>
        <v/>
      </c>
      <c r="CN2" s="5">
        <f>IF(A2="","",N(INDEX(Projects[Est Systems Commissioning],1)))</f>
        <v/>
      </c>
      <c r="CO2" s="5">
        <f>IF(A2="","",N(INDEX(Projects[Est Service Commissioning],1)))</f>
        <v/>
      </c>
      <c r="CP2" s="5">
        <f>IF(A2="","",N(INDEX(Projects[Est Controls Eng],1)))</f>
        <v/>
      </c>
      <c r="CQ2" s="5">
        <f>IF(A2="","",N(INDEX(Projects[Est Controls Purchase],1)))</f>
        <v/>
      </c>
      <c r="CR2" s="5">
        <f>IF(A2="","",N(INDEX(Projects[Est Software Eng],1)))</f>
        <v/>
      </c>
      <c r="CS2" s="5">
        <f>IF(A2="","",N(INDEX(Projects[Est Misc],1)))</f>
        <v/>
      </c>
      <c r="CT2" s="5">
        <f>IF(A2="","",SUM(CF2:CS2))</f>
        <v/>
      </c>
      <c r="CU2" s="5">
        <f>INDEX(Projects[Est Cost (M)],1)</f>
        <v/>
      </c>
      <c r="CV2" s="5">
        <f>INDEX(Projects[Act Cost (M)],1)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IF(A3="","",N(INDEX(Projects[Act Mech Inst],2)))</f>
        <v/>
      </c>
      <c r="BK3" s="5">
        <f>IF(A3="","",N(INDEX(Projects[Act Elec Inst],2)))</f>
        <v/>
      </c>
      <c r="BL3" s="5">
        <f>IF(A3="","",N(INDEX(Projects[Act Project Management],2)))</f>
        <v/>
      </c>
      <c r="BM3" s="5">
        <f>IF(A3="","",N(INDEX(Projects[Act Systems Eng],2)))</f>
        <v/>
      </c>
      <c r="BN3" s="5">
        <f>IF(A3="","",N(INDEX(Projects[Act Mechanical Eng],2)))</f>
        <v/>
      </c>
      <c r="BO3" s="5">
        <f>IF(A3="","",N(INDEX(Projects[Act Structural Engineering],2)))</f>
        <v/>
      </c>
      <c r="BP3" s="5">
        <f>IF(A3="","",N(INDEX(Projects[Act Site Sup],2)))</f>
        <v/>
      </c>
      <c r="BQ3" s="5">
        <f>IF(A3="","",N(INDEX(Projects[Act Controls Commissioning],2)))</f>
        <v/>
      </c>
      <c r="BR3" s="5">
        <f>IF(A3="","",N(INDEX(Projects[Act Systems Commissioning],2)))</f>
        <v/>
      </c>
      <c r="BS3" s="5">
        <f>IF(A3="","",N(INDEX(Projects[Act Service Commissioning],2)))</f>
        <v/>
      </c>
      <c r="BT3" s="5">
        <f>IF(A3="","",N(INDEX(Projects[Act Controls Eng],2)))</f>
        <v/>
      </c>
      <c r="BU3" s="5">
        <f>IF(A3="","",N(INDEX(Projects[Act Controls Purchase],2)))</f>
        <v/>
      </c>
      <c r="BV3" s="5">
        <f>IF(A3="","",N(INDEX(Projects[Act Software Eng],2)))</f>
        <v/>
      </c>
      <c r="BW3" s="5">
        <f>IF(A3="","",N(INDEX(Projects[Act 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  <c r="CE3" s="5">
        <f>INDEX(Projects[Act Data Status],2)&amp;""</f>
        <v/>
      </c>
      <c r="CF3" s="5">
        <f>IF(A3="","",N(INDEX(Projects[Est Mech Inst],2)))</f>
        <v/>
      </c>
      <c r="CG3" s="5">
        <f>IF(A3="","",N(INDEX(Projects[Est Elec Inst],2)))</f>
        <v/>
      </c>
      <c r="CH3" s="5">
        <f>IF(A3="","",N(INDEX(Projects[Est Project Management],2)))</f>
        <v/>
      </c>
      <c r="CI3" s="5">
        <f>IF(A3="","",N(INDEX(Projects[Est Systems Eng],2)))</f>
        <v/>
      </c>
      <c r="CJ3" s="5">
        <f>IF(A3="","",N(INDEX(Projects[Est Mechanical Eng],2)))</f>
        <v/>
      </c>
      <c r="CK3" s="5">
        <f>IF(A3="","",N(INDEX(Projects[Est Structural Engineering],2)))</f>
        <v/>
      </c>
      <c r="CL3" s="5">
        <f>IF(A3="","",N(INDEX(Projects[Est Site Sup],2)))</f>
        <v/>
      </c>
      <c r="CM3" s="5">
        <f>IF(A3="","",N(INDEX(Projects[Est Controls Commissioning],2)))</f>
        <v/>
      </c>
      <c r="CN3" s="5">
        <f>IF(A3="","",N(INDEX(Projects[Est Systems Commissioning],2)))</f>
        <v/>
      </c>
      <c r="CO3" s="5">
        <f>IF(A3="","",N(INDEX(Projects[Est Service Commissioning],2)))</f>
        <v/>
      </c>
      <c r="CP3" s="5">
        <f>IF(A3="","",N(INDEX(Projects[Est Controls Eng],2)))</f>
        <v/>
      </c>
      <c r="CQ3" s="5">
        <f>IF(A3="","",N(INDEX(Projects[Est Controls Purchase],2)))</f>
        <v/>
      </c>
      <c r="CR3" s="5">
        <f>IF(A3="","",N(INDEX(Projects[Est Software Eng],2)))</f>
        <v/>
      </c>
      <c r="CS3" s="5">
        <f>IF(A3="","",N(INDEX(Projects[Est Misc],2)))</f>
        <v/>
      </c>
      <c r="CT3" s="5">
        <f>IF(A3="","",SUM(CF3:CS3))</f>
        <v/>
      </c>
      <c r="CU3" s="5">
        <f>INDEX(Projects[Est Cost (M)],2)</f>
        <v/>
      </c>
      <c r="CV3" s="5">
        <f>INDEX(Projects[Act Cost (M)],2)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IF(A4="","",N(INDEX(Projects[Act Mech Inst],3)))</f>
        <v/>
      </c>
      <c r="BK4" s="5">
        <f>IF(A4="","",N(INDEX(Projects[Act Elec Inst],3)))</f>
        <v/>
      </c>
      <c r="BL4" s="5">
        <f>IF(A4="","",N(INDEX(Projects[Act Project Management],3)))</f>
        <v/>
      </c>
      <c r="BM4" s="5">
        <f>IF(A4="","",N(INDEX(Projects[Act Systems Eng],3)))</f>
        <v/>
      </c>
      <c r="BN4" s="5">
        <f>IF(A4="","",N(INDEX(Projects[Act Mechanical Eng],3)))</f>
        <v/>
      </c>
      <c r="BO4" s="5">
        <f>IF(A4="","",N(INDEX(Projects[Act Structural Engineering],3)))</f>
        <v/>
      </c>
      <c r="BP4" s="5">
        <f>IF(A4="","",N(INDEX(Projects[Act Site Sup],3)))</f>
        <v/>
      </c>
      <c r="BQ4" s="5">
        <f>IF(A4="","",N(INDEX(Projects[Act Controls Commissioning],3)))</f>
        <v/>
      </c>
      <c r="BR4" s="5">
        <f>IF(A4="","",N(INDEX(Projects[Act Systems Commissioning],3)))</f>
        <v/>
      </c>
      <c r="BS4" s="5">
        <f>IF(A4="","",N(INDEX(Projects[Act Service Commissioning],3)))</f>
        <v/>
      </c>
      <c r="BT4" s="5">
        <f>IF(A4="","",N(INDEX(Projects[Act Controls Eng],3)))</f>
        <v/>
      </c>
      <c r="BU4" s="5">
        <f>IF(A4="","",N(INDEX(Projects[Act Controls Purchase],3)))</f>
        <v/>
      </c>
      <c r="BV4" s="5">
        <f>IF(A4="","",N(INDEX(Projects[Act Software Eng],3)))</f>
        <v/>
      </c>
      <c r="BW4" s="5">
        <f>IF(A4="","",N(INDEX(Projects[Act 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  <c r="CE4" s="5">
        <f>INDEX(Projects[Act Data Status],3)&amp;""</f>
        <v/>
      </c>
      <c r="CF4" s="5">
        <f>IF(A4="","",N(INDEX(Projects[Est Mech Inst],3)))</f>
        <v/>
      </c>
      <c r="CG4" s="5">
        <f>IF(A4="","",N(INDEX(Projects[Est Elec Inst],3)))</f>
        <v/>
      </c>
      <c r="CH4" s="5">
        <f>IF(A4="","",N(INDEX(Projects[Est Project Management],3)))</f>
        <v/>
      </c>
      <c r="CI4" s="5">
        <f>IF(A4="","",N(INDEX(Projects[Est Systems Eng],3)))</f>
        <v/>
      </c>
      <c r="CJ4" s="5">
        <f>IF(A4="","",N(INDEX(Projects[Est Mechanical Eng],3)))</f>
        <v/>
      </c>
      <c r="CK4" s="5">
        <f>IF(A4="","",N(INDEX(Projects[Est Structural Engineering],3)))</f>
        <v/>
      </c>
      <c r="CL4" s="5">
        <f>IF(A4="","",N(INDEX(Projects[Est Site Sup],3)))</f>
        <v/>
      </c>
      <c r="CM4" s="5">
        <f>IF(A4="","",N(INDEX(Projects[Est Controls Commissioning],3)))</f>
        <v/>
      </c>
      <c r="CN4" s="5">
        <f>IF(A4="","",N(INDEX(Projects[Est Systems Commissioning],3)))</f>
        <v/>
      </c>
      <c r="CO4" s="5">
        <f>IF(A4="","",N(INDEX(Projects[Est Service Commissioning],3)))</f>
        <v/>
      </c>
      <c r="CP4" s="5">
        <f>IF(A4="","",N(INDEX(Projects[Est Controls Eng],3)))</f>
        <v/>
      </c>
      <c r="CQ4" s="5">
        <f>IF(A4="","",N(INDEX(Projects[Est Controls Purchase],3)))</f>
        <v/>
      </c>
      <c r="CR4" s="5">
        <f>IF(A4="","",N(INDEX(Projects[Est Software Eng],3)))</f>
        <v/>
      </c>
      <c r="CS4" s="5">
        <f>IF(A4="","",N(INDEX(Projects[Est Misc],3)))</f>
        <v/>
      </c>
      <c r="CT4" s="5">
        <f>IF(A4="","",SUM(CF4:CS4))</f>
        <v/>
      </c>
      <c r="CU4" s="5">
        <f>INDEX(Projects[Est Cost (M)],3)</f>
        <v/>
      </c>
      <c r="CV4" s="5">
        <f>INDEX(Projects[Act Cost (M)],3)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IF(A5="","",N(INDEX(Projects[Act Mech Inst],4)))</f>
        <v/>
      </c>
      <c r="BK5" s="5">
        <f>IF(A5="","",N(INDEX(Projects[Act Elec Inst],4)))</f>
        <v/>
      </c>
      <c r="BL5" s="5">
        <f>IF(A5="","",N(INDEX(Projects[Act Project Management],4)))</f>
        <v/>
      </c>
      <c r="BM5" s="5">
        <f>IF(A5="","",N(INDEX(Projects[Act Systems Eng],4)))</f>
        <v/>
      </c>
      <c r="BN5" s="5">
        <f>IF(A5="","",N(INDEX(Projects[Act Mechanical Eng],4)))</f>
        <v/>
      </c>
      <c r="BO5" s="5">
        <f>IF(A5="","",N(INDEX(Projects[Act Structural Engineering],4)))</f>
        <v/>
      </c>
      <c r="BP5" s="5">
        <f>IF(A5="","",N(INDEX(Projects[Act Site Sup],4)))</f>
        <v/>
      </c>
      <c r="BQ5" s="5">
        <f>IF(A5="","",N(INDEX(Projects[Act Controls Commissioning],4)))</f>
        <v/>
      </c>
      <c r="BR5" s="5">
        <f>IF(A5="","",N(INDEX(Projects[Act Systems Commissioning],4)))</f>
        <v/>
      </c>
      <c r="BS5" s="5">
        <f>IF(A5="","",N(INDEX(Projects[Act Service Commissioning],4)))</f>
        <v/>
      </c>
      <c r="BT5" s="5">
        <f>IF(A5="","",N(INDEX(Projects[Act Controls Eng],4)))</f>
        <v/>
      </c>
      <c r="BU5" s="5">
        <f>IF(A5="","",N(INDEX(Projects[Act Controls Purchase],4)))</f>
        <v/>
      </c>
      <c r="BV5" s="5">
        <f>IF(A5="","",N(INDEX(Projects[Act Software Eng],4)))</f>
        <v/>
      </c>
      <c r="BW5" s="5">
        <f>IF(A5="","",N(INDEX(Projects[Act 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  <c r="CE5" s="5">
        <f>INDEX(Projects[Act Data Status],4)&amp;""</f>
        <v/>
      </c>
      <c r="CF5" s="5">
        <f>IF(A5="","",N(INDEX(Projects[Est Mech Inst],4)))</f>
        <v/>
      </c>
      <c r="CG5" s="5">
        <f>IF(A5="","",N(INDEX(Projects[Est Elec Inst],4)))</f>
        <v/>
      </c>
      <c r="CH5" s="5">
        <f>IF(A5="","",N(INDEX(Projects[Est Project Management],4)))</f>
        <v/>
      </c>
      <c r="CI5" s="5">
        <f>IF(A5="","",N(INDEX(Projects[Est Systems Eng],4)))</f>
        <v/>
      </c>
      <c r="CJ5" s="5">
        <f>IF(A5="","",N(INDEX(Projects[Est Mechanical Eng],4)))</f>
        <v/>
      </c>
      <c r="CK5" s="5">
        <f>IF(A5="","",N(INDEX(Projects[Est Structural Engineering],4)))</f>
        <v/>
      </c>
      <c r="CL5" s="5">
        <f>IF(A5="","",N(INDEX(Projects[Est Site Sup],4)))</f>
        <v/>
      </c>
      <c r="CM5" s="5">
        <f>IF(A5="","",N(INDEX(Projects[Est Controls Commissioning],4)))</f>
        <v/>
      </c>
      <c r="CN5" s="5">
        <f>IF(A5="","",N(INDEX(Projects[Est Systems Commissioning],4)))</f>
        <v/>
      </c>
      <c r="CO5" s="5">
        <f>IF(A5="","",N(INDEX(Projects[Est Service Commissioning],4)))</f>
        <v/>
      </c>
      <c r="CP5" s="5">
        <f>IF(A5="","",N(INDEX(Projects[Est Controls Eng],4)))</f>
        <v/>
      </c>
      <c r="CQ5" s="5">
        <f>IF(A5="","",N(INDEX(Projects[Est Controls Purchase],4)))</f>
        <v/>
      </c>
      <c r="CR5" s="5">
        <f>IF(A5="","",N(INDEX(Projects[Est Software Eng],4)))</f>
        <v/>
      </c>
      <c r="CS5" s="5">
        <f>IF(A5="","",N(INDEX(Projects[Est Misc],4)))</f>
        <v/>
      </c>
      <c r="CT5" s="5">
        <f>IF(A5="","",SUM(CF5:CS5))</f>
        <v/>
      </c>
      <c r="CU5" s="5">
        <f>INDEX(Projects[Est Cost (M)],4)</f>
        <v/>
      </c>
      <c r="CV5" s="5">
        <f>INDEX(Projects[Act Cost (M)],4)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IF(A6="","",N(INDEX(Projects[Act Mech Inst],5)))</f>
        <v/>
      </c>
      <c r="BK6" s="5">
        <f>IF(A6="","",N(INDEX(Projects[Act Elec Inst],5)))</f>
        <v/>
      </c>
      <c r="BL6" s="5">
        <f>IF(A6="","",N(INDEX(Projects[Act Project Management],5)))</f>
        <v/>
      </c>
      <c r="BM6" s="5">
        <f>IF(A6="","",N(INDEX(Projects[Act Systems Eng],5)))</f>
        <v/>
      </c>
      <c r="BN6" s="5">
        <f>IF(A6="","",N(INDEX(Projects[Act Mechanical Eng],5)))</f>
        <v/>
      </c>
      <c r="BO6" s="5">
        <f>IF(A6="","",N(INDEX(Projects[Act Structural Engineering],5)))</f>
        <v/>
      </c>
      <c r="BP6" s="5">
        <f>IF(A6="","",N(INDEX(Projects[Act Site Sup],5)))</f>
        <v/>
      </c>
      <c r="BQ6" s="5">
        <f>IF(A6="","",N(INDEX(Projects[Act Controls Commissioning],5)))</f>
        <v/>
      </c>
      <c r="BR6" s="5">
        <f>IF(A6="","",N(INDEX(Projects[Act Systems Commissioning],5)))</f>
        <v/>
      </c>
      <c r="BS6" s="5">
        <f>IF(A6="","",N(INDEX(Projects[Act Service Commissioning],5)))</f>
        <v/>
      </c>
      <c r="BT6" s="5">
        <f>IF(A6="","",N(INDEX(Projects[Act Controls Eng],5)))</f>
        <v/>
      </c>
      <c r="BU6" s="5">
        <f>IF(A6="","",N(INDEX(Projects[Act Controls Purchase],5)))</f>
        <v/>
      </c>
      <c r="BV6" s="5">
        <f>IF(A6="","",N(INDEX(Projects[Act Software Eng],5)))</f>
        <v/>
      </c>
      <c r="BW6" s="5">
        <f>IF(A6="","",N(INDEX(Projects[Act 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  <c r="CE6" s="5">
        <f>INDEX(Projects[Act Data Status],5)&amp;""</f>
        <v/>
      </c>
      <c r="CF6" s="5">
        <f>IF(A6="","",N(INDEX(Projects[Est Mech Inst],5)))</f>
        <v/>
      </c>
      <c r="CG6" s="5">
        <f>IF(A6="","",N(INDEX(Projects[Est Elec Inst],5)))</f>
        <v/>
      </c>
      <c r="CH6" s="5">
        <f>IF(A6="","",N(INDEX(Projects[Est Project Management],5)))</f>
        <v/>
      </c>
      <c r="CI6" s="5">
        <f>IF(A6="","",N(INDEX(Projects[Est Systems Eng],5)))</f>
        <v/>
      </c>
      <c r="CJ6" s="5">
        <f>IF(A6="","",N(INDEX(Projects[Est Mechanical Eng],5)))</f>
        <v/>
      </c>
      <c r="CK6" s="5">
        <f>IF(A6="","",N(INDEX(Projects[Est Structural Engineering],5)))</f>
        <v/>
      </c>
      <c r="CL6" s="5">
        <f>IF(A6="","",N(INDEX(Projects[Est Site Sup],5)))</f>
        <v/>
      </c>
      <c r="CM6" s="5">
        <f>IF(A6="","",N(INDEX(Projects[Est Controls Commissioning],5)))</f>
        <v/>
      </c>
      <c r="CN6" s="5">
        <f>IF(A6="","",N(INDEX(Projects[Est Systems Commissioning],5)))</f>
        <v/>
      </c>
      <c r="CO6" s="5">
        <f>IF(A6="","",N(INDEX(Projects[Est Service Commissioning],5)))</f>
        <v/>
      </c>
      <c r="CP6" s="5">
        <f>IF(A6="","",N(INDEX(Projects[Est Controls Eng],5)))</f>
        <v/>
      </c>
      <c r="CQ6" s="5">
        <f>IF(A6="","",N(INDEX(Projects[Est Controls Purchase],5)))</f>
        <v/>
      </c>
      <c r="CR6" s="5">
        <f>IF(A6="","",N(INDEX(Projects[Est Software Eng],5)))</f>
        <v/>
      </c>
      <c r="CS6" s="5">
        <f>IF(A6="","",N(INDEX(Projects[Est Misc],5)))</f>
        <v/>
      </c>
      <c r="CT6" s="5">
        <f>IF(A6="","",SUM(CF6:CS6))</f>
        <v/>
      </c>
      <c r="CU6" s="5">
        <f>INDEX(Projects[Est Cost (M)],5)</f>
        <v/>
      </c>
      <c r="CV6" s="5">
        <f>INDEX(Projects[Act Cost (M)],5)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IF(A7="","",N(INDEX(Projects[Act Mech Inst],6)))</f>
        <v/>
      </c>
      <c r="BK7" s="5">
        <f>IF(A7="","",N(INDEX(Projects[Act Elec Inst],6)))</f>
        <v/>
      </c>
      <c r="BL7" s="5">
        <f>IF(A7="","",N(INDEX(Projects[Act Project Management],6)))</f>
        <v/>
      </c>
      <c r="BM7" s="5">
        <f>IF(A7="","",N(INDEX(Projects[Act Systems Eng],6)))</f>
        <v/>
      </c>
      <c r="BN7" s="5">
        <f>IF(A7="","",N(INDEX(Projects[Act Mechanical Eng],6)))</f>
        <v/>
      </c>
      <c r="BO7" s="5">
        <f>IF(A7="","",N(INDEX(Projects[Act Structural Engineering],6)))</f>
        <v/>
      </c>
      <c r="BP7" s="5">
        <f>IF(A7="","",N(INDEX(Projects[Act Site Sup],6)))</f>
        <v/>
      </c>
      <c r="BQ7" s="5">
        <f>IF(A7="","",N(INDEX(Projects[Act Controls Commissioning],6)))</f>
        <v/>
      </c>
      <c r="BR7" s="5">
        <f>IF(A7="","",N(INDEX(Projects[Act Systems Commissioning],6)))</f>
        <v/>
      </c>
      <c r="BS7" s="5">
        <f>IF(A7="","",N(INDEX(Projects[Act Service Commissioning],6)))</f>
        <v/>
      </c>
      <c r="BT7" s="5">
        <f>IF(A7="","",N(INDEX(Projects[Act Controls Eng],6)))</f>
        <v/>
      </c>
      <c r="BU7" s="5">
        <f>IF(A7="","",N(INDEX(Projects[Act Controls Purchase],6)))</f>
        <v/>
      </c>
      <c r="BV7" s="5">
        <f>IF(A7="","",N(INDEX(Projects[Act Software Eng],6)))</f>
        <v/>
      </c>
      <c r="BW7" s="5">
        <f>IF(A7="","",N(INDEX(Projects[Act 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  <c r="CE7" s="5">
        <f>INDEX(Projects[Act Data Status],6)&amp;""</f>
        <v/>
      </c>
      <c r="CF7" s="5">
        <f>IF(A7="","",N(INDEX(Projects[Est Mech Inst],6)))</f>
        <v/>
      </c>
      <c r="CG7" s="5">
        <f>IF(A7="","",N(INDEX(Projects[Est Elec Inst],6)))</f>
        <v/>
      </c>
      <c r="CH7" s="5">
        <f>IF(A7="","",N(INDEX(Projects[Est Project Management],6)))</f>
        <v/>
      </c>
      <c r="CI7" s="5">
        <f>IF(A7="","",N(INDEX(Projects[Est Systems Eng],6)))</f>
        <v/>
      </c>
      <c r="CJ7" s="5">
        <f>IF(A7="","",N(INDEX(Projects[Est Mechanical Eng],6)))</f>
        <v/>
      </c>
      <c r="CK7" s="5">
        <f>IF(A7="","",N(INDEX(Projects[Est Structural Engineering],6)))</f>
        <v/>
      </c>
      <c r="CL7" s="5">
        <f>IF(A7="","",N(INDEX(Projects[Est Site Sup],6)))</f>
        <v/>
      </c>
      <c r="CM7" s="5">
        <f>IF(A7="","",N(INDEX(Projects[Est Controls Commissioning],6)))</f>
        <v/>
      </c>
      <c r="CN7" s="5">
        <f>IF(A7="","",N(INDEX(Projects[Est Systems Commissioning],6)))</f>
        <v/>
      </c>
      <c r="CO7" s="5">
        <f>IF(A7="","",N(INDEX(Projects[Est Service Commissioning],6)))</f>
        <v/>
      </c>
      <c r="CP7" s="5">
        <f>IF(A7="","",N(INDEX(Projects[Est Controls Eng],6)))</f>
        <v/>
      </c>
      <c r="CQ7" s="5">
        <f>IF(A7="","",N(INDEX(Projects[Est Controls Purchase],6)))</f>
        <v/>
      </c>
      <c r="CR7" s="5">
        <f>IF(A7="","",N(INDEX(Projects[Est Software Eng],6)))</f>
        <v/>
      </c>
      <c r="CS7" s="5">
        <f>IF(A7="","",N(INDEX(Projects[Est Misc],6)))</f>
        <v/>
      </c>
      <c r="CT7" s="5">
        <f>IF(A7="","",SUM(CF7:CS7))</f>
        <v/>
      </c>
      <c r="CU7" s="5">
        <f>INDEX(Projects[Est Cost (M)],6)</f>
        <v/>
      </c>
      <c r="CV7" s="5">
        <f>INDEX(Projects[Act Cost (M)],6)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IF(A8="","",N(INDEX(Projects[Act Mech Inst],7)))</f>
        <v/>
      </c>
      <c r="BK8" s="5">
        <f>IF(A8="","",N(INDEX(Projects[Act Elec Inst],7)))</f>
        <v/>
      </c>
      <c r="BL8" s="5">
        <f>IF(A8="","",N(INDEX(Projects[Act Project Management],7)))</f>
        <v/>
      </c>
      <c r="BM8" s="5">
        <f>IF(A8="","",N(INDEX(Projects[Act Systems Eng],7)))</f>
        <v/>
      </c>
      <c r="BN8" s="5">
        <f>IF(A8="","",N(INDEX(Projects[Act Mechanical Eng],7)))</f>
        <v/>
      </c>
      <c r="BO8" s="5">
        <f>IF(A8="","",N(INDEX(Projects[Act Structural Engineering],7)))</f>
        <v/>
      </c>
      <c r="BP8" s="5">
        <f>IF(A8="","",N(INDEX(Projects[Act Site Sup],7)))</f>
        <v/>
      </c>
      <c r="BQ8" s="5">
        <f>IF(A8="","",N(INDEX(Projects[Act Controls Commissioning],7)))</f>
        <v/>
      </c>
      <c r="BR8" s="5">
        <f>IF(A8="","",N(INDEX(Projects[Act Systems Commissioning],7)))</f>
        <v/>
      </c>
      <c r="BS8" s="5">
        <f>IF(A8="","",N(INDEX(Projects[Act Service Commissioning],7)))</f>
        <v/>
      </c>
      <c r="BT8" s="5">
        <f>IF(A8="","",N(INDEX(Projects[Act Controls Eng],7)))</f>
        <v/>
      </c>
      <c r="BU8" s="5">
        <f>IF(A8="","",N(INDEX(Projects[Act Controls Purchase],7)))</f>
        <v/>
      </c>
      <c r="BV8" s="5">
        <f>IF(A8="","",N(INDEX(Projects[Act Software Eng],7)))</f>
        <v/>
      </c>
      <c r="BW8" s="5">
        <f>IF(A8="","",N(INDEX(Projects[Act 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  <c r="CE8" s="5">
        <f>INDEX(Projects[Act Data Status],7)&amp;""</f>
        <v/>
      </c>
      <c r="CF8" s="5">
        <f>IF(A8="","",N(INDEX(Projects[Est Mech Inst],7)))</f>
        <v/>
      </c>
      <c r="CG8" s="5">
        <f>IF(A8="","",N(INDEX(Projects[Est Elec Inst],7)))</f>
        <v/>
      </c>
      <c r="CH8" s="5">
        <f>IF(A8="","",N(INDEX(Projects[Est Project Management],7)))</f>
        <v/>
      </c>
      <c r="CI8" s="5">
        <f>IF(A8="","",N(INDEX(Projects[Est Systems Eng],7)))</f>
        <v/>
      </c>
      <c r="CJ8" s="5">
        <f>IF(A8="","",N(INDEX(Projects[Est Mechanical Eng],7)))</f>
        <v/>
      </c>
      <c r="CK8" s="5">
        <f>IF(A8="","",N(INDEX(Projects[Est Structural Engineering],7)))</f>
        <v/>
      </c>
      <c r="CL8" s="5">
        <f>IF(A8="","",N(INDEX(Projects[Est Site Sup],7)))</f>
        <v/>
      </c>
      <c r="CM8" s="5">
        <f>IF(A8="","",N(INDEX(Projects[Est Controls Commissioning],7)))</f>
        <v/>
      </c>
      <c r="CN8" s="5">
        <f>IF(A8="","",N(INDEX(Projects[Est Systems Commissioning],7)))</f>
        <v/>
      </c>
      <c r="CO8" s="5">
        <f>IF(A8="","",N(INDEX(Projects[Est Service Commissioning],7)))</f>
        <v/>
      </c>
      <c r="CP8" s="5">
        <f>IF(A8="","",N(INDEX(Projects[Est Controls Eng],7)))</f>
        <v/>
      </c>
      <c r="CQ8" s="5">
        <f>IF(A8="","",N(INDEX(Projects[Est Controls Purchase],7)))</f>
        <v/>
      </c>
      <c r="CR8" s="5">
        <f>IF(A8="","",N(INDEX(Projects[Est Software Eng],7)))</f>
        <v/>
      </c>
      <c r="CS8" s="5">
        <f>IF(A8="","",N(INDEX(Projects[Est Misc],7)))</f>
        <v/>
      </c>
      <c r="CT8" s="5">
        <f>IF(A8="","",SUM(CF8:CS8))</f>
        <v/>
      </c>
      <c r="CU8" s="5">
        <f>INDEX(Projects[Est Cost (M)],7)</f>
        <v/>
      </c>
      <c r="CV8" s="5">
        <f>INDEX(Projects[Act Cost (M)],7)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IF(A9="","",N(INDEX(Projects[Act Mech Inst],8)))</f>
        <v/>
      </c>
      <c r="BK9" s="5">
        <f>IF(A9="","",N(INDEX(Projects[Act Elec Inst],8)))</f>
        <v/>
      </c>
      <c r="BL9" s="5">
        <f>IF(A9="","",N(INDEX(Projects[Act Project Management],8)))</f>
        <v/>
      </c>
      <c r="BM9" s="5">
        <f>IF(A9="","",N(INDEX(Projects[Act Systems Eng],8)))</f>
        <v/>
      </c>
      <c r="BN9" s="5">
        <f>IF(A9="","",N(INDEX(Projects[Act Mechanical Eng],8)))</f>
        <v/>
      </c>
      <c r="BO9" s="5">
        <f>IF(A9="","",N(INDEX(Projects[Act Structural Engineering],8)))</f>
        <v/>
      </c>
      <c r="BP9" s="5">
        <f>IF(A9="","",N(INDEX(Projects[Act Site Sup],8)))</f>
        <v/>
      </c>
      <c r="BQ9" s="5">
        <f>IF(A9="","",N(INDEX(Projects[Act Controls Commissioning],8)))</f>
        <v/>
      </c>
      <c r="BR9" s="5">
        <f>IF(A9="","",N(INDEX(Projects[Act Systems Commissioning],8)))</f>
        <v/>
      </c>
      <c r="BS9" s="5">
        <f>IF(A9="","",N(INDEX(Projects[Act Service Commissioning],8)))</f>
        <v/>
      </c>
      <c r="BT9" s="5">
        <f>IF(A9="","",N(INDEX(Projects[Act Controls Eng],8)))</f>
        <v/>
      </c>
      <c r="BU9" s="5">
        <f>IF(A9="","",N(INDEX(Projects[Act Controls Purchase],8)))</f>
        <v/>
      </c>
      <c r="BV9" s="5">
        <f>IF(A9="","",N(INDEX(Projects[Act Software Eng],8)))</f>
        <v/>
      </c>
      <c r="BW9" s="5">
        <f>IF(A9="","",N(INDEX(Projects[Act 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  <c r="CE9" s="5">
        <f>INDEX(Projects[Act Data Status],8)&amp;""</f>
        <v/>
      </c>
      <c r="CF9" s="5">
        <f>IF(A9="","",N(INDEX(Projects[Est Mech Inst],8)))</f>
        <v/>
      </c>
      <c r="CG9" s="5">
        <f>IF(A9="","",N(INDEX(Projects[Est Elec Inst],8)))</f>
        <v/>
      </c>
      <c r="CH9" s="5">
        <f>IF(A9="","",N(INDEX(Projects[Est Project Management],8)))</f>
        <v/>
      </c>
      <c r="CI9" s="5">
        <f>IF(A9="","",N(INDEX(Projects[Est Systems Eng],8)))</f>
        <v/>
      </c>
      <c r="CJ9" s="5">
        <f>IF(A9="","",N(INDEX(Projects[Est Mechanical Eng],8)))</f>
        <v/>
      </c>
      <c r="CK9" s="5">
        <f>IF(A9="","",N(INDEX(Projects[Est Structural Engineering],8)))</f>
        <v/>
      </c>
      <c r="CL9" s="5">
        <f>IF(A9="","",N(INDEX(Projects[Est Site Sup],8)))</f>
        <v/>
      </c>
      <c r="CM9" s="5">
        <f>IF(A9="","",N(INDEX(Projects[Est Controls Commissioning],8)))</f>
        <v/>
      </c>
      <c r="CN9" s="5">
        <f>IF(A9="","",N(INDEX(Projects[Est Systems Commissioning],8)))</f>
        <v/>
      </c>
      <c r="CO9" s="5">
        <f>IF(A9="","",N(INDEX(Projects[Est Service Commissioning],8)))</f>
        <v/>
      </c>
      <c r="CP9" s="5">
        <f>IF(A9="","",N(INDEX(Projects[Est Controls Eng],8)))</f>
        <v/>
      </c>
      <c r="CQ9" s="5">
        <f>IF(A9="","",N(INDEX(Projects[Est Controls Purchase],8)))</f>
        <v/>
      </c>
      <c r="CR9" s="5">
        <f>IF(A9="","",N(INDEX(Projects[Est Software Eng],8)))</f>
        <v/>
      </c>
      <c r="CS9" s="5">
        <f>IF(A9="","",N(INDEX(Projects[Est Misc],8)))</f>
        <v/>
      </c>
      <c r="CT9" s="5">
        <f>IF(A9="","",SUM(CF9:CS9))</f>
        <v/>
      </c>
      <c r="CU9" s="5">
        <f>INDEX(Projects[Est Cost (M)],8)</f>
        <v/>
      </c>
      <c r="CV9" s="5">
        <f>INDEX(Projects[Act Cost (M)],8)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IF(A10="","",N(INDEX(Projects[Act Mech Inst],9)))</f>
        <v/>
      </c>
      <c r="BK10" s="5">
        <f>IF(A10="","",N(INDEX(Projects[Act Elec Inst],9)))</f>
        <v/>
      </c>
      <c r="BL10" s="5">
        <f>IF(A10="","",N(INDEX(Projects[Act Project Management],9)))</f>
        <v/>
      </c>
      <c r="BM10" s="5">
        <f>IF(A10="","",N(INDEX(Projects[Act Systems Eng],9)))</f>
        <v/>
      </c>
      <c r="BN10" s="5">
        <f>IF(A10="","",N(INDEX(Projects[Act Mechanical Eng],9)))</f>
        <v/>
      </c>
      <c r="BO10" s="5">
        <f>IF(A10="","",N(INDEX(Projects[Act Structural Engineering],9)))</f>
        <v/>
      </c>
      <c r="BP10" s="5">
        <f>IF(A10="","",N(INDEX(Projects[Act Site Sup],9)))</f>
        <v/>
      </c>
      <c r="BQ10" s="5">
        <f>IF(A10="","",N(INDEX(Projects[Act Controls Commissioning],9)))</f>
        <v/>
      </c>
      <c r="BR10" s="5">
        <f>IF(A10="","",N(INDEX(Projects[Act Systems Commissioning],9)))</f>
        <v/>
      </c>
      <c r="BS10" s="5">
        <f>IF(A10="","",N(INDEX(Projects[Act Service Commissioning],9)))</f>
        <v/>
      </c>
      <c r="BT10" s="5">
        <f>IF(A10="","",N(INDEX(Projects[Act Controls Eng],9)))</f>
        <v/>
      </c>
      <c r="BU10" s="5">
        <f>IF(A10="","",N(INDEX(Projects[Act Controls Purchase],9)))</f>
        <v/>
      </c>
      <c r="BV10" s="5">
        <f>IF(A10="","",N(INDEX(Projects[Act Software Eng],9)))</f>
        <v/>
      </c>
      <c r="BW10" s="5">
        <f>IF(A10="","",N(INDEX(Projects[Act 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  <c r="CE10" s="5">
        <f>INDEX(Projects[Act Data Status],9)&amp;""</f>
        <v/>
      </c>
      <c r="CF10" s="5">
        <f>IF(A10="","",N(INDEX(Projects[Est Mech Inst],9)))</f>
        <v/>
      </c>
      <c r="CG10" s="5">
        <f>IF(A10="","",N(INDEX(Projects[Est Elec Inst],9)))</f>
        <v/>
      </c>
      <c r="CH10" s="5">
        <f>IF(A10="","",N(INDEX(Projects[Est Project Management],9)))</f>
        <v/>
      </c>
      <c r="CI10" s="5">
        <f>IF(A10="","",N(INDEX(Projects[Est Systems Eng],9)))</f>
        <v/>
      </c>
      <c r="CJ10" s="5">
        <f>IF(A10="","",N(INDEX(Projects[Est Mechanical Eng],9)))</f>
        <v/>
      </c>
      <c r="CK10" s="5">
        <f>IF(A10="","",N(INDEX(Projects[Est Structural Engineering],9)))</f>
        <v/>
      </c>
      <c r="CL10" s="5">
        <f>IF(A10="","",N(INDEX(Projects[Est Site Sup],9)))</f>
        <v/>
      </c>
      <c r="CM10" s="5">
        <f>IF(A10="","",N(INDEX(Projects[Est Controls Commissioning],9)))</f>
        <v/>
      </c>
      <c r="CN10" s="5">
        <f>IF(A10="","",N(INDEX(Projects[Est Systems Commissioning],9)))</f>
        <v/>
      </c>
      <c r="CO10" s="5">
        <f>IF(A10="","",N(INDEX(Projects[Est Service Commissioning],9)))</f>
        <v/>
      </c>
      <c r="CP10" s="5">
        <f>IF(A10="","",N(INDEX(Projects[Est Controls Eng],9)))</f>
        <v/>
      </c>
      <c r="CQ10" s="5">
        <f>IF(A10="","",N(INDEX(Projects[Est Controls Purchase],9)))</f>
        <v/>
      </c>
      <c r="CR10" s="5">
        <f>IF(A10="","",N(INDEX(Projects[Est Software Eng],9)))</f>
        <v/>
      </c>
      <c r="CS10" s="5">
        <f>IF(A10="","",N(INDEX(Projects[Est Misc],9)))</f>
        <v/>
      </c>
      <c r="CT10" s="5">
        <f>IF(A10="","",SUM(CF10:CS10))</f>
        <v/>
      </c>
      <c r="CU10" s="5">
        <f>INDEX(Projects[Est Cost (M)],9)</f>
        <v/>
      </c>
      <c r="CV10" s="5">
        <f>INDEX(Projects[Act Cost (M)],9)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IF(A11="","",N(INDEX(Projects[Act Mech Inst],10)))</f>
        <v/>
      </c>
      <c r="BK11" s="5">
        <f>IF(A11="","",N(INDEX(Projects[Act Elec Inst],10)))</f>
        <v/>
      </c>
      <c r="BL11" s="5">
        <f>IF(A11="","",N(INDEX(Projects[Act Project Management],10)))</f>
        <v/>
      </c>
      <c r="BM11" s="5">
        <f>IF(A11="","",N(INDEX(Projects[Act Systems Eng],10)))</f>
        <v/>
      </c>
      <c r="BN11" s="5">
        <f>IF(A11="","",N(INDEX(Projects[Act Mechanical Eng],10)))</f>
        <v/>
      </c>
      <c r="BO11" s="5">
        <f>IF(A11="","",N(INDEX(Projects[Act Structural Engineering],10)))</f>
        <v/>
      </c>
      <c r="BP11" s="5">
        <f>IF(A11="","",N(INDEX(Projects[Act Site Sup],10)))</f>
        <v/>
      </c>
      <c r="BQ11" s="5">
        <f>IF(A11="","",N(INDEX(Projects[Act Controls Commissioning],10)))</f>
        <v/>
      </c>
      <c r="BR11" s="5">
        <f>IF(A11="","",N(INDEX(Projects[Act Systems Commissioning],10)))</f>
        <v/>
      </c>
      <c r="BS11" s="5">
        <f>IF(A11="","",N(INDEX(Projects[Act Service Commissioning],10)))</f>
        <v/>
      </c>
      <c r="BT11" s="5">
        <f>IF(A11="","",N(INDEX(Projects[Act Controls Eng],10)))</f>
        <v/>
      </c>
      <c r="BU11" s="5">
        <f>IF(A11="","",N(INDEX(Projects[Act Controls Purchase],10)))</f>
        <v/>
      </c>
      <c r="BV11" s="5">
        <f>IF(A11="","",N(INDEX(Projects[Act Software Eng],10)))</f>
        <v/>
      </c>
      <c r="BW11" s="5">
        <f>IF(A11="","",N(INDEX(Projects[Act 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  <c r="CE11" s="5">
        <f>INDEX(Projects[Act Data Status],10)&amp;""</f>
        <v/>
      </c>
      <c r="CF11" s="5">
        <f>IF(A11="","",N(INDEX(Projects[Est Mech Inst],10)))</f>
        <v/>
      </c>
      <c r="CG11" s="5">
        <f>IF(A11="","",N(INDEX(Projects[Est Elec Inst],10)))</f>
        <v/>
      </c>
      <c r="CH11" s="5">
        <f>IF(A11="","",N(INDEX(Projects[Est Project Management],10)))</f>
        <v/>
      </c>
      <c r="CI11" s="5">
        <f>IF(A11="","",N(INDEX(Projects[Est Systems Eng],10)))</f>
        <v/>
      </c>
      <c r="CJ11" s="5">
        <f>IF(A11="","",N(INDEX(Projects[Est Mechanical Eng],10)))</f>
        <v/>
      </c>
      <c r="CK11" s="5">
        <f>IF(A11="","",N(INDEX(Projects[Est Structural Engineering],10)))</f>
        <v/>
      </c>
      <c r="CL11" s="5">
        <f>IF(A11="","",N(INDEX(Projects[Est Site Sup],10)))</f>
        <v/>
      </c>
      <c r="CM11" s="5">
        <f>IF(A11="","",N(INDEX(Projects[Est Controls Commissioning],10)))</f>
        <v/>
      </c>
      <c r="CN11" s="5">
        <f>IF(A11="","",N(INDEX(Projects[Est Systems Commissioning],10)))</f>
        <v/>
      </c>
      <c r="CO11" s="5">
        <f>IF(A11="","",N(INDEX(Projects[Est Service Commissioning],10)))</f>
        <v/>
      </c>
      <c r="CP11" s="5">
        <f>IF(A11="","",N(INDEX(Projects[Est Controls Eng],10)))</f>
        <v/>
      </c>
      <c r="CQ11" s="5">
        <f>IF(A11="","",N(INDEX(Projects[Est Controls Purchase],10)))</f>
        <v/>
      </c>
      <c r="CR11" s="5">
        <f>IF(A11="","",N(INDEX(Projects[Est Software Eng],10)))</f>
        <v/>
      </c>
      <c r="CS11" s="5">
        <f>IF(A11="","",N(INDEX(Projects[Est Misc],10)))</f>
        <v/>
      </c>
      <c r="CT11" s="5">
        <f>IF(A11="","",SUM(CF11:CS11))</f>
        <v/>
      </c>
      <c r="CU11" s="5">
        <f>INDEX(Projects[Est Cost (M)],10)</f>
        <v/>
      </c>
      <c r="CV11" s="5">
        <f>INDEX(Projects[Act Cost (M)],10)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IF(A12="","",N(INDEX(Projects[Act Mech Inst],11)))</f>
        <v/>
      </c>
      <c r="BK12" s="5">
        <f>IF(A12="","",N(INDEX(Projects[Act Elec Inst],11)))</f>
        <v/>
      </c>
      <c r="BL12" s="5">
        <f>IF(A12="","",N(INDEX(Projects[Act Project Management],11)))</f>
        <v/>
      </c>
      <c r="BM12" s="5">
        <f>IF(A12="","",N(INDEX(Projects[Act Systems Eng],11)))</f>
        <v/>
      </c>
      <c r="BN12" s="5">
        <f>IF(A12="","",N(INDEX(Projects[Act Mechanical Eng],11)))</f>
        <v/>
      </c>
      <c r="BO12" s="5">
        <f>IF(A12="","",N(INDEX(Projects[Act Structural Engineering],11)))</f>
        <v/>
      </c>
      <c r="BP12" s="5">
        <f>IF(A12="","",N(INDEX(Projects[Act Site Sup],11)))</f>
        <v/>
      </c>
      <c r="BQ12" s="5">
        <f>IF(A12="","",N(INDEX(Projects[Act Controls Commissioning],11)))</f>
        <v/>
      </c>
      <c r="BR12" s="5">
        <f>IF(A12="","",N(INDEX(Projects[Act Systems Commissioning],11)))</f>
        <v/>
      </c>
      <c r="BS12" s="5">
        <f>IF(A12="","",N(INDEX(Projects[Act Service Commissioning],11)))</f>
        <v/>
      </c>
      <c r="BT12" s="5">
        <f>IF(A12="","",N(INDEX(Projects[Act Controls Eng],11)))</f>
        <v/>
      </c>
      <c r="BU12" s="5">
        <f>IF(A12="","",N(INDEX(Projects[Act Controls Purchase],11)))</f>
        <v/>
      </c>
      <c r="BV12" s="5">
        <f>IF(A12="","",N(INDEX(Projects[Act Software Eng],11)))</f>
        <v/>
      </c>
      <c r="BW12" s="5">
        <f>IF(A12="","",N(INDEX(Projects[Act 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  <c r="CE12" s="5">
        <f>INDEX(Projects[Act Data Status],11)&amp;""</f>
        <v/>
      </c>
      <c r="CF12" s="5">
        <f>IF(A12="","",N(INDEX(Projects[Est Mech Inst],11)))</f>
        <v/>
      </c>
      <c r="CG12" s="5">
        <f>IF(A12="","",N(INDEX(Projects[Est Elec Inst],11)))</f>
        <v/>
      </c>
      <c r="CH12" s="5">
        <f>IF(A12="","",N(INDEX(Projects[Est Project Management],11)))</f>
        <v/>
      </c>
      <c r="CI12" s="5">
        <f>IF(A12="","",N(INDEX(Projects[Est Systems Eng],11)))</f>
        <v/>
      </c>
      <c r="CJ12" s="5">
        <f>IF(A12="","",N(INDEX(Projects[Est Mechanical Eng],11)))</f>
        <v/>
      </c>
      <c r="CK12" s="5">
        <f>IF(A12="","",N(INDEX(Projects[Est Structural Engineering],11)))</f>
        <v/>
      </c>
      <c r="CL12" s="5">
        <f>IF(A12="","",N(INDEX(Projects[Est Site Sup],11)))</f>
        <v/>
      </c>
      <c r="CM12" s="5">
        <f>IF(A12="","",N(INDEX(Projects[Est Controls Commissioning],11)))</f>
        <v/>
      </c>
      <c r="CN12" s="5">
        <f>IF(A12="","",N(INDEX(Projects[Est Systems Commissioning],11)))</f>
        <v/>
      </c>
      <c r="CO12" s="5">
        <f>IF(A12="","",N(INDEX(Projects[Est Service Commissioning],11)))</f>
        <v/>
      </c>
      <c r="CP12" s="5">
        <f>IF(A12="","",N(INDEX(Projects[Est Controls Eng],11)))</f>
        <v/>
      </c>
      <c r="CQ12" s="5">
        <f>IF(A12="","",N(INDEX(Projects[Est Controls Purchase],11)))</f>
        <v/>
      </c>
      <c r="CR12" s="5">
        <f>IF(A12="","",N(INDEX(Projects[Est Software Eng],11)))</f>
        <v/>
      </c>
      <c r="CS12" s="5">
        <f>IF(A12="","",N(INDEX(Projects[Est Misc],11)))</f>
        <v/>
      </c>
      <c r="CT12" s="5">
        <f>IF(A12="","",SUM(CF12:CS12))</f>
        <v/>
      </c>
      <c r="CU12" s="5">
        <f>INDEX(Projects[Est Cost (M)],11)</f>
        <v/>
      </c>
      <c r="CV12" s="5">
        <f>INDEX(Projects[Act Cost (M)],11)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IF(A13="","",N(INDEX(Projects[Act Mech Inst],12)))</f>
        <v/>
      </c>
      <c r="BK13" s="5">
        <f>IF(A13="","",N(INDEX(Projects[Act Elec Inst],12)))</f>
        <v/>
      </c>
      <c r="BL13" s="5">
        <f>IF(A13="","",N(INDEX(Projects[Act Project Management],12)))</f>
        <v/>
      </c>
      <c r="BM13" s="5">
        <f>IF(A13="","",N(INDEX(Projects[Act Systems Eng],12)))</f>
        <v/>
      </c>
      <c r="BN13" s="5">
        <f>IF(A13="","",N(INDEX(Projects[Act Mechanical Eng],12)))</f>
        <v/>
      </c>
      <c r="BO13" s="5">
        <f>IF(A13="","",N(INDEX(Projects[Act Structural Engineering],12)))</f>
        <v/>
      </c>
      <c r="BP13" s="5">
        <f>IF(A13="","",N(INDEX(Projects[Act Site Sup],12)))</f>
        <v/>
      </c>
      <c r="BQ13" s="5">
        <f>IF(A13="","",N(INDEX(Projects[Act Controls Commissioning],12)))</f>
        <v/>
      </c>
      <c r="BR13" s="5">
        <f>IF(A13="","",N(INDEX(Projects[Act Systems Commissioning],12)))</f>
        <v/>
      </c>
      <c r="BS13" s="5">
        <f>IF(A13="","",N(INDEX(Projects[Act Service Commissioning],12)))</f>
        <v/>
      </c>
      <c r="BT13" s="5">
        <f>IF(A13="","",N(INDEX(Projects[Act Controls Eng],12)))</f>
        <v/>
      </c>
      <c r="BU13" s="5">
        <f>IF(A13="","",N(INDEX(Projects[Act Controls Purchase],12)))</f>
        <v/>
      </c>
      <c r="BV13" s="5">
        <f>IF(A13="","",N(INDEX(Projects[Act Software Eng],12)))</f>
        <v/>
      </c>
      <c r="BW13" s="5">
        <f>IF(A13="","",N(INDEX(Projects[Act 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  <c r="CE13" s="5">
        <f>INDEX(Projects[Act Data Status],12)&amp;""</f>
        <v/>
      </c>
      <c r="CF13" s="5">
        <f>IF(A13="","",N(INDEX(Projects[Est Mech Inst],12)))</f>
        <v/>
      </c>
      <c r="CG13" s="5">
        <f>IF(A13="","",N(INDEX(Projects[Est Elec Inst],12)))</f>
        <v/>
      </c>
      <c r="CH13" s="5">
        <f>IF(A13="","",N(INDEX(Projects[Est Project Management],12)))</f>
        <v/>
      </c>
      <c r="CI13" s="5">
        <f>IF(A13="","",N(INDEX(Projects[Est Systems Eng],12)))</f>
        <v/>
      </c>
      <c r="CJ13" s="5">
        <f>IF(A13="","",N(INDEX(Projects[Est Mechanical Eng],12)))</f>
        <v/>
      </c>
      <c r="CK13" s="5">
        <f>IF(A13="","",N(INDEX(Projects[Est Structural Engineering],12)))</f>
        <v/>
      </c>
      <c r="CL13" s="5">
        <f>IF(A13="","",N(INDEX(Projects[Est Site Sup],12)))</f>
        <v/>
      </c>
      <c r="CM13" s="5">
        <f>IF(A13="","",N(INDEX(Projects[Est Controls Commissioning],12)))</f>
        <v/>
      </c>
      <c r="CN13" s="5">
        <f>IF(A13="","",N(INDEX(Projects[Est Systems Commissioning],12)))</f>
        <v/>
      </c>
      <c r="CO13" s="5">
        <f>IF(A13="","",N(INDEX(Projects[Est Service Commissioning],12)))</f>
        <v/>
      </c>
      <c r="CP13" s="5">
        <f>IF(A13="","",N(INDEX(Projects[Est Controls Eng],12)))</f>
        <v/>
      </c>
      <c r="CQ13" s="5">
        <f>IF(A13="","",N(INDEX(Projects[Est Controls Purchase],12)))</f>
        <v/>
      </c>
      <c r="CR13" s="5">
        <f>IF(A13="","",N(INDEX(Projects[Est Software Eng],12)))</f>
        <v/>
      </c>
      <c r="CS13" s="5">
        <f>IF(A13="","",N(INDEX(Projects[Est Misc],12)))</f>
        <v/>
      </c>
      <c r="CT13" s="5">
        <f>IF(A13="","",SUM(CF13:CS13))</f>
        <v/>
      </c>
      <c r="CU13" s="5">
        <f>INDEX(Projects[Est Cost (M)],12)</f>
        <v/>
      </c>
      <c r="CV13" s="5">
        <f>INDEX(Projects[Act Cost (M)],12)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IF(A14="","",N(INDEX(Projects[Act Mech Inst],13)))</f>
        <v/>
      </c>
      <c r="BK14" s="5">
        <f>IF(A14="","",N(INDEX(Projects[Act Elec Inst],13)))</f>
        <v/>
      </c>
      <c r="BL14" s="5">
        <f>IF(A14="","",N(INDEX(Projects[Act Project Management],13)))</f>
        <v/>
      </c>
      <c r="BM14" s="5">
        <f>IF(A14="","",N(INDEX(Projects[Act Systems Eng],13)))</f>
        <v/>
      </c>
      <c r="BN14" s="5">
        <f>IF(A14="","",N(INDEX(Projects[Act Mechanical Eng],13)))</f>
        <v/>
      </c>
      <c r="BO14" s="5">
        <f>IF(A14="","",N(INDEX(Projects[Act Structural Engineering],13)))</f>
        <v/>
      </c>
      <c r="BP14" s="5">
        <f>IF(A14="","",N(INDEX(Projects[Act Site Sup],13)))</f>
        <v/>
      </c>
      <c r="BQ14" s="5">
        <f>IF(A14="","",N(INDEX(Projects[Act Controls Commissioning],13)))</f>
        <v/>
      </c>
      <c r="BR14" s="5">
        <f>IF(A14="","",N(INDEX(Projects[Act Systems Commissioning],13)))</f>
        <v/>
      </c>
      <c r="BS14" s="5">
        <f>IF(A14="","",N(INDEX(Projects[Act Service Commissioning],13)))</f>
        <v/>
      </c>
      <c r="BT14" s="5">
        <f>IF(A14="","",N(INDEX(Projects[Act Controls Eng],13)))</f>
        <v/>
      </c>
      <c r="BU14" s="5">
        <f>IF(A14="","",N(INDEX(Projects[Act Controls Purchase],13)))</f>
        <v/>
      </c>
      <c r="BV14" s="5">
        <f>IF(A14="","",N(INDEX(Projects[Act Software Eng],13)))</f>
        <v/>
      </c>
      <c r="BW14" s="5">
        <f>IF(A14="","",N(INDEX(Projects[Act 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  <c r="CE14" s="5">
        <f>INDEX(Projects[Act Data Status],13)&amp;""</f>
        <v/>
      </c>
      <c r="CF14" s="5">
        <f>IF(A14="","",N(INDEX(Projects[Est Mech Inst],13)))</f>
        <v/>
      </c>
      <c r="CG14" s="5">
        <f>IF(A14="","",N(INDEX(Projects[Est Elec Inst],13)))</f>
        <v/>
      </c>
      <c r="CH14" s="5">
        <f>IF(A14="","",N(INDEX(Projects[Est Project Management],13)))</f>
        <v/>
      </c>
      <c r="CI14" s="5">
        <f>IF(A14="","",N(INDEX(Projects[Est Systems Eng],13)))</f>
        <v/>
      </c>
      <c r="CJ14" s="5">
        <f>IF(A14="","",N(INDEX(Projects[Est Mechanical Eng],13)))</f>
        <v/>
      </c>
      <c r="CK14" s="5">
        <f>IF(A14="","",N(INDEX(Projects[Est Structural Engineering],13)))</f>
        <v/>
      </c>
      <c r="CL14" s="5">
        <f>IF(A14="","",N(INDEX(Projects[Est Site Sup],13)))</f>
        <v/>
      </c>
      <c r="CM14" s="5">
        <f>IF(A14="","",N(INDEX(Projects[Est Controls Commissioning],13)))</f>
        <v/>
      </c>
      <c r="CN14" s="5">
        <f>IF(A14="","",N(INDEX(Projects[Est Systems Commissioning],13)))</f>
        <v/>
      </c>
      <c r="CO14" s="5">
        <f>IF(A14="","",N(INDEX(Projects[Est Service Commissioning],13)))</f>
        <v/>
      </c>
      <c r="CP14" s="5">
        <f>IF(A14="","",N(INDEX(Projects[Est Controls Eng],13)))</f>
        <v/>
      </c>
      <c r="CQ14" s="5">
        <f>IF(A14="","",N(INDEX(Projects[Est Controls Purchase],13)))</f>
        <v/>
      </c>
      <c r="CR14" s="5">
        <f>IF(A14="","",N(INDEX(Projects[Est Software Eng],13)))</f>
        <v/>
      </c>
      <c r="CS14" s="5">
        <f>IF(A14="","",N(INDEX(Projects[Est Misc],13)))</f>
        <v/>
      </c>
      <c r="CT14" s="5">
        <f>IF(A14="","",SUM(CF14:CS14))</f>
        <v/>
      </c>
      <c r="CU14" s="5">
        <f>INDEX(Projects[Est Cost (M)],13)</f>
        <v/>
      </c>
      <c r="CV14" s="5">
        <f>INDEX(Projects[Act Cost (M)],13)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IF(A15="","",N(INDEX(Projects[Act Mech Inst],14)))</f>
        <v/>
      </c>
      <c r="BK15" s="5">
        <f>IF(A15="","",N(INDEX(Projects[Act Elec Inst],14)))</f>
        <v/>
      </c>
      <c r="BL15" s="5">
        <f>IF(A15="","",N(INDEX(Projects[Act Project Management],14)))</f>
        <v/>
      </c>
      <c r="BM15" s="5">
        <f>IF(A15="","",N(INDEX(Projects[Act Systems Eng],14)))</f>
        <v/>
      </c>
      <c r="BN15" s="5">
        <f>IF(A15="","",N(INDEX(Projects[Act Mechanical Eng],14)))</f>
        <v/>
      </c>
      <c r="BO15" s="5">
        <f>IF(A15="","",N(INDEX(Projects[Act Structural Engineering],14)))</f>
        <v/>
      </c>
      <c r="BP15" s="5">
        <f>IF(A15="","",N(INDEX(Projects[Act Site Sup],14)))</f>
        <v/>
      </c>
      <c r="BQ15" s="5">
        <f>IF(A15="","",N(INDEX(Projects[Act Controls Commissioning],14)))</f>
        <v/>
      </c>
      <c r="BR15" s="5">
        <f>IF(A15="","",N(INDEX(Projects[Act Systems Commissioning],14)))</f>
        <v/>
      </c>
      <c r="BS15" s="5">
        <f>IF(A15="","",N(INDEX(Projects[Act Service Commissioning],14)))</f>
        <v/>
      </c>
      <c r="BT15" s="5">
        <f>IF(A15="","",N(INDEX(Projects[Act Controls Eng],14)))</f>
        <v/>
      </c>
      <c r="BU15" s="5">
        <f>IF(A15="","",N(INDEX(Projects[Act Controls Purchase],14)))</f>
        <v/>
      </c>
      <c r="BV15" s="5">
        <f>IF(A15="","",N(INDEX(Projects[Act Software Eng],14)))</f>
        <v/>
      </c>
      <c r="BW15" s="5">
        <f>IF(A15="","",N(INDEX(Projects[Act 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  <c r="CE15" s="5">
        <f>INDEX(Projects[Act Data Status],14)&amp;""</f>
        <v/>
      </c>
      <c r="CF15" s="5">
        <f>IF(A15="","",N(INDEX(Projects[Est Mech Inst],14)))</f>
        <v/>
      </c>
      <c r="CG15" s="5">
        <f>IF(A15="","",N(INDEX(Projects[Est Elec Inst],14)))</f>
        <v/>
      </c>
      <c r="CH15" s="5">
        <f>IF(A15="","",N(INDEX(Projects[Est Project Management],14)))</f>
        <v/>
      </c>
      <c r="CI15" s="5">
        <f>IF(A15="","",N(INDEX(Projects[Est Systems Eng],14)))</f>
        <v/>
      </c>
      <c r="CJ15" s="5">
        <f>IF(A15="","",N(INDEX(Projects[Est Mechanical Eng],14)))</f>
        <v/>
      </c>
      <c r="CK15" s="5">
        <f>IF(A15="","",N(INDEX(Projects[Est Structural Engineering],14)))</f>
        <v/>
      </c>
      <c r="CL15" s="5">
        <f>IF(A15="","",N(INDEX(Projects[Est Site Sup],14)))</f>
        <v/>
      </c>
      <c r="CM15" s="5">
        <f>IF(A15="","",N(INDEX(Projects[Est Controls Commissioning],14)))</f>
        <v/>
      </c>
      <c r="CN15" s="5">
        <f>IF(A15="","",N(INDEX(Projects[Est Systems Commissioning],14)))</f>
        <v/>
      </c>
      <c r="CO15" s="5">
        <f>IF(A15="","",N(INDEX(Projects[Est Service Commissioning],14)))</f>
        <v/>
      </c>
      <c r="CP15" s="5">
        <f>IF(A15="","",N(INDEX(Projects[Est Controls Eng],14)))</f>
        <v/>
      </c>
      <c r="CQ15" s="5">
        <f>IF(A15="","",N(INDEX(Projects[Est Controls Purchase],14)))</f>
        <v/>
      </c>
      <c r="CR15" s="5">
        <f>IF(A15="","",N(INDEX(Projects[Est Software Eng],14)))</f>
        <v/>
      </c>
      <c r="CS15" s="5">
        <f>IF(A15="","",N(INDEX(Projects[Est Misc],14)))</f>
        <v/>
      </c>
      <c r="CT15" s="5">
        <f>IF(A15="","",SUM(CF15:CS15))</f>
        <v/>
      </c>
      <c r="CU15" s="5">
        <f>INDEX(Projects[Est Cost (M)],14)</f>
        <v/>
      </c>
      <c r="CV15" s="5">
        <f>INDEX(Projects[Act Cost (M)],14)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IF(A16="","",N(INDEX(Projects[Act Mech Inst],15)))</f>
        <v/>
      </c>
      <c r="BK16" s="5">
        <f>IF(A16="","",N(INDEX(Projects[Act Elec Inst],15)))</f>
        <v/>
      </c>
      <c r="BL16" s="5">
        <f>IF(A16="","",N(INDEX(Projects[Act Project Management],15)))</f>
        <v/>
      </c>
      <c r="BM16" s="5">
        <f>IF(A16="","",N(INDEX(Projects[Act Systems Eng],15)))</f>
        <v/>
      </c>
      <c r="BN16" s="5">
        <f>IF(A16="","",N(INDEX(Projects[Act Mechanical Eng],15)))</f>
        <v/>
      </c>
      <c r="BO16" s="5">
        <f>IF(A16="","",N(INDEX(Projects[Act Structural Engineering],15)))</f>
        <v/>
      </c>
      <c r="BP16" s="5">
        <f>IF(A16="","",N(INDEX(Projects[Act Site Sup],15)))</f>
        <v/>
      </c>
      <c r="BQ16" s="5">
        <f>IF(A16="","",N(INDEX(Projects[Act Controls Commissioning],15)))</f>
        <v/>
      </c>
      <c r="BR16" s="5">
        <f>IF(A16="","",N(INDEX(Projects[Act Systems Commissioning],15)))</f>
        <v/>
      </c>
      <c r="BS16" s="5">
        <f>IF(A16="","",N(INDEX(Projects[Act Service Commissioning],15)))</f>
        <v/>
      </c>
      <c r="BT16" s="5">
        <f>IF(A16="","",N(INDEX(Projects[Act Controls Eng],15)))</f>
        <v/>
      </c>
      <c r="BU16" s="5">
        <f>IF(A16="","",N(INDEX(Projects[Act Controls Purchase],15)))</f>
        <v/>
      </c>
      <c r="BV16" s="5">
        <f>IF(A16="","",N(INDEX(Projects[Act Software Eng],15)))</f>
        <v/>
      </c>
      <c r="BW16" s="5">
        <f>IF(A16="","",N(INDEX(Projects[Act 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  <c r="CE16" s="5">
        <f>INDEX(Projects[Act Data Status],15)&amp;""</f>
        <v/>
      </c>
      <c r="CF16" s="5">
        <f>IF(A16="","",N(INDEX(Projects[Est Mech Inst],15)))</f>
        <v/>
      </c>
      <c r="CG16" s="5">
        <f>IF(A16="","",N(INDEX(Projects[Est Elec Inst],15)))</f>
        <v/>
      </c>
      <c r="CH16" s="5">
        <f>IF(A16="","",N(INDEX(Projects[Est Project Management],15)))</f>
        <v/>
      </c>
      <c r="CI16" s="5">
        <f>IF(A16="","",N(INDEX(Projects[Est Systems Eng],15)))</f>
        <v/>
      </c>
      <c r="CJ16" s="5">
        <f>IF(A16="","",N(INDEX(Projects[Est Mechanical Eng],15)))</f>
        <v/>
      </c>
      <c r="CK16" s="5">
        <f>IF(A16="","",N(INDEX(Projects[Est Structural Engineering],15)))</f>
        <v/>
      </c>
      <c r="CL16" s="5">
        <f>IF(A16="","",N(INDEX(Projects[Est Site Sup],15)))</f>
        <v/>
      </c>
      <c r="CM16" s="5">
        <f>IF(A16="","",N(INDEX(Projects[Est Controls Commissioning],15)))</f>
        <v/>
      </c>
      <c r="CN16" s="5">
        <f>IF(A16="","",N(INDEX(Projects[Est Systems Commissioning],15)))</f>
        <v/>
      </c>
      <c r="CO16" s="5">
        <f>IF(A16="","",N(INDEX(Projects[Est Service Commissioning],15)))</f>
        <v/>
      </c>
      <c r="CP16" s="5">
        <f>IF(A16="","",N(INDEX(Projects[Est Controls Eng],15)))</f>
        <v/>
      </c>
      <c r="CQ16" s="5">
        <f>IF(A16="","",N(INDEX(Projects[Est Controls Purchase],15)))</f>
        <v/>
      </c>
      <c r="CR16" s="5">
        <f>IF(A16="","",N(INDEX(Projects[Est Software Eng],15)))</f>
        <v/>
      </c>
      <c r="CS16" s="5">
        <f>IF(A16="","",N(INDEX(Projects[Est Misc],15)))</f>
        <v/>
      </c>
      <c r="CT16" s="5">
        <f>IF(A16="","",SUM(CF16:CS16))</f>
        <v/>
      </c>
      <c r="CU16" s="5">
        <f>INDEX(Projects[Est Cost (M)],15)</f>
        <v/>
      </c>
      <c r="CV16" s="5">
        <f>INDEX(Projects[Act Cost (M)],15)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IF(A17="","",N(INDEX(Projects[Act Mech Inst],16)))</f>
        <v/>
      </c>
      <c r="BK17" s="5">
        <f>IF(A17="","",N(INDEX(Projects[Act Elec Inst],16)))</f>
        <v/>
      </c>
      <c r="BL17" s="5">
        <f>IF(A17="","",N(INDEX(Projects[Act Project Management],16)))</f>
        <v/>
      </c>
      <c r="BM17" s="5">
        <f>IF(A17="","",N(INDEX(Projects[Act Systems Eng],16)))</f>
        <v/>
      </c>
      <c r="BN17" s="5">
        <f>IF(A17="","",N(INDEX(Projects[Act Mechanical Eng],16)))</f>
        <v/>
      </c>
      <c r="BO17" s="5">
        <f>IF(A17="","",N(INDEX(Projects[Act Structural Engineering],16)))</f>
        <v/>
      </c>
      <c r="BP17" s="5">
        <f>IF(A17="","",N(INDEX(Projects[Act Site Sup],16)))</f>
        <v/>
      </c>
      <c r="BQ17" s="5">
        <f>IF(A17="","",N(INDEX(Projects[Act Controls Commissioning],16)))</f>
        <v/>
      </c>
      <c r="BR17" s="5">
        <f>IF(A17="","",N(INDEX(Projects[Act Systems Commissioning],16)))</f>
        <v/>
      </c>
      <c r="BS17" s="5">
        <f>IF(A17="","",N(INDEX(Projects[Act Service Commissioning],16)))</f>
        <v/>
      </c>
      <c r="BT17" s="5">
        <f>IF(A17="","",N(INDEX(Projects[Act Controls Eng],16)))</f>
        <v/>
      </c>
      <c r="BU17" s="5">
        <f>IF(A17="","",N(INDEX(Projects[Act Controls Purchase],16)))</f>
        <v/>
      </c>
      <c r="BV17" s="5">
        <f>IF(A17="","",N(INDEX(Projects[Act Software Eng],16)))</f>
        <v/>
      </c>
      <c r="BW17" s="5">
        <f>IF(A17="","",N(INDEX(Projects[Act 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  <c r="CE17" s="5">
        <f>INDEX(Projects[Act Data Status],16)&amp;""</f>
        <v/>
      </c>
      <c r="CF17" s="5">
        <f>IF(A17="","",N(INDEX(Projects[Est Mech Inst],16)))</f>
        <v/>
      </c>
      <c r="CG17" s="5">
        <f>IF(A17="","",N(INDEX(Projects[Est Elec Inst],16)))</f>
        <v/>
      </c>
      <c r="CH17" s="5">
        <f>IF(A17="","",N(INDEX(Projects[Est Project Management],16)))</f>
        <v/>
      </c>
      <c r="CI17" s="5">
        <f>IF(A17="","",N(INDEX(Projects[Est Systems Eng],16)))</f>
        <v/>
      </c>
      <c r="CJ17" s="5">
        <f>IF(A17="","",N(INDEX(Projects[Est Mechanical Eng],16)))</f>
        <v/>
      </c>
      <c r="CK17" s="5">
        <f>IF(A17="","",N(INDEX(Projects[Est Structural Engineering],16)))</f>
        <v/>
      </c>
      <c r="CL17" s="5">
        <f>IF(A17="","",N(INDEX(Projects[Est Site Sup],16)))</f>
        <v/>
      </c>
      <c r="CM17" s="5">
        <f>IF(A17="","",N(INDEX(Projects[Est Controls Commissioning],16)))</f>
        <v/>
      </c>
      <c r="CN17" s="5">
        <f>IF(A17="","",N(INDEX(Projects[Est Systems Commissioning],16)))</f>
        <v/>
      </c>
      <c r="CO17" s="5">
        <f>IF(A17="","",N(INDEX(Projects[Est Service Commissioning],16)))</f>
        <v/>
      </c>
      <c r="CP17" s="5">
        <f>IF(A17="","",N(INDEX(Projects[Est Controls Eng],16)))</f>
        <v/>
      </c>
      <c r="CQ17" s="5">
        <f>IF(A17="","",N(INDEX(Projects[Est Controls Purchase],16)))</f>
        <v/>
      </c>
      <c r="CR17" s="5">
        <f>IF(A17="","",N(INDEX(Projects[Est Software Eng],16)))</f>
        <v/>
      </c>
      <c r="CS17" s="5">
        <f>IF(A17="","",N(INDEX(Projects[Est Misc],16)))</f>
        <v/>
      </c>
      <c r="CT17" s="5">
        <f>IF(A17="","",SUM(CF17:CS17))</f>
        <v/>
      </c>
      <c r="CU17" s="5">
        <f>INDEX(Projects[Est Cost (M)],16)</f>
        <v/>
      </c>
      <c r="CV17" s="5">
        <f>INDEX(Projects[Act Cost (M)],16)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IF(A18="","",N(INDEX(Projects[Act Mech Inst],17)))</f>
        <v/>
      </c>
      <c r="BK18" s="5">
        <f>IF(A18="","",N(INDEX(Projects[Act Elec Inst],17)))</f>
        <v/>
      </c>
      <c r="BL18" s="5">
        <f>IF(A18="","",N(INDEX(Projects[Act Project Management],17)))</f>
        <v/>
      </c>
      <c r="BM18" s="5">
        <f>IF(A18="","",N(INDEX(Projects[Act Systems Eng],17)))</f>
        <v/>
      </c>
      <c r="BN18" s="5">
        <f>IF(A18="","",N(INDEX(Projects[Act Mechanical Eng],17)))</f>
        <v/>
      </c>
      <c r="BO18" s="5">
        <f>IF(A18="","",N(INDEX(Projects[Act Structural Engineering],17)))</f>
        <v/>
      </c>
      <c r="BP18" s="5">
        <f>IF(A18="","",N(INDEX(Projects[Act Site Sup],17)))</f>
        <v/>
      </c>
      <c r="BQ18" s="5">
        <f>IF(A18="","",N(INDEX(Projects[Act Controls Commissioning],17)))</f>
        <v/>
      </c>
      <c r="BR18" s="5">
        <f>IF(A18="","",N(INDEX(Projects[Act Systems Commissioning],17)))</f>
        <v/>
      </c>
      <c r="BS18" s="5">
        <f>IF(A18="","",N(INDEX(Projects[Act Service Commissioning],17)))</f>
        <v/>
      </c>
      <c r="BT18" s="5">
        <f>IF(A18="","",N(INDEX(Projects[Act Controls Eng],17)))</f>
        <v/>
      </c>
      <c r="BU18" s="5">
        <f>IF(A18="","",N(INDEX(Projects[Act Controls Purchase],17)))</f>
        <v/>
      </c>
      <c r="BV18" s="5">
        <f>IF(A18="","",N(INDEX(Projects[Act Software Eng],17)))</f>
        <v/>
      </c>
      <c r="BW18" s="5">
        <f>IF(A18="","",N(INDEX(Projects[Act 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  <c r="CE18" s="5">
        <f>INDEX(Projects[Act Data Status],17)&amp;""</f>
        <v/>
      </c>
      <c r="CF18" s="5">
        <f>IF(A18="","",N(INDEX(Projects[Est Mech Inst],17)))</f>
        <v/>
      </c>
      <c r="CG18" s="5">
        <f>IF(A18="","",N(INDEX(Projects[Est Elec Inst],17)))</f>
        <v/>
      </c>
      <c r="CH18" s="5">
        <f>IF(A18="","",N(INDEX(Projects[Est Project Management],17)))</f>
        <v/>
      </c>
      <c r="CI18" s="5">
        <f>IF(A18="","",N(INDEX(Projects[Est Systems Eng],17)))</f>
        <v/>
      </c>
      <c r="CJ18" s="5">
        <f>IF(A18="","",N(INDEX(Projects[Est Mechanical Eng],17)))</f>
        <v/>
      </c>
      <c r="CK18" s="5">
        <f>IF(A18="","",N(INDEX(Projects[Est Structural Engineering],17)))</f>
        <v/>
      </c>
      <c r="CL18" s="5">
        <f>IF(A18="","",N(INDEX(Projects[Est Site Sup],17)))</f>
        <v/>
      </c>
      <c r="CM18" s="5">
        <f>IF(A18="","",N(INDEX(Projects[Est Controls Commissioning],17)))</f>
        <v/>
      </c>
      <c r="CN18" s="5">
        <f>IF(A18="","",N(INDEX(Projects[Est Systems Commissioning],17)))</f>
        <v/>
      </c>
      <c r="CO18" s="5">
        <f>IF(A18="","",N(INDEX(Projects[Est Service Commissioning],17)))</f>
        <v/>
      </c>
      <c r="CP18" s="5">
        <f>IF(A18="","",N(INDEX(Projects[Est Controls Eng],17)))</f>
        <v/>
      </c>
      <c r="CQ18" s="5">
        <f>IF(A18="","",N(INDEX(Projects[Est Controls Purchase],17)))</f>
        <v/>
      </c>
      <c r="CR18" s="5">
        <f>IF(A18="","",N(INDEX(Projects[Est Software Eng],17)))</f>
        <v/>
      </c>
      <c r="CS18" s="5">
        <f>IF(A18="","",N(INDEX(Projects[Est Misc],17)))</f>
        <v/>
      </c>
      <c r="CT18" s="5">
        <f>IF(A18="","",SUM(CF18:CS18))</f>
        <v/>
      </c>
      <c r="CU18" s="5">
        <f>INDEX(Projects[Est Cost (M)],17)</f>
        <v/>
      </c>
      <c r="CV18" s="5">
        <f>INDEX(Projects[Act Cost (M)],17)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IF(A19="","",N(INDEX(Projects[Act Mech Inst],18)))</f>
        <v/>
      </c>
      <c r="BK19" s="5">
        <f>IF(A19="","",N(INDEX(Projects[Act Elec Inst],18)))</f>
        <v/>
      </c>
      <c r="BL19" s="5">
        <f>IF(A19="","",N(INDEX(Projects[Act Project Management],18)))</f>
        <v/>
      </c>
      <c r="BM19" s="5">
        <f>IF(A19="","",N(INDEX(Projects[Act Systems Eng],18)))</f>
        <v/>
      </c>
      <c r="BN19" s="5">
        <f>IF(A19="","",N(INDEX(Projects[Act Mechanical Eng],18)))</f>
        <v/>
      </c>
      <c r="BO19" s="5">
        <f>IF(A19="","",N(INDEX(Projects[Act Structural Engineering],18)))</f>
        <v/>
      </c>
      <c r="BP19" s="5">
        <f>IF(A19="","",N(INDEX(Projects[Act Site Sup],18)))</f>
        <v/>
      </c>
      <c r="BQ19" s="5">
        <f>IF(A19="","",N(INDEX(Projects[Act Controls Commissioning],18)))</f>
        <v/>
      </c>
      <c r="BR19" s="5">
        <f>IF(A19="","",N(INDEX(Projects[Act Systems Commissioning],18)))</f>
        <v/>
      </c>
      <c r="BS19" s="5">
        <f>IF(A19="","",N(INDEX(Projects[Act Service Commissioning],18)))</f>
        <v/>
      </c>
      <c r="BT19" s="5">
        <f>IF(A19="","",N(INDEX(Projects[Act Controls Eng],18)))</f>
        <v/>
      </c>
      <c r="BU19" s="5">
        <f>IF(A19="","",N(INDEX(Projects[Act Controls Purchase],18)))</f>
        <v/>
      </c>
      <c r="BV19" s="5">
        <f>IF(A19="","",N(INDEX(Projects[Act Software Eng],18)))</f>
        <v/>
      </c>
      <c r="BW19" s="5">
        <f>IF(A19="","",N(INDEX(Projects[Act 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  <c r="CE19" s="5">
        <f>INDEX(Projects[Act Data Status],18)&amp;""</f>
        <v/>
      </c>
      <c r="CF19" s="5">
        <f>IF(A19="","",N(INDEX(Projects[Est Mech Inst],18)))</f>
        <v/>
      </c>
      <c r="CG19" s="5">
        <f>IF(A19="","",N(INDEX(Projects[Est Elec Inst],18)))</f>
        <v/>
      </c>
      <c r="CH19" s="5">
        <f>IF(A19="","",N(INDEX(Projects[Est Project Management],18)))</f>
        <v/>
      </c>
      <c r="CI19" s="5">
        <f>IF(A19="","",N(INDEX(Projects[Est Systems Eng],18)))</f>
        <v/>
      </c>
      <c r="CJ19" s="5">
        <f>IF(A19="","",N(INDEX(Projects[Est Mechanical Eng],18)))</f>
        <v/>
      </c>
      <c r="CK19" s="5">
        <f>IF(A19="","",N(INDEX(Projects[Est Structural Engineering],18)))</f>
        <v/>
      </c>
      <c r="CL19" s="5">
        <f>IF(A19="","",N(INDEX(Projects[Est Site Sup],18)))</f>
        <v/>
      </c>
      <c r="CM19" s="5">
        <f>IF(A19="","",N(INDEX(Projects[Est Controls Commissioning],18)))</f>
        <v/>
      </c>
      <c r="CN19" s="5">
        <f>IF(A19="","",N(INDEX(Projects[Est Systems Commissioning],18)))</f>
        <v/>
      </c>
      <c r="CO19" s="5">
        <f>IF(A19="","",N(INDEX(Projects[Est Service Commissioning],18)))</f>
        <v/>
      </c>
      <c r="CP19" s="5">
        <f>IF(A19="","",N(INDEX(Projects[Est Controls Eng],18)))</f>
        <v/>
      </c>
      <c r="CQ19" s="5">
        <f>IF(A19="","",N(INDEX(Projects[Est Controls Purchase],18)))</f>
        <v/>
      </c>
      <c r="CR19" s="5">
        <f>IF(A19="","",N(INDEX(Projects[Est Software Eng],18)))</f>
        <v/>
      </c>
      <c r="CS19" s="5">
        <f>IF(A19="","",N(INDEX(Projects[Est Misc],18)))</f>
        <v/>
      </c>
      <c r="CT19" s="5">
        <f>IF(A19="","",SUM(CF19:CS19))</f>
        <v/>
      </c>
      <c r="CU19" s="5">
        <f>INDEX(Projects[Est Cost (M)],18)</f>
        <v/>
      </c>
      <c r="CV19" s="5">
        <f>INDEX(Projects[Act Cost (M)],18)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IF(A20="","",N(INDEX(Projects[Act Mech Inst],19)))</f>
        <v/>
      </c>
      <c r="BK20" s="5">
        <f>IF(A20="","",N(INDEX(Projects[Act Elec Inst],19)))</f>
        <v/>
      </c>
      <c r="BL20" s="5">
        <f>IF(A20="","",N(INDEX(Projects[Act Project Management],19)))</f>
        <v/>
      </c>
      <c r="BM20" s="5">
        <f>IF(A20="","",N(INDEX(Projects[Act Systems Eng],19)))</f>
        <v/>
      </c>
      <c r="BN20" s="5">
        <f>IF(A20="","",N(INDEX(Projects[Act Mechanical Eng],19)))</f>
        <v/>
      </c>
      <c r="BO20" s="5">
        <f>IF(A20="","",N(INDEX(Projects[Act Structural Engineering],19)))</f>
        <v/>
      </c>
      <c r="BP20" s="5">
        <f>IF(A20="","",N(INDEX(Projects[Act Site Sup],19)))</f>
        <v/>
      </c>
      <c r="BQ20" s="5">
        <f>IF(A20="","",N(INDEX(Projects[Act Controls Commissioning],19)))</f>
        <v/>
      </c>
      <c r="BR20" s="5">
        <f>IF(A20="","",N(INDEX(Projects[Act Systems Commissioning],19)))</f>
        <v/>
      </c>
      <c r="BS20" s="5">
        <f>IF(A20="","",N(INDEX(Projects[Act Service Commissioning],19)))</f>
        <v/>
      </c>
      <c r="BT20" s="5">
        <f>IF(A20="","",N(INDEX(Projects[Act Controls Eng],19)))</f>
        <v/>
      </c>
      <c r="BU20" s="5">
        <f>IF(A20="","",N(INDEX(Projects[Act Controls Purchase],19)))</f>
        <v/>
      </c>
      <c r="BV20" s="5">
        <f>IF(A20="","",N(INDEX(Projects[Act Software Eng],19)))</f>
        <v/>
      </c>
      <c r="BW20" s="5">
        <f>IF(A20="","",N(INDEX(Projects[Act 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  <c r="CE20" s="5">
        <f>INDEX(Projects[Act Data Status],19)&amp;""</f>
        <v/>
      </c>
      <c r="CF20" s="5">
        <f>IF(A20="","",N(INDEX(Projects[Est Mech Inst],19)))</f>
        <v/>
      </c>
      <c r="CG20" s="5">
        <f>IF(A20="","",N(INDEX(Projects[Est Elec Inst],19)))</f>
        <v/>
      </c>
      <c r="CH20" s="5">
        <f>IF(A20="","",N(INDEX(Projects[Est Project Management],19)))</f>
        <v/>
      </c>
      <c r="CI20" s="5">
        <f>IF(A20="","",N(INDEX(Projects[Est Systems Eng],19)))</f>
        <v/>
      </c>
      <c r="CJ20" s="5">
        <f>IF(A20="","",N(INDEX(Projects[Est Mechanical Eng],19)))</f>
        <v/>
      </c>
      <c r="CK20" s="5">
        <f>IF(A20="","",N(INDEX(Projects[Est Structural Engineering],19)))</f>
        <v/>
      </c>
      <c r="CL20" s="5">
        <f>IF(A20="","",N(INDEX(Projects[Est Site Sup],19)))</f>
        <v/>
      </c>
      <c r="CM20" s="5">
        <f>IF(A20="","",N(INDEX(Projects[Est Controls Commissioning],19)))</f>
        <v/>
      </c>
      <c r="CN20" s="5">
        <f>IF(A20="","",N(INDEX(Projects[Est Systems Commissioning],19)))</f>
        <v/>
      </c>
      <c r="CO20" s="5">
        <f>IF(A20="","",N(INDEX(Projects[Est Service Commissioning],19)))</f>
        <v/>
      </c>
      <c r="CP20" s="5">
        <f>IF(A20="","",N(INDEX(Projects[Est Controls Eng],19)))</f>
        <v/>
      </c>
      <c r="CQ20" s="5">
        <f>IF(A20="","",N(INDEX(Projects[Est Controls Purchase],19)))</f>
        <v/>
      </c>
      <c r="CR20" s="5">
        <f>IF(A20="","",N(INDEX(Projects[Est Software Eng],19)))</f>
        <v/>
      </c>
      <c r="CS20" s="5">
        <f>IF(A20="","",N(INDEX(Projects[Est Misc],19)))</f>
        <v/>
      </c>
      <c r="CT20" s="5">
        <f>IF(A20="","",SUM(CF20:CS20))</f>
        <v/>
      </c>
      <c r="CU20" s="5">
        <f>INDEX(Projects[Est Cost (M)],19)</f>
        <v/>
      </c>
      <c r="CV20" s="5">
        <f>INDEX(Projects[Act Cost (M)],19)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IF(A21="","",N(INDEX(Projects[Act Mech Inst],20)))</f>
        <v/>
      </c>
      <c r="BK21" s="5">
        <f>IF(A21="","",N(INDEX(Projects[Act Elec Inst],20)))</f>
        <v/>
      </c>
      <c r="BL21" s="5">
        <f>IF(A21="","",N(INDEX(Projects[Act Project Management],20)))</f>
        <v/>
      </c>
      <c r="BM21" s="5">
        <f>IF(A21="","",N(INDEX(Projects[Act Systems Eng],20)))</f>
        <v/>
      </c>
      <c r="BN21" s="5">
        <f>IF(A21="","",N(INDEX(Projects[Act Mechanical Eng],20)))</f>
        <v/>
      </c>
      <c r="BO21" s="5">
        <f>IF(A21="","",N(INDEX(Projects[Act Structural Engineering],20)))</f>
        <v/>
      </c>
      <c r="BP21" s="5">
        <f>IF(A21="","",N(INDEX(Projects[Act Site Sup],20)))</f>
        <v/>
      </c>
      <c r="BQ21" s="5">
        <f>IF(A21="","",N(INDEX(Projects[Act Controls Commissioning],20)))</f>
        <v/>
      </c>
      <c r="BR21" s="5">
        <f>IF(A21="","",N(INDEX(Projects[Act Systems Commissioning],20)))</f>
        <v/>
      </c>
      <c r="BS21" s="5">
        <f>IF(A21="","",N(INDEX(Projects[Act Service Commissioning],20)))</f>
        <v/>
      </c>
      <c r="BT21" s="5">
        <f>IF(A21="","",N(INDEX(Projects[Act Controls Eng],20)))</f>
        <v/>
      </c>
      <c r="BU21" s="5">
        <f>IF(A21="","",N(INDEX(Projects[Act Controls Purchase],20)))</f>
        <v/>
      </c>
      <c r="BV21" s="5">
        <f>IF(A21="","",N(INDEX(Projects[Act Software Eng],20)))</f>
        <v/>
      </c>
      <c r="BW21" s="5">
        <f>IF(A21="","",N(INDEX(Projects[Act 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  <c r="CE21" s="5">
        <f>INDEX(Projects[Act Data Status],20)&amp;""</f>
        <v/>
      </c>
      <c r="CF21" s="5">
        <f>IF(A21="","",N(INDEX(Projects[Est Mech Inst],20)))</f>
        <v/>
      </c>
      <c r="CG21" s="5">
        <f>IF(A21="","",N(INDEX(Projects[Est Elec Inst],20)))</f>
        <v/>
      </c>
      <c r="CH21" s="5">
        <f>IF(A21="","",N(INDEX(Projects[Est Project Management],20)))</f>
        <v/>
      </c>
      <c r="CI21" s="5">
        <f>IF(A21="","",N(INDEX(Projects[Est Systems Eng],20)))</f>
        <v/>
      </c>
      <c r="CJ21" s="5">
        <f>IF(A21="","",N(INDEX(Projects[Est Mechanical Eng],20)))</f>
        <v/>
      </c>
      <c r="CK21" s="5">
        <f>IF(A21="","",N(INDEX(Projects[Est Structural Engineering],20)))</f>
        <v/>
      </c>
      <c r="CL21" s="5">
        <f>IF(A21="","",N(INDEX(Projects[Est Site Sup],20)))</f>
        <v/>
      </c>
      <c r="CM21" s="5">
        <f>IF(A21="","",N(INDEX(Projects[Est Controls Commissioning],20)))</f>
        <v/>
      </c>
      <c r="CN21" s="5">
        <f>IF(A21="","",N(INDEX(Projects[Est Systems Commissioning],20)))</f>
        <v/>
      </c>
      <c r="CO21" s="5">
        <f>IF(A21="","",N(INDEX(Projects[Est Service Commissioning],20)))</f>
        <v/>
      </c>
      <c r="CP21" s="5">
        <f>IF(A21="","",N(INDEX(Projects[Est Controls Eng],20)))</f>
        <v/>
      </c>
      <c r="CQ21" s="5">
        <f>IF(A21="","",N(INDEX(Projects[Est Controls Purchase],20)))</f>
        <v/>
      </c>
      <c r="CR21" s="5">
        <f>IF(A21="","",N(INDEX(Projects[Est Software Eng],20)))</f>
        <v/>
      </c>
      <c r="CS21" s="5">
        <f>IF(A21="","",N(INDEX(Projects[Est Misc],20)))</f>
        <v/>
      </c>
      <c r="CT21" s="5">
        <f>IF(A21="","",SUM(CF21:CS21))</f>
        <v/>
      </c>
      <c r="CU21" s="5">
        <f>INDEX(Projects[Est Cost (M)],20)</f>
        <v/>
      </c>
      <c r="CV21" s="5">
        <f>INDEX(Projects[Act Cost (M)],20)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IF(A22="","",N(INDEX(Projects[Act Mech Inst],21)))</f>
        <v/>
      </c>
      <c r="BK22" s="5">
        <f>IF(A22="","",N(INDEX(Projects[Act Elec Inst],21)))</f>
        <v/>
      </c>
      <c r="BL22" s="5">
        <f>IF(A22="","",N(INDEX(Projects[Act Project Management],21)))</f>
        <v/>
      </c>
      <c r="BM22" s="5">
        <f>IF(A22="","",N(INDEX(Projects[Act Systems Eng],21)))</f>
        <v/>
      </c>
      <c r="BN22" s="5">
        <f>IF(A22="","",N(INDEX(Projects[Act Mechanical Eng],21)))</f>
        <v/>
      </c>
      <c r="BO22" s="5">
        <f>IF(A22="","",N(INDEX(Projects[Act Structural Engineering],21)))</f>
        <v/>
      </c>
      <c r="BP22" s="5">
        <f>IF(A22="","",N(INDEX(Projects[Act Site Sup],21)))</f>
        <v/>
      </c>
      <c r="BQ22" s="5">
        <f>IF(A22="","",N(INDEX(Projects[Act Controls Commissioning],21)))</f>
        <v/>
      </c>
      <c r="BR22" s="5">
        <f>IF(A22="","",N(INDEX(Projects[Act Systems Commissioning],21)))</f>
        <v/>
      </c>
      <c r="BS22" s="5">
        <f>IF(A22="","",N(INDEX(Projects[Act Service Commissioning],21)))</f>
        <v/>
      </c>
      <c r="BT22" s="5">
        <f>IF(A22="","",N(INDEX(Projects[Act Controls Eng],21)))</f>
        <v/>
      </c>
      <c r="BU22" s="5">
        <f>IF(A22="","",N(INDEX(Projects[Act Controls Purchase],21)))</f>
        <v/>
      </c>
      <c r="BV22" s="5">
        <f>IF(A22="","",N(INDEX(Projects[Act Software Eng],21)))</f>
        <v/>
      </c>
      <c r="BW22" s="5">
        <f>IF(A22="","",N(INDEX(Projects[Act 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  <c r="CE22" s="5">
        <f>INDEX(Projects[Act Data Status],21)&amp;""</f>
        <v/>
      </c>
      <c r="CF22" s="5">
        <f>IF(A22="","",N(INDEX(Projects[Est Mech Inst],21)))</f>
        <v/>
      </c>
      <c r="CG22" s="5">
        <f>IF(A22="","",N(INDEX(Projects[Est Elec Inst],21)))</f>
        <v/>
      </c>
      <c r="CH22" s="5">
        <f>IF(A22="","",N(INDEX(Projects[Est Project Management],21)))</f>
        <v/>
      </c>
      <c r="CI22" s="5">
        <f>IF(A22="","",N(INDEX(Projects[Est Systems Eng],21)))</f>
        <v/>
      </c>
      <c r="CJ22" s="5">
        <f>IF(A22="","",N(INDEX(Projects[Est Mechanical Eng],21)))</f>
        <v/>
      </c>
      <c r="CK22" s="5">
        <f>IF(A22="","",N(INDEX(Projects[Est Structural Engineering],21)))</f>
        <v/>
      </c>
      <c r="CL22" s="5">
        <f>IF(A22="","",N(INDEX(Projects[Est Site Sup],21)))</f>
        <v/>
      </c>
      <c r="CM22" s="5">
        <f>IF(A22="","",N(INDEX(Projects[Est Controls Commissioning],21)))</f>
        <v/>
      </c>
      <c r="CN22" s="5">
        <f>IF(A22="","",N(INDEX(Projects[Est Systems Commissioning],21)))</f>
        <v/>
      </c>
      <c r="CO22" s="5">
        <f>IF(A22="","",N(INDEX(Projects[Est Service Commissioning],21)))</f>
        <v/>
      </c>
      <c r="CP22" s="5">
        <f>IF(A22="","",N(INDEX(Projects[Est Controls Eng],21)))</f>
        <v/>
      </c>
      <c r="CQ22" s="5">
        <f>IF(A22="","",N(INDEX(Projects[Est Controls Purchase],21)))</f>
        <v/>
      </c>
      <c r="CR22" s="5">
        <f>IF(A22="","",N(INDEX(Projects[Est Software Eng],21)))</f>
        <v/>
      </c>
      <c r="CS22" s="5">
        <f>IF(A22="","",N(INDEX(Projects[Est Misc],21)))</f>
        <v/>
      </c>
      <c r="CT22" s="5">
        <f>IF(A22="","",SUM(CF22:CS22))</f>
        <v/>
      </c>
      <c r="CU22" s="5">
        <f>INDEX(Projects[Est Cost (M)],21)</f>
        <v/>
      </c>
      <c r="CV22" s="5">
        <f>INDEX(Projects[Act Cost (M)],21)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IF(A23="","",N(INDEX(Projects[Act Mech Inst],22)))</f>
        <v/>
      </c>
      <c r="BK23" s="5">
        <f>IF(A23="","",N(INDEX(Projects[Act Elec Inst],22)))</f>
        <v/>
      </c>
      <c r="BL23" s="5">
        <f>IF(A23="","",N(INDEX(Projects[Act Project Management],22)))</f>
        <v/>
      </c>
      <c r="BM23" s="5">
        <f>IF(A23="","",N(INDEX(Projects[Act Systems Eng],22)))</f>
        <v/>
      </c>
      <c r="BN23" s="5">
        <f>IF(A23="","",N(INDEX(Projects[Act Mechanical Eng],22)))</f>
        <v/>
      </c>
      <c r="BO23" s="5">
        <f>IF(A23="","",N(INDEX(Projects[Act Structural Engineering],22)))</f>
        <v/>
      </c>
      <c r="BP23" s="5">
        <f>IF(A23="","",N(INDEX(Projects[Act Site Sup],22)))</f>
        <v/>
      </c>
      <c r="BQ23" s="5">
        <f>IF(A23="","",N(INDEX(Projects[Act Controls Commissioning],22)))</f>
        <v/>
      </c>
      <c r="BR23" s="5">
        <f>IF(A23="","",N(INDEX(Projects[Act Systems Commissioning],22)))</f>
        <v/>
      </c>
      <c r="BS23" s="5">
        <f>IF(A23="","",N(INDEX(Projects[Act Service Commissioning],22)))</f>
        <v/>
      </c>
      <c r="BT23" s="5">
        <f>IF(A23="","",N(INDEX(Projects[Act Controls Eng],22)))</f>
        <v/>
      </c>
      <c r="BU23" s="5">
        <f>IF(A23="","",N(INDEX(Projects[Act Controls Purchase],22)))</f>
        <v/>
      </c>
      <c r="BV23" s="5">
        <f>IF(A23="","",N(INDEX(Projects[Act Software Eng],22)))</f>
        <v/>
      </c>
      <c r="BW23" s="5">
        <f>IF(A23="","",N(INDEX(Projects[Act 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  <c r="CE23" s="5">
        <f>INDEX(Projects[Act Data Status],22)&amp;""</f>
        <v/>
      </c>
      <c r="CF23" s="5">
        <f>IF(A23="","",N(INDEX(Projects[Est Mech Inst],22)))</f>
        <v/>
      </c>
      <c r="CG23" s="5">
        <f>IF(A23="","",N(INDEX(Projects[Est Elec Inst],22)))</f>
        <v/>
      </c>
      <c r="CH23" s="5">
        <f>IF(A23="","",N(INDEX(Projects[Est Project Management],22)))</f>
        <v/>
      </c>
      <c r="CI23" s="5">
        <f>IF(A23="","",N(INDEX(Projects[Est Systems Eng],22)))</f>
        <v/>
      </c>
      <c r="CJ23" s="5">
        <f>IF(A23="","",N(INDEX(Projects[Est Mechanical Eng],22)))</f>
        <v/>
      </c>
      <c r="CK23" s="5">
        <f>IF(A23="","",N(INDEX(Projects[Est Structural Engineering],22)))</f>
        <v/>
      </c>
      <c r="CL23" s="5">
        <f>IF(A23="","",N(INDEX(Projects[Est Site Sup],22)))</f>
        <v/>
      </c>
      <c r="CM23" s="5">
        <f>IF(A23="","",N(INDEX(Projects[Est Controls Commissioning],22)))</f>
        <v/>
      </c>
      <c r="CN23" s="5">
        <f>IF(A23="","",N(INDEX(Projects[Est Systems Commissioning],22)))</f>
        <v/>
      </c>
      <c r="CO23" s="5">
        <f>IF(A23="","",N(INDEX(Projects[Est Service Commissioning],22)))</f>
        <v/>
      </c>
      <c r="CP23" s="5">
        <f>IF(A23="","",N(INDEX(Projects[Est Controls Eng],22)))</f>
        <v/>
      </c>
      <c r="CQ23" s="5">
        <f>IF(A23="","",N(INDEX(Projects[Est Controls Purchase],22)))</f>
        <v/>
      </c>
      <c r="CR23" s="5">
        <f>IF(A23="","",N(INDEX(Projects[Est Software Eng],22)))</f>
        <v/>
      </c>
      <c r="CS23" s="5">
        <f>IF(A23="","",N(INDEX(Projects[Est Misc],22)))</f>
        <v/>
      </c>
      <c r="CT23" s="5">
        <f>IF(A23="","",SUM(CF23:CS23))</f>
        <v/>
      </c>
      <c r="CU23" s="5">
        <f>INDEX(Projects[Est Cost (M)],22)</f>
        <v/>
      </c>
      <c r="CV23" s="5">
        <f>INDEX(Projects[Act Cost (M)],22)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IF(A24="","",N(INDEX(Projects[Act Mech Inst],23)))</f>
        <v/>
      </c>
      <c r="BK24" s="5">
        <f>IF(A24="","",N(INDEX(Projects[Act Elec Inst],23)))</f>
        <v/>
      </c>
      <c r="BL24" s="5">
        <f>IF(A24="","",N(INDEX(Projects[Act Project Management],23)))</f>
        <v/>
      </c>
      <c r="BM24" s="5">
        <f>IF(A24="","",N(INDEX(Projects[Act Systems Eng],23)))</f>
        <v/>
      </c>
      <c r="BN24" s="5">
        <f>IF(A24="","",N(INDEX(Projects[Act Mechanical Eng],23)))</f>
        <v/>
      </c>
      <c r="BO24" s="5">
        <f>IF(A24="","",N(INDEX(Projects[Act Structural Engineering],23)))</f>
        <v/>
      </c>
      <c r="BP24" s="5">
        <f>IF(A24="","",N(INDEX(Projects[Act Site Sup],23)))</f>
        <v/>
      </c>
      <c r="BQ24" s="5">
        <f>IF(A24="","",N(INDEX(Projects[Act Controls Commissioning],23)))</f>
        <v/>
      </c>
      <c r="BR24" s="5">
        <f>IF(A24="","",N(INDEX(Projects[Act Systems Commissioning],23)))</f>
        <v/>
      </c>
      <c r="BS24" s="5">
        <f>IF(A24="","",N(INDEX(Projects[Act Service Commissioning],23)))</f>
        <v/>
      </c>
      <c r="BT24" s="5">
        <f>IF(A24="","",N(INDEX(Projects[Act Controls Eng],23)))</f>
        <v/>
      </c>
      <c r="BU24" s="5">
        <f>IF(A24="","",N(INDEX(Projects[Act Controls Purchase],23)))</f>
        <v/>
      </c>
      <c r="BV24" s="5">
        <f>IF(A24="","",N(INDEX(Projects[Act Software Eng],23)))</f>
        <v/>
      </c>
      <c r="BW24" s="5">
        <f>IF(A24="","",N(INDEX(Projects[Act 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  <c r="CE24" s="5">
        <f>INDEX(Projects[Act Data Status],23)&amp;""</f>
        <v/>
      </c>
      <c r="CF24" s="5">
        <f>IF(A24="","",N(INDEX(Projects[Est Mech Inst],23)))</f>
        <v/>
      </c>
      <c r="CG24" s="5">
        <f>IF(A24="","",N(INDEX(Projects[Est Elec Inst],23)))</f>
        <v/>
      </c>
      <c r="CH24" s="5">
        <f>IF(A24="","",N(INDEX(Projects[Est Project Management],23)))</f>
        <v/>
      </c>
      <c r="CI24" s="5">
        <f>IF(A24="","",N(INDEX(Projects[Est Systems Eng],23)))</f>
        <v/>
      </c>
      <c r="CJ24" s="5">
        <f>IF(A24="","",N(INDEX(Projects[Est Mechanical Eng],23)))</f>
        <v/>
      </c>
      <c r="CK24" s="5">
        <f>IF(A24="","",N(INDEX(Projects[Est Structural Engineering],23)))</f>
        <v/>
      </c>
      <c r="CL24" s="5">
        <f>IF(A24="","",N(INDEX(Projects[Est Site Sup],23)))</f>
        <v/>
      </c>
      <c r="CM24" s="5">
        <f>IF(A24="","",N(INDEX(Projects[Est Controls Commissioning],23)))</f>
        <v/>
      </c>
      <c r="CN24" s="5">
        <f>IF(A24="","",N(INDEX(Projects[Est Systems Commissioning],23)))</f>
        <v/>
      </c>
      <c r="CO24" s="5">
        <f>IF(A24="","",N(INDEX(Projects[Est Service Commissioning],23)))</f>
        <v/>
      </c>
      <c r="CP24" s="5">
        <f>IF(A24="","",N(INDEX(Projects[Est Controls Eng],23)))</f>
        <v/>
      </c>
      <c r="CQ24" s="5">
        <f>IF(A24="","",N(INDEX(Projects[Est Controls Purchase],23)))</f>
        <v/>
      </c>
      <c r="CR24" s="5">
        <f>IF(A24="","",N(INDEX(Projects[Est Software Eng],23)))</f>
        <v/>
      </c>
      <c r="CS24" s="5">
        <f>IF(A24="","",N(INDEX(Projects[Est Misc],23)))</f>
        <v/>
      </c>
      <c r="CT24" s="5">
        <f>IF(A24="","",SUM(CF24:CS24))</f>
        <v/>
      </c>
      <c r="CU24" s="5">
        <f>INDEX(Projects[Est Cost (M)],23)</f>
        <v/>
      </c>
      <c r="CV24" s="5">
        <f>INDEX(Projects[Act Cost (M)],23)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IF(A25="","",N(INDEX(Projects[Act Mech Inst],24)))</f>
        <v/>
      </c>
      <c r="BK25" s="5">
        <f>IF(A25="","",N(INDEX(Projects[Act Elec Inst],24)))</f>
        <v/>
      </c>
      <c r="BL25" s="5">
        <f>IF(A25="","",N(INDEX(Projects[Act Project Management],24)))</f>
        <v/>
      </c>
      <c r="BM25" s="5">
        <f>IF(A25="","",N(INDEX(Projects[Act Systems Eng],24)))</f>
        <v/>
      </c>
      <c r="BN25" s="5">
        <f>IF(A25="","",N(INDEX(Projects[Act Mechanical Eng],24)))</f>
        <v/>
      </c>
      <c r="BO25" s="5">
        <f>IF(A25="","",N(INDEX(Projects[Act Structural Engineering],24)))</f>
        <v/>
      </c>
      <c r="BP25" s="5">
        <f>IF(A25="","",N(INDEX(Projects[Act Site Sup],24)))</f>
        <v/>
      </c>
      <c r="BQ25" s="5">
        <f>IF(A25="","",N(INDEX(Projects[Act Controls Commissioning],24)))</f>
        <v/>
      </c>
      <c r="BR25" s="5">
        <f>IF(A25="","",N(INDEX(Projects[Act Systems Commissioning],24)))</f>
        <v/>
      </c>
      <c r="BS25" s="5">
        <f>IF(A25="","",N(INDEX(Projects[Act Service Commissioning],24)))</f>
        <v/>
      </c>
      <c r="BT25" s="5">
        <f>IF(A25="","",N(INDEX(Projects[Act Controls Eng],24)))</f>
        <v/>
      </c>
      <c r="BU25" s="5">
        <f>IF(A25="","",N(INDEX(Projects[Act Controls Purchase],24)))</f>
        <v/>
      </c>
      <c r="BV25" s="5">
        <f>IF(A25="","",N(INDEX(Projects[Act Software Eng],24)))</f>
        <v/>
      </c>
      <c r="BW25" s="5">
        <f>IF(A25="","",N(INDEX(Projects[Act 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  <c r="CE25" s="5">
        <f>INDEX(Projects[Act Data Status],24)&amp;""</f>
        <v/>
      </c>
      <c r="CF25" s="5">
        <f>IF(A25="","",N(INDEX(Projects[Est Mech Inst],24)))</f>
        <v/>
      </c>
      <c r="CG25" s="5">
        <f>IF(A25="","",N(INDEX(Projects[Est Elec Inst],24)))</f>
        <v/>
      </c>
      <c r="CH25" s="5">
        <f>IF(A25="","",N(INDEX(Projects[Est Project Management],24)))</f>
        <v/>
      </c>
      <c r="CI25" s="5">
        <f>IF(A25="","",N(INDEX(Projects[Est Systems Eng],24)))</f>
        <v/>
      </c>
      <c r="CJ25" s="5">
        <f>IF(A25="","",N(INDEX(Projects[Est Mechanical Eng],24)))</f>
        <v/>
      </c>
      <c r="CK25" s="5">
        <f>IF(A25="","",N(INDEX(Projects[Est Structural Engineering],24)))</f>
        <v/>
      </c>
      <c r="CL25" s="5">
        <f>IF(A25="","",N(INDEX(Projects[Est Site Sup],24)))</f>
        <v/>
      </c>
      <c r="CM25" s="5">
        <f>IF(A25="","",N(INDEX(Projects[Est Controls Commissioning],24)))</f>
        <v/>
      </c>
      <c r="CN25" s="5">
        <f>IF(A25="","",N(INDEX(Projects[Est Systems Commissioning],24)))</f>
        <v/>
      </c>
      <c r="CO25" s="5">
        <f>IF(A25="","",N(INDEX(Projects[Est Service Commissioning],24)))</f>
        <v/>
      </c>
      <c r="CP25" s="5">
        <f>IF(A25="","",N(INDEX(Projects[Est Controls Eng],24)))</f>
        <v/>
      </c>
      <c r="CQ25" s="5">
        <f>IF(A25="","",N(INDEX(Projects[Est Controls Purchase],24)))</f>
        <v/>
      </c>
      <c r="CR25" s="5">
        <f>IF(A25="","",N(INDEX(Projects[Est Software Eng],24)))</f>
        <v/>
      </c>
      <c r="CS25" s="5">
        <f>IF(A25="","",N(INDEX(Projects[Est Misc],24)))</f>
        <v/>
      </c>
      <c r="CT25" s="5">
        <f>IF(A25="","",SUM(CF25:CS25))</f>
        <v/>
      </c>
      <c r="CU25" s="5">
        <f>INDEX(Projects[Est Cost (M)],24)</f>
        <v/>
      </c>
      <c r="CV25" s="5">
        <f>INDEX(Projects[Act Cost (M)],24)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IF(A26="","",N(INDEX(Projects[Act Mech Inst],25)))</f>
        <v/>
      </c>
      <c r="BK26" s="5">
        <f>IF(A26="","",N(INDEX(Projects[Act Elec Inst],25)))</f>
        <v/>
      </c>
      <c r="BL26" s="5">
        <f>IF(A26="","",N(INDEX(Projects[Act Project Management],25)))</f>
        <v/>
      </c>
      <c r="BM26" s="5">
        <f>IF(A26="","",N(INDEX(Projects[Act Systems Eng],25)))</f>
        <v/>
      </c>
      <c r="BN26" s="5">
        <f>IF(A26="","",N(INDEX(Projects[Act Mechanical Eng],25)))</f>
        <v/>
      </c>
      <c r="BO26" s="5">
        <f>IF(A26="","",N(INDEX(Projects[Act Structural Engineering],25)))</f>
        <v/>
      </c>
      <c r="BP26" s="5">
        <f>IF(A26="","",N(INDEX(Projects[Act Site Sup],25)))</f>
        <v/>
      </c>
      <c r="BQ26" s="5">
        <f>IF(A26="","",N(INDEX(Projects[Act Controls Commissioning],25)))</f>
        <v/>
      </c>
      <c r="BR26" s="5">
        <f>IF(A26="","",N(INDEX(Projects[Act Systems Commissioning],25)))</f>
        <v/>
      </c>
      <c r="BS26" s="5">
        <f>IF(A26="","",N(INDEX(Projects[Act Service Commissioning],25)))</f>
        <v/>
      </c>
      <c r="BT26" s="5">
        <f>IF(A26="","",N(INDEX(Projects[Act Controls Eng],25)))</f>
        <v/>
      </c>
      <c r="BU26" s="5">
        <f>IF(A26="","",N(INDEX(Projects[Act Controls Purchase],25)))</f>
        <v/>
      </c>
      <c r="BV26" s="5">
        <f>IF(A26="","",N(INDEX(Projects[Act Software Eng],25)))</f>
        <v/>
      </c>
      <c r="BW26" s="5">
        <f>IF(A26="","",N(INDEX(Projects[Act 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  <c r="CE26" s="5">
        <f>INDEX(Projects[Act Data Status],25)&amp;""</f>
        <v/>
      </c>
      <c r="CF26" s="5">
        <f>IF(A26="","",N(INDEX(Projects[Est Mech Inst],25)))</f>
        <v/>
      </c>
      <c r="CG26" s="5">
        <f>IF(A26="","",N(INDEX(Projects[Est Elec Inst],25)))</f>
        <v/>
      </c>
      <c r="CH26" s="5">
        <f>IF(A26="","",N(INDEX(Projects[Est Project Management],25)))</f>
        <v/>
      </c>
      <c r="CI26" s="5">
        <f>IF(A26="","",N(INDEX(Projects[Est Systems Eng],25)))</f>
        <v/>
      </c>
      <c r="CJ26" s="5">
        <f>IF(A26="","",N(INDEX(Projects[Est Mechanical Eng],25)))</f>
        <v/>
      </c>
      <c r="CK26" s="5">
        <f>IF(A26="","",N(INDEX(Projects[Est Structural Engineering],25)))</f>
        <v/>
      </c>
      <c r="CL26" s="5">
        <f>IF(A26="","",N(INDEX(Projects[Est Site Sup],25)))</f>
        <v/>
      </c>
      <c r="CM26" s="5">
        <f>IF(A26="","",N(INDEX(Projects[Est Controls Commissioning],25)))</f>
        <v/>
      </c>
      <c r="CN26" s="5">
        <f>IF(A26="","",N(INDEX(Projects[Est Systems Commissioning],25)))</f>
        <v/>
      </c>
      <c r="CO26" s="5">
        <f>IF(A26="","",N(INDEX(Projects[Est Service Commissioning],25)))</f>
        <v/>
      </c>
      <c r="CP26" s="5">
        <f>IF(A26="","",N(INDEX(Projects[Est Controls Eng],25)))</f>
        <v/>
      </c>
      <c r="CQ26" s="5">
        <f>IF(A26="","",N(INDEX(Projects[Est Controls Purchase],25)))</f>
        <v/>
      </c>
      <c r="CR26" s="5">
        <f>IF(A26="","",N(INDEX(Projects[Est Software Eng],25)))</f>
        <v/>
      </c>
      <c r="CS26" s="5">
        <f>IF(A26="","",N(INDEX(Projects[Est Misc],25)))</f>
        <v/>
      </c>
      <c r="CT26" s="5">
        <f>IF(A26="","",SUM(CF26:CS26))</f>
        <v/>
      </c>
      <c r="CU26" s="5">
        <f>INDEX(Projects[Est Cost (M)],25)</f>
        <v/>
      </c>
      <c r="CV26" s="5">
        <f>INDEX(Projects[Act Cost (M)],25)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IF(A27="","",N(INDEX(Projects[Act Mech Inst],26)))</f>
        <v/>
      </c>
      <c r="BK27" s="5">
        <f>IF(A27="","",N(INDEX(Projects[Act Elec Inst],26)))</f>
        <v/>
      </c>
      <c r="BL27" s="5">
        <f>IF(A27="","",N(INDEX(Projects[Act Project Management],26)))</f>
        <v/>
      </c>
      <c r="BM27" s="5">
        <f>IF(A27="","",N(INDEX(Projects[Act Systems Eng],26)))</f>
        <v/>
      </c>
      <c r="BN27" s="5">
        <f>IF(A27="","",N(INDEX(Projects[Act Mechanical Eng],26)))</f>
        <v/>
      </c>
      <c r="BO27" s="5">
        <f>IF(A27="","",N(INDEX(Projects[Act Structural Engineering],26)))</f>
        <v/>
      </c>
      <c r="BP27" s="5">
        <f>IF(A27="","",N(INDEX(Projects[Act Site Sup],26)))</f>
        <v/>
      </c>
      <c r="BQ27" s="5">
        <f>IF(A27="","",N(INDEX(Projects[Act Controls Commissioning],26)))</f>
        <v/>
      </c>
      <c r="BR27" s="5">
        <f>IF(A27="","",N(INDEX(Projects[Act Systems Commissioning],26)))</f>
        <v/>
      </c>
      <c r="BS27" s="5">
        <f>IF(A27="","",N(INDEX(Projects[Act Service Commissioning],26)))</f>
        <v/>
      </c>
      <c r="BT27" s="5">
        <f>IF(A27="","",N(INDEX(Projects[Act Controls Eng],26)))</f>
        <v/>
      </c>
      <c r="BU27" s="5">
        <f>IF(A27="","",N(INDEX(Projects[Act Controls Purchase],26)))</f>
        <v/>
      </c>
      <c r="BV27" s="5">
        <f>IF(A27="","",N(INDEX(Projects[Act Software Eng],26)))</f>
        <v/>
      </c>
      <c r="BW27" s="5">
        <f>IF(A27="","",N(INDEX(Projects[Act 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  <c r="CE27" s="5">
        <f>INDEX(Projects[Act Data Status],26)&amp;""</f>
        <v/>
      </c>
      <c r="CF27" s="5">
        <f>IF(A27="","",N(INDEX(Projects[Est Mech Inst],26)))</f>
        <v/>
      </c>
      <c r="CG27" s="5">
        <f>IF(A27="","",N(INDEX(Projects[Est Elec Inst],26)))</f>
        <v/>
      </c>
      <c r="CH27" s="5">
        <f>IF(A27="","",N(INDEX(Projects[Est Project Management],26)))</f>
        <v/>
      </c>
      <c r="CI27" s="5">
        <f>IF(A27="","",N(INDEX(Projects[Est Systems Eng],26)))</f>
        <v/>
      </c>
      <c r="CJ27" s="5">
        <f>IF(A27="","",N(INDEX(Projects[Est Mechanical Eng],26)))</f>
        <v/>
      </c>
      <c r="CK27" s="5">
        <f>IF(A27="","",N(INDEX(Projects[Est Structural Engineering],26)))</f>
        <v/>
      </c>
      <c r="CL27" s="5">
        <f>IF(A27="","",N(INDEX(Projects[Est Site Sup],26)))</f>
        <v/>
      </c>
      <c r="CM27" s="5">
        <f>IF(A27="","",N(INDEX(Projects[Est Controls Commissioning],26)))</f>
        <v/>
      </c>
      <c r="CN27" s="5">
        <f>IF(A27="","",N(INDEX(Projects[Est Systems Commissioning],26)))</f>
        <v/>
      </c>
      <c r="CO27" s="5">
        <f>IF(A27="","",N(INDEX(Projects[Est Service Commissioning],26)))</f>
        <v/>
      </c>
      <c r="CP27" s="5">
        <f>IF(A27="","",N(INDEX(Projects[Est Controls Eng],26)))</f>
        <v/>
      </c>
      <c r="CQ27" s="5">
        <f>IF(A27="","",N(INDEX(Projects[Est Controls Purchase],26)))</f>
        <v/>
      </c>
      <c r="CR27" s="5">
        <f>IF(A27="","",N(INDEX(Projects[Est Software Eng],26)))</f>
        <v/>
      </c>
      <c r="CS27" s="5">
        <f>IF(A27="","",N(INDEX(Projects[Est Misc],26)))</f>
        <v/>
      </c>
      <c r="CT27" s="5">
        <f>IF(A27="","",SUM(CF27:CS27))</f>
        <v/>
      </c>
      <c r="CU27" s="5">
        <f>INDEX(Projects[Est Cost (M)],26)</f>
        <v/>
      </c>
      <c r="CV27" s="5">
        <f>INDEX(Projects[Act Cost (M)],26)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IF(A28="","",N(INDEX(Projects[Act Mech Inst],27)))</f>
        <v/>
      </c>
      <c r="BK28" s="5">
        <f>IF(A28="","",N(INDEX(Projects[Act Elec Inst],27)))</f>
        <v/>
      </c>
      <c r="BL28" s="5">
        <f>IF(A28="","",N(INDEX(Projects[Act Project Management],27)))</f>
        <v/>
      </c>
      <c r="BM28" s="5">
        <f>IF(A28="","",N(INDEX(Projects[Act Systems Eng],27)))</f>
        <v/>
      </c>
      <c r="BN28" s="5">
        <f>IF(A28="","",N(INDEX(Projects[Act Mechanical Eng],27)))</f>
        <v/>
      </c>
      <c r="BO28" s="5">
        <f>IF(A28="","",N(INDEX(Projects[Act Structural Engineering],27)))</f>
        <v/>
      </c>
      <c r="BP28" s="5">
        <f>IF(A28="","",N(INDEX(Projects[Act Site Sup],27)))</f>
        <v/>
      </c>
      <c r="BQ28" s="5">
        <f>IF(A28="","",N(INDEX(Projects[Act Controls Commissioning],27)))</f>
        <v/>
      </c>
      <c r="BR28" s="5">
        <f>IF(A28="","",N(INDEX(Projects[Act Systems Commissioning],27)))</f>
        <v/>
      </c>
      <c r="BS28" s="5">
        <f>IF(A28="","",N(INDEX(Projects[Act Service Commissioning],27)))</f>
        <v/>
      </c>
      <c r="BT28" s="5">
        <f>IF(A28="","",N(INDEX(Projects[Act Controls Eng],27)))</f>
        <v/>
      </c>
      <c r="BU28" s="5">
        <f>IF(A28="","",N(INDEX(Projects[Act Controls Purchase],27)))</f>
        <v/>
      </c>
      <c r="BV28" s="5">
        <f>IF(A28="","",N(INDEX(Projects[Act Software Eng],27)))</f>
        <v/>
      </c>
      <c r="BW28" s="5">
        <f>IF(A28="","",N(INDEX(Projects[Act 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  <c r="CE28" s="5">
        <f>INDEX(Projects[Act Data Status],27)&amp;""</f>
        <v/>
      </c>
      <c r="CF28" s="5">
        <f>IF(A28="","",N(INDEX(Projects[Est Mech Inst],27)))</f>
        <v/>
      </c>
      <c r="CG28" s="5">
        <f>IF(A28="","",N(INDEX(Projects[Est Elec Inst],27)))</f>
        <v/>
      </c>
      <c r="CH28" s="5">
        <f>IF(A28="","",N(INDEX(Projects[Est Project Management],27)))</f>
        <v/>
      </c>
      <c r="CI28" s="5">
        <f>IF(A28="","",N(INDEX(Projects[Est Systems Eng],27)))</f>
        <v/>
      </c>
      <c r="CJ28" s="5">
        <f>IF(A28="","",N(INDEX(Projects[Est Mechanical Eng],27)))</f>
        <v/>
      </c>
      <c r="CK28" s="5">
        <f>IF(A28="","",N(INDEX(Projects[Est Structural Engineering],27)))</f>
        <v/>
      </c>
      <c r="CL28" s="5">
        <f>IF(A28="","",N(INDEX(Projects[Est Site Sup],27)))</f>
        <v/>
      </c>
      <c r="CM28" s="5">
        <f>IF(A28="","",N(INDEX(Projects[Est Controls Commissioning],27)))</f>
        <v/>
      </c>
      <c r="CN28" s="5">
        <f>IF(A28="","",N(INDEX(Projects[Est Systems Commissioning],27)))</f>
        <v/>
      </c>
      <c r="CO28" s="5">
        <f>IF(A28="","",N(INDEX(Projects[Est Service Commissioning],27)))</f>
        <v/>
      </c>
      <c r="CP28" s="5">
        <f>IF(A28="","",N(INDEX(Projects[Est Controls Eng],27)))</f>
        <v/>
      </c>
      <c r="CQ28" s="5">
        <f>IF(A28="","",N(INDEX(Projects[Est Controls Purchase],27)))</f>
        <v/>
      </c>
      <c r="CR28" s="5">
        <f>IF(A28="","",N(INDEX(Projects[Est Software Eng],27)))</f>
        <v/>
      </c>
      <c r="CS28" s="5">
        <f>IF(A28="","",N(INDEX(Projects[Est Misc],27)))</f>
        <v/>
      </c>
      <c r="CT28" s="5">
        <f>IF(A28="","",SUM(CF28:CS28))</f>
        <v/>
      </c>
      <c r="CU28" s="5">
        <f>INDEX(Projects[Est Cost (M)],27)</f>
        <v/>
      </c>
      <c r="CV28" s="5">
        <f>INDEX(Projects[Act Cost (M)],27)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IF(A29="","",N(INDEX(Projects[Act Mech Inst],28)))</f>
        <v/>
      </c>
      <c r="BK29" s="5">
        <f>IF(A29="","",N(INDEX(Projects[Act Elec Inst],28)))</f>
        <v/>
      </c>
      <c r="BL29" s="5">
        <f>IF(A29="","",N(INDEX(Projects[Act Project Management],28)))</f>
        <v/>
      </c>
      <c r="BM29" s="5">
        <f>IF(A29="","",N(INDEX(Projects[Act Systems Eng],28)))</f>
        <v/>
      </c>
      <c r="BN29" s="5">
        <f>IF(A29="","",N(INDEX(Projects[Act Mechanical Eng],28)))</f>
        <v/>
      </c>
      <c r="BO29" s="5">
        <f>IF(A29="","",N(INDEX(Projects[Act Structural Engineering],28)))</f>
        <v/>
      </c>
      <c r="BP29" s="5">
        <f>IF(A29="","",N(INDEX(Projects[Act Site Sup],28)))</f>
        <v/>
      </c>
      <c r="BQ29" s="5">
        <f>IF(A29="","",N(INDEX(Projects[Act Controls Commissioning],28)))</f>
        <v/>
      </c>
      <c r="BR29" s="5">
        <f>IF(A29="","",N(INDEX(Projects[Act Systems Commissioning],28)))</f>
        <v/>
      </c>
      <c r="BS29" s="5">
        <f>IF(A29="","",N(INDEX(Projects[Act Service Commissioning],28)))</f>
        <v/>
      </c>
      <c r="BT29" s="5">
        <f>IF(A29="","",N(INDEX(Projects[Act Controls Eng],28)))</f>
        <v/>
      </c>
      <c r="BU29" s="5">
        <f>IF(A29="","",N(INDEX(Projects[Act Controls Purchase],28)))</f>
        <v/>
      </c>
      <c r="BV29" s="5">
        <f>IF(A29="","",N(INDEX(Projects[Act Software Eng],28)))</f>
        <v/>
      </c>
      <c r="BW29" s="5">
        <f>IF(A29="","",N(INDEX(Projects[Act 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  <c r="CE29" s="5">
        <f>INDEX(Projects[Act Data Status],28)&amp;""</f>
        <v/>
      </c>
      <c r="CF29" s="5">
        <f>IF(A29="","",N(INDEX(Projects[Est Mech Inst],28)))</f>
        <v/>
      </c>
      <c r="CG29" s="5">
        <f>IF(A29="","",N(INDEX(Projects[Est Elec Inst],28)))</f>
        <v/>
      </c>
      <c r="CH29" s="5">
        <f>IF(A29="","",N(INDEX(Projects[Est Project Management],28)))</f>
        <v/>
      </c>
      <c r="CI29" s="5">
        <f>IF(A29="","",N(INDEX(Projects[Est Systems Eng],28)))</f>
        <v/>
      </c>
      <c r="CJ29" s="5">
        <f>IF(A29="","",N(INDEX(Projects[Est Mechanical Eng],28)))</f>
        <v/>
      </c>
      <c r="CK29" s="5">
        <f>IF(A29="","",N(INDEX(Projects[Est Structural Engineering],28)))</f>
        <v/>
      </c>
      <c r="CL29" s="5">
        <f>IF(A29="","",N(INDEX(Projects[Est Site Sup],28)))</f>
        <v/>
      </c>
      <c r="CM29" s="5">
        <f>IF(A29="","",N(INDEX(Projects[Est Controls Commissioning],28)))</f>
        <v/>
      </c>
      <c r="CN29" s="5">
        <f>IF(A29="","",N(INDEX(Projects[Est Systems Commissioning],28)))</f>
        <v/>
      </c>
      <c r="CO29" s="5">
        <f>IF(A29="","",N(INDEX(Projects[Est Service Commissioning],28)))</f>
        <v/>
      </c>
      <c r="CP29" s="5">
        <f>IF(A29="","",N(INDEX(Projects[Est Controls Eng],28)))</f>
        <v/>
      </c>
      <c r="CQ29" s="5">
        <f>IF(A29="","",N(INDEX(Projects[Est Controls Purchase],28)))</f>
        <v/>
      </c>
      <c r="CR29" s="5">
        <f>IF(A29="","",N(INDEX(Projects[Est Software Eng],28)))</f>
        <v/>
      </c>
      <c r="CS29" s="5">
        <f>IF(A29="","",N(INDEX(Projects[Est Misc],28)))</f>
        <v/>
      </c>
      <c r="CT29" s="5">
        <f>IF(A29="","",SUM(CF29:CS29))</f>
        <v/>
      </c>
      <c r="CU29" s="5">
        <f>INDEX(Projects[Est Cost (M)],28)</f>
        <v/>
      </c>
      <c r="CV29" s="5">
        <f>INDEX(Projects[Act Cost (M)],28)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IF(A30="","",N(INDEX(Projects[Act Mech Inst],29)))</f>
        <v/>
      </c>
      <c r="BK30" s="5">
        <f>IF(A30="","",N(INDEX(Projects[Act Elec Inst],29)))</f>
        <v/>
      </c>
      <c r="BL30" s="5">
        <f>IF(A30="","",N(INDEX(Projects[Act Project Management],29)))</f>
        <v/>
      </c>
      <c r="BM30" s="5">
        <f>IF(A30="","",N(INDEX(Projects[Act Systems Eng],29)))</f>
        <v/>
      </c>
      <c r="BN30" s="5">
        <f>IF(A30="","",N(INDEX(Projects[Act Mechanical Eng],29)))</f>
        <v/>
      </c>
      <c r="BO30" s="5">
        <f>IF(A30="","",N(INDEX(Projects[Act Structural Engineering],29)))</f>
        <v/>
      </c>
      <c r="BP30" s="5">
        <f>IF(A30="","",N(INDEX(Projects[Act Site Sup],29)))</f>
        <v/>
      </c>
      <c r="BQ30" s="5">
        <f>IF(A30="","",N(INDEX(Projects[Act Controls Commissioning],29)))</f>
        <v/>
      </c>
      <c r="BR30" s="5">
        <f>IF(A30="","",N(INDEX(Projects[Act Systems Commissioning],29)))</f>
        <v/>
      </c>
      <c r="BS30" s="5">
        <f>IF(A30="","",N(INDEX(Projects[Act Service Commissioning],29)))</f>
        <v/>
      </c>
      <c r="BT30" s="5">
        <f>IF(A30="","",N(INDEX(Projects[Act Controls Eng],29)))</f>
        <v/>
      </c>
      <c r="BU30" s="5">
        <f>IF(A30="","",N(INDEX(Projects[Act Controls Purchase],29)))</f>
        <v/>
      </c>
      <c r="BV30" s="5">
        <f>IF(A30="","",N(INDEX(Projects[Act Software Eng],29)))</f>
        <v/>
      </c>
      <c r="BW30" s="5">
        <f>IF(A30="","",N(INDEX(Projects[Act 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  <c r="CE30" s="5">
        <f>INDEX(Projects[Act Data Status],29)&amp;""</f>
        <v/>
      </c>
      <c r="CF30" s="5">
        <f>IF(A30="","",N(INDEX(Projects[Est Mech Inst],29)))</f>
        <v/>
      </c>
      <c r="CG30" s="5">
        <f>IF(A30="","",N(INDEX(Projects[Est Elec Inst],29)))</f>
        <v/>
      </c>
      <c r="CH30" s="5">
        <f>IF(A30="","",N(INDEX(Projects[Est Project Management],29)))</f>
        <v/>
      </c>
      <c r="CI30" s="5">
        <f>IF(A30="","",N(INDEX(Projects[Est Systems Eng],29)))</f>
        <v/>
      </c>
      <c r="CJ30" s="5">
        <f>IF(A30="","",N(INDEX(Projects[Est Mechanical Eng],29)))</f>
        <v/>
      </c>
      <c r="CK30" s="5">
        <f>IF(A30="","",N(INDEX(Projects[Est Structural Engineering],29)))</f>
        <v/>
      </c>
      <c r="CL30" s="5">
        <f>IF(A30="","",N(INDEX(Projects[Est Site Sup],29)))</f>
        <v/>
      </c>
      <c r="CM30" s="5">
        <f>IF(A30="","",N(INDEX(Projects[Est Controls Commissioning],29)))</f>
        <v/>
      </c>
      <c r="CN30" s="5">
        <f>IF(A30="","",N(INDEX(Projects[Est Systems Commissioning],29)))</f>
        <v/>
      </c>
      <c r="CO30" s="5">
        <f>IF(A30="","",N(INDEX(Projects[Est Service Commissioning],29)))</f>
        <v/>
      </c>
      <c r="CP30" s="5">
        <f>IF(A30="","",N(INDEX(Projects[Est Controls Eng],29)))</f>
        <v/>
      </c>
      <c r="CQ30" s="5">
        <f>IF(A30="","",N(INDEX(Projects[Est Controls Purchase],29)))</f>
        <v/>
      </c>
      <c r="CR30" s="5">
        <f>IF(A30="","",N(INDEX(Projects[Est Software Eng],29)))</f>
        <v/>
      </c>
      <c r="CS30" s="5">
        <f>IF(A30="","",N(INDEX(Projects[Est Misc],29)))</f>
        <v/>
      </c>
      <c r="CT30" s="5">
        <f>IF(A30="","",SUM(CF30:CS30))</f>
        <v/>
      </c>
      <c r="CU30" s="5">
        <f>INDEX(Projects[Est Cost (M)],29)</f>
        <v/>
      </c>
      <c r="CV30" s="5">
        <f>INDEX(Projects[Act Cost (M)],29)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IF(A31="","",N(INDEX(Projects[Act Mech Inst],30)))</f>
        <v/>
      </c>
      <c r="BK31" s="5">
        <f>IF(A31="","",N(INDEX(Projects[Act Elec Inst],30)))</f>
        <v/>
      </c>
      <c r="BL31" s="5">
        <f>IF(A31="","",N(INDEX(Projects[Act Project Management],30)))</f>
        <v/>
      </c>
      <c r="BM31" s="5">
        <f>IF(A31="","",N(INDEX(Projects[Act Systems Eng],30)))</f>
        <v/>
      </c>
      <c r="BN31" s="5">
        <f>IF(A31="","",N(INDEX(Projects[Act Mechanical Eng],30)))</f>
        <v/>
      </c>
      <c r="BO31" s="5">
        <f>IF(A31="","",N(INDEX(Projects[Act Structural Engineering],30)))</f>
        <v/>
      </c>
      <c r="BP31" s="5">
        <f>IF(A31="","",N(INDEX(Projects[Act Site Sup],30)))</f>
        <v/>
      </c>
      <c r="BQ31" s="5">
        <f>IF(A31="","",N(INDEX(Projects[Act Controls Commissioning],30)))</f>
        <v/>
      </c>
      <c r="BR31" s="5">
        <f>IF(A31="","",N(INDEX(Projects[Act Systems Commissioning],30)))</f>
        <v/>
      </c>
      <c r="BS31" s="5">
        <f>IF(A31="","",N(INDEX(Projects[Act Service Commissioning],30)))</f>
        <v/>
      </c>
      <c r="BT31" s="5">
        <f>IF(A31="","",N(INDEX(Projects[Act Controls Eng],30)))</f>
        <v/>
      </c>
      <c r="BU31" s="5">
        <f>IF(A31="","",N(INDEX(Projects[Act Controls Purchase],30)))</f>
        <v/>
      </c>
      <c r="BV31" s="5">
        <f>IF(A31="","",N(INDEX(Projects[Act Software Eng],30)))</f>
        <v/>
      </c>
      <c r="BW31" s="5">
        <f>IF(A31="","",N(INDEX(Projects[Act 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  <c r="CE31" s="5">
        <f>INDEX(Projects[Act Data Status],30)&amp;""</f>
        <v/>
      </c>
      <c r="CF31" s="5">
        <f>IF(A31="","",N(INDEX(Projects[Est Mech Inst],30)))</f>
        <v/>
      </c>
      <c r="CG31" s="5">
        <f>IF(A31="","",N(INDEX(Projects[Est Elec Inst],30)))</f>
        <v/>
      </c>
      <c r="CH31" s="5">
        <f>IF(A31="","",N(INDEX(Projects[Est Project Management],30)))</f>
        <v/>
      </c>
      <c r="CI31" s="5">
        <f>IF(A31="","",N(INDEX(Projects[Est Systems Eng],30)))</f>
        <v/>
      </c>
      <c r="CJ31" s="5">
        <f>IF(A31="","",N(INDEX(Projects[Est Mechanical Eng],30)))</f>
        <v/>
      </c>
      <c r="CK31" s="5">
        <f>IF(A31="","",N(INDEX(Projects[Est Structural Engineering],30)))</f>
        <v/>
      </c>
      <c r="CL31" s="5">
        <f>IF(A31="","",N(INDEX(Projects[Est Site Sup],30)))</f>
        <v/>
      </c>
      <c r="CM31" s="5">
        <f>IF(A31="","",N(INDEX(Projects[Est Controls Commissioning],30)))</f>
        <v/>
      </c>
      <c r="CN31" s="5">
        <f>IF(A31="","",N(INDEX(Projects[Est Systems Commissioning],30)))</f>
        <v/>
      </c>
      <c r="CO31" s="5">
        <f>IF(A31="","",N(INDEX(Projects[Est Service Commissioning],30)))</f>
        <v/>
      </c>
      <c r="CP31" s="5">
        <f>IF(A31="","",N(INDEX(Projects[Est Controls Eng],30)))</f>
        <v/>
      </c>
      <c r="CQ31" s="5">
        <f>IF(A31="","",N(INDEX(Projects[Est Controls Purchase],30)))</f>
        <v/>
      </c>
      <c r="CR31" s="5">
        <f>IF(A31="","",N(INDEX(Projects[Est Software Eng],30)))</f>
        <v/>
      </c>
      <c r="CS31" s="5">
        <f>IF(A31="","",N(INDEX(Projects[Est Misc],30)))</f>
        <v/>
      </c>
      <c r="CT31" s="5">
        <f>IF(A31="","",SUM(CF31:CS31))</f>
        <v/>
      </c>
      <c r="CU31" s="5">
        <f>INDEX(Projects[Est Cost (M)],30)</f>
        <v/>
      </c>
      <c r="CV31" s="5">
        <f>INDEX(Projects[Act Cost (M)],30)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IF(A32="","",N(INDEX(Projects[Act Mech Inst],31)))</f>
        <v/>
      </c>
      <c r="BK32" s="5">
        <f>IF(A32="","",N(INDEX(Projects[Act Elec Inst],31)))</f>
        <v/>
      </c>
      <c r="BL32" s="5">
        <f>IF(A32="","",N(INDEX(Projects[Act Project Management],31)))</f>
        <v/>
      </c>
      <c r="BM32" s="5">
        <f>IF(A32="","",N(INDEX(Projects[Act Systems Eng],31)))</f>
        <v/>
      </c>
      <c r="BN32" s="5">
        <f>IF(A32="","",N(INDEX(Projects[Act Mechanical Eng],31)))</f>
        <v/>
      </c>
      <c r="BO32" s="5">
        <f>IF(A32="","",N(INDEX(Projects[Act Structural Engineering],31)))</f>
        <v/>
      </c>
      <c r="BP32" s="5">
        <f>IF(A32="","",N(INDEX(Projects[Act Site Sup],31)))</f>
        <v/>
      </c>
      <c r="BQ32" s="5">
        <f>IF(A32="","",N(INDEX(Projects[Act Controls Commissioning],31)))</f>
        <v/>
      </c>
      <c r="BR32" s="5">
        <f>IF(A32="","",N(INDEX(Projects[Act Systems Commissioning],31)))</f>
        <v/>
      </c>
      <c r="BS32" s="5">
        <f>IF(A32="","",N(INDEX(Projects[Act Service Commissioning],31)))</f>
        <v/>
      </c>
      <c r="BT32" s="5">
        <f>IF(A32="","",N(INDEX(Projects[Act Controls Eng],31)))</f>
        <v/>
      </c>
      <c r="BU32" s="5">
        <f>IF(A32="","",N(INDEX(Projects[Act Controls Purchase],31)))</f>
        <v/>
      </c>
      <c r="BV32" s="5">
        <f>IF(A32="","",N(INDEX(Projects[Act Software Eng],31)))</f>
        <v/>
      </c>
      <c r="BW32" s="5">
        <f>IF(A32="","",N(INDEX(Projects[Act 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  <c r="CE32" s="5">
        <f>INDEX(Projects[Act Data Status],31)&amp;""</f>
        <v/>
      </c>
      <c r="CF32" s="5">
        <f>IF(A32="","",N(INDEX(Projects[Est Mech Inst],31)))</f>
        <v/>
      </c>
      <c r="CG32" s="5">
        <f>IF(A32="","",N(INDEX(Projects[Est Elec Inst],31)))</f>
        <v/>
      </c>
      <c r="CH32" s="5">
        <f>IF(A32="","",N(INDEX(Projects[Est Project Management],31)))</f>
        <v/>
      </c>
      <c r="CI32" s="5">
        <f>IF(A32="","",N(INDEX(Projects[Est Systems Eng],31)))</f>
        <v/>
      </c>
      <c r="CJ32" s="5">
        <f>IF(A32="","",N(INDEX(Projects[Est Mechanical Eng],31)))</f>
        <v/>
      </c>
      <c r="CK32" s="5">
        <f>IF(A32="","",N(INDEX(Projects[Est Structural Engineering],31)))</f>
        <v/>
      </c>
      <c r="CL32" s="5">
        <f>IF(A32="","",N(INDEX(Projects[Est Site Sup],31)))</f>
        <v/>
      </c>
      <c r="CM32" s="5">
        <f>IF(A32="","",N(INDEX(Projects[Est Controls Commissioning],31)))</f>
        <v/>
      </c>
      <c r="CN32" s="5">
        <f>IF(A32="","",N(INDEX(Projects[Est Systems Commissioning],31)))</f>
        <v/>
      </c>
      <c r="CO32" s="5">
        <f>IF(A32="","",N(INDEX(Projects[Est Service Commissioning],31)))</f>
        <v/>
      </c>
      <c r="CP32" s="5">
        <f>IF(A32="","",N(INDEX(Projects[Est Controls Eng],31)))</f>
        <v/>
      </c>
      <c r="CQ32" s="5">
        <f>IF(A32="","",N(INDEX(Projects[Est Controls Purchase],31)))</f>
        <v/>
      </c>
      <c r="CR32" s="5">
        <f>IF(A32="","",N(INDEX(Projects[Est Software Eng],31)))</f>
        <v/>
      </c>
      <c r="CS32" s="5">
        <f>IF(A32="","",N(INDEX(Projects[Est Misc],31)))</f>
        <v/>
      </c>
      <c r="CT32" s="5">
        <f>IF(A32="","",SUM(CF32:CS32))</f>
        <v/>
      </c>
      <c r="CU32" s="5">
        <f>INDEX(Projects[Est Cost (M)],31)</f>
        <v/>
      </c>
      <c r="CV32" s="5">
        <f>INDEX(Projects[Act Cost (M)],31)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IF(A33="","",N(INDEX(Projects[Act Mech Inst],32)))</f>
        <v/>
      </c>
      <c r="BK33" s="5">
        <f>IF(A33="","",N(INDEX(Projects[Act Elec Inst],32)))</f>
        <v/>
      </c>
      <c r="BL33" s="5">
        <f>IF(A33="","",N(INDEX(Projects[Act Project Management],32)))</f>
        <v/>
      </c>
      <c r="BM33" s="5">
        <f>IF(A33="","",N(INDEX(Projects[Act Systems Eng],32)))</f>
        <v/>
      </c>
      <c r="BN33" s="5">
        <f>IF(A33="","",N(INDEX(Projects[Act Mechanical Eng],32)))</f>
        <v/>
      </c>
      <c r="BO33" s="5">
        <f>IF(A33="","",N(INDEX(Projects[Act Structural Engineering],32)))</f>
        <v/>
      </c>
      <c r="BP33" s="5">
        <f>IF(A33="","",N(INDEX(Projects[Act Site Sup],32)))</f>
        <v/>
      </c>
      <c r="BQ33" s="5">
        <f>IF(A33="","",N(INDEX(Projects[Act Controls Commissioning],32)))</f>
        <v/>
      </c>
      <c r="BR33" s="5">
        <f>IF(A33="","",N(INDEX(Projects[Act Systems Commissioning],32)))</f>
        <v/>
      </c>
      <c r="BS33" s="5">
        <f>IF(A33="","",N(INDEX(Projects[Act Service Commissioning],32)))</f>
        <v/>
      </c>
      <c r="BT33" s="5">
        <f>IF(A33="","",N(INDEX(Projects[Act Controls Eng],32)))</f>
        <v/>
      </c>
      <c r="BU33" s="5">
        <f>IF(A33="","",N(INDEX(Projects[Act Controls Purchase],32)))</f>
        <v/>
      </c>
      <c r="BV33" s="5">
        <f>IF(A33="","",N(INDEX(Projects[Act Software Eng],32)))</f>
        <v/>
      </c>
      <c r="BW33" s="5">
        <f>IF(A33="","",N(INDEX(Projects[Act 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  <c r="CE33" s="5">
        <f>INDEX(Projects[Act Data Status],32)&amp;""</f>
        <v/>
      </c>
      <c r="CF33" s="5">
        <f>IF(A33="","",N(INDEX(Projects[Est Mech Inst],32)))</f>
        <v/>
      </c>
      <c r="CG33" s="5">
        <f>IF(A33="","",N(INDEX(Projects[Est Elec Inst],32)))</f>
        <v/>
      </c>
      <c r="CH33" s="5">
        <f>IF(A33="","",N(INDEX(Projects[Est Project Management],32)))</f>
        <v/>
      </c>
      <c r="CI33" s="5">
        <f>IF(A33="","",N(INDEX(Projects[Est Systems Eng],32)))</f>
        <v/>
      </c>
      <c r="CJ33" s="5">
        <f>IF(A33="","",N(INDEX(Projects[Est Mechanical Eng],32)))</f>
        <v/>
      </c>
      <c r="CK33" s="5">
        <f>IF(A33="","",N(INDEX(Projects[Est Structural Engineering],32)))</f>
        <v/>
      </c>
      <c r="CL33" s="5">
        <f>IF(A33="","",N(INDEX(Projects[Est Site Sup],32)))</f>
        <v/>
      </c>
      <c r="CM33" s="5">
        <f>IF(A33="","",N(INDEX(Projects[Est Controls Commissioning],32)))</f>
        <v/>
      </c>
      <c r="CN33" s="5">
        <f>IF(A33="","",N(INDEX(Projects[Est Systems Commissioning],32)))</f>
        <v/>
      </c>
      <c r="CO33" s="5">
        <f>IF(A33="","",N(INDEX(Projects[Est Service Commissioning],32)))</f>
        <v/>
      </c>
      <c r="CP33" s="5">
        <f>IF(A33="","",N(INDEX(Projects[Est Controls Eng],32)))</f>
        <v/>
      </c>
      <c r="CQ33" s="5">
        <f>IF(A33="","",N(INDEX(Projects[Est Controls Purchase],32)))</f>
        <v/>
      </c>
      <c r="CR33" s="5">
        <f>IF(A33="","",N(INDEX(Projects[Est Software Eng],32)))</f>
        <v/>
      </c>
      <c r="CS33" s="5">
        <f>IF(A33="","",N(INDEX(Projects[Est Misc],32)))</f>
        <v/>
      </c>
      <c r="CT33" s="5">
        <f>IF(A33="","",SUM(CF33:CS33))</f>
        <v/>
      </c>
      <c r="CU33" s="5">
        <f>INDEX(Projects[Est Cost (M)],32)</f>
        <v/>
      </c>
      <c r="CV33" s="5">
        <f>INDEX(Projects[Act Cost (M)],32)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IF(A34="","",N(INDEX(Projects[Act Mech Inst],33)))</f>
        <v/>
      </c>
      <c r="BK34" s="5">
        <f>IF(A34="","",N(INDEX(Projects[Act Elec Inst],33)))</f>
        <v/>
      </c>
      <c r="BL34" s="5">
        <f>IF(A34="","",N(INDEX(Projects[Act Project Management],33)))</f>
        <v/>
      </c>
      <c r="BM34" s="5">
        <f>IF(A34="","",N(INDEX(Projects[Act Systems Eng],33)))</f>
        <v/>
      </c>
      <c r="BN34" s="5">
        <f>IF(A34="","",N(INDEX(Projects[Act Mechanical Eng],33)))</f>
        <v/>
      </c>
      <c r="BO34" s="5">
        <f>IF(A34="","",N(INDEX(Projects[Act Structural Engineering],33)))</f>
        <v/>
      </c>
      <c r="BP34" s="5">
        <f>IF(A34="","",N(INDEX(Projects[Act Site Sup],33)))</f>
        <v/>
      </c>
      <c r="BQ34" s="5">
        <f>IF(A34="","",N(INDEX(Projects[Act Controls Commissioning],33)))</f>
        <v/>
      </c>
      <c r="BR34" s="5">
        <f>IF(A34="","",N(INDEX(Projects[Act Systems Commissioning],33)))</f>
        <v/>
      </c>
      <c r="BS34" s="5">
        <f>IF(A34="","",N(INDEX(Projects[Act Service Commissioning],33)))</f>
        <v/>
      </c>
      <c r="BT34" s="5">
        <f>IF(A34="","",N(INDEX(Projects[Act Controls Eng],33)))</f>
        <v/>
      </c>
      <c r="BU34" s="5">
        <f>IF(A34="","",N(INDEX(Projects[Act Controls Purchase],33)))</f>
        <v/>
      </c>
      <c r="BV34" s="5">
        <f>IF(A34="","",N(INDEX(Projects[Act Software Eng],33)))</f>
        <v/>
      </c>
      <c r="BW34" s="5">
        <f>IF(A34="","",N(INDEX(Projects[Act 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  <c r="CE34" s="5">
        <f>INDEX(Projects[Act Data Status],33)&amp;""</f>
        <v/>
      </c>
      <c r="CF34" s="5">
        <f>IF(A34="","",N(INDEX(Projects[Est Mech Inst],33)))</f>
        <v/>
      </c>
      <c r="CG34" s="5">
        <f>IF(A34="","",N(INDEX(Projects[Est Elec Inst],33)))</f>
        <v/>
      </c>
      <c r="CH34" s="5">
        <f>IF(A34="","",N(INDEX(Projects[Est Project Management],33)))</f>
        <v/>
      </c>
      <c r="CI34" s="5">
        <f>IF(A34="","",N(INDEX(Projects[Est Systems Eng],33)))</f>
        <v/>
      </c>
      <c r="CJ34" s="5">
        <f>IF(A34="","",N(INDEX(Projects[Est Mechanical Eng],33)))</f>
        <v/>
      </c>
      <c r="CK34" s="5">
        <f>IF(A34="","",N(INDEX(Projects[Est Structural Engineering],33)))</f>
        <v/>
      </c>
      <c r="CL34" s="5">
        <f>IF(A34="","",N(INDEX(Projects[Est Site Sup],33)))</f>
        <v/>
      </c>
      <c r="CM34" s="5">
        <f>IF(A34="","",N(INDEX(Projects[Est Controls Commissioning],33)))</f>
        <v/>
      </c>
      <c r="CN34" s="5">
        <f>IF(A34="","",N(INDEX(Projects[Est Systems Commissioning],33)))</f>
        <v/>
      </c>
      <c r="CO34" s="5">
        <f>IF(A34="","",N(INDEX(Projects[Est Service Commissioning],33)))</f>
        <v/>
      </c>
      <c r="CP34" s="5">
        <f>IF(A34="","",N(INDEX(Projects[Est Controls Eng],33)))</f>
        <v/>
      </c>
      <c r="CQ34" s="5">
        <f>IF(A34="","",N(INDEX(Projects[Est Controls Purchase],33)))</f>
        <v/>
      </c>
      <c r="CR34" s="5">
        <f>IF(A34="","",N(INDEX(Projects[Est Software Eng],33)))</f>
        <v/>
      </c>
      <c r="CS34" s="5">
        <f>IF(A34="","",N(INDEX(Projects[Est Misc],33)))</f>
        <v/>
      </c>
      <c r="CT34" s="5">
        <f>IF(A34="","",SUM(CF34:CS34))</f>
        <v/>
      </c>
      <c r="CU34" s="5">
        <f>INDEX(Projects[Est Cost (M)],33)</f>
        <v/>
      </c>
      <c r="CV34" s="5">
        <f>INDEX(Projects[Act Cost (M)],33)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IF(A35="","",N(INDEX(Projects[Act Mech Inst],34)))</f>
        <v/>
      </c>
      <c r="BK35" s="5">
        <f>IF(A35="","",N(INDEX(Projects[Act Elec Inst],34)))</f>
        <v/>
      </c>
      <c r="BL35" s="5">
        <f>IF(A35="","",N(INDEX(Projects[Act Project Management],34)))</f>
        <v/>
      </c>
      <c r="BM35" s="5">
        <f>IF(A35="","",N(INDEX(Projects[Act Systems Eng],34)))</f>
        <v/>
      </c>
      <c r="BN35" s="5">
        <f>IF(A35="","",N(INDEX(Projects[Act Mechanical Eng],34)))</f>
        <v/>
      </c>
      <c r="BO35" s="5">
        <f>IF(A35="","",N(INDEX(Projects[Act Structural Engineering],34)))</f>
        <v/>
      </c>
      <c r="BP35" s="5">
        <f>IF(A35="","",N(INDEX(Projects[Act Site Sup],34)))</f>
        <v/>
      </c>
      <c r="BQ35" s="5">
        <f>IF(A35="","",N(INDEX(Projects[Act Controls Commissioning],34)))</f>
        <v/>
      </c>
      <c r="BR35" s="5">
        <f>IF(A35="","",N(INDEX(Projects[Act Systems Commissioning],34)))</f>
        <v/>
      </c>
      <c r="BS35" s="5">
        <f>IF(A35="","",N(INDEX(Projects[Act Service Commissioning],34)))</f>
        <v/>
      </c>
      <c r="BT35" s="5">
        <f>IF(A35="","",N(INDEX(Projects[Act Controls Eng],34)))</f>
        <v/>
      </c>
      <c r="BU35" s="5">
        <f>IF(A35="","",N(INDEX(Projects[Act Controls Purchase],34)))</f>
        <v/>
      </c>
      <c r="BV35" s="5">
        <f>IF(A35="","",N(INDEX(Projects[Act Software Eng],34)))</f>
        <v/>
      </c>
      <c r="BW35" s="5">
        <f>IF(A35="","",N(INDEX(Projects[Act 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  <c r="CE35" s="5">
        <f>INDEX(Projects[Act Data Status],34)&amp;""</f>
        <v/>
      </c>
      <c r="CF35" s="5">
        <f>IF(A35="","",N(INDEX(Projects[Est Mech Inst],34)))</f>
        <v/>
      </c>
      <c r="CG35" s="5">
        <f>IF(A35="","",N(INDEX(Projects[Est Elec Inst],34)))</f>
        <v/>
      </c>
      <c r="CH35" s="5">
        <f>IF(A35="","",N(INDEX(Projects[Est Project Management],34)))</f>
        <v/>
      </c>
      <c r="CI35" s="5">
        <f>IF(A35="","",N(INDEX(Projects[Est Systems Eng],34)))</f>
        <v/>
      </c>
      <c r="CJ35" s="5">
        <f>IF(A35="","",N(INDEX(Projects[Est Mechanical Eng],34)))</f>
        <v/>
      </c>
      <c r="CK35" s="5">
        <f>IF(A35="","",N(INDEX(Projects[Est Structural Engineering],34)))</f>
        <v/>
      </c>
      <c r="CL35" s="5">
        <f>IF(A35="","",N(INDEX(Projects[Est Site Sup],34)))</f>
        <v/>
      </c>
      <c r="CM35" s="5">
        <f>IF(A35="","",N(INDEX(Projects[Est Controls Commissioning],34)))</f>
        <v/>
      </c>
      <c r="CN35" s="5">
        <f>IF(A35="","",N(INDEX(Projects[Est Systems Commissioning],34)))</f>
        <v/>
      </c>
      <c r="CO35" s="5">
        <f>IF(A35="","",N(INDEX(Projects[Est Service Commissioning],34)))</f>
        <v/>
      </c>
      <c r="CP35" s="5">
        <f>IF(A35="","",N(INDEX(Projects[Est Controls Eng],34)))</f>
        <v/>
      </c>
      <c r="CQ35" s="5">
        <f>IF(A35="","",N(INDEX(Projects[Est Controls Purchase],34)))</f>
        <v/>
      </c>
      <c r="CR35" s="5">
        <f>IF(A35="","",N(INDEX(Projects[Est Software Eng],34)))</f>
        <v/>
      </c>
      <c r="CS35" s="5">
        <f>IF(A35="","",N(INDEX(Projects[Est Misc],34)))</f>
        <v/>
      </c>
      <c r="CT35" s="5">
        <f>IF(A35="","",SUM(CF35:CS35))</f>
        <v/>
      </c>
      <c r="CU35" s="5">
        <f>INDEX(Projects[Est Cost (M)],34)</f>
        <v/>
      </c>
      <c r="CV35" s="5">
        <f>INDEX(Projects[Act Cost (M)],34)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IF(A36="","",N(INDEX(Projects[Act Mech Inst],35)))</f>
        <v/>
      </c>
      <c r="BK36" s="5">
        <f>IF(A36="","",N(INDEX(Projects[Act Elec Inst],35)))</f>
        <v/>
      </c>
      <c r="BL36" s="5">
        <f>IF(A36="","",N(INDEX(Projects[Act Project Management],35)))</f>
        <v/>
      </c>
      <c r="BM36" s="5">
        <f>IF(A36="","",N(INDEX(Projects[Act Systems Eng],35)))</f>
        <v/>
      </c>
      <c r="BN36" s="5">
        <f>IF(A36="","",N(INDEX(Projects[Act Mechanical Eng],35)))</f>
        <v/>
      </c>
      <c r="BO36" s="5">
        <f>IF(A36="","",N(INDEX(Projects[Act Structural Engineering],35)))</f>
        <v/>
      </c>
      <c r="BP36" s="5">
        <f>IF(A36="","",N(INDEX(Projects[Act Site Sup],35)))</f>
        <v/>
      </c>
      <c r="BQ36" s="5">
        <f>IF(A36="","",N(INDEX(Projects[Act Controls Commissioning],35)))</f>
        <v/>
      </c>
      <c r="BR36" s="5">
        <f>IF(A36="","",N(INDEX(Projects[Act Systems Commissioning],35)))</f>
        <v/>
      </c>
      <c r="BS36" s="5">
        <f>IF(A36="","",N(INDEX(Projects[Act Service Commissioning],35)))</f>
        <v/>
      </c>
      <c r="BT36" s="5">
        <f>IF(A36="","",N(INDEX(Projects[Act Controls Eng],35)))</f>
        <v/>
      </c>
      <c r="BU36" s="5">
        <f>IF(A36="","",N(INDEX(Projects[Act Controls Purchase],35)))</f>
        <v/>
      </c>
      <c r="BV36" s="5">
        <f>IF(A36="","",N(INDEX(Projects[Act Software Eng],35)))</f>
        <v/>
      </c>
      <c r="BW36" s="5">
        <f>IF(A36="","",N(INDEX(Projects[Act 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  <c r="CE36" s="5">
        <f>INDEX(Projects[Act Data Status],35)&amp;""</f>
        <v/>
      </c>
      <c r="CF36" s="5">
        <f>IF(A36="","",N(INDEX(Projects[Est Mech Inst],35)))</f>
        <v/>
      </c>
      <c r="CG36" s="5">
        <f>IF(A36="","",N(INDEX(Projects[Est Elec Inst],35)))</f>
        <v/>
      </c>
      <c r="CH36" s="5">
        <f>IF(A36="","",N(INDEX(Projects[Est Project Management],35)))</f>
        <v/>
      </c>
      <c r="CI36" s="5">
        <f>IF(A36="","",N(INDEX(Projects[Est Systems Eng],35)))</f>
        <v/>
      </c>
      <c r="CJ36" s="5">
        <f>IF(A36="","",N(INDEX(Projects[Est Mechanical Eng],35)))</f>
        <v/>
      </c>
      <c r="CK36" s="5">
        <f>IF(A36="","",N(INDEX(Projects[Est Structural Engineering],35)))</f>
        <v/>
      </c>
      <c r="CL36" s="5">
        <f>IF(A36="","",N(INDEX(Projects[Est Site Sup],35)))</f>
        <v/>
      </c>
      <c r="CM36" s="5">
        <f>IF(A36="","",N(INDEX(Projects[Est Controls Commissioning],35)))</f>
        <v/>
      </c>
      <c r="CN36" s="5">
        <f>IF(A36="","",N(INDEX(Projects[Est Systems Commissioning],35)))</f>
        <v/>
      </c>
      <c r="CO36" s="5">
        <f>IF(A36="","",N(INDEX(Projects[Est Service Commissioning],35)))</f>
        <v/>
      </c>
      <c r="CP36" s="5">
        <f>IF(A36="","",N(INDEX(Projects[Est Controls Eng],35)))</f>
        <v/>
      </c>
      <c r="CQ36" s="5">
        <f>IF(A36="","",N(INDEX(Projects[Est Controls Purchase],35)))</f>
        <v/>
      </c>
      <c r="CR36" s="5">
        <f>IF(A36="","",N(INDEX(Projects[Est Software Eng],35)))</f>
        <v/>
      </c>
      <c r="CS36" s="5">
        <f>IF(A36="","",N(INDEX(Projects[Est Misc],35)))</f>
        <v/>
      </c>
      <c r="CT36" s="5">
        <f>IF(A36="","",SUM(CF36:CS36))</f>
        <v/>
      </c>
      <c r="CU36" s="5">
        <f>INDEX(Projects[Est Cost (M)],35)</f>
        <v/>
      </c>
      <c r="CV36" s="5">
        <f>INDEX(Projects[Act Cost (M)],35)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IF(A37="","",N(INDEX(Projects[Act Mech Inst],36)))</f>
        <v/>
      </c>
      <c r="BK37" s="5">
        <f>IF(A37="","",N(INDEX(Projects[Act Elec Inst],36)))</f>
        <v/>
      </c>
      <c r="BL37" s="5">
        <f>IF(A37="","",N(INDEX(Projects[Act Project Management],36)))</f>
        <v/>
      </c>
      <c r="BM37" s="5">
        <f>IF(A37="","",N(INDEX(Projects[Act Systems Eng],36)))</f>
        <v/>
      </c>
      <c r="BN37" s="5">
        <f>IF(A37="","",N(INDEX(Projects[Act Mechanical Eng],36)))</f>
        <v/>
      </c>
      <c r="BO37" s="5">
        <f>IF(A37="","",N(INDEX(Projects[Act Structural Engineering],36)))</f>
        <v/>
      </c>
      <c r="BP37" s="5">
        <f>IF(A37="","",N(INDEX(Projects[Act Site Sup],36)))</f>
        <v/>
      </c>
      <c r="BQ37" s="5">
        <f>IF(A37="","",N(INDEX(Projects[Act Controls Commissioning],36)))</f>
        <v/>
      </c>
      <c r="BR37" s="5">
        <f>IF(A37="","",N(INDEX(Projects[Act Systems Commissioning],36)))</f>
        <v/>
      </c>
      <c r="BS37" s="5">
        <f>IF(A37="","",N(INDEX(Projects[Act Service Commissioning],36)))</f>
        <v/>
      </c>
      <c r="BT37" s="5">
        <f>IF(A37="","",N(INDEX(Projects[Act Controls Eng],36)))</f>
        <v/>
      </c>
      <c r="BU37" s="5">
        <f>IF(A37="","",N(INDEX(Projects[Act Controls Purchase],36)))</f>
        <v/>
      </c>
      <c r="BV37" s="5">
        <f>IF(A37="","",N(INDEX(Projects[Act Software Eng],36)))</f>
        <v/>
      </c>
      <c r="BW37" s="5">
        <f>IF(A37="","",N(INDEX(Projects[Act 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  <c r="CE37" s="5">
        <f>INDEX(Projects[Act Data Status],36)&amp;""</f>
        <v/>
      </c>
      <c r="CF37" s="5">
        <f>IF(A37="","",N(INDEX(Projects[Est Mech Inst],36)))</f>
        <v/>
      </c>
      <c r="CG37" s="5">
        <f>IF(A37="","",N(INDEX(Projects[Est Elec Inst],36)))</f>
        <v/>
      </c>
      <c r="CH37" s="5">
        <f>IF(A37="","",N(INDEX(Projects[Est Project Management],36)))</f>
        <v/>
      </c>
      <c r="CI37" s="5">
        <f>IF(A37="","",N(INDEX(Projects[Est Systems Eng],36)))</f>
        <v/>
      </c>
      <c r="CJ37" s="5">
        <f>IF(A37="","",N(INDEX(Projects[Est Mechanical Eng],36)))</f>
        <v/>
      </c>
      <c r="CK37" s="5">
        <f>IF(A37="","",N(INDEX(Projects[Est Structural Engineering],36)))</f>
        <v/>
      </c>
      <c r="CL37" s="5">
        <f>IF(A37="","",N(INDEX(Projects[Est Site Sup],36)))</f>
        <v/>
      </c>
      <c r="CM37" s="5">
        <f>IF(A37="","",N(INDEX(Projects[Est Controls Commissioning],36)))</f>
        <v/>
      </c>
      <c r="CN37" s="5">
        <f>IF(A37="","",N(INDEX(Projects[Est Systems Commissioning],36)))</f>
        <v/>
      </c>
      <c r="CO37" s="5">
        <f>IF(A37="","",N(INDEX(Projects[Est Service Commissioning],36)))</f>
        <v/>
      </c>
      <c r="CP37" s="5">
        <f>IF(A37="","",N(INDEX(Projects[Est Controls Eng],36)))</f>
        <v/>
      </c>
      <c r="CQ37" s="5">
        <f>IF(A37="","",N(INDEX(Projects[Est Controls Purchase],36)))</f>
        <v/>
      </c>
      <c r="CR37" s="5">
        <f>IF(A37="","",N(INDEX(Projects[Est Software Eng],36)))</f>
        <v/>
      </c>
      <c r="CS37" s="5">
        <f>IF(A37="","",N(INDEX(Projects[Est Misc],36)))</f>
        <v/>
      </c>
      <c r="CT37" s="5">
        <f>IF(A37="","",SUM(CF37:CS37))</f>
        <v/>
      </c>
      <c r="CU37" s="5">
        <f>INDEX(Projects[Est Cost (M)],36)</f>
        <v/>
      </c>
      <c r="CV37" s="5">
        <f>INDEX(Projects[Act Cost (M)],36)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IF(A38="","",N(INDEX(Projects[Act Mech Inst],37)))</f>
        <v/>
      </c>
      <c r="BK38" s="5">
        <f>IF(A38="","",N(INDEX(Projects[Act Elec Inst],37)))</f>
        <v/>
      </c>
      <c r="BL38" s="5">
        <f>IF(A38="","",N(INDEX(Projects[Act Project Management],37)))</f>
        <v/>
      </c>
      <c r="BM38" s="5">
        <f>IF(A38="","",N(INDEX(Projects[Act Systems Eng],37)))</f>
        <v/>
      </c>
      <c r="BN38" s="5">
        <f>IF(A38="","",N(INDEX(Projects[Act Mechanical Eng],37)))</f>
        <v/>
      </c>
      <c r="BO38" s="5">
        <f>IF(A38="","",N(INDEX(Projects[Act Structural Engineering],37)))</f>
        <v/>
      </c>
      <c r="BP38" s="5">
        <f>IF(A38="","",N(INDEX(Projects[Act Site Sup],37)))</f>
        <v/>
      </c>
      <c r="BQ38" s="5">
        <f>IF(A38="","",N(INDEX(Projects[Act Controls Commissioning],37)))</f>
        <v/>
      </c>
      <c r="BR38" s="5">
        <f>IF(A38="","",N(INDEX(Projects[Act Systems Commissioning],37)))</f>
        <v/>
      </c>
      <c r="BS38" s="5">
        <f>IF(A38="","",N(INDEX(Projects[Act Service Commissioning],37)))</f>
        <v/>
      </c>
      <c r="BT38" s="5">
        <f>IF(A38="","",N(INDEX(Projects[Act Controls Eng],37)))</f>
        <v/>
      </c>
      <c r="BU38" s="5">
        <f>IF(A38="","",N(INDEX(Projects[Act Controls Purchase],37)))</f>
        <v/>
      </c>
      <c r="BV38" s="5">
        <f>IF(A38="","",N(INDEX(Projects[Act Software Eng],37)))</f>
        <v/>
      </c>
      <c r="BW38" s="5">
        <f>IF(A38="","",N(INDEX(Projects[Act 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  <c r="CE38" s="5">
        <f>INDEX(Projects[Act Data Status],37)&amp;""</f>
        <v/>
      </c>
      <c r="CF38" s="5">
        <f>IF(A38="","",N(INDEX(Projects[Est Mech Inst],37)))</f>
        <v/>
      </c>
      <c r="CG38" s="5">
        <f>IF(A38="","",N(INDEX(Projects[Est Elec Inst],37)))</f>
        <v/>
      </c>
      <c r="CH38" s="5">
        <f>IF(A38="","",N(INDEX(Projects[Est Project Management],37)))</f>
        <v/>
      </c>
      <c r="CI38" s="5">
        <f>IF(A38="","",N(INDEX(Projects[Est Systems Eng],37)))</f>
        <v/>
      </c>
      <c r="CJ38" s="5">
        <f>IF(A38="","",N(INDEX(Projects[Est Mechanical Eng],37)))</f>
        <v/>
      </c>
      <c r="CK38" s="5">
        <f>IF(A38="","",N(INDEX(Projects[Est Structural Engineering],37)))</f>
        <v/>
      </c>
      <c r="CL38" s="5">
        <f>IF(A38="","",N(INDEX(Projects[Est Site Sup],37)))</f>
        <v/>
      </c>
      <c r="CM38" s="5">
        <f>IF(A38="","",N(INDEX(Projects[Est Controls Commissioning],37)))</f>
        <v/>
      </c>
      <c r="CN38" s="5">
        <f>IF(A38="","",N(INDEX(Projects[Est Systems Commissioning],37)))</f>
        <v/>
      </c>
      <c r="CO38" s="5">
        <f>IF(A38="","",N(INDEX(Projects[Est Service Commissioning],37)))</f>
        <v/>
      </c>
      <c r="CP38" s="5">
        <f>IF(A38="","",N(INDEX(Projects[Est Controls Eng],37)))</f>
        <v/>
      </c>
      <c r="CQ38" s="5">
        <f>IF(A38="","",N(INDEX(Projects[Est Controls Purchase],37)))</f>
        <v/>
      </c>
      <c r="CR38" s="5">
        <f>IF(A38="","",N(INDEX(Projects[Est Software Eng],37)))</f>
        <v/>
      </c>
      <c r="CS38" s="5">
        <f>IF(A38="","",N(INDEX(Projects[Est Misc],37)))</f>
        <v/>
      </c>
      <c r="CT38" s="5">
        <f>IF(A38="","",SUM(CF38:CS38))</f>
        <v/>
      </c>
      <c r="CU38" s="5">
        <f>INDEX(Projects[Est Cost (M)],37)</f>
        <v/>
      </c>
      <c r="CV38" s="5">
        <f>INDEX(Projects[Act Cost (M)],37)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IF(A39="","",N(INDEX(Projects[Act Mech Inst],38)))</f>
        <v/>
      </c>
      <c r="BK39" s="5">
        <f>IF(A39="","",N(INDEX(Projects[Act Elec Inst],38)))</f>
        <v/>
      </c>
      <c r="BL39" s="5">
        <f>IF(A39="","",N(INDEX(Projects[Act Project Management],38)))</f>
        <v/>
      </c>
      <c r="BM39" s="5">
        <f>IF(A39="","",N(INDEX(Projects[Act Systems Eng],38)))</f>
        <v/>
      </c>
      <c r="BN39" s="5">
        <f>IF(A39="","",N(INDEX(Projects[Act Mechanical Eng],38)))</f>
        <v/>
      </c>
      <c r="BO39" s="5">
        <f>IF(A39="","",N(INDEX(Projects[Act Structural Engineering],38)))</f>
        <v/>
      </c>
      <c r="BP39" s="5">
        <f>IF(A39="","",N(INDEX(Projects[Act Site Sup],38)))</f>
        <v/>
      </c>
      <c r="BQ39" s="5">
        <f>IF(A39="","",N(INDEX(Projects[Act Controls Commissioning],38)))</f>
        <v/>
      </c>
      <c r="BR39" s="5">
        <f>IF(A39="","",N(INDEX(Projects[Act Systems Commissioning],38)))</f>
        <v/>
      </c>
      <c r="BS39" s="5">
        <f>IF(A39="","",N(INDEX(Projects[Act Service Commissioning],38)))</f>
        <v/>
      </c>
      <c r="BT39" s="5">
        <f>IF(A39="","",N(INDEX(Projects[Act Controls Eng],38)))</f>
        <v/>
      </c>
      <c r="BU39" s="5">
        <f>IF(A39="","",N(INDEX(Projects[Act Controls Purchase],38)))</f>
        <v/>
      </c>
      <c r="BV39" s="5">
        <f>IF(A39="","",N(INDEX(Projects[Act Software Eng],38)))</f>
        <v/>
      </c>
      <c r="BW39" s="5">
        <f>IF(A39="","",N(INDEX(Projects[Act 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  <c r="CE39" s="5">
        <f>INDEX(Projects[Act Data Status],38)&amp;""</f>
        <v/>
      </c>
      <c r="CF39" s="5">
        <f>IF(A39="","",N(INDEX(Projects[Est Mech Inst],38)))</f>
        <v/>
      </c>
      <c r="CG39" s="5">
        <f>IF(A39="","",N(INDEX(Projects[Est Elec Inst],38)))</f>
        <v/>
      </c>
      <c r="CH39" s="5">
        <f>IF(A39="","",N(INDEX(Projects[Est Project Management],38)))</f>
        <v/>
      </c>
      <c r="CI39" s="5">
        <f>IF(A39="","",N(INDEX(Projects[Est Systems Eng],38)))</f>
        <v/>
      </c>
      <c r="CJ39" s="5">
        <f>IF(A39="","",N(INDEX(Projects[Est Mechanical Eng],38)))</f>
        <v/>
      </c>
      <c r="CK39" s="5">
        <f>IF(A39="","",N(INDEX(Projects[Est Structural Engineering],38)))</f>
        <v/>
      </c>
      <c r="CL39" s="5">
        <f>IF(A39="","",N(INDEX(Projects[Est Site Sup],38)))</f>
        <v/>
      </c>
      <c r="CM39" s="5">
        <f>IF(A39="","",N(INDEX(Projects[Est Controls Commissioning],38)))</f>
        <v/>
      </c>
      <c r="CN39" s="5">
        <f>IF(A39="","",N(INDEX(Projects[Est Systems Commissioning],38)))</f>
        <v/>
      </c>
      <c r="CO39" s="5">
        <f>IF(A39="","",N(INDEX(Projects[Est Service Commissioning],38)))</f>
        <v/>
      </c>
      <c r="CP39" s="5">
        <f>IF(A39="","",N(INDEX(Projects[Est Controls Eng],38)))</f>
        <v/>
      </c>
      <c r="CQ39" s="5">
        <f>IF(A39="","",N(INDEX(Projects[Est Controls Purchase],38)))</f>
        <v/>
      </c>
      <c r="CR39" s="5">
        <f>IF(A39="","",N(INDEX(Projects[Est Software Eng],38)))</f>
        <v/>
      </c>
      <c r="CS39" s="5">
        <f>IF(A39="","",N(INDEX(Projects[Est Misc],38)))</f>
        <v/>
      </c>
      <c r="CT39" s="5">
        <f>IF(A39="","",SUM(CF39:CS39))</f>
        <v/>
      </c>
      <c r="CU39" s="5">
        <f>INDEX(Projects[Est Cost (M)],38)</f>
        <v/>
      </c>
      <c r="CV39" s="5">
        <f>INDEX(Projects[Act Cost (M)],38)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IF(A40="","",N(INDEX(Projects[Act Mech Inst],39)))</f>
        <v/>
      </c>
      <c r="BK40" s="5">
        <f>IF(A40="","",N(INDEX(Projects[Act Elec Inst],39)))</f>
        <v/>
      </c>
      <c r="BL40" s="5">
        <f>IF(A40="","",N(INDEX(Projects[Act Project Management],39)))</f>
        <v/>
      </c>
      <c r="BM40" s="5">
        <f>IF(A40="","",N(INDEX(Projects[Act Systems Eng],39)))</f>
        <v/>
      </c>
      <c r="BN40" s="5">
        <f>IF(A40="","",N(INDEX(Projects[Act Mechanical Eng],39)))</f>
        <v/>
      </c>
      <c r="BO40" s="5">
        <f>IF(A40="","",N(INDEX(Projects[Act Structural Engineering],39)))</f>
        <v/>
      </c>
      <c r="BP40" s="5">
        <f>IF(A40="","",N(INDEX(Projects[Act Site Sup],39)))</f>
        <v/>
      </c>
      <c r="BQ40" s="5">
        <f>IF(A40="","",N(INDEX(Projects[Act Controls Commissioning],39)))</f>
        <v/>
      </c>
      <c r="BR40" s="5">
        <f>IF(A40="","",N(INDEX(Projects[Act Systems Commissioning],39)))</f>
        <v/>
      </c>
      <c r="BS40" s="5">
        <f>IF(A40="","",N(INDEX(Projects[Act Service Commissioning],39)))</f>
        <v/>
      </c>
      <c r="BT40" s="5">
        <f>IF(A40="","",N(INDEX(Projects[Act Controls Eng],39)))</f>
        <v/>
      </c>
      <c r="BU40" s="5">
        <f>IF(A40="","",N(INDEX(Projects[Act Controls Purchase],39)))</f>
        <v/>
      </c>
      <c r="BV40" s="5">
        <f>IF(A40="","",N(INDEX(Projects[Act Software Eng],39)))</f>
        <v/>
      </c>
      <c r="BW40" s="5">
        <f>IF(A40="","",N(INDEX(Projects[Act 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  <c r="CE40" s="5">
        <f>INDEX(Projects[Act Data Status],39)&amp;""</f>
        <v/>
      </c>
      <c r="CF40" s="5">
        <f>IF(A40="","",N(INDEX(Projects[Est Mech Inst],39)))</f>
        <v/>
      </c>
      <c r="CG40" s="5">
        <f>IF(A40="","",N(INDEX(Projects[Est Elec Inst],39)))</f>
        <v/>
      </c>
      <c r="CH40" s="5">
        <f>IF(A40="","",N(INDEX(Projects[Est Project Management],39)))</f>
        <v/>
      </c>
      <c r="CI40" s="5">
        <f>IF(A40="","",N(INDEX(Projects[Est Systems Eng],39)))</f>
        <v/>
      </c>
      <c r="CJ40" s="5">
        <f>IF(A40="","",N(INDEX(Projects[Est Mechanical Eng],39)))</f>
        <v/>
      </c>
      <c r="CK40" s="5">
        <f>IF(A40="","",N(INDEX(Projects[Est Structural Engineering],39)))</f>
        <v/>
      </c>
      <c r="CL40" s="5">
        <f>IF(A40="","",N(INDEX(Projects[Est Site Sup],39)))</f>
        <v/>
      </c>
      <c r="CM40" s="5">
        <f>IF(A40="","",N(INDEX(Projects[Est Controls Commissioning],39)))</f>
        <v/>
      </c>
      <c r="CN40" s="5">
        <f>IF(A40="","",N(INDEX(Projects[Est Systems Commissioning],39)))</f>
        <v/>
      </c>
      <c r="CO40" s="5">
        <f>IF(A40="","",N(INDEX(Projects[Est Service Commissioning],39)))</f>
        <v/>
      </c>
      <c r="CP40" s="5">
        <f>IF(A40="","",N(INDEX(Projects[Est Controls Eng],39)))</f>
        <v/>
      </c>
      <c r="CQ40" s="5">
        <f>IF(A40="","",N(INDEX(Projects[Est Controls Purchase],39)))</f>
        <v/>
      </c>
      <c r="CR40" s="5">
        <f>IF(A40="","",N(INDEX(Projects[Est Software Eng],39)))</f>
        <v/>
      </c>
      <c r="CS40" s="5">
        <f>IF(A40="","",N(INDEX(Projects[Est Misc],39)))</f>
        <v/>
      </c>
      <c r="CT40" s="5">
        <f>IF(A40="","",SUM(CF40:CS40))</f>
        <v/>
      </c>
      <c r="CU40" s="5">
        <f>INDEX(Projects[Est Cost (M)],39)</f>
        <v/>
      </c>
      <c r="CV40" s="5">
        <f>INDEX(Projects[Act Cost (M)],39)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IF(A41="","",N(INDEX(Projects[Act Mech Inst],40)))</f>
        <v/>
      </c>
      <c r="BK41" s="5">
        <f>IF(A41="","",N(INDEX(Projects[Act Elec Inst],40)))</f>
        <v/>
      </c>
      <c r="BL41" s="5">
        <f>IF(A41="","",N(INDEX(Projects[Act Project Management],40)))</f>
        <v/>
      </c>
      <c r="BM41" s="5">
        <f>IF(A41="","",N(INDEX(Projects[Act Systems Eng],40)))</f>
        <v/>
      </c>
      <c r="BN41" s="5">
        <f>IF(A41="","",N(INDEX(Projects[Act Mechanical Eng],40)))</f>
        <v/>
      </c>
      <c r="BO41" s="5">
        <f>IF(A41="","",N(INDEX(Projects[Act Structural Engineering],40)))</f>
        <v/>
      </c>
      <c r="BP41" s="5">
        <f>IF(A41="","",N(INDEX(Projects[Act Site Sup],40)))</f>
        <v/>
      </c>
      <c r="BQ41" s="5">
        <f>IF(A41="","",N(INDEX(Projects[Act Controls Commissioning],40)))</f>
        <v/>
      </c>
      <c r="BR41" s="5">
        <f>IF(A41="","",N(INDEX(Projects[Act Systems Commissioning],40)))</f>
        <v/>
      </c>
      <c r="BS41" s="5">
        <f>IF(A41="","",N(INDEX(Projects[Act Service Commissioning],40)))</f>
        <v/>
      </c>
      <c r="BT41" s="5">
        <f>IF(A41="","",N(INDEX(Projects[Act Controls Eng],40)))</f>
        <v/>
      </c>
      <c r="BU41" s="5">
        <f>IF(A41="","",N(INDEX(Projects[Act Controls Purchase],40)))</f>
        <v/>
      </c>
      <c r="BV41" s="5">
        <f>IF(A41="","",N(INDEX(Projects[Act Software Eng],40)))</f>
        <v/>
      </c>
      <c r="BW41" s="5">
        <f>IF(A41="","",N(INDEX(Projects[Act 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  <c r="CE41" s="5">
        <f>INDEX(Projects[Act Data Status],40)&amp;""</f>
        <v/>
      </c>
      <c r="CF41" s="5">
        <f>IF(A41="","",N(INDEX(Projects[Est Mech Inst],40)))</f>
        <v/>
      </c>
      <c r="CG41" s="5">
        <f>IF(A41="","",N(INDEX(Projects[Est Elec Inst],40)))</f>
        <v/>
      </c>
      <c r="CH41" s="5">
        <f>IF(A41="","",N(INDEX(Projects[Est Project Management],40)))</f>
        <v/>
      </c>
      <c r="CI41" s="5">
        <f>IF(A41="","",N(INDEX(Projects[Est Systems Eng],40)))</f>
        <v/>
      </c>
      <c r="CJ41" s="5">
        <f>IF(A41="","",N(INDEX(Projects[Est Mechanical Eng],40)))</f>
        <v/>
      </c>
      <c r="CK41" s="5">
        <f>IF(A41="","",N(INDEX(Projects[Est Structural Engineering],40)))</f>
        <v/>
      </c>
      <c r="CL41" s="5">
        <f>IF(A41="","",N(INDEX(Projects[Est Site Sup],40)))</f>
        <v/>
      </c>
      <c r="CM41" s="5">
        <f>IF(A41="","",N(INDEX(Projects[Est Controls Commissioning],40)))</f>
        <v/>
      </c>
      <c r="CN41" s="5">
        <f>IF(A41="","",N(INDEX(Projects[Est Systems Commissioning],40)))</f>
        <v/>
      </c>
      <c r="CO41" s="5">
        <f>IF(A41="","",N(INDEX(Projects[Est Service Commissioning],40)))</f>
        <v/>
      </c>
      <c r="CP41" s="5">
        <f>IF(A41="","",N(INDEX(Projects[Est Controls Eng],40)))</f>
        <v/>
      </c>
      <c r="CQ41" s="5">
        <f>IF(A41="","",N(INDEX(Projects[Est Controls Purchase],40)))</f>
        <v/>
      </c>
      <c r="CR41" s="5">
        <f>IF(A41="","",N(INDEX(Projects[Est Software Eng],40)))</f>
        <v/>
      </c>
      <c r="CS41" s="5">
        <f>IF(A41="","",N(INDEX(Projects[Est Misc],40)))</f>
        <v/>
      </c>
      <c r="CT41" s="5">
        <f>IF(A41="","",SUM(CF41:CS41))</f>
        <v/>
      </c>
      <c r="CU41" s="5">
        <f>INDEX(Projects[Est Cost (M)],40)</f>
        <v/>
      </c>
      <c r="CV41" s="5">
        <f>INDEX(Projects[Act Cost (M)],40)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IF(A42="","",N(INDEX(Projects[Act Mech Inst],41)))</f>
        <v/>
      </c>
      <c r="BK42" s="5">
        <f>IF(A42="","",N(INDEX(Projects[Act Elec Inst],41)))</f>
        <v/>
      </c>
      <c r="BL42" s="5">
        <f>IF(A42="","",N(INDEX(Projects[Act Project Management],41)))</f>
        <v/>
      </c>
      <c r="BM42" s="5">
        <f>IF(A42="","",N(INDEX(Projects[Act Systems Eng],41)))</f>
        <v/>
      </c>
      <c r="BN42" s="5">
        <f>IF(A42="","",N(INDEX(Projects[Act Mechanical Eng],41)))</f>
        <v/>
      </c>
      <c r="BO42" s="5">
        <f>IF(A42="","",N(INDEX(Projects[Act Structural Engineering],41)))</f>
        <v/>
      </c>
      <c r="BP42" s="5">
        <f>IF(A42="","",N(INDEX(Projects[Act Site Sup],41)))</f>
        <v/>
      </c>
      <c r="BQ42" s="5">
        <f>IF(A42="","",N(INDEX(Projects[Act Controls Commissioning],41)))</f>
        <v/>
      </c>
      <c r="BR42" s="5">
        <f>IF(A42="","",N(INDEX(Projects[Act Systems Commissioning],41)))</f>
        <v/>
      </c>
      <c r="BS42" s="5">
        <f>IF(A42="","",N(INDEX(Projects[Act Service Commissioning],41)))</f>
        <v/>
      </c>
      <c r="BT42" s="5">
        <f>IF(A42="","",N(INDEX(Projects[Act Controls Eng],41)))</f>
        <v/>
      </c>
      <c r="BU42" s="5">
        <f>IF(A42="","",N(INDEX(Projects[Act Controls Purchase],41)))</f>
        <v/>
      </c>
      <c r="BV42" s="5">
        <f>IF(A42="","",N(INDEX(Projects[Act Software Eng],41)))</f>
        <v/>
      </c>
      <c r="BW42" s="5">
        <f>IF(A42="","",N(INDEX(Projects[Act 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  <c r="CE42" s="5">
        <f>INDEX(Projects[Act Data Status],41)&amp;""</f>
        <v/>
      </c>
      <c r="CF42" s="5">
        <f>IF(A42="","",N(INDEX(Projects[Est Mech Inst],41)))</f>
        <v/>
      </c>
      <c r="CG42" s="5">
        <f>IF(A42="","",N(INDEX(Projects[Est Elec Inst],41)))</f>
        <v/>
      </c>
      <c r="CH42" s="5">
        <f>IF(A42="","",N(INDEX(Projects[Est Project Management],41)))</f>
        <v/>
      </c>
      <c r="CI42" s="5">
        <f>IF(A42="","",N(INDEX(Projects[Est Systems Eng],41)))</f>
        <v/>
      </c>
      <c r="CJ42" s="5">
        <f>IF(A42="","",N(INDEX(Projects[Est Mechanical Eng],41)))</f>
        <v/>
      </c>
      <c r="CK42" s="5">
        <f>IF(A42="","",N(INDEX(Projects[Est Structural Engineering],41)))</f>
        <v/>
      </c>
      <c r="CL42" s="5">
        <f>IF(A42="","",N(INDEX(Projects[Est Site Sup],41)))</f>
        <v/>
      </c>
      <c r="CM42" s="5">
        <f>IF(A42="","",N(INDEX(Projects[Est Controls Commissioning],41)))</f>
        <v/>
      </c>
      <c r="CN42" s="5">
        <f>IF(A42="","",N(INDEX(Projects[Est Systems Commissioning],41)))</f>
        <v/>
      </c>
      <c r="CO42" s="5">
        <f>IF(A42="","",N(INDEX(Projects[Est Service Commissioning],41)))</f>
        <v/>
      </c>
      <c r="CP42" s="5">
        <f>IF(A42="","",N(INDEX(Projects[Est Controls Eng],41)))</f>
        <v/>
      </c>
      <c r="CQ42" s="5">
        <f>IF(A42="","",N(INDEX(Projects[Est Controls Purchase],41)))</f>
        <v/>
      </c>
      <c r="CR42" s="5">
        <f>IF(A42="","",N(INDEX(Projects[Est Software Eng],41)))</f>
        <v/>
      </c>
      <c r="CS42" s="5">
        <f>IF(A42="","",N(INDEX(Projects[Est Misc],41)))</f>
        <v/>
      </c>
      <c r="CT42" s="5">
        <f>IF(A42="","",SUM(CF42:CS42))</f>
        <v/>
      </c>
      <c r="CU42" s="5">
        <f>INDEX(Projects[Est Cost (M)],41)</f>
        <v/>
      </c>
      <c r="CV42" s="5">
        <f>INDEX(Projects[Act Cost (M)],41)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IF(A43="","",N(INDEX(Projects[Act Mech Inst],42)))</f>
        <v/>
      </c>
      <c r="BK43" s="5">
        <f>IF(A43="","",N(INDEX(Projects[Act Elec Inst],42)))</f>
        <v/>
      </c>
      <c r="BL43" s="5">
        <f>IF(A43="","",N(INDEX(Projects[Act Project Management],42)))</f>
        <v/>
      </c>
      <c r="BM43" s="5">
        <f>IF(A43="","",N(INDEX(Projects[Act Systems Eng],42)))</f>
        <v/>
      </c>
      <c r="BN43" s="5">
        <f>IF(A43="","",N(INDEX(Projects[Act Mechanical Eng],42)))</f>
        <v/>
      </c>
      <c r="BO43" s="5">
        <f>IF(A43="","",N(INDEX(Projects[Act Structural Engineering],42)))</f>
        <v/>
      </c>
      <c r="BP43" s="5">
        <f>IF(A43="","",N(INDEX(Projects[Act Site Sup],42)))</f>
        <v/>
      </c>
      <c r="BQ43" s="5">
        <f>IF(A43="","",N(INDEX(Projects[Act Controls Commissioning],42)))</f>
        <v/>
      </c>
      <c r="BR43" s="5">
        <f>IF(A43="","",N(INDEX(Projects[Act Systems Commissioning],42)))</f>
        <v/>
      </c>
      <c r="BS43" s="5">
        <f>IF(A43="","",N(INDEX(Projects[Act Service Commissioning],42)))</f>
        <v/>
      </c>
      <c r="BT43" s="5">
        <f>IF(A43="","",N(INDEX(Projects[Act Controls Eng],42)))</f>
        <v/>
      </c>
      <c r="BU43" s="5">
        <f>IF(A43="","",N(INDEX(Projects[Act Controls Purchase],42)))</f>
        <v/>
      </c>
      <c r="BV43" s="5">
        <f>IF(A43="","",N(INDEX(Projects[Act Software Eng],42)))</f>
        <v/>
      </c>
      <c r="BW43" s="5">
        <f>IF(A43="","",N(INDEX(Projects[Act 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  <c r="CE43" s="5">
        <f>INDEX(Projects[Act Data Status],42)&amp;""</f>
        <v/>
      </c>
      <c r="CF43" s="5">
        <f>IF(A43="","",N(INDEX(Projects[Est Mech Inst],42)))</f>
        <v/>
      </c>
      <c r="CG43" s="5">
        <f>IF(A43="","",N(INDEX(Projects[Est Elec Inst],42)))</f>
        <v/>
      </c>
      <c r="CH43" s="5">
        <f>IF(A43="","",N(INDEX(Projects[Est Project Management],42)))</f>
        <v/>
      </c>
      <c r="CI43" s="5">
        <f>IF(A43="","",N(INDEX(Projects[Est Systems Eng],42)))</f>
        <v/>
      </c>
      <c r="CJ43" s="5">
        <f>IF(A43="","",N(INDEX(Projects[Est Mechanical Eng],42)))</f>
        <v/>
      </c>
      <c r="CK43" s="5">
        <f>IF(A43="","",N(INDEX(Projects[Est Structural Engineering],42)))</f>
        <v/>
      </c>
      <c r="CL43" s="5">
        <f>IF(A43="","",N(INDEX(Projects[Est Site Sup],42)))</f>
        <v/>
      </c>
      <c r="CM43" s="5">
        <f>IF(A43="","",N(INDEX(Projects[Est Controls Commissioning],42)))</f>
        <v/>
      </c>
      <c r="CN43" s="5">
        <f>IF(A43="","",N(INDEX(Projects[Est Systems Commissioning],42)))</f>
        <v/>
      </c>
      <c r="CO43" s="5">
        <f>IF(A43="","",N(INDEX(Projects[Est Service Commissioning],42)))</f>
        <v/>
      </c>
      <c r="CP43" s="5">
        <f>IF(A43="","",N(INDEX(Projects[Est Controls Eng],42)))</f>
        <v/>
      </c>
      <c r="CQ43" s="5">
        <f>IF(A43="","",N(INDEX(Projects[Est Controls Purchase],42)))</f>
        <v/>
      </c>
      <c r="CR43" s="5">
        <f>IF(A43="","",N(INDEX(Projects[Est Software Eng],42)))</f>
        <v/>
      </c>
      <c r="CS43" s="5">
        <f>IF(A43="","",N(INDEX(Projects[Est Misc],42)))</f>
        <v/>
      </c>
      <c r="CT43" s="5">
        <f>IF(A43="","",SUM(CF43:CS43))</f>
        <v/>
      </c>
      <c r="CU43" s="5">
        <f>INDEX(Projects[Est Cost (M)],42)</f>
        <v/>
      </c>
      <c r="CV43" s="5">
        <f>INDEX(Projects[Act Cost (M)],42)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IF(A44="","",N(INDEX(Projects[Act Mech Inst],43)))</f>
        <v/>
      </c>
      <c r="BK44" s="5">
        <f>IF(A44="","",N(INDEX(Projects[Act Elec Inst],43)))</f>
        <v/>
      </c>
      <c r="BL44" s="5">
        <f>IF(A44="","",N(INDEX(Projects[Act Project Management],43)))</f>
        <v/>
      </c>
      <c r="BM44" s="5">
        <f>IF(A44="","",N(INDEX(Projects[Act Systems Eng],43)))</f>
        <v/>
      </c>
      <c r="BN44" s="5">
        <f>IF(A44="","",N(INDEX(Projects[Act Mechanical Eng],43)))</f>
        <v/>
      </c>
      <c r="BO44" s="5">
        <f>IF(A44="","",N(INDEX(Projects[Act Structural Engineering],43)))</f>
        <v/>
      </c>
      <c r="BP44" s="5">
        <f>IF(A44="","",N(INDEX(Projects[Act Site Sup],43)))</f>
        <v/>
      </c>
      <c r="BQ44" s="5">
        <f>IF(A44="","",N(INDEX(Projects[Act Controls Commissioning],43)))</f>
        <v/>
      </c>
      <c r="BR44" s="5">
        <f>IF(A44="","",N(INDEX(Projects[Act Systems Commissioning],43)))</f>
        <v/>
      </c>
      <c r="BS44" s="5">
        <f>IF(A44="","",N(INDEX(Projects[Act Service Commissioning],43)))</f>
        <v/>
      </c>
      <c r="BT44" s="5">
        <f>IF(A44="","",N(INDEX(Projects[Act Controls Eng],43)))</f>
        <v/>
      </c>
      <c r="BU44" s="5">
        <f>IF(A44="","",N(INDEX(Projects[Act Controls Purchase],43)))</f>
        <v/>
      </c>
      <c r="BV44" s="5">
        <f>IF(A44="","",N(INDEX(Projects[Act Software Eng],43)))</f>
        <v/>
      </c>
      <c r="BW44" s="5">
        <f>IF(A44="","",N(INDEX(Projects[Act 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  <c r="CE44" s="5">
        <f>INDEX(Projects[Act Data Status],43)&amp;""</f>
        <v/>
      </c>
      <c r="CF44" s="5">
        <f>IF(A44="","",N(INDEX(Projects[Est Mech Inst],43)))</f>
        <v/>
      </c>
      <c r="CG44" s="5">
        <f>IF(A44="","",N(INDEX(Projects[Est Elec Inst],43)))</f>
        <v/>
      </c>
      <c r="CH44" s="5">
        <f>IF(A44="","",N(INDEX(Projects[Est Project Management],43)))</f>
        <v/>
      </c>
      <c r="CI44" s="5">
        <f>IF(A44="","",N(INDEX(Projects[Est Systems Eng],43)))</f>
        <v/>
      </c>
      <c r="CJ44" s="5">
        <f>IF(A44="","",N(INDEX(Projects[Est Mechanical Eng],43)))</f>
        <v/>
      </c>
      <c r="CK44" s="5">
        <f>IF(A44="","",N(INDEX(Projects[Est Structural Engineering],43)))</f>
        <v/>
      </c>
      <c r="CL44" s="5">
        <f>IF(A44="","",N(INDEX(Projects[Est Site Sup],43)))</f>
        <v/>
      </c>
      <c r="CM44" s="5">
        <f>IF(A44="","",N(INDEX(Projects[Est Controls Commissioning],43)))</f>
        <v/>
      </c>
      <c r="CN44" s="5">
        <f>IF(A44="","",N(INDEX(Projects[Est Systems Commissioning],43)))</f>
        <v/>
      </c>
      <c r="CO44" s="5">
        <f>IF(A44="","",N(INDEX(Projects[Est Service Commissioning],43)))</f>
        <v/>
      </c>
      <c r="CP44" s="5">
        <f>IF(A44="","",N(INDEX(Projects[Est Controls Eng],43)))</f>
        <v/>
      </c>
      <c r="CQ44" s="5">
        <f>IF(A44="","",N(INDEX(Projects[Est Controls Purchase],43)))</f>
        <v/>
      </c>
      <c r="CR44" s="5">
        <f>IF(A44="","",N(INDEX(Projects[Est Software Eng],43)))</f>
        <v/>
      </c>
      <c r="CS44" s="5">
        <f>IF(A44="","",N(INDEX(Projects[Est Misc],43)))</f>
        <v/>
      </c>
      <c r="CT44" s="5">
        <f>IF(A44="","",SUM(CF44:CS44))</f>
        <v/>
      </c>
      <c r="CU44" s="5">
        <f>INDEX(Projects[Est Cost (M)],43)</f>
        <v/>
      </c>
      <c r="CV44" s="5">
        <f>INDEX(Projects[Act Cost (M)],43)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IF(A45="","",N(INDEX(Projects[Act Mech Inst],44)))</f>
        <v/>
      </c>
      <c r="BK45" s="5">
        <f>IF(A45="","",N(INDEX(Projects[Act Elec Inst],44)))</f>
        <v/>
      </c>
      <c r="BL45" s="5">
        <f>IF(A45="","",N(INDEX(Projects[Act Project Management],44)))</f>
        <v/>
      </c>
      <c r="BM45" s="5">
        <f>IF(A45="","",N(INDEX(Projects[Act Systems Eng],44)))</f>
        <v/>
      </c>
      <c r="BN45" s="5">
        <f>IF(A45="","",N(INDEX(Projects[Act Mechanical Eng],44)))</f>
        <v/>
      </c>
      <c r="BO45" s="5">
        <f>IF(A45="","",N(INDEX(Projects[Act Structural Engineering],44)))</f>
        <v/>
      </c>
      <c r="BP45" s="5">
        <f>IF(A45="","",N(INDEX(Projects[Act Site Sup],44)))</f>
        <v/>
      </c>
      <c r="BQ45" s="5">
        <f>IF(A45="","",N(INDEX(Projects[Act Controls Commissioning],44)))</f>
        <v/>
      </c>
      <c r="BR45" s="5">
        <f>IF(A45="","",N(INDEX(Projects[Act Systems Commissioning],44)))</f>
        <v/>
      </c>
      <c r="BS45" s="5">
        <f>IF(A45="","",N(INDEX(Projects[Act Service Commissioning],44)))</f>
        <v/>
      </c>
      <c r="BT45" s="5">
        <f>IF(A45="","",N(INDEX(Projects[Act Controls Eng],44)))</f>
        <v/>
      </c>
      <c r="BU45" s="5">
        <f>IF(A45="","",N(INDEX(Projects[Act Controls Purchase],44)))</f>
        <v/>
      </c>
      <c r="BV45" s="5">
        <f>IF(A45="","",N(INDEX(Projects[Act Software Eng],44)))</f>
        <v/>
      </c>
      <c r="BW45" s="5">
        <f>IF(A45="","",N(INDEX(Projects[Act 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  <c r="CE45" s="5">
        <f>INDEX(Projects[Act Data Status],44)&amp;""</f>
        <v/>
      </c>
      <c r="CF45" s="5">
        <f>IF(A45="","",N(INDEX(Projects[Est Mech Inst],44)))</f>
        <v/>
      </c>
      <c r="CG45" s="5">
        <f>IF(A45="","",N(INDEX(Projects[Est Elec Inst],44)))</f>
        <v/>
      </c>
      <c r="CH45" s="5">
        <f>IF(A45="","",N(INDEX(Projects[Est Project Management],44)))</f>
        <v/>
      </c>
      <c r="CI45" s="5">
        <f>IF(A45="","",N(INDEX(Projects[Est Systems Eng],44)))</f>
        <v/>
      </c>
      <c r="CJ45" s="5">
        <f>IF(A45="","",N(INDEX(Projects[Est Mechanical Eng],44)))</f>
        <v/>
      </c>
      <c r="CK45" s="5">
        <f>IF(A45="","",N(INDEX(Projects[Est Structural Engineering],44)))</f>
        <v/>
      </c>
      <c r="CL45" s="5">
        <f>IF(A45="","",N(INDEX(Projects[Est Site Sup],44)))</f>
        <v/>
      </c>
      <c r="CM45" s="5">
        <f>IF(A45="","",N(INDEX(Projects[Est Controls Commissioning],44)))</f>
        <v/>
      </c>
      <c r="CN45" s="5">
        <f>IF(A45="","",N(INDEX(Projects[Est Systems Commissioning],44)))</f>
        <v/>
      </c>
      <c r="CO45" s="5">
        <f>IF(A45="","",N(INDEX(Projects[Est Service Commissioning],44)))</f>
        <v/>
      </c>
      <c r="CP45" s="5">
        <f>IF(A45="","",N(INDEX(Projects[Est Controls Eng],44)))</f>
        <v/>
      </c>
      <c r="CQ45" s="5">
        <f>IF(A45="","",N(INDEX(Projects[Est Controls Purchase],44)))</f>
        <v/>
      </c>
      <c r="CR45" s="5">
        <f>IF(A45="","",N(INDEX(Projects[Est Software Eng],44)))</f>
        <v/>
      </c>
      <c r="CS45" s="5">
        <f>IF(A45="","",N(INDEX(Projects[Est Misc],44)))</f>
        <v/>
      </c>
      <c r="CT45" s="5">
        <f>IF(A45="","",SUM(CF45:CS45))</f>
        <v/>
      </c>
      <c r="CU45" s="5">
        <f>INDEX(Projects[Est Cost (M)],44)</f>
        <v/>
      </c>
      <c r="CV45" s="5">
        <f>INDEX(Projects[Act Cost (M)],44)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IF(A46="","",N(INDEX(Projects[Act Mech Inst],45)))</f>
        <v/>
      </c>
      <c r="BK46" s="5">
        <f>IF(A46="","",N(INDEX(Projects[Act Elec Inst],45)))</f>
        <v/>
      </c>
      <c r="BL46" s="5">
        <f>IF(A46="","",N(INDEX(Projects[Act Project Management],45)))</f>
        <v/>
      </c>
      <c r="BM46" s="5">
        <f>IF(A46="","",N(INDEX(Projects[Act Systems Eng],45)))</f>
        <v/>
      </c>
      <c r="BN46" s="5">
        <f>IF(A46="","",N(INDEX(Projects[Act Mechanical Eng],45)))</f>
        <v/>
      </c>
      <c r="BO46" s="5">
        <f>IF(A46="","",N(INDEX(Projects[Act Structural Engineering],45)))</f>
        <v/>
      </c>
      <c r="BP46" s="5">
        <f>IF(A46="","",N(INDEX(Projects[Act Site Sup],45)))</f>
        <v/>
      </c>
      <c r="BQ46" s="5">
        <f>IF(A46="","",N(INDEX(Projects[Act Controls Commissioning],45)))</f>
        <v/>
      </c>
      <c r="BR46" s="5">
        <f>IF(A46="","",N(INDEX(Projects[Act Systems Commissioning],45)))</f>
        <v/>
      </c>
      <c r="BS46" s="5">
        <f>IF(A46="","",N(INDEX(Projects[Act Service Commissioning],45)))</f>
        <v/>
      </c>
      <c r="BT46" s="5">
        <f>IF(A46="","",N(INDEX(Projects[Act Controls Eng],45)))</f>
        <v/>
      </c>
      <c r="BU46" s="5">
        <f>IF(A46="","",N(INDEX(Projects[Act Controls Purchase],45)))</f>
        <v/>
      </c>
      <c r="BV46" s="5">
        <f>IF(A46="","",N(INDEX(Projects[Act Software Eng],45)))</f>
        <v/>
      </c>
      <c r="BW46" s="5">
        <f>IF(A46="","",N(INDEX(Projects[Act 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  <c r="CE46" s="5">
        <f>INDEX(Projects[Act Data Status],45)&amp;""</f>
        <v/>
      </c>
      <c r="CF46" s="5">
        <f>IF(A46="","",N(INDEX(Projects[Est Mech Inst],45)))</f>
        <v/>
      </c>
      <c r="CG46" s="5">
        <f>IF(A46="","",N(INDEX(Projects[Est Elec Inst],45)))</f>
        <v/>
      </c>
      <c r="CH46" s="5">
        <f>IF(A46="","",N(INDEX(Projects[Est Project Management],45)))</f>
        <v/>
      </c>
      <c r="CI46" s="5">
        <f>IF(A46="","",N(INDEX(Projects[Est Systems Eng],45)))</f>
        <v/>
      </c>
      <c r="CJ46" s="5">
        <f>IF(A46="","",N(INDEX(Projects[Est Mechanical Eng],45)))</f>
        <v/>
      </c>
      <c r="CK46" s="5">
        <f>IF(A46="","",N(INDEX(Projects[Est Structural Engineering],45)))</f>
        <v/>
      </c>
      <c r="CL46" s="5">
        <f>IF(A46="","",N(INDEX(Projects[Est Site Sup],45)))</f>
        <v/>
      </c>
      <c r="CM46" s="5">
        <f>IF(A46="","",N(INDEX(Projects[Est Controls Commissioning],45)))</f>
        <v/>
      </c>
      <c r="CN46" s="5">
        <f>IF(A46="","",N(INDEX(Projects[Est Systems Commissioning],45)))</f>
        <v/>
      </c>
      <c r="CO46" s="5">
        <f>IF(A46="","",N(INDEX(Projects[Est Service Commissioning],45)))</f>
        <v/>
      </c>
      <c r="CP46" s="5">
        <f>IF(A46="","",N(INDEX(Projects[Est Controls Eng],45)))</f>
        <v/>
      </c>
      <c r="CQ46" s="5">
        <f>IF(A46="","",N(INDEX(Projects[Est Controls Purchase],45)))</f>
        <v/>
      </c>
      <c r="CR46" s="5">
        <f>IF(A46="","",N(INDEX(Projects[Est Software Eng],45)))</f>
        <v/>
      </c>
      <c r="CS46" s="5">
        <f>IF(A46="","",N(INDEX(Projects[Est Misc],45)))</f>
        <v/>
      </c>
      <c r="CT46" s="5">
        <f>IF(A46="","",SUM(CF46:CS46))</f>
        <v/>
      </c>
      <c r="CU46" s="5">
        <f>INDEX(Projects[Est Cost (M)],45)</f>
        <v/>
      </c>
      <c r="CV46" s="5">
        <f>INDEX(Projects[Act Cost (M)],45)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IF(A47="","",N(INDEX(Projects[Act Mech Inst],46)))</f>
        <v/>
      </c>
      <c r="BK47" s="5">
        <f>IF(A47="","",N(INDEX(Projects[Act Elec Inst],46)))</f>
        <v/>
      </c>
      <c r="BL47" s="5">
        <f>IF(A47="","",N(INDEX(Projects[Act Project Management],46)))</f>
        <v/>
      </c>
      <c r="BM47" s="5">
        <f>IF(A47="","",N(INDEX(Projects[Act Systems Eng],46)))</f>
        <v/>
      </c>
      <c r="BN47" s="5">
        <f>IF(A47="","",N(INDEX(Projects[Act Mechanical Eng],46)))</f>
        <v/>
      </c>
      <c r="BO47" s="5">
        <f>IF(A47="","",N(INDEX(Projects[Act Structural Engineering],46)))</f>
        <v/>
      </c>
      <c r="BP47" s="5">
        <f>IF(A47="","",N(INDEX(Projects[Act Site Sup],46)))</f>
        <v/>
      </c>
      <c r="BQ47" s="5">
        <f>IF(A47="","",N(INDEX(Projects[Act Controls Commissioning],46)))</f>
        <v/>
      </c>
      <c r="BR47" s="5">
        <f>IF(A47="","",N(INDEX(Projects[Act Systems Commissioning],46)))</f>
        <v/>
      </c>
      <c r="BS47" s="5">
        <f>IF(A47="","",N(INDEX(Projects[Act Service Commissioning],46)))</f>
        <v/>
      </c>
      <c r="BT47" s="5">
        <f>IF(A47="","",N(INDEX(Projects[Act Controls Eng],46)))</f>
        <v/>
      </c>
      <c r="BU47" s="5">
        <f>IF(A47="","",N(INDEX(Projects[Act Controls Purchase],46)))</f>
        <v/>
      </c>
      <c r="BV47" s="5">
        <f>IF(A47="","",N(INDEX(Projects[Act Software Eng],46)))</f>
        <v/>
      </c>
      <c r="BW47" s="5">
        <f>IF(A47="","",N(INDEX(Projects[Act 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  <c r="CE47" s="5">
        <f>INDEX(Projects[Act Data Status],46)&amp;""</f>
        <v/>
      </c>
      <c r="CF47" s="5">
        <f>IF(A47="","",N(INDEX(Projects[Est Mech Inst],46)))</f>
        <v/>
      </c>
      <c r="CG47" s="5">
        <f>IF(A47="","",N(INDEX(Projects[Est Elec Inst],46)))</f>
        <v/>
      </c>
      <c r="CH47" s="5">
        <f>IF(A47="","",N(INDEX(Projects[Est Project Management],46)))</f>
        <v/>
      </c>
      <c r="CI47" s="5">
        <f>IF(A47="","",N(INDEX(Projects[Est Systems Eng],46)))</f>
        <v/>
      </c>
      <c r="CJ47" s="5">
        <f>IF(A47="","",N(INDEX(Projects[Est Mechanical Eng],46)))</f>
        <v/>
      </c>
      <c r="CK47" s="5">
        <f>IF(A47="","",N(INDEX(Projects[Est Structural Engineering],46)))</f>
        <v/>
      </c>
      <c r="CL47" s="5">
        <f>IF(A47="","",N(INDEX(Projects[Est Site Sup],46)))</f>
        <v/>
      </c>
      <c r="CM47" s="5">
        <f>IF(A47="","",N(INDEX(Projects[Est Controls Commissioning],46)))</f>
        <v/>
      </c>
      <c r="CN47" s="5">
        <f>IF(A47="","",N(INDEX(Projects[Est Systems Commissioning],46)))</f>
        <v/>
      </c>
      <c r="CO47" s="5">
        <f>IF(A47="","",N(INDEX(Projects[Est Service Commissioning],46)))</f>
        <v/>
      </c>
      <c r="CP47" s="5">
        <f>IF(A47="","",N(INDEX(Projects[Est Controls Eng],46)))</f>
        <v/>
      </c>
      <c r="CQ47" s="5">
        <f>IF(A47="","",N(INDEX(Projects[Est Controls Purchase],46)))</f>
        <v/>
      </c>
      <c r="CR47" s="5">
        <f>IF(A47="","",N(INDEX(Projects[Est Software Eng],46)))</f>
        <v/>
      </c>
      <c r="CS47" s="5">
        <f>IF(A47="","",N(INDEX(Projects[Est Misc],46)))</f>
        <v/>
      </c>
      <c r="CT47" s="5">
        <f>IF(A47="","",SUM(CF47:CS47))</f>
        <v/>
      </c>
      <c r="CU47" s="5">
        <f>INDEX(Projects[Est Cost (M)],46)</f>
        <v/>
      </c>
      <c r="CV47" s="5">
        <f>INDEX(Projects[Act Cost (M)],46)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IF(A48="","",N(INDEX(Projects[Act Mech Inst],47)))</f>
        <v/>
      </c>
      <c r="BK48" s="5">
        <f>IF(A48="","",N(INDEX(Projects[Act Elec Inst],47)))</f>
        <v/>
      </c>
      <c r="BL48" s="5">
        <f>IF(A48="","",N(INDEX(Projects[Act Project Management],47)))</f>
        <v/>
      </c>
      <c r="BM48" s="5">
        <f>IF(A48="","",N(INDEX(Projects[Act Systems Eng],47)))</f>
        <v/>
      </c>
      <c r="BN48" s="5">
        <f>IF(A48="","",N(INDEX(Projects[Act Mechanical Eng],47)))</f>
        <v/>
      </c>
      <c r="BO48" s="5">
        <f>IF(A48="","",N(INDEX(Projects[Act Structural Engineering],47)))</f>
        <v/>
      </c>
      <c r="BP48" s="5">
        <f>IF(A48="","",N(INDEX(Projects[Act Site Sup],47)))</f>
        <v/>
      </c>
      <c r="BQ48" s="5">
        <f>IF(A48="","",N(INDEX(Projects[Act Controls Commissioning],47)))</f>
        <v/>
      </c>
      <c r="BR48" s="5">
        <f>IF(A48="","",N(INDEX(Projects[Act Systems Commissioning],47)))</f>
        <v/>
      </c>
      <c r="BS48" s="5">
        <f>IF(A48="","",N(INDEX(Projects[Act Service Commissioning],47)))</f>
        <v/>
      </c>
      <c r="BT48" s="5">
        <f>IF(A48="","",N(INDEX(Projects[Act Controls Eng],47)))</f>
        <v/>
      </c>
      <c r="BU48" s="5">
        <f>IF(A48="","",N(INDEX(Projects[Act Controls Purchase],47)))</f>
        <v/>
      </c>
      <c r="BV48" s="5">
        <f>IF(A48="","",N(INDEX(Projects[Act Software Eng],47)))</f>
        <v/>
      </c>
      <c r="BW48" s="5">
        <f>IF(A48="","",N(INDEX(Projects[Act 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  <c r="CE48" s="5">
        <f>INDEX(Projects[Act Data Status],47)&amp;""</f>
        <v/>
      </c>
      <c r="CF48" s="5">
        <f>IF(A48="","",N(INDEX(Projects[Est Mech Inst],47)))</f>
        <v/>
      </c>
      <c r="CG48" s="5">
        <f>IF(A48="","",N(INDEX(Projects[Est Elec Inst],47)))</f>
        <v/>
      </c>
      <c r="CH48" s="5">
        <f>IF(A48="","",N(INDEX(Projects[Est Project Management],47)))</f>
        <v/>
      </c>
      <c r="CI48" s="5">
        <f>IF(A48="","",N(INDEX(Projects[Est Systems Eng],47)))</f>
        <v/>
      </c>
      <c r="CJ48" s="5">
        <f>IF(A48="","",N(INDEX(Projects[Est Mechanical Eng],47)))</f>
        <v/>
      </c>
      <c r="CK48" s="5">
        <f>IF(A48="","",N(INDEX(Projects[Est Structural Engineering],47)))</f>
        <v/>
      </c>
      <c r="CL48" s="5">
        <f>IF(A48="","",N(INDEX(Projects[Est Site Sup],47)))</f>
        <v/>
      </c>
      <c r="CM48" s="5">
        <f>IF(A48="","",N(INDEX(Projects[Est Controls Commissioning],47)))</f>
        <v/>
      </c>
      <c r="CN48" s="5">
        <f>IF(A48="","",N(INDEX(Projects[Est Systems Commissioning],47)))</f>
        <v/>
      </c>
      <c r="CO48" s="5">
        <f>IF(A48="","",N(INDEX(Projects[Est Service Commissioning],47)))</f>
        <v/>
      </c>
      <c r="CP48" s="5">
        <f>IF(A48="","",N(INDEX(Projects[Est Controls Eng],47)))</f>
        <v/>
      </c>
      <c r="CQ48" s="5">
        <f>IF(A48="","",N(INDEX(Projects[Est Controls Purchase],47)))</f>
        <v/>
      </c>
      <c r="CR48" s="5">
        <f>IF(A48="","",N(INDEX(Projects[Est Software Eng],47)))</f>
        <v/>
      </c>
      <c r="CS48" s="5">
        <f>IF(A48="","",N(INDEX(Projects[Est Misc],47)))</f>
        <v/>
      </c>
      <c r="CT48" s="5">
        <f>IF(A48="","",SUM(CF48:CS48))</f>
        <v/>
      </c>
      <c r="CU48" s="5">
        <f>INDEX(Projects[Est Cost (M)],47)</f>
        <v/>
      </c>
      <c r="CV48" s="5">
        <f>INDEX(Projects[Act Cost (M)],47)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IF(A49="","",N(INDEX(Projects[Act Mech Inst],48)))</f>
        <v/>
      </c>
      <c r="BK49" s="5">
        <f>IF(A49="","",N(INDEX(Projects[Act Elec Inst],48)))</f>
        <v/>
      </c>
      <c r="BL49" s="5">
        <f>IF(A49="","",N(INDEX(Projects[Act Project Management],48)))</f>
        <v/>
      </c>
      <c r="BM49" s="5">
        <f>IF(A49="","",N(INDEX(Projects[Act Systems Eng],48)))</f>
        <v/>
      </c>
      <c r="BN49" s="5">
        <f>IF(A49="","",N(INDEX(Projects[Act Mechanical Eng],48)))</f>
        <v/>
      </c>
      <c r="BO49" s="5">
        <f>IF(A49="","",N(INDEX(Projects[Act Structural Engineering],48)))</f>
        <v/>
      </c>
      <c r="BP49" s="5">
        <f>IF(A49="","",N(INDEX(Projects[Act Site Sup],48)))</f>
        <v/>
      </c>
      <c r="BQ49" s="5">
        <f>IF(A49="","",N(INDEX(Projects[Act Controls Commissioning],48)))</f>
        <v/>
      </c>
      <c r="BR49" s="5">
        <f>IF(A49="","",N(INDEX(Projects[Act Systems Commissioning],48)))</f>
        <v/>
      </c>
      <c r="BS49" s="5">
        <f>IF(A49="","",N(INDEX(Projects[Act Service Commissioning],48)))</f>
        <v/>
      </c>
      <c r="BT49" s="5">
        <f>IF(A49="","",N(INDEX(Projects[Act Controls Eng],48)))</f>
        <v/>
      </c>
      <c r="BU49" s="5">
        <f>IF(A49="","",N(INDEX(Projects[Act Controls Purchase],48)))</f>
        <v/>
      </c>
      <c r="BV49" s="5">
        <f>IF(A49="","",N(INDEX(Projects[Act Software Eng],48)))</f>
        <v/>
      </c>
      <c r="BW49" s="5">
        <f>IF(A49="","",N(INDEX(Projects[Act 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  <c r="CE49" s="5">
        <f>INDEX(Projects[Act Data Status],48)&amp;""</f>
        <v/>
      </c>
      <c r="CF49" s="5">
        <f>IF(A49="","",N(INDEX(Projects[Est Mech Inst],48)))</f>
        <v/>
      </c>
      <c r="CG49" s="5">
        <f>IF(A49="","",N(INDEX(Projects[Est Elec Inst],48)))</f>
        <v/>
      </c>
      <c r="CH49" s="5">
        <f>IF(A49="","",N(INDEX(Projects[Est Project Management],48)))</f>
        <v/>
      </c>
      <c r="CI49" s="5">
        <f>IF(A49="","",N(INDEX(Projects[Est Systems Eng],48)))</f>
        <v/>
      </c>
      <c r="CJ49" s="5">
        <f>IF(A49="","",N(INDEX(Projects[Est Mechanical Eng],48)))</f>
        <v/>
      </c>
      <c r="CK49" s="5">
        <f>IF(A49="","",N(INDEX(Projects[Est Structural Engineering],48)))</f>
        <v/>
      </c>
      <c r="CL49" s="5">
        <f>IF(A49="","",N(INDEX(Projects[Est Site Sup],48)))</f>
        <v/>
      </c>
      <c r="CM49" s="5">
        <f>IF(A49="","",N(INDEX(Projects[Est Controls Commissioning],48)))</f>
        <v/>
      </c>
      <c r="CN49" s="5">
        <f>IF(A49="","",N(INDEX(Projects[Est Systems Commissioning],48)))</f>
        <v/>
      </c>
      <c r="CO49" s="5">
        <f>IF(A49="","",N(INDEX(Projects[Est Service Commissioning],48)))</f>
        <v/>
      </c>
      <c r="CP49" s="5">
        <f>IF(A49="","",N(INDEX(Projects[Est Controls Eng],48)))</f>
        <v/>
      </c>
      <c r="CQ49" s="5">
        <f>IF(A49="","",N(INDEX(Projects[Est Controls Purchase],48)))</f>
        <v/>
      </c>
      <c r="CR49" s="5">
        <f>IF(A49="","",N(INDEX(Projects[Est Software Eng],48)))</f>
        <v/>
      </c>
      <c r="CS49" s="5">
        <f>IF(A49="","",N(INDEX(Projects[Est Misc],48)))</f>
        <v/>
      </c>
      <c r="CT49" s="5">
        <f>IF(A49="","",SUM(CF49:CS49))</f>
        <v/>
      </c>
      <c r="CU49" s="5">
        <f>INDEX(Projects[Est Cost (M)],48)</f>
        <v/>
      </c>
      <c r="CV49" s="5">
        <f>INDEX(Projects[Act Cost (M)],48)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IF(A50="","",N(INDEX(Projects[Act Mech Inst],49)))</f>
        <v/>
      </c>
      <c r="BK50" s="5">
        <f>IF(A50="","",N(INDEX(Projects[Act Elec Inst],49)))</f>
        <v/>
      </c>
      <c r="BL50" s="5">
        <f>IF(A50="","",N(INDEX(Projects[Act Project Management],49)))</f>
        <v/>
      </c>
      <c r="BM50" s="5">
        <f>IF(A50="","",N(INDEX(Projects[Act Systems Eng],49)))</f>
        <v/>
      </c>
      <c r="BN50" s="5">
        <f>IF(A50="","",N(INDEX(Projects[Act Mechanical Eng],49)))</f>
        <v/>
      </c>
      <c r="BO50" s="5">
        <f>IF(A50="","",N(INDEX(Projects[Act Structural Engineering],49)))</f>
        <v/>
      </c>
      <c r="BP50" s="5">
        <f>IF(A50="","",N(INDEX(Projects[Act Site Sup],49)))</f>
        <v/>
      </c>
      <c r="BQ50" s="5">
        <f>IF(A50="","",N(INDEX(Projects[Act Controls Commissioning],49)))</f>
        <v/>
      </c>
      <c r="BR50" s="5">
        <f>IF(A50="","",N(INDEX(Projects[Act Systems Commissioning],49)))</f>
        <v/>
      </c>
      <c r="BS50" s="5">
        <f>IF(A50="","",N(INDEX(Projects[Act Service Commissioning],49)))</f>
        <v/>
      </c>
      <c r="BT50" s="5">
        <f>IF(A50="","",N(INDEX(Projects[Act Controls Eng],49)))</f>
        <v/>
      </c>
      <c r="BU50" s="5">
        <f>IF(A50="","",N(INDEX(Projects[Act Controls Purchase],49)))</f>
        <v/>
      </c>
      <c r="BV50" s="5">
        <f>IF(A50="","",N(INDEX(Projects[Act Software Eng],49)))</f>
        <v/>
      </c>
      <c r="BW50" s="5">
        <f>IF(A50="","",N(INDEX(Projects[Act 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  <c r="CE50" s="5">
        <f>INDEX(Projects[Act Data Status],49)&amp;""</f>
        <v/>
      </c>
      <c r="CF50" s="5">
        <f>IF(A50="","",N(INDEX(Projects[Est Mech Inst],49)))</f>
        <v/>
      </c>
      <c r="CG50" s="5">
        <f>IF(A50="","",N(INDEX(Projects[Est Elec Inst],49)))</f>
        <v/>
      </c>
      <c r="CH50" s="5">
        <f>IF(A50="","",N(INDEX(Projects[Est Project Management],49)))</f>
        <v/>
      </c>
      <c r="CI50" s="5">
        <f>IF(A50="","",N(INDEX(Projects[Est Systems Eng],49)))</f>
        <v/>
      </c>
      <c r="CJ50" s="5">
        <f>IF(A50="","",N(INDEX(Projects[Est Mechanical Eng],49)))</f>
        <v/>
      </c>
      <c r="CK50" s="5">
        <f>IF(A50="","",N(INDEX(Projects[Est Structural Engineering],49)))</f>
        <v/>
      </c>
      <c r="CL50" s="5">
        <f>IF(A50="","",N(INDEX(Projects[Est Site Sup],49)))</f>
        <v/>
      </c>
      <c r="CM50" s="5">
        <f>IF(A50="","",N(INDEX(Projects[Est Controls Commissioning],49)))</f>
        <v/>
      </c>
      <c r="CN50" s="5">
        <f>IF(A50="","",N(INDEX(Projects[Est Systems Commissioning],49)))</f>
        <v/>
      </c>
      <c r="CO50" s="5">
        <f>IF(A50="","",N(INDEX(Projects[Est Service Commissioning],49)))</f>
        <v/>
      </c>
      <c r="CP50" s="5">
        <f>IF(A50="","",N(INDEX(Projects[Est Controls Eng],49)))</f>
        <v/>
      </c>
      <c r="CQ50" s="5">
        <f>IF(A50="","",N(INDEX(Projects[Est Controls Purchase],49)))</f>
        <v/>
      </c>
      <c r="CR50" s="5">
        <f>IF(A50="","",N(INDEX(Projects[Est Software Eng],49)))</f>
        <v/>
      </c>
      <c r="CS50" s="5">
        <f>IF(A50="","",N(INDEX(Projects[Est Misc],49)))</f>
        <v/>
      </c>
      <c r="CT50" s="5">
        <f>IF(A50="","",SUM(CF50:CS50))</f>
        <v/>
      </c>
      <c r="CU50" s="5">
        <f>INDEX(Projects[Est Cost (M)],49)</f>
        <v/>
      </c>
      <c r="CV50" s="5">
        <f>INDEX(Projects[Act Cost (M)],49)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IF(A51="","",N(INDEX(Projects[Act Mech Inst],50)))</f>
        <v/>
      </c>
      <c r="BK51" s="5">
        <f>IF(A51="","",N(INDEX(Projects[Act Elec Inst],50)))</f>
        <v/>
      </c>
      <c r="BL51" s="5">
        <f>IF(A51="","",N(INDEX(Projects[Act Project Management],50)))</f>
        <v/>
      </c>
      <c r="BM51" s="5">
        <f>IF(A51="","",N(INDEX(Projects[Act Systems Eng],50)))</f>
        <v/>
      </c>
      <c r="BN51" s="5">
        <f>IF(A51="","",N(INDEX(Projects[Act Mechanical Eng],50)))</f>
        <v/>
      </c>
      <c r="BO51" s="5">
        <f>IF(A51="","",N(INDEX(Projects[Act Structural Engineering],50)))</f>
        <v/>
      </c>
      <c r="BP51" s="5">
        <f>IF(A51="","",N(INDEX(Projects[Act Site Sup],50)))</f>
        <v/>
      </c>
      <c r="BQ51" s="5">
        <f>IF(A51="","",N(INDEX(Projects[Act Controls Commissioning],50)))</f>
        <v/>
      </c>
      <c r="BR51" s="5">
        <f>IF(A51="","",N(INDEX(Projects[Act Systems Commissioning],50)))</f>
        <v/>
      </c>
      <c r="BS51" s="5">
        <f>IF(A51="","",N(INDEX(Projects[Act Service Commissioning],50)))</f>
        <v/>
      </c>
      <c r="BT51" s="5">
        <f>IF(A51="","",N(INDEX(Projects[Act Controls Eng],50)))</f>
        <v/>
      </c>
      <c r="BU51" s="5">
        <f>IF(A51="","",N(INDEX(Projects[Act Controls Purchase],50)))</f>
        <v/>
      </c>
      <c r="BV51" s="5">
        <f>IF(A51="","",N(INDEX(Projects[Act Software Eng],50)))</f>
        <v/>
      </c>
      <c r="BW51" s="5">
        <f>IF(A51="","",N(INDEX(Projects[Act 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  <c r="CE51" s="5">
        <f>INDEX(Projects[Act Data Status],50)&amp;""</f>
        <v/>
      </c>
      <c r="CF51" s="5">
        <f>IF(A51="","",N(INDEX(Projects[Est Mech Inst],50)))</f>
        <v/>
      </c>
      <c r="CG51" s="5">
        <f>IF(A51="","",N(INDEX(Projects[Est Elec Inst],50)))</f>
        <v/>
      </c>
      <c r="CH51" s="5">
        <f>IF(A51="","",N(INDEX(Projects[Est Project Management],50)))</f>
        <v/>
      </c>
      <c r="CI51" s="5">
        <f>IF(A51="","",N(INDEX(Projects[Est Systems Eng],50)))</f>
        <v/>
      </c>
      <c r="CJ51" s="5">
        <f>IF(A51="","",N(INDEX(Projects[Est Mechanical Eng],50)))</f>
        <v/>
      </c>
      <c r="CK51" s="5">
        <f>IF(A51="","",N(INDEX(Projects[Est Structural Engineering],50)))</f>
        <v/>
      </c>
      <c r="CL51" s="5">
        <f>IF(A51="","",N(INDEX(Projects[Est Site Sup],50)))</f>
        <v/>
      </c>
      <c r="CM51" s="5">
        <f>IF(A51="","",N(INDEX(Projects[Est Controls Commissioning],50)))</f>
        <v/>
      </c>
      <c r="CN51" s="5">
        <f>IF(A51="","",N(INDEX(Projects[Est Systems Commissioning],50)))</f>
        <v/>
      </c>
      <c r="CO51" s="5">
        <f>IF(A51="","",N(INDEX(Projects[Est Service Commissioning],50)))</f>
        <v/>
      </c>
      <c r="CP51" s="5">
        <f>IF(A51="","",N(INDEX(Projects[Est Controls Eng],50)))</f>
        <v/>
      </c>
      <c r="CQ51" s="5">
        <f>IF(A51="","",N(INDEX(Projects[Est Controls Purchase],50)))</f>
        <v/>
      </c>
      <c r="CR51" s="5">
        <f>IF(A51="","",N(INDEX(Projects[Est Software Eng],50)))</f>
        <v/>
      </c>
      <c r="CS51" s="5">
        <f>IF(A51="","",N(INDEX(Projects[Est Misc],50)))</f>
        <v/>
      </c>
      <c r="CT51" s="5">
        <f>IF(A51="","",SUM(CF51:CS51))</f>
        <v/>
      </c>
      <c r="CU51" s="5">
        <f>INDEX(Projects[Est Cost (M)],50)</f>
        <v/>
      </c>
      <c r="CV51" s="5">
        <f>INDEX(Projects[Act Cost (M)],50)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IF(A52="","",N(INDEX(Projects[Act Mech Inst],51)))</f>
        <v/>
      </c>
      <c r="BK52" s="5">
        <f>IF(A52="","",N(INDEX(Projects[Act Elec Inst],51)))</f>
        <v/>
      </c>
      <c r="BL52" s="5">
        <f>IF(A52="","",N(INDEX(Projects[Act Project Management],51)))</f>
        <v/>
      </c>
      <c r="BM52" s="5">
        <f>IF(A52="","",N(INDEX(Projects[Act Systems Eng],51)))</f>
        <v/>
      </c>
      <c r="BN52" s="5">
        <f>IF(A52="","",N(INDEX(Projects[Act Mechanical Eng],51)))</f>
        <v/>
      </c>
      <c r="BO52" s="5">
        <f>IF(A52="","",N(INDEX(Projects[Act Structural Engineering],51)))</f>
        <v/>
      </c>
      <c r="BP52" s="5">
        <f>IF(A52="","",N(INDEX(Projects[Act Site Sup],51)))</f>
        <v/>
      </c>
      <c r="BQ52" s="5">
        <f>IF(A52="","",N(INDEX(Projects[Act Controls Commissioning],51)))</f>
        <v/>
      </c>
      <c r="BR52" s="5">
        <f>IF(A52="","",N(INDEX(Projects[Act Systems Commissioning],51)))</f>
        <v/>
      </c>
      <c r="BS52" s="5">
        <f>IF(A52="","",N(INDEX(Projects[Act Service Commissioning],51)))</f>
        <v/>
      </c>
      <c r="BT52" s="5">
        <f>IF(A52="","",N(INDEX(Projects[Act Controls Eng],51)))</f>
        <v/>
      </c>
      <c r="BU52" s="5">
        <f>IF(A52="","",N(INDEX(Projects[Act Controls Purchase],51)))</f>
        <v/>
      </c>
      <c r="BV52" s="5">
        <f>IF(A52="","",N(INDEX(Projects[Act Software Eng],51)))</f>
        <v/>
      </c>
      <c r="BW52" s="5">
        <f>IF(A52="","",N(INDEX(Projects[Act 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  <c r="CE52" s="5">
        <f>INDEX(Projects[Act Data Status],51)&amp;""</f>
        <v/>
      </c>
      <c r="CF52" s="5">
        <f>IF(A52="","",N(INDEX(Projects[Est Mech Inst],51)))</f>
        <v/>
      </c>
      <c r="CG52" s="5">
        <f>IF(A52="","",N(INDEX(Projects[Est Elec Inst],51)))</f>
        <v/>
      </c>
      <c r="CH52" s="5">
        <f>IF(A52="","",N(INDEX(Projects[Est Project Management],51)))</f>
        <v/>
      </c>
      <c r="CI52" s="5">
        <f>IF(A52="","",N(INDEX(Projects[Est Systems Eng],51)))</f>
        <v/>
      </c>
      <c r="CJ52" s="5">
        <f>IF(A52="","",N(INDEX(Projects[Est Mechanical Eng],51)))</f>
        <v/>
      </c>
      <c r="CK52" s="5">
        <f>IF(A52="","",N(INDEX(Projects[Est Structural Engineering],51)))</f>
        <v/>
      </c>
      <c r="CL52" s="5">
        <f>IF(A52="","",N(INDEX(Projects[Est Site Sup],51)))</f>
        <v/>
      </c>
      <c r="CM52" s="5">
        <f>IF(A52="","",N(INDEX(Projects[Est Controls Commissioning],51)))</f>
        <v/>
      </c>
      <c r="CN52" s="5">
        <f>IF(A52="","",N(INDEX(Projects[Est Systems Commissioning],51)))</f>
        <v/>
      </c>
      <c r="CO52" s="5">
        <f>IF(A52="","",N(INDEX(Projects[Est Service Commissioning],51)))</f>
        <v/>
      </c>
      <c r="CP52" s="5">
        <f>IF(A52="","",N(INDEX(Projects[Est Controls Eng],51)))</f>
        <v/>
      </c>
      <c r="CQ52" s="5">
        <f>IF(A52="","",N(INDEX(Projects[Est Controls Purchase],51)))</f>
        <v/>
      </c>
      <c r="CR52" s="5">
        <f>IF(A52="","",N(INDEX(Projects[Est Software Eng],51)))</f>
        <v/>
      </c>
      <c r="CS52" s="5">
        <f>IF(A52="","",N(INDEX(Projects[Est Misc],51)))</f>
        <v/>
      </c>
      <c r="CT52" s="5">
        <f>IF(A52="","",SUM(CF52:CS52))</f>
        <v/>
      </c>
      <c r="CU52" s="5">
        <f>INDEX(Projects[Est Cost (M)],51)</f>
        <v/>
      </c>
      <c r="CV52" s="5">
        <f>INDEX(Projects[Act Cost (M)],51)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IF(A53="","",N(INDEX(Projects[Act Mech Inst],52)))</f>
        <v/>
      </c>
      <c r="BK53" s="5">
        <f>IF(A53="","",N(INDEX(Projects[Act Elec Inst],52)))</f>
        <v/>
      </c>
      <c r="BL53" s="5">
        <f>IF(A53="","",N(INDEX(Projects[Act Project Management],52)))</f>
        <v/>
      </c>
      <c r="BM53" s="5">
        <f>IF(A53="","",N(INDEX(Projects[Act Systems Eng],52)))</f>
        <v/>
      </c>
      <c r="BN53" s="5">
        <f>IF(A53="","",N(INDEX(Projects[Act Mechanical Eng],52)))</f>
        <v/>
      </c>
      <c r="BO53" s="5">
        <f>IF(A53="","",N(INDEX(Projects[Act Structural Engineering],52)))</f>
        <v/>
      </c>
      <c r="BP53" s="5">
        <f>IF(A53="","",N(INDEX(Projects[Act Site Sup],52)))</f>
        <v/>
      </c>
      <c r="BQ53" s="5">
        <f>IF(A53="","",N(INDEX(Projects[Act Controls Commissioning],52)))</f>
        <v/>
      </c>
      <c r="BR53" s="5">
        <f>IF(A53="","",N(INDEX(Projects[Act Systems Commissioning],52)))</f>
        <v/>
      </c>
      <c r="BS53" s="5">
        <f>IF(A53="","",N(INDEX(Projects[Act Service Commissioning],52)))</f>
        <v/>
      </c>
      <c r="BT53" s="5">
        <f>IF(A53="","",N(INDEX(Projects[Act Controls Eng],52)))</f>
        <v/>
      </c>
      <c r="BU53" s="5">
        <f>IF(A53="","",N(INDEX(Projects[Act Controls Purchase],52)))</f>
        <v/>
      </c>
      <c r="BV53" s="5">
        <f>IF(A53="","",N(INDEX(Projects[Act Software Eng],52)))</f>
        <v/>
      </c>
      <c r="BW53" s="5">
        <f>IF(A53="","",N(INDEX(Projects[Act 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  <c r="CE53" s="5">
        <f>INDEX(Projects[Act Data Status],52)&amp;""</f>
        <v/>
      </c>
      <c r="CF53" s="5">
        <f>IF(A53="","",N(INDEX(Projects[Est Mech Inst],52)))</f>
        <v/>
      </c>
      <c r="CG53" s="5">
        <f>IF(A53="","",N(INDEX(Projects[Est Elec Inst],52)))</f>
        <v/>
      </c>
      <c r="CH53" s="5">
        <f>IF(A53="","",N(INDEX(Projects[Est Project Management],52)))</f>
        <v/>
      </c>
      <c r="CI53" s="5">
        <f>IF(A53="","",N(INDEX(Projects[Est Systems Eng],52)))</f>
        <v/>
      </c>
      <c r="CJ53" s="5">
        <f>IF(A53="","",N(INDEX(Projects[Est Mechanical Eng],52)))</f>
        <v/>
      </c>
      <c r="CK53" s="5">
        <f>IF(A53="","",N(INDEX(Projects[Est Structural Engineering],52)))</f>
        <v/>
      </c>
      <c r="CL53" s="5">
        <f>IF(A53="","",N(INDEX(Projects[Est Site Sup],52)))</f>
        <v/>
      </c>
      <c r="CM53" s="5">
        <f>IF(A53="","",N(INDEX(Projects[Est Controls Commissioning],52)))</f>
        <v/>
      </c>
      <c r="CN53" s="5">
        <f>IF(A53="","",N(INDEX(Projects[Est Systems Commissioning],52)))</f>
        <v/>
      </c>
      <c r="CO53" s="5">
        <f>IF(A53="","",N(INDEX(Projects[Est Service Commissioning],52)))</f>
        <v/>
      </c>
      <c r="CP53" s="5">
        <f>IF(A53="","",N(INDEX(Projects[Est Controls Eng],52)))</f>
        <v/>
      </c>
      <c r="CQ53" s="5">
        <f>IF(A53="","",N(INDEX(Projects[Est Controls Purchase],52)))</f>
        <v/>
      </c>
      <c r="CR53" s="5">
        <f>IF(A53="","",N(INDEX(Projects[Est Software Eng],52)))</f>
        <v/>
      </c>
      <c r="CS53" s="5">
        <f>IF(A53="","",N(INDEX(Projects[Est Misc],52)))</f>
        <v/>
      </c>
      <c r="CT53" s="5">
        <f>IF(A53="","",SUM(CF53:CS53))</f>
        <v/>
      </c>
      <c r="CU53" s="5">
        <f>INDEX(Projects[Est Cost (M)],52)</f>
        <v/>
      </c>
      <c r="CV53" s="5">
        <f>INDEX(Projects[Act Cost (M)],52)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IF(A54="","",N(INDEX(Projects[Act Mech Inst],53)))</f>
        <v/>
      </c>
      <c r="BK54" s="5">
        <f>IF(A54="","",N(INDEX(Projects[Act Elec Inst],53)))</f>
        <v/>
      </c>
      <c r="BL54" s="5">
        <f>IF(A54="","",N(INDEX(Projects[Act Project Management],53)))</f>
        <v/>
      </c>
      <c r="BM54" s="5">
        <f>IF(A54="","",N(INDEX(Projects[Act Systems Eng],53)))</f>
        <v/>
      </c>
      <c r="BN54" s="5">
        <f>IF(A54="","",N(INDEX(Projects[Act Mechanical Eng],53)))</f>
        <v/>
      </c>
      <c r="BO54" s="5">
        <f>IF(A54="","",N(INDEX(Projects[Act Structural Engineering],53)))</f>
        <v/>
      </c>
      <c r="BP54" s="5">
        <f>IF(A54="","",N(INDEX(Projects[Act Site Sup],53)))</f>
        <v/>
      </c>
      <c r="BQ54" s="5">
        <f>IF(A54="","",N(INDEX(Projects[Act Controls Commissioning],53)))</f>
        <v/>
      </c>
      <c r="BR54" s="5">
        <f>IF(A54="","",N(INDEX(Projects[Act Systems Commissioning],53)))</f>
        <v/>
      </c>
      <c r="BS54" s="5">
        <f>IF(A54="","",N(INDEX(Projects[Act Service Commissioning],53)))</f>
        <v/>
      </c>
      <c r="BT54" s="5">
        <f>IF(A54="","",N(INDEX(Projects[Act Controls Eng],53)))</f>
        <v/>
      </c>
      <c r="BU54" s="5">
        <f>IF(A54="","",N(INDEX(Projects[Act Controls Purchase],53)))</f>
        <v/>
      </c>
      <c r="BV54" s="5">
        <f>IF(A54="","",N(INDEX(Projects[Act Software Eng],53)))</f>
        <v/>
      </c>
      <c r="BW54" s="5">
        <f>IF(A54="","",N(INDEX(Projects[Act 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  <c r="CE54" s="5">
        <f>INDEX(Projects[Act Data Status],53)&amp;""</f>
        <v/>
      </c>
      <c r="CF54" s="5">
        <f>IF(A54="","",N(INDEX(Projects[Est Mech Inst],53)))</f>
        <v/>
      </c>
      <c r="CG54" s="5">
        <f>IF(A54="","",N(INDEX(Projects[Est Elec Inst],53)))</f>
        <v/>
      </c>
      <c r="CH54" s="5">
        <f>IF(A54="","",N(INDEX(Projects[Est Project Management],53)))</f>
        <v/>
      </c>
      <c r="CI54" s="5">
        <f>IF(A54="","",N(INDEX(Projects[Est Systems Eng],53)))</f>
        <v/>
      </c>
      <c r="CJ54" s="5">
        <f>IF(A54="","",N(INDEX(Projects[Est Mechanical Eng],53)))</f>
        <v/>
      </c>
      <c r="CK54" s="5">
        <f>IF(A54="","",N(INDEX(Projects[Est Structural Engineering],53)))</f>
        <v/>
      </c>
      <c r="CL54" s="5">
        <f>IF(A54="","",N(INDEX(Projects[Est Site Sup],53)))</f>
        <v/>
      </c>
      <c r="CM54" s="5">
        <f>IF(A54="","",N(INDEX(Projects[Est Controls Commissioning],53)))</f>
        <v/>
      </c>
      <c r="CN54" s="5">
        <f>IF(A54="","",N(INDEX(Projects[Est Systems Commissioning],53)))</f>
        <v/>
      </c>
      <c r="CO54" s="5">
        <f>IF(A54="","",N(INDEX(Projects[Est Service Commissioning],53)))</f>
        <v/>
      </c>
      <c r="CP54" s="5">
        <f>IF(A54="","",N(INDEX(Projects[Est Controls Eng],53)))</f>
        <v/>
      </c>
      <c r="CQ54" s="5">
        <f>IF(A54="","",N(INDEX(Projects[Est Controls Purchase],53)))</f>
        <v/>
      </c>
      <c r="CR54" s="5">
        <f>IF(A54="","",N(INDEX(Projects[Est Software Eng],53)))</f>
        <v/>
      </c>
      <c r="CS54" s="5">
        <f>IF(A54="","",N(INDEX(Projects[Est Misc],53)))</f>
        <v/>
      </c>
      <c r="CT54" s="5">
        <f>IF(A54="","",SUM(CF54:CS54))</f>
        <v/>
      </c>
      <c r="CU54" s="5">
        <f>INDEX(Projects[Est Cost (M)],53)</f>
        <v/>
      </c>
      <c r="CV54" s="5">
        <f>INDEX(Projects[Act Cost (M)],53)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IF(A55="","",N(INDEX(Projects[Act Mech Inst],54)))</f>
        <v/>
      </c>
      <c r="BK55" s="5">
        <f>IF(A55="","",N(INDEX(Projects[Act Elec Inst],54)))</f>
        <v/>
      </c>
      <c r="BL55" s="5">
        <f>IF(A55="","",N(INDEX(Projects[Act Project Management],54)))</f>
        <v/>
      </c>
      <c r="BM55" s="5">
        <f>IF(A55="","",N(INDEX(Projects[Act Systems Eng],54)))</f>
        <v/>
      </c>
      <c r="BN55" s="5">
        <f>IF(A55="","",N(INDEX(Projects[Act Mechanical Eng],54)))</f>
        <v/>
      </c>
      <c r="BO55" s="5">
        <f>IF(A55="","",N(INDEX(Projects[Act Structural Engineering],54)))</f>
        <v/>
      </c>
      <c r="BP55" s="5">
        <f>IF(A55="","",N(INDEX(Projects[Act Site Sup],54)))</f>
        <v/>
      </c>
      <c r="BQ55" s="5">
        <f>IF(A55="","",N(INDEX(Projects[Act Controls Commissioning],54)))</f>
        <v/>
      </c>
      <c r="BR55" s="5">
        <f>IF(A55="","",N(INDEX(Projects[Act Systems Commissioning],54)))</f>
        <v/>
      </c>
      <c r="BS55" s="5">
        <f>IF(A55="","",N(INDEX(Projects[Act Service Commissioning],54)))</f>
        <v/>
      </c>
      <c r="BT55" s="5">
        <f>IF(A55="","",N(INDEX(Projects[Act Controls Eng],54)))</f>
        <v/>
      </c>
      <c r="BU55" s="5">
        <f>IF(A55="","",N(INDEX(Projects[Act Controls Purchase],54)))</f>
        <v/>
      </c>
      <c r="BV55" s="5">
        <f>IF(A55="","",N(INDEX(Projects[Act Software Eng],54)))</f>
        <v/>
      </c>
      <c r="BW55" s="5">
        <f>IF(A55="","",N(INDEX(Projects[Act 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  <c r="CE55" s="5">
        <f>INDEX(Projects[Act Data Status],54)&amp;""</f>
        <v/>
      </c>
      <c r="CF55" s="5">
        <f>IF(A55="","",N(INDEX(Projects[Est Mech Inst],54)))</f>
        <v/>
      </c>
      <c r="CG55" s="5">
        <f>IF(A55="","",N(INDEX(Projects[Est Elec Inst],54)))</f>
        <v/>
      </c>
      <c r="CH55" s="5">
        <f>IF(A55="","",N(INDEX(Projects[Est Project Management],54)))</f>
        <v/>
      </c>
      <c r="CI55" s="5">
        <f>IF(A55="","",N(INDEX(Projects[Est Systems Eng],54)))</f>
        <v/>
      </c>
      <c r="CJ55" s="5">
        <f>IF(A55="","",N(INDEX(Projects[Est Mechanical Eng],54)))</f>
        <v/>
      </c>
      <c r="CK55" s="5">
        <f>IF(A55="","",N(INDEX(Projects[Est Structural Engineering],54)))</f>
        <v/>
      </c>
      <c r="CL55" s="5">
        <f>IF(A55="","",N(INDEX(Projects[Est Site Sup],54)))</f>
        <v/>
      </c>
      <c r="CM55" s="5">
        <f>IF(A55="","",N(INDEX(Projects[Est Controls Commissioning],54)))</f>
        <v/>
      </c>
      <c r="CN55" s="5">
        <f>IF(A55="","",N(INDEX(Projects[Est Systems Commissioning],54)))</f>
        <v/>
      </c>
      <c r="CO55" s="5">
        <f>IF(A55="","",N(INDEX(Projects[Est Service Commissioning],54)))</f>
        <v/>
      </c>
      <c r="CP55" s="5">
        <f>IF(A55="","",N(INDEX(Projects[Est Controls Eng],54)))</f>
        <v/>
      </c>
      <c r="CQ55" s="5">
        <f>IF(A55="","",N(INDEX(Projects[Est Controls Purchase],54)))</f>
        <v/>
      </c>
      <c r="CR55" s="5">
        <f>IF(A55="","",N(INDEX(Projects[Est Software Eng],54)))</f>
        <v/>
      </c>
      <c r="CS55" s="5">
        <f>IF(A55="","",N(INDEX(Projects[Est Misc],54)))</f>
        <v/>
      </c>
      <c r="CT55" s="5">
        <f>IF(A55="","",SUM(CF55:CS55))</f>
        <v/>
      </c>
      <c r="CU55" s="5">
        <f>INDEX(Projects[Est Cost (M)],54)</f>
        <v/>
      </c>
      <c r="CV55" s="5">
        <f>INDEX(Projects[Act Cost (M)],54)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IF(A56="","",N(INDEX(Projects[Act Mech Inst],55)))</f>
        <v/>
      </c>
      <c r="BK56" s="5">
        <f>IF(A56="","",N(INDEX(Projects[Act Elec Inst],55)))</f>
        <v/>
      </c>
      <c r="BL56" s="5">
        <f>IF(A56="","",N(INDEX(Projects[Act Project Management],55)))</f>
        <v/>
      </c>
      <c r="BM56" s="5">
        <f>IF(A56="","",N(INDEX(Projects[Act Systems Eng],55)))</f>
        <v/>
      </c>
      <c r="BN56" s="5">
        <f>IF(A56="","",N(INDEX(Projects[Act Mechanical Eng],55)))</f>
        <v/>
      </c>
      <c r="BO56" s="5">
        <f>IF(A56="","",N(INDEX(Projects[Act Structural Engineering],55)))</f>
        <v/>
      </c>
      <c r="BP56" s="5">
        <f>IF(A56="","",N(INDEX(Projects[Act Site Sup],55)))</f>
        <v/>
      </c>
      <c r="BQ56" s="5">
        <f>IF(A56="","",N(INDEX(Projects[Act Controls Commissioning],55)))</f>
        <v/>
      </c>
      <c r="BR56" s="5">
        <f>IF(A56="","",N(INDEX(Projects[Act Systems Commissioning],55)))</f>
        <v/>
      </c>
      <c r="BS56" s="5">
        <f>IF(A56="","",N(INDEX(Projects[Act Service Commissioning],55)))</f>
        <v/>
      </c>
      <c r="BT56" s="5">
        <f>IF(A56="","",N(INDEX(Projects[Act Controls Eng],55)))</f>
        <v/>
      </c>
      <c r="BU56" s="5">
        <f>IF(A56="","",N(INDEX(Projects[Act Controls Purchase],55)))</f>
        <v/>
      </c>
      <c r="BV56" s="5">
        <f>IF(A56="","",N(INDEX(Projects[Act Software Eng],55)))</f>
        <v/>
      </c>
      <c r="BW56" s="5">
        <f>IF(A56="","",N(INDEX(Projects[Act 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  <c r="CE56" s="5">
        <f>INDEX(Projects[Act Data Status],55)&amp;""</f>
        <v/>
      </c>
      <c r="CF56" s="5">
        <f>IF(A56="","",N(INDEX(Projects[Est Mech Inst],55)))</f>
        <v/>
      </c>
      <c r="CG56" s="5">
        <f>IF(A56="","",N(INDEX(Projects[Est Elec Inst],55)))</f>
        <v/>
      </c>
      <c r="CH56" s="5">
        <f>IF(A56="","",N(INDEX(Projects[Est Project Management],55)))</f>
        <v/>
      </c>
      <c r="CI56" s="5">
        <f>IF(A56="","",N(INDEX(Projects[Est Systems Eng],55)))</f>
        <v/>
      </c>
      <c r="CJ56" s="5">
        <f>IF(A56="","",N(INDEX(Projects[Est Mechanical Eng],55)))</f>
        <v/>
      </c>
      <c r="CK56" s="5">
        <f>IF(A56="","",N(INDEX(Projects[Est Structural Engineering],55)))</f>
        <v/>
      </c>
      <c r="CL56" s="5">
        <f>IF(A56="","",N(INDEX(Projects[Est Site Sup],55)))</f>
        <v/>
      </c>
      <c r="CM56" s="5">
        <f>IF(A56="","",N(INDEX(Projects[Est Controls Commissioning],55)))</f>
        <v/>
      </c>
      <c r="CN56" s="5">
        <f>IF(A56="","",N(INDEX(Projects[Est Systems Commissioning],55)))</f>
        <v/>
      </c>
      <c r="CO56" s="5">
        <f>IF(A56="","",N(INDEX(Projects[Est Service Commissioning],55)))</f>
        <v/>
      </c>
      <c r="CP56" s="5">
        <f>IF(A56="","",N(INDEX(Projects[Est Controls Eng],55)))</f>
        <v/>
      </c>
      <c r="CQ56" s="5">
        <f>IF(A56="","",N(INDEX(Projects[Est Controls Purchase],55)))</f>
        <v/>
      </c>
      <c r="CR56" s="5">
        <f>IF(A56="","",N(INDEX(Projects[Est Software Eng],55)))</f>
        <v/>
      </c>
      <c r="CS56" s="5">
        <f>IF(A56="","",N(INDEX(Projects[Est Misc],55)))</f>
        <v/>
      </c>
      <c r="CT56" s="5">
        <f>IF(A56="","",SUM(CF56:CS56))</f>
        <v/>
      </c>
      <c r="CU56" s="5">
        <f>INDEX(Projects[Est Cost (M)],55)</f>
        <v/>
      </c>
      <c r="CV56" s="5">
        <f>INDEX(Projects[Act Cost (M)],55)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IF(A57="","",N(INDEX(Projects[Act Mech Inst],56)))</f>
        <v/>
      </c>
      <c r="BK57" s="5">
        <f>IF(A57="","",N(INDEX(Projects[Act Elec Inst],56)))</f>
        <v/>
      </c>
      <c r="BL57" s="5">
        <f>IF(A57="","",N(INDEX(Projects[Act Project Management],56)))</f>
        <v/>
      </c>
      <c r="BM57" s="5">
        <f>IF(A57="","",N(INDEX(Projects[Act Systems Eng],56)))</f>
        <v/>
      </c>
      <c r="BN57" s="5">
        <f>IF(A57="","",N(INDEX(Projects[Act Mechanical Eng],56)))</f>
        <v/>
      </c>
      <c r="BO57" s="5">
        <f>IF(A57="","",N(INDEX(Projects[Act Structural Engineering],56)))</f>
        <v/>
      </c>
      <c r="BP57" s="5">
        <f>IF(A57="","",N(INDEX(Projects[Act Site Sup],56)))</f>
        <v/>
      </c>
      <c r="BQ57" s="5">
        <f>IF(A57="","",N(INDEX(Projects[Act Controls Commissioning],56)))</f>
        <v/>
      </c>
      <c r="BR57" s="5">
        <f>IF(A57="","",N(INDEX(Projects[Act Systems Commissioning],56)))</f>
        <v/>
      </c>
      <c r="BS57" s="5">
        <f>IF(A57="","",N(INDEX(Projects[Act Service Commissioning],56)))</f>
        <v/>
      </c>
      <c r="BT57" s="5">
        <f>IF(A57="","",N(INDEX(Projects[Act Controls Eng],56)))</f>
        <v/>
      </c>
      <c r="BU57" s="5">
        <f>IF(A57="","",N(INDEX(Projects[Act Controls Purchase],56)))</f>
        <v/>
      </c>
      <c r="BV57" s="5">
        <f>IF(A57="","",N(INDEX(Projects[Act Software Eng],56)))</f>
        <v/>
      </c>
      <c r="BW57" s="5">
        <f>IF(A57="","",N(INDEX(Projects[Act 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  <c r="CE57" s="5">
        <f>INDEX(Projects[Act Data Status],56)&amp;""</f>
        <v/>
      </c>
      <c r="CF57" s="5">
        <f>IF(A57="","",N(INDEX(Projects[Est Mech Inst],56)))</f>
        <v/>
      </c>
      <c r="CG57" s="5">
        <f>IF(A57="","",N(INDEX(Projects[Est Elec Inst],56)))</f>
        <v/>
      </c>
      <c r="CH57" s="5">
        <f>IF(A57="","",N(INDEX(Projects[Est Project Management],56)))</f>
        <v/>
      </c>
      <c r="CI57" s="5">
        <f>IF(A57="","",N(INDEX(Projects[Est Systems Eng],56)))</f>
        <v/>
      </c>
      <c r="CJ57" s="5">
        <f>IF(A57="","",N(INDEX(Projects[Est Mechanical Eng],56)))</f>
        <v/>
      </c>
      <c r="CK57" s="5">
        <f>IF(A57="","",N(INDEX(Projects[Est Structural Engineering],56)))</f>
        <v/>
      </c>
      <c r="CL57" s="5">
        <f>IF(A57="","",N(INDEX(Projects[Est Site Sup],56)))</f>
        <v/>
      </c>
      <c r="CM57" s="5">
        <f>IF(A57="","",N(INDEX(Projects[Est Controls Commissioning],56)))</f>
        <v/>
      </c>
      <c r="CN57" s="5">
        <f>IF(A57="","",N(INDEX(Projects[Est Systems Commissioning],56)))</f>
        <v/>
      </c>
      <c r="CO57" s="5">
        <f>IF(A57="","",N(INDEX(Projects[Est Service Commissioning],56)))</f>
        <v/>
      </c>
      <c r="CP57" s="5">
        <f>IF(A57="","",N(INDEX(Projects[Est Controls Eng],56)))</f>
        <v/>
      </c>
      <c r="CQ57" s="5">
        <f>IF(A57="","",N(INDEX(Projects[Est Controls Purchase],56)))</f>
        <v/>
      </c>
      <c r="CR57" s="5">
        <f>IF(A57="","",N(INDEX(Projects[Est Software Eng],56)))</f>
        <v/>
      </c>
      <c r="CS57" s="5">
        <f>IF(A57="","",N(INDEX(Projects[Est Misc],56)))</f>
        <v/>
      </c>
      <c r="CT57" s="5">
        <f>IF(A57="","",SUM(CF57:CS57))</f>
        <v/>
      </c>
      <c r="CU57" s="5">
        <f>INDEX(Projects[Est Cost (M)],56)</f>
        <v/>
      </c>
      <c r="CV57" s="5">
        <f>INDEX(Projects[Act Cost (M)],56)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IF(A58="","",N(INDEX(Projects[Act Mech Inst],57)))</f>
        <v/>
      </c>
      <c r="BK58" s="5">
        <f>IF(A58="","",N(INDEX(Projects[Act Elec Inst],57)))</f>
        <v/>
      </c>
      <c r="BL58" s="5">
        <f>IF(A58="","",N(INDEX(Projects[Act Project Management],57)))</f>
        <v/>
      </c>
      <c r="BM58" s="5">
        <f>IF(A58="","",N(INDEX(Projects[Act Systems Eng],57)))</f>
        <v/>
      </c>
      <c r="BN58" s="5">
        <f>IF(A58="","",N(INDEX(Projects[Act Mechanical Eng],57)))</f>
        <v/>
      </c>
      <c r="BO58" s="5">
        <f>IF(A58="","",N(INDEX(Projects[Act Structural Engineering],57)))</f>
        <v/>
      </c>
      <c r="BP58" s="5">
        <f>IF(A58="","",N(INDEX(Projects[Act Site Sup],57)))</f>
        <v/>
      </c>
      <c r="BQ58" s="5">
        <f>IF(A58="","",N(INDEX(Projects[Act Controls Commissioning],57)))</f>
        <v/>
      </c>
      <c r="BR58" s="5">
        <f>IF(A58="","",N(INDEX(Projects[Act Systems Commissioning],57)))</f>
        <v/>
      </c>
      <c r="BS58" s="5">
        <f>IF(A58="","",N(INDEX(Projects[Act Service Commissioning],57)))</f>
        <v/>
      </c>
      <c r="BT58" s="5">
        <f>IF(A58="","",N(INDEX(Projects[Act Controls Eng],57)))</f>
        <v/>
      </c>
      <c r="BU58" s="5">
        <f>IF(A58="","",N(INDEX(Projects[Act Controls Purchase],57)))</f>
        <v/>
      </c>
      <c r="BV58" s="5">
        <f>IF(A58="","",N(INDEX(Projects[Act Software Eng],57)))</f>
        <v/>
      </c>
      <c r="BW58" s="5">
        <f>IF(A58="","",N(INDEX(Projects[Act 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  <c r="CE58" s="5">
        <f>INDEX(Projects[Act Data Status],57)&amp;""</f>
        <v/>
      </c>
      <c r="CF58" s="5">
        <f>IF(A58="","",N(INDEX(Projects[Est Mech Inst],57)))</f>
        <v/>
      </c>
      <c r="CG58" s="5">
        <f>IF(A58="","",N(INDEX(Projects[Est Elec Inst],57)))</f>
        <v/>
      </c>
      <c r="CH58" s="5">
        <f>IF(A58="","",N(INDEX(Projects[Est Project Management],57)))</f>
        <v/>
      </c>
      <c r="CI58" s="5">
        <f>IF(A58="","",N(INDEX(Projects[Est Systems Eng],57)))</f>
        <v/>
      </c>
      <c r="CJ58" s="5">
        <f>IF(A58="","",N(INDEX(Projects[Est Mechanical Eng],57)))</f>
        <v/>
      </c>
      <c r="CK58" s="5">
        <f>IF(A58="","",N(INDEX(Projects[Est Structural Engineering],57)))</f>
        <v/>
      </c>
      <c r="CL58" s="5">
        <f>IF(A58="","",N(INDEX(Projects[Est Site Sup],57)))</f>
        <v/>
      </c>
      <c r="CM58" s="5">
        <f>IF(A58="","",N(INDEX(Projects[Est Controls Commissioning],57)))</f>
        <v/>
      </c>
      <c r="CN58" s="5">
        <f>IF(A58="","",N(INDEX(Projects[Est Systems Commissioning],57)))</f>
        <v/>
      </c>
      <c r="CO58" s="5">
        <f>IF(A58="","",N(INDEX(Projects[Est Service Commissioning],57)))</f>
        <v/>
      </c>
      <c r="CP58" s="5">
        <f>IF(A58="","",N(INDEX(Projects[Est Controls Eng],57)))</f>
        <v/>
      </c>
      <c r="CQ58" s="5">
        <f>IF(A58="","",N(INDEX(Projects[Est Controls Purchase],57)))</f>
        <v/>
      </c>
      <c r="CR58" s="5">
        <f>IF(A58="","",N(INDEX(Projects[Est Software Eng],57)))</f>
        <v/>
      </c>
      <c r="CS58" s="5">
        <f>IF(A58="","",N(INDEX(Projects[Est Misc],57)))</f>
        <v/>
      </c>
      <c r="CT58" s="5">
        <f>IF(A58="","",SUM(CF58:CS58))</f>
        <v/>
      </c>
      <c r="CU58" s="5">
        <f>INDEX(Projects[Est Cost (M)],57)</f>
        <v/>
      </c>
      <c r="CV58" s="5">
        <f>INDEX(Projects[Act Cost (M)],57)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IF(A59="","",N(INDEX(Projects[Act Mech Inst],58)))</f>
        <v/>
      </c>
      <c r="BK59" s="5">
        <f>IF(A59="","",N(INDEX(Projects[Act Elec Inst],58)))</f>
        <v/>
      </c>
      <c r="BL59" s="5">
        <f>IF(A59="","",N(INDEX(Projects[Act Project Management],58)))</f>
        <v/>
      </c>
      <c r="BM59" s="5">
        <f>IF(A59="","",N(INDEX(Projects[Act Systems Eng],58)))</f>
        <v/>
      </c>
      <c r="BN59" s="5">
        <f>IF(A59="","",N(INDEX(Projects[Act Mechanical Eng],58)))</f>
        <v/>
      </c>
      <c r="BO59" s="5">
        <f>IF(A59="","",N(INDEX(Projects[Act Structural Engineering],58)))</f>
        <v/>
      </c>
      <c r="BP59" s="5">
        <f>IF(A59="","",N(INDEX(Projects[Act Site Sup],58)))</f>
        <v/>
      </c>
      <c r="BQ59" s="5">
        <f>IF(A59="","",N(INDEX(Projects[Act Controls Commissioning],58)))</f>
        <v/>
      </c>
      <c r="BR59" s="5">
        <f>IF(A59="","",N(INDEX(Projects[Act Systems Commissioning],58)))</f>
        <v/>
      </c>
      <c r="BS59" s="5">
        <f>IF(A59="","",N(INDEX(Projects[Act Service Commissioning],58)))</f>
        <v/>
      </c>
      <c r="BT59" s="5">
        <f>IF(A59="","",N(INDEX(Projects[Act Controls Eng],58)))</f>
        <v/>
      </c>
      <c r="BU59" s="5">
        <f>IF(A59="","",N(INDEX(Projects[Act Controls Purchase],58)))</f>
        <v/>
      </c>
      <c r="BV59" s="5">
        <f>IF(A59="","",N(INDEX(Projects[Act Software Eng],58)))</f>
        <v/>
      </c>
      <c r="BW59" s="5">
        <f>IF(A59="","",N(INDEX(Projects[Act 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  <c r="CE59" s="5">
        <f>INDEX(Projects[Act Data Status],58)&amp;""</f>
        <v/>
      </c>
      <c r="CF59" s="5">
        <f>IF(A59="","",N(INDEX(Projects[Est Mech Inst],58)))</f>
        <v/>
      </c>
      <c r="CG59" s="5">
        <f>IF(A59="","",N(INDEX(Projects[Est Elec Inst],58)))</f>
        <v/>
      </c>
      <c r="CH59" s="5">
        <f>IF(A59="","",N(INDEX(Projects[Est Project Management],58)))</f>
        <v/>
      </c>
      <c r="CI59" s="5">
        <f>IF(A59="","",N(INDEX(Projects[Est Systems Eng],58)))</f>
        <v/>
      </c>
      <c r="CJ59" s="5">
        <f>IF(A59="","",N(INDEX(Projects[Est Mechanical Eng],58)))</f>
        <v/>
      </c>
      <c r="CK59" s="5">
        <f>IF(A59="","",N(INDEX(Projects[Est Structural Engineering],58)))</f>
        <v/>
      </c>
      <c r="CL59" s="5">
        <f>IF(A59="","",N(INDEX(Projects[Est Site Sup],58)))</f>
        <v/>
      </c>
      <c r="CM59" s="5">
        <f>IF(A59="","",N(INDEX(Projects[Est Controls Commissioning],58)))</f>
        <v/>
      </c>
      <c r="CN59" s="5">
        <f>IF(A59="","",N(INDEX(Projects[Est Systems Commissioning],58)))</f>
        <v/>
      </c>
      <c r="CO59" s="5">
        <f>IF(A59="","",N(INDEX(Projects[Est Service Commissioning],58)))</f>
        <v/>
      </c>
      <c r="CP59" s="5">
        <f>IF(A59="","",N(INDEX(Projects[Est Controls Eng],58)))</f>
        <v/>
      </c>
      <c r="CQ59" s="5">
        <f>IF(A59="","",N(INDEX(Projects[Est Controls Purchase],58)))</f>
        <v/>
      </c>
      <c r="CR59" s="5">
        <f>IF(A59="","",N(INDEX(Projects[Est Software Eng],58)))</f>
        <v/>
      </c>
      <c r="CS59" s="5">
        <f>IF(A59="","",N(INDEX(Projects[Est Misc],58)))</f>
        <v/>
      </c>
      <c r="CT59" s="5">
        <f>IF(A59="","",SUM(CF59:CS59))</f>
        <v/>
      </c>
      <c r="CU59" s="5">
        <f>INDEX(Projects[Est Cost (M)],58)</f>
        <v/>
      </c>
      <c r="CV59" s="5">
        <f>INDEX(Projects[Act Cost (M)],58)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IF(A60="","",N(INDEX(Projects[Act Mech Inst],59)))</f>
        <v/>
      </c>
      <c r="BK60" s="5">
        <f>IF(A60="","",N(INDEX(Projects[Act Elec Inst],59)))</f>
        <v/>
      </c>
      <c r="BL60" s="5">
        <f>IF(A60="","",N(INDEX(Projects[Act Project Management],59)))</f>
        <v/>
      </c>
      <c r="BM60" s="5">
        <f>IF(A60="","",N(INDEX(Projects[Act Systems Eng],59)))</f>
        <v/>
      </c>
      <c r="BN60" s="5">
        <f>IF(A60="","",N(INDEX(Projects[Act Mechanical Eng],59)))</f>
        <v/>
      </c>
      <c r="BO60" s="5">
        <f>IF(A60="","",N(INDEX(Projects[Act Structural Engineering],59)))</f>
        <v/>
      </c>
      <c r="BP60" s="5">
        <f>IF(A60="","",N(INDEX(Projects[Act Site Sup],59)))</f>
        <v/>
      </c>
      <c r="BQ60" s="5">
        <f>IF(A60="","",N(INDEX(Projects[Act Controls Commissioning],59)))</f>
        <v/>
      </c>
      <c r="BR60" s="5">
        <f>IF(A60="","",N(INDEX(Projects[Act Systems Commissioning],59)))</f>
        <v/>
      </c>
      <c r="BS60" s="5">
        <f>IF(A60="","",N(INDEX(Projects[Act Service Commissioning],59)))</f>
        <v/>
      </c>
      <c r="BT60" s="5">
        <f>IF(A60="","",N(INDEX(Projects[Act Controls Eng],59)))</f>
        <v/>
      </c>
      <c r="BU60" s="5">
        <f>IF(A60="","",N(INDEX(Projects[Act Controls Purchase],59)))</f>
        <v/>
      </c>
      <c r="BV60" s="5">
        <f>IF(A60="","",N(INDEX(Projects[Act Software Eng],59)))</f>
        <v/>
      </c>
      <c r="BW60" s="5">
        <f>IF(A60="","",N(INDEX(Projects[Act 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  <c r="CE60" s="5">
        <f>INDEX(Projects[Act Data Status],59)&amp;""</f>
        <v/>
      </c>
      <c r="CF60" s="5">
        <f>IF(A60="","",N(INDEX(Projects[Est Mech Inst],59)))</f>
        <v/>
      </c>
      <c r="CG60" s="5">
        <f>IF(A60="","",N(INDEX(Projects[Est Elec Inst],59)))</f>
        <v/>
      </c>
      <c r="CH60" s="5">
        <f>IF(A60="","",N(INDEX(Projects[Est Project Management],59)))</f>
        <v/>
      </c>
      <c r="CI60" s="5">
        <f>IF(A60="","",N(INDEX(Projects[Est Systems Eng],59)))</f>
        <v/>
      </c>
      <c r="CJ60" s="5">
        <f>IF(A60="","",N(INDEX(Projects[Est Mechanical Eng],59)))</f>
        <v/>
      </c>
      <c r="CK60" s="5">
        <f>IF(A60="","",N(INDEX(Projects[Est Structural Engineering],59)))</f>
        <v/>
      </c>
      <c r="CL60" s="5">
        <f>IF(A60="","",N(INDEX(Projects[Est Site Sup],59)))</f>
        <v/>
      </c>
      <c r="CM60" s="5">
        <f>IF(A60="","",N(INDEX(Projects[Est Controls Commissioning],59)))</f>
        <v/>
      </c>
      <c r="CN60" s="5">
        <f>IF(A60="","",N(INDEX(Projects[Est Systems Commissioning],59)))</f>
        <v/>
      </c>
      <c r="CO60" s="5">
        <f>IF(A60="","",N(INDEX(Projects[Est Service Commissioning],59)))</f>
        <v/>
      </c>
      <c r="CP60" s="5">
        <f>IF(A60="","",N(INDEX(Projects[Est Controls Eng],59)))</f>
        <v/>
      </c>
      <c r="CQ60" s="5">
        <f>IF(A60="","",N(INDEX(Projects[Est Controls Purchase],59)))</f>
        <v/>
      </c>
      <c r="CR60" s="5">
        <f>IF(A60="","",N(INDEX(Projects[Est Software Eng],59)))</f>
        <v/>
      </c>
      <c r="CS60" s="5">
        <f>IF(A60="","",N(INDEX(Projects[Est Misc],59)))</f>
        <v/>
      </c>
      <c r="CT60" s="5">
        <f>IF(A60="","",SUM(CF60:CS60))</f>
        <v/>
      </c>
      <c r="CU60" s="5">
        <f>INDEX(Projects[Est Cost (M)],59)</f>
        <v/>
      </c>
      <c r="CV60" s="5">
        <f>INDEX(Projects[Act Cost (M)],59)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IF(A61="","",N(INDEX(Projects[Act Mech Inst],60)))</f>
        <v/>
      </c>
      <c r="BK61" s="5">
        <f>IF(A61="","",N(INDEX(Projects[Act Elec Inst],60)))</f>
        <v/>
      </c>
      <c r="BL61" s="5">
        <f>IF(A61="","",N(INDEX(Projects[Act Project Management],60)))</f>
        <v/>
      </c>
      <c r="BM61" s="5">
        <f>IF(A61="","",N(INDEX(Projects[Act Systems Eng],60)))</f>
        <v/>
      </c>
      <c r="BN61" s="5">
        <f>IF(A61="","",N(INDEX(Projects[Act Mechanical Eng],60)))</f>
        <v/>
      </c>
      <c r="BO61" s="5">
        <f>IF(A61="","",N(INDEX(Projects[Act Structural Engineering],60)))</f>
        <v/>
      </c>
      <c r="BP61" s="5">
        <f>IF(A61="","",N(INDEX(Projects[Act Site Sup],60)))</f>
        <v/>
      </c>
      <c r="BQ61" s="5">
        <f>IF(A61="","",N(INDEX(Projects[Act Controls Commissioning],60)))</f>
        <v/>
      </c>
      <c r="BR61" s="5">
        <f>IF(A61="","",N(INDEX(Projects[Act Systems Commissioning],60)))</f>
        <v/>
      </c>
      <c r="BS61" s="5">
        <f>IF(A61="","",N(INDEX(Projects[Act Service Commissioning],60)))</f>
        <v/>
      </c>
      <c r="BT61" s="5">
        <f>IF(A61="","",N(INDEX(Projects[Act Controls Eng],60)))</f>
        <v/>
      </c>
      <c r="BU61" s="5">
        <f>IF(A61="","",N(INDEX(Projects[Act Controls Purchase],60)))</f>
        <v/>
      </c>
      <c r="BV61" s="5">
        <f>IF(A61="","",N(INDEX(Projects[Act Software Eng],60)))</f>
        <v/>
      </c>
      <c r="BW61" s="5">
        <f>IF(A61="","",N(INDEX(Projects[Act 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  <c r="CE61" s="5">
        <f>INDEX(Projects[Act Data Status],60)&amp;""</f>
        <v/>
      </c>
      <c r="CF61" s="5">
        <f>IF(A61="","",N(INDEX(Projects[Est Mech Inst],60)))</f>
        <v/>
      </c>
      <c r="CG61" s="5">
        <f>IF(A61="","",N(INDEX(Projects[Est Elec Inst],60)))</f>
        <v/>
      </c>
      <c r="CH61" s="5">
        <f>IF(A61="","",N(INDEX(Projects[Est Project Management],60)))</f>
        <v/>
      </c>
      <c r="CI61" s="5">
        <f>IF(A61="","",N(INDEX(Projects[Est Systems Eng],60)))</f>
        <v/>
      </c>
      <c r="CJ61" s="5">
        <f>IF(A61="","",N(INDEX(Projects[Est Mechanical Eng],60)))</f>
        <v/>
      </c>
      <c r="CK61" s="5">
        <f>IF(A61="","",N(INDEX(Projects[Est Structural Engineering],60)))</f>
        <v/>
      </c>
      <c r="CL61" s="5">
        <f>IF(A61="","",N(INDEX(Projects[Est Site Sup],60)))</f>
        <v/>
      </c>
      <c r="CM61" s="5">
        <f>IF(A61="","",N(INDEX(Projects[Est Controls Commissioning],60)))</f>
        <v/>
      </c>
      <c r="CN61" s="5">
        <f>IF(A61="","",N(INDEX(Projects[Est Systems Commissioning],60)))</f>
        <v/>
      </c>
      <c r="CO61" s="5">
        <f>IF(A61="","",N(INDEX(Projects[Est Service Commissioning],60)))</f>
        <v/>
      </c>
      <c r="CP61" s="5">
        <f>IF(A61="","",N(INDEX(Projects[Est Controls Eng],60)))</f>
        <v/>
      </c>
      <c r="CQ61" s="5">
        <f>IF(A61="","",N(INDEX(Projects[Est Controls Purchase],60)))</f>
        <v/>
      </c>
      <c r="CR61" s="5">
        <f>IF(A61="","",N(INDEX(Projects[Est Software Eng],60)))</f>
        <v/>
      </c>
      <c r="CS61" s="5">
        <f>IF(A61="","",N(INDEX(Projects[Est Misc],60)))</f>
        <v/>
      </c>
      <c r="CT61" s="5">
        <f>IF(A61="","",SUM(CF61:CS61))</f>
        <v/>
      </c>
      <c r="CU61" s="5">
        <f>INDEX(Projects[Est Cost (M)],60)</f>
        <v/>
      </c>
      <c r="CV61" s="5">
        <f>INDEX(Projects[Act Cost (M)],60)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IF(A62="","",N(INDEX(Projects[Act Mech Inst],61)))</f>
        <v/>
      </c>
      <c r="BK62" s="5">
        <f>IF(A62="","",N(INDEX(Projects[Act Elec Inst],61)))</f>
        <v/>
      </c>
      <c r="BL62" s="5">
        <f>IF(A62="","",N(INDEX(Projects[Act Project Management],61)))</f>
        <v/>
      </c>
      <c r="BM62" s="5">
        <f>IF(A62="","",N(INDEX(Projects[Act Systems Eng],61)))</f>
        <v/>
      </c>
      <c r="BN62" s="5">
        <f>IF(A62="","",N(INDEX(Projects[Act Mechanical Eng],61)))</f>
        <v/>
      </c>
      <c r="BO62" s="5">
        <f>IF(A62="","",N(INDEX(Projects[Act Structural Engineering],61)))</f>
        <v/>
      </c>
      <c r="BP62" s="5">
        <f>IF(A62="","",N(INDEX(Projects[Act Site Sup],61)))</f>
        <v/>
      </c>
      <c r="BQ62" s="5">
        <f>IF(A62="","",N(INDEX(Projects[Act Controls Commissioning],61)))</f>
        <v/>
      </c>
      <c r="BR62" s="5">
        <f>IF(A62="","",N(INDEX(Projects[Act Systems Commissioning],61)))</f>
        <v/>
      </c>
      <c r="BS62" s="5">
        <f>IF(A62="","",N(INDEX(Projects[Act Service Commissioning],61)))</f>
        <v/>
      </c>
      <c r="BT62" s="5">
        <f>IF(A62="","",N(INDEX(Projects[Act Controls Eng],61)))</f>
        <v/>
      </c>
      <c r="BU62" s="5">
        <f>IF(A62="","",N(INDEX(Projects[Act Controls Purchase],61)))</f>
        <v/>
      </c>
      <c r="BV62" s="5">
        <f>IF(A62="","",N(INDEX(Projects[Act Software Eng],61)))</f>
        <v/>
      </c>
      <c r="BW62" s="5">
        <f>IF(A62="","",N(INDEX(Projects[Act 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  <c r="CE62" s="5">
        <f>INDEX(Projects[Act Data Status],61)&amp;""</f>
        <v/>
      </c>
      <c r="CF62" s="5">
        <f>IF(A62="","",N(INDEX(Projects[Est Mech Inst],61)))</f>
        <v/>
      </c>
      <c r="CG62" s="5">
        <f>IF(A62="","",N(INDEX(Projects[Est Elec Inst],61)))</f>
        <v/>
      </c>
      <c r="CH62" s="5">
        <f>IF(A62="","",N(INDEX(Projects[Est Project Management],61)))</f>
        <v/>
      </c>
      <c r="CI62" s="5">
        <f>IF(A62="","",N(INDEX(Projects[Est Systems Eng],61)))</f>
        <v/>
      </c>
      <c r="CJ62" s="5">
        <f>IF(A62="","",N(INDEX(Projects[Est Mechanical Eng],61)))</f>
        <v/>
      </c>
      <c r="CK62" s="5">
        <f>IF(A62="","",N(INDEX(Projects[Est Structural Engineering],61)))</f>
        <v/>
      </c>
      <c r="CL62" s="5">
        <f>IF(A62="","",N(INDEX(Projects[Est Site Sup],61)))</f>
        <v/>
      </c>
      <c r="CM62" s="5">
        <f>IF(A62="","",N(INDEX(Projects[Est Controls Commissioning],61)))</f>
        <v/>
      </c>
      <c r="CN62" s="5">
        <f>IF(A62="","",N(INDEX(Projects[Est Systems Commissioning],61)))</f>
        <v/>
      </c>
      <c r="CO62" s="5">
        <f>IF(A62="","",N(INDEX(Projects[Est Service Commissioning],61)))</f>
        <v/>
      </c>
      <c r="CP62" s="5">
        <f>IF(A62="","",N(INDEX(Projects[Est Controls Eng],61)))</f>
        <v/>
      </c>
      <c r="CQ62" s="5">
        <f>IF(A62="","",N(INDEX(Projects[Est Controls Purchase],61)))</f>
        <v/>
      </c>
      <c r="CR62" s="5">
        <f>IF(A62="","",N(INDEX(Projects[Est Software Eng],61)))</f>
        <v/>
      </c>
      <c r="CS62" s="5">
        <f>IF(A62="","",N(INDEX(Projects[Est Misc],61)))</f>
        <v/>
      </c>
      <c r="CT62" s="5">
        <f>IF(A62="","",SUM(CF62:CS62))</f>
        <v/>
      </c>
      <c r="CU62" s="5">
        <f>INDEX(Projects[Est Cost (M)],61)</f>
        <v/>
      </c>
      <c r="CV62" s="5">
        <f>INDEX(Projects[Act Cost (M)],61)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IF(A63="","",N(INDEX(Projects[Act Mech Inst],62)))</f>
        <v/>
      </c>
      <c r="BK63" s="5">
        <f>IF(A63="","",N(INDEX(Projects[Act Elec Inst],62)))</f>
        <v/>
      </c>
      <c r="BL63" s="5">
        <f>IF(A63="","",N(INDEX(Projects[Act Project Management],62)))</f>
        <v/>
      </c>
      <c r="BM63" s="5">
        <f>IF(A63="","",N(INDEX(Projects[Act Systems Eng],62)))</f>
        <v/>
      </c>
      <c r="BN63" s="5">
        <f>IF(A63="","",N(INDEX(Projects[Act Mechanical Eng],62)))</f>
        <v/>
      </c>
      <c r="BO63" s="5">
        <f>IF(A63="","",N(INDEX(Projects[Act Structural Engineering],62)))</f>
        <v/>
      </c>
      <c r="BP63" s="5">
        <f>IF(A63="","",N(INDEX(Projects[Act Site Sup],62)))</f>
        <v/>
      </c>
      <c r="BQ63" s="5">
        <f>IF(A63="","",N(INDEX(Projects[Act Controls Commissioning],62)))</f>
        <v/>
      </c>
      <c r="BR63" s="5">
        <f>IF(A63="","",N(INDEX(Projects[Act Systems Commissioning],62)))</f>
        <v/>
      </c>
      <c r="BS63" s="5">
        <f>IF(A63="","",N(INDEX(Projects[Act Service Commissioning],62)))</f>
        <v/>
      </c>
      <c r="BT63" s="5">
        <f>IF(A63="","",N(INDEX(Projects[Act Controls Eng],62)))</f>
        <v/>
      </c>
      <c r="BU63" s="5">
        <f>IF(A63="","",N(INDEX(Projects[Act Controls Purchase],62)))</f>
        <v/>
      </c>
      <c r="BV63" s="5">
        <f>IF(A63="","",N(INDEX(Projects[Act Software Eng],62)))</f>
        <v/>
      </c>
      <c r="BW63" s="5">
        <f>IF(A63="","",N(INDEX(Projects[Act 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  <c r="CE63" s="5">
        <f>INDEX(Projects[Act Data Status],62)&amp;""</f>
        <v/>
      </c>
      <c r="CF63" s="5">
        <f>IF(A63="","",N(INDEX(Projects[Est Mech Inst],62)))</f>
        <v/>
      </c>
      <c r="CG63" s="5">
        <f>IF(A63="","",N(INDEX(Projects[Est Elec Inst],62)))</f>
        <v/>
      </c>
      <c r="CH63" s="5">
        <f>IF(A63="","",N(INDEX(Projects[Est Project Management],62)))</f>
        <v/>
      </c>
      <c r="CI63" s="5">
        <f>IF(A63="","",N(INDEX(Projects[Est Systems Eng],62)))</f>
        <v/>
      </c>
      <c r="CJ63" s="5">
        <f>IF(A63="","",N(INDEX(Projects[Est Mechanical Eng],62)))</f>
        <v/>
      </c>
      <c r="CK63" s="5">
        <f>IF(A63="","",N(INDEX(Projects[Est Structural Engineering],62)))</f>
        <v/>
      </c>
      <c r="CL63" s="5">
        <f>IF(A63="","",N(INDEX(Projects[Est Site Sup],62)))</f>
        <v/>
      </c>
      <c r="CM63" s="5">
        <f>IF(A63="","",N(INDEX(Projects[Est Controls Commissioning],62)))</f>
        <v/>
      </c>
      <c r="CN63" s="5">
        <f>IF(A63="","",N(INDEX(Projects[Est Systems Commissioning],62)))</f>
        <v/>
      </c>
      <c r="CO63" s="5">
        <f>IF(A63="","",N(INDEX(Projects[Est Service Commissioning],62)))</f>
        <v/>
      </c>
      <c r="CP63" s="5">
        <f>IF(A63="","",N(INDEX(Projects[Est Controls Eng],62)))</f>
        <v/>
      </c>
      <c r="CQ63" s="5">
        <f>IF(A63="","",N(INDEX(Projects[Est Controls Purchase],62)))</f>
        <v/>
      </c>
      <c r="CR63" s="5">
        <f>IF(A63="","",N(INDEX(Projects[Est Software Eng],62)))</f>
        <v/>
      </c>
      <c r="CS63" s="5">
        <f>IF(A63="","",N(INDEX(Projects[Est Misc],62)))</f>
        <v/>
      </c>
      <c r="CT63" s="5">
        <f>IF(A63="","",SUM(CF63:CS63))</f>
        <v/>
      </c>
      <c r="CU63" s="5">
        <f>INDEX(Projects[Est Cost (M)],62)</f>
        <v/>
      </c>
      <c r="CV63" s="5">
        <f>INDEX(Projects[Act Cost (M)],62)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IF(A64="","",N(INDEX(Projects[Act Mech Inst],63)))</f>
        <v/>
      </c>
      <c r="BK64" s="5">
        <f>IF(A64="","",N(INDEX(Projects[Act Elec Inst],63)))</f>
        <v/>
      </c>
      <c r="BL64" s="5">
        <f>IF(A64="","",N(INDEX(Projects[Act Project Management],63)))</f>
        <v/>
      </c>
      <c r="BM64" s="5">
        <f>IF(A64="","",N(INDEX(Projects[Act Systems Eng],63)))</f>
        <v/>
      </c>
      <c r="BN64" s="5">
        <f>IF(A64="","",N(INDEX(Projects[Act Mechanical Eng],63)))</f>
        <v/>
      </c>
      <c r="BO64" s="5">
        <f>IF(A64="","",N(INDEX(Projects[Act Structural Engineering],63)))</f>
        <v/>
      </c>
      <c r="BP64" s="5">
        <f>IF(A64="","",N(INDEX(Projects[Act Site Sup],63)))</f>
        <v/>
      </c>
      <c r="BQ64" s="5">
        <f>IF(A64="","",N(INDEX(Projects[Act Controls Commissioning],63)))</f>
        <v/>
      </c>
      <c r="BR64" s="5">
        <f>IF(A64="","",N(INDEX(Projects[Act Systems Commissioning],63)))</f>
        <v/>
      </c>
      <c r="BS64" s="5">
        <f>IF(A64="","",N(INDEX(Projects[Act Service Commissioning],63)))</f>
        <v/>
      </c>
      <c r="BT64" s="5">
        <f>IF(A64="","",N(INDEX(Projects[Act Controls Eng],63)))</f>
        <v/>
      </c>
      <c r="BU64" s="5">
        <f>IF(A64="","",N(INDEX(Projects[Act Controls Purchase],63)))</f>
        <v/>
      </c>
      <c r="BV64" s="5">
        <f>IF(A64="","",N(INDEX(Projects[Act Software Eng],63)))</f>
        <v/>
      </c>
      <c r="BW64" s="5">
        <f>IF(A64="","",N(INDEX(Projects[Act 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  <c r="CE64" s="5">
        <f>INDEX(Projects[Act Data Status],63)&amp;""</f>
        <v/>
      </c>
      <c r="CF64" s="5">
        <f>IF(A64="","",N(INDEX(Projects[Est Mech Inst],63)))</f>
        <v/>
      </c>
      <c r="CG64" s="5">
        <f>IF(A64="","",N(INDEX(Projects[Est Elec Inst],63)))</f>
        <v/>
      </c>
      <c r="CH64" s="5">
        <f>IF(A64="","",N(INDEX(Projects[Est Project Management],63)))</f>
        <v/>
      </c>
      <c r="CI64" s="5">
        <f>IF(A64="","",N(INDEX(Projects[Est Systems Eng],63)))</f>
        <v/>
      </c>
      <c r="CJ64" s="5">
        <f>IF(A64="","",N(INDEX(Projects[Est Mechanical Eng],63)))</f>
        <v/>
      </c>
      <c r="CK64" s="5">
        <f>IF(A64="","",N(INDEX(Projects[Est Structural Engineering],63)))</f>
        <v/>
      </c>
      <c r="CL64" s="5">
        <f>IF(A64="","",N(INDEX(Projects[Est Site Sup],63)))</f>
        <v/>
      </c>
      <c r="CM64" s="5">
        <f>IF(A64="","",N(INDEX(Projects[Est Controls Commissioning],63)))</f>
        <v/>
      </c>
      <c r="CN64" s="5">
        <f>IF(A64="","",N(INDEX(Projects[Est Systems Commissioning],63)))</f>
        <v/>
      </c>
      <c r="CO64" s="5">
        <f>IF(A64="","",N(INDEX(Projects[Est Service Commissioning],63)))</f>
        <v/>
      </c>
      <c r="CP64" s="5">
        <f>IF(A64="","",N(INDEX(Projects[Est Controls Eng],63)))</f>
        <v/>
      </c>
      <c r="CQ64" s="5">
        <f>IF(A64="","",N(INDEX(Projects[Est Controls Purchase],63)))</f>
        <v/>
      </c>
      <c r="CR64" s="5">
        <f>IF(A64="","",N(INDEX(Projects[Est Software Eng],63)))</f>
        <v/>
      </c>
      <c r="CS64" s="5">
        <f>IF(A64="","",N(INDEX(Projects[Est Misc],63)))</f>
        <v/>
      </c>
      <c r="CT64" s="5">
        <f>IF(A64="","",SUM(CF64:CS64))</f>
        <v/>
      </c>
      <c r="CU64" s="5">
        <f>INDEX(Projects[Est Cost (M)],63)</f>
        <v/>
      </c>
      <c r="CV64" s="5">
        <f>INDEX(Projects[Act Cost (M)],63)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IF(A65="","",N(INDEX(Projects[Act Mech Inst],64)))</f>
        <v/>
      </c>
      <c r="BK65" s="5">
        <f>IF(A65="","",N(INDEX(Projects[Act Elec Inst],64)))</f>
        <v/>
      </c>
      <c r="BL65" s="5">
        <f>IF(A65="","",N(INDEX(Projects[Act Project Management],64)))</f>
        <v/>
      </c>
      <c r="BM65" s="5">
        <f>IF(A65="","",N(INDEX(Projects[Act Systems Eng],64)))</f>
        <v/>
      </c>
      <c r="BN65" s="5">
        <f>IF(A65="","",N(INDEX(Projects[Act Mechanical Eng],64)))</f>
        <v/>
      </c>
      <c r="BO65" s="5">
        <f>IF(A65="","",N(INDEX(Projects[Act Structural Engineering],64)))</f>
        <v/>
      </c>
      <c r="BP65" s="5">
        <f>IF(A65="","",N(INDEX(Projects[Act Site Sup],64)))</f>
        <v/>
      </c>
      <c r="BQ65" s="5">
        <f>IF(A65="","",N(INDEX(Projects[Act Controls Commissioning],64)))</f>
        <v/>
      </c>
      <c r="BR65" s="5">
        <f>IF(A65="","",N(INDEX(Projects[Act Systems Commissioning],64)))</f>
        <v/>
      </c>
      <c r="BS65" s="5">
        <f>IF(A65="","",N(INDEX(Projects[Act Service Commissioning],64)))</f>
        <v/>
      </c>
      <c r="BT65" s="5">
        <f>IF(A65="","",N(INDEX(Projects[Act Controls Eng],64)))</f>
        <v/>
      </c>
      <c r="BU65" s="5">
        <f>IF(A65="","",N(INDEX(Projects[Act Controls Purchase],64)))</f>
        <v/>
      </c>
      <c r="BV65" s="5">
        <f>IF(A65="","",N(INDEX(Projects[Act Software Eng],64)))</f>
        <v/>
      </c>
      <c r="BW65" s="5">
        <f>IF(A65="","",N(INDEX(Projects[Act 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  <c r="CE65" s="5">
        <f>INDEX(Projects[Act Data Status],64)&amp;""</f>
        <v/>
      </c>
      <c r="CF65" s="5">
        <f>IF(A65="","",N(INDEX(Projects[Est Mech Inst],64)))</f>
        <v/>
      </c>
      <c r="CG65" s="5">
        <f>IF(A65="","",N(INDEX(Projects[Est Elec Inst],64)))</f>
        <v/>
      </c>
      <c r="CH65" s="5">
        <f>IF(A65="","",N(INDEX(Projects[Est Project Management],64)))</f>
        <v/>
      </c>
      <c r="CI65" s="5">
        <f>IF(A65="","",N(INDEX(Projects[Est Systems Eng],64)))</f>
        <v/>
      </c>
      <c r="CJ65" s="5">
        <f>IF(A65="","",N(INDEX(Projects[Est Mechanical Eng],64)))</f>
        <v/>
      </c>
      <c r="CK65" s="5">
        <f>IF(A65="","",N(INDEX(Projects[Est Structural Engineering],64)))</f>
        <v/>
      </c>
      <c r="CL65" s="5">
        <f>IF(A65="","",N(INDEX(Projects[Est Site Sup],64)))</f>
        <v/>
      </c>
      <c r="CM65" s="5">
        <f>IF(A65="","",N(INDEX(Projects[Est Controls Commissioning],64)))</f>
        <v/>
      </c>
      <c r="CN65" s="5">
        <f>IF(A65="","",N(INDEX(Projects[Est Systems Commissioning],64)))</f>
        <v/>
      </c>
      <c r="CO65" s="5">
        <f>IF(A65="","",N(INDEX(Projects[Est Service Commissioning],64)))</f>
        <v/>
      </c>
      <c r="CP65" s="5">
        <f>IF(A65="","",N(INDEX(Projects[Est Controls Eng],64)))</f>
        <v/>
      </c>
      <c r="CQ65" s="5">
        <f>IF(A65="","",N(INDEX(Projects[Est Controls Purchase],64)))</f>
        <v/>
      </c>
      <c r="CR65" s="5">
        <f>IF(A65="","",N(INDEX(Projects[Est Software Eng],64)))</f>
        <v/>
      </c>
      <c r="CS65" s="5">
        <f>IF(A65="","",N(INDEX(Projects[Est Misc],64)))</f>
        <v/>
      </c>
      <c r="CT65" s="5">
        <f>IF(A65="","",SUM(CF65:CS65))</f>
        <v/>
      </c>
      <c r="CU65" s="5">
        <f>INDEX(Projects[Est Cost (M)],64)</f>
        <v/>
      </c>
      <c r="CV65" s="5">
        <f>INDEX(Projects[Act Cost (M)],64)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IF(A66="","",N(INDEX(Projects[Act Mech Inst],65)))</f>
        <v/>
      </c>
      <c r="BK66" s="5">
        <f>IF(A66="","",N(INDEX(Projects[Act Elec Inst],65)))</f>
        <v/>
      </c>
      <c r="BL66" s="5">
        <f>IF(A66="","",N(INDEX(Projects[Act Project Management],65)))</f>
        <v/>
      </c>
      <c r="BM66" s="5">
        <f>IF(A66="","",N(INDEX(Projects[Act Systems Eng],65)))</f>
        <v/>
      </c>
      <c r="BN66" s="5">
        <f>IF(A66="","",N(INDEX(Projects[Act Mechanical Eng],65)))</f>
        <v/>
      </c>
      <c r="BO66" s="5">
        <f>IF(A66="","",N(INDEX(Projects[Act Structural Engineering],65)))</f>
        <v/>
      </c>
      <c r="BP66" s="5">
        <f>IF(A66="","",N(INDEX(Projects[Act Site Sup],65)))</f>
        <v/>
      </c>
      <c r="BQ66" s="5">
        <f>IF(A66="","",N(INDEX(Projects[Act Controls Commissioning],65)))</f>
        <v/>
      </c>
      <c r="BR66" s="5">
        <f>IF(A66="","",N(INDEX(Projects[Act Systems Commissioning],65)))</f>
        <v/>
      </c>
      <c r="BS66" s="5">
        <f>IF(A66="","",N(INDEX(Projects[Act Service Commissioning],65)))</f>
        <v/>
      </c>
      <c r="BT66" s="5">
        <f>IF(A66="","",N(INDEX(Projects[Act Controls Eng],65)))</f>
        <v/>
      </c>
      <c r="BU66" s="5">
        <f>IF(A66="","",N(INDEX(Projects[Act Controls Purchase],65)))</f>
        <v/>
      </c>
      <c r="BV66" s="5">
        <f>IF(A66="","",N(INDEX(Projects[Act Software Eng],65)))</f>
        <v/>
      </c>
      <c r="BW66" s="5">
        <f>IF(A66="","",N(INDEX(Projects[Act 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  <c r="CE66" s="5">
        <f>INDEX(Projects[Act Data Status],65)&amp;""</f>
        <v/>
      </c>
      <c r="CF66" s="5">
        <f>IF(A66="","",N(INDEX(Projects[Est Mech Inst],65)))</f>
        <v/>
      </c>
      <c r="CG66" s="5">
        <f>IF(A66="","",N(INDEX(Projects[Est Elec Inst],65)))</f>
        <v/>
      </c>
      <c r="CH66" s="5">
        <f>IF(A66="","",N(INDEX(Projects[Est Project Management],65)))</f>
        <v/>
      </c>
      <c r="CI66" s="5">
        <f>IF(A66="","",N(INDEX(Projects[Est Systems Eng],65)))</f>
        <v/>
      </c>
      <c r="CJ66" s="5">
        <f>IF(A66="","",N(INDEX(Projects[Est Mechanical Eng],65)))</f>
        <v/>
      </c>
      <c r="CK66" s="5">
        <f>IF(A66="","",N(INDEX(Projects[Est Structural Engineering],65)))</f>
        <v/>
      </c>
      <c r="CL66" s="5">
        <f>IF(A66="","",N(INDEX(Projects[Est Site Sup],65)))</f>
        <v/>
      </c>
      <c r="CM66" s="5">
        <f>IF(A66="","",N(INDEX(Projects[Est Controls Commissioning],65)))</f>
        <v/>
      </c>
      <c r="CN66" s="5">
        <f>IF(A66="","",N(INDEX(Projects[Est Systems Commissioning],65)))</f>
        <v/>
      </c>
      <c r="CO66" s="5">
        <f>IF(A66="","",N(INDEX(Projects[Est Service Commissioning],65)))</f>
        <v/>
      </c>
      <c r="CP66" s="5">
        <f>IF(A66="","",N(INDEX(Projects[Est Controls Eng],65)))</f>
        <v/>
      </c>
      <c r="CQ66" s="5">
        <f>IF(A66="","",N(INDEX(Projects[Est Controls Purchase],65)))</f>
        <v/>
      </c>
      <c r="CR66" s="5">
        <f>IF(A66="","",N(INDEX(Projects[Est Software Eng],65)))</f>
        <v/>
      </c>
      <c r="CS66" s="5">
        <f>IF(A66="","",N(INDEX(Projects[Est Misc],65)))</f>
        <v/>
      </c>
      <c r="CT66" s="5">
        <f>IF(A66="","",SUM(CF66:CS66))</f>
        <v/>
      </c>
      <c r="CU66" s="5">
        <f>INDEX(Projects[Est Cost (M)],65)</f>
        <v/>
      </c>
      <c r="CV66" s="5">
        <f>INDEX(Projects[Act Cost (M)],65)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IF(A67="","",N(INDEX(Projects[Act Mech Inst],66)))</f>
        <v/>
      </c>
      <c r="BK67" s="5">
        <f>IF(A67="","",N(INDEX(Projects[Act Elec Inst],66)))</f>
        <v/>
      </c>
      <c r="BL67" s="5">
        <f>IF(A67="","",N(INDEX(Projects[Act Project Management],66)))</f>
        <v/>
      </c>
      <c r="BM67" s="5">
        <f>IF(A67="","",N(INDEX(Projects[Act Systems Eng],66)))</f>
        <v/>
      </c>
      <c r="BN67" s="5">
        <f>IF(A67="","",N(INDEX(Projects[Act Mechanical Eng],66)))</f>
        <v/>
      </c>
      <c r="BO67" s="5">
        <f>IF(A67="","",N(INDEX(Projects[Act Structural Engineering],66)))</f>
        <v/>
      </c>
      <c r="BP67" s="5">
        <f>IF(A67="","",N(INDEX(Projects[Act Site Sup],66)))</f>
        <v/>
      </c>
      <c r="BQ67" s="5">
        <f>IF(A67="","",N(INDEX(Projects[Act Controls Commissioning],66)))</f>
        <v/>
      </c>
      <c r="BR67" s="5">
        <f>IF(A67="","",N(INDEX(Projects[Act Systems Commissioning],66)))</f>
        <v/>
      </c>
      <c r="BS67" s="5">
        <f>IF(A67="","",N(INDEX(Projects[Act Service Commissioning],66)))</f>
        <v/>
      </c>
      <c r="BT67" s="5">
        <f>IF(A67="","",N(INDEX(Projects[Act Controls Eng],66)))</f>
        <v/>
      </c>
      <c r="BU67" s="5">
        <f>IF(A67="","",N(INDEX(Projects[Act Controls Purchase],66)))</f>
        <v/>
      </c>
      <c r="BV67" s="5">
        <f>IF(A67="","",N(INDEX(Projects[Act Software Eng],66)))</f>
        <v/>
      </c>
      <c r="BW67" s="5">
        <f>IF(A67="","",N(INDEX(Projects[Act 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  <c r="CE67" s="5">
        <f>INDEX(Projects[Act Data Status],66)&amp;""</f>
        <v/>
      </c>
      <c r="CF67" s="5">
        <f>IF(A67="","",N(INDEX(Projects[Est Mech Inst],66)))</f>
        <v/>
      </c>
      <c r="CG67" s="5">
        <f>IF(A67="","",N(INDEX(Projects[Est Elec Inst],66)))</f>
        <v/>
      </c>
      <c r="CH67" s="5">
        <f>IF(A67="","",N(INDEX(Projects[Est Project Management],66)))</f>
        <v/>
      </c>
      <c r="CI67" s="5">
        <f>IF(A67="","",N(INDEX(Projects[Est Systems Eng],66)))</f>
        <v/>
      </c>
      <c r="CJ67" s="5">
        <f>IF(A67="","",N(INDEX(Projects[Est Mechanical Eng],66)))</f>
        <v/>
      </c>
      <c r="CK67" s="5">
        <f>IF(A67="","",N(INDEX(Projects[Est Structural Engineering],66)))</f>
        <v/>
      </c>
      <c r="CL67" s="5">
        <f>IF(A67="","",N(INDEX(Projects[Est Site Sup],66)))</f>
        <v/>
      </c>
      <c r="CM67" s="5">
        <f>IF(A67="","",N(INDEX(Projects[Est Controls Commissioning],66)))</f>
        <v/>
      </c>
      <c r="CN67" s="5">
        <f>IF(A67="","",N(INDEX(Projects[Est Systems Commissioning],66)))</f>
        <v/>
      </c>
      <c r="CO67" s="5">
        <f>IF(A67="","",N(INDEX(Projects[Est Service Commissioning],66)))</f>
        <v/>
      </c>
      <c r="CP67" s="5">
        <f>IF(A67="","",N(INDEX(Projects[Est Controls Eng],66)))</f>
        <v/>
      </c>
      <c r="CQ67" s="5">
        <f>IF(A67="","",N(INDEX(Projects[Est Controls Purchase],66)))</f>
        <v/>
      </c>
      <c r="CR67" s="5">
        <f>IF(A67="","",N(INDEX(Projects[Est Software Eng],66)))</f>
        <v/>
      </c>
      <c r="CS67" s="5">
        <f>IF(A67="","",N(INDEX(Projects[Est Misc],66)))</f>
        <v/>
      </c>
      <c r="CT67" s="5">
        <f>IF(A67="","",SUM(CF67:CS67))</f>
        <v/>
      </c>
      <c r="CU67" s="5">
        <f>INDEX(Projects[Est Cost (M)],66)</f>
        <v/>
      </c>
      <c r="CV67" s="5">
        <f>INDEX(Projects[Act Cost (M)],66)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IF(A68="","",N(INDEX(Projects[Act Mech Inst],67)))</f>
        <v/>
      </c>
      <c r="BK68" s="5">
        <f>IF(A68="","",N(INDEX(Projects[Act Elec Inst],67)))</f>
        <v/>
      </c>
      <c r="BL68" s="5">
        <f>IF(A68="","",N(INDEX(Projects[Act Project Management],67)))</f>
        <v/>
      </c>
      <c r="BM68" s="5">
        <f>IF(A68="","",N(INDEX(Projects[Act Systems Eng],67)))</f>
        <v/>
      </c>
      <c r="BN68" s="5">
        <f>IF(A68="","",N(INDEX(Projects[Act Mechanical Eng],67)))</f>
        <v/>
      </c>
      <c r="BO68" s="5">
        <f>IF(A68="","",N(INDEX(Projects[Act Structural Engineering],67)))</f>
        <v/>
      </c>
      <c r="BP68" s="5">
        <f>IF(A68="","",N(INDEX(Projects[Act Site Sup],67)))</f>
        <v/>
      </c>
      <c r="BQ68" s="5">
        <f>IF(A68="","",N(INDEX(Projects[Act Controls Commissioning],67)))</f>
        <v/>
      </c>
      <c r="BR68" s="5">
        <f>IF(A68="","",N(INDEX(Projects[Act Systems Commissioning],67)))</f>
        <v/>
      </c>
      <c r="BS68" s="5">
        <f>IF(A68="","",N(INDEX(Projects[Act Service Commissioning],67)))</f>
        <v/>
      </c>
      <c r="BT68" s="5">
        <f>IF(A68="","",N(INDEX(Projects[Act Controls Eng],67)))</f>
        <v/>
      </c>
      <c r="BU68" s="5">
        <f>IF(A68="","",N(INDEX(Projects[Act Controls Purchase],67)))</f>
        <v/>
      </c>
      <c r="BV68" s="5">
        <f>IF(A68="","",N(INDEX(Projects[Act Software Eng],67)))</f>
        <v/>
      </c>
      <c r="BW68" s="5">
        <f>IF(A68="","",N(INDEX(Projects[Act 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  <c r="CE68" s="5">
        <f>INDEX(Projects[Act Data Status],67)&amp;""</f>
        <v/>
      </c>
      <c r="CF68" s="5">
        <f>IF(A68="","",N(INDEX(Projects[Est Mech Inst],67)))</f>
        <v/>
      </c>
      <c r="CG68" s="5">
        <f>IF(A68="","",N(INDEX(Projects[Est Elec Inst],67)))</f>
        <v/>
      </c>
      <c r="CH68" s="5">
        <f>IF(A68="","",N(INDEX(Projects[Est Project Management],67)))</f>
        <v/>
      </c>
      <c r="CI68" s="5">
        <f>IF(A68="","",N(INDEX(Projects[Est Systems Eng],67)))</f>
        <v/>
      </c>
      <c r="CJ68" s="5">
        <f>IF(A68="","",N(INDEX(Projects[Est Mechanical Eng],67)))</f>
        <v/>
      </c>
      <c r="CK68" s="5">
        <f>IF(A68="","",N(INDEX(Projects[Est Structural Engineering],67)))</f>
        <v/>
      </c>
      <c r="CL68" s="5">
        <f>IF(A68="","",N(INDEX(Projects[Est Site Sup],67)))</f>
        <v/>
      </c>
      <c r="CM68" s="5">
        <f>IF(A68="","",N(INDEX(Projects[Est Controls Commissioning],67)))</f>
        <v/>
      </c>
      <c r="CN68" s="5">
        <f>IF(A68="","",N(INDEX(Projects[Est Systems Commissioning],67)))</f>
        <v/>
      </c>
      <c r="CO68" s="5">
        <f>IF(A68="","",N(INDEX(Projects[Est Service Commissioning],67)))</f>
        <v/>
      </c>
      <c r="CP68" s="5">
        <f>IF(A68="","",N(INDEX(Projects[Est Controls Eng],67)))</f>
        <v/>
      </c>
      <c r="CQ68" s="5">
        <f>IF(A68="","",N(INDEX(Projects[Est Controls Purchase],67)))</f>
        <v/>
      </c>
      <c r="CR68" s="5">
        <f>IF(A68="","",N(INDEX(Projects[Est Software Eng],67)))</f>
        <v/>
      </c>
      <c r="CS68" s="5">
        <f>IF(A68="","",N(INDEX(Projects[Est Misc],67)))</f>
        <v/>
      </c>
      <c r="CT68" s="5">
        <f>IF(A68="","",SUM(CF68:CS68))</f>
        <v/>
      </c>
      <c r="CU68" s="5">
        <f>INDEX(Projects[Est Cost (M)],67)</f>
        <v/>
      </c>
      <c r="CV68" s="5">
        <f>INDEX(Projects[Act Cost (M)],67)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IF(A69="","",N(INDEX(Projects[Act Mech Inst],68)))</f>
        <v/>
      </c>
      <c r="BK69" s="5">
        <f>IF(A69="","",N(INDEX(Projects[Act Elec Inst],68)))</f>
        <v/>
      </c>
      <c r="BL69" s="5">
        <f>IF(A69="","",N(INDEX(Projects[Act Project Management],68)))</f>
        <v/>
      </c>
      <c r="BM69" s="5">
        <f>IF(A69="","",N(INDEX(Projects[Act Systems Eng],68)))</f>
        <v/>
      </c>
      <c r="BN69" s="5">
        <f>IF(A69="","",N(INDEX(Projects[Act Mechanical Eng],68)))</f>
        <v/>
      </c>
      <c r="BO69" s="5">
        <f>IF(A69="","",N(INDEX(Projects[Act Structural Engineering],68)))</f>
        <v/>
      </c>
      <c r="BP69" s="5">
        <f>IF(A69="","",N(INDEX(Projects[Act Site Sup],68)))</f>
        <v/>
      </c>
      <c r="BQ69" s="5">
        <f>IF(A69="","",N(INDEX(Projects[Act Controls Commissioning],68)))</f>
        <v/>
      </c>
      <c r="BR69" s="5">
        <f>IF(A69="","",N(INDEX(Projects[Act Systems Commissioning],68)))</f>
        <v/>
      </c>
      <c r="BS69" s="5">
        <f>IF(A69="","",N(INDEX(Projects[Act Service Commissioning],68)))</f>
        <v/>
      </c>
      <c r="BT69" s="5">
        <f>IF(A69="","",N(INDEX(Projects[Act Controls Eng],68)))</f>
        <v/>
      </c>
      <c r="BU69" s="5">
        <f>IF(A69="","",N(INDEX(Projects[Act Controls Purchase],68)))</f>
        <v/>
      </c>
      <c r="BV69" s="5">
        <f>IF(A69="","",N(INDEX(Projects[Act Software Eng],68)))</f>
        <v/>
      </c>
      <c r="BW69" s="5">
        <f>IF(A69="","",N(INDEX(Projects[Act 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  <c r="CE69" s="5">
        <f>INDEX(Projects[Act Data Status],68)&amp;""</f>
        <v/>
      </c>
      <c r="CF69" s="5">
        <f>IF(A69="","",N(INDEX(Projects[Est Mech Inst],68)))</f>
        <v/>
      </c>
      <c r="CG69" s="5">
        <f>IF(A69="","",N(INDEX(Projects[Est Elec Inst],68)))</f>
        <v/>
      </c>
      <c r="CH69" s="5">
        <f>IF(A69="","",N(INDEX(Projects[Est Project Management],68)))</f>
        <v/>
      </c>
      <c r="CI69" s="5">
        <f>IF(A69="","",N(INDEX(Projects[Est Systems Eng],68)))</f>
        <v/>
      </c>
      <c r="CJ69" s="5">
        <f>IF(A69="","",N(INDEX(Projects[Est Mechanical Eng],68)))</f>
        <v/>
      </c>
      <c r="CK69" s="5">
        <f>IF(A69="","",N(INDEX(Projects[Est Structural Engineering],68)))</f>
        <v/>
      </c>
      <c r="CL69" s="5">
        <f>IF(A69="","",N(INDEX(Projects[Est Site Sup],68)))</f>
        <v/>
      </c>
      <c r="CM69" s="5">
        <f>IF(A69="","",N(INDEX(Projects[Est Controls Commissioning],68)))</f>
        <v/>
      </c>
      <c r="CN69" s="5">
        <f>IF(A69="","",N(INDEX(Projects[Est Systems Commissioning],68)))</f>
        <v/>
      </c>
      <c r="CO69" s="5">
        <f>IF(A69="","",N(INDEX(Projects[Est Service Commissioning],68)))</f>
        <v/>
      </c>
      <c r="CP69" s="5">
        <f>IF(A69="","",N(INDEX(Projects[Est Controls Eng],68)))</f>
        <v/>
      </c>
      <c r="CQ69" s="5">
        <f>IF(A69="","",N(INDEX(Projects[Est Controls Purchase],68)))</f>
        <v/>
      </c>
      <c r="CR69" s="5">
        <f>IF(A69="","",N(INDEX(Projects[Est Software Eng],68)))</f>
        <v/>
      </c>
      <c r="CS69" s="5">
        <f>IF(A69="","",N(INDEX(Projects[Est Misc],68)))</f>
        <v/>
      </c>
      <c r="CT69" s="5">
        <f>IF(A69="","",SUM(CF69:CS69))</f>
        <v/>
      </c>
      <c r="CU69" s="5">
        <f>INDEX(Projects[Est Cost (M)],68)</f>
        <v/>
      </c>
      <c r="CV69" s="5">
        <f>INDEX(Projects[Act Cost (M)],68)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IF(A70="","",N(INDEX(Projects[Act Mech Inst],69)))</f>
        <v/>
      </c>
      <c r="BK70" s="5">
        <f>IF(A70="","",N(INDEX(Projects[Act Elec Inst],69)))</f>
        <v/>
      </c>
      <c r="BL70" s="5">
        <f>IF(A70="","",N(INDEX(Projects[Act Project Management],69)))</f>
        <v/>
      </c>
      <c r="BM70" s="5">
        <f>IF(A70="","",N(INDEX(Projects[Act Systems Eng],69)))</f>
        <v/>
      </c>
      <c r="BN70" s="5">
        <f>IF(A70="","",N(INDEX(Projects[Act Mechanical Eng],69)))</f>
        <v/>
      </c>
      <c r="BO70" s="5">
        <f>IF(A70="","",N(INDEX(Projects[Act Structural Engineering],69)))</f>
        <v/>
      </c>
      <c r="BP70" s="5">
        <f>IF(A70="","",N(INDEX(Projects[Act Site Sup],69)))</f>
        <v/>
      </c>
      <c r="BQ70" s="5">
        <f>IF(A70="","",N(INDEX(Projects[Act Controls Commissioning],69)))</f>
        <v/>
      </c>
      <c r="BR70" s="5">
        <f>IF(A70="","",N(INDEX(Projects[Act Systems Commissioning],69)))</f>
        <v/>
      </c>
      <c r="BS70" s="5">
        <f>IF(A70="","",N(INDEX(Projects[Act Service Commissioning],69)))</f>
        <v/>
      </c>
      <c r="BT70" s="5">
        <f>IF(A70="","",N(INDEX(Projects[Act Controls Eng],69)))</f>
        <v/>
      </c>
      <c r="BU70" s="5">
        <f>IF(A70="","",N(INDEX(Projects[Act Controls Purchase],69)))</f>
        <v/>
      </c>
      <c r="BV70" s="5">
        <f>IF(A70="","",N(INDEX(Projects[Act Software Eng],69)))</f>
        <v/>
      </c>
      <c r="BW70" s="5">
        <f>IF(A70="","",N(INDEX(Projects[Act 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  <c r="CE70" s="5">
        <f>INDEX(Projects[Act Data Status],69)&amp;""</f>
        <v/>
      </c>
      <c r="CF70" s="5">
        <f>IF(A70="","",N(INDEX(Projects[Est Mech Inst],69)))</f>
        <v/>
      </c>
      <c r="CG70" s="5">
        <f>IF(A70="","",N(INDEX(Projects[Est Elec Inst],69)))</f>
        <v/>
      </c>
      <c r="CH70" s="5">
        <f>IF(A70="","",N(INDEX(Projects[Est Project Management],69)))</f>
        <v/>
      </c>
      <c r="CI70" s="5">
        <f>IF(A70="","",N(INDEX(Projects[Est Systems Eng],69)))</f>
        <v/>
      </c>
      <c r="CJ70" s="5">
        <f>IF(A70="","",N(INDEX(Projects[Est Mechanical Eng],69)))</f>
        <v/>
      </c>
      <c r="CK70" s="5">
        <f>IF(A70="","",N(INDEX(Projects[Est Structural Engineering],69)))</f>
        <v/>
      </c>
      <c r="CL70" s="5">
        <f>IF(A70="","",N(INDEX(Projects[Est Site Sup],69)))</f>
        <v/>
      </c>
      <c r="CM70" s="5">
        <f>IF(A70="","",N(INDEX(Projects[Est Controls Commissioning],69)))</f>
        <v/>
      </c>
      <c r="CN70" s="5">
        <f>IF(A70="","",N(INDEX(Projects[Est Systems Commissioning],69)))</f>
        <v/>
      </c>
      <c r="CO70" s="5">
        <f>IF(A70="","",N(INDEX(Projects[Est Service Commissioning],69)))</f>
        <v/>
      </c>
      <c r="CP70" s="5">
        <f>IF(A70="","",N(INDEX(Projects[Est Controls Eng],69)))</f>
        <v/>
      </c>
      <c r="CQ70" s="5">
        <f>IF(A70="","",N(INDEX(Projects[Est Controls Purchase],69)))</f>
        <v/>
      </c>
      <c r="CR70" s="5">
        <f>IF(A70="","",N(INDEX(Projects[Est Software Eng],69)))</f>
        <v/>
      </c>
      <c r="CS70" s="5">
        <f>IF(A70="","",N(INDEX(Projects[Est Misc],69)))</f>
        <v/>
      </c>
      <c r="CT70" s="5">
        <f>IF(A70="","",SUM(CF70:CS70))</f>
        <v/>
      </c>
      <c r="CU70" s="5">
        <f>INDEX(Projects[Est Cost (M)],69)</f>
        <v/>
      </c>
      <c r="CV70" s="5">
        <f>INDEX(Projects[Act Cost (M)],69)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IF(A71="","",N(INDEX(Projects[Act Mech Inst],70)))</f>
        <v/>
      </c>
      <c r="BK71" s="5">
        <f>IF(A71="","",N(INDEX(Projects[Act Elec Inst],70)))</f>
        <v/>
      </c>
      <c r="BL71" s="5">
        <f>IF(A71="","",N(INDEX(Projects[Act Project Management],70)))</f>
        <v/>
      </c>
      <c r="BM71" s="5">
        <f>IF(A71="","",N(INDEX(Projects[Act Systems Eng],70)))</f>
        <v/>
      </c>
      <c r="BN71" s="5">
        <f>IF(A71="","",N(INDEX(Projects[Act Mechanical Eng],70)))</f>
        <v/>
      </c>
      <c r="BO71" s="5">
        <f>IF(A71="","",N(INDEX(Projects[Act Structural Engineering],70)))</f>
        <v/>
      </c>
      <c r="BP71" s="5">
        <f>IF(A71="","",N(INDEX(Projects[Act Site Sup],70)))</f>
        <v/>
      </c>
      <c r="BQ71" s="5">
        <f>IF(A71="","",N(INDEX(Projects[Act Controls Commissioning],70)))</f>
        <v/>
      </c>
      <c r="BR71" s="5">
        <f>IF(A71="","",N(INDEX(Projects[Act Systems Commissioning],70)))</f>
        <v/>
      </c>
      <c r="BS71" s="5">
        <f>IF(A71="","",N(INDEX(Projects[Act Service Commissioning],70)))</f>
        <v/>
      </c>
      <c r="BT71" s="5">
        <f>IF(A71="","",N(INDEX(Projects[Act Controls Eng],70)))</f>
        <v/>
      </c>
      <c r="BU71" s="5">
        <f>IF(A71="","",N(INDEX(Projects[Act Controls Purchase],70)))</f>
        <v/>
      </c>
      <c r="BV71" s="5">
        <f>IF(A71="","",N(INDEX(Projects[Act Software Eng],70)))</f>
        <v/>
      </c>
      <c r="BW71" s="5">
        <f>IF(A71="","",N(INDEX(Projects[Act 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  <c r="CE71" s="5">
        <f>INDEX(Projects[Act Data Status],70)&amp;""</f>
        <v/>
      </c>
      <c r="CF71" s="5">
        <f>IF(A71="","",N(INDEX(Projects[Est Mech Inst],70)))</f>
        <v/>
      </c>
      <c r="CG71" s="5">
        <f>IF(A71="","",N(INDEX(Projects[Est Elec Inst],70)))</f>
        <v/>
      </c>
      <c r="CH71" s="5">
        <f>IF(A71="","",N(INDEX(Projects[Est Project Management],70)))</f>
        <v/>
      </c>
      <c r="CI71" s="5">
        <f>IF(A71="","",N(INDEX(Projects[Est Systems Eng],70)))</f>
        <v/>
      </c>
      <c r="CJ71" s="5">
        <f>IF(A71="","",N(INDEX(Projects[Est Mechanical Eng],70)))</f>
        <v/>
      </c>
      <c r="CK71" s="5">
        <f>IF(A71="","",N(INDEX(Projects[Est Structural Engineering],70)))</f>
        <v/>
      </c>
      <c r="CL71" s="5">
        <f>IF(A71="","",N(INDEX(Projects[Est Site Sup],70)))</f>
        <v/>
      </c>
      <c r="CM71" s="5">
        <f>IF(A71="","",N(INDEX(Projects[Est Controls Commissioning],70)))</f>
        <v/>
      </c>
      <c r="CN71" s="5">
        <f>IF(A71="","",N(INDEX(Projects[Est Systems Commissioning],70)))</f>
        <v/>
      </c>
      <c r="CO71" s="5">
        <f>IF(A71="","",N(INDEX(Projects[Est Service Commissioning],70)))</f>
        <v/>
      </c>
      <c r="CP71" s="5">
        <f>IF(A71="","",N(INDEX(Projects[Est Controls Eng],70)))</f>
        <v/>
      </c>
      <c r="CQ71" s="5">
        <f>IF(A71="","",N(INDEX(Projects[Est Controls Purchase],70)))</f>
        <v/>
      </c>
      <c r="CR71" s="5">
        <f>IF(A71="","",N(INDEX(Projects[Est Software Eng],70)))</f>
        <v/>
      </c>
      <c r="CS71" s="5">
        <f>IF(A71="","",N(INDEX(Projects[Est Misc],70)))</f>
        <v/>
      </c>
      <c r="CT71" s="5">
        <f>IF(A71="","",SUM(CF71:CS71))</f>
        <v/>
      </c>
      <c r="CU71" s="5">
        <f>INDEX(Projects[Est Cost (M)],70)</f>
        <v/>
      </c>
      <c r="CV71" s="5">
        <f>INDEX(Projects[Act Cost (M)],70)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IF(A72="","",N(INDEX(Projects[Act Mech Inst],71)))</f>
        <v/>
      </c>
      <c r="BK72" s="5">
        <f>IF(A72="","",N(INDEX(Projects[Act Elec Inst],71)))</f>
        <v/>
      </c>
      <c r="BL72" s="5">
        <f>IF(A72="","",N(INDEX(Projects[Act Project Management],71)))</f>
        <v/>
      </c>
      <c r="BM72" s="5">
        <f>IF(A72="","",N(INDEX(Projects[Act Systems Eng],71)))</f>
        <v/>
      </c>
      <c r="BN72" s="5">
        <f>IF(A72="","",N(INDEX(Projects[Act Mechanical Eng],71)))</f>
        <v/>
      </c>
      <c r="BO72" s="5">
        <f>IF(A72="","",N(INDEX(Projects[Act Structural Engineering],71)))</f>
        <v/>
      </c>
      <c r="BP72" s="5">
        <f>IF(A72="","",N(INDEX(Projects[Act Site Sup],71)))</f>
        <v/>
      </c>
      <c r="BQ72" s="5">
        <f>IF(A72="","",N(INDEX(Projects[Act Controls Commissioning],71)))</f>
        <v/>
      </c>
      <c r="BR72" s="5">
        <f>IF(A72="","",N(INDEX(Projects[Act Systems Commissioning],71)))</f>
        <v/>
      </c>
      <c r="BS72" s="5">
        <f>IF(A72="","",N(INDEX(Projects[Act Service Commissioning],71)))</f>
        <v/>
      </c>
      <c r="BT72" s="5">
        <f>IF(A72="","",N(INDEX(Projects[Act Controls Eng],71)))</f>
        <v/>
      </c>
      <c r="BU72" s="5">
        <f>IF(A72="","",N(INDEX(Projects[Act Controls Purchase],71)))</f>
        <v/>
      </c>
      <c r="BV72" s="5">
        <f>IF(A72="","",N(INDEX(Projects[Act Software Eng],71)))</f>
        <v/>
      </c>
      <c r="BW72" s="5">
        <f>IF(A72="","",N(INDEX(Projects[Act 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  <c r="CE72" s="5">
        <f>INDEX(Projects[Act Data Status],71)&amp;""</f>
        <v/>
      </c>
      <c r="CF72" s="5">
        <f>IF(A72="","",N(INDEX(Projects[Est Mech Inst],71)))</f>
        <v/>
      </c>
      <c r="CG72" s="5">
        <f>IF(A72="","",N(INDEX(Projects[Est Elec Inst],71)))</f>
        <v/>
      </c>
      <c r="CH72" s="5">
        <f>IF(A72="","",N(INDEX(Projects[Est Project Management],71)))</f>
        <v/>
      </c>
      <c r="CI72" s="5">
        <f>IF(A72="","",N(INDEX(Projects[Est Systems Eng],71)))</f>
        <v/>
      </c>
      <c r="CJ72" s="5">
        <f>IF(A72="","",N(INDEX(Projects[Est Mechanical Eng],71)))</f>
        <v/>
      </c>
      <c r="CK72" s="5">
        <f>IF(A72="","",N(INDEX(Projects[Est Structural Engineering],71)))</f>
        <v/>
      </c>
      <c r="CL72" s="5">
        <f>IF(A72="","",N(INDEX(Projects[Est Site Sup],71)))</f>
        <v/>
      </c>
      <c r="CM72" s="5">
        <f>IF(A72="","",N(INDEX(Projects[Est Controls Commissioning],71)))</f>
        <v/>
      </c>
      <c r="CN72" s="5">
        <f>IF(A72="","",N(INDEX(Projects[Est Systems Commissioning],71)))</f>
        <v/>
      </c>
      <c r="CO72" s="5">
        <f>IF(A72="","",N(INDEX(Projects[Est Service Commissioning],71)))</f>
        <v/>
      </c>
      <c r="CP72" s="5">
        <f>IF(A72="","",N(INDEX(Projects[Est Controls Eng],71)))</f>
        <v/>
      </c>
      <c r="CQ72" s="5">
        <f>IF(A72="","",N(INDEX(Projects[Est Controls Purchase],71)))</f>
        <v/>
      </c>
      <c r="CR72" s="5">
        <f>IF(A72="","",N(INDEX(Projects[Est Software Eng],71)))</f>
        <v/>
      </c>
      <c r="CS72" s="5">
        <f>IF(A72="","",N(INDEX(Projects[Est Misc],71)))</f>
        <v/>
      </c>
      <c r="CT72" s="5">
        <f>IF(A72="","",SUM(CF72:CS72))</f>
        <v/>
      </c>
      <c r="CU72" s="5">
        <f>INDEX(Projects[Est Cost (M)],71)</f>
        <v/>
      </c>
      <c r="CV72" s="5">
        <f>INDEX(Projects[Act Cost (M)],71)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IF(A73="","",N(INDEX(Projects[Act Mech Inst],72)))</f>
        <v/>
      </c>
      <c r="BK73" s="5">
        <f>IF(A73="","",N(INDEX(Projects[Act Elec Inst],72)))</f>
        <v/>
      </c>
      <c r="BL73" s="5">
        <f>IF(A73="","",N(INDEX(Projects[Act Project Management],72)))</f>
        <v/>
      </c>
      <c r="BM73" s="5">
        <f>IF(A73="","",N(INDEX(Projects[Act Systems Eng],72)))</f>
        <v/>
      </c>
      <c r="BN73" s="5">
        <f>IF(A73="","",N(INDEX(Projects[Act Mechanical Eng],72)))</f>
        <v/>
      </c>
      <c r="BO73" s="5">
        <f>IF(A73="","",N(INDEX(Projects[Act Structural Engineering],72)))</f>
        <v/>
      </c>
      <c r="BP73" s="5">
        <f>IF(A73="","",N(INDEX(Projects[Act Site Sup],72)))</f>
        <v/>
      </c>
      <c r="BQ73" s="5">
        <f>IF(A73="","",N(INDEX(Projects[Act Controls Commissioning],72)))</f>
        <v/>
      </c>
      <c r="BR73" s="5">
        <f>IF(A73="","",N(INDEX(Projects[Act Systems Commissioning],72)))</f>
        <v/>
      </c>
      <c r="BS73" s="5">
        <f>IF(A73="","",N(INDEX(Projects[Act Service Commissioning],72)))</f>
        <v/>
      </c>
      <c r="BT73" s="5">
        <f>IF(A73="","",N(INDEX(Projects[Act Controls Eng],72)))</f>
        <v/>
      </c>
      <c r="BU73" s="5">
        <f>IF(A73="","",N(INDEX(Projects[Act Controls Purchase],72)))</f>
        <v/>
      </c>
      <c r="BV73" s="5">
        <f>IF(A73="","",N(INDEX(Projects[Act Software Eng],72)))</f>
        <v/>
      </c>
      <c r="BW73" s="5">
        <f>IF(A73="","",N(INDEX(Projects[Act 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  <c r="CE73" s="5">
        <f>INDEX(Projects[Act Data Status],72)&amp;""</f>
        <v/>
      </c>
      <c r="CF73" s="5">
        <f>IF(A73="","",N(INDEX(Projects[Est Mech Inst],72)))</f>
        <v/>
      </c>
      <c r="CG73" s="5">
        <f>IF(A73="","",N(INDEX(Projects[Est Elec Inst],72)))</f>
        <v/>
      </c>
      <c r="CH73" s="5">
        <f>IF(A73="","",N(INDEX(Projects[Est Project Management],72)))</f>
        <v/>
      </c>
      <c r="CI73" s="5">
        <f>IF(A73="","",N(INDEX(Projects[Est Systems Eng],72)))</f>
        <v/>
      </c>
      <c r="CJ73" s="5">
        <f>IF(A73="","",N(INDEX(Projects[Est Mechanical Eng],72)))</f>
        <v/>
      </c>
      <c r="CK73" s="5">
        <f>IF(A73="","",N(INDEX(Projects[Est Structural Engineering],72)))</f>
        <v/>
      </c>
      <c r="CL73" s="5">
        <f>IF(A73="","",N(INDEX(Projects[Est Site Sup],72)))</f>
        <v/>
      </c>
      <c r="CM73" s="5">
        <f>IF(A73="","",N(INDEX(Projects[Est Controls Commissioning],72)))</f>
        <v/>
      </c>
      <c r="CN73" s="5">
        <f>IF(A73="","",N(INDEX(Projects[Est Systems Commissioning],72)))</f>
        <v/>
      </c>
      <c r="CO73" s="5">
        <f>IF(A73="","",N(INDEX(Projects[Est Service Commissioning],72)))</f>
        <v/>
      </c>
      <c r="CP73" s="5">
        <f>IF(A73="","",N(INDEX(Projects[Est Controls Eng],72)))</f>
        <v/>
      </c>
      <c r="CQ73" s="5">
        <f>IF(A73="","",N(INDEX(Projects[Est Controls Purchase],72)))</f>
        <v/>
      </c>
      <c r="CR73" s="5">
        <f>IF(A73="","",N(INDEX(Projects[Est Software Eng],72)))</f>
        <v/>
      </c>
      <c r="CS73" s="5">
        <f>IF(A73="","",N(INDEX(Projects[Est Misc],72)))</f>
        <v/>
      </c>
      <c r="CT73" s="5">
        <f>IF(A73="","",SUM(CF73:CS73))</f>
        <v/>
      </c>
      <c r="CU73" s="5">
        <f>INDEX(Projects[Est Cost (M)],72)</f>
        <v/>
      </c>
      <c r="CV73" s="5">
        <f>INDEX(Projects[Act Cost (M)],72)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IF(A74="","",N(INDEX(Projects[Act Mech Inst],73)))</f>
        <v/>
      </c>
      <c r="BK74" s="5">
        <f>IF(A74="","",N(INDEX(Projects[Act Elec Inst],73)))</f>
        <v/>
      </c>
      <c r="BL74" s="5">
        <f>IF(A74="","",N(INDEX(Projects[Act Project Management],73)))</f>
        <v/>
      </c>
      <c r="BM74" s="5">
        <f>IF(A74="","",N(INDEX(Projects[Act Systems Eng],73)))</f>
        <v/>
      </c>
      <c r="BN74" s="5">
        <f>IF(A74="","",N(INDEX(Projects[Act Mechanical Eng],73)))</f>
        <v/>
      </c>
      <c r="BO74" s="5">
        <f>IF(A74="","",N(INDEX(Projects[Act Structural Engineering],73)))</f>
        <v/>
      </c>
      <c r="BP74" s="5">
        <f>IF(A74="","",N(INDEX(Projects[Act Site Sup],73)))</f>
        <v/>
      </c>
      <c r="BQ74" s="5">
        <f>IF(A74="","",N(INDEX(Projects[Act Controls Commissioning],73)))</f>
        <v/>
      </c>
      <c r="BR74" s="5">
        <f>IF(A74="","",N(INDEX(Projects[Act Systems Commissioning],73)))</f>
        <v/>
      </c>
      <c r="BS74" s="5">
        <f>IF(A74="","",N(INDEX(Projects[Act Service Commissioning],73)))</f>
        <v/>
      </c>
      <c r="BT74" s="5">
        <f>IF(A74="","",N(INDEX(Projects[Act Controls Eng],73)))</f>
        <v/>
      </c>
      <c r="BU74" s="5">
        <f>IF(A74="","",N(INDEX(Projects[Act Controls Purchase],73)))</f>
        <v/>
      </c>
      <c r="BV74" s="5">
        <f>IF(A74="","",N(INDEX(Projects[Act Software Eng],73)))</f>
        <v/>
      </c>
      <c r="BW74" s="5">
        <f>IF(A74="","",N(INDEX(Projects[Act 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  <c r="CE74" s="5">
        <f>INDEX(Projects[Act Data Status],73)&amp;""</f>
        <v/>
      </c>
      <c r="CF74" s="5">
        <f>IF(A74="","",N(INDEX(Projects[Est Mech Inst],73)))</f>
        <v/>
      </c>
      <c r="CG74" s="5">
        <f>IF(A74="","",N(INDEX(Projects[Est Elec Inst],73)))</f>
        <v/>
      </c>
      <c r="CH74" s="5">
        <f>IF(A74="","",N(INDEX(Projects[Est Project Management],73)))</f>
        <v/>
      </c>
      <c r="CI74" s="5">
        <f>IF(A74="","",N(INDEX(Projects[Est Systems Eng],73)))</f>
        <v/>
      </c>
      <c r="CJ74" s="5">
        <f>IF(A74="","",N(INDEX(Projects[Est Mechanical Eng],73)))</f>
        <v/>
      </c>
      <c r="CK74" s="5">
        <f>IF(A74="","",N(INDEX(Projects[Est Structural Engineering],73)))</f>
        <v/>
      </c>
      <c r="CL74" s="5">
        <f>IF(A74="","",N(INDEX(Projects[Est Site Sup],73)))</f>
        <v/>
      </c>
      <c r="CM74" s="5">
        <f>IF(A74="","",N(INDEX(Projects[Est Controls Commissioning],73)))</f>
        <v/>
      </c>
      <c r="CN74" s="5">
        <f>IF(A74="","",N(INDEX(Projects[Est Systems Commissioning],73)))</f>
        <v/>
      </c>
      <c r="CO74" s="5">
        <f>IF(A74="","",N(INDEX(Projects[Est Service Commissioning],73)))</f>
        <v/>
      </c>
      <c r="CP74" s="5">
        <f>IF(A74="","",N(INDEX(Projects[Est Controls Eng],73)))</f>
        <v/>
      </c>
      <c r="CQ74" s="5">
        <f>IF(A74="","",N(INDEX(Projects[Est Controls Purchase],73)))</f>
        <v/>
      </c>
      <c r="CR74" s="5">
        <f>IF(A74="","",N(INDEX(Projects[Est Software Eng],73)))</f>
        <v/>
      </c>
      <c r="CS74" s="5">
        <f>IF(A74="","",N(INDEX(Projects[Est Misc],73)))</f>
        <v/>
      </c>
      <c r="CT74" s="5">
        <f>IF(A74="","",SUM(CF74:CS74))</f>
        <v/>
      </c>
      <c r="CU74" s="5">
        <f>INDEX(Projects[Est Cost (M)],73)</f>
        <v/>
      </c>
      <c r="CV74" s="5">
        <f>INDEX(Projects[Act Cost (M)],73)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IF(A75="","",N(INDEX(Projects[Act Mech Inst],74)))</f>
        <v/>
      </c>
      <c r="BK75" s="5">
        <f>IF(A75="","",N(INDEX(Projects[Act Elec Inst],74)))</f>
        <v/>
      </c>
      <c r="BL75" s="5">
        <f>IF(A75="","",N(INDEX(Projects[Act Project Management],74)))</f>
        <v/>
      </c>
      <c r="BM75" s="5">
        <f>IF(A75="","",N(INDEX(Projects[Act Systems Eng],74)))</f>
        <v/>
      </c>
      <c r="BN75" s="5">
        <f>IF(A75="","",N(INDEX(Projects[Act Mechanical Eng],74)))</f>
        <v/>
      </c>
      <c r="BO75" s="5">
        <f>IF(A75="","",N(INDEX(Projects[Act Structural Engineering],74)))</f>
        <v/>
      </c>
      <c r="BP75" s="5">
        <f>IF(A75="","",N(INDEX(Projects[Act Site Sup],74)))</f>
        <v/>
      </c>
      <c r="BQ75" s="5">
        <f>IF(A75="","",N(INDEX(Projects[Act Controls Commissioning],74)))</f>
        <v/>
      </c>
      <c r="BR75" s="5">
        <f>IF(A75="","",N(INDEX(Projects[Act Systems Commissioning],74)))</f>
        <v/>
      </c>
      <c r="BS75" s="5">
        <f>IF(A75="","",N(INDEX(Projects[Act Service Commissioning],74)))</f>
        <v/>
      </c>
      <c r="BT75" s="5">
        <f>IF(A75="","",N(INDEX(Projects[Act Controls Eng],74)))</f>
        <v/>
      </c>
      <c r="BU75" s="5">
        <f>IF(A75="","",N(INDEX(Projects[Act Controls Purchase],74)))</f>
        <v/>
      </c>
      <c r="BV75" s="5">
        <f>IF(A75="","",N(INDEX(Projects[Act Software Eng],74)))</f>
        <v/>
      </c>
      <c r="BW75" s="5">
        <f>IF(A75="","",N(INDEX(Projects[Act 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  <c r="CE75" s="5">
        <f>INDEX(Projects[Act Data Status],74)&amp;""</f>
        <v/>
      </c>
      <c r="CF75" s="5">
        <f>IF(A75="","",N(INDEX(Projects[Est Mech Inst],74)))</f>
        <v/>
      </c>
      <c r="CG75" s="5">
        <f>IF(A75="","",N(INDEX(Projects[Est Elec Inst],74)))</f>
        <v/>
      </c>
      <c r="CH75" s="5">
        <f>IF(A75="","",N(INDEX(Projects[Est Project Management],74)))</f>
        <v/>
      </c>
      <c r="CI75" s="5">
        <f>IF(A75="","",N(INDEX(Projects[Est Systems Eng],74)))</f>
        <v/>
      </c>
      <c r="CJ75" s="5">
        <f>IF(A75="","",N(INDEX(Projects[Est Mechanical Eng],74)))</f>
        <v/>
      </c>
      <c r="CK75" s="5">
        <f>IF(A75="","",N(INDEX(Projects[Est Structural Engineering],74)))</f>
        <v/>
      </c>
      <c r="CL75" s="5">
        <f>IF(A75="","",N(INDEX(Projects[Est Site Sup],74)))</f>
        <v/>
      </c>
      <c r="CM75" s="5">
        <f>IF(A75="","",N(INDEX(Projects[Est Controls Commissioning],74)))</f>
        <v/>
      </c>
      <c r="CN75" s="5">
        <f>IF(A75="","",N(INDEX(Projects[Est Systems Commissioning],74)))</f>
        <v/>
      </c>
      <c r="CO75" s="5">
        <f>IF(A75="","",N(INDEX(Projects[Est Service Commissioning],74)))</f>
        <v/>
      </c>
      <c r="CP75" s="5">
        <f>IF(A75="","",N(INDEX(Projects[Est Controls Eng],74)))</f>
        <v/>
      </c>
      <c r="CQ75" s="5">
        <f>IF(A75="","",N(INDEX(Projects[Est Controls Purchase],74)))</f>
        <v/>
      </c>
      <c r="CR75" s="5">
        <f>IF(A75="","",N(INDEX(Projects[Est Software Eng],74)))</f>
        <v/>
      </c>
      <c r="CS75" s="5">
        <f>IF(A75="","",N(INDEX(Projects[Est Misc],74)))</f>
        <v/>
      </c>
      <c r="CT75" s="5">
        <f>IF(A75="","",SUM(CF75:CS75))</f>
        <v/>
      </c>
      <c r="CU75" s="5">
        <f>INDEX(Projects[Est Cost (M)],74)</f>
        <v/>
      </c>
      <c r="CV75" s="5">
        <f>INDEX(Projects[Act Cost (M)],74)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IF(A76="","",N(INDEX(Projects[Act Mech Inst],75)))</f>
        <v/>
      </c>
      <c r="BK76" s="5">
        <f>IF(A76="","",N(INDEX(Projects[Act Elec Inst],75)))</f>
        <v/>
      </c>
      <c r="BL76" s="5">
        <f>IF(A76="","",N(INDEX(Projects[Act Project Management],75)))</f>
        <v/>
      </c>
      <c r="BM76" s="5">
        <f>IF(A76="","",N(INDEX(Projects[Act Systems Eng],75)))</f>
        <v/>
      </c>
      <c r="BN76" s="5">
        <f>IF(A76="","",N(INDEX(Projects[Act Mechanical Eng],75)))</f>
        <v/>
      </c>
      <c r="BO76" s="5">
        <f>IF(A76="","",N(INDEX(Projects[Act Structural Engineering],75)))</f>
        <v/>
      </c>
      <c r="BP76" s="5">
        <f>IF(A76="","",N(INDEX(Projects[Act Site Sup],75)))</f>
        <v/>
      </c>
      <c r="BQ76" s="5">
        <f>IF(A76="","",N(INDEX(Projects[Act Controls Commissioning],75)))</f>
        <v/>
      </c>
      <c r="BR76" s="5">
        <f>IF(A76="","",N(INDEX(Projects[Act Systems Commissioning],75)))</f>
        <v/>
      </c>
      <c r="BS76" s="5">
        <f>IF(A76="","",N(INDEX(Projects[Act Service Commissioning],75)))</f>
        <v/>
      </c>
      <c r="BT76" s="5">
        <f>IF(A76="","",N(INDEX(Projects[Act Controls Eng],75)))</f>
        <v/>
      </c>
      <c r="BU76" s="5">
        <f>IF(A76="","",N(INDEX(Projects[Act Controls Purchase],75)))</f>
        <v/>
      </c>
      <c r="BV76" s="5">
        <f>IF(A76="","",N(INDEX(Projects[Act Software Eng],75)))</f>
        <v/>
      </c>
      <c r="BW76" s="5">
        <f>IF(A76="","",N(INDEX(Projects[Act 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  <c r="CE76" s="5">
        <f>INDEX(Projects[Act Data Status],75)&amp;""</f>
        <v/>
      </c>
      <c r="CF76" s="5">
        <f>IF(A76="","",N(INDEX(Projects[Est Mech Inst],75)))</f>
        <v/>
      </c>
      <c r="CG76" s="5">
        <f>IF(A76="","",N(INDEX(Projects[Est Elec Inst],75)))</f>
        <v/>
      </c>
      <c r="CH76" s="5">
        <f>IF(A76="","",N(INDEX(Projects[Est Project Management],75)))</f>
        <v/>
      </c>
      <c r="CI76" s="5">
        <f>IF(A76="","",N(INDEX(Projects[Est Systems Eng],75)))</f>
        <v/>
      </c>
      <c r="CJ76" s="5">
        <f>IF(A76="","",N(INDEX(Projects[Est Mechanical Eng],75)))</f>
        <v/>
      </c>
      <c r="CK76" s="5">
        <f>IF(A76="","",N(INDEX(Projects[Est Structural Engineering],75)))</f>
        <v/>
      </c>
      <c r="CL76" s="5">
        <f>IF(A76="","",N(INDEX(Projects[Est Site Sup],75)))</f>
        <v/>
      </c>
      <c r="CM76" s="5">
        <f>IF(A76="","",N(INDEX(Projects[Est Controls Commissioning],75)))</f>
        <v/>
      </c>
      <c r="CN76" s="5">
        <f>IF(A76="","",N(INDEX(Projects[Est Systems Commissioning],75)))</f>
        <v/>
      </c>
      <c r="CO76" s="5">
        <f>IF(A76="","",N(INDEX(Projects[Est Service Commissioning],75)))</f>
        <v/>
      </c>
      <c r="CP76" s="5">
        <f>IF(A76="","",N(INDEX(Projects[Est Controls Eng],75)))</f>
        <v/>
      </c>
      <c r="CQ76" s="5">
        <f>IF(A76="","",N(INDEX(Projects[Est Controls Purchase],75)))</f>
        <v/>
      </c>
      <c r="CR76" s="5">
        <f>IF(A76="","",N(INDEX(Projects[Est Software Eng],75)))</f>
        <v/>
      </c>
      <c r="CS76" s="5">
        <f>IF(A76="","",N(INDEX(Projects[Est Misc],75)))</f>
        <v/>
      </c>
      <c r="CT76" s="5">
        <f>IF(A76="","",SUM(CF76:CS76))</f>
        <v/>
      </c>
      <c r="CU76" s="5">
        <f>INDEX(Projects[Est Cost (M)],75)</f>
        <v/>
      </c>
      <c r="CV76" s="5">
        <f>INDEX(Projects[Act Cost (M)],75)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IF(A77="","",N(INDEX(Projects[Act Mech Inst],76)))</f>
        <v/>
      </c>
      <c r="BK77" s="5">
        <f>IF(A77="","",N(INDEX(Projects[Act Elec Inst],76)))</f>
        <v/>
      </c>
      <c r="BL77" s="5">
        <f>IF(A77="","",N(INDEX(Projects[Act Project Management],76)))</f>
        <v/>
      </c>
      <c r="BM77" s="5">
        <f>IF(A77="","",N(INDEX(Projects[Act Systems Eng],76)))</f>
        <v/>
      </c>
      <c r="BN77" s="5">
        <f>IF(A77="","",N(INDEX(Projects[Act Mechanical Eng],76)))</f>
        <v/>
      </c>
      <c r="BO77" s="5">
        <f>IF(A77="","",N(INDEX(Projects[Act Structural Engineering],76)))</f>
        <v/>
      </c>
      <c r="BP77" s="5">
        <f>IF(A77="","",N(INDEX(Projects[Act Site Sup],76)))</f>
        <v/>
      </c>
      <c r="BQ77" s="5">
        <f>IF(A77="","",N(INDEX(Projects[Act Controls Commissioning],76)))</f>
        <v/>
      </c>
      <c r="BR77" s="5">
        <f>IF(A77="","",N(INDEX(Projects[Act Systems Commissioning],76)))</f>
        <v/>
      </c>
      <c r="BS77" s="5">
        <f>IF(A77="","",N(INDEX(Projects[Act Service Commissioning],76)))</f>
        <v/>
      </c>
      <c r="BT77" s="5">
        <f>IF(A77="","",N(INDEX(Projects[Act Controls Eng],76)))</f>
        <v/>
      </c>
      <c r="BU77" s="5">
        <f>IF(A77="","",N(INDEX(Projects[Act Controls Purchase],76)))</f>
        <v/>
      </c>
      <c r="BV77" s="5">
        <f>IF(A77="","",N(INDEX(Projects[Act Software Eng],76)))</f>
        <v/>
      </c>
      <c r="BW77" s="5">
        <f>IF(A77="","",N(INDEX(Projects[Act 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  <c r="CE77" s="5">
        <f>INDEX(Projects[Act Data Status],76)&amp;""</f>
        <v/>
      </c>
      <c r="CF77" s="5">
        <f>IF(A77="","",N(INDEX(Projects[Est Mech Inst],76)))</f>
        <v/>
      </c>
      <c r="CG77" s="5">
        <f>IF(A77="","",N(INDEX(Projects[Est Elec Inst],76)))</f>
        <v/>
      </c>
      <c r="CH77" s="5">
        <f>IF(A77="","",N(INDEX(Projects[Est Project Management],76)))</f>
        <v/>
      </c>
      <c r="CI77" s="5">
        <f>IF(A77="","",N(INDEX(Projects[Est Systems Eng],76)))</f>
        <v/>
      </c>
      <c r="CJ77" s="5">
        <f>IF(A77="","",N(INDEX(Projects[Est Mechanical Eng],76)))</f>
        <v/>
      </c>
      <c r="CK77" s="5">
        <f>IF(A77="","",N(INDEX(Projects[Est Structural Engineering],76)))</f>
        <v/>
      </c>
      <c r="CL77" s="5">
        <f>IF(A77="","",N(INDEX(Projects[Est Site Sup],76)))</f>
        <v/>
      </c>
      <c r="CM77" s="5">
        <f>IF(A77="","",N(INDEX(Projects[Est Controls Commissioning],76)))</f>
        <v/>
      </c>
      <c r="CN77" s="5">
        <f>IF(A77="","",N(INDEX(Projects[Est Systems Commissioning],76)))</f>
        <v/>
      </c>
      <c r="CO77" s="5">
        <f>IF(A77="","",N(INDEX(Projects[Est Service Commissioning],76)))</f>
        <v/>
      </c>
      <c r="CP77" s="5">
        <f>IF(A77="","",N(INDEX(Projects[Est Controls Eng],76)))</f>
        <v/>
      </c>
      <c r="CQ77" s="5">
        <f>IF(A77="","",N(INDEX(Projects[Est Controls Purchase],76)))</f>
        <v/>
      </c>
      <c r="CR77" s="5">
        <f>IF(A77="","",N(INDEX(Projects[Est Software Eng],76)))</f>
        <v/>
      </c>
      <c r="CS77" s="5">
        <f>IF(A77="","",N(INDEX(Projects[Est Misc],76)))</f>
        <v/>
      </c>
      <c r="CT77" s="5">
        <f>IF(A77="","",SUM(CF77:CS77))</f>
        <v/>
      </c>
      <c r="CU77" s="5">
        <f>INDEX(Projects[Est Cost (M)],76)</f>
        <v/>
      </c>
      <c r="CV77" s="5">
        <f>INDEX(Projects[Act Cost (M)],76)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IF(A78="","",N(INDEX(Projects[Act Mech Inst],77)))</f>
        <v/>
      </c>
      <c r="BK78" s="5">
        <f>IF(A78="","",N(INDEX(Projects[Act Elec Inst],77)))</f>
        <v/>
      </c>
      <c r="BL78" s="5">
        <f>IF(A78="","",N(INDEX(Projects[Act Project Management],77)))</f>
        <v/>
      </c>
      <c r="BM78" s="5">
        <f>IF(A78="","",N(INDEX(Projects[Act Systems Eng],77)))</f>
        <v/>
      </c>
      <c r="BN78" s="5">
        <f>IF(A78="","",N(INDEX(Projects[Act Mechanical Eng],77)))</f>
        <v/>
      </c>
      <c r="BO78" s="5">
        <f>IF(A78="","",N(INDEX(Projects[Act Structural Engineering],77)))</f>
        <v/>
      </c>
      <c r="BP78" s="5">
        <f>IF(A78="","",N(INDEX(Projects[Act Site Sup],77)))</f>
        <v/>
      </c>
      <c r="BQ78" s="5">
        <f>IF(A78="","",N(INDEX(Projects[Act Controls Commissioning],77)))</f>
        <v/>
      </c>
      <c r="BR78" s="5">
        <f>IF(A78="","",N(INDEX(Projects[Act Systems Commissioning],77)))</f>
        <v/>
      </c>
      <c r="BS78" s="5">
        <f>IF(A78="","",N(INDEX(Projects[Act Service Commissioning],77)))</f>
        <v/>
      </c>
      <c r="BT78" s="5">
        <f>IF(A78="","",N(INDEX(Projects[Act Controls Eng],77)))</f>
        <v/>
      </c>
      <c r="BU78" s="5">
        <f>IF(A78="","",N(INDEX(Projects[Act Controls Purchase],77)))</f>
        <v/>
      </c>
      <c r="BV78" s="5">
        <f>IF(A78="","",N(INDEX(Projects[Act Software Eng],77)))</f>
        <v/>
      </c>
      <c r="BW78" s="5">
        <f>IF(A78="","",N(INDEX(Projects[Act 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  <c r="CE78" s="5">
        <f>INDEX(Projects[Act Data Status],77)&amp;""</f>
        <v/>
      </c>
      <c r="CF78" s="5">
        <f>IF(A78="","",N(INDEX(Projects[Est Mech Inst],77)))</f>
        <v/>
      </c>
      <c r="CG78" s="5">
        <f>IF(A78="","",N(INDEX(Projects[Est Elec Inst],77)))</f>
        <v/>
      </c>
      <c r="CH78" s="5">
        <f>IF(A78="","",N(INDEX(Projects[Est Project Management],77)))</f>
        <v/>
      </c>
      <c r="CI78" s="5">
        <f>IF(A78="","",N(INDEX(Projects[Est Systems Eng],77)))</f>
        <v/>
      </c>
      <c r="CJ78" s="5">
        <f>IF(A78="","",N(INDEX(Projects[Est Mechanical Eng],77)))</f>
        <v/>
      </c>
      <c r="CK78" s="5">
        <f>IF(A78="","",N(INDEX(Projects[Est Structural Engineering],77)))</f>
        <v/>
      </c>
      <c r="CL78" s="5">
        <f>IF(A78="","",N(INDEX(Projects[Est Site Sup],77)))</f>
        <v/>
      </c>
      <c r="CM78" s="5">
        <f>IF(A78="","",N(INDEX(Projects[Est Controls Commissioning],77)))</f>
        <v/>
      </c>
      <c r="CN78" s="5">
        <f>IF(A78="","",N(INDEX(Projects[Est Systems Commissioning],77)))</f>
        <v/>
      </c>
      <c r="CO78" s="5">
        <f>IF(A78="","",N(INDEX(Projects[Est Service Commissioning],77)))</f>
        <v/>
      </c>
      <c r="CP78" s="5">
        <f>IF(A78="","",N(INDEX(Projects[Est Controls Eng],77)))</f>
        <v/>
      </c>
      <c r="CQ78" s="5">
        <f>IF(A78="","",N(INDEX(Projects[Est Controls Purchase],77)))</f>
        <v/>
      </c>
      <c r="CR78" s="5">
        <f>IF(A78="","",N(INDEX(Projects[Est Software Eng],77)))</f>
        <v/>
      </c>
      <c r="CS78" s="5">
        <f>IF(A78="","",N(INDEX(Projects[Est Misc],77)))</f>
        <v/>
      </c>
      <c r="CT78" s="5">
        <f>IF(A78="","",SUM(CF78:CS78))</f>
        <v/>
      </c>
      <c r="CU78" s="5">
        <f>INDEX(Projects[Est Cost (M)],77)</f>
        <v/>
      </c>
      <c r="CV78" s="5">
        <f>INDEX(Projects[Act Cost (M)],77)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IF(A79="","",N(INDEX(Projects[Act Mech Inst],78)))</f>
        <v/>
      </c>
      <c r="BK79" s="5">
        <f>IF(A79="","",N(INDEX(Projects[Act Elec Inst],78)))</f>
        <v/>
      </c>
      <c r="BL79" s="5">
        <f>IF(A79="","",N(INDEX(Projects[Act Project Management],78)))</f>
        <v/>
      </c>
      <c r="BM79" s="5">
        <f>IF(A79="","",N(INDEX(Projects[Act Systems Eng],78)))</f>
        <v/>
      </c>
      <c r="BN79" s="5">
        <f>IF(A79="","",N(INDEX(Projects[Act Mechanical Eng],78)))</f>
        <v/>
      </c>
      <c r="BO79" s="5">
        <f>IF(A79="","",N(INDEX(Projects[Act Structural Engineering],78)))</f>
        <v/>
      </c>
      <c r="BP79" s="5">
        <f>IF(A79="","",N(INDEX(Projects[Act Site Sup],78)))</f>
        <v/>
      </c>
      <c r="BQ79" s="5">
        <f>IF(A79="","",N(INDEX(Projects[Act Controls Commissioning],78)))</f>
        <v/>
      </c>
      <c r="BR79" s="5">
        <f>IF(A79="","",N(INDEX(Projects[Act Systems Commissioning],78)))</f>
        <v/>
      </c>
      <c r="BS79" s="5">
        <f>IF(A79="","",N(INDEX(Projects[Act Service Commissioning],78)))</f>
        <v/>
      </c>
      <c r="BT79" s="5">
        <f>IF(A79="","",N(INDEX(Projects[Act Controls Eng],78)))</f>
        <v/>
      </c>
      <c r="BU79" s="5">
        <f>IF(A79="","",N(INDEX(Projects[Act Controls Purchase],78)))</f>
        <v/>
      </c>
      <c r="BV79" s="5">
        <f>IF(A79="","",N(INDEX(Projects[Act Software Eng],78)))</f>
        <v/>
      </c>
      <c r="BW79" s="5">
        <f>IF(A79="","",N(INDEX(Projects[Act 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  <c r="CE79" s="5">
        <f>INDEX(Projects[Act Data Status],78)&amp;""</f>
        <v/>
      </c>
      <c r="CF79" s="5">
        <f>IF(A79="","",N(INDEX(Projects[Est Mech Inst],78)))</f>
        <v/>
      </c>
      <c r="CG79" s="5">
        <f>IF(A79="","",N(INDEX(Projects[Est Elec Inst],78)))</f>
        <v/>
      </c>
      <c r="CH79" s="5">
        <f>IF(A79="","",N(INDEX(Projects[Est Project Management],78)))</f>
        <v/>
      </c>
      <c r="CI79" s="5">
        <f>IF(A79="","",N(INDEX(Projects[Est Systems Eng],78)))</f>
        <v/>
      </c>
      <c r="CJ79" s="5">
        <f>IF(A79="","",N(INDEX(Projects[Est Mechanical Eng],78)))</f>
        <v/>
      </c>
      <c r="CK79" s="5">
        <f>IF(A79="","",N(INDEX(Projects[Est Structural Engineering],78)))</f>
        <v/>
      </c>
      <c r="CL79" s="5">
        <f>IF(A79="","",N(INDEX(Projects[Est Site Sup],78)))</f>
        <v/>
      </c>
      <c r="CM79" s="5">
        <f>IF(A79="","",N(INDEX(Projects[Est Controls Commissioning],78)))</f>
        <v/>
      </c>
      <c r="CN79" s="5">
        <f>IF(A79="","",N(INDEX(Projects[Est Systems Commissioning],78)))</f>
        <v/>
      </c>
      <c r="CO79" s="5">
        <f>IF(A79="","",N(INDEX(Projects[Est Service Commissioning],78)))</f>
        <v/>
      </c>
      <c r="CP79" s="5">
        <f>IF(A79="","",N(INDEX(Projects[Est Controls Eng],78)))</f>
        <v/>
      </c>
      <c r="CQ79" s="5">
        <f>IF(A79="","",N(INDEX(Projects[Est Controls Purchase],78)))</f>
        <v/>
      </c>
      <c r="CR79" s="5">
        <f>IF(A79="","",N(INDEX(Projects[Est Software Eng],78)))</f>
        <v/>
      </c>
      <c r="CS79" s="5">
        <f>IF(A79="","",N(INDEX(Projects[Est Misc],78)))</f>
        <v/>
      </c>
      <c r="CT79" s="5">
        <f>IF(A79="","",SUM(CF79:CS79))</f>
        <v/>
      </c>
      <c r="CU79" s="5">
        <f>INDEX(Projects[Est Cost (M)],78)</f>
        <v/>
      </c>
      <c r="CV79" s="5">
        <f>INDEX(Projects[Act Cost (M)],78)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IF(A80="","",N(INDEX(Projects[Act Mech Inst],79)))</f>
        <v/>
      </c>
      <c r="BK80" s="5">
        <f>IF(A80="","",N(INDEX(Projects[Act Elec Inst],79)))</f>
        <v/>
      </c>
      <c r="BL80" s="5">
        <f>IF(A80="","",N(INDEX(Projects[Act Project Management],79)))</f>
        <v/>
      </c>
      <c r="BM80" s="5">
        <f>IF(A80="","",N(INDEX(Projects[Act Systems Eng],79)))</f>
        <v/>
      </c>
      <c r="BN80" s="5">
        <f>IF(A80="","",N(INDEX(Projects[Act Mechanical Eng],79)))</f>
        <v/>
      </c>
      <c r="BO80" s="5">
        <f>IF(A80="","",N(INDEX(Projects[Act Structural Engineering],79)))</f>
        <v/>
      </c>
      <c r="BP80" s="5">
        <f>IF(A80="","",N(INDEX(Projects[Act Site Sup],79)))</f>
        <v/>
      </c>
      <c r="BQ80" s="5">
        <f>IF(A80="","",N(INDEX(Projects[Act Controls Commissioning],79)))</f>
        <v/>
      </c>
      <c r="BR80" s="5">
        <f>IF(A80="","",N(INDEX(Projects[Act Systems Commissioning],79)))</f>
        <v/>
      </c>
      <c r="BS80" s="5">
        <f>IF(A80="","",N(INDEX(Projects[Act Service Commissioning],79)))</f>
        <v/>
      </c>
      <c r="BT80" s="5">
        <f>IF(A80="","",N(INDEX(Projects[Act Controls Eng],79)))</f>
        <v/>
      </c>
      <c r="BU80" s="5">
        <f>IF(A80="","",N(INDEX(Projects[Act Controls Purchase],79)))</f>
        <v/>
      </c>
      <c r="BV80" s="5">
        <f>IF(A80="","",N(INDEX(Projects[Act Software Eng],79)))</f>
        <v/>
      </c>
      <c r="BW80" s="5">
        <f>IF(A80="","",N(INDEX(Projects[Act 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  <c r="CE80" s="5">
        <f>INDEX(Projects[Act Data Status],79)&amp;""</f>
        <v/>
      </c>
      <c r="CF80" s="5">
        <f>IF(A80="","",N(INDEX(Projects[Est Mech Inst],79)))</f>
        <v/>
      </c>
      <c r="CG80" s="5">
        <f>IF(A80="","",N(INDEX(Projects[Est Elec Inst],79)))</f>
        <v/>
      </c>
      <c r="CH80" s="5">
        <f>IF(A80="","",N(INDEX(Projects[Est Project Management],79)))</f>
        <v/>
      </c>
      <c r="CI80" s="5">
        <f>IF(A80="","",N(INDEX(Projects[Est Systems Eng],79)))</f>
        <v/>
      </c>
      <c r="CJ80" s="5">
        <f>IF(A80="","",N(INDEX(Projects[Est Mechanical Eng],79)))</f>
        <v/>
      </c>
      <c r="CK80" s="5">
        <f>IF(A80="","",N(INDEX(Projects[Est Structural Engineering],79)))</f>
        <v/>
      </c>
      <c r="CL80" s="5">
        <f>IF(A80="","",N(INDEX(Projects[Est Site Sup],79)))</f>
        <v/>
      </c>
      <c r="CM80" s="5">
        <f>IF(A80="","",N(INDEX(Projects[Est Controls Commissioning],79)))</f>
        <v/>
      </c>
      <c r="CN80" s="5">
        <f>IF(A80="","",N(INDEX(Projects[Est Systems Commissioning],79)))</f>
        <v/>
      </c>
      <c r="CO80" s="5">
        <f>IF(A80="","",N(INDEX(Projects[Est Service Commissioning],79)))</f>
        <v/>
      </c>
      <c r="CP80" s="5">
        <f>IF(A80="","",N(INDEX(Projects[Est Controls Eng],79)))</f>
        <v/>
      </c>
      <c r="CQ80" s="5">
        <f>IF(A80="","",N(INDEX(Projects[Est Controls Purchase],79)))</f>
        <v/>
      </c>
      <c r="CR80" s="5">
        <f>IF(A80="","",N(INDEX(Projects[Est Software Eng],79)))</f>
        <v/>
      </c>
      <c r="CS80" s="5">
        <f>IF(A80="","",N(INDEX(Projects[Est Misc],79)))</f>
        <v/>
      </c>
      <c r="CT80" s="5">
        <f>IF(A80="","",SUM(CF80:CS80))</f>
        <v/>
      </c>
      <c r="CU80" s="5">
        <f>INDEX(Projects[Est Cost (M)],79)</f>
        <v/>
      </c>
      <c r="CV80" s="5">
        <f>INDEX(Projects[Act Cost (M)],79)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IF(A81="","",N(INDEX(Projects[Act Mech Inst],80)))</f>
        <v/>
      </c>
      <c r="BK81" s="5">
        <f>IF(A81="","",N(INDEX(Projects[Act Elec Inst],80)))</f>
        <v/>
      </c>
      <c r="BL81" s="5">
        <f>IF(A81="","",N(INDEX(Projects[Act Project Management],80)))</f>
        <v/>
      </c>
      <c r="BM81" s="5">
        <f>IF(A81="","",N(INDEX(Projects[Act Systems Eng],80)))</f>
        <v/>
      </c>
      <c r="BN81" s="5">
        <f>IF(A81="","",N(INDEX(Projects[Act Mechanical Eng],80)))</f>
        <v/>
      </c>
      <c r="BO81" s="5">
        <f>IF(A81="","",N(INDEX(Projects[Act Structural Engineering],80)))</f>
        <v/>
      </c>
      <c r="BP81" s="5">
        <f>IF(A81="","",N(INDEX(Projects[Act Site Sup],80)))</f>
        <v/>
      </c>
      <c r="BQ81" s="5">
        <f>IF(A81="","",N(INDEX(Projects[Act Controls Commissioning],80)))</f>
        <v/>
      </c>
      <c r="BR81" s="5">
        <f>IF(A81="","",N(INDEX(Projects[Act Systems Commissioning],80)))</f>
        <v/>
      </c>
      <c r="BS81" s="5">
        <f>IF(A81="","",N(INDEX(Projects[Act Service Commissioning],80)))</f>
        <v/>
      </c>
      <c r="BT81" s="5">
        <f>IF(A81="","",N(INDEX(Projects[Act Controls Eng],80)))</f>
        <v/>
      </c>
      <c r="BU81" s="5">
        <f>IF(A81="","",N(INDEX(Projects[Act Controls Purchase],80)))</f>
        <v/>
      </c>
      <c r="BV81" s="5">
        <f>IF(A81="","",N(INDEX(Projects[Act Software Eng],80)))</f>
        <v/>
      </c>
      <c r="BW81" s="5">
        <f>IF(A81="","",N(INDEX(Projects[Act 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  <c r="CE81" s="5">
        <f>INDEX(Projects[Act Data Status],80)&amp;""</f>
        <v/>
      </c>
      <c r="CF81" s="5">
        <f>IF(A81="","",N(INDEX(Projects[Est Mech Inst],80)))</f>
        <v/>
      </c>
      <c r="CG81" s="5">
        <f>IF(A81="","",N(INDEX(Projects[Est Elec Inst],80)))</f>
        <v/>
      </c>
      <c r="CH81" s="5">
        <f>IF(A81="","",N(INDEX(Projects[Est Project Management],80)))</f>
        <v/>
      </c>
      <c r="CI81" s="5">
        <f>IF(A81="","",N(INDEX(Projects[Est Systems Eng],80)))</f>
        <v/>
      </c>
      <c r="CJ81" s="5">
        <f>IF(A81="","",N(INDEX(Projects[Est Mechanical Eng],80)))</f>
        <v/>
      </c>
      <c r="CK81" s="5">
        <f>IF(A81="","",N(INDEX(Projects[Est Structural Engineering],80)))</f>
        <v/>
      </c>
      <c r="CL81" s="5">
        <f>IF(A81="","",N(INDEX(Projects[Est Site Sup],80)))</f>
        <v/>
      </c>
      <c r="CM81" s="5">
        <f>IF(A81="","",N(INDEX(Projects[Est Controls Commissioning],80)))</f>
        <v/>
      </c>
      <c r="CN81" s="5">
        <f>IF(A81="","",N(INDEX(Projects[Est Systems Commissioning],80)))</f>
        <v/>
      </c>
      <c r="CO81" s="5">
        <f>IF(A81="","",N(INDEX(Projects[Est Service Commissioning],80)))</f>
        <v/>
      </c>
      <c r="CP81" s="5">
        <f>IF(A81="","",N(INDEX(Projects[Est Controls Eng],80)))</f>
        <v/>
      </c>
      <c r="CQ81" s="5">
        <f>IF(A81="","",N(INDEX(Projects[Est Controls Purchase],80)))</f>
        <v/>
      </c>
      <c r="CR81" s="5">
        <f>IF(A81="","",N(INDEX(Projects[Est Software Eng],80)))</f>
        <v/>
      </c>
      <c r="CS81" s="5">
        <f>IF(A81="","",N(INDEX(Projects[Est Misc],80)))</f>
        <v/>
      </c>
      <c r="CT81" s="5">
        <f>IF(A81="","",SUM(CF81:CS81))</f>
        <v/>
      </c>
      <c r="CU81" s="5">
        <f>INDEX(Projects[Est Cost (M)],80)</f>
        <v/>
      </c>
      <c r="CV81" s="5">
        <f>INDEX(Projects[Act Cost (M)],80)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IF(A82="","",N(INDEX(Projects[Act Mech Inst],81)))</f>
        <v/>
      </c>
      <c r="BK82" s="5">
        <f>IF(A82="","",N(INDEX(Projects[Act Elec Inst],81)))</f>
        <v/>
      </c>
      <c r="BL82" s="5">
        <f>IF(A82="","",N(INDEX(Projects[Act Project Management],81)))</f>
        <v/>
      </c>
      <c r="BM82" s="5">
        <f>IF(A82="","",N(INDEX(Projects[Act Systems Eng],81)))</f>
        <v/>
      </c>
      <c r="BN82" s="5">
        <f>IF(A82="","",N(INDEX(Projects[Act Mechanical Eng],81)))</f>
        <v/>
      </c>
      <c r="BO82" s="5">
        <f>IF(A82="","",N(INDEX(Projects[Act Structural Engineering],81)))</f>
        <v/>
      </c>
      <c r="BP82" s="5">
        <f>IF(A82="","",N(INDEX(Projects[Act Site Sup],81)))</f>
        <v/>
      </c>
      <c r="BQ82" s="5">
        <f>IF(A82="","",N(INDEX(Projects[Act Controls Commissioning],81)))</f>
        <v/>
      </c>
      <c r="BR82" s="5">
        <f>IF(A82="","",N(INDEX(Projects[Act Systems Commissioning],81)))</f>
        <v/>
      </c>
      <c r="BS82" s="5">
        <f>IF(A82="","",N(INDEX(Projects[Act Service Commissioning],81)))</f>
        <v/>
      </c>
      <c r="BT82" s="5">
        <f>IF(A82="","",N(INDEX(Projects[Act Controls Eng],81)))</f>
        <v/>
      </c>
      <c r="BU82" s="5">
        <f>IF(A82="","",N(INDEX(Projects[Act Controls Purchase],81)))</f>
        <v/>
      </c>
      <c r="BV82" s="5">
        <f>IF(A82="","",N(INDEX(Projects[Act Software Eng],81)))</f>
        <v/>
      </c>
      <c r="BW82" s="5">
        <f>IF(A82="","",N(INDEX(Projects[Act 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  <c r="CE82" s="5">
        <f>INDEX(Projects[Act Data Status],81)&amp;""</f>
        <v/>
      </c>
      <c r="CF82" s="5">
        <f>IF(A82="","",N(INDEX(Projects[Est Mech Inst],81)))</f>
        <v/>
      </c>
      <c r="CG82" s="5">
        <f>IF(A82="","",N(INDEX(Projects[Est Elec Inst],81)))</f>
        <v/>
      </c>
      <c r="CH82" s="5">
        <f>IF(A82="","",N(INDEX(Projects[Est Project Management],81)))</f>
        <v/>
      </c>
      <c r="CI82" s="5">
        <f>IF(A82="","",N(INDEX(Projects[Est Systems Eng],81)))</f>
        <v/>
      </c>
      <c r="CJ82" s="5">
        <f>IF(A82="","",N(INDEX(Projects[Est Mechanical Eng],81)))</f>
        <v/>
      </c>
      <c r="CK82" s="5">
        <f>IF(A82="","",N(INDEX(Projects[Est Structural Engineering],81)))</f>
        <v/>
      </c>
      <c r="CL82" s="5">
        <f>IF(A82="","",N(INDEX(Projects[Est Site Sup],81)))</f>
        <v/>
      </c>
      <c r="CM82" s="5">
        <f>IF(A82="","",N(INDEX(Projects[Est Controls Commissioning],81)))</f>
        <v/>
      </c>
      <c r="CN82" s="5">
        <f>IF(A82="","",N(INDEX(Projects[Est Systems Commissioning],81)))</f>
        <v/>
      </c>
      <c r="CO82" s="5">
        <f>IF(A82="","",N(INDEX(Projects[Est Service Commissioning],81)))</f>
        <v/>
      </c>
      <c r="CP82" s="5">
        <f>IF(A82="","",N(INDEX(Projects[Est Controls Eng],81)))</f>
        <v/>
      </c>
      <c r="CQ82" s="5">
        <f>IF(A82="","",N(INDEX(Projects[Est Controls Purchase],81)))</f>
        <v/>
      </c>
      <c r="CR82" s="5">
        <f>IF(A82="","",N(INDEX(Projects[Est Software Eng],81)))</f>
        <v/>
      </c>
      <c r="CS82" s="5">
        <f>IF(A82="","",N(INDEX(Projects[Est Misc],81)))</f>
        <v/>
      </c>
      <c r="CT82" s="5">
        <f>IF(A82="","",SUM(CF82:CS82))</f>
        <v/>
      </c>
      <c r="CU82" s="5">
        <f>INDEX(Projects[Est Cost (M)],81)</f>
        <v/>
      </c>
      <c r="CV82" s="5">
        <f>INDEX(Projects[Act Cost (M)],81)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IF(A83="","",N(INDEX(Projects[Act Mech Inst],82)))</f>
        <v/>
      </c>
      <c r="BK83" s="5">
        <f>IF(A83="","",N(INDEX(Projects[Act Elec Inst],82)))</f>
        <v/>
      </c>
      <c r="BL83" s="5">
        <f>IF(A83="","",N(INDEX(Projects[Act Project Management],82)))</f>
        <v/>
      </c>
      <c r="BM83" s="5">
        <f>IF(A83="","",N(INDEX(Projects[Act Systems Eng],82)))</f>
        <v/>
      </c>
      <c r="BN83" s="5">
        <f>IF(A83="","",N(INDEX(Projects[Act Mechanical Eng],82)))</f>
        <v/>
      </c>
      <c r="BO83" s="5">
        <f>IF(A83="","",N(INDEX(Projects[Act Structural Engineering],82)))</f>
        <v/>
      </c>
      <c r="BP83" s="5">
        <f>IF(A83="","",N(INDEX(Projects[Act Site Sup],82)))</f>
        <v/>
      </c>
      <c r="BQ83" s="5">
        <f>IF(A83="","",N(INDEX(Projects[Act Controls Commissioning],82)))</f>
        <v/>
      </c>
      <c r="BR83" s="5">
        <f>IF(A83="","",N(INDEX(Projects[Act Systems Commissioning],82)))</f>
        <v/>
      </c>
      <c r="BS83" s="5">
        <f>IF(A83="","",N(INDEX(Projects[Act Service Commissioning],82)))</f>
        <v/>
      </c>
      <c r="BT83" s="5">
        <f>IF(A83="","",N(INDEX(Projects[Act Controls Eng],82)))</f>
        <v/>
      </c>
      <c r="BU83" s="5">
        <f>IF(A83="","",N(INDEX(Projects[Act Controls Purchase],82)))</f>
        <v/>
      </c>
      <c r="BV83" s="5">
        <f>IF(A83="","",N(INDEX(Projects[Act Software Eng],82)))</f>
        <v/>
      </c>
      <c r="BW83" s="5">
        <f>IF(A83="","",N(INDEX(Projects[Act 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  <c r="CE83" s="5">
        <f>INDEX(Projects[Act Data Status],82)&amp;""</f>
        <v/>
      </c>
      <c r="CF83" s="5">
        <f>IF(A83="","",N(INDEX(Projects[Est Mech Inst],82)))</f>
        <v/>
      </c>
      <c r="CG83" s="5">
        <f>IF(A83="","",N(INDEX(Projects[Est Elec Inst],82)))</f>
        <v/>
      </c>
      <c r="CH83" s="5">
        <f>IF(A83="","",N(INDEX(Projects[Est Project Management],82)))</f>
        <v/>
      </c>
      <c r="CI83" s="5">
        <f>IF(A83="","",N(INDEX(Projects[Est Systems Eng],82)))</f>
        <v/>
      </c>
      <c r="CJ83" s="5">
        <f>IF(A83="","",N(INDEX(Projects[Est Mechanical Eng],82)))</f>
        <v/>
      </c>
      <c r="CK83" s="5">
        <f>IF(A83="","",N(INDEX(Projects[Est Structural Engineering],82)))</f>
        <v/>
      </c>
      <c r="CL83" s="5">
        <f>IF(A83="","",N(INDEX(Projects[Est Site Sup],82)))</f>
        <v/>
      </c>
      <c r="CM83" s="5">
        <f>IF(A83="","",N(INDEX(Projects[Est Controls Commissioning],82)))</f>
        <v/>
      </c>
      <c r="CN83" s="5">
        <f>IF(A83="","",N(INDEX(Projects[Est Systems Commissioning],82)))</f>
        <v/>
      </c>
      <c r="CO83" s="5">
        <f>IF(A83="","",N(INDEX(Projects[Est Service Commissioning],82)))</f>
        <v/>
      </c>
      <c r="CP83" s="5">
        <f>IF(A83="","",N(INDEX(Projects[Est Controls Eng],82)))</f>
        <v/>
      </c>
      <c r="CQ83" s="5">
        <f>IF(A83="","",N(INDEX(Projects[Est Controls Purchase],82)))</f>
        <v/>
      </c>
      <c r="CR83" s="5">
        <f>IF(A83="","",N(INDEX(Projects[Est Software Eng],82)))</f>
        <v/>
      </c>
      <c r="CS83" s="5">
        <f>IF(A83="","",N(INDEX(Projects[Est Misc],82)))</f>
        <v/>
      </c>
      <c r="CT83" s="5">
        <f>IF(A83="","",SUM(CF83:CS83))</f>
        <v/>
      </c>
      <c r="CU83" s="5">
        <f>INDEX(Projects[Est Cost (M)],82)</f>
        <v/>
      </c>
      <c r="CV83" s="5">
        <f>INDEX(Projects[Act Cost (M)],82)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IF(A84="","",N(INDEX(Projects[Act Mech Inst],83)))</f>
        <v/>
      </c>
      <c r="BK84" s="5">
        <f>IF(A84="","",N(INDEX(Projects[Act Elec Inst],83)))</f>
        <v/>
      </c>
      <c r="BL84" s="5">
        <f>IF(A84="","",N(INDEX(Projects[Act Project Management],83)))</f>
        <v/>
      </c>
      <c r="BM84" s="5">
        <f>IF(A84="","",N(INDEX(Projects[Act Systems Eng],83)))</f>
        <v/>
      </c>
      <c r="BN84" s="5">
        <f>IF(A84="","",N(INDEX(Projects[Act Mechanical Eng],83)))</f>
        <v/>
      </c>
      <c r="BO84" s="5">
        <f>IF(A84="","",N(INDEX(Projects[Act Structural Engineering],83)))</f>
        <v/>
      </c>
      <c r="BP84" s="5">
        <f>IF(A84="","",N(INDEX(Projects[Act Site Sup],83)))</f>
        <v/>
      </c>
      <c r="BQ84" s="5">
        <f>IF(A84="","",N(INDEX(Projects[Act Controls Commissioning],83)))</f>
        <v/>
      </c>
      <c r="BR84" s="5">
        <f>IF(A84="","",N(INDEX(Projects[Act Systems Commissioning],83)))</f>
        <v/>
      </c>
      <c r="BS84" s="5">
        <f>IF(A84="","",N(INDEX(Projects[Act Service Commissioning],83)))</f>
        <v/>
      </c>
      <c r="BT84" s="5">
        <f>IF(A84="","",N(INDEX(Projects[Act Controls Eng],83)))</f>
        <v/>
      </c>
      <c r="BU84" s="5">
        <f>IF(A84="","",N(INDEX(Projects[Act Controls Purchase],83)))</f>
        <v/>
      </c>
      <c r="BV84" s="5">
        <f>IF(A84="","",N(INDEX(Projects[Act Software Eng],83)))</f>
        <v/>
      </c>
      <c r="BW84" s="5">
        <f>IF(A84="","",N(INDEX(Projects[Act 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  <c r="CE84" s="5">
        <f>INDEX(Projects[Act Data Status],83)&amp;""</f>
        <v/>
      </c>
      <c r="CF84" s="5">
        <f>IF(A84="","",N(INDEX(Projects[Est Mech Inst],83)))</f>
        <v/>
      </c>
      <c r="CG84" s="5">
        <f>IF(A84="","",N(INDEX(Projects[Est Elec Inst],83)))</f>
        <v/>
      </c>
      <c r="CH84" s="5">
        <f>IF(A84="","",N(INDEX(Projects[Est Project Management],83)))</f>
        <v/>
      </c>
      <c r="CI84" s="5">
        <f>IF(A84="","",N(INDEX(Projects[Est Systems Eng],83)))</f>
        <v/>
      </c>
      <c r="CJ84" s="5">
        <f>IF(A84="","",N(INDEX(Projects[Est Mechanical Eng],83)))</f>
        <v/>
      </c>
      <c r="CK84" s="5">
        <f>IF(A84="","",N(INDEX(Projects[Est Structural Engineering],83)))</f>
        <v/>
      </c>
      <c r="CL84" s="5">
        <f>IF(A84="","",N(INDEX(Projects[Est Site Sup],83)))</f>
        <v/>
      </c>
      <c r="CM84" s="5">
        <f>IF(A84="","",N(INDEX(Projects[Est Controls Commissioning],83)))</f>
        <v/>
      </c>
      <c r="CN84" s="5">
        <f>IF(A84="","",N(INDEX(Projects[Est Systems Commissioning],83)))</f>
        <v/>
      </c>
      <c r="CO84" s="5">
        <f>IF(A84="","",N(INDEX(Projects[Est Service Commissioning],83)))</f>
        <v/>
      </c>
      <c r="CP84" s="5">
        <f>IF(A84="","",N(INDEX(Projects[Est Controls Eng],83)))</f>
        <v/>
      </c>
      <c r="CQ84" s="5">
        <f>IF(A84="","",N(INDEX(Projects[Est Controls Purchase],83)))</f>
        <v/>
      </c>
      <c r="CR84" s="5">
        <f>IF(A84="","",N(INDEX(Projects[Est Software Eng],83)))</f>
        <v/>
      </c>
      <c r="CS84" s="5">
        <f>IF(A84="","",N(INDEX(Projects[Est Misc],83)))</f>
        <v/>
      </c>
      <c r="CT84" s="5">
        <f>IF(A84="","",SUM(CF84:CS84))</f>
        <v/>
      </c>
      <c r="CU84" s="5">
        <f>INDEX(Projects[Est Cost (M)],83)</f>
        <v/>
      </c>
      <c r="CV84" s="5">
        <f>INDEX(Projects[Act Cost (M)],83)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IF(A85="","",N(INDEX(Projects[Act Mech Inst],84)))</f>
        <v/>
      </c>
      <c r="BK85" s="5">
        <f>IF(A85="","",N(INDEX(Projects[Act Elec Inst],84)))</f>
        <v/>
      </c>
      <c r="BL85" s="5">
        <f>IF(A85="","",N(INDEX(Projects[Act Project Management],84)))</f>
        <v/>
      </c>
      <c r="BM85" s="5">
        <f>IF(A85="","",N(INDEX(Projects[Act Systems Eng],84)))</f>
        <v/>
      </c>
      <c r="BN85" s="5">
        <f>IF(A85="","",N(INDEX(Projects[Act Mechanical Eng],84)))</f>
        <v/>
      </c>
      <c r="BO85" s="5">
        <f>IF(A85="","",N(INDEX(Projects[Act Structural Engineering],84)))</f>
        <v/>
      </c>
      <c r="BP85" s="5">
        <f>IF(A85="","",N(INDEX(Projects[Act Site Sup],84)))</f>
        <v/>
      </c>
      <c r="BQ85" s="5">
        <f>IF(A85="","",N(INDEX(Projects[Act Controls Commissioning],84)))</f>
        <v/>
      </c>
      <c r="BR85" s="5">
        <f>IF(A85="","",N(INDEX(Projects[Act Systems Commissioning],84)))</f>
        <v/>
      </c>
      <c r="BS85" s="5">
        <f>IF(A85="","",N(INDEX(Projects[Act Service Commissioning],84)))</f>
        <v/>
      </c>
      <c r="BT85" s="5">
        <f>IF(A85="","",N(INDEX(Projects[Act Controls Eng],84)))</f>
        <v/>
      </c>
      <c r="BU85" s="5">
        <f>IF(A85="","",N(INDEX(Projects[Act Controls Purchase],84)))</f>
        <v/>
      </c>
      <c r="BV85" s="5">
        <f>IF(A85="","",N(INDEX(Projects[Act Software Eng],84)))</f>
        <v/>
      </c>
      <c r="BW85" s="5">
        <f>IF(A85="","",N(INDEX(Projects[Act 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  <c r="CE85" s="5">
        <f>INDEX(Projects[Act Data Status],84)&amp;""</f>
        <v/>
      </c>
      <c r="CF85" s="5">
        <f>IF(A85="","",N(INDEX(Projects[Est Mech Inst],84)))</f>
        <v/>
      </c>
      <c r="CG85" s="5">
        <f>IF(A85="","",N(INDEX(Projects[Est Elec Inst],84)))</f>
        <v/>
      </c>
      <c r="CH85" s="5">
        <f>IF(A85="","",N(INDEX(Projects[Est Project Management],84)))</f>
        <v/>
      </c>
      <c r="CI85" s="5">
        <f>IF(A85="","",N(INDEX(Projects[Est Systems Eng],84)))</f>
        <v/>
      </c>
      <c r="CJ85" s="5">
        <f>IF(A85="","",N(INDEX(Projects[Est Mechanical Eng],84)))</f>
        <v/>
      </c>
      <c r="CK85" s="5">
        <f>IF(A85="","",N(INDEX(Projects[Est Structural Engineering],84)))</f>
        <v/>
      </c>
      <c r="CL85" s="5">
        <f>IF(A85="","",N(INDEX(Projects[Est Site Sup],84)))</f>
        <v/>
      </c>
      <c r="CM85" s="5">
        <f>IF(A85="","",N(INDEX(Projects[Est Controls Commissioning],84)))</f>
        <v/>
      </c>
      <c r="CN85" s="5">
        <f>IF(A85="","",N(INDEX(Projects[Est Systems Commissioning],84)))</f>
        <v/>
      </c>
      <c r="CO85" s="5">
        <f>IF(A85="","",N(INDEX(Projects[Est Service Commissioning],84)))</f>
        <v/>
      </c>
      <c r="CP85" s="5">
        <f>IF(A85="","",N(INDEX(Projects[Est Controls Eng],84)))</f>
        <v/>
      </c>
      <c r="CQ85" s="5">
        <f>IF(A85="","",N(INDEX(Projects[Est Controls Purchase],84)))</f>
        <v/>
      </c>
      <c r="CR85" s="5">
        <f>IF(A85="","",N(INDEX(Projects[Est Software Eng],84)))</f>
        <v/>
      </c>
      <c r="CS85" s="5">
        <f>IF(A85="","",N(INDEX(Projects[Est Misc],84)))</f>
        <v/>
      </c>
      <c r="CT85" s="5">
        <f>IF(A85="","",SUM(CF85:CS85))</f>
        <v/>
      </c>
      <c r="CU85" s="5">
        <f>INDEX(Projects[Est Cost (M)],84)</f>
        <v/>
      </c>
      <c r="CV85" s="5">
        <f>INDEX(Projects[Act Cost (M)],84)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IF(A86="","",N(INDEX(Projects[Act Mech Inst],85)))</f>
        <v/>
      </c>
      <c r="BK86" s="5">
        <f>IF(A86="","",N(INDEX(Projects[Act Elec Inst],85)))</f>
        <v/>
      </c>
      <c r="BL86" s="5">
        <f>IF(A86="","",N(INDEX(Projects[Act Project Management],85)))</f>
        <v/>
      </c>
      <c r="BM86" s="5">
        <f>IF(A86="","",N(INDEX(Projects[Act Systems Eng],85)))</f>
        <v/>
      </c>
      <c r="BN86" s="5">
        <f>IF(A86="","",N(INDEX(Projects[Act Mechanical Eng],85)))</f>
        <v/>
      </c>
      <c r="BO86" s="5">
        <f>IF(A86="","",N(INDEX(Projects[Act Structural Engineering],85)))</f>
        <v/>
      </c>
      <c r="BP86" s="5">
        <f>IF(A86="","",N(INDEX(Projects[Act Site Sup],85)))</f>
        <v/>
      </c>
      <c r="BQ86" s="5">
        <f>IF(A86="","",N(INDEX(Projects[Act Controls Commissioning],85)))</f>
        <v/>
      </c>
      <c r="BR86" s="5">
        <f>IF(A86="","",N(INDEX(Projects[Act Systems Commissioning],85)))</f>
        <v/>
      </c>
      <c r="BS86" s="5">
        <f>IF(A86="","",N(INDEX(Projects[Act Service Commissioning],85)))</f>
        <v/>
      </c>
      <c r="BT86" s="5">
        <f>IF(A86="","",N(INDEX(Projects[Act Controls Eng],85)))</f>
        <v/>
      </c>
      <c r="BU86" s="5">
        <f>IF(A86="","",N(INDEX(Projects[Act Controls Purchase],85)))</f>
        <v/>
      </c>
      <c r="BV86" s="5">
        <f>IF(A86="","",N(INDEX(Projects[Act Software Eng],85)))</f>
        <v/>
      </c>
      <c r="BW86" s="5">
        <f>IF(A86="","",N(INDEX(Projects[Act 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  <c r="CE86" s="5">
        <f>INDEX(Projects[Act Data Status],85)&amp;""</f>
        <v/>
      </c>
      <c r="CF86" s="5">
        <f>IF(A86="","",N(INDEX(Projects[Est Mech Inst],85)))</f>
        <v/>
      </c>
      <c r="CG86" s="5">
        <f>IF(A86="","",N(INDEX(Projects[Est Elec Inst],85)))</f>
        <v/>
      </c>
      <c r="CH86" s="5">
        <f>IF(A86="","",N(INDEX(Projects[Est Project Management],85)))</f>
        <v/>
      </c>
      <c r="CI86" s="5">
        <f>IF(A86="","",N(INDEX(Projects[Est Systems Eng],85)))</f>
        <v/>
      </c>
      <c r="CJ86" s="5">
        <f>IF(A86="","",N(INDEX(Projects[Est Mechanical Eng],85)))</f>
        <v/>
      </c>
      <c r="CK86" s="5">
        <f>IF(A86="","",N(INDEX(Projects[Est Structural Engineering],85)))</f>
        <v/>
      </c>
      <c r="CL86" s="5">
        <f>IF(A86="","",N(INDEX(Projects[Est Site Sup],85)))</f>
        <v/>
      </c>
      <c r="CM86" s="5">
        <f>IF(A86="","",N(INDEX(Projects[Est Controls Commissioning],85)))</f>
        <v/>
      </c>
      <c r="CN86" s="5">
        <f>IF(A86="","",N(INDEX(Projects[Est Systems Commissioning],85)))</f>
        <v/>
      </c>
      <c r="CO86" s="5">
        <f>IF(A86="","",N(INDEX(Projects[Est Service Commissioning],85)))</f>
        <v/>
      </c>
      <c r="CP86" s="5">
        <f>IF(A86="","",N(INDEX(Projects[Est Controls Eng],85)))</f>
        <v/>
      </c>
      <c r="CQ86" s="5">
        <f>IF(A86="","",N(INDEX(Projects[Est Controls Purchase],85)))</f>
        <v/>
      </c>
      <c r="CR86" s="5">
        <f>IF(A86="","",N(INDEX(Projects[Est Software Eng],85)))</f>
        <v/>
      </c>
      <c r="CS86" s="5">
        <f>IF(A86="","",N(INDEX(Projects[Est Misc],85)))</f>
        <v/>
      </c>
      <c r="CT86" s="5">
        <f>IF(A86="","",SUM(CF86:CS86))</f>
        <v/>
      </c>
      <c r="CU86" s="5">
        <f>INDEX(Projects[Est Cost (M)],85)</f>
        <v/>
      </c>
      <c r="CV86" s="5">
        <f>INDEX(Projects[Act Cost (M)],85)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IF(A87="","",N(INDEX(Projects[Act Mech Inst],86)))</f>
        <v/>
      </c>
      <c r="BK87" s="5">
        <f>IF(A87="","",N(INDEX(Projects[Act Elec Inst],86)))</f>
        <v/>
      </c>
      <c r="BL87" s="5">
        <f>IF(A87="","",N(INDEX(Projects[Act Project Management],86)))</f>
        <v/>
      </c>
      <c r="BM87" s="5">
        <f>IF(A87="","",N(INDEX(Projects[Act Systems Eng],86)))</f>
        <v/>
      </c>
      <c r="BN87" s="5">
        <f>IF(A87="","",N(INDEX(Projects[Act Mechanical Eng],86)))</f>
        <v/>
      </c>
      <c r="BO87" s="5">
        <f>IF(A87="","",N(INDEX(Projects[Act Structural Engineering],86)))</f>
        <v/>
      </c>
      <c r="BP87" s="5">
        <f>IF(A87="","",N(INDEX(Projects[Act Site Sup],86)))</f>
        <v/>
      </c>
      <c r="BQ87" s="5">
        <f>IF(A87="","",N(INDEX(Projects[Act Controls Commissioning],86)))</f>
        <v/>
      </c>
      <c r="BR87" s="5">
        <f>IF(A87="","",N(INDEX(Projects[Act Systems Commissioning],86)))</f>
        <v/>
      </c>
      <c r="BS87" s="5">
        <f>IF(A87="","",N(INDEX(Projects[Act Service Commissioning],86)))</f>
        <v/>
      </c>
      <c r="BT87" s="5">
        <f>IF(A87="","",N(INDEX(Projects[Act Controls Eng],86)))</f>
        <v/>
      </c>
      <c r="BU87" s="5">
        <f>IF(A87="","",N(INDEX(Projects[Act Controls Purchase],86)))</f>
        <v/>
      </c>
      <c r="BV87" s="5">
        <f>IF(A87="","",N(INDEX(Projects[Act Software Eng],86)))</f>
        <v/>
      </c>
      <c r="BW87" s="5">
        <f>IF(A87="","",N(INDEX(Projects[Act 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  <c r="CE87" s="5">
        <f>INDEX(Projects[Act Data Status],86)&amp;""</f>
        <v/>
      </c>
      <c r="CF87" s="5">
        <f>IF(A87="","",N(INDEX(Projects[Est Mech Inst],86)))</f>
        <v/>
      </c>
      <c r="CG87" s="5">
        <f>IF(A87="","",N(INDEX(Projects[Est Elec Inst],86)))</f>
        <v/>
      </c>
      <c r="CH87" s="5">
        <f>IF(A87="","",N(INDEX(Projects[Est Project Management],86)))</f>
        <v/>
      </c>
      <c r="CI87" s="5">
        <f>IF(A87="","",N(INDEX(Projects[Est Systems Eng],86)))</f>
        <v/>
      </c>
      <c r="CJ87" s="5">
        <f>IF(A87="","",N(INDEX(Projects[Est Mechanical Eng],86)))</f>
        <v/>
      </c>
      <c r="CK87" s="5">
        <f>IF(A87="","",N(INDEX(Projects[Est Structural Engineering],86)))</f>
        <v/>
      </c>
      <c r="CL87" s="5">
        <f>IF(A87="","",N(INDEX(Projects[Est Site Sup],86)))</f>
        <v/>
      </c>
      <c r="CM87" s="5">
        <f>IF(A87="","",N(INDEX(Projects[Est Controls Commissioning],86)))</f>
        <v/>
      </c>
      <c r="CN87" s="5">
        <f>IF(A87="","",N(INDEX(Projects[Est Systems Commissioning],86)))</f>
        <v/>
      </c>
      <c r="CO87" s="5">
        <f>IF(A87="","",N(INDEX(Projects[Est Service Commissioning],86)))</f>
        <v/>
      </c>
      <c r="CP87" s="5">
        <f>IF(A87="","",N(INDEX(Projects[Est Controls Eng],86)))</f>
        <v/>
      </c>
      <c r="CQ87" s="5">
        <f>IF(A87="","",N(INDEX(Projects[Est Controls Purchase],86)))</f>
        <v/>
      </c>
      <c r="CR87" s="5">
        <f>IF(A87="","",N(INDEX(Projects[Est Software Eng],86)))</f>
        <v/>
      </c>
      <c r="CS87" s="5">
        <f>IF(A87="","",N(INDEX(Projects[Est Misc],86)))</f>
        <v/>
      </c>
      <c r="CT87" s="5">
        <f>IF(A87="","",SUM(CF87:CS87))</f>
        <v/>
      </c>
      <c r="CU87" s="5">
        <f>INDEX(Projects[Est Cost (M)],86)</f>
        <v/>
      </c>
      <c r="CV87" s="5">
        <f>INDEX(Projects[Act Cost (M)],86)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IF(A88="","",N(INDEX(Projects[Act Mech Inst],87)))</f>
        <v/>
      </c>
      <c r="BK88" s="5">
        <f>IF(A88="","",N(INDEX(Projects[Act Elec Inst],87)))</f>
        <v/>
      </c>
      <c r="BL88" s="5">
        <f>IF(A88="","",N(INDEX(Projects[Act Project Management],87)))</f>
        <v/>
      </c>
      <c r="BM88" s="5">
        <f>IF(A88="","",N(INDEX(Projects[Act Systems Eng],87)))</f>
        <v/>
      </c>
      <c r="BN88" s="5">
        <f>IF(A88="","",N(INDEX(Projects[Act Mechanical Eng],87)))</f>
        <v/>
      </c>
      <c r="BO88" s="5">
        <f>IF(A88="","",N(INDEX(Projects[Act Structural Engineering],87)))</f>
        <v/>
      </c>
      <c r="BP88" s="5">
        <f>IF(A88="","",N(INDEX(Projects[Act Site Sup],87)))</f>
        <v/>
      </c>
      <c r="BQ88" s="5">
        <f>IF(A88="","",N(INDEX(Projects[Act Controls Commissioning],87)))</f>
        <v/>
      </c>
      <c r="BR88" s="5">
        <f>IF(A88="","",N(INDEX(Projects[Act Systems Commissioning],87)))</f>
        <v/>
      </c>
      <c r="BS88" s="5">
        <f>IF(A88="","",N(INDEX(Projects[Act Service Commissioning],87)))</f>
        <v/>
      </c>
      <c r="BT88" s="5">
        <f>IF(A88="","",N(INDEX(Projects[Act Controls Eng],87)))</f>
        <v/>
      </c>
      <c r="BU88" s="5">
        <f>IF(A88="","",N(INDEX(Projects[Act Controls Purchase],87)))</f>
        <v/>
      </c>
      <c r="BV88" s="5">
        <f>IF(A88="","",N(INDEX(Projects[Act Software Eng],87)))</f>
        <v/>
      </c>
      <c r="BW88" s="5">
        <f>IF(A88="","",N(INDEX(Projects[Act 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  <c r="CE88" s="5">
        <f>INDEX(Projects[Act Data Status],87)&amp;""</f>
        <v/>
      </c>
      <c r="CF88" s="5">
        <f>IF(A88="","",N(INDEX(Projects[Est Mech Inst],87)))</f>
        <v/>
      </c>
      <c r="CG88" s="5">
        <f>IF(A88="","",N(INDEX(Projects[Est Elec Inst],87)))</f>
        <v/>
      </c>
      <c r="CH88" s="5">
        <f>IF(A88="","",N(INDEX(Projects[Est Project Management],87)))</f>
        <v/>
      </c>
      <c r="CI88" s="5">
        <f>IF(A88="","",N(INDEX(Projects[Est Systems Eng],87)))</f>
        <v/>
      </c>
      <c r="CJ88" s="5">
        <f>IF(A88="","",N(INDEX(Projects[Est Mechanical Eng],87)))</f>
        <v/>
      </c>
      <c r="CK88" s="5">
        <f>IF(A88="","",N(INDEX(Projects[Est Structural Engineering],87)))</f>
        <v/>
      </c>
      <c r="CL88" s="5">
        <f>IF(A88="","",N(INDEX(Projects[Est Site Sup],87)))</f>
        <v/>
      </c>
      <c r="CM88" s="5">
        <f>IF(A88="","",N(INDEX(Projects[Est Controls Commissioning],87)))</f>
        <v/>
      </c>
      <c r="CN88" s="5">
        <f>IF(A88="","",N(INDEX(Projects[Est Systems Commissioning],87)))</f>
        <v/>
      </c>
      <c r="CO88" s="5">
        <f>IF(A88="","",N(INDEX(Projects[Est Service Commissioning],87)))</f>
        <v/>
      </c>
      <c r="CP88" s="5">
        <f>IF(A88="","",N(INDEX(Projects[Est Controls Eng],87)))</f>
        <v/>
      </c>
      <c r="CQ88" s="5">
        <f>IF(A88="","",N(INDEX(Projects[Est Controls Purchase],87)))</f>
        <v/>
      </c>
      <c r="CR88" s="5">
        <f>IF(A88="","",N(INDEX(Projects[Est Software Eng],87)))</f>
        <v/>
      </c>
      <c r="CS88" s="5">
        <f>IF(A88="","",N(INDEX(Projects[Est Misc],87)))</f>
        <v/>
      </c>
      <c r="CT88" s="5">
        <f>IF(A88="","",SUM(CF88:CS88))</f>
        <v/>
      </c>
      <c r="CU88" s="5">
        <f>INDEX(Projects[Est Cost (M)],87)</f>
        <v/>
      </c>
      <c r="CV88" s="5">
        <f>INDEX(Projects[Act Cost (M)],87)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IF(A89="","",N(INDEX(Projects[Act Mech Inst],88)))</f>
        <v/>
      </c>
      <c r="BK89" s="5">
        <f>IF(A89="","",N(INDEX(Projects[Act Elec Inst],88)))</f>
        <v/>
      </c>
      <c r="BL89" s="5">
        <f>IF(A89="","",N(INDEX(Projects[Act Project Management],88)))</f>
        <v/>
      </c>
      <c r="BM89" s="5">
        <f>IF(A89="","",N(INDEX(Projects[Act Systems Eng],88)))</f>
        <v/>
      </c>
      <c r="BN89" s="5">
        <f>IF(A89="","",N(INDEX(Projects[Act Mechanical Eng],88)))</f>
        <v/>
      </c>
      <c r="BO89" s="5">
        <f>IF(A89="","",N(INDEX(Projects[Act Structural Engineering],88)))</f>
        <v/>
      </c>
      <c r="BP89" s="5">
        <f>IF(A89="","",N(INDEX(Projects[Act Site Sup],88)))</f>
        <v/>
      </c>
      <c r="BQ89" s="5">
        <f>IF(A89="","",N(INDEX(Projects[Act Controls Commissioning],88)))</f>
        <v/>
      </c>
      <c r="BR89" s="5">
        <f>IF(A89="","",N(INDEX(Projects[Act Systems Commissioning],88)))</f>
        <v/>
      </c>
      <c r="BS89" s="5">
        <f>IF(A89="","",N(INDEX(Projects[Act Service Commissioning],88)))</f>
        <v/>
      </c>
      <c r="BT89" s="5">
        <f>IF(A89="","",N(INDEX(Projects[Act Controls Eng],88)))</f>
        <v/>
      </c>
      <c r="BU89" s="5">
        <f>IF(A89="","",N(INDEX(Projects[Act Controls Purchase],88)))</f>
        <v/>
      </c>
      <c r="BV89" s="5">
        <f>IF(A89="","",N(INDEX(Projects[Act Software Eng],88)))</f>
        <v/>
      </c>
      <c r="BW89" s="5">
        <f>IF(A89="","",N(INDEX(Projects[Act 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  <c r="CE89" s="5">
        <f>INDEX(Projects[Act Data Status],88)&amp;""</f>
        <v/>
      </c>
      <c r="CF89" s="5">
        <f>IF(A89="","",N(INDEX(Projects[Est Mech Inst],88)))</f>
        <v/>
      </c>
      <c r="CG89" s="5">
        <f>IF(A89="","",N(INDEX(Projects[Est Elec Inst],88)))</f>
        <v/>
      </c>
      <c r="CH89" s="5">
        <f>IF(A89="","",N(INDEX(Projects[Est Project Management],88)))</f>
        <v/>
      </c>
      <c r="CI89" s="5">
        <f>IF(A89="","",N(INDEX(Projects[Est Systems Eng],88)))</f>
        <v/>
      </c>
      <c r="CJ89" s="5">
        <f>IF(A89="","",N(INDEX(Projects[Est Mechanical Eng],88)))</f>
        <v/>
      </c>
      <c r="CK89" s="5">
        <f>IF(A89="","",N(INDEX(Projects[Est Structural Engineering],88)))</f>
        <v/>
      </c>
      <c r="CL89" s="5">
        <f>IF(A89="","",N(INDEX(Projects[Est Site Sup],88)))</f>
        <v/>
      </c>
      <c r="CM89" s="5">
        <f>IF(A89="","",N(INDEX(Projects[Est Controls Commissioning],88)))</f>
        <v/>
      </c>
      <c r="CN89" s="5">
        <f>IF(A89="","",N(INDEX(Projects[Est Systems Commissioning],88)))</f>
        <v/>
      </c>
      <c r="CO89" s="5">
        <f>IF(A89="","",N(INDEX(Projects[Est Service Commissioning],88)))</f>
        <v/>
      </c>
      <c r="CP89" s="5">
        <f>IF(A89="","",N(INDEX(Projects[Est Controls Eng],88)))</f>
        <v/>
      </c>
      <c r="CQ89" s="5">
        <f>IF(A89="","",N(INDEX(Projects[Est Controls Purchase],88)))</f>
        <v/>
      </c>
      <c r="CR89" s="5">
        <f>IF(A89="","",N(INDEX(Projects[Est Software Eng],88)))</f>
        <v/>
      </c>
      <c r="CS89" s="5">
        <f>IF(A89="","",N(INDEX(Projects[Est Misc],88)))</f>
        <v/>
      </c>
      <c r="CT89" s="5">
        <f>IF(A89="","",SUM(CF89:CS89))</f>
        <v/>
      </c>
      <c r="CU89" s="5">
        <f>INDEX(Projects[Est Cost (M)],88)</f>
        <v/>
      </c>
      <c r="CV89" s="5">
        <f>INDEX(Projects[Act Cost (M)],88)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IF(A90="","",N(INDEX(Projects[Act Mech Inst],89)))</f>
        <v/>
      </c>
      <c r="BK90" s="5">
        <f>IF(A90="","",N(INDEX(Projects[Act Elec Inst],89)))</f>
        <v/>
      </c>
      <c r="BL90" s="5">
        <f>IF(A90="","",N(INDEX(Projects[Act Project Management],89)))</f>
        <v/>
      </c>
      <c r="BM90" s="5">
        <f>IF(A90="","",N(INDEX(Projects[Act Systems Eng],89)))</f>
        <v/>
      </c>
      <c r="BN90" s="5">
        <f>IF(A90="","",N(INDEX(Projects[Act Mechanical Eng],89)))</f>
        <v/>
      </c>
      <c r="BO90" s="5">
        <f>IF(A90="","",N(INDEX(Projects[Act Structural Engineering],89)))</f>
        <v/>
      </c>
      <c r="BP90" s="5">
        <f>IF(A90="","",N(INDEX(Projects[Act Site Sup],89)))</f>
        <v/>
      </c>
      <c r="BQ90" s="5">
        <f>IF(A90="","",N(INDEX(Projects[Act Controls Commissioning],89)))</f>
        <v/>
      </c>
      <c r="BR90" s="5">
        <f>IF(A90="","",N(INDEX(Projects[Act Systems Commissioning],89)))</f>
        <v/>
      </c>
      <c r="BS90" s="5">
        <f>IF(A90="","",N(INDEX(Projects[Act Service Commissioning],89)))</f>
        <v/>
      </c>
      <c r="BT90" s="5">
        <f>IF(A90="","",N(INDEX(Projects[Act Controls Eng],89)))</f>
        <v/>
      </c>
      <c r="BU90" s="5">
        <f>IF(A90="","",N(INDEX(Projects[Act Controls Purchase],89)))</f>
        <v/>
      </c>
      <c r="BV90" s="5">
        <f>IF(A90="","",N(INDEX(Projects[Act Software Eng],89)))</f>
        <v/>
      </c>
      <c r="BW90" s="5">
        <f>IF(A90="","",N(INDEX(Projects[Act 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  <c r="CE90" s="5">
        <f>INDEX(Projects[Act Data Status],89)&amp;""</f>
        <v/>
      </c>
      <c r="CF90" s="5">
        <f>IF(A90="","",N(INDEX(Projects[Est Mech Inst],89)))</f>
        <v/>
      </c>
      <c r="CG90" s="5">
        <f>IF(A90="","",N(INDEX(Projects[Est Elec Inst],89)))</f>
        <v/>
      </c>
      <c r="CH90" s="5">
        <f>IF(A90="","",N(INDEX(Projects[Est Project Management],89)))</f>
        <v/>
      </c>
      <c r="CI90" s="5">
        <f>IF(A90="","",N(INDEX(Projects[Est Systems Eng],89)))</f>
        <v/>
      </c>
      <c r="CJ90" s="5">
        <f>IF(A90="","",N(INDEX(Projects[Est Mechanical Eng],89)))</f>
        <v/>
      </c>
      <c r="CK90" s="5">
        <f>IF(A90="","",N(INDEX(Projects[Est Structural Engineering],89)))</f>
        <v/>
      </c>
      <c r="CL90" s="5">
        <f>IF(A90="","",N(INDEX(Projects[Est Site Sup],89)))</f>
        <v/>
      </c>
      <c r="CM90" s="5">
        <f>IF(A90="","",N(INDEX(Projects[Est Controls Commissioning],89)))</f>
        <v/>
      </c>
      <c r="CN90" s="5">
        <f>IF(A90="","",N(INDEX(Projects[Est Systems Commissioning],89)))</f>
        <v/>
      </c>
      <c r="CO90" s="5">
        <f>IF(A90="","",N(INDEX(Projects[Est Service Commissioning],89)))</f>
        <v/>
      </c>
      <c r="CP90" s="5">
        <f>IF(A90="","",N(INDEX(Projects[Est Controls Eng],89)))</f>
        <v/>
      </c>
      <c r="CQ90" s="5">
        <f>IF(A90="","",N(INDEX(Projects[Est Controls Purchase],89)))</f>
        <v/>
      </c>
      <c r="CR90" s="5">
        <f>IF(A90="","",N(INDEX(Projects[Est Software Eng],89)))</f>
        <v/>
      </c>
      <c r="CS90" s="5">
        <f>IF(A90="","",N(INDEX(Projects[Est Misc],89)))</f>
        <v/>
      </c>
      <c r="CT90" s="5">
        <f>IF(A90="","",SUM(CF90:CS90))</f>
        <v/>
      </c>
      <c r="CU90" s="5">
        <f>INDEX(Projects[Est Cost (M)],89)</f>
        <v/>
      </c>
      <c r="CV90" s="5">
        <f>INDEX(Projects[Act Cost (M)],89)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IF(A91="","",N(INDEX(Projects[Act Mech Inst],90)))</f>
        <v/>
      </c>
      <c r="BK91" s="5">
        <f>IF(A91="","",N(INDEX(Projects[Act Elec Inst],90)))</f>
        <v/>
      </c>
      <c r="BL91" s="5">
        <f>IF(A91="","",N(INDEX(Projects[Act Project Management],90)))</f>
        <v/>
      </c>
      <c r="BM91" s="5">
        <f>IF(A91="","",N(INDEX(Projects[Act Systems Eng],90)))</f>
        <v/>
      </c>
      <c r="BN91" s="5">
        <f>IF(A91="","",N(INDEX(Projects[Act Mechanical Eng],90)))</f>
        <v/>
      </c>
      <c r="BO91" s="5">
        <f>IF(A91="","",N(INDEX(Projects[Act Structural Engineering],90)))</f>
        <v/>
      </c>
      <c r="BP91" s="5">
        <f>IF(A91="","",N(INDEX(Projects[Act Site Sup],90)))</f>
        <v/>
      </c>
      <c r="BQ91" s="5">
        <f>IF(A91="","",N(INDEX(Projects[Act Controls Commissioning],90)))</f>
        <v/>
      </c>
      <c r="BR91" s="5">
        <f>IF(A91="","",N(INDEX(Projects[Act Systems Commissioning],90)))</f>
        <v/>
      </c>
      <c r="BS91" s="5">
        <f>IF(A91="","",N(INDEX(Projects[Act Service Commissioning],90)))</f>
        <v/>
      </c>
      <c r="BT91" s="5">
        <f>IF(A91="","",N(INDEX(Projects[Act Controls Eng],90)))</f>
        <v/>
      </c>
      <c r="BU91" s="5">
        <f>IF(A91="","",N(INDEX(Projects[Act Controls Purchase],90)))</f>
        <v/>
      </c>
      <c r="BV91" s="5">
        <f>IF(A91="","",N(INDEX(Projects[Act Software Eng],90)))</f>
        <v/>
      </c>
      <c r="BW91" s="5">
        <f>IF(A91="","",N(INDEX(Projects[Act 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  <c r="CE91" s="5">
        <f>INDEX(Projects[Act Data Status],90)&amp;""</f>
        <v/>
      </c>
      <c r="CF91" s="5">
        <f>IF(A91="","",N(INDEX(Projects[Est Mech Inst],90)))</f>
        <v/>
      </c>
      <c r="CG91" s="5">
        <f>IF(A91="","",N(INDEX(Projects[Est Elec Inst],90)))</f>
        <v/>
      </c>
      <c r="CH91" s="5">
        <f>IF(A91="","",N(INDEX(Projects[Est Project Management],90)))</f>
        <v/>
      </c>
      <c r="CI91" s="5">
        <f>IF(A91="","",N(INDEX(Projects[Est Systems Eng],90)))</f>
        <v/>
      </c>
      <c r="CJ91" s="5">
        <f>IF(A91="","",N(INDEX(Projects[Est Mechanical Eng],90)))</f>
        <v/>
      </c>
      <c r="CK91" s="5">
        <f>IF(A91="","",N(INDEX(Projects[Est Structural Engineering],90)))</f>
        <v/>
      </c>
      <c r="CL91" s="5">
        <f>IF(A91="","",N(INDEX(Projects[Est Site Sup],90)))</f>
        <v/>
      </c>
      <c r="CM91" s="5">
        <f>IF(A91="","",N(INDEX(Projects[Est Controls Commissioning],90)))</f>
        <v/>
      </c>
      <c r="CN91" s="5">
        <f>IF(A91="","",N(INDEX(Projects[Est Systems Commissioning],90)))</f>
        <v/>
      </c>
      <c r="CO91" s="5">
        <f>IF(A91="","",N(INDEX(Projects[Est Service Commissioning],90)))</f>
        <v/>
      </c>
      <c r="CP91" s="5">
        <f>IF(A91="","",N(INDEX(Projects[Est Controls Eng],90)))</f>
        <v/>
      </c>
      <c r="CQ91" s="5">
        <f>IF(A91="","",N(INDEX(Projects[Est Controls Purchase],90)))</f>
        <v/>
      </c>
      <c r="CR91" s="5">
        <f>IF(A91="","",N(INDEX(Projects[Est Software Eng],90)))</f>
        <v/>
      </c>
      <c r="CS91" s="5">
        <f>IF(A91="","",N(INDEX(Projects[Est Misc],90)))</f>
        <v/>
      </c>
      <c r="CT91" s="5">
        <f>IF(A91="","",SUM(CF91:CS91))</f>
        <v/>
      </c>
      <c r="CU91" s="5">
        <f>INDEX(Projects[Est Cost (M)],90)</f>
        <v/>
      </c>
      <c r="CV91" s="5">
        <f>INDEX(Projects[Act Cost (M)],90)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IF(A92="","",N(INDEX(Projects[Act Mech Inst],91)))</f>
        <v/>
      </c>
      <c r="BK92" s="5">
        <f>IF(A92="","",N(INDEX(Projects[Act Elec Inst],91)))</f>
        <v/>
      </c>
      <c r="BL92" s="5">
        <f>IF(A92="","",N(INDEX(Projects[Act Project Management],91)))</f>
        <v/>
      </c>
      <c r="BM92" s="5">
        <f>IF(A92="","",N(INDEX(Projects[Act Systems Eng],91)))</f>
        <v/>
      </c>
      <c r="BN92" s="5">
        <f>IF(A92="","",N(INDEX(Projects[Act Mechanical Eng],91)))</f>
        <v/>
      </c>
      <c r="BO92" s="5">
        <f>IF(A92="","",N(INDEX(Projects[Act Structural Engineering],91)))</f>
        <v/>
      </c>
      <c r="BP92" s="5">
        <f>IF(A92="","",N(INDEX(Projects[Act Site Sup],91)))</f>
        <v/>
      </c>
      <c r="BQ92" s="5">
        <f>IF(A92="","",N(INDEX(Projects[Act Controls Commissioning],91)))</f>
        <v/>
      </c>
      <c r="BR92" s="5">
        <f>IF(A92="","",N(INDEX(Projects[Act Systems Commissioning],91)))</f>
        <v/>
      </c>
      <c r="BS92" s="5">
        <f>IF(A92="","",N(INDEX(Projects[Act Service Commissioning],91)))</f>
        <v/>
      </c>
      <c r="BT92" s="5">
        <f>IF(A92="","",N(INDEX(Projects[Act Controls Eng],91)))</f>
        <v/>
      </c>
      <c r="BU92" s="5">
        <f>IF(A92="","",N(INDEX(Projects[Act Controls Purchase],91)))</f>
        <v/>
      </c>
      <c r="BV92" s="5">
        <f>IF(A92="","",N(INDEX(Projects[Act Software Eng],91)))</f>
        <v/>
      </c>
      <c r="BW92" s="5">
        <f>IF(A92="","",N(INDEX(Projects[Act 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  <c r="CE92" s="5">
        <f>INDEX(Projects[Act Data Status],91)&amp;""</f>
        <v/>
      </c>
      <c r="CF92" s="5">
        <f>IF(A92="","",N(INDEX(Projects[Est Mech Inst],91)))</f>
        <v/>
      </c>
      <c r="CG92" s="5">
        <f>IF(A92="","",N(INDEX(Projects[Est Elec Inst],91)))</f>
        <v/>
      </c>
      <c r="CH92" s="5">
        <f>IF(A92="","",N(INDEX(Projects[Est Project Management],91)))</f>
        <v/>
      </c>
      <c r="CI92" s="5">
        <f>IF(A92="","",N(INDEX(Projects[Est Systems Eng],91)))</f>
        <v/>
      </c>
      <c r="CJ92" s="5">
        <f>IF(A92="","",N(INDEX(Projects[Est Mechanical Eng],91)))</f>
        <v/>
      </c>
      <c r="CK92" s="5">
        <f>IF(A92="","",N(INDEX(Projects[Est Structural Engineering],91)))</f>
        <v/>
      </c>
      <c r="CL92" s="5">
        <f>IF(A92="","",N(INDEX(Projects[Est Site Sup],91)))</f>
        <v/>
      </c>
      <c r="CM92" s="5">
        <f>IF(A92="","",N(INDEX(Projects[Est Controls Commissioning],91)))</f>
        <v/>
      </c>
      <c r="CN92" s="5">
        <f>IF(A92="","",N(INDEX(Projects[Est Systems Commissioning],91)))</f>
        <v/>
      </c>
      <c r="CO92" s="5">
        <f>IF(A92="","",N(INDEX(Projects[Est Service Commissioning],91)))</f>
        <v/>
      </c>
      <c r="CP92" s="5">
        <f>IF(A92="","",N(INDEX(Projects[Est Controls Eng],91)))</f>
        <v/>
      </c>
      <c r="CQ92" s="5">
        <f>IF(A92="","",N(INDEX(Projects[Est Controls Purchase],91)))</f>
        <v/>
      </c>
      <c r="CR92" s="5">
        <f>IF(A92="","",N(INDEX(Projects[Est Software Eng],91)))</f>
        <v/>
      </c>
      <c r="CS92" s="5">
        <f>IF(A92="","",N(INDEX(Projects[Est Misc],91)))</f>
        <v/>
      </c>
      <c r="CT92" s="5">
        <f>IF(A92="","",SUM(CF92:CS92))</f>
        <v/>
      </c>
      <c r="CU92" s="5">
        <f>INDEX(Projects[Est Cost (M)],91)</f>
        <v/>
      </c>
      <c r="CV92" s="5">
        <f>INDEX(Projects[Act Cost (M)],91)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IF(A93="","",N(INDEX(Projects[Act Mech Inst],92)))</f>
        <v/>
      </c>
      <c r="BK93" s="5">
        <f>IF(A93="","",N(INDEX(Projects[Act Elec Inst],92)))</f>
        <v/>
      </c>
      <c r="BL93" s="5">
        <f>IF(A93="","",N(INDEX(Projects[Act Project Management],92)))</f>
        <v/>
      </c>
      <c r="BM93" s="5">
        <f>IF(A93="","",N(INDEX(Projects[Act Systems Eng],92)))</f>
        <v/>
      </c>
      <c r="BN93" s="5">
        <f>IF(A93="","",N(INDEX(Projects[Act Mechanical Eng],92)))</f>
        <v/>
      </c>
      <c r="BO93" s="5">
        <f>IF(A93="","",N(INDEX(Projects[Act Structural Engineering],92)))</f>
        <v/>
      </c>
      <c r="BP93" s="5">
        <f>IF(A93="","",N(INDEX(Projects[Act Site Sup],92)))</f>
        <v/>
      </c>
      <c r="BQ93" s="5">
        <f>IF(A93="","",N(INDEX(Projects[Act Controls Commissioning],92)))</f>
        <v/>
      </c>
      <c r="BR93" s="5">
        <f>IF(A93="","",N(INDEX(Projects[Act Systems Commissioning],92)))</f>
        <v/>
      </c>
      <c r="BS93" s="5">
        <f>IF(A93="","",N(INDEX(Projects[Act Service Commissioning],92)))</f>
        <v/>
      </c>
      <c r="BT93" s="5">
        <f>IF(A93="","",N(INDEX(Projects[Act Controls Eng],92)))</f>
        <v/>
      </c>
      <c r="BU93" s="5">
        <f>IF(A93="","",N(INDEX(Projects[Act Controls Purchase],92)))</f>
        <v/>
      </c>
      <c r="BV93" s="5">
        <f>IF(A93="","",N(INDEX(Projects[Act Software Eng],92)))</f>
        <v/>
      </c>
      <c r="BW93" s="5">
        <f>IF(A93="","",N(INDEX(Projects[Act 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  <c r="CE93" s="5">
        <f>INDEX(Projects[Act Data Status],92)&amp;""</f>
        <v/>
      </c>
      <c r="CF93" s="5">
        <f>IF(A93="","",N(INDEX(Projects[Est Mech Inst],92)))</f>
        <v/>
      </c>
      <c r="CG93" s="5">
        <f>IF(A93="","",N(INDEX(Projects[Est Elec Inst],92)))</f>
        <v/>
      </c>
      <c r="CH93" s="5">
        <f>IF(A93="","",N(INDEX(Projects[Est Project Management],92)))</f>
        <v/>
      </c>
      <c r="CI93" s="5">
        <f>IF(A93="","",N(INDEX(Projects[Est Systems Eng],92)))</f>
        <v/>
      </c>
      <c r="CJ93" s="5">
        <f>IF(A93="","",N(INDEX(Projects[Est Mechanical Eng],92)))</f>
        <v/>
      </c>
      <c r="CK93" s="5">
        <f>IF(A93="","",N(INDEX(Projects[Est Structural Engineering],92)))</f>
        <v/>
      </c>
      <c r="CL93" s="5">
        <f>IF(A93="","",N(INDEX(Projects[Est Site Sup],92)))</f>
        <v/>
      </c>
      <c r="CM93" s="5">
        <f>IF(A93="","",N(INDEX(Projects[Est Controls Commissioning],92)))</f>
        <v/>
      </c>
      <c r="CN93" s="5">
        <f>IF(A93="","",N(INDEX(Projects[Est Systems Commissioning],92)))</f>
        <v/>
      </c>
      <c r="CO93" s="5">
        <f>IF(A93="","",N(INDEX(Projects[Est Service Commissioning],92)))</f>
        <v/>
      </c>
      <c r="CP93" s="5">
        <f>IF(A93="","",N(INDEX(Projects[Est Controls Eng],92)))</f>
        <v/>
      </c>
      <c r="CQ93" s="5">
        <f>IF(A93="","",N(INDEX(Projects[Est Controls Purchase],92)))</f>
        <v/>
      </c>
      <c r="CR93" s="5">
        <f>IF(A93="","",N(INDEX(Projects[Est Software Eng],92)))</f>
        <v/>
      </c>
      <c r="CS93" s="5">
        <f>IF(A93="","",N(INDEX(Projects[Est Misc],92)))</f>
        <v/>
      </c>
      <c r="CT93" s="5">
        <f>IF(A93="","",SUM(CF93:CS93))</f>
        <v/>
      </c>
      <c r="CU93" s="5">
        <f>INDEX(Projects[Est Cost (M)],92)</f>
        <v/>
      </c>
      <c r="CV93" s="5">
        <f>INDEX(Projects[Act Cost (M)],92)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IF(A94="","",N(INDEX(Projects[Act Mech Inst],93)))</f>
        <v/>
      </c>
      <c r="BK94" s="5">
        <f>IF(A94="","",N(INDEX(Projects[Act Elec Inst],93)))</f>
        <v/>
      </c>
      <c r="BL94" s="5">
        <f>IF(A94="","",N(INDEX(Projects[Act Project Management],93)))</f>
        <v/>
      </c>
      <c r="BM94" s="5">
        <f>IF(A94="","",N(INDEX(Projects[Act Systems Eng],93)))</f>
        <v/>
      </c>
      <c r="BN94" s="5">
        <f>IF(A94="","",N(INDEX(Projects[Act Mechanical Eng],93)))</f>
        <v/>
      </c>
      <c r="BO94" s="5">
        <f>IF(A94="","",N(INDEX(Projects[Act Structural Engineering],93)))</f>
        <v/>
      </c>
      <c r="BP94" s="5">
        <f>IF(A94="","",N(INDEX(Projects[Act Site Sup],93)))</f>
        <v/>
      </c>
      <c r="BQ94" s="5">
        <f>IF(A94="","",N(INDEX(Projects[Act Controls Commissioning],93)))</f>
        <v/>
      </c>
      <c r="BR94" s="5">
        <f>IF(A94="","",N(INDEX(Projects[Act Systems Commissioning],93)))</f>
        <v/>
      </c>
      <c r="BS94" s="5">
        <f>IF(A94="","",N(INDEX(Projects[Act Service Commissioning],93)))</f>
        <v/>
      </c>
      <c r="BT94" s="5">
        <f>IF(A94="","",N(INDEX(Projects[Act Controls Eng],93)))</f>
        <v/>
      </c>
      <c r="BU94" s="5">
        <f>IF(A94="","",N(INDEX(Projects[Act Controls Purchase],93)))</f>
        <v/>
      </c>
      <c r="BV94" s="5">
        <f>IF(A94="","",N(INDEX(Projects[Act Software Eng],93)))</f>
        <v/>
      </c>
      <c r="BW94" s="5">
        <f>IF(A94="","",N(INDEX(Projects[Act 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  <c r="CE94" s="5">
        <f>INDEX(Projects[Act Data Status],93)&amp;""</f>
        <v/>
      </c>
      <c r="CF94" s="5">
        <f>IF(A94="","",N(INDEX(Projects[Est Mech Inst],93)))</f>
        <v/>
      </c>
      <c r="CG94" s="5">
        <f>IF(A94="","",N(INDEX(Projects[Est Elec Inst],93)))</f>
        <v/>
      </c>
      <c r="CH94" s="5">
        <f>IF(A94="","",N(INDEX(Projects[Est Project Management],93)))</f>
        <v/>
      </c>
      <c r="CI94" s="5">
        <f>IF(A94="","",N(INDEX(Projects[Est Systems Eng],93)))</f>
        <v/>
      </c>
      <c r="CJ94" s="5">
        <f>IF(A94="","",N(INDEX(Projects[Est Mechanical Eng],93)))</f>
        <v/>
      </c>
      <c r="CK94" s="5">
        <f>IF(A94="","",N(INDEX(Projects[Est Structural Engineering],93)))</f>
        <v/>
      </c>
      <c r="CL94" s="5">
        <f>IF(A94="","",N(INDEX(Projects[Est Site Sup],93)))</f>
        <v/>
      </c>
      <c r="CM94" s="5">
        <f>IF(A94="","",N(INDEX(Projects[Est Controls Commissioning],93)))</f>
        <v/>
      </c>
      <c r="CN94" s="5">
        <f>IF(A94="","",N(INDEX(Projects[Est Systems Commissioning],93)))</f>
        <v/>
      </c>
      <c r="CO94" s="5">
        <f>IF(A94="","",N(INDEX(Projects[Est Service Commissioning],93)))</f>
        <v/>
      </c>
      <c r="CP94" s="5">
        <f>IF(A94="","",N(INDEX(Projects[Est Controls Eng],93)))</f>
        <v/>
      </c>
      <c r="CQ94" s="5">
        <f>IF(A94="","",N(INDEX(Projects[Est Controls Purchase],93)))</f>
        <v/>
      </c>
      <c r="CR94" s="5">
        <f>IF(A94="","",N(INDEX(Projects[Est Software Eng],93)))</f>
        <v/>
      </c>
      <c r="CS94" s="5">
        <f>IF(A94="","",N(INDEX(Projects[Est Misc],93)))</f>
        <v/>
      </c>
      <c r="CT94" s="5">
        <f>IF(A94="","",SUM(CF94:CS94))</f>
        <v/>
      </c>
      <c r="CU94" s="5">
        <f>INDEX(Projects[Est Cost (M)],93)</f>
        <v/>
      </c>
      <c r="CV94" s="5">
        <f>INDEX(Projects[Act Cost (M)],93)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IF(A95="","",N(INDEX(Projects[Act Mech Inst],94)))</f>
        <v/>
      </c>
      <c r="BK95" s="5">
        <f>IF(A95="","",N(INDEX(Projects[Act Elec Inst],94)))</f>
        <v/>
      </c>
      <c r="BL95" s="5">
        <f>IF(A95="","",N(INDEX(Projects[Act Project Management],94)))</f>
        <v/>
      </c>
      <c r="BM95" s="5">
        <f>IF(A95="","",N(INDEX(Projects[Act Systems Eng],94)))</f>
        <v/>
      </c>
      <c r="BN95" s="5">
        <f>IF(A95="","",N(INDEX(Projects[Act Mechanical Eng],94)))</f>
        <v/>
      </c>
      <c r="BO95" s="5">
        <f>IF(A95="","",N(INDEX(Projects[Act Structural Engineering],94)))</f>
        <v/>
      </c>
      <c r="BP95" s="5">
        <f>IF(A95="","",N(INDEX(Projects[Act Site Sup],94)))</f>
        <v/>
      </c>
      <c r="BQ95" s="5">
        <f>IF(A95="","",N(INDEX(Projects[Act Controls Commissioning],94)))</f>
        <v/>
      </c>
      <c r="BR95" s="5">
        <f>IF(A95="","",N(INDEX(Projects[Act Systems Commissioning],94)))</f>
        <v/>
      </c>
      <c r="BS95" s="5">
        <f>IF(A95="","",N(INDEX(Projects[Act Service Commissioning],94)))</f>
        <v/>
      </c>
      <c r="BT95" s="5">
        <f>IF(A95="","",N(INDEX(Projects[Act Controls Eng],94)))</f>
        <v/>
      </c>
      <c r="BU95" s="5">
        <f>IF(A95="","",N(INDEX(Projects[Act Controls Purchase],94)))</f>
        <v/>
      </c>
      <c r="BV95" s="5">
        <f>IF(A95="","",N(INDEX(Projects[Act Software Eng],94)))</f>
        <v/>
      </c>
      <c r="BW95" s="5">
        <f>IF(A95="","",N(INDEX(Projects[Act 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  <c r="CE95" s="5">
        <f>INDEX(Projects[Act Data Status],94)&amp;""</f>
        <v/>
      </c>
      <c r="CF95" s="5">
        <f>IF(A95="","",N(INDEX(Projects[Est Mech Inst],94)))</f>
        <v/>
      </c>
      <c r="CG95" s="5">
        <f>IF(A95="","",N(INDEX(Projects[Est Elec Inst],94)))</f>
        <v/>
      </c>
      <c r="CH95" s="5">
        <f>IF(A95="","",N(INDEX(Projects[Est Project Management],94)))</f>
        <v/>
      </c>
      <c r="CI95" s="5">
        <f>IF(A95="","",N(INDEX(Projects[Est Systems Eng],94)))</f>
        <v/>
      </c>
      <c r="CJ95" s="5">
        <f>IF(A95="","",N(INDEX(Projects[Est Mechanical Eng],94)))</f>
        <v/>
      </c>
      <c r="CK95" s="5">
        <f>IF(A95="","",N(INDEX(Projects[Est Structural Engineering],94)))</f>
        <v/>
      </c>
      <c r="CL95" s="5">
        <f>IF(A95="","",N(INDEX(Projects[Est Site Sup],94)))</f>
        <v/>
      </c>
      <c r="CM95" s="5">
        <f>IF(A95="","",N(INDEX(Projects[Est Controls Commissioning],94)))</f>
        <v/>
      </c>
      <c r="CN95" s="5">
        <f>IF(A95="","",N(INDEX(Projects[Est Systems Commissioning],94)))</f>
        <v/>
      </c>
      <c r="CO95" s="5">
        <f>IF(A95="","",N(INDEX(Projects[Est Service Commissioning],94)))</f>
        <v/>
      </c>
      <c r="CP95" s="5">
        <f>IF(A95="","",N(INDEX(Projects[Est Controls Eng],94)))</f>
        <v/>
      </c>
      <c r="CQ95" s="5">
        <f>IF(A95="","",N(INDEX(Projects[Est Controls Purchase],94)))</f>
        <v/>
      </c>
      <c r="CR95" s="5">
        <f>IF(A95="","",N(INDEX(Projects[Est Software Eng],94)))</f>
        <v/>
      </c>
      <c r="CS95" s="5">
        <f>IF(A95="","",N(INDEX(Projects[Est Misc],94)))</f>
        <v/>
      </c>
      <c r="CT95" s="5">
        <f>IF(A95="","",SUM(CF95:CS95))</f>
        <v/>
      </c>
      <c r="CU95" s="5">
        <f>INDEX(Projects[Est Cost (M)],94)</f>
        <v/>
      </c>
      <c r="CV95" s="5">
        <f>INDEX(Projects[Act Cost (M)],94)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IF(A96="","",N(INDEX(Projects[Act Mech Inst],95)))</f>
        <v/>
      </c>
      <c r="BK96" s="5">
        <f>IF(A96="","",N(INDEX(Projects[Act Elec Inst],95)))</f>
        <v/>
      </c>
      <c r="BL96" s="5">
        <f>IF(A96="","",N(INDEX(Projects[Act Project Management],95)))</f>
        <v/>
      </c>
      <c r="BM96" s="5">
        <f>IF(A96="","",N(INDEX(Projects[Act Systems Eng],95)))</f>
        <v/>
      </c>
      <c r="BN96" s="5">
        <f>IF(A96="","",N(INDEX(Projects[Act Mechanical Eng],95)))</f>
        <v/>
      </c>
      <c r="BO96" s="5">
        <f>IF(A96="","",N(INDEX(Projects[Act Structural Engineering],95)))</f>
        <v/>
      </c>
      <c r="BP96" s="5">
        <f>IF(A96="","",N(INDEX(Projects[Act Site Sup],95)))</f>
        <v/>
      </c>
      <c r="BQ96" s="5">
        <f>IF(A96="","",N(INDEX(Projects[Act Controls Commissioning],95)))</f>
        <v/>
      </c>
      <c r="BR96" s="5">
        <f>IF(A96="","",N(INDEX(Projects[Act Systems Commissioning],95)))</f>
        <v/>
      </c>
      <c r="BS96" s="5">
        <f>IF(A96="","",N(INDEX(Projects[Act Service Commissioning],95)))</f>
        <v/>
      </c>
      <c r="BT96" s="5">
        <f>IF(A96="","",N(INDEX(Projects[Act Controls Eng],95)))</f>
        <v/>
      </c>
      <c r="BU96" s="5">
        <f>IF(A96="","",N(INDEX(Projects[Act Controls Purchase],95)))</f>
        <v/>
      </c>
      <c r="BV96" s="5">
        <f>IF(A96="","",N(INDEX(Projects[Act Software Eng],95)))</f>
        <v/>
      </c>
      <c r="BW96" s="5">
        <f>IF(A96="","",N(INDEX(Projects[Act 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  <c r="CE96" s="5">
        <f>INDEX(Projects[Act Data Status],95)&amp;""</f>
        <v/>
      </c>
      <c r="CF96" s="5">
        <f>IF(A96="","",N(INDEX(Projects[Est Mech Inst],95)))</f>
        <v/>
      </c>
      <c r="CG96" s="5">
        <f>IF(A96="","",N(INDEX(Projects[Est Elec Inst],95)))</f>
        <v/>
      </c>
      <c r="CH96" s="5">
        <f>IF(A96="","",N(INDEX(Projects[Est Project Management],95)))</f>
        <v/>
      </c>
      <c r="CI96" s="5">
        <f>IF(A96="","",N(INDEX(Projects[Est Systems Eng],95)))</f>
        <v/>
      </c>
      <c r="CJ96" s="5">
        <f>IF(A96="","",N(INDEX(Projects[Est Mechanical Eng],95)))</f>
        <v/>
      </c>
      <c r="CK96" s="5">
        <f>IF(A96="","",N(INDEX(Projects[Est Structural Engineering],95)))</f>
        <v/>
      </c>
      <c r="CL96" s="5">
        <f>IF(A96="","",N(INDEX(Projects[Est Site Sup],95)))</f>
        <v/>
      </c>
      <c r="CM96" s="5">
        <f>IF(A96="","",N(INDEX(Projects[Est Controls Commissioning],95)))</f>
        <v/>
      </c>
      <c r="CN96" s="5">
        <f>IF(A96="","",N(INDEX(Projects[Est Systems Commissioning],95)))</f>
        <v/>
      </c>
      <c r="CO96" s="5">
        <f>IF(A96="","",N(INDEX(Projects[Est Service Commissioning],95)))</f>
        <v/>
      </c>
      <c r="CP96" s="5">
        <f>IF(A96="","",N(INDEX(Projects[Est Controls Eng],95)))</f>
        <v/>
      </c>
      <c r="CQ96" s="5">
        <f>IF(A96="","",N(INDEX(Projects[Est Controls Purchase],95)))</f>
        <v/>
      </c>
      <c r="CR96" s="5">
        <f>IF(A96="","",N(INDEX(Projects[Est Software Eng],95)))</f>
        <v/>
      </c>
      <c r="CS96" s="5">
        <f>IF(A96="","",N(INDEX(Projects[Est Misc],95)))</f>
        <v/>
      </c>
      <c r="CT96" s="5">
        <f>IF(A96="","",SUM(CF96:CS96))</f>
        <v/>
      </c>
      <c r="CU96" s="5">
        <f>INDEX(Projects[Est Cost (M)],95)</f>
        <v/>
      </c>
      <c r="CV96" s="5">
        <f>INDEX(Projects[Act Cost (M)],95)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IF(A97="","",N(INDEX(Projects[Act Mech Inst],96)))</f>
        <v/>
      </c>
      <c r="BK97" s="5">
        <f>IF(A97="","",N(INDEX(Projects[Act Elec Inst],96)))</f>
        <v/>
      </c>
      <c r="BL97" s="5">
        <f>IF(A97="","",N(INDEX(Projects[Act Project Management],96)))</f>
        <v/>
      </c>
      <c r="BM97" s="5">
        <f>IF(A97="","",N(INDEX(Projects[Act Systems Eng],96)))</f>
        <v/>
      </c>
      <c r="BN97" s="5">
        <f>IF(A97="","",N(INDEX(Projects[Act Mechanical Eng],96)))</f>
        <v/>
      </c>
      <c r="BO97" s="5">
        <f>IF(A97="","",N(INDEX(Projects[Act Structural Engineering],96)))</f>
        <v/>
      </c>
      <c r="BP97" s="5">
        <f>IF(A97="","",N(INDEX(Projects[Act Site Sup],96)))</f>
        <v/>
      </c>
      <c r="BQ97" s="5">
        <f>IF(A97="","",N(INDEX(Projects[Act Controls Commissioning],96)))</f>
        <v/>
      </c>
      <c r="BR97" s="5">
        <f>IF(A97="","",N(INDEX(Projects[Act Systems Commissioning],96)))</f>
        <v/>
      </c>
      <c r="BS97" s="5">
        <f>IF(A97="","",N(INDEX(Projects[Act Service Commissioning],96)))</f>
        <v/>
      </c>
      <c r="BT97" s="5">
        <f>IF(A97="","",N(INDEX(Projects[Act Controls Eng],96)))</f>
        <v/>
      </c>
      <c r="BU97" s="5">
        <f>IF(A97="","",N(INDEX(Projects[Act Controls Purchase],96)))</f>
        <v/>
      </c>
      <c r="BV97" s="5">
        <f>IF(A97="","",N(INDEX(Projects[Act Software Eng],96)))</f>
        <v/>
      </c>
      <c r="BW97" s="5">
        <f>IF(A97="","",N(INDEX(Projects[Act 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  <c r="CE97" s="5">
        <f>INDEX(Projects[Act Data Status],96)&amp;""</f>
        <v/>
      </c>
      <c r="CF97" s="5">
        <f>IF(A97="","",N(INDEX(Projects[Est Mech Inst],96)))</f>
        <v/>
      </c>
      <c r="CG97" s="5">
        <f>IF(A97="","",N(INDEX(Projects[Est Elec Inst],96)))</f>
        <v/>
      </c>
      <c r="CH97" s="5">
        <f>IF(A97="","",N(INDEX(Projects[Est Project Management],96)))</f>
        <v/>
      </c>
      <c r="CI97" s="5">
        <f>IF(A97="","",N(INDEX(Projects[Est Systems Eng],96)))</f>
        <v/>
      </c>
      <c r="CJ97" s="5">
        <f>IF(A97="","",N(INDEX(Projects[Est Mechanical Eng],96)))</f>
        <v/>
      </c>
      <c r="CK97" s="5">
        <f>IF(A97="","",N(INDEX(Projects[Est Structural Engineering],96)))</f>
        <v/>
      </c>
      <c r="CL97" s="5">
        <f>IF(A97="","",N(INDEX(Projects[Est Site Sup],96)))</f>
        <v/>
      </c>
      <c r="CM97" s="5">
        <f>IF(A97="","",N(INDEX(Projects[Est Controls Commissioning],96)))</f>
        <v/>
      </c>
      <c r="CN97" s="5">
        <f>IF(A97="","",N(INDEX(Projects[Est Systems Commissioning],96)))</f>
        <v/>
      </c>
      <c r="CO97" s="5">
        <f>IF(A97="","",N(INDEX(Projects[Est Service Commissioning],96)))</f>
        <v/>
      </c>
      <c r="CP97" s="5">
        <f>IF(A97="","",N(INDEX(Projects[Est Controls Eng],96)))</f>
        <v/>
      </c>
      <c r="CQ97" s="5">
        <f>IF(A97="","",N(INDEX(Projects[Est Controls Purchase],96)))</f>
        <v/>
      </c>
      <c r="CR97" s="5">
        <f>IF(A97="","",N(INDEX(Projects[Est Software Eng],96)))</f>
        <v/>
      </c>
      <c r="CS97" s="5">
        <f>IF(A97="","",N(INDEX(Projects[Est Misc],96)))</f>
        <v/>
      </c>
      <c r="CT97" s="5">
        <f>IF(A97="","",SUM(CF97:CS97))</f>
        <v/>
      </c>
      <c r="CU97" s="5">
        <f>INDEX(Projects[Est Cost (M)],96)</f>
        <v/>
      </c>
      <c r="CV97" s="5">
        <f>INDEX(Projects[Act Cost (M)],96)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IF(A98="","",N(INDEX(Projects[Act Mech Inst],97)))</f>
        <v/>
      </c>
      <c r="BK98" s="5">
        <f>IF(A98="","",N(INDEX(Projects[Act Elec Inst],97)))</f>
        <v/>
      </c>
      <c r="BL98" s="5">
        <f>IF(A98="","",N(INDEX(Projects[Act Project Management],97)))</f>
        <v/>
      </c>
      <c r="BM98" s="5">
        <f>IF(A98="","",N(INDEX(Projects[Act Systems Eng],97)))</f>
        <v/>
      </c>
      <c r="BN98" s="5">
        <f>IF(A98="","",N(INDEX(Projects[Act Mechanical Eng],97)))</f>
        <v/>
      </c>
      <c r="BO98" s="5">
        <f>IF(A98="","",N(INDEX(Projects[Act Structural Engineering],97)))</f>
        <v/>
      </c>
      <c r="BP98" s="5">
        <f>IF(A98="","",N(INDEX(Projects[Act Site Sup],97)))</f>
        <v/>
      </c>
      <c r="BQ98" s="5">
        <f>IF(A98="","",N(INDEX(Projects[Act Controls Commissioning],97)))</f>
        <v/>
      </c>
      <c r="BR98" s="5">
        <f>IF(A98="","",N(INDEX(Projects[Act Systems Commissioning],97)))</f>
        <v/>
      </c>
      <c r="BS98" s="5">
        <f>IF(A98="","",N(INDEX(Projects[Act Service Commissioning],97)))</f>
        <v/>
      </c>
      <c r="BT98" s="5">
        <f>IF(A98="","",N(INDEX(Projects[Act Controls Eng],97)))</f>
        <v/>
      </c>
      <c r="BU98" s="5">
        <f>IF(A98="","",N(INDEX(Projects[Act Controls Purchase],97)))</f>
        <v/>
      </c>
      <c r="BV98" s="5">
        <f>IF(A98="","",N(INDEX(Projects[Act Software Eng],97)))</f>
        <v/>
      </c>
      <c r="BW98" s="5">
        <f>IF(A98="","",N(INDEX(Projects[Act 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  <c r="CE98" s="5">
        <f>INDEX(Projects[Act Data Status],97)&amp;""</f>
        <v/>
      </c>
      <c r="CF98" s="5">
        <f>IF(A98="","",N(INDEX(Projects[Est Mech Inst],97)))</f>
        <v/>
      </c>
      <c r="CG98" s="5">
        <f>IF(A98="","",N(INDEX(Projects[Est Elec Inst],97)))</f>
        <v/>
      </c>
      <c r="CH98" s="5">
        <f>IF(A98="","",N(INDEX(Projects[Est Project Management],97)))</f>
        <v/>
      </c>
      <c r="CI98" s="5">
        <f>IF(A98="","",N(INDEX(Projects[Est Systems Eng],97)))</f>
        <v/>
      </c>
      <c r="CJ98" s="5">
        <f>IF(A98="","",N(INDEX(Projects[Est Mechanical Eng],97)))</f>
        <v/>
      </c>
      <c r="CK98" s="5">
        <f>IF(A98="","",N(INDEX(Projects[Est Structural Engineering],97)))</f>
        <v/>
      </c>
      <c r="CL98" s="5">
        <f>IF(A98="","",N(INDEX(Projects[Est Site Sup],97)))</f>
        <v/>
      </c>
      <c r="CM98" s="5">
        <f>IF(A98="","",N(INDEX(Projects[Est Controls Commissioning],97)))</f>
        <v/>
      </c>
      <c r="CN98" s="5">
        <f>IF(A98="","",N(INDEX(Projects[Est Systems Commissioning],97)))</f>
        <v/>
      </c>
      <c r="CO98" s="5">
        <f>IF(A98="","",N(INDEX(Projects[Est Service Commissioning],97)))</f>
        <v/>
      </c>
      <c r="CP98" s="5">
        <f>IF(A98="","",N(INDEX(Projects[Est Controls Eng],97)))</f>
        <v/>
      </c>
      <c r="CQ98" s="5">
        <f>IF(A98="","",N(INDEX(Projects[Est Controls Purchase],97)))</f>
        <v/>
      </c>
      <c r="CR98" s="5">
        <f>IF(A98="","",N(INDEX(Projects[Est Software Eng],97)))</f>
        <v/>
      </c>
      <c r="CS98" s="5">
        <f>IF(A98="","",N(INDEX(Projects[Est Misc],97)))</f>
        <v/>
      </c>
      <c r="CT98" s="5">
        <f>IF(A98="","",SUM(CF98:CS98))</f>
        <v/>
      </c>
      <c r="CU98" s="5">
        <f>INDEX(Projects[Est Cost (M)],97)</f>
        <v/>
      </c>
      <c r="CV98" s="5">
        <f>INDEX(Projects[Act Cost (M)],97)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IF(A99="","",N(INDEX(Projects[Act Mech Inst],98)))</f>
        <v/>
      </c>
      <c r="BK99" s="5">
        <f>IF(A99="","",N(INDEX(Projects[Act Elec Inst],98)))</f>
        <v/>
      </c>
      <c r="BL99" s="5">
        <f>IF(A99="","",N(INDEX(Projects[Act Project Management],98)))</f>
        <v/>
      </c>
      <c r="BM99" s="5">
        <f>IF(A99="","",N(INDEX(Projects[Act Systems Eng],98)))</f>
        <v/>
      </c>
      <c r="BN99" s="5">
        <f>IF(A99="","",N(INDEX(Projects[Act Mechanical Eng],98)))</f>
        <v/>
      </c>
      <c r="BO99" s="5">
        <f>IF(A99="","",N(INDEX(Projects[Act Structural Engineering],98)))</f>
        <v/>
      </c>
      <c r="BP99" s="5">
        <f>IF(A99="","",N(INDEX(Projects[Act Site Sup],98)))</f>
        <v/>
      </c>
      <c r="BQ99" s="5">
        <f>IF(A99="","",N(INDEX(Projects[Act Controls Commissioning],98)))</f>
        <v/>
      </c>
      <c r="BR99" s="5">
        <f>IF(A99="","",N(INDEX(Projects[Act Systems Commissioning],98)))</f>
        <v/>
      </c>
      <c r="BS99" s="5">
        <f>IF(A99="","",N(INDEX(Projects[Act Service Commissioning],98)))</f>
        <v/>
      </c>
      <c r="BT99" s="5">
        <f>IF(A99="","",N(INDEX(Projects[Act Controls Eng],98)))</f>
        <v/>
      </c>
      <c r="BU99" s="5">
        <f>IF(A99="","",N(INDEX(Projects[Act Controls Purchase],98)))</f>
        <v/>
      </c>
      <c r="BV99" s="5">
        <f>IF(A99="","",N(INDEX(Projects[Act Software Eng],98)))</f>
        <v/>
      </c>
      <c r="BW99" s="5">
        <f>IF(A99="","",N(INDEX(Projects[Act 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  <c r="CE99" s="5">
        <f>INDEX(Projects[Act Data Status],98)&amp;""</f>
        <v/>
      </c>
      <c r="CF99" s="5">
        <f>IF(A99="","",N(INDEX(Projects[Est Mech Inst],98)))</f>
        <v/>
      </c>
      <c r="CG99" s="5">
        <f>IF(A99="","",N(INDEX(Projects[Est Elec Inst],98)))</f>
        <v/>
      </c>
      <c r="CH99" s="5">
        <f>IF(A99="","",N(INDEX(Projects[Est Project Management],98)))</f>
        <v/>
      </c>
      <c r="CI99" s="5">
        <f>IF(A99="","",N(INDEX(Projects[Est Systems Eng],98)))</f>
        <v/>
      </c>
      <c r="CJ99" s="5">
        <f>IF(A99="","",N(INDEX(Projects[Est Mechanical Eng],98)))</f>
        <v/>
      </c>
      <c r="CK99" s="5">
        <f>IF(A99="","",N(INDEX(Projects[Est Structural Engineering],98)))</f>
        <v/>
      </c>
      <c r="CL99" s="5">
        <f>IF(A99="","",N(INDEX(Projects[Est Site Sup],98)))</f>
        <v/>
      </c>
      <c r="CM99" s="5">
        <f>IF(A99="","",N(INDEX(Projects[Est Controls Commissioning],98)))</f>
        <v/>
      </c>
      <c r="CN99" s="5">
        <f>IF(A99="","",N(INDEX(Projects[Est Systems Commissioning],98)))</f>
        <v/>
      </c>
      <c r="CO99" s="5">
        <f>IF(A99="","",N(INDEX(Projects[Est Service Commissioning],98)))</f>
        <v/>
      </c>
      <c r="CP99" s="5">
        <f>IF(A99="","",N(INDEX(Projects[Est Controls Eng],98)))</f>
        <v/>
      </c>
      <c r="CQ99" s="5">
        <f>IF(A99="","",N(INDEX(Projects[Est Controls Purchase],98)))</f>
        <v/>
      </c>
      <c r="CR99" s="5">
        <f>IF(A99="","",N(INDEX(Projects[Est Software Eng],98)))</f>
        <v/>
      </c>
      <c r="CS99" s="5">
        <f>IF(A99="","",N(INDEX(Projects[Est Misc],98)))</f>
        <v/>
      </c>
      <c r="CT99" s="5">
        <f>IF(A99="","",SUM(CF99:CS99))</f>
        <v/>
      </c>
      <c r="CU99" s="5">
        <f>INDEX(Projects[Est Cost (M)],98)</f>
        <v/>
      </c>
      <c r="CV99" s="5">
        <f>INDEX(Projects[Act Cost (M)],98)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IF(A100="","",N(INDEX(Projects[Act Mech Inst],99)))</f>
        <v/>
      </c>
      <c r="BK100" s="5">
        <f>IF(A100="","",N(INDEX(Projects[Act Elec Inst],99)))</f>
        <v/>
      </c>
      <c r="BL100" s="5">
        <f>IF(A100="","",N(INDEX(Projects[Act Project Management],99)))</f>
        <v/>
      </c>
      <c r="BM100" s="5">
        <f>IF(A100="","",N(INDEX(Projects[Act Systems Eng],99)))</f>
        <v/>
      </c>
      <c r="BN100" s="5">
        <f>IF(A100="","",N(INDEX(Projects[Act Mechanical Eng],99)))</f>
        <v/>
      </c>
      <c r="BO100" s="5">
        <f>IF(A100="","",N(INDEX(Projects[Act Structural Engineering],99)))</f>
        <v/>
      </c>
      <c r="BP100" s="5">
        <f>IF(A100="","",N(INDEX(Projects[Act Site Sup],99)))</f>
        <v/>
      </c>
      <c r="BQ100" s="5">
        <f>IF(A100="","",N(INDEX(Projects[Act Controls Commissioning],99)))</f>
        <v/>
      </c>
      <c r="BR100" s="5">
        <f>IF(A100="","",N(INDEX(Projects[Act Systems Commissioning],99)))</f>
        <v/>
      </c>
      <c r="BS100" s="5">
        <f>IF(A100="","",N(INDEX(Projects[Act Service Commissioning],99)))</f>
        <v/>
      </c>
      <c r="BT100" s="5">
        <f>IF(A100="","",N(INDEX(Projects[Act Controls Eng],99)))</f>
        <v/>
      </c>
      <c r="BU100" s="5">
        <f>IF(A100="","",N(INDEX(Projects[Act Controls Purchase],99)))</f>
        <v/>
      </c>
      <c r="BV100" s="5">
        <f>IF(A100="","",N(INDEX(Projects[Act Software Eng],99)))</f>
        <v/>
      </c>
      <c r="BW100" s="5">
        <f>IF(A100="","",N(INDEX(Projects[Act 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  <c r="CE100" s="5">
        <f>INDEX(Projects[Act Data Status],99)&amp;""</f>
        <v/>
      </c>
      <c r="CF100" s="5">
        <f>IF(A100="","",N(INDEX(Projects[Est Mech Inst],99)))</f>
        <v/>
      </c>
      <c r="CG100" s="5">
        <f>IF(A100="","",N(INDEX(Projects[Est Elec Inst],99)))</f>
        <v/>
      </c>
      <c r="CH100" s="5">
        <f>IF(A100="","",N(INDEX(Projects[Est Project Management],99)))</f>
        <v/>
      </c>
      <c r="CI100" s="5">
        <f>IF(A100="","",N(INDEX(Projects[Est Systems Eng],99)))</f>
        <v/>
      </c>
      <c r="CJ100" s="5">
        <f>IF(A100="","",N(INDEX(Projects[Est Mechanical Eng],99)))</f>
        <v/>
      </c>
      <c r="CK100" s="5">
        <f>IF(A100="","",N(INDEX(Projects[Est Structural Engineering],99)))</f>
        <v/>
      </c>
      <c r="CL100" s="5">
        <f>IF(A100="","",N(INDEX(Projects[Est Site Sup],99)))</f>
        <v/>
      </c>
      <c r="CM100" s="5">
        <f>IF(A100="","",N(INDEX(Projects[Est Controls Commissioning],99)))</f>
        <v/>
      </c>
      <c r="CN100" s="5">
        <f>IF(A100="","",N(INDEX(Projects[Est Systems Commissioning],99)))</f>
        <v/>
      </c>
      <c r="CO100" s="5">
        <f>IF(A100="","",N(INDEX(Projects[Est Service Commissioning],99)))</f>
        <v/>
      </c>
      <c r="CP100" s="5">
        <f>IF(A100="","",N(INDEX(Projects[Est Controls Eng],99)))</f>
        <v/>
      </c>
      <c r="CQ100" s="5">
        <f>IF(A100="","",N(INDEX(Projects[Est Controls Purchase],99)))</f>
        <v/>
      </c>
      <c r="CR100" s="5">
        <f>IF(A100="","",N(INDEX(Projects[Est Software Eng],99)))</f>
        <v/>
      </c>
      <c r="CS100" s="5">
        <f>IF(A100="","",N(INDEX(Projects[Est Misc],99)))</f>
        <v/>
      </c>
      <c r="CT100" s="5">
        <f>IF(A100="","",SUM(CF100:CS100))</f>
        <v/>
      </c>
      <c r="CU100" s="5">
        <f>INDEX(Projects[Est Cost (M)],99)</f>
        <v/>
      </c>
      <c r="CV100" s="5">
        <f>INDEX(Projects[Act Cost (M)],99)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IF(A101="","",N(INDEX(Projects[Act Mech Inst],100)))</f>
        <v/>
      </c>
      <c r="BK101" s="5">
        <f>IF(A101="","",N(INDEX(Projects[Act Elec Inst],100)))</f>
        <v/>
      </c>
      <c r="BL101" s="5">
        <f>IF(A101="","",N(INDEX(Projects[Act Project Management],100)))</f>
        <v/>
      </c>
      <c r="BM101" s="5">
        <f>IF(A101="","",N(INDEX(Projects[Act Systems Eng],100)))</f>
        <v/>
      </c>
      <c r="BN101" s="5">
        <f>IF(A101="","",N(INDEX(Projects[Act Mechanical Eng],100)))</f>
        <v/>
      </c>
      <c r="BO101" s="5">
        <f>IF(A101="","",N(INDEX(Projects[Act Structural Engineering],100)))</f>
        <v/>
      </c>
      <c r="BP101" s="5">
        <f>IF(A101="","",N(INDEX(Projects[Act Site Sup],100)))</f>
        <v/>
      </c>
      <c r="BQ101" s="5">
        <f>IF(A101="","",N(INDEX(Projects[Act Controls Commissioning],100)))</f>
        <v/>
      </c>
      <c r="BR101" s="5">
        <f>IF(A101="","",N(INDEX(Projects[Act Systems Commissioning],100)))</f>
        <v/>
      </c>
      <c r="BS101" s="5">
        <f>IF(A101="","",N(INDEX(Projects[Act Service Commissioning],100)))</f>
        <v/>
      </c>
      <c r="BT101" s="5">
        <f>IF(A101="","",N(INDEX(Projects[Act Controls Eng],100)))</f>
        <v/>
      </c>
      <c r="BU101" s="5">
        <f>IF(A101="","",N(INDEX(Projects[Act Controls Purchase],100)))</f>
        <v/>
      </c>
      <c r="BV101" s="5">
        <f>IF(A101="","",N(INDEX(Projects[Act Software Eng],100)))</f>
        <v/>
      </c>
      <c r="BW101" s="5">
        <f>IF(A101="","",N(INDEX(Projects[Act 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  <c r="CE101" s="5">
        <f>INDEX(Projects[Act Data Status],100)&amp;""</f>
        <v/>
      </c>
      <c r="CF101" s="5">
        <f>IF(A101="","",N(INDEX(Projects[Est Mech Inst],100)))</f>
        <v/>
      </c>
      <c r="CG101" s="5">
        <f>IF(A101="","",N(INDEX(Projects[Est Elec Inst],100)))</f>
        <v/>
      </c>
      <c r="CH101" s="5">
        <f>IF(A101="","",N(INDEX(Projects[Est Project Management],100)))</f>
        <v/>
      </c>
      <c r="CI101" s="5">
        <f>IF(A101="","",N(INDEX(Projects[Est Systems Eng],100)))</f>
        <v/>
      </c>
      <c r="CJ101" s="5">
        <f>IF(A101="","",N(INDEX(Projects[Est Mechanical Eng],100)))</f>
        <v/>
      </c>
      <c r="CK101" s="5">
        <f>IF(A101="","",N(INDEX(Projects[Est Structural Engineering],100)))</f>
        <v/>
      </c>
      <c r="CL101" s="5">
        <f>IF(A101="","",N(INDEX(Projects[Est Site Sup],100)))</f>
        <v/>
      </c>
      <c r="CM101" s="5">
        <f>IF(A101="","",N(INDEX(Projects[Est Controls Commissioning],100)))</f>
        <v/>
      </c>
      <c r="CN101" s="5">
        <f>IF(A101="","",N(INDEX(Projects[Est Systems Commissioning],100)))</f>
        <v/>
      </c>
      <c r="CO101" s="5">
        <f>IF(A101="","",N(INDEX(Projects[Est Service Commissioning],100)))</f>
        <v/>
      </c>
      <c r="CP101" s="5">
        <f>IF(A101="","",N(INDEX(Projects[Est Controls Eng],100)))</f>
        <v/>
      </c>
      <c r="CQ101" s="5">
        <f>IF(A101="","",N(INDEX(Projects[Est Controls Purchase],100)))</f>
        <v/>
      </c>
      <c r="CR101" s="5">
        <f>IF(A101="","",N(INDEX(Projects[Est Software Eng],100)))</f>
        <v/>
      </c>
      <c r="CS101" s="5">
        <f>IF(A101="","",N(INDEX(Projects[Est Misc],100)))</f>
        <v/>
      </c>
      <c r="CT101" s="5">
        <f>IF(A101="","",SUM(CF101:CS101))</f>
        <v/>
      </c>
      <c r="CU101" s="5">
        <f>INDEX(Projects[Est Cost (M)],100)</f>
        <v/>
      </c>
      <c r="CV101" s="5">
        <f>INDEX(Projects[Act Cost (M)],100)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IF(A102="","",N(INDEX(Projects[Act Mech Inst],101)))</f>
        <v/>
      </c>
      <c r="BK102" s="5">
        <f>IF(A102="","",N(INDEX(Projects[Act Elec Inst],101)))</f>
        <v/>
      </c>
      <c r="BL102" s="5">
        <f>IF(A102="","",N(INDEX(Projects[Act Project Management],101)))</f>
        <v/>
      </c>
      <c r="BM102" s="5">
        <f>IF(A102="","",N(INDEX(Projects[Act Systems Eng],101)))</f>
        <v/>
      </c>
      <c r="BN102" s="5">
        <f>IF(A102="","",N(INDEX(Projects[Act Mechanical Eng],101)))</f>
        <v/>
      </c>
      <c r="BO102" s="5">
        <f>IF(A102="","",N(INDEX(Projects[Act Structural Engineering],101)))</f>
        <v/>
      </c>
      <c r="BP102" s="5">
        <f>IF(A102="","",N(INDEX(Projects[Act Site Sup],101)))</f>
        <v/>
      </c>
      <c r="BQ102" s="5">
        <f>IF(A102="","",N(INDEX(Projects[Act Controls Commissioning],101)))</f>
        <v/>
      </c>
      <c r="BR102" s="5">
        <f>IF(A102="","",N(INDEX(Projects[Act Systems Commissioning],101)))</f>
        <v/>
      </c>
      <c r="BS102" s="5">
        <f>IF(A102="","",N(INDEX(Projects[Act Service Commissioning],101)))</f>
        <v/>
      </c>
      <c r="BT102" s="5">
        <f>IF(A102="","",N(INDEX(Projects[Act Controls Eng],101)))</f>
        <v/>
      </c>
      <c r="BU102" s="5">
        <f>IF(A102="","",N(INDEX(Projects[Act Controls Purchase],101)))</f>
        <v/>
      </c>
      <c r="BV102" s="5">
        <f>IF(A102="","",N(INDEX(Projects[Act Software Eng],101)))</f>
        <v/>
      </c>
      <c r="BW102" s="5">
        <f>IF(A102="","",N(INDEX(Projects[Act 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  <c r="CE102" s="5">
        <f>INDEX(Projects[Act Data Status],101)&amp;""</f>
        <v/>
      </c>
      <c r="CF102" s="5">
        <f>IF(A102="","",N(INDEX(Projects[Est Mech Inst],101)))</f>
        <v/>
      </c>
      <c r="CG102" s="5">
        <f>IF(A102="","",N(INDEX(Projects[Est Elec Inst],101)))</f>
        <v/>
      </c>
      <c r="CH102" s="5">
        <f>IF(A102="","",N(INDEX(Projects[Est Project Management],101)))</f>
        <v/>
      </c>
      <c r="CI102" s="5">
        <f>IF(A102="","",N(INDEX(Projects[Est Systems Eng],101)))</f>
        <v/>
      </c>
      <c r="CJ102" s="5">
        <f>IF(A102="","",N(INDEX(Projects[Est Mechanical Eng],101)))</f>
        <v/>
      </c>
      <c r="CK102" s="5">
        <f>IF(A102="","",N(INDEX(Projects[Est Structural Engineering],101)))</f>
        <v/>
      </c>
      <c r="CL102" s="5">
        <f>IF(A102="","",N(INDEX(Projects[Est Site Sup],101)))</f>
        <v/>
      </c>
      <c r="CM102" s="5">
        <f>IF(A102="","",N(INDEX(Projects[Est Controls Commissioning],101)))</f>
        <v/>
      </c>
      <c r="CN102" s="5">
        <f>IF(A102="","",N(INDEX(Projects[Est Systems Commissioning],101)))</f>
        <v/>
      </c>
      <c r="CO102" s="5">
        <f>IF(A102="","",N(INDEX(Projects[Est Service Commissioning],101)))</f>
        <v/>
      </c>
      <c r="CP102" s="5">
        <f>IF(A102="","",N(INDEX(Projects[Est Controls Eng],101)))</f>
        <v/>
      </c>
      <c r="CQ102" s="5">
        <f>IF(A102="","",N(INDEX(Projects[Est Controls Purchase],101)))</f>
        <v/>
      </c>
      <c r="CR102" s="5">
        <f>IF(A102="","",N(INDEX(Projects[Est Software Eng],101)))</f>
        <v/>
      </c>
      <c r="CS102" s="5">
        <f>IF(A102="","",N(INDEX(Projects[Est Misc],101)))</f>
        <v/>
      </c>
      <c r="CT102" s="5">
        <f>IF(A102="","",SUM(CF102:CS102))</f>
        <v/>
      </c>
      <c r="CU102" s="5">
        <f>INDEX(Projects[Est Cost (M)],101)</f>
        <v/>
      </c>
      <c r="CV102" s="5">
        <f>INDEX(Projects[Act Cost (M)],101)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IF(A103="","",N(INDEX(Projects[Act Mech Inst],102)))</f>
        <v/>
      </c>
      <c r="BK103" s="5">
        <f>IF(A103="","",N(INDEX(Projects[Act Elec Inst],102)))</f>
        <v/>
      </c>
      <c r="BL103" s="5">
        <f>IF(A103="","",N(INDEX(Projects[Act Project Management],102)))</f>
        <v/>
      </c>
      <c r="BM103" s="5">
        <f>IF(A103="","",N(INDEX(Projects[Act Systems Eng],102)))</f>
        <v/>
      </c>
      <c r="BN103" s="5">
        <f>IF(A103="","",N(INDEX(Projects[Act Mechanical Eng],102)))</f>
        <v/>
      </c>
      <c r="BO103" s="5">
        <f>IF(A103="","",N(INDEX(Projects[Act Structural Engineering],102)))</f>
        <v/>
      </c>
      <c r="BP103" s="5">
        <f>IF(A103="","",N(INDEX(Projects[Act Site Sup],102)))</f>
        <v/>
      </c>
      <c r="BQ103" s="5">
        <f>IF(A103="","",N(INDEX(Projects[Act Controls Commissioning],102)))</f>
        <v/>
      </c>
      <c r="BR103" s="5">
        <f>IF(A103="","",N(INDEX(Projects[Act Systems Commissioning],102)))</f>
        <v/>
      </c>
      <c r="BS103" s="5">
        <f>IF(A103="","",N(INDEX(Projects[Act Service Commissioning],102)))</f>
        <v/>
      </c>
      <c r="BT103" s="5">
        <f>IF(A103="","",N(INDEX(Projects[Act Controls Eng],102)))</f>
        <v/>
      </c>
      <c r="BU103" s="5">
        <f>IF(A103="","",N(INDEX(Projects[Act Controls Purchase],102)))</f>
        <v/>
      </c>
      <c r="BV103" s="5">
        <f>IF(A103="","",N(INDEX(Projects[Act Software Eng],102)))</f>
        <v/>
      </c>
      <c r="BW103" s="5">
        <f>IF(A103="","",N(INDEX(Projects[Act 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  <c r="CE103" s="5">
        <f>INDEX(Projects[Act Data Status],102)&amp;""</f>
        <v/>
      </c>
      <c r="CF103" s="5">
        <f>IF(A103="","",N(INDEX(Projects[Est Mech Inst],102)))</f>
        <v/>
      </c>
      <c r="CG103" s="5">
        <f>IF(A103="","",N(INDEX(Projects[Est Elec Inst],102)))</f>
        <v/>
      </c>
      <c r="CH103" s="5">
        <f>IF(A103="","",N(INDEX(Projects[Est Project Management],102)))</f>
        <v/>
      </c>
      <c r="CI103" s="5">
        <f>IF(A103="","",N(INDEX(Projects[Est Systems Eng],102)))</f>
        <v/>
      </c>
      <c r="CJ103" s="5">
        <f>IF(A103="","",N(INDEX(Projects[Est Mechanical Eng],102)))</f>
        <v/>
      </c>
      <c r="CK103" s="5">
        <f>IF(A103="","",N(INDEX(Projects[Est Structural Engineering],102)))</f>
        <v/>
      </c>
      <c r="CL103" s="5">
        <f>IF(A103="","",N(INDEX(Projects[Est Site Sup],102)))</f>
        <v/>
      </c>
      <c r="CM103" s="5">
        <f>IF(A103="","",N(INDEX(Projects[Est Controls Commissioning],102)))</f>
        <v/>
      </c>
      <c r="CN103" s="5">
        <f>IF(A103="","",N(INDEX(Projects[Est Systems Commissioning],102)))</f>
        <v/>
      </c>
      <c r="CO103" s="5">
        <f>IF(A103="","",N(INDEX(Projects[Est Service Commissioning],102)))</f>
        <v/>
      </c>
      <c r="CP103" s="5">
        <f>IF(A103="","",N(INDEX(Projects[Est Controls Eng],102)))</f>
        <v/>
      </c>
      <c r="CQ103" s="5">
        <f>IF(A103="","",N(INDEX(Projects[Est Controls Purchase],102)))</f>
        <v/>
      </c>
      <c r="CR103" s="5">
        <f>IF(A103="","",N(INDEX(Projects[Est Software Eng],102)))</f>
        <v/>
      </c>
      <c r="CS103" s="5">
        <f>IF(A103="","",N(INDEX(Projects[Est Misc],102)))</f>
        <v/>
      </c>
      <c r="CT103" s="5">
        <f>IF(A103="","",SUM(CF103:CS103))</f>
        <v/>
      </c>
      <c r="CU103" s="5">
        <f>INDEX(Projects[Est Cost (M)],102)</f>
        <v/>
      </c>
      <c r="CV103" s="5">
        <f>INDEX(Projects[Act Cost (M)],102)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IF(A104="","",N(INDEX(Projects[Act Mech Inst],103)))</f>
        <v/>
      </c>
      <c r="BK104" s="5">
        <f>IF(A104="","",N(INDEX(Projects[Act Elec Inst],103)))</f>
        <v/>
      </c>
      <c r="BL104" s="5">
        <f>IF(A104="","",N(INDEX(Projects[Act Project Management],103)))</f>
        <v/>
      </c>
      <c r="BM104" s="5">
        <f>IF(A104="","",N(INDEX(Projects[Act Systems Eng],103)))</f>
        <v/>
      </c>
      <c r="BN104" s="5">
        <f>IF(A104="","",N(INDEX(Projects[Act Mechanical Eng],103)))</f>
        <v/>
      </c>
      <c r="BO104" s="5">
        <f>IF(A104="","",N(INDEX(Projects[Act Structural Engineering],103)))</f>
        <v/>
      </c>
      <c r="BP104" s="5">
        <f>IF(A104="","",N(INDEX(Projects[Act Site Sup],103)))</f>
        <v/>
      </c>
      <c r="BQ104" s="5">
        <f>IF(A104="","",N(INDEX(Projects[Act Controls Commissioning],103)))</f>
        <v/>
      </c>
      <c r="BR104" s="5">
        <f>IF(A104="","",N(INDEX(Projects[Act Systems Commissioning],103)))</f>
        <v/>
      </c>
      <c r="BS104" s="5">
        <f>IF(A104="","",N(INDEX(Projects[Act Service Commissioning],103)))</f>
        <v/>
      </c>
      <c r="BT104" s="5">
        <f>IF(A104="","",N(INDEX(Projects[Act Controls Eng],103)))</f>
        <v/>
      </c>
      <c r="BU104" s="5">
        <f>IF(A104="","",N(INDEX(Projects[Act Controls Purchase],103)))</f>
        <v/>
      </c>
      <c r="BV104" s="5">
        <f>IF(A104="","",N(INDEX(Projects[Act Software Eng],103)))</f>
        <v/>
      </c>
      <c r="BW104" s="5">
        <f>IF(A104="","",N(INDEX(Projects[Act 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  <c r="CE104" s="5">
        <f>INDEX(Projects[Act Data Status],103)&amp;""</f>
        <v/>
      </c>
      <c r="CF104" s="5">
        <f>IF(A104="","",N(INDEX(Projects[Est Mech Inst],103)))</f>
        <v/>
      </c>
      <c r="CG104" s="5">
        <f>IF(A104="","",N(INDEX(Projects[Est Elec Inst],103)))</f>
        <v/>
      </c>
      <c r="CH104" s="5">
        <f>IF(A104="","",N(INDEX(Projects[Est Project Management],103)))</f>
        <v/>
      </c>
      <c r="CI104" s="5">
        <f>IF(A104="","",N(INDEX(Projects[Est Systems Eng],103)))</f>
        <v/>
      </c>
      <c r="CJ104" s="5">
        <f>IF(A104="","",N(INDEX(Projects[Est Mechanical Eng],103)))</f>
        <v/>
      </c>
      <c r="CK104" s="5">
        <f>IF(A104="","",N(INDEX(Projects[Est Structural Engineering],103)))</f>
        <v/>
      </c>
      <c r="CL104" s="5">
        <f>IF(A104="","",N(INDEX(Projects[Est Site Sup],103)))</f>
        <v/>
      </c>
      <c r="CM104" s="5">
        <f>IF(A104="","",N(INDEX(Projects[Est Controls Commissioning],103)))</f>
        <v/>
      </c>
      <c r="CN104" s="5">
        <f>IF(A104="","",N(INDEX(Projects[Est Systems Commissioning],103)))</f>
        <v/>
      </c>
      <c r="CO104" s="5">
        <f>IF(A104="","",N(INDEX(Projects[Est Service Commissioning],103)))</f>
        <v/>
      </c>
      <c r="CP104" s="5">
        <f>IF(A104="","",N(INDEX(Projects[Est Controls Eng],103)))</f>
        <v/>
      </c>
      <c r="CQ104" s="5">
        <f>IF(A104="","",N(INDEX(Projects[Est Controls Purchase],103)))</f>
        <v/>
      </c>
      <c r="CR104" s="5">
        <f>IF(A104="","",N(INDEX(Projects[Est Software Eng],103)))</f>
        <v/>
      </c>
      <c r="CS104" s="5">
        <f>IF(A104="","",N(INDEX(Projects[Est Misc],103)))</f>
        <v/>
      </c>
      <c r="CT104" s="5">
        <f>IF(A104="","",SUM(CF104:CS104))</f>
        <v/>
      </c>
      <c r="CU104" s="5">
        <f>INDEX(Projects[Est Cost (M)],103)</f>
        <v/>
      </c>
      <c r="CV104" s="5">
        <f>INDEX(Projects[Act Cost (M)],103)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IF(A105="","",N(INDEX(Projects[Act Mech Inst],104)))</f>
        <v/>
      </c>
      <c r="BK105" s="5">
        <f>IF(A105="","",N(INDEX(Projects[Act Elec Inst],104)))</f>
        <v/>
      </c>
      <c r="BL105" s="5">
        <f>IF(A105="","",N(INDEX(Projects[Act Project Management],104)))</f>
        <v/>
      </c>
      <c r="BM105" s="5">
        <f>IF(A105="","",N(INDEX(Projects[Act Systems Eng],104)))</f>
        <v/>
      </c>
      <c r="BN105" s="5">
        <f>IF(A105="","",N(INDEX(Projects[Act Mechanical Eng],104)))</f>
        <v/>
      </c>
      <c r="BO105" s="5">
        <f>IF(A105="","",N(INDEX(Projects[Act Structural Engineering],104)))</f>
        <v/>
      </c>
      <c r="BP105" s="5">
        <f>IF(A105="","",N(INDEX(Projects[Act Site Sup],104)))</f>
        <v/>
      </c>
      <c r="BQ105" s="5">
        <f>IF(A105="","",N(INDEX(Projects[Act Controls Commissioning],104)))</f>
        <v/>
      </c>
      <c r="BR105" s="5">
        <f>IF(A105="","",N(INDEX(Projects[Act Systems Commissioning],104)))</f>
        <v/>
      </c>
      <c r="BS105" s="5">
        <f>IF(A105="","",N(INDEX(Projects[Act Service Commissioning],104)))</f>
        <v/>
      </c>
      <c r="BT105" s="5">
        <f>IF(A105="","",N(INDEX(Projects[Act Controls Eng],104)))</f>
        <v/>
      </c>
      <c r="BU105" s="5">
        <f>IF(A105="","",N(INDEX(Projects[Act Controls Purchase],104)))</f>
        <v/>
      </c>
      <c r="BV105" s="5">
        <f>IF(A105="","",N(INDEX(Projects[Act Software Eng],104)))</f>
        <v/>
      </c>
      <c r="BW105" s="5">
        <f>IF(A105="","",N(INDEX(Projects[Act 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  <c r="CE105" s="5">
        <f>INDEX(Projects[Act Data Status],104)&amp;""</f>
        <v/>
      </c>
      <c r="CF105" s="5">
        <f>IF(A105="","",N(INDEX(Projects[Est Mech Inst],104)))</f>
        <v/>
      </c>
      <c r="CG105" s="5">
        <f>IF(A105="","",N(INDEX(Projects[Est Elec Inst],104)))</f>
        <v/>
      </c>
      <c r="CH105" s="5">
        <f>IF(A105="","",N(INDEX(Projects[Est Project Management],104)))</f>
        <v/>
      </c>
      <c r="CI105" s="5">
        <f>IF(A105="","",N(INDEX(Projects[Est Systems Eng],104)))</f>
        <v/>
      </c>
      <c r="CJ105" s="5">
        <f>IF(A105="","",N(INDEX(Projects[Est Mechanical Eng],104)))</f>
        <v/>
      </c>
      <c r="CK105" s="5">
        <f>IF(A105="","",N(INDEX(Projects[Est Structural Engineering],104)))</f>
        <v/>
      </c>
      <c r="CL105" s="5">
        <f>IF(A105="","",N(INDEX(Projects[Est Site Sup],104)))</f>
        <v/>
      </c>
      <c r="CM105" s="5">
        <f>IF(A105="","",N(INDEX(Projects[Est Controls Commissioning],104)))</f>
        <v/>
      </c>
      <c r="CN105" s="5">
        <f>IF(A105="","",N(INDEX(Projects[Est Systems Commissioning],104)))</f>
        <v/>
      </c>
      <c r="CO105" s="5">
        <f>IF(A105="","",N(INDEX(Projects[Est Service Commissioning],104)))</f>
        <v/>
      </c>
      <c r="CP105" s="5">
        <f>IF(A105="","",N(INDEX(Projects[Est Controls Eng],104)))</f>
        <v/>
      </c>
      <c r="CQ105" s="5">
        <f>IF(A105="","",N(INDEX(Projects[Est Controls Purchase],104)))</f>
        <v/>
      </c>
      <c r="CR105" s="5">
        <f>IF(A105="","",N(INDEX(Projects[Est Software Eng],104)))</f>
        <v/>
      </c>
      <c r="CS105" s="5">
        <f>IF(A105="","",N(INDEX(Projects[Est Misc],104)))</f>
        <v/>
      </c>
      <c r="CT105" s="5">
        <f>IF(A105="","",SUM(CF105:CS105))</f>
        <v/>
      </c>
      <c r="CU105" s="5">
        <f>INDEX(Projects[Est Cost (M)],104)</f>
        <v/>
      </c>
      <c r="CV105" s="5">
        <f>INDEX(Projects[Act Cost (M)],104)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IF(A106="","",N(INDEX(Projects[Act Mech Inst],105)))</f>
        <v/>
      </c>
      <c r="BK106" s="5">
        <f>IF(A106="","",N(INDEX(Projects[Act Elec Inst],105)))</f>
        <v/>
      </c>
      <c r="BL106" s="5">
        <f>IF(A106="","",N(INDEX(Projects[Act Project Management],105)))</f>
        <v/>
      </c>
      <c r="BM106" s="5">
        <f>IF(A106="","",N(INDEX(Projects[Act Systems Eng],105)))</f>
        <v/>
      </c>
      <c r="BN106" s="5">
        <f>IF(A106="","",N(INDEX(Projects[Act Mechanical Eng],105)))</f>
        <v/>
      </c>
      <c r="BO106" s="5">
        <f>IF(A106="","",N(INDEX(Projects[Act Structural Engineering],105)))</f>
        <v/>
      </c>
      <c r="BP106" s="5">
        <f>IF(A106="","",N(INDEX(Projects[Act Site Sup],105)))</f>
        <v/>
      </c>
      <c r="BQ106" s="5">
        <f>IF(A106="","",N(INDEX(Projects[Act Controls Commissioning],105)))</f>
        <v/>
      </c>
      <c r="BR106" s="5">
        <f>IF(A106="","",N(INDEX(Projects[Act Systems Commissioning],105)))</f>
        <v/>
      </c>
      <c r="BS106" s="5">
        <f>IF(A106="","",N(INDEX(Projects[Act Service Commissioning],105)))</f>
        <v/>
      </c>
      <c r="BT106" s="5">
        <f>IF(A106="","",N(INDEX(Projects[Act Controls Eng],105)))</f>
        <v/>
      </c>
      <c r="BU106" s="5">
        <f>IF(A106="","",N(INDEX(Projects[Act Controls Purchase],105)))</f>
        <v/>
      </c>
      <c r="BV106" s="5">
        <f>IF(A106="","",N(INDEX(Projects[Act Software Eng],105)))</f>
        <v/>
      </c>
      <c r="BW106" s="5">
        <f>IF(A106="","",N(INDEX(Projects[Act 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  <c r="CE106" s="5">
        <f>INDEX(Projects[Act Data Status],105)&amp;""</f>
        <v/>
      </c>
      <c r="CF106" s="5">
        <f>IF(A106="","",N(INDEX(Projects[Est Mech Inst],105)))</f>
        <v/>
      </c>
      <c r="CG106" s="5">
        <f>IF(A106="","",N(INDEX(Projects[Est Elec Inst],105)))</f>
        <v/>
      </c>
      <c r="CH106" s="5">
        <f>IF(A106="","",N(INDEX(Projects[Est Project Management],105)))</f>
        <v/>
      </c>
      <c r="CI106" s="5">
        <f>IF(A106="","",N(INDEX(Projects[Est Systems Eng],105)))</f>
        <v/>
      </c>
      <c r="CJ106" s="5">
        <f>IF(A106="","",N(INDEX(Projects[Est Mechanical Eng],105)))</f>
        <v/>
      </c>
      <c r="CK106" s="5">
        <f>IF(A106="","",N(INDEX(Projects[Est Structural Engineering],105)))</f>
        <v/>
      </c>
      <c r="CL106" s="5">
        <f>IF(A106="","",N(INDEX(Projects[Est Site Sup],105)))</f>
        <v/>
      </c>
      <c r="CM106" s="5">
        <f>IF(A106="","",N(INDEX(Projects[Est Controls Commissioning],105)))</f>
        <v/>
      </c>
      <c r="CN106" s="5">
        <f>IF(A106="","",N(INDEX(Projects[Est Systems Commissioning],105)))</f>
        <v/>
      </c>
      <c r="CO106" s="5">
        <f>IF(A106="","",N(INDEX(Projects[Est Service Commissioning],105)))</f>
        <v/>
      </c>
      <c r="CP106" s="5">
        <f>IF(A106="","",N(INDEX(Projects[Est Controls Eng],105)))</f>
        <v/>
      </c>
      <c r="CQ106" s="5">
        <f>IF(A106="","",N(INDEX(Projects[Est Controls Purchase],105)))</f>
        <v/>
      </c>
      <c r="CR106" s="5">
        <f>IF(A106="","",N(INDEX(Projects[Est Software Eng],105)))</f>
        <v/>
      </c>
      <c r="CS106" s="5">
        <f>IF(A106="","",N(INDEX(Projects[Est Misc],105)))</f>
        <v/>
      </c>
      <c r="CT106" s="5">
        <f>IF(A106="","",SUM(CF106:CS106))</f>
        <v/>
      </c>
      <c r="CU106" s="5">
        <f>INDEX(Projects[Est Cost (M)],105)</f>
        <v/>
      </c>
      <c r="CV106" s="5">
        <f>INDEX(Projects[Act Cost (M)],105)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IF(A107="","",N(INDEX(Projects[Act Mech Inst],106)))</f>
        <v/>
      </c>
      <c r="BK107" s="5">
        <f>IF(A107="","",N(INDEX(Projects[Act Elec Inst],106)))</f>
        <v/>
      </c>
      <c r="BL107" s="5">
        <f>IF(A107="","",N(INDEX(Projects[Act Project Management],106)))</f>
        <v/>
      </c>
      <c r="BM107" s="5">
        <f>IF(A107="","",N(INDEX(Projects[Act Systems Eng],106)))</f>
        <v/>
      </c>
      <c r="BN107" s="5">
        <f>IF(A107="","",N(INDEX(Projects[Act Mechanical Eng],106)))</f>
        <v/>
      </c>
      <c r="BO107" s="5">
        <f>IF(A107="","",N(INDEX(Projects[Act Structural Engineering],106)))</f>
        <v/>
      </c>
      <c r="BP107" s="5">
        <f>IF(A107="","",N(INDEX(Projects[Act Site Sup],106)))</f>
        <v/>
      </c>
      <c r="BQ107" s="5">
        <f>IF(A107="","",N(INDEX(Projects[Act Controls Commissioning],106)))</f>
        <v/>
      </c>
      <c r="BR107" s="5">
        <f>IF(A107="","",N(INDEX(Projects[Act Systems Commissioning],106)))</f>
        <v/>
      </c>
      <c r="BS107" s="5">
        <f>IF(A107="","",N(INDEX(Projects[Act Service Commissioning],106)))</f>
        <v/>
      </c>
      <c r="BT107" s="5">
        <f>IF(A107="","",N(INDEX(Projects[Act Controls Eng],106)))</f>
        <v/>
      </c>
      <c r="BU107" s="5">
        <f>IF(A107="","",N(INDEX(Projects[Act Controls Purchase],106)))</f>
        <v/>
      </c>
      <c r="BV107" s="5">
        <f>IF(A107="","",N(INDEX(Projects[Act Software Eng],106)))</f>
        <v/>
      </c>
      <c r="BW107" s="5">
        <f>IF(A107="","",N(INDEX(Projects[Act 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  <c r="CE107" s="5">
        <f>INDEX(Projects[Act Data Status],106)&amp;""</f>
        <v/>
      </c>
      <c r="CF107" s="5">
        <f>IF(A107="","",N(INDEX(Projects[Est Mech Inst],106)))</f>
        <v/>
      </c>
      <c r="CG107" s="5">
        <f>IF(A107="","",N(INDEX(Projects[Est Elec Inst],106)))</f>
        <v/>
      </c>
      <c r="CH107" s="5">
        <f>IF(A107="","",N(INDEX(Projects[Est Project Management],106)))</f>
        <v/>
      </c>
      <c r="CI107" s="5">
        <f>IF(A107="","",N(INDEX(Projects[Est Systems Eng],106)))</f>
        <v/>
      </c>
      <c r="CJ107" s="5">
        <f>IF(A107="","",N(INDEX(Projects[Est Mechanical Eng],106)))</f>
        <v/>
      </c>
      <c r="CK107" s="5">
        <f>IF(A107="","",N(INDEX(Projects[Est Structural Engineering],106)))</f>
        <v/>
      </c>
      <c r="CL107" s="5">
        <f>IF(A107="","",N(INDEX(Projects[Est Site Sup],106)))</f>
        <v/>
      </c>
      <c r="CM107" s="5">
        <f>IF(A107="","",N(INDEX(Projects[Est Controls Commissioning],106)))</f>
        <v/>
      </c>
      <c r="CN107" s="5">
        <f>IF(A107="","",N(INDEX(Projects[Est Systems Commissioning],106)))</f>
        <v/>
      </c>
      <c r="CO107" s="5">
        <f>IF(A107="","",N(INDEX(Projects[Est Service Commissioning],106)))</f>
        <v/>
      </c>
      <c r="CP107" s="5">
        <f>IF(A107="","",N(INDEX(Projects[Est Controls Eng],106)))</f>
        <v/>
      </c>
      <c r="CQ107" s="5">
        <f>IF(A107="","",N(INDEX(Projects[Est Controls Purchase],106)))</f>
        <v/>
      </c>
      <c r="CR107" s="5">
        <f>IF(A107="","",N(INDEX(Projects[Est Software Eng],106)))</f>
        <v/>
      </c>
      <c r="CS107" s="5">
        <f>IF(A107="","",N(INDEX(Projects[Est Misc],106)))</f>
        <v/>
      </c>
      <c r="CT107" s="5">
        <f>IF(A107="","",SUM(CF107:CS107))</f>
        <v/>
      </c>
      <c r="CU107" s="5">
        <f>INDEX(Projects[Est Cost (M)],106)</f>
        <v/>
      </c>
      <c r="CV107" s="5">
        <f>INDEX(Projects[Act Cost (M)],106)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IF(A108="","",N(INDEX(Projects[Act Mech Inst],107)))</f>
        <v/>
      </c>
      <c r="BK108" s="5">
        <f>IF(A108="","",N(INDEX(Projects[Act Elec Inst],107)))</f>
        <v/>
      </c>
      <c r="BL108" s="5">
        <f>IF(A108="","",N(INDEX(Projects[Act Project Management],107)))</f>
        <v/>
      </c>
      <c r="BM108" s="5">
        <f>IF(A108="","",N(INDEX(Projects[Act Systems Eng],107)))</f>
        <v/>
      </c>
      <c r="BN108" s="5">
        <f>IF(A108="","",N(INDEX(Projects[Act Mechanical Eng],107)))</f>
        <v/>
      </c>
      <c r="BO108" s="5">
        <f>IF(A108="","",N(INDEX(Projects[Act Structural Engineering],107)))</f>
        <v/>
      </c>
      <c r="BP108" s="5">
        <f>IF(A108="","",N(INDEX(Projects[Act Site Sup],107)))</f>
        <v/>
      </c>
      <c r="BQ108" s="5">
        <f>IF(A108="","",N(INDEX(Projects[Act Controls Commissioning],107)))</f>
        <v/>
      </c>
      <c r="BR108" s="5">
        <f>IF(A108="","",N(INDEX(Projects[Act Systems Commissioning],107)))</f>
        <v/>
      </c>
      <c r="BS108" s="5">
        <f>IF(A108="","",N(INDEX(Projects[Act Service Commissioning],107)))</f>
        <v/>
      </c>
      <c r="BT108" s="5">
        <f>IF(A108="","",N(INDEX(Projects[Act Controls Eng],107)))</f>
        <v/>
      </c>
      <c r="BU108" s="5">
        <f>IF(A108="","",N(INDEX(Projects[Act Controls Purchase],107)))</f>
        <v/>
      </c>
      <c r="BV108" s="5">
        <f>IF(A108="","",N(INDEX(Projects[Act Software Eng],107)))</f>
        <v/>
      </c>
      <c r="BW108" s="5">
        <f>IF(A108="","",N(INDEX(Projects[Act 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  <c r="CE108" s="5">
        <f>INDEX(Projects[Act Data Status],107)&amp;""</f>
        <v/>
      </c>
      <c r="CF108" s="5">
        <f>IF(A108="","",N(INDEX(Projects[Est Mech Inst],107)))</f>
        <v/>
      </c>
      <c r="CG108" s="5">
        <f>IF(A108="","",N(INDEX(Projects[Est Elec Inst],107)))</f>
        <v/>
      </c>
      <c r="CH108" s="5">
        <f>IF(A108="","",N(INDEX(Projects[Est Project Management],107)))</f>
        <v/>
      </c>
      <c r="CI108" s="5">
        <f>IF(A108="","",N(INDEX(Projects[Est Systems Eng],107)))</f>
        <v/>
      </c>
      <c r="CJ108" s="5">
        <f>IF(A108="","",N(INDEX(Projects[Est Mechanical Eng],107)))</f>
        <v/>
      </c>
      <c r="CK108" s="5">
        <f>IF(A108="","",N(INDEX(Projects[Est Structural Engineering],107)))</f>
        <v/>
      </c>
      <c r="CL108" s="5">
        <f>IF(A108="","",N(INDEX(Projects[Est Site Sup],107)))</f>
        <v/>
      </c>
      <c r="CM108" s="5">
        <f>IF(A108="","",N(INDEX(Projects[Est Controls Commissioning],107)))</f>
        <v/>
      </c>
      <c r="CN108" s="5">
        <f>IF(A108="","",N(INDEX(Projects[Est Systems Commissioning],107)))</f>
        <v/>
      </c>
      <c r="CO108" s="5">
        <f>IF(A108="","",N(INDEX(Projects[Est Service Commissioning],107)))</f>
        <v/>
      </c>
      <c r="CP108" s="5">
        <f>IF(A108="","",N(INDEX(Projects[Est Controls Eng],107)))</f>
        <v/>
      </c>
      <c r="CQ108" s="5">
        <f>IF(A108="","",N(INDEX(Projects[Est Controls Purchase],107)))</f>
        <v/>
      </c>
      <c r="CR108" s="5">
        <f>IF(A108="","",N(INDEX(Projects[Est Software Eng],107)))</f>
        <v/>
      </c>
      <c r="CS108" s="5">
        <f>IF(A108="","",N(INDEX(Projects[Est Misc],107)))</f>
        <v/>
      </c>
      <c r="CT108" s="5">
        <f>IF(A108="","",SUM(CF108:CS108))</f>
        <v/>
      </c>
      <c r="CU108" s="5">
        <f>INDEX(Projects[Est Cost (M)],107)</f>
        <v/>
      </c>
      <c r="CV108" s="5">
        <f>INDEX(Projects[Act Cost (M)],107)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IF(A109="","",N(INDEX(Projects[Act Mech Inst],108)))</f>
        <v/>
      </c>
      <c r="BK109" s="5">
        <f>IF(A109="","",N(INDEX(Projects[Act Elec Inst],108)))</f>
        <v/>
      </c>
      <c r="BL109" s="5">
        <f>IF(A109="","",N(INDEX(Projects[Act Project Management],108)))</f>
        <v/>
      </c>
      <c r="BM109" s="5">
        <f>IF(A109="","",N(INDEX(Projects[Act Systems Eng],108)))</f>
        <v/>
      </c>
      <c r="BN109" s="5">
        <f>IF(A109="","",N(INDEX(Projects[Act Mechanical Eng],108)))</f>
        <v/>
      </c>
      <c r="BO109" s="5">
        <f>IF(A109="","",N(INDEX(Projects[Act Structural Engineering],108)))</f>
        <v/>
      </c>
      <c r="BP109" s="5">
        <f>IF(A109="","",N(INDEX(Projects[Act Site Sup],108)))</f>
        <v/>
      </c>
      <c r="BQ109" s="5">
        <f>IF(A109="","",N(INDEX(Projects[Act Controls Commissioning],108)))</f>
        <v/>
      </c>
      <c r="BR109" s="5">
        <f>IF(A109="","",N(INDEX(Projects[Act Systems Commissioning],108)))</f>
        <v/>
      </c>
      <c r="BS109" s="5">
        <f>IF(A109="","",N(INDEX(Projects[Act Service Commissioning],108)))</f>
        <v/>
      </c>
      <c r="BT109" s="5">
        <f>IF(A109="","",N(INDEX(Projects[Act Controls Eng],108)))</f>
        <v/>
      </c>
      <c r="BU109" s="5">
        <f>IF(A109="","",N(INDEX(Projects[Act Controls Purchase],108)))</f>
        <v/>
      </c>
      <c r="BV109" s="5">
        <f>IF(A109="","",N(INDEX(Projects[Act Software Eng],108)))</f>
        <v/>
      </c>
      <c r="BW109" s="5">
        <f>IF(A109="","",N(INDEX(Projects[Act 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  <c r="CE109" s="5">
        <f>INDEX(Projects[Act Data Status],108)&amp;""</f>
        <v/>
      </c>
      <c r="CF109" s="5">
        <f>IF(A109="","",N(INDEX(Projects[Est Mech Inst],108)))</f>
        <v/>
      </c>
      <c r="CG109" s="5">
        <f>IF(A109="","",N(INDEX(Projects[Est Elec Inst],108)))</f>
        <v/>
      </c>
      <c r="CH109" s="5">
        <f>IF(A109="","",N(INDEX(Projects[Est Project Management],108)))</f>
        <v/>
      </c>
      <c r="CI109" s="5">
        <f>IF(A109="","",N(INDEX(Projects[Est Systems Eng],108)))</f>
        <v/>
      </c>
      <c r="CJ109" s="5">
        <f>IF(A109="","",N(INDEX(Projects[Est Mechanical Eng],108)))</f>
        <v/>
      </c>
      <c r="CK109" s="5">
        <f>IF(A109="","",N(INDEX(Projects[Est Structural Engineering],108)))</f>
        <v/>
      </c>
      <c r="CL109" s="5">
        <f>IF(A109="","",N(INDEX(Projects[Est Site Sup],108)))</f>
        <v/>
      </c>
      <c r="CM109" s="5">
        <f>IF(A109="","",N(INDEX(Projects[Est Controls Commissioning],108)))</f>
        <v/>
      </c>
      <c r="CN109" s="5">
        <f>IF(A109="","",N(INDEX(Projects[Est Systems Commissioning],108)))</f>
        <v/>
      </c>
      <c r="CO109" s="5">
        <f>IF(A109="","",N(INDEX(Projects[Est Service Commissioning],108)))</f>
        <v/>
      </c>
      <c r="CP109" s="5">
        <f>IF(A109="","",N(INDEX(Projects[Est Controls Eng],108)))</f>
        <v/>
      </c>
      <c r="CQ109" s="5">
        <f>IF(A109="","",N(INDEX(Projects[Est Controls Purchase],108)))</f>
        <v/>
      </c>
      <c r="CR109" s="5">
        <f>IF(A109="","",N(INDEX(Projects[Est Software Eng],108)))</f>
        <v/>
      </c>
      <c r="CS109" s="5">
        <f>IF(A109="","",N(INDEX(Projects[Est Misc],108)))</f>
        <v/>
      </c>
      <c r="CT109" s="5">
        <f>IF(A109="","",SUM(CF109:CS109))</f>
        <v/>
      </c>
      <c r="CU109" s="5">
        <f>INDEX(Projects[Est Cost (M)],108)</f>
        <v/>
      </c>
      <c r="CV109" s="5">
        <f>INDEX(Projects[Act Cost (M)],108)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IF(A110="","",N(INDEX(Projects[Act Mech Inst],109)))</f>
        <v/>
      </c>
      <c r="BK110" s="5">
        <f>IF(A110="","",N(INDEX(Projects[Act Elec Inst],109)))</f>
        <v/>
      </c>
      <c r="BL110" s="5">
        <f>IF(A110="","",N(INDEX(Projects[Act Project Management],109)))</f>
        <v/>
      </c>
      <c r="BM110" s="5">
        <f>IF(A110="","",N(INDEX(Projects[Act Systems Eng],109)))</f>
        <v/>
      </c>
      <c r="BN110" s="5">
        <f>IF(A110="","",N(INDEX(Projects[Act Mechanical Eng],109)))</f>
        <v/>
      </c>
      <c r="BO110" s="5">
        <f>IF(A110="","",N(INDEX(Projects[Act Structural Engineering],109)))</f>
        <v/>
      </c>
      <c r="BP110" s="5">
        <f>IF(A110="","",N(INDEX(Projects[Act Site Sup],109)))</f>
        <v/>
      </c>
      <c r="BQ110" s="5">
        <f>IF(A110="","",N(INDEX(Projects[Act Controls Commissioning],109)))</f>
        <v/>
      </c>
      <c r="BR110" s="5">
        <f>IF(A110="","",N(INDEX(Projects[Act Systems Commissioning],109)))</f>
        <v/>
      </c>
      <c r="BS110" s="5">
        <f>IF(A110="","",N(INDEX(Projects[Act Service Commissioning],109)))</f>
        <v/>
      </c>
      <c r="BT110" s="5">
        <f>IF(A110="","",N(INDEX(Projects[Act Controls Eng],109)))</f>
        <v/>
      </c>
      <c r="BU110" s="5">
        <f>IF(A110="","",N(INDEX(Projects[Act Controls Purchase],109)))</f>
        <v/>
      </c>
      <c r="BV110" s="5">
        <f>IF(A110="","",N(INDEX(Projects[Act Software Eng],109)))</f>
        <v/>
      </c>
      <c r="BW110" s="5">
        <f>IF(A110="","",N(INDEX(Projects[Act 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  <c r="CE110" s="5">
        <f>INDEX(Projects[Act Data Status],109)&amp;""</f>
        <v/>
      </c>
      <c r="CF110" s="5">
        <f>IF(A110="","",N(INDEX(Projects[Est Mech Inst],109)))</f>
        <v/>
      </c>
      <c r="CG110" s="5">
        <f>IF(A110="","",N(INDEX(Projects[Est Elec Inst],109)))</f>
        <v/>
      </c>
      <c r="CH110" s="5">
        <f>IF(A110="","",N(INDEX(Projects[Est Project Management],109)))</f>
        <v/>
      </c>
      <c r="CI110" s="5">
        <f>IF(A110="","",N(INDEX(Projects[Est Systems Eng],109)))</f>
        <v/>
      </c>
      <c r="CJ110" s="5">
        <f>IF(A110="","",N(INDEX(Projects[Est Mechanical Eng],109)))</f>
        <v/>
      </c>
      <c r="CK110" s="5">
        <f>IF(A110="","",N(INDEX(Projects[Est Structural Engineering],109)))</f>
        <v/>
      </c>
      <c r="CL110" s="5">
        <f>IF(A110="","",N(INDEX(Projects[Est Site Sup],109)))</f>
        <v/>
      </c>
      <c r="CM110" s="5">
        <f>IF(A110="","",N(INDEX(Projects[Est Controls Commissioning],109)))</f>
        <v/>
      </c>
      <c r="CN110" s="5">
        <f>IF(A110="","",N(INDEX(Projects[Est Systems Commissioning],109)))</f>
        <v/>
      </c>
      <c r="CO110" s="5">
        <f>IF(A110="","",N(INDEX(Projects[Est Service Commissioning],109)))</f>
        <v/>
      </c>
      <c r="CP110" s="5">
        <f>IF(A110="","",N(INDEX(Projects[Est Controls Eng],109)))</f>
        <v/>
      </c>
      <c r="CQ110" s="5">
        <f>IF(A110="","",N(INDEX(Projects[Est Controls Purchase],109)))</f>
        <v/>
      </c>
      <c r="CR110" s="5">
        <f>IF(A110="","",N(INDEX(Projects[Est Software Eng],109)))</f>
        <v/>
      </c>
      <c r="CS110" s="5">
        <f>IF(A110="","",N(INDEX(Projects[Est Misc],109)))</f>
        <v/>
      </c>
      <c r="CT110" s="5">
        <f>IF(A110="","",SUM(CF110:CS110))</f>
        <v/>
      </c>
      <c r="CU110" s="5">
        <f>INDEX(Projects[Est Cost (M)],109)</f>
        <v/>
      </c>
      <c r="CV110" s="5">
        <f>INDEX(Projects[Act Cost (M)],109)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IF(A111="","",N(INDEX(Projects[Act Mech Inst],110)))</f>
        <v/>
      </c>
      <c r="BK111" s="5">
        <f>IF(A111="","",N(INDEX(Projects[Act Elec Inst],110)))</f>
        <v/>
      </c>
      <c r="BL111" s="5">
        <f>IF(A111="","",N(INDEX(Projects[Act Project Management],110)))</f>
        <v/>
      </c>
      <c r="BM111" s="5">
        <f>IF(A111="","",N(INDEX(Projects[Act Systems Eng],110)))</f>
        <v/>
      </c>
      <c r="BN111" s="5">
        <f>IF(A111="","",N(INDEX(Projects[Act Mechanical Eng],110)))</f>
        <v/>
      </c>
      <c r="BO111" s="5">
        <f>IF(A111="","",N(INDEX(Projects[Act Structural Engineering],110)))</f>
        <v/>
      </c>
      <c r="BP111" s="5">
        <f>IF(A111="","",N(INDEX(Projects[Act Site Sup],110)))</f>
        <v/>
      </c>
      <c r="BQ111" s="5">
        <f>IF(A111="","",N(INDEX(Projects[Act Controls Commissioning],110)))</f>
        <v/>
      </c>
      <c r="BR111" s="5">
        <f>IF(A111="","",N(INDEX(Projects[Act Systems Commissioning],110)))</f>
        <v/>
      </c>
      <c r="BS111" s="5">
        <f>IF(A111="","",N(INDEX(Projects[Act Service Commissioning],110)))</f>
        <v/>
      </c>
      <c r="BT111" s="5">
        <f>IF(A111="","",N(INDEX(Projects[Act Controls Eng],110)))</f>
        <v/>
      </c>
      <c r="BU111" s="5">
        <f>IF(A111="","",N(INDEX(Projects[Act Controls Purchase],110)))</f>
        <v/>
      </c>
      <c r="BV111" s="5">
        <f>IF(A111="","",N(INDEX(Projects[Act Software Eng],110)))</f>
        <v/>
      </c>
      <c r="BW111" s="5">
        <f>IF(A111="","",N(INDEX(Projects[Act 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  <c r="CE111" s="5">
        <f>INDEX(Projects[Act Data Status],110)&amp;""</f>
        <v/>
      </c>
      <c r="CF111" s="5">
        <f>IF(A111="","",N(INDEX(Projects[Est Mech Inst],110)))</f>
        <v/>
      </c>
      <c r="CG111" s="5">
        <f>IF(A111="","",N(INDEX(Projects[Est Elec Inst],110)))</f>
        <v/>
      </c>
      <c r="CH111" s="5">
        <f>IF(A111="","",N(INDEX(Projects[Est Project Management],110)))</f>
        <v/>
      </c>
      <c r="CI111" s="5">
        <f>IF(A111="","",N(INDEX(Projects[Est Systems Eng],110)))</f>
        <v/>
      </c>
      <c r="CJ111" s="5">
        <f>IF(A111="","",N(INDEX(Projects[Est Mechanical Eng],110)))</f>
        <v/>
      </c>
      <c r="CK111" s="5">
        <f>IF(A111="","",N(INDEX(Projects[Est Structural Engineering],110)))</f>
        <v/>
      </c>
      <c r="CL111" s="5">
        <f>IF(A111="","",N(INDEX(Projects[Est Site Sup],110)))</f>
        <v/>
      </c>
      <c r="CM111" s="5">
        <f>IF(A111="","",N(INDEX(Projects[Est Controls Commissioning],110)))</f>
        <v/>
      </c>
      <c r="CN111" s="5">
        <f>IF(A111="","",N(INDEX(Projects[Est Systems Commissioning],110)))</f>
        <v/>
      </c>
      <c r="CO111" s="5">
        <f>IF(A111="","",N(INDEX(Projects[Est Service Commissioning],110)))</f>
        <v/>
      </c>
      <c r="CP111" s="5">
        <f>IF(A111="","",N(INDEX(Projects[Est Controls Eng],110)))</f>
        <v/>
      </c>
      <c r="CQ111" s="5">
        <f>IF(A111="","",N(INDEX(Projects[Est Controls Purchase],110)))</f>
        <v/>
      </c>
      <c r="CR111" s="5">
        <f>IF(A111="","",N(INDEX(Projects[Est Software Eng],110)))</f>
        <v/>
      </c>
      <c r="CS111" s="5">
        <f>IF(A111="","",N(INDEX(Projects[Est Misc],110)))</f>
        <v/>
      </c>
      <c r="CT111" s="5">
        <f>IF(A111="","",SUM(CF111:CS111))</f>
        <v/>
      </c>
      <c r="CU111" s="5">
        <f>INDEX(Projects[Est Cost (M)],110)</f>
        <v/>
      </c>
      <c r="CV111" s="5">
        <f>INDEX(Projects[Act Cost (M)],110)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IF(A112="","",N(INDEX(Projects[Act Mech Inst],111)))</f>
        <v/>
      </c>
      <c r="BK112" s="5">
        <f>IF(A112="","",N(INDEX(Projects[Act Elec Inst],111)))</f>
        <v/>
      </c>
      <c r="BL112" s="5">
        <f>IF(A112="","",N(INDEX(Projects[Act Project Management],111)))</f>
        <v/>
      </c>
      <c r="BM112" s="5">
        <f>IF(A112="","",N(INDEX(Projects[Act Systems Eng],111)))</f>
        <v/>
      </c>
      <c r="BN112" s="5">
        <f>IF(A112="","",N(INDEX(Projects[Act Mechanical Eng],111)))</f>
        <v/>
      </c>
      <c r="BO112" s="5">
        <f>IF(A112="","",N(INDEX(Projects[Act Structural Engineering],111)))</f>
        <v/>
      </c>
      <c r="BP112" s="5">
        <f>IF(A112="","",N(INDEX(Projects[Act Site Sup],111)))</f>
        <v/>
      </c>
      <c r="BQ112" s="5">
        <f>IF(A112="","",N(INDEX(Projects[Act Controls Commissioning],111)))</f>
        <v/>
      </c>
      <c r="BR112" s="5">
        <f>IF(A112="","",N(INDEX(Projects[Act Systems Commissioning],111)))</f>
        <v/>
      </c>
      <c r="BS112" s="5">
        <f>IF(A112="","",N(INDEX(Projects[Act Service Commissioning],111)))</f>
        <v/>
      </c>
      <c r="BT112" s="5">
        <f>IF(A112="","",N(INDEX(Projects[Act Controls Eng],111)))</f>
        <v/>
      </c>
      <c r="BU112" s="5">
        <f>IF(A112="","",N(INDEX(Projects[Act Controls Purchase],111)))</f>
        <v/>
      </c>
      <c r="BV112" s="5">
        <f>IF(A112="","",N(INDEX(Projects[Act Software Eng],111)))</f>
        <v/>
      </c>
      <c r="BW112" s="5">
        <f>IF(A112="","",N(INDEX(Projects[Act 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  <c r="CE112" s="5">
        <f>INDEX(Projects[Act Data Status],111)&amp;""</f>
        <v/>
      </c>
      <c r="CF112" s="5">
        <f>IF(A112="","",N(INDEX(Projects[Est Mech Inst],111)))</f>
        <v/>
      </c>
      <c r="CG112" s="5">
        <f>IF(A112="","",N(INDEX(Projects[Est Elec Inst],111)))</f>
        <v/>
      </c>
      <c r="CH112" s="5">
        <f>IF(A112="","",N(INDEX(Projects[Est Project Management],111)))</f>
        <v/>
      </c>
      <c r="CI112" s="5">
        <f>IF(A112="","",N(INDEX(Projects[Est Systems Eng],111)))</f>
        <v/>
      </c>
      <c r="CJ112" s="5">
        <f>IF(A112="","",N(INDEX(Projects[Est Mechanical Eng],111)))</f>
        <v/>
      </c>
      <c r="CK112" s="5">
        <f>IF(A112="","",N(INDEX(Projects[Est Structural Engineering],111)))</f>
        <v/>
      </c>
      <c r="CL112" s="5">
        <f>IF(A112="","",N(INDEX(Projects[Est Site Sup],111)))</f>
        <v/>
      </c>
      <c r="CM112" s="5">
        <f>IF(A112="","",N(INDEX(Projects[Est Controls Commissioning],111)))</f>
        <v/>
      </c>
      <c r="CN112" s="5">
        <f>IF(A112="","",N(INDEX(Projects[Est Systems Commissioning],111)))</f>
        <v/>
      </c>
      <c r="CO112" s="5">
        <f>IF(A112="","",N(INDEX(Projects[Est Service Commissioning],111)))</f>
        <v/>
      </c>
      <c r="CP112" s="5">
        <f>IF(A112="","",N(INDEX(Projects[Est Controls Eng],111)))</f>
        <v/>
      </c>
      <c r="CQ112" s="5">
        <f>IF(A112="","",N(INDEX(Projects[Est Controls Purchase],111)))</f>
        <v/>
      </c>
      <c r="CR112" s="5">
        <f>IF(A112="","",N(INDEX(Projects[Est Software Eng],111)))</f>
        <v/>
      </c>
      <c r="CS112" s="5">
        <f>IF(A112="","",N(INDEX(Projects[Est Misc],111)))</f>
        <v/>
      </c>
      <c r="CT112" s="5">
        <f>IF(A112="","",SUM(CF112:CS112))</f>
        <v/>
      </c>
      <c r="CU112" s="5">
        <f>INDEX(Projects[Est Cost (M)],111)</f>
        <v/>
      </c>
      <c r="CV112" s="5">
        <f>INDEX(Projects[Act Cost (M)],111)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IF(A113="","",N(INDEX(Projects[Act Mech Inst],112)))</f>
        <v/>
      </c>
      <c r="BK113" s="5">
        <f>IF(A113="","",N(INDEX(Projects[Act Elec Inst],112)))</f>
        <v/>
      </c>
      <c r="BL113" s="5">
        <f>IF(A113="","",N(INDEX(Projects[Act Project Management],112)))</f>
        <v/>
      </c>
      <c r="BM113" s="5">
        <f>IF(A113="","",N(INDEX(Projects[Act Systems Eng],112)))</f>
        <v/>
      </c>
      <c r="BN113" s="5">
        <f>IF(A113="","",N(INDEX(Projects[Act Mechanical Eng],112)))</f>
        <v/>
      </c>
      <c r="BO113" s="5">
        <f>IF(A113="","",N(INDEX(Projects[Act Structural Engineering],112)))</f>
        <v/>
      </c>
      <c r="BP113" s="5">
        <f>IF(A113="","",N(INDEX(Projects[Act Site Sup],112)))</f>
        <v/>
      </c>
      <c r="BQ113" s="5">
        <f>IF(A113="","",N(INDEX(Projects[Act Controls Commissioning],112)))</f>
        <v/>
      </c>
      <c r="BR113" s="5">
        <f>IF(A113="","",N(INDEX(Projects[Act Systems Commissioning],112)))</f>
        <v/>
      </c>
      <c r="BS113" s="5">
        <f>IF(A113="","",N(INDEX(Projects[Act Service Commissioning],112)))</f>
        <v/>
      </c>
      <c r="BT113" s="5">
        <f>IF(A113="","",N(INDEX(Projects[Act Controls Eng],112)))</f>
        <v/>
      </c>
      <c r="BU113" s="5">
        <f>IF(A113="","",N(INDEX(Projects[Act Controls Purchase],112)))</f>
        <v/>
      </c>
      <c r="BV113" s="5">
        <f>IF(A113="","",N(INDEX(Projects[Act Software Eng],112)))</f>
        <v/>
      </c>
      <c r="BW113" s="5">
        <f>IF(A113="","",N(INDEX(Projects[Act 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  <c r="CE113" s="5">
        <f>INDEX(Projects[Act Data Status],112)&amp;""</f>
        <v/>
      </c>
      <c r="CF113" s="5">
        <f>IF(A113="","",N(INDEX(Projects[Est Mech Inst],112)))</f>
        <v/>
      </c>
      <c r="CG113" s="5">
        <f>IF(A113="","",N(INDEX(Projects[Est Elec Inst],112)))</f>
        <v/>
      </c>
      <c r="CH113" s="5">
        <f>IF(A113="","",N(INDEX(Projects[Est Project Management],112)))</f>
        <v/>
      </c>
      <c r="CI113" s="5">
        <f>IF(A113="","",N(INDEX(Projects[Est Systems Eng],112)))</f>
        <v/>
      </c>
      <c r="CJ113" s="5">
        <f>IF(A113="","",N(INDEX(Projects[Est Mechanical Eng],112)))</f>
        <v/>
      </c>
      <c r="CK113" s="5">
        <f>IF(A113="","",N(INDEX(Projects[Est Structural Engineering],112)))</f>
        <v/>
      </c>
      <c r="CL113" s="5">
        <f>IF(A113="","",N(INDEX(Projects[Est Site Sup],112)))</f>
        <v/>
      </c>
      <c r="CM113" s="5">
        <f>IF(A113="","",N(INDEX(Projects[Est Controls Commissioning],112)))</f>
        <v/>
      </c>
      <c r="CN113" s="5">
        <f>IF(A113="","",N(INDEX(Projects[Est Systems Commissioning],112)))</f>
        <v/>
      </c>
      <c r="CO113" s="5">
        <f>IF(A113="","",N(INDEX(Projects[Est Service Commissioning],112)))</f>
        <v/>
      </c>
      <c r="CP113" s="5">
        <f>IF(A113="","",N(INDEX(Projects[Est Controls Eng],112)))</f>
        <v/>
      </c>
      <c r="CQ113" s="5">
        <f>IF(A113="","",N(INDEX(Projects[Est Controls Purchase],112)))</f>
        <v/>
      </c>
      <c r="CR113" s="5">
        <f>IF(A113="","",N(INDEX(Projects[Est Software Eng],112)))</f>
        <v/>
      </c>
      <c r="CS113" s="5">
        <f>IF(A113="","",N(INDEX(Projects[Est Misc],112)))</f>
        <v/>
      </c>
      <c r="CT113" s="5">
        <f>IF(A113="","",SUM(CF113:CS113))</f>
        <v/>
      </c>
      <c r="CU113" s="5">
        <f>INDEX(Projects[Est Cost (M)],112)</f>
        <v/>
      </c>
      <c r="CV113" s="5">
        <f>INDEX(Projects[Act Cost (M)],112)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IF(A114="","",N(INDEX(Projects[Act Mech Inst],113)))</f>
        <v/>
      </c>
      <c r="BK114" s="5">
        <f>IF(A114="","",N(INDEX(Projects[Act Elec Inst],113)))</f>
        <v/>
      </c>
      <c r="BL114" s="5">
        <f>IF(A114="","",N(INDEX(Projects[Act Project Management],113)))</f>
        <v/>
      </c>
      <c r="BM114" s="5">
        <f>IF(A114="","",N(INDEX(Projects[Act Systems Eng],113)))</f>
        <v/>
      </c>
      <c r="BN114" s="5">
        <f>IF(A114="","",N(INDEX(Projects[Act Mechanical Eng],113)))</f>
        <v/>
      </c>
      <c r="BO114" s="5">
        <f>IF(A114="","",N(INDEX(Projects[Act Structural Engineering],113)))</f>
        <v/>
      </c>
      <c r="BP114" s="5">
        <f>IF(A114="","",N(INDEX(Projects[Act Site Sup],113)))</f>
        <v/>
      </c>
      <c r="BQ114" s="5">
        <f>IF(A114="","",N(INDEX(Projects[Act Controls Commissioning],113)))</f>
        <v/>
      </c>
      <c r="BR114" s="5">
        <f>IF(A114="","",N(INDEX(Projects[Act Systems Commissioning],113)))</f>
        <v/>
      </c>
      <c r="BS114" s="5">
        <f>IF(A114="","",N(INDEX(Projects[Act Service Commissioning],113)))</f>
        <v/>
      </c>
      <c r="BT114" s="5">
        <f>IF(A114="","",N(INDEX(Projects[Act Controls Eng],113)))</f>
        <v/>
      </c>
      <c r="BU114" s="5">
        <f>IF(A114="","",N(INDEX(Projects[Act Controls Purchase],113)))</f>
        <v/>
      </c>
      <c r="BV114" s="5">
        <f>IF(A114="","",N(INDEX(Projects[Act Software Eng],113)))</f>
        <v/>
      </c>
      <c r="BW114" s="5">
        <f>IF(A114="","",N(INDEX(Projects[Act 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  <c r="CE114" s="5">
        <f>INDEX(Projects[Act Data Status],113)&amp;""</f>
        <v/>
      </c>
      <c r="CF114" s="5">
        <f>IF(A114="","",N(INDEX(Projects[Est Mech Inst],113)))</f>
        <v/>
      </c>
      <c r="CG114" s="5">
        <f>IF(A114="","",N(INDEX(Projects[Est Elec Inst],113)))</f>
        <v/>
      </c>
      <c r="CH114" s="5">
        <f>IF(A114="","",N(INDEX(Projects[Est Project Management],113)))</f>
        <v/>
      </c>
      <c r="CI114" s="5">
        <f>IF(A114="","",N(INDEX(Projects[Est Systems Eng],113)))</f>
        <v/>
      </c>
      <c r="CJ114" s="5">
        <f>IF(A114="","",N(INDEX(Projects[Est Mechanical Eng],113)))</f>
        <v/>
      </c>
      <c r="CK114" s="5">
        <f>IF(A114="","",N(INDEX(Projects[Est Structural Engineering],113)))</f>
        <v/>
      </c>
      <c r="CL114" s="5">
        <f>IF(A114="","",N(INDEX(Projects[Est Site Sup],113)))</f>
        <v/>
      </c>
      <c r="CM114" s="5">
        <f>IF(A114="","",N(INDEX(Projects[Est Controls Commissioning],113)))</f>
        <v/>
      </c>
      <c r="CN114" s="5">
        <f>IF(A114="","",N(INDEX(Projects[Est Systems Commissioning],113)))</f>
        <v/>
      </c>
      <c r="CO114" s="5">
        <f>IF(A114="","",N(INDEX(Projects[Est Service Commissioning],113)))</f>
        <v/>
      </c>
      <c r="CP114" s="5">
        <f>IF(A114="","",N(INDEX(Projects[Est Controls Eng],113)))</f>
        <v/>
      </c>
      <c r="CQ114" s="5">
        <f>IF(A114="","",N(INDEX(Projects[Est Controls Purchase],113)))</f>
        <v/>
      </c>
      <c r="CR114" s="5">
        <f>IF(A114="","",N(INDEX(Projects[Est Software Eng],113)))</f>
        <v/>
      </c>
      <c r="CS114" s="5">
        <f>IF(A114="","",N(INDEX(Projects[Est Misc],113)))</f>
        <v/>
      </c>
      <c r="CT114" s="5">
        <f>IF(A114="","",SUM(CF114:CS114))</f>
        <v/>
      </c>
      <c r="CU114" s="5">
        <f>INDEX(Projects[Est Cost (M)],113)</f>
        <v/>
      </c>
      <c r="CV114" s="5">
        <f>INDEX(Projects[Act Cost (M)],113)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IF(A115="","",N(INDEX(Projects[Act Mech Inst],114)))</f>
        <v/>
      </c>
      <c r="BK115" s="5">
        <f>IF(A115="","",N(INDEX(Projects[Act Elec Inst],114)))</f>
        <v/>
      </c>
      <c r="BL115" s="5">
        <f>IF(A115="","",N(INDEX(Projects[Act Project Management],114)))</f>
        <v/>
      </c>
      <c r="BM115" s="5">
        <f>IF(A115="","",N(INDEX(Projects[Act Systems Eng],114)))</f>
        <v/>
      </c>
      <c r="BN115" s="5">
        <f>IF(A115="","",N(INDEX(Projects[Act Mechanical Eng],114)))</f>
        <v/>
      </c>
      <c r="BO115" s="5">
        <f>IF(A115="","",N(INDEX(Projects[Act Structural Engineering],114)))</f>
        <v/>
      </c>
      <c r="BP115" s="5">
        <f>IF(A115="","",N(INDEX(Projects[Act Site Sup],114)))</f>
        <v/>
      </c>
      <c r="BQ115" s="5">
        <f>IF(A115="","",N(INDEX(Projects[Act Controls Commissioning],114)))</f>
        <v/>
      </c>
      <c r="BR115" s="5">
        <f>IF(A115="","",N(INDEX(Projects[Act Systems Commissioning],114)))</f>
        <v/>
      </c>
      <c r="BS115" s="5">
        <f>IF(A115="","",N(INDEX(Projects[Act Service Commissioning],114)))</f>
        <v/>
      </c>
      <c r="BT115" s="5">
        <f>IF(A115="","",N(INDEX(Projects[Act Controls Eng],114)))</f>
        <v/>
      </c>
      <c r="BU115" s="5">
        <f>IF(A115="","",N(INDEX(Projects[Act Controls Purchase],114)))</f>
        <v/>
      </c>
      <c r="BV115" s="5">
        <f>IF(A115="","",N(INDEX(Projects[Act Software Eng],114)))</f>
        <v/>
      </c>
      <c r="BW115" s="5">
        <f>IF(A115="","",N(INDEX(Projects[Act 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  <c r="CE115" s="5">
        <f>INDEX(Projects[Act Data Status],114)&amp;""</f>
        <v/>
      </c>
      <c r="CF115" s="5">
        <f>IF(A115="","",N(INDEX(Projects[Est Mech Inst],114)))</f>
        <v/>
      </c>
      <c r="CG115" s="5">
        <f>IF(A115="","",N(INDEX(Projects[Est Elec Inst],114)))</f>
        <v/>
      </c>
      <c r="CH115" s="5">
        <f>IF(A115="","",N(INDEX(Projects[Est Project Management],114)))</f>
        <v/>
      </c>
      <c r="CI115" s="5">
        <f>IF(A115="","",N(INDEX(Projects[Est Systems Eng],114)))</f>
        <v/>
      </c>
      <c r="CJ115" s="5">
        <f>IF(A115="","",N(INDEX(Projects[Est Mechanical Eng],114)))</f>
        <v/>
      </c>
      <c r="CK115" s="5">
        <f>IF(A115="","",N(INDEX(Projects[Est Structural Engineering],114)))</f>
        <v/>
      </c>
      <c r="CL115" s="5">
        <f>IF(A115="","",N(INDEX(Projects[Est Site Sup],114)))</f>
        <v/>
      </c>
      <c r="CM115" s="5">
        <f>IF(A115="","",N(INDEX(Projects[Est Controls Commissioning],114)))</f>
        <v/>
      </c>
      <c r="CN115" s="5">
        <f>IF(A115="","",N(INDEX(Projects[Est Systems Commissioning],114)))</f>
        <v/>
      </c>
      <c r="CO115" s="5">
        <f>IF(A115="","",N(INDEX(Projects[Est Service Commissioning],114)))</f>
        <v/>
      </c>
      <c r="CP115" s="5">
        <f>IF(A115="","",N(INDEX(Projects[Est Controls Eng],114)))</f>
        <v/>
      </c>
      <c r="CQ115" s="5">
        <f>IF(A115="","",N(INDEX(Projects[Est Controls Purchase],114)))</f>
        <v/>
      </c>
      <c r="CR115" s="5">
        <f>IF(A115="","",N(INDEX(Projects[Est Software Eng],114)))</f>
        <v/>
      </c>
      <c r="CS115" s="5">
        <f>IF(A115="","",N(INDEX(Projects[Est Misc],114)))</f>
        <v/>
      </c>
      <c r="CT115" s="5">
        <f>IF(A115="","",SUM(CF115:CS115))</f>
        <v/>
      </c>
      <c r="CU115" s="5">
        <f>INDEX(Projects[Est Cost (M)],114)</f>
        <v/>
      </c>
      <c r="CV115" s="5">
        <f>INDEX(Projects[Act Cost (M)],114)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IF(A116="","",N(INDEX(Projects[Act Mech Inst],115)))</f>
        <v/>
      </c>
      <c r="BK116" s="5">
        <f>IF(A116="","",N(INDEX(Projects[Act Elec Inst],115)))</f>
        <v/>
      </c>
      <c r="BL116" s="5">
        <f>IF(A116="","",N(INDEX(Projects[Act Project Management],115)))</f>
        <v/>
      </c>
      <c r="BM116" s="5">
        <f>IF(A116="","",N(INDEX(Projects[Act Systems Eng],115)))</f>
        <v/>
      </c>
      <c r="BN116" s="5">
        <f>IF(A116="","",N(INDEX(Projects[Act Mechanical Eng],115)))</f>
        <v/>
      </c>
      <c r="BO116" s="5">
        <f>IF(A116="","",N(INDEX(Projects[Act Structural Engineering],115)))</f>
        <v/>
      </c>
      <c r="BP116" s="5">
        <f>IF(A116="","",N(INDEX(Projects[Act Site Sup],115)))</f>
        <v/>
      </c>
      <c r="BQ116" s="5">
        <f>IF(A116="","",N(INDEX(Projects[Act Controls Commissioning],115)))</f>
        <v/>
      </c>
      <c r="BR116" s="5">
        <f>IF(A116="","",N(INDEX(Projects[Act Systems Commissioning],115)))</f>
        <v/>
      </c>
      <c r="BS116" s="5">
        <f>IF(A116="","",N(INDEX(Projects[Act Service Commissioning],115)))</f>
        <v/>
      </c>
      <c r="BT116" s="5">
        <f>IF(A116="","",N(INDEX(Projects[Act Controls Eng],115)))</f>
        <v/>
      </c>
      <c r="BU116" s="5">
        <f>IF(A116="","",N(INDEX(Projects[Act Controls Purchase],115)))</f>
        <v/>
      </c>
      <c r="BV116" s="5">
        <f>IF(A116="","",N(INDEX(Projects[Act Software Eng],115)))</f>
        <v/>
      </c>
      <c r="BW116" s="5">
        <f>IF(A116="","",N(INDEX(Projects[Act 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  <c r="CE116" s="5">
        <f>INDEX(Projects[Act Data Status],115)&amp;""</f>
        <v/>
      </c>
      <c r="CF116" s="5">
        <f>IF(A116="","",N(INDEX(Projects[Est Mech Inst],115)))</f>
        <v/>
      </c>
      <c r="CG116" s="5">
        <f>IF(A116="","",N(INDEX(Projects[Est Elec Inst],115)))</f>
        <v/>
      </c>
      <c r="CH116" s="5">
        <f>IF(A116="","",N(INDEX(Projects[Est Project Management],115)))</f>
        <v/>
      </c>
      <c r="CI116" s="5">
        <f>IF(A116="","",N(INDEX(Projects[Est Systems Eng],115)))</f>
        <v/>
      </c>
      <c r="CJ116" s="5">
        <f>IF(A116="","",N(INDEX(Projects[Est Mechanical Eng],115)))</f>
        <v/>
      </c>
      <c r="CK116" s="5">
        <f>IF(A116="","",N(INDEX(Projects[Est Structural Engineering],115)))</f>
        <v/>
      </c>
      <c r="CL116" s="5">
        <f>IF(A116="","",N(INDEX(Projects[Est Site Sup],115)))</f>
        <v/>
      </c>
      <c r="CM116" s="5">
        <f>IF(A116="","",N(INDEX(Projects[Est Controls Commissioning],115)))</f>
        <v/>
      </c>
      <c r="CN116" s="5">
        <f>IF(A116="","",N(INDEX(Projects[Est Systems Commissioning],115)))</f>
        <v/>
      </c>
      <c r="CO116" s="5">
        <f>IF(A116="","",N(INDEX(Projects[Est Service Commissioning],115)))</f>
        <v/>
      </c>
      <c r="CP116" s="5">
        <f>IF(A116="","",N(INDEX(Projects[Est Controls Eng],115)))</f>
        <v/>
      </c>
      <c r="CQ116" s="5">
        <f>IF(A116="","",N(INDEX(Projects[Est Controls Purchase],115)))</f>
        <v/>
      </c>
      <c r="CR116" s="5">
        <f>IF(A116="","",N(INDEX(Projects[Est Software Eng],115)))</f>
        <v/>
      </c>
      <c r="CS116" s="5">
        <f>IF(A116="","",N(INDEX(Projects[Est Misc],115)))</f>
        <v/>
      </c>
      <c r="CT116" s="5">
        <f>IF(A116="","",SUM(CF116:CS116))</f>
        <v/>
      </c>
      <c r="CU116" s="5">
        <f>INDEX(Projects[Est Cost (M)],115)</f>
        <v/>
      </c>
      <c r="CV116" s="5">
        <f>INDEX(Projects[Act Cost (M)],115)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IF(A117="","",N(INDEX(Projects[Act Mech Inst],116)))</f>
        <v/>
      </c>
      <c r="BK117" s="5">
        <f>IF(A117="","",N(INDEX(Projects[Act Elec Inst],116)))</f>
        <v/>
      </c>
      <c r="BL117" s="5">
        <f>IF(A117="","",N(INDEX(Projects[Act Project Management],116)))</f>
        <v/>
      </c>
      <c r="BM117" s="5">
        <f>IF(A117="","",N(INDEX(Projects[Act Systems Eng],116)))</f>
        <v/>
      </c>
      <c r="BN117" s="5">
        <f>IF(A117="","",N(INDEX(Projects[Act Mechanical Eng],116)))</f>
        <v/>
      </c>
      <c r="BO117" s="5">
        <f>IF(A117="","",N(INDEX(Projects[Act Structural Engineering],116)))</f>
        <v/>
      </c>
      <c r="BP117" s="5">
        <f>IF(A117="","",N(INDEX(Projects[Act Site Sup],116)))</f>
        <v/>
      </c>
      <c r="BQ117" s="5">
        <f>IF(A117="","",N(INDEX(Projects[Act Controls Commissioning],116)))</f>
        <v/>
      </c>
      <c r="BR117" s="5">
        <f>IF(A117="","",N(INDEX(Projects[Act Systems Commissioning],116)))</f>
        <v/>
      </c>
      <c r="BS117" s="5">
        <f>IF(A117="","",N(INDEX(Projects[Act Service Commissioning],116)))</f>
        <v/>
      </c>
      <c r="BT117" s="5">
        <f>IF(A117="","",N(INDEX(Projects[Act Controls Eng],116)))</f>
        <v/>
      </c>
      <c r="BU117" s="5">
        <f>IF(A117="","",N(INDEX(Projects[Act Controls Purchase],116)))</f>
        <v/>
      </c>
      <c r="BV117" s="5">
        <f>IF(A117="","",N(INDEX(Projects[Act Software Eng],116)))</f>
        <v/>
      </c>
      <c r="BW117" s="5">
        <f>IF(A117="","",N(INDEX(Projects[Act 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  <c r="CE117" s="5">
        <f>INDEX(Projects[Act Data Status],116)&amp;""</f>
        <v/>
      </c>
      <c r="CF117" s="5">
        <f>IF(A117="","",N(INDEX(Projects[Est Mech Inst],116)))</f>
        <v/>
      </c>
      <c r="CG117" s="5">
        <f>IF(A117="","",N(INDEX(Projects[Est Elec Inst],116)))</f>
        <v/>
      </c>
      <c r="CH117" s="5">
        <f>IF(A117="","",N(INDEX(Projects[Est Project Management],116)))</f>
        <v/>
      </c>
      <c r="CI117" s="5">
        <f>IF(A117="","",N(INDEX(Projects[Est Systems Eng],116)))</f>
        <v/>
      </c>
      <c r="CJ117" s="5">
        <f>IF(A117="","",N(INDEX(Projects[Est Mechanical Eng],116)))</f>
        <v/>
      </c>
      <c r="CK117" s="5">
        <f>IF(A117="","",N(INDEX(Projects[Est Structural Engineering],116)))</f>
        <v/>
      </c>
      <c r="CL117" s="5">
        <f>IF(A117="","",N(INDEX(Projects[Est Site Sup],116)))</f>
        <v/>
      </c>
      <c r="CM117" s="5">
        <f>IF(A117="","",N(INDEX(Projects[Est Controls Commissioning],116)))</f>
        <v/>
      </c>
      <c r="CN117" s="5">
        <f>IF(A117="","",N(INDEX(Projects[Est Systems Commissioning],116)))</f>
        <v/>
      </c>
      <c r="CO117" s="5">
        <f>IF(A117="","",N(INDEX(Projects[Est Service Commissioning],116)))</f>
        <v/>
      </c>
      <c r="CP117" s="5">
        <f>IF(A117="","",N(INDEX(Projects[Est Controls Eng],116)))</f>
        <v/>
      </c>
      <c r="CQ117" s="5">
        <f>IF(A117="","",N(INDEX(Projects[Est Controls Purchase],116)))</f>
        <v/>
      </c>
      <c r="CR117" s="5">
        <f>IF(A117="","",N(INDEX(Projects[Est Software Eng],116)))</f>
        <v/>
      </c>
      <c r="CS117" s="5">
        <f>IF(A117="","",N(INDEX(Projects[Est Misc],116)))</f>
        <v/>
      </c>
      <c r="CT117" s="5">
        <f>IF(A117="","",SUM(CF117:CS117))</f>
        <v/>
      </c>
      <c r="CU117" s="5">
        <f>INDEX(Projects[Est Cost (M)],116)</f>
        <v/>
      </c>
      <c r="CV117" s="5">
        <f>INDEX(Projects[Act Cost (M)],116)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IF(A118="","",N(INDEX(Projects[Act Mech Inst],117)))</f>
        <v/>
      </c>
      <c r="BK118" s="5">
        <f>IF(A118="","",N(INDEX(Projects[Act Elec Inst],117)))</f>
        <v/>
      </c>
      <c r="BL118" s="5">
        <f>IF(A118="","",N(INDEX(Projects[Act Project Management],117)))</f>
        <v/>
      </c>
      <c r="BM118" s="5">
        <f>IF(A118="","",N(INDEX(Projects[Act Systems Eng],117)))</f>
        <v/>
      </c>
      <c r="BN118" s="5">
        <f>IF(A118="","",N(INDEX(Projects[Act Mechanical Eng],117)))</f>
        <v/>
      </c>
      <c r="BO118" s="5">
        <f>IF(A118="","",N(INDEX(Projects[Act Structural Engineering],117)))</f>
        <v/>
      </c>
      <c r="BP118" s="5">
        <f>IF(A118="","",N(INDEX(Projects[Act Site Sup],117)))</f>
        <v/>
      </c>
      <c r="BQ118" s="5">
        <f>IF(A118="","",N(INDEX(Projects[Act Controls Commissioning],117)))</f>
        <v/>
      </c>
      <c r="BR118" s="5">
        <f>IF(A118="","",N(INDEX(Projects[Act Systems Commissioning],117)))</f>
        <v/>
      </c>
      <c r="BS118" s="5">
        <f>IF(A118="","",N(INDEX(Projects[Act Service Commissioning],117)))</f>
        <v/>
      </c>
      <c r="BT118" s="5">
        <f>IF(A118="","",N(INDEX(Projects[Act Controls Eng],117)))</f>
        <v/>
      </c>
      <c r="BU118" s="5">
        <f>IF(A118="","",N(INDEX(Projects[Act Controls Purchase],117)))</f>
        <v/>
      </c>
      <c r="BV118" s="5">
        <f>IF(A118="","",N(INDEX(Projects[Act Software Eng],117)))</f>
        <v/>
      </c>
      <c r="BW118" s="5">
        <f>IF(A118="","",N(INDEX(Projects[Act 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  <c r="CE118" s="5">
        <f>INDEX(Projects[Act Data Status],117)&amp;""</f>
        <v/>
      </c>
      <c r="CF118" s="5">
        <f>IF(A118="","",N(INDEX(Projects[Est Mech Inst],117)))</f>
        <v/>
      </c>
      <c r="CG118" s="5">
        <f>IF(A118="","",N(INDEX(Projects[Est Elec Inst],117)))</f>
        <v/>
      </c>
      <c r="CH118" s="5">
        <f>IF(A118="","",N(INDEX(Projects[Est Project Management],117)))</f>
        <v/>
      </c>
      <c r="CI118" s="5">
        <f>IF(A118="","",N(INDEX(Projects[Est Systems Eng],117)))</f>
        <v/>
      </c>
      <c r="CJ118" s="5">
        <f>IF(A118="","",N(INDEX(Projects[Est Mechanical Eng],117)))</f>
        <v/>
      </c>
      <c r="CK118" s="5">
        <f>IF(A118="","",N(INDEX(Projects[Est Structural Engineering],117)))</f>
        <v/>
      </c>
      <c r="CL118" s="5">
        <f>IF(A118="","",N(INDEX(Projects[Est Site Sup],117)))</f>
        <v/>
      </c>
      <c r="CM118" s="5">
        <f>IF(A118="","",N(INDEX(Projects[Est Controls Commissioning],117)))</f>
        <v/>
      </c>
      <c r="CN118" s="5">
        <f>IF(A118="","",N(INDEX(Projects[Est Systems Commissioning],117)))</f>
        <v/>
      </c>
      <c r="CO118" s="5">
        <f>IF(A118="","",N(INDEX(Projects[Est Service Commissioning],117)))</f>
        <v/>
      </c>
      <c r="CP118" s="5">
        <f>IF(A118="","",N(INDEX(Projects[Est Controls Eng],117)))</f>
        <v/>
      </c>
      <c r="CQ118" s="5">
        <f>IF(A118="","",N(INDEX(Projects[Est Controls Purchase],117)))</f>
        <v/>
      </c>
      <c r="CR118" s="5">
        <f>IF(A118="","",N(INDEX(Projects[Est Software Eng],117)))</f>
        <v/>
      </c>
      <c r="CS118" s="5">
        <f>IF(A118="","",N(INDEX(Projects[Est Misc],117)))</f>
        <v/>
      </c>
      <c r="CT118" s="5">
        <f>IF(A118="","",SUM(CF118:CS118))</f>
        <v/>
      </c>
      <c r="CU118" s="5">
        <f>INDEX(Projects[Est Cost (M)],117)</f>
        <v/>
      </c>
      <c r="CV118" s="5">
        <f>INDEX(Projects[Act Cost (M)],117)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IF(A119="","",N(INDEX(Projects[Act Mech Inst],118)))</f>
        <v/>
      </c>
      <c r="BK119" s="5">
        <f>IF(A119="","",N(INDEX(Projects[Act Elec Inst],118)))</f>
        <v/>
      </c>
      <c r="BL119" s="5">
        <f>IF(A119="","",N(INDEX(Projects[Act Project Management],118)))</f>
        <v/>
      </c>
      <c r="BM119" s="5">
        <f>IF(A119="","",N(INDEX(Projects[Act Systems Eng],118)))</f>
        <v/>
      </c>
      <c r="BN119" s="5">
        <f>IF(A119="","",N(INDEX(Projects[Act Mechanical Eng],118)))</f>
        <v/>
      </c>
      <c r="BO119" s="5">
        <f>IF(A119="","",N(INDEX(Projects[Act Structural Engineering],118)))</f>
        <v/>
      </c>
      <c r="BP119" s="5">
        <f>IF(A119="","",N(INDEX(Projects[Act Site Sup],118)))</f>
        <v/>
      </c>
      <c r="BQ119" s="5">
        <f>IF(A119="","",N(INDEX(Projects[Act Controls Commissioning],118)))</f>
        <v/>
      </c>
      <c r="BR119" s="5">
        <f>IF(A119="","",N(INDEX(Projects[Act Systems Commissioning],118)))</f>
        <v/>
      </c>
      <c r="BS119" s="5">
        <f>IF(A119="","",N(INDEX(Projects[Act Service Commissioning],118)))</f>
        <v/>
      </c>
      <c r="BT119" s="5">
        <f>IF(A119="","",N(INDEX(Projects[Act Controls Eng],118)))</f>
        <v/>
      </c>
      <c r="BU119" s="5">
        <f>IF(A119="","",N(INDEX(Projects[Act Controls Purchase],118)))</f>
        <v/>
      </c>
      <c r="BV119" s="5">
        <f>IF(A119="","",N(INDEX(Projects[Act Software Eng],118)))</f>
        <v/>
      </c>
      <c r="BW119" s="5">
        <f>IF(A119="","",N(INDEX(Projects[Act 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  <c r="CE119" s="5">
        <f>INDEX(Projects[Act Data Status],118)&amp;""</f>
        <v/>
      </c>
      <c r="CF119" s="5">
        <f>IF(A119="","",N(INDEX(Projects[Est Mech Inst],118)))</f>
        <v/>
      </c>
      <c r="CG119" s="5">
        <f>IF(A119="","",N(INDEX(Projects[Est Elec Inst],118)))</f>
        <v/>
      </c>
      <c r="CH119" s="5">
        <f>IF(A119="","",N(INDEX(Projects[Est Project Management],118)))</f>
        <v/>
      </c>
      <c r="CI119" s="5">
        <f>IF(A119="","",N(INDEX(Projects[Est Systems Eng],118)))</f>
        <v/>
      </c>
      <c r="CJ119" s="5">
        <f>IF(A119="","",N(INDEX(Projects[Est Mechanical Eng],118)))</f>
        <v/>
      </c>
      <c r="CK119" s="5">
        <f>IF(A119="","",N(INDEX(Projects[Est Structural Engineering],118)))</f>
        <v/>
      </c>
      <c r="CL119" s="5">
        <f>IF(A119="","",N(INDEX(Projects[Est Site Sup],118)))</f>
        <v/>
      </c>
      <c r="CM119" s="5">
        <f>IF(A119="","",N(INDEX(Projects[Est Controls Commissioning],118)))</f>
        <v/>
      </c>
      <c r="CN119" s="5">
        <f>IF(A119="","",N(INDEX(Projects[Est Systems Commissioning],118)))</f>
        <v/>
      </c>
      <c r="CO119" s="5">
        <f>IF(A119="","",N(INDEX(Projects[Est Service Commissioning],118)))</f>
        <v/>
      </c>
      <c r="CP119" s="5">
        <f>IF(A119="","",N(INDEX(Projects[Est Controls Eng],118)))</f>
        <v/>
      </c>
      <c r="CQ119" s="5">
        <f>IF(A119="","",N(INDEX(Projects[Est Controls Purchase],118)))</f>
        <v/>
      </c>
      <c r="CR119" s="5">
        <f>IF(A119="","",N(INDEX(Projects[Est Software Eng],118)))</f>
        <v/>
      </c>
      <c r="CS119" s="5">
        <f>IF(A119="","",N(INDEX(Projects[Est Misc],118)))</f>
        <v/>
      </c>
      <c r="CT119" s="5">
        <f>IF(A119="","",SUM(CF119:CS119))</f>
        <v/>
      </c>
      <c r="CU119" s="5">
        <f>INDEX(Projects[Est Cost (M)],118)</f>
        <v/>
      </c>
      <c r="CV119" s="5">
        <f>INDEX(Projects[Act Cost (M)],118)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IF(A120="","",N(INDEX(Projects[Act Mech Inst],119)))</f>
        <v/>
      </c>
      <c r="BK120" s="5">
        <f>IF(A120="","",N(INDEX(Projects[Act Elec Inst],119)))</f>
        <v/>
      </c>
      <c r="BL120" s="5">
        <f>IF(A120="","",N(INDEX(Projects[Act Project Management],119)))</f>
        <v/>
      </c>
      <c r="BM120" s="5">
        <f>IF(A120="","",N(INDEX(Projects[Act Systems Eng],119)))</f>
        <v/>
      </c>
      <c r="BN120" s="5">
        <f>IF(A120="","",N(INDEX(Projects[Act Mechanical Eng],119)))</f>
        <v/>
      </c>
      <c r="BO120" s="5">
        <f>IF(A120="","",N(INDEX(Projects[Act Structural Engineering],119)))</f>
        <v/>
      </c>
      <c r="BP120" s="5">
        <f>IF(A120="","",N(INDEX(Projects[Act Site Sup],119)))</f>
        <v/>
      </c>
      <c r="BQ120" s="5">
        <f>IF(A120="","",N(INDEX(Projects[Act Controls Commissioning],119)))</f>
        <v/>
      </c>
      <c r="BR120" s="5">
        <f>IF(A120="","",N(INDEX(Projects[Act Systems Commissioning],119)))</f>
        <v/>
      </c>
      <c r="BS120" s="5">
        <f>IF(A120="","",N(INDEX(Projects[Act Service Commissioning],119)))</f>
        <v/>
      </c>
      <c r="BT120" s="5">
        <f>IF(A120="","",N(INDEX(Projects[Act Controls Eng],119)))</f>
        <v/>
      </c>
      <c r="BU120" s="5">
        <f>IF(A120="","",N(INDEX(Projects[Act Controls Purchase],119)))</f>
        <v/>
      </c>
      <c r="BV120" s="5">
        <f>IF(A120="","",N(INDEX(Projects[Act Software Eng],119)))</f>
        <v/>
      </c>
      <c r="BW120" s="5">
        <f>IF(A120="","",N(INDEX(Projects[Act 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  <c r="CE120" s="5">
        <f>INDEX(Projects[Act Data Status],119)&amp;""</f>
        <v/>
      </c>
      <c r="CF120" s="5">
        <f>IF(A120="","",N(INDEX(Projects[Est Mech Inst],119)))</f>
        <v/>
      </c>
      <c r="CG120" s="5">
        <f>IF(A120="","",N(INDEX(Projects[Est Elec Inst],119)))</f>
        <v/>
      </c>
      <c r="CH120" s="5">
        <f>IF(A120="","",N(INDEX(Projects[Est Project Management],119)))</f>
        <v/>
      </c>
      <c r="CI120" s="5">
        <f>IF(A120="","",N(INDEX(Projects[Est Systems Eng],119)))</f>
        <v/>
      </c>
      <c r="CJ120" s="5">
        <f>IF(A120="","",N(INDEX(Projects[Est Mechanical Eng],119)))</f>
        <v/>
      </c>
      <c r="CK120" s="5">
        <f>IF(A120="","",N(INDEX(Projects[Est Structural Engineering],119)))</f>
        <v/>
      </c>
      <c r="CL120" s="5">
        <f>IF(A120="","",N(INDEX(Projects[Est Site Sup],119)))</f>
        <v/>
      </c>
      <c r="CM120" s="5">
        <f>IF(A120="","",N(INDEX(Projects[Est Controls Commissioning],119)))</f>
        <v/>
      </c>
      <c r="CN120" s="5">
        <f>IF(A120="","",N(INDEX(Projects[Est Systems Commissioning],119)))</f>
        <v/>
      </c>
      <c r="CO120" s="5">
        <f>IF(A120="","",N(INDEX(Projects[Est Service Commissioning],119)))</f>
        <v/>
      </c>
      <c r="CP120" s="5">
        <f>IF(A120="","",N(INDEX(Projects[Est Controls Eng],119)))</f>
        <v/>
      </c>
      <c r="CQ120" s="5">
        <f>IF(A120="","",N(INDEX(Projects[Est Controls Purchase],119)))</f>
        <v/>
      </c>
      <c r="CR120" s="5">
        <f>IF(A120="","",N(INDEX(Projects[Est Software Eng],119)))</f>
        <v/>
      </c>
      <c r="CS120" s="5">
        <f>IF(A120="","",N(INDEX(Projects[Est Misc],119)))</f>
        <v/>
      </c>
      <c r="CT120" s="5">
        <f>IF(A120="","",SUM(CF120:CS120))</f>
        <v/>
      </c>
      <c r="CU120" s="5">
        <f>INDEX(Projects[Est Cost (M)],119)</f>
        <v/>
      </c>
      <c r="CV120" s="5">
        <f>INDEX(Projects[Act Cost (M)],119)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IF(A121="","",N(INDEX(Projects[Act Mech Inst],120)))</f>
        <v/>
      </c>
      <c r="BK121" s="5">
        <f>IF(A121="","",N(INDEX(Projects[Act Elec Inst],120)))</f>
        <v/>
      </c>
      <c r="BL121" s="5">
        <f>IF(A121="","",N(INDEX(Projects[Act Project Management],120)))</f>
        <v/>
      </c>
      <c r="BM121" s="5">
        <f>IF(A121="","",N(INDEX(Projects[Act Systems Eng],120)))</f>
        <v/>
      </c>
      <c r="BN121" s="5">
        <f>IF(A121="","",N(INDEX(Projects[Act Mechanical Eng],120)))</f>
        <v/>
      </c>
      <c r="BO121" s="5">
        <f>IF(A121="","",N(INDEX(Projects[Act Structural Engineering],120)))</f>
        <v/>
      </c>
      <c r="BP121" s="5">
        <f>IF(A121="","",N(INDEX(Projects[Act Site Sup],120)))</f>
        <v/>
      </c>
      <c r="BQ121" s="5">
        <f>IF(A121="","",N(INDEX(Projects[Act Controls Commissioning],120)))</f>
        <v/>
      </c>
      <c r="BR121" s="5">
        <f>IF(A121="","",N(INDEX(Projects[Act Systems Commissioning],120)))</f>
        <v/>
      </c>
      <c r="BS121" s="5">
        <f>IF(A121="","",N(INDEX(Projects[Act Service Commissioning],120)))</f>
        <v/>
      </c>
      <c r="BT121" s="5">
        <f>IF(A121="","",N(INDEX(Projects[Act Controls Eng],120)))</f>
        <v/>
      </c>
      <c r="BU121" s="5">
        <f>IF(A121="","",N(INDEX(Projects[Act Controls Purchase],120)))</f>
        <v/>
      </c>
      <c r="BV121" s="5">
        <f>IF(A121="","",N(INDEX(Projects[Act Software Eng],120)))</f>
        <v/>
      </c>
      <c r="BW121" s="5">
        <f>IF(A121="","",N(INDEX(Projects[Act 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  <c r="CE121" s="5">
        <f>INDEX(Projects[Act Data Status],120)&amp;""</f>
        <v/>
      </c>
      <c r="CF121" s="5">
        <f>IF(A121="","",N(INDEX(Projects[Est Mech Inst],120)))</f>
        <v/>
      </c>
      <c r="CG121" s="5">
        <f>IF(A121="","",N(INDEX(Projects[Est Elec Inst],120)))</f>
        <v/>
      </c>
      <c r="CH121" s="5">
        <f>IF(A121="","",N(INDEX(Projects[Est Project Management],120)))</f>
        <v/>
      </c>
      <c r="CI121" s="5">
        <f>IF(A121="","",N(INDEX(Projects[Est Systems Eng],120)))</f>
        <v/>
      </c>
      <c r="CJ121" s="5">
        <f>IF(A121="","",N(INDEX(Projects[Est Mechanical Eng],120)))</f>
        <v/>
      </c>
      <c r="CK121" s="5">
        <f>IF(A121="","",N(INDEX(Projects[Est Structural Engineering],120)))</f>
        <v/>
      </c>
      <c r="CL121" s="5">
        <f>IF(A121="","",N(INDEX(Projects[Est Site Sup],120)))</f>
        <v/>
      </c>
      <c r="CM121" s="5">
        <f>IF(A121="","",N(INDEX(Projects[Est Controls Commissioning],120)))</f>
        <v/>
      </c>
      <c r="CN121" s="5">
        <f>IF(A121="","",N(INDEX(Projects[Est Systems Commissioning],120)))</f>
        <v/>
      </c>
      <c r="CO121" s="5">
        <f>IF(A121="","",N(INDEX(Projects[Est Service Commissioning],120)))</f>
        <v/>
      </c>
      <c r="CP121" s="5">
        <f>IF(A121="","",N(INDEX(Projects[Est Controls Eng],120)))</f>
        <v/>
      </c>
      <c r="CQ121" s="5">
        <f>IF(A121="","",N(INDEX(Projects[Est Controls Purchase],120)))</f>
        <v/>
      </c>
      <c r="CR121" s="5">
        <f>IF(A121="","",N(INDEX(Projects[Est Software Eng],120)))</f>
        <v/>
      </c>
      <c r="CS121" s="5">
        <f>IF(A121="","",N(INDEX(Projects[Est Misc],120)))</f>
        <v/>
      </c>
      <c r="CT121" s="5">
        <f>IF(A121="","",SUM(CF121:CS121))</f>
        <v/>
      </c>
      <c r="CU121" s="5">
        <f>INDEX(Projects[Est Cost (M)],120)</f>
        <v/>
      </c>
      <c r="CV121" s="5">
        <f>INDEX(Projects[Act Cost (M)],120)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IF(A122="","",N(INDEX(Projects[Act Mech Inst],121)))</f>
        <v/>
      </c>
      <c r="BK122" s="5">
        <f>IF(A122="","",N(INDEX(Projects[Act Elec Inst],121)))</f>
        <v/>
      </c>
      <c r="BL122" s="5">
        <f>IF(A122="","",N(INDEX(Projects[Act Project Management],121)))</f>
        <v/>
      </c>
      <c r="BM122" s="5">
        <f>IF(A122="","",N(INDEX(Projects[Act Systems Eng],121)))</f>
        <v/>
      </c>
      <c r="BN122" s="5">
        <f>IF(A122="","",N(INDEX(Projects[Act Mechanical Eng],121)))</f>
        <v/>
      </c>
      <c r="BO122" s="5">
        <f>IF(A122="","",N(INDEX(Projects[Act Structural Engineering],121)))</f>
        <v/>
      </c>
      <c r="BP122" s="5">
        <f>IF(A122="","",N(INDEX(Projects[Act Site Sup],121)))</f>
        <v/>
      </c>
      <c r="BQ122" s="5">
        <f>IF(A122="","",N(INDEX(Projects[Act Controls Commissioning],121)))</f>
        <v/>
      </c>
      <c r="BR122" s="5">
        <f>IF(A122="","",N(INDEX(Projects[Act Systems Commissioning],121)))</f>
        <v/>
      </c>
      <c r="BS122" s="5">
        <f>IF(A122="","",N(INDEX(Projects[Act Service Commissioning],121)))</f>
        <v/>
      </c>
      <c r="BT122" s="5">
        <f>IF(A122="","",N(INDEX(Projects[Act Controls Eng],121)))</f>
        <v/>
      </c>
      <c r="BU122" s="5">
        <f>IF(A122="","",N(INDEX(Projects[Act Controls Purchase],121)))</f>
        <v/>
      </c>
      <c r="BV122" s="5">
        <f>IF(A122="","",N(INDEX(Projects[Act Software Eng],121)))</f>
        <v/>
      </c>
      <c r="BW122" s="5">
        <f>IF(A122="","",N(INDEX(Projects[Act 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  <c r="CE122" s="5">
        <f>INDEX(Projects[Act Data Status],121)&amp;""</f>
        <v/>
      </c>
      <c r="CF122" s="5">
        <f>IF(A122="","",N(INDEX(Projects[Est Mech Inst],121)))</f>
        <v/>
      </c>
      <c r="CG122" s="5">
        <f>IF(A122="","",N(INDEX(Projects[Est Elec Inst],121)))</f>
        <v/>
      </c>
      <c r="CH122" s="5">
        <f>IF(A122="","",N(INDEX(Projects[Est Project Management],121)))</f>
        <v/>
      </c>
      <c r="CI122" s="5">
        <f>IF(A122="","",N(INDEX(Projects[Est Systems Eng],121)))</f>
        <v/>
      </c>
      <c r="CJ122" s="5">
        <f>IF(A122="","",N(INDEX(Projects[Est Mechanical Eng],121)))</f>
        <v/>
      </c>
      <c r="CK122" s="5">
        <f>IF(A122="","",N(INDEX(Projects[Est Structural Engineering],121)))</f>
        <v/>
      </c>
      <c r="CL122" s="5">
        <f>IF(A122="","",N(INDEX(Projects[Est Site Sup],121)))</f>
        <v/>
      </c>
      <c r="CM122" s="5">
        <f>IF(A122="","",N(INDEX(Projects[Est Controls Commissioning],121)))</f>
        <v/>
      </c>
      <c r="CN122" s="5">
        <f>IF(A122="","",N(INDEX(Projects[Est Systems Commissioning],121)))</f>
        <v/>
      </c>
      <c r="CO122" s="5">
        <f>IF(A122="","",N(INDEX(Projects[Est Service Commissioning],121)))</f>
        <v/>
      </c>
      <c r="CP122" s="5">
        <f>IF(A122="","",N(INDEX(Projects[Est Controls Eng],121)))</f>
        <v/>
      </c>
      <c r="CQ122" s="5">
        <f>IF(A122="","",N(INDEX(Projects[Est Controls Purchase],121)))</f>
        <v/>
      </c>
      <c r="CR122" s="5">
        <f>IF(A122="","",N(INDEX(Projects[Est Software Eng],121)))</f>
        <v/>
      </c>
      <c r="CS122" s="5">
        <f>IF(A122="","",N(INDEX(Projects[Est Misc],121)))</f>
        <v/>
      </c>
      <c r="CT122" s="5">
        <f>IF(A122="","",SUM(CF122:CS122))</f>
        <v/>
      </c>
      <c r="CU122" s="5">
        <f>INDEX(Projects[Est Cost (M)],121)</f>
        <v/>
      </c>
      <c r="CV122" s="5">
        <f>INDEX(Projects[Act Cost (M)],121)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IF(A123="","",N(INDEX(Projects[Act Mech Inst],122)))</f>
        <v/>
      </c>
      <c r="BK123" s="5">
        <f>IF(A123="","",N(INDEX(Projects[Act Elec Inst],122)))</f>
        <v/>
      </c>
      <c r="BL123" s="5">
        <f>IF(A123="","",N(INDEX(Projects[Act Project Management],122)))</f>
        <v/>
      </c>
      <c r="BM123" s="5">
        <f>IF(A123="","",N(INDEX(Projects[Act Systems Eng],122)))</f>
        <v/>
      </c>
      <c r="BN123" s="5">
        <f>IF(A123="","",N(INDEX(Projects[Act Mechanical Eng],122)))</f>
        <v/>
      </c>
      <c r="BO123" s="5">
        <f>IF(A123="","",N(INDEX(Projects[Act Structural Engineering],122)))</f>
        <v/>
      </c>
      <c r="BP123" s="5">
        <f>IF(A123="","",N(INDEX(Projects[Act Site Sup],122)))</f>
        <v/>
      </c>
      <c r="BQ123" s="5">
        <f>IF(A123="","",N(INDEX(Projects[Act Controls Commissioning],122)))</f>
        <v/>
      </c>
      <c r="BR123" s="5">
        <f>IF(A123="","",N(INDEX(Projects[Act Systems Commissioning],122)))</f>
        <v/>
      </c>
      <c r="BS123" s="5">
        <f>IF(A123="","",N(INDEX(Projects[Act Service Commissioning],122)))</f>
        <v/>
      </c>
      <c r="BT123" s="5">
        <f>IF(A123="","",N(INDEX(Projects[Act Controls Eng],122)))</f>
        <v/>
      </c>
      <c r="BU123" s="5">
        <f>IF(A123="","",N(INDEX(Projects[Act Controls Purchase],122)))</f>
        <v/>
      </c>
      <c r="BV123" s="5">
        <f>IF(A123="","",N(INDEX(Projects[Act Software Eng],122)))</f>
        <v/>
      </c>
      <c r="BW123" s="5">
        <f>IF(A123="","",N(INDEX(Projects[Act 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  <c r="CE123" s="5">
        <f>INDEX(Projects[Act Data Status],122)&amp;""</f>
        <v/>
      </c>
      <c r="CF123" s="5">
        <f>IF(A123="","",N(INDEX(Projects[Est Mech Inst],122)))</f>
        <v/>
      </c>
      <c r="CG123" s="5">
        <f>IF(A123="","",N(INDEX(Projects[Est Elec Inst],122)))</f>
        <v/>
      </c>
      <c r="CH123" s="5">
        <f>IF(A123="","",N(INDEX(Projects[Est Project Management],122)))</f>
        <v/>
      </c>
      <c r="CI123" s="5">
        <f>IF(A123="","",N(INDEX(Projects[Est Systems Eng],122)))</f>
        <v/>
      </c>
      <c r="CJ123" s="5">
        <f>IF(A123="","",N(INDEX(Projects[Est Mechanical Eng],122)))</f>
        <v/>
      </c>
      <c r="CK123" s="5">
        <f>IF(A123="","",N(INDEX(Projects[Est Structural Engineering],122)))</f>
        <v/>
      </c>
      <c r="CL123" s="5">
        <f>IF(A123="","",N(INDEX(Projects[Est Site Sup],122)))</f>
        <v/>
      </c>
      <c r="CM123" s="5">
        <f>IF(A123="","",N(INDEX(Projects[Est Controls Commissioning],122)))</f>
        <v/>
      </c>
      <c r="CN123" s="5">
        <f>IF(A123="","",N(INDEX(Projects[Est Systems Commissioning],122)))</f>
        <v/>
      </c>
      <c r="CO123" s="5">
        <f>IF(A123="","",N(INDEX(Projects[Est Service Commissioning],122)))</f>
        <v/>
      </c>
      <c r="CP123" s="5">
        <f>IF(A123="","",N(INDEX(Projects[Est Controls Eng],122)))</f>
        <v/>
      </c>
      <c r="CQ123" s="5">
        <f>IF(A123="","",N(INDEX(Projects[Est Controls Purchase],122)))</f>
        <v/>
      </c>
      <c r="CR123" s="5">
        <f>IF(A123="","",N(INDEX(Projects[Est Software Eng],122)))</f>
        <v/>
      </c>
      <c r="CS123" s="5">
        <f>IF(A123="","",N(INDEX(Projects[Est Misc],122)))</f>
        <v/>
      </c>
      <c r="CT123" s="5">
        <f>IF(A123="","",SUM(CF123:CS123))</f>
        <v/>
      </c>
      <c r="CU123" s="5">
        <f>INDEX(Projects[Est Cost (M)],122)</f>
        <v/>
      </c>
      <c r="CV123" s="5">
        <f>INDEX(Projects[Act Cost (M)],122)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IF(A124="","",N(INDEX(Projects[Act Mech Inst],123)))</f>
        <v/>
      </c>
      <c r="BK124" s="5">
        <f>IF(A124="","",N(INDEX(Projects[Act Elec Inst],123)))</f>
        <v/>
      </c>
      <c r="BL124" s="5">
        <f>IF(A124="","",N(INDEX(Projects[Act Project Management],123)))</f>
        <v/>
      </c>
      <c r="BM124" s="5">
        <f>IF(A124="","",N(INDEX(Projects[Act Systems Eng],123)))</f>
        <v/>
      </c>
      <c r="BN124" s="5">
        <f>IF(A124="","",N(INDEX(Projects[Act Mechanical Eng],123)))</f>
        <v/>
      </c>
      <c r="BO124" s="5">
        <f>IF(A124="","",N(INDEX(Projects[Act Structural Engineering],123)))</f>
        <v/>
      </c>
      <c r="BP124" s="5">
        <f>IF(A124="","",N(INDEX(Projects[Act Site Sup],123)))</f>
        <v/>
      </c>
      <c r="BQ124" s="5">
        <f>IF(A124="","",N(INDEX(Projects[Act Controls Commissioning],123)))</f>
        <v/>
      </c>
      <c r="BR124" s="5">
        <f>IF(A124="","",N(INDEX(Projects[Act Systems Commissioning],123)))</f>
        <v/>
      </c>
      <c r="BS124" s="5">
        <f>IF(A124="","",N(INDEX(Projects[Act Service Commissioning],123)))</f>
        <v/>
      </c>
      <c r="BT124" s="5">
        <f>IF(A124="","",N(INDEX(Projects[Act Controls Eng],123)))</f>
        <v/>
      </c>
      <c r="BU124" s="5">
        <f>IF(A124="","",N(INDEX(Projects[Act Controls Purchase],123)))</f>
        <v/>
      </c>
      <c r="BV124" s="5">
        <f>IF(A124="","",N(INDEX(Projects[Act Software Eng],123)))</f>
        <v/>
      </c>
      <c r="BW124" s="5">
        <f>IF(A124="","",N(INDEX(Projects[Act 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  <c r="CE124" s="5">
        <f>INDEX(Projects[Act Data Status],123)&amp;""</f>
        <v/>
      </c>
      <c r="CF124" s="5">
        <f>IF(A124="","",N(INDEX(Projects[Est Mech Inst],123)))</f>
        <v/>
      </c>
      <c r="CG124" s="5">
        <f>IF(A124="","",N(INDEX(Projects[Est Elec Inst],123)))</f>
        <v/>
      </c>
      <c r="CH124" s="5">
        <f>IF(A124="","",N(INDEX(Projects[Est Project Management],123)))</f>
        <v/>
      </c>
      <c r="CI124" s="5">
        <f>IF(A124="","",N(INDEX(Projects[Est Systems Eng],123)))</f>
        <v/>
      </c>
      <c r="CJ124" s="5">
        <f>IF(A124="","",N(INDEX(Projects[Est Mechanical Eng],123)))</f>
        <v/>
      </c>
      <c r="CK124" s="5">
        <f>IF(A124="","",N(INDEX(Projects[Est Structural Engineering],123)))</f>
        <v/>
      </c>
      <c r="CL124" s="5">
        <f>IF(A124="","",N(INDEX(Projects[Est Site Sup],123)))</f>
        <v/>
      </c>
      <c r="CM124" s="5">
        <f>IF(A124="","",N(INDEX(Projects[Est Controls Commissioning],123)))</f>
        <v/>
      </c>
      <c r="CN124" s="5">
        <f>IF(A124="","",N(INDEX(Projects[Est Systems Commissioning],123)))</f>
        <v/>
      </c>
      <c r="CO124" s="5">
        <f>IF(A124="","",N(INDEX(Projects[Est Service Commissioning],123)))</f>
        <v/>
      </c>
      <c r="CP124" s="5">
        <f>IF(A124="","",N(INDEX(Projects[Est Controls Eng],123)))</f>
        <v/>
      </c>
      <c r="CQ124" s="5">
        <f>IF(A124="","",N(INDEX(Projects[Est Controls Purchase],123)))</f>
        <v/>
      </c>
      <c r="CR124" s="5">
        <f>IF(A124="","",N(INDEX(Projects[Est Software Eng],123)))</f>
        <v/>
      </c>
      <c r="CS124" s="5">
        <f>IF(A124="","",N(INDEX(Projects[Est Misc],123)))</f>
        <v/>
      </c>
      <c r="CT124" s="5">
        <f>IF(A124="","",SUM(CF124:CS124))</f>
        <v/>
      </c>
      <c r="CU124" s="5">
        <f>INDEX(Projects[Est Cost (M)],123)</f>
        <v/>
      </c>
      <c r="CV124" s="5">
        <f>INDEX(Projects[Act Cost (M)],123)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IF(A125="","",N(INDEX(Projects[Act Mech Inst],124)))</f>
        <v/>
      </c>
      <c r="BK125" s="5">
        <f>IF(A125="","",N(INDEX(Projects[Act Elec Inst],124)))</f>
        <v/>
      </c>
      <c r="BL125" s="5">
        <f>IF(A125="","",N(INDEX(Projects[Act Project Management],124)))</f>
        <v/>
      </c>
      <c r="BM125" s="5">
        <f>IF(A125="","",N(INDEX(Projects[Act Systems Eng],124)))</f>
        <v/>
      </c>
      <c r="BN125" s="5">
        <f>IF(A125="","",N(INDEX(Projects[Act Mechanical Eng],124)))</f>
        <v/>
      </c>
      <c r="BO125" s="5">
        <f>IF(A125="","",N(INDEX(Projects[Act Structural Engineering],124)))</f>
        <v/>
      </c>
      <c r="BP125" s="5">
        <f>IF(A125="","",N(INDEX(Projects[Act Site Sup],124)))</f>
        <v/>
      </c>
      <c r="BQ125" s="5">
        <f>IF(A125="","",N(INDEX(Projects[Act Controls Commissioning],124)))</f>
        <v/>
      </c>
      <c r="BR125" s="5">
        <f>IF(A125="","",N(INDEX(Projects[Act Systems Commissioning],124)))</f>
        <v/>
      </c>
      <c r="BS125" s="5">
        <f>IF(A125="","",N(INDEX(Projects[Act Service Commissioning],124)))</f>
        <v/>
      </c>
      <c r="BT125" s="5">
        <f>IF(A125="","",N(INDEX(Projects[Act Controls Eng],124)))</f>
        <v/>
      </c>
      <c r="BU125" s="5">
        <f>IF(A125="","",N(INDEX(Projects[Act Controls Purchase],124)))</f>
        <v/>
      </c>
      <c r="BV125" s="5">
        <f>IF(A125="","",N(INDEX(Projects[Act Software Eng],124)))</f>
        <v/>
      </c>
      <c r="BW125" s="5">
        <f>IF(A125="","",N(INDEX(Projects[Act 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  <c r="CE125" s="5">
        <f>INDEX(Projects[Act Data Status],124)&amp;""</f>
        <v/>
      </c>
      <c r="CF125" s="5">
        <f>IF(A125="","",N(INDEX(Projects[Est Mech Inst],124)))</f>
        <v/>
      </c>
      <c r="CG125" s="5">
        <f>IF(A125="","",N(INDEX(Projects[Est Elec Inst],124)))</f>
        <v/>
      </c>
      <c r="CH125" s="5">
        <f>IF(A125="","",N(INDEX(Projects[Est Project Management],124)))</f>
        <v/>
      </c>
      <c r="CI125" s="5">
        <f>IF(A125="","",N(INDEX(Projects[Est Systems Eng],124)))</f>
        <v/>
      </c>
      <c r="CJ125" s="5">
        <f>IF(A125="","",N(INDEX(Projects[Est Mechanical Eng],124)))</f>
        <v/>
      </c>
      <c r="CK125" s="5">
        <f>IF(A125="","",N(INDEX(Projects[Est Structural Engineering],124)))</f>
        <v/>
      </c>
      <c r="CL125" s="5">
        <f>IF(A125="","",N(INDEX(Projects[Est Site Sup],124)))</f>
        <v/>
      </c>
      <c r="CM125" s="5">
        <f>IF(A125="","",N(INDEX(Projects[Est Controls Commissioning],124)))</f>
        <v/>
      </c>
      <c r="CN125" s="5">
        <f>IF(A125="","",N(INDEX(Projects[Est Systems Commissioning],124)))</f>
        <v/>
      </c>
      <c r="CO125" s="5">
        <f>IF(A125="","",N(INDEX(Projects[Est Service Commissioning],124)))</f>
        <v/>
      </c>
      <c r="CP125" s="5">
        <f>IF(A125="","",N(INDEX(Projects[Est Controls Eng],124)))</f>
        <v/>
      </c>
      <c r="CQ125" s="5">
        <f>IF(A125="","",N(INDEX(Projects[Est Controls Purchase],124)))</f>
        <v/>
      </c>
      <c r="CR125" s="5">
        <f>IF(A125="","",N(INDEX(Projects[Est Software Eng],124)))</f>
        <v/>
      </c>
      <c r="CS125" s="5">
        <f>IF(A125="","",N(INDEX(Projects[Est Misc],124)))</f>
        <v/>
      </c>
      <c r="CT125" s="5">
        <f>IF(A125="","",SUM(CF125:CS125))</f>
        <v/>
      </c>
      <c r="CU125" s="5">
        <f>INDEX(Projects[Est Cost (M)],124)</f>
        <v/>
      </c>
      <c r="CV125" s="5">
        <f>INDEX(Projects[Act Cost (M)],124)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IF(A126="","",N(INDEX(Projects[Act Mech Inst],125)))</f>
        <v/>
      </c>
      <c r="BK126" s="5">
        <f>IF(A126="","",N(INDEX(Projects[Act Elec Inst],125)))</f>
        <v/>
      </c>
      <c r="BL126" s="5">
        <f>IF(A126="","",N(INDEX(Projects[Act Project Management],125)))</f>
        <v/>
      </c>
      <c r="BM126" s="5">
        <f>IF(A126="","",N(INDEX(Projects[Act Systems Eng],125)))</f>
        <v/>
      </c>
      <c r="BN126" s="5">
        <f>IF(A126="","",N(INDEX(Projects[Act Mechanical Eng],125)))</f>
        <v/>
      </c>
      <c r="BO126" s="5">
        <f>IF(A126="","",N(INDEX(Projects[Act Structural Engineering],125)))</f>
        <v/>
      </c>
      <c r="BP126" s="5">
        <f>IF(A126="","",N(INDEX(Projects[Act Site Sup],125)))</f>
        <v/>
      </c>
      <c r="BQ126" s="5">
        <f>IF(A126="","",N(INDEX(Projects[Act Controls Commissioning],125)))</f>
        <v/>
      </c>
      <c r="BR126" s="5">
        <f>IF(A126="","",N(INDEX(Projects[Act Systems Commissioning],125)))</f>
        <v/>
      </c>
      <c r="BS126" s="5">
        <f>IF(A126="","",N(INDEX(Projects[Act Service Commissioning],125)))</f>
        <v/>
      </c>
      <c r="BT126" s="5">
        <f>IF(A126="","",N(INDEX(Projects[Act Controls Eng],125)))</f>
        <v/>
      </c>
      <c r="BU126" s="5">
        <f>IF(A126="","",N(INDEX(Projects[Act Controls Purchase],125)))</f>
        <v/>
      </c>
      <c r="BV126" s="5">
        <f>IF(A126="","",N(INDEX(Projects[Act Software Eng],125)))</f>
        <v/>
      </c>
      <c r="BW126" s="5">
        <f>IF(A126="","",N(INDEX(Projects[Act 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  <c r="CE126" s="5">
        <f>INDEX(Projects[Act Data Status],125)&amp;""</f>
        <v/>
      </c>
      <c r="CF126" s="5">
        <f>IF(A126="","",N(INDEX(Projects[Est Mech Inst],125)))</f>
        <v/>
      </c>
      <c r="CG126" s="5">
        <f>IF(A126="","",N(INDEX(Projects[Est Elec Inst],125)))</f>
        <v/>
      </c>
      <c r="CH126" s="5">
        <f>IF(A126="","",N(INDEX(Projects[Est Project Management],125)))</f>
        <v/>
      </c>
      <c r="CI126" s="5">
        <f>IF(A126="","",N(INDEX(Projects[Est Systems Eng],125)))</f>
        <v/>
      </c>
      <c r="CJ126" s="5">
        <f>IF(A126="","",N(INDEX(Projects[Est Mechanical Eng],125)))</f>
        <v/>
      </c>
      <c r="CK126" s="5">
        <f>IF(A126="","",N(INDEX(Projects[Est Structural Engineering],125)))</f>
        <v/>
      </c>
      <c r="CL126" s="5">
        <f>IF(A126="","",N(INDEX(Projects[Est Site Sup],125)))</f>
        <v/>
      </c>
      <c r="CM126" s="5">
        <f>IF(A126="","",N(INDEX(Projects[Est Controls Commissioning],125)))</f>
        <v/>
      </c>
      <c r="CN126" s="5">
        <f>IF(A126="","",N(INDEX(Projects[Est Systems Commissioning],125)))</f>
        <v/>
      </c>
      <c r="CO126" s="5">
        <f>IF(A126="","",N(INDEX(Projects[Est Service Commissioning],125)))</f>
        <v/>
      </c>
      <c r="CP126" s="5">
        <f>IF(A126="","",N(INDEX(Projects[Est Controls Eng],125)))</f>
        <v/>
      </c>
      <c r="CQ126" s="5">
        <f>IF(A126="","",N(INDEX(Projects[Est Controls Purchase],125)))</f>
        <v/>
      </c>
      <c r="CR126" s="5">
        <f>IF(A126="","",N(INDEX(Projects[Est Software Eng],125)))</f>
        <v/>
      </c>
      <c r="CS126" s="5">
        <f>IF(A126="","",N(INDEX(Projects[Est Misc],125)))</f>
        <v/>
      </c>
      <c r="CT126" s="5">
        <f>IF(A126="","",SUM(CF126:CS126))</f>
        <v/>
      </c>
      <c r="CU126" s="5">
        <f>INDEX(Projects[Est Cost (M)],125)</f>
        <v/>
      </c>
      <c r="CV126" s="5">
        <f>INDEX(Projects[Act Cost (M)],125)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IF(A127="","",N(INDEX(Projects[Act Mech Inst],126)))</f>
        <v/>
      </c>
      <c r="BK127" s="5">
        <f>IF(A127="","",N(INDEX(Projects[Act Elec Inst],126)))</f>
        <v/>
      </c>
      <c r="BL127" s="5">
        <f>IF(A127="","",N(INDEX(Projects[Act Project Management],126)))</f>
        <v/>
      </c>
      <c r="BM127" s="5">
        <f>IF(A127="","",N(INDEX(Projects[Act Systems Eng],126)))</f>
        <v/>
      </c>
      <c r="BN127" s="5">
        <f>IF(A127="","",N(INDEX(Projects[Act Mechanical Eng],126)))</f>
        <v/>
      </c>
      <c r="BO127" s="5">
        <f>IF(A127="","",N(INDEX(Projects[Act Structural Engineering],126)))</f>
        <v/>
      </c>
      <c r="BP127" s="5">
        <f>IF(A127="","",N(INDEX(Projects[Act Site Sup],126)))</f>
        <v/>
      </c>
      <c r="BQ127" s="5">
        <f>IF(A127="","",N(INDEX(Projects[Act Controls Commissioning],126)))</f>
        <v/>
      </c>
      <c r="BR127" s="5">
        <f>IF(A127="","",N(INDEX(Projects[Act Systems Commissioning],126)))</f>
        <v/>
      </c>
      <c r="BS127" s="5">
        <f>IF(A127="","",N(INDEX(Projects[Act Service Commissioning],126)))</f>
        <v/>
      </c>
      <c r="BT127" s="5">
        <f>IF(A127="","",N(INDEX(Projects[Act Controls Eng],126)))</f>
        <v/>
      </c>
      <c r="BU127" s="5">
        <f>IF(A127="","",N(INDEX(Projects[Act Controls Purchase],126)))</f>
        <v/>
      </c>
      <c r="BV127" s="5">
        <f>IF(A127="","",N(INDEX(Projects[Act Software Eng],126)))</f>
        <v/>
      </c>
      <c r="BW127" s="5">
        <f>IF(A127="","",N(INDEX(Projects[Act 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  <c r="CE127" s="5">
        <f>INDEX(Projects[Act Data Status],126)&amp;""</f>
        <v/>
      </c>
      <c r="CF127" s="5">
        <f>IF(A127="","",N(INDEX(Projects[Est Mech Inst],126)))</f>
        <v/>
      </c>
      <c r="CG127" s="5">
        <f>IF(A127="","",N(INDEX(Projects[Est Elec Inst],126)))</f>
        <v/>
      </c>
      <c r="CH127" s="5">
        <f>IF(A127="","",N(INDEX(Projects[Est Project Management],126)))</f>
        <v/>
      </c>
      <c r="CI127" s="5">
        <f>IF(A127="","",N(INDEX(Projects[Est Systems Eng],126)))</f>
        <v/>
      </c>
      <c r="CJ127" s="5">
        <f>IF(A127="","",N(INDEX(Projects[Est Mechanical Eng],126)))</f>
        <v/>
      </c>
      <c r="CK127" s="5">
        <f>IF(A127="","",N(INDEX(Projects[Est Structural Engineering],126)))</f>
        <v/>
      </c>
      <c r="CL127" s="5">
        <f>IF(A127="","",N(INDEX(Projects[Est Site Sup],126)))</f>
        <v/>
      </c>
      <c r="CM127" s="5">
        <f>IF(A127="","",N(INDEX(Projects[Est Controls Commissioning],126)))</f>
        <v/>
      </c>
      <c r="CN127" s="5">
        <f>IF(A127="","",N(INDEX(Projects[Est Systems Commissioning],126)))</f>
        <v/>
      </c>
      <c r="CO127" s="5">
        <f>IF(A127="","",N(INDEX(Projects[Est Service Commissioning],126)))</f>
        <v/>
      </c>
      <c r="CP127" s="5">
        <f>IF(A127="","",N(INDEX(Projects[Est Controls Eng],126)))</f>
        <v/>
      </c>
      <c r="CQ127" s="5">
        <f>IF(A127="","",N(INDEX(Projects[Est Controls Purchase],126)))</f>
        <v/>
      </c>
      <c r="CR127" s="5">
        <f>IF(A127="","",N(INDEX(Projects[Est Software Eng],126)))</f>
        <v/>
      </c>
      <c r="CS127" s="5">
        <f>IF(A127="","",N(INDEX(Projects[Est Misc],126)))</f>
        <v/>
      </c>
      <c r="CT127" s="5">
        <f>IF(A127="","",SUM(CF127:CS127))</f>
        <v/>
      </c>
      <c r="CU127" s="5">
        <f>INDEX(Projects[Est Cost (M)],126)</f>
        <v/>
      </c>
      <c r="CV127" s="5">
        <f>INDEX(Projects[Act Cost (M)],126)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IF(A128="","",N(INDEX(Projects[Act Mech Inst],127)))</f>
        <v/>
      </c>
      <c r="BK128" s="5">
        <f>IF(A128="","",N(INDEX(Projects[Act Elec Inst],127)))</f>
        <v/>
      </c>
      <c r="BL128" s="5">
        <f>IF(A128="","",N(INDEX(Projects[Act Project Management],127)))</f>
        <v/>
      </c>
      <c r="BM128" s="5">
        <f>IF(A128="","",N(INDEX(Projects[Act Systems Eng],127)))</f>
        <v/>
      </c>
      <c r="BN128" s="5">
        <f>IF(A128="","",N(INDEX(Projects[Act Mechanical Eng],127)))</f>
        <v/>
      </c>
      <c r="BO128" s="5">
        <f>IF(A128="","",N(INDEX(Projects[Act Structural Engineering],127)))</f>
        <v/>
      </c>
      <c r="BP128" s="5">
        <f>IF(A128="","",N(INDEX(Projects[Act Site Sup],127)))</f>
        <v/>
      </c>
      <c r="BQ128" s="5">
        <f>IF(A128="","",N(INDEX(Projects[Act Controls Commissioning],127)))</f>
        <v/>
      </c>
      <c r="BR128" s="5">
        <f>IF(A128="","",N(INDEX(Projects[Act Systems Commissioning],127)))</f>
        <v/>
      </c>
      <c r="BS128" s="5">
        <f>IF(A128="","",N(INDEX(Projects[Act Service Commissioning],127)))</f>
        <v/>
      </c>
      <c r="BT128" s="5">
        <f>IF(A128="","",N(INDEX(Projects[Act Controls Eng],127)))</f>
        <v/>
      </c>
      <c r="BU128" s="5">
        <f>IF(A128="","",N(INDEX(Projects[Act Controls Purchase],127)))</f>
        <v/>
      </c>
      <c r="BV128" s="5">
        <f>IF(A128="","",N(INDEX(Projects[Act Software Eng],127)))</f>
        <v/>
      </c>
      <c r="BW128" s="5">
        <f>IF(A128="","",N(INDEX(Projects[Act 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  <c r="CE128" s="5">
        <f>INDEX(Projects[Act Data Status],127)&amp;""</f>
        <v/>
      </c>
      <c r="CF128" s="5">
        <f>IF(A128="","",N(INDEX(Projects[Est Mech Inst],127)))</f>
        <v/>
      </c>
      <c r="CG128" s="5">
        <f>IF(A128="","",N(INDEX(Projects[Est Elec Inst],127)))</f>
        <v/>
      </c>
      <c r="CH128" s="5">
        <f>IF(A128="","",N(INDEX(Projects[Est Project Management],127)))</f>
        <v/>
      </c>
      <c r="CI128" s="5">
        <f>IF(A128="","",N(INDEX(Projects[Est Systems Eng],127)))</f>
        <v/>
      </c>
      <c r="CJ128" s="5">
        <f>IF(A128="","",N(INDEX(Projects[Est Mechanical Eng],127)))</f>
        <v/>
      </c>
      <c r="CK128" s="5">
        <f>IF(A128="","",N(INDEX(Projects[Est Structural Engineering],127)))</f>
        <v/>
      </c>
      <c r="CL128" s="5">
        <f>IF(A128="","",N(INDEX(Projects[Est Site Sup],127)))</f>
        <v/>
      </c>
      <c r="CM128" s="5">
        <f>IF(A128="","",N(INDEX(Projects[Est Controls Commissioning],127)))</f>
        <v/>
      </c>
      <c r="CN128" s="5">
        <f>IF(A128="","",N(INDEX(Projects[Est Systems Commissioning],127)))</f>
        <v/>
      </c>
      <c r="CO128" s="5">
        <f>IF(A128="","",N(INDEX(Projects[Est Service Commissioning],127)))</f>
        <v/>
      </c>
      <c r="CP128" s="5">
        <f>IF(A128="","",N(INDEX(Projects[Est Controls Eng],127)))</f>
        <v/>
      </c>
      <c r="CQ128" s="5">
        <f>IF(A128="","",N(INDEX(Projects[Est Controls Purchase],127)))</f>
        <v/>
      </c>
      <c r="CR128" s="5">
        <f>IF(A128="","",N(INDEX(Projects[Est Software Eng],127)))</f>
        <v/>
      </c>
      <c r="CS128" s="5">
        <f>IF(A128="","",N(INDEX(Projects[Est Misc],127)))</f>
        <v/>
      </c>
      <c r="CT128" s="5">
        <f>IF(A128="","",SUM(CF128:CS128))</f>
        <v/>
      </c>
      <c r="CU128" s="5">
        <f>INDEX(Projects[Est Cost (M)],127)</f>
        <v/>
      </c>
      <c r="CV128" s="5">
        <f>INDEX(Projects[Act Cost (M)],127)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IF(A129="","",N(INDEX(Projects[Act Mech Inst],128)))</f>
        <v/>
      </c>
      <c r="BK129" s="5">
        <f>IF(A129="","",N(INDEX(Projects[Act Elec Inst],128)))</f>
        <v/>
      </c>
      <c r="BL129" s="5">
        <f>IF(A129="","",N(INDEX(Projects[Act Project Management],128)))</f>
        <v/>
      </c>
      <c r="BM129" s="5">
        <f>IF(A129="","",N(INDEX(Projects[Act Systems Eng],128)))</f>
        <v/>
      </c>
      <c r="BN129" s="5">
        <f>IF(A129="","",N(INDEX(Projects[Act Mechanical Eng],128)))</f>
        <v/>
      </c>
      <c r="BO129" s="5">
        <f>IF(A129="","",N(INDEX(Projects[Act Structural Engineering],128)))</f>
        <v/>
      </c>
      <c r="BP129" s="5">
        <f>IF(A129="","",N(INDEX(Projects[Act Site Sup],128)))</f>
        <v/>
      </c>
      <c r="BQ129" s="5">
        <f>IF(A129="","",N(INDEX(Projects[Act Controls Commissioning],128)))</f>
        <v/>
      </c>
      <c r="BR129" s="5">
        <f>IF(A129="","",N(INDEX(Projects[Act Systems Commissioning],128)))</f>
        <v/>
      </c>
      <c r="BS129" s="5">
        <f>IF(A129="","",N(INDEX(Projects[Act Service Commissioning],128)))</f>
        <v/>
      </c>
      <c r="BT129" s="5">
        <f>IF(A129="","",N(INDEX(Projects[Act Controls Eng],128)))</f>
        <v/>
      </c>
      <c r="BU129" s="5">
        <f>IF(A129="","",N(INDEX(Projects[Act Controls Purchase],128)))</f>
        <v/>
      </c>
      <c r="BV129" s="5">
        <f>IF(A129="","",N(INDEX(Projects[Act Software Eng],128)))</f>
        <v/>
      </c>
      <c r="BW129" s="5">
        <f>IF(A129="","",N(INDEX(Projects[Act 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  <c r="CE129" s="5">
        <f>INDEX(Projects[Act Data Status],128)&amp;""</f>
        <v/>
      </c>
      <c r="CF129" s="5">
        <f>IF(A129="","",N(INDEX(Projects[Est Mech Inst],128)))</f>
        <v/>
      </c>
      <c r="CG129" s="5">
        <f>IF(A129="","",N(INDEX(Projects[Est Elec Inst],128)))</f>
        <v/>
      </c>
      <c r="CH129" s="5">
        <f>IF(A129="","",N(INDEX(Projects[Est Project Management],128)))</f>
        <v/>
      </c>
      <c r="CI129" s="5">
        <f>IF(A129="","",N(INDEX(Projects[Est Systems Eng],128)))</f>
        <v/>
      </c>
      <c r="CJ129" s="5">
        <f>IF(A129="","",N(INDEX(Projects[Est Mechanical Eng],128)))</f>
        <v/>
      </c>
      <c r="CK129" s="5">
        <f>IF(A129="","",N(INDEX(Projects[Est Structural Engineering],128)))</f>
        <v/>
      </c>
      <c r="CL129" s="5">
        <f>IF(A129="","",N(INDEX(Projects[Est Site Sup],128)))</f>
        <v/>
      </c>
      <c r="CM129" s="5">
        <f>IF(A129="","",N(INDEX(Projects[Est Controls Commissioning],128)))</f>
        <v/>
      </c>
      <c r="CN129" s="5">
        <f>IF(A129="","",N(INDEX(Projects[Est Systems Commissioning],128)))</f>
        <v/>
      </c>
      <c r="CO129" s="5">
        <f>IF(A129="","",N(INDEX(Projects[Est Service Commissioning],128)))</f>
        <v/>
      </c>
      <c r="CP129" s="5">
        <f>IF(A129="","",N(INDEX(Projects[Est Controls Eng],128)))</f>
        <v/>
      </c>
      <c r="CQ129" s="5">
        <f>IF(A129="","",N(INDEX(Projects[Est Controls Purchase],128)))</f>
        <v/>
      </c>
      <c r="CR129" s="5">
        <f>IF(A129="","",N(INDEX(Projects[Est Software Eng],128)))</f>
        <v/>
      </c>
      <c r="CS129" s="5">
        <f>IF(A129="","",N(INDEX(Projects[Est Misc],128)))</f>
        <v/>
      </c>
      <c r="CT129" s="5">
        <f>IF(A129="","",SUM(CF129:CS129))</f>
        <v/>
      </c>
      <c r="CU129" s="5">
        <f>INDEX(Projects[Est Cost (M)],128)</f>
        <v/>
      </c>
      <c r="CV129" s="5">
        <f>INDEX(Projects[Act Cost (M)],128)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IF(A130="","",N(INDEX(Projects[Act Mech Inst],129)))</f>
        <v/>
      </c>
      <c r="BK130" s="5">
        <f>IF(A130="","",N(INDEX(Projects[Act Elec Inst],129)))</f>
        <v/>
      </c>
      <c r="BL130" s="5">
        <f>IF(A130="","",N(INDEX(Projects[Act Project Management],129)))</f>
        <v/>
      </c>
      <c r="BM130" s="5">
        <f>IF(A130="","",N(INDEX(Projects[Act Systems Eng],129)))</f>
        <v/>
      </c>
      <c r="BN130" s="5">
        <f>IF(A130="","",N(INDEX(Projects[Act Mechanical Eng],129)))</f>
        <v/>
      </c>
      <c r="BO130" s="5">
        <f>IF(A130="","",N(INDEX(Projects[Act Structural Engineering],129)))</f>
        <v/>
      </c>
      <c r="BP130" s="5">
        <f>IF(A130="","",N(INDEX(Projects[Act Site Sup],129)))</f>
        <v/>
      </c>
      <c r="BQ130" s="5">
        <f>IF(A130="","",N(INDEX(Projects[Act Controls Commissioning],129)))</f>
        <v/>
      </c>
      <c r="BR130" s="5">
        <f>IF(A130="","",N(INDEX(Projects[Act Systems Commissioning],129)))</f>
        <v/>
      </c>
      <c r="BS130" s="5">
        <f>IF(A130="","",N(INDEX(Projects[Act Service Commissioning],129)))</f>
        <v/>
      </c>
      <c r="BT130" s="5">
        <f>IF(A130="","",N(INDEX(Projects[Act Controls Eng],129)))</f>
        <v/>
      </c>
      <c r="BU130" s="5">
        <f>IF(A130="","",N(INDEX(Projects[Act Controls Purchase],129)))</f>
        <v/>
      </c>
      <c r="BV130" s="5">
        <f>IF(A130="","",N(INDEX(Projects[Act Software Eng],129)))</f>
        <v/>
      </c>
      <c r="BW130" s="5">
        <f>IF(A130="","",N(INDEX(Projects[Act 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  <c r="CE130" s="5">
        <f>INDEX(Projects[Act Data Status],129)&amp;""</f>
        <v/>
      </c>
      <c r="CF130" s="5">
        <f>IF(A130="","",N(INDEX(Projects[Est Mech Inst],129)))</f>
        <v/>
      </c>
      <c r="CG130" s="5">
        <f>IF(A130="","",N(INDEX(Projects[Est Elec Inst],129)))</f>
        <v/>
      </c>
      <c r="CH130" s="5">
        <f>IF(A130="","",N(INDEX(Projects[Est Project Management],129)))</f>
        <v/>
      </c>
      <c r="CI130" s="5">
        <f>IF(A130="","",N(INDEX(Projects[Est Systems Eng],129)))</f>
        <v/>
      </c>
      <c r="CJ130" s="5">
        <f>IF(A130="","",N(INDEX(Projects[Est Mechanical Eng],129)))</f>
        <v/>
      </c>
      <c r="CK130" s="5">
        <f>IF(A130="","",N(INDEX(Projects[Est Structural Engineering],129)))</f>
        <v/>
      </c>
      <c r="CL130" s="5">
        <f>IF(A130="","",N(INDEX(Projects[Est Site Sup],129)))</f>
        <v/>
      </c>
      <c r="CM130" s="5">
        <f>IF(A130="","",N(INDEX(Projects[Est Controls Commissioning],129)))</f>
        <v/>
      </c>
      <c r="CN130" s="5">
        <f>IF(A130="","",N(INDEX(Projects[Est Systems Commissioning],129)))</f>
        <v/>
      </c>
      <c r="CO130" s="5">
        <f>IF(A130="","",N(INDEX(Projects[Est Service Commissioning],129)))</f>
        <v/>
      </c>
      <c r="CP130" s="5">
        <f>IF(A130="","",N(INDEX(Projects[Est Controls Eng],129)))</f>
        <v/>
      </c>
      <c r="CQ130" s="5">
        <f>IF(A130="","",N(INDEX(Projects[Est Controls Purchase],129)))</f>
        <v/>
      </c>
      <c r="CR130" s="5">
        <f>IF(A130="","",N(INDEX(Projects[Est Software Eng],129)))</f>
        <v/>
      </c>
      <c r="CS130" s="5">
        <f>IF(A130="","",N(INDEX(Projects[Est Misc],129)))</f>
        <v/>
      </c>
      <c r="CT130" s="5">
        <f>IF(A130="","",SUM(CF130:CS130))</f>
        <v/>
      </c>
      <c r="CU130" s="5">
        <f>INDEX(Projects[Est Cost (M)],129)</f>
        <v/>
      </c>
      <c r="CV130" s="5">
        <f>INDEX(Projects[Act Cost (M)],129)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IF(A131="","",N(INDEX(Projects[Act Mech Inst],130)))</f>
        <v/>
      </c>
      <c r="BK131" s="5">
        <f>IF(A131="","",N(INDEX(Projects[Act Elec Inst],130)))</f>
        <v/>
      </c>
      <c r="BL131" s="5">
        <f>IF(A131="","",N(INDEX(Projects[Act Project Management],130)))</f>
        <v/>
      </c>
      <c r="BM131" s="5">
        <f>IF(A131="","",N(INDEX(Projects[Act Systems Eng],130)))</f>
        <v/>
      </c>
      <c r="BN131" s="5">
        <f>IF(A131="","",N(INDEX(Projects[Act Mechanical Eng],130)))</f>
        <v/>
      </c>
      <c r="BO131" s="5">
        <f>IF(A131="","",N(INDEX(Projects[Act Structural Engineering],130)))</f>
        <v/>
      </c>
      <c r="BP131" s="5">
        <f>IF(A131="","",N(INDEX(Projects[Act Site Sup],130)))</f>
        <v/>
      </c>
      <c r="BQ131" s="5">
        <f>IF(A131="","",N(INDEX(Projects[Act Controls Commissioning],130)))</f>
        <v/>
      </c>
      <c r="BR131" s="5">
        <f>IF(A131="","",N(INDEX(Projects[Act Systems Commissioning],130)))</f>
        <v/>
      </c>
      <c r="BS131" s="5">
        <f>IF(A131="","",N(INDEX(Projects[Act Service Commissioning],130)))</f>
        <v/>
      </c>
      <c r="BT131" s="5">
        <f>IF(A131="","",N(INDEX(Projects[Act Controls Eng],130)))</f>
        <v/>
      </c>
      <c r="BU131" s="5">
        <f>IF(A131="","",N(INDEX(Projects[Act Controls Purchase],130)))</f>
        <v/>
      </c>
      <c r="BV131" s="5">
        <f>IF(A131="","",N(INDEX(Projects[Act Software Eng],130)))</f>
        <v/>
      </c>
      <c r="BW131" s="5">
        <f>IF(A131="","",N(INDEX(Projects[Act 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  <c r="CE131" s="5">
        <f>INDEX(Projects[Act Data Status],130)&amp;""</f>
        <v/>
      </c>
      <c r="CF131" s="5">
        <f>IF(A131="","",N(INDEX(Projects[Est Mech Inst],130)))</f>
        <v/>
      </c>
      <c r="CG131" s="5">
        <f>IF(A131="","",N(INDEX(Projects[Est Elec Inst],130)))</f>
        <v/>
      </c>
      <c r="CH131" s="5">
        <f>IF(A131="","",N(INDEX(Projects[Est Project Management],130)))</f>
        <v/>
      </c>
      <c r="CI131" s="5">
        <f>IF(A131="","",N(INDEX(Projects[Est Systems Eng],130)))</f>
        <v/>
      </c>
      <c r="CJ131" s="5">
        <f>IF(A131="","",N(INDEX(Projects[Est Mechanical Eng],130)))</f>
        <v/>
      </c>
      <c r="CK131" s="5">
        <f>IF(A131="","",N(INDEX(Projects[Est Structural Engineering],130)))</f>
        <v/>
      </c>
      <c r="CL131" s="5">
        <f>IF(A131="","",N(INDEX(Projects[Est Site Sup],130)))</f>
        <v/>
      </c>
      <c r="CM131" s="5">
        <f>IF(A131="","",N(INDEX(Projects[Est Controls Commissioning],130)))</f>
        <v/>
      </c>
      <c r="CN131" s="5">
        <f>IF(A131="","",N(INDEX(Projects[Est Systems Commissioning],130)))</f>
        <v/>
      </c>
      <c r="CO131" s="5">
        <f>IF(A131="","",N(INDEX(Projects[Est Service Commissioning],130)))</f>
        <v/>
      </c>
      <c r="CP131" s="5">
        <f>IF(A131="","",N(INDEX(Projects[Est Controls Eng],130)))</f>
        <v/>
      </c>
      <c r="CQ131" s="5">
        <f>IF(A131="","",N(INDEX(Projects[Est Controls Purchase],130)))</f>
        <v/>
      </c>
      <c r="CR131" s="5">
        <f>IF(A131="","",N(INDEX(Projects[Est Software Eng],130)))</f>
        <v/>
      </c>
      <c r="CS131" s="5">
        <f>IF(A131="","",N(INDEX(Projects[Est Misc],130)))</f>
        <v/>
      </c>
      <c r="CT131" s="5">
        <f>IF(A131="","",SUM(CF131:CS131))</f>
        <v/>
      </c>
      <c r="CU131" s="5">
        <f>INDEX(Projects[Est Cost (M)],130)</f>
        <v/>
      </c>
      <c r="CV131" s="5">
        <f>INDEX(Projects[Act Cost (M)],130)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IF(A132="","",N(INDEX(Projects[Act Mech Inst],131)))</f>
        <v/>
      </c>
      <c r="BK132" s="5">
        <f>IF(A132="","",N(INDEX(Projects[Act Elec Inst],131)))</f>
        <v/>
      </c>
      <c r="BL132" s="5">
        <f>IF(A132="","",N(INDEX(Projects[Act Project Management],131)))</f>
        <v/>
      </c>
      <c r="BM132" s="5">
        <f>IF(A132="","",N(INDEX(Projects[Act Systems Eng],131)))</f>
        <v/>
      </c>
      <c r="BN132" s="5">
        <f>IF(A132="","",N(INDEX(Projects[Act Mechanical Eng],131)))</f>
        <v/>
      </c>
      <c r="BO132" s="5">
        <f>IF(A132="","",N(INDEX(Projects[Act Structural Engineering],131)))</f>
        <v/>
      </c>
      <c r="BP132" s="5">
        <f>IF(A132="","",N(INDEX(Projects[Act Site Sup],131)))</f>
        <v/>
      </c>
      <c r="BQ132" s="5">
        <f>IF(A132="","",N(INDEX(Projects[Act Controls Commissioning],131)))</f>
        <v/>
      </c>
      <c r="BR132" s="5">
        <f>IF(A132="","",N(INDEX(Projects[Act Systems Commissioning],131)))</f>
        <v/>
      </c>
      <c r="BS132" s="5">
        <f>IF(A132="","",N(INDEX(Projects[Act Service Commissioning],131)))</f>
        <v/>
      </c>
      <c r="BT132" s="5">
        <f>IF(A132="","",N(INDEX(Projects[Act Controls Eng],131)))</f>
        <v/>
      </c>
      <c r="BU132" s="5">
        <f>IF(A132="","",N(INDEX(Projects[Act Controls Purchase],131)))</f>
        <v/>
      </c>
      <c r="BV132" s="5">
        <f>IF(A132="","",N(INDEX(Projects[Act Software Eng],131)))</f>
        <v/>
      </c>
      <c r="BW132" s="5">
        <f>IF(A132="","",N(INDEX(Projects[Act 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  <c r="CE132" s="5">
        <f>INDEX(Projects[Act Data Status],131)&amp;""</f>
        <v/>
      </c>
      <c r="CF132" s="5">
        <f>IF(A132="","",N(INDEX(Projects[Est Mech Inst],131)))</f>
        <v/>
      </c>
      <c r="CG132" s="5">
        <f>IF(A132="","",N(INDEX(Projects[Est Elec Inst],131)))</f>
        <v/>
      </c>
      <c r="CH132" s="5">
        <f>IF(A132="","",N(INDEX(Projects[Est Project Management],131)))</f>
        <v/>
      </c>
      <c r="CI132" s="5">
        <f>IF(A132="","",N(INDEX(Projects[Est Systems Eng],131)))</f>
        <v/>
      </c>
      <c r="CJ132" s="5">
        <f>IF(A132="","",N(INDEX(Projects[Est Mechanical Eng],131)))</f>
        <v/>
      </c>
      <c r="CK132" s="5">
        <f>IF(A132="","",N(INDEX(Projects[Est Structural Engineering],131)))</f>
        <v/>
      </c>
      <c r="CL132" s="5">
        <f>IF(A132="","",N(INDEX(Projects[Est Site Sup],131)))</f>
        <v/>
      </c>
      <c r="CM132" s="5">
        <f>IF(A132="","",N(INDEX(Projects[Est Controls Commissioning],131)))</f>
        <v/>
      </c>
      <c r="CN132" s="5">
        <f>IF(A132="","",N(INDEX(Projects[Est Systems Commissioning],131)))</f>
        <v/>
      </c>
      <c r="CO132" s="5">
        <f>IF(A132="","",N(INDEX(Projects[Est Service Commissioning],131)))</f>
        <v/>
      </c>
      <c r="CP132" s="5">
        <f>IF(A132="","",N(INDEX(Projects[Est Controls Eng],131)))</f>
        <v/>
      </c>
      <c r="CQ132" s="5">
        <f>IF(A132="","",N(INDEX(Projects[Est Controls Purchase],131)))</f>
        <v/>
      </c>
      <c r="CR132" s="5">
        <f>IF(A132="","",N(INDEX(Projects[Est Software Eng],131)))</f>
        <v/>
      </c>
      <c r="CS132" s="5">
        <f>IF(A132="","",N(INDEX(Projects[Est Misc],131)))</f>
        <v/>
      </c>
      <c r="CT132" s="5">
        <f>IF(A132="","",SUM(CF132:CS132))</f>
        <v/>
      </c>
      <c r="CU132" s="5">
        <f>INDEX(Projects[Est Cost (M)],131)</f>
        <v/>
      </c>
      <c r="CV132" s="5">
        <f>INDEX(Projects[Act Cost (M)],131)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IF(A133="","",N(INDEX(Projects[Act Mech Inst],132)))</f>
        <v/>
      </c>
      <c r="BK133" s="5">
        <f>IF(A133="","",N(INDEX(Projects[Act Elec Inst],132)))</f>
        <v/>
      </c>
      <c r="BL133" s="5">
        <f>IF(A133="","",N(INDEX(Projects[Act Project Management],132)))</f>
        <v/>
      </c>
      <c r="BM133" s="5">
        <f>IF(A133="","",N(INDEX(Projects[Act Systems Eng],132)))</f>
        <v/>
      </c>
      <c r="BN133" s="5">
        <f>IF(A133="","",N(INDEX(Projects[Act Mechanical Eng],132)))</f>
        <v/>
      </c>
      <c r="BO133" s="5">
        <f>IF(A133="","",N(INDEX(Projects[Act Structural Engineering],132)))</f>
        <v/>
      </c>
      <c r="BP133" s="5">
        <f>IF(A133="","",N(INDEX(Projects[Act Site Sup],132)))</f>
        <v/>
      </c>
      <c r="BQ133" s="5">
        <f>IF(A133="","",N(INDEX(Projects[Act Controls Commissioning],132)))</f>
        <v/>
      </c>
      <c r="BR133" s="5">
        <f>IF(A133="","",N(INDEX(Projects[Act Systems Commissioning],132)))</f>
        <v/>
      </c>
      <c r="BS133" s="5">
        <f>IF(A133="","",N(INDEX(Projects[Act Service Commissioning],132)))</f>
        <v/>
      </c>
      <c r="BT133" s="5">
        <f>IF(A133="","",N(INDEX(Projects[Act Controls Eng],132)))</f>
        <v/>
      </c>
      <c r="BU133" s="5">
        <f>IF(A133="","",N(INDEX(Projects[Act Controls Purchase],132)))</f>
        <v/>
      </c>
      <c r="BV133" s="5">
        <f>IF(A133="","",N(INDEX(Projects[Act Software Eng],132)))</f>
        <v/>
      </c>
      <c r="BW133" s="5">
        <f>IF(A133="","",N(INDEX(Projects[Act 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  <c r="CE133" s="5">
        <f>INDEX(Projects[Act Data Status],132)&amp;""</f>
        <v/>
      </c>
      <c r="CF133" s="5">
        <f>IF(A133="","",N(INDEX(Projects[Est Mech Inst],132)))</f>
        <v/>
      </c>
      <c r="CG133" s="5">
        <f>IF(A133="","",N(INDEX(Projects[Est Elec Inst],132)))</f>
        <v/>
      </c>
      <c r="CH133" s="5">
        <f>IF(A133="","",N(INDEX(Projects[Est Project Management],132)))</f>
        <v/>
      </c>
      <c r="CI133" s="5">
        <f>IF(A133="","",N(INDEX(Projects[Est Systems Eng],132)))</f>
        <v/>
      </c>
      <c r="CJ133" s="5">
        <f>IF(A133="","",N(INDEX(Projects[Est Mechanical Eng],132)))</f>
        <v/>
      </c>
      <c r="CK133" s="5">
        <f>IF(A133="","",N(INDEX(Projects[Est Structural Engineering],132)))</f>
        <v/>
      </c>
      <c r="CL133" s="5">
        <f>IF(A133="","",N(INDEX(Projects[Est Site Sup],132)))</f>
        <v/>
      </c>
      <c r="CM133" s="5">
        <f>IF(A133="","",N(INDEX(Projects[Est Controls Commissioning],132)))</f>
        <v/>
      </c>
      <c r="CN133" s="5">
        <f>IF(A133="","",N(INDEX(Projects[Est Systems Commissioning],132)))</f>
        <v/>
      </c>
      <c r="CO133" s="5">
        <f>IF(A133="","",N(INDEX(Projects[Est Service Commissioning],132)))</f>
        <v/>
      </c>
      <c r="CP133" s="5">
        <f>IF(A133="","",N(INDEX(Projects[Est Controls Eng],132)))</f>
        <v/>
      </c>
      <c r="CQ133" s="5">
        <f>IF(A133="","",N(INDEX(Projects[Est Controls Purchase],132)))</f>
        <v/>
      </c>
      <c r="CR133" s="5">
        <f>IF(A133="","",N(INDEX(Projects[Est Software Eng],132)))</f>
        <v/>
      </c>
      <c r="CS133" s="5">
        <f>IF(A133="","",N(INDEX(Projects[Est Misc],132)))</f>
        <v/>
      </c>
      <c r="CT133" s="5">
        <f>IF(A133="","",SUM(CF133:CS133))</f>
        <v/>
      </c>
      <c r="CU133" s="5">
        <f>INDEX(Projects[Est Cost (M)],132)</f>
        <v/>
      </c>
      <c r="CV133" s="5">
        <f>INDEX(Projects[Act Cost (M)],132)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IF(A134="","",N(INDEX(Projects[Act Mech Inst],133)))</f>
        <v/>
      </c>
      <c r="BK134" s="5">
        <f>IF(A134="","",N(INDEX(Projects[Act Elec Inst],133)))</f>
        <v/>
      </c>
      <c r="BL134" s="5">
        <f>IF(A134="","",N(INDEX(Projects[Act Project Management],133)))</f>
        <v/>
      </c>
      <c r="BM134" s="5">
        <f>IF(A134="","",N(INDEX(Projects[Act Systems Eng],133)))</f>
        <v/>
      </c>
      <c r="BN134" s="5">
        <f>IF(A134="","",N(INDEX(Projects[Act Mechanical Eng],133)))</f>
        <v/>
      </c>
      <c r="BO134" s="5">
        <f>IF(A134="","",N(INDEX(Projects[Act Structural Engineering],133)))</f>
        <v/>
      </c>
      <c r="BP134" s="5">
        <f>IF(A134="","",N(INDEX(Projects[Act Site Sup],133)))</f>
        <v/>
      </c>
      <c r="BQ134" s="5">
        <f>IF(A134="","",N(INDEX(Projects[Act Controls Commissioning],133)))</f>
        <v/>
      </c>
      <c r="BR134" s="5">
        <f>IF(A134="","",N(INDEX(Projects[Act Systems Commissioning],133)))</f>
        <v/>
      </c>
      <c r="BS134" s="5">
        <f>IF(A134="","",N(INDEX(Projects[Act Service Commissioning],133)))</f>
        <v/>
      </c>
      <c r="BT134" s="5">
        <f>IF(A134="","",N(INDEX(Projects[Act Controls Eng],133)))</f>
        <v/>
      </c>
      <c r="BU134" s="5">
        <f>IF(A134="","",N(INDEX(Projects[Act Controls Purchase],133)))</f>
        <v/>
      </c>
      <c r="BV134" s="5">
        <f>IF(A134="","",N(INDEX(Projects[Act Software Eng],133)))</f>
        <v/>
      </c>
      <c r="BW134" s="5">
        <f>IF(A134="","",N(INDEX(Projects[Act 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  <c r="CE134" s="5">
        <f>INDEX(Projects[Act Data Status],133)&amp;""</f>
        <v/>
      </c>
      <c r="CF134" s="5">
        <f>IF(A134="","",N(INDEX(Projects[Est Mech Inst],133)))</f>
        <v/>
      </c>
      <c r="CG134" s="5">
        <f>IF(A134="","",N(INDEX(Projects[Est Elec Inst],133)))</f>
        <v/>
      </c>
      <c r="CH134" s="5">
        <f>IF(A134="","",N(INDEX(Projects[Est Project Management],133)))</f>
        <v/>
      </c>
      <c r="CI134" s="5">
        <f>IF(A134="","",N(INDEX(Projects[Est Systems Eng],133)))</f>
        <v/>
      </c>
      <c r="CJ134" s="5">
        <f>IF(A134="","",N(INDEX(Projects[Est Mechanical Eng],133)))</f>
        <v/>
      </c>
      <c r="CK134" s="5">
        <f>IF(A134="","",N(INDEX(Projects[Est Structural Engineering],133)))</f>
        <v/>
      </c>
      <c r="CL134" s="5">
        <f>IF(A134="","",N(INDEX(Projects[Est Site Sup],133)))</f>
        <v/>
      </c>
      <c r="CM134" s="5">
        <f>IF(A134="","",N(INDEX(Projects[Est Controls Commissioning],133)))</f>
        <v/>
      </c>
      <c r="CN134" s="5">
        <f>IF(A134="","",N(INDEX(Projects[Est Systems Commissioning],133)))</f>
        <v/>
      </c>
      <c r="CO134" s="5">
        <f>IF(A134="","",N(INDEX(Projects[Est Service Commissioning],133)))</f>
        <v/>
      </c>
      <c r="CP134" s="5">
        <f>IF(A134="","",N(INDEX(Projects[Est Controls Eng],133)))</f>
        <v/>
      </c>
      <c r="CQ134" s="5">
        <f>IF(A134="","",N(INDEX(Projects[Est Controls Purchase],133)))</f>
        <v/>
      </c>
      <c r="CR134" s="5">
        <f>IF(A134="","",N(INDEX(Projects[Est Software Eng],133)))</f>
        <v/>
      </c>
      <c r="CS134" s="5">
        <f>IF(A134="","",N(INDEX(Projects[Est Misc],133)))</f>
        <v/>
      </c>
      <c r="CT134" s="5">
        <f>IF(A134="","",SUM(CF134:CS134))</f>
        <v/>
      </c>
      <c r="CU134" s="5">
        <f>INDEX(Projects[Est Cost (M)],133)</f>
        <v/>
      </c>
      <c r="CV134" s="5">
        <f>INDEX(Projects[Act Cost (M)],133)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IF(A135="","",N(INDEX(Projects[Act Mech Inst],134)))</f>
        <v/>
      </c>
      <c r="BK135" s="5">
        <f>IF(A135="","",N(INDEX(Projects[Act Elec Inst],134)))</f>
        <v/>
      </c>
      <c r="BL135" s="5">
        <f>IF(A135="","",N(INDEX(Projects[Act Project Management],134)))</f>
        <v/>
      </c>
      <c r="BM135" s="5">
        <f>IF(A135="","",N(INDEX(Projects[Act Systems Eng],134)))</f>
        <v/>
      </c>
      <c r="BN135" s="5">
        <f>IF(A135="","",N(INDEX(Projects[Act Mechanical Eng],134)))</f>
        <v/>
      </c>
      <c r="BO135" s="5">
        <f>IF(A135="","",N(INDEX(Projects[Act Structural Engineering],134)))</f>
        <v/>
      </c>
      <c r="BP135" s="5">
        <f>IF(A135="","",N(INDEX(Projects[Act Site Sup],134)))</f>
        <v/>
      </c>
      <c r="BQ135" s="5">
        <f>IF(A135="","",N(INDEX(Projects[Act Controls Commissioning],134)))</f>
        <v/>
      </c>
      <c r="BR135" s="5">
        <f>IF(A135="","",N(INDEX(Projects[Act Systems Commissioning],134)))</f>
        <v/>
      </c>
      <c r="BS135" s="5">
        <f>IF(A135="","",N(INDEX(Projects[Act Service Commissioning],134)))</f>
        <v/>
      </c>
      <c r="BT135" s="5">
        <f>IF(A135="","",N(INDEX(Projects[Act Controls Eng],134)))</f>
        <v/>
      </c>
      <c r="BU135" s="5">
        <f>IF(A135="","",N(INDEX(Projects[Act Controls Purchase],134)))</f>
        <v/>
      </c>
      <c r="BV135" s="5">
        <f>IF(A135="","",N(INDEX(Projects[Act Software Eng],134)))</f>
        <v/>
      </c>
      <c r="BW135" s="5">
        <f>IF(A135="","",N(INDEX(Projects[Act 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  <c r="CE135" s="5">
        <f>INDEX(Projects[Act Data Status],134)&amp;""</f>
        <v/>
      </c>
      <c r="CF135" s="5">
        <f>IF(A135="","",N(INDEX(Projects[Est Mech Inst],134)))</f>
        <v/>
      </c>
      <c r="CG135" s="5">
        <f>IF(A135="","",N(INDEX(Projects[Est Elec Inst],134)))</f>
        <v/>
      </c>
      <c r="CH135" s="5">
        <f>IF(A135="","",N(INDEX(Projects[Est Project Management],134)))</f>
        <v/>
      </c>
      <c r="CI135" s="5">
        <f>IF(A135="","",N(INDEX(Projects[Est Systems Eng],134)))</f>
        <v/>
      </c>
      <c r="CJ135" s="5">
        <f>IF(A135="","",N(INDEX(Projects[Est Mechanical Eng],134)))</f>
        <v/>
      </c>
      <c r="CK135" s="5">
        <f>IF(A135="","",N(INDEX(Projects[Est Structural Engineering],134)))</f>
        <v/>
      </c>
      <c r="CL135" s="5">
        <f>IF(A135="","",N(INDEX(Projects[Est Site Sup],134)))</f>
        <v/>
      </c>
      <c r="CM135" s="5">
        <f>IF(A135="","",N(INDEX(Projects[Est Controls Commissioning],134)))</f>
        <v/>
      </c>
      <c r="CN135" s="5">
        <f>IF(A135="","",N(INDEX(Projects[Est Systems Commissioning],134)))</f>
        <v/>
      </c>
      <c r="CO135" s="5">
        <f>IF(A135="","",N(INDEX(Projects[Est Service Commissioning],134)))</f>
        <v/>
      </c>
      <c r="CP135" s="5">
        <f>IF(A135="","",N(INDEX(Projects[Est Controls Eng],134)))</f>
        <v/>
      </c>
      <c r="CQ135" s="5">
        <f>IF(A135="","",N(INDEX(Projects[Est Controls Purchase],134)))</f>
        <v/>
      </c>
      <c r="CR135" s="5">
        <f>IF(A135="","",N(INDEX(Projects[Est Software Eng],134)))</f>
        <v/>
      </c>
      <c r="CS135" s="5">
        <f>IF(A135="","",N(INDEX(Projects[Est Misc],134)))</f>
        <v/>
      </c>
      <c r="CT135" s="5">
        <f>IF(A135="","",SUM(CF135:CS135))</f>
        <v/>
      </c>
      <c r="CU135" s="5">
        <f>INDEX(Projects[Est Cost (M)],134)</f>
        <v/>
      </c>
      <c r="CV135" s="5">
        <f>INDEX(Projects[Act Cost (M)],134)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IF(A136="","",N(INDEX(Projects[Act Mech Inst],135)))</f>
        <v/>
      </c>
      <c r="BK136" s="5">
        <f>IF(A136="","",N(INDEX(Projects[Act Elec Inst],135)))</f>
        <v/>
      </c>
      <c r="BL136" s="5">
        <f>IF(A136="","",N(INDEX(Projects[Act Project Management],135)))</f>
        <v/>
      </c>
      <c r="BM136" s="5">
        <f>IF(A136="","",N(INDEX(Projects[Act Systems Eng],135)))</f>
        <v/>
      </c>
      <c r="BN136" s="5">
        <f>IF(A136="","",N(INDEX(Projects[Act Mechanical Eng],135)))</f>
        <v/>
      </c>
      <c r="BO136" s="5">
        <f>IF(A136="","",N(INDEX(Projects[Act Structural Engineering],135)))</f>
        <v/>
      </c>
      <c r="BP136" s="5">
        <f>IF(A136="","",N(INDEX(Projects[Act Site Sup],135)))</f>
        <v/>
      </c>
      <c r="BQ136" s="5">
        <f>IF(A136="","",N(INDEX(Projects[Act Controls Commissioning],135)))</f>
        <v/>
      </c>
      <c r="BR136" s="5">
        <f>IF(A136="","",N(INDEX(Projects[Act Systems Commissioning],135)))</f>
        <v/>
      </c>
      <c r="BS136" s="5">
        <f>IF(A136="","",N(INDEX(Projects[Act Service Commissioning],135)))</f>
        <v/>
      </c>
      <c r="BT136" s="5">
        <f>IF(A136="","",N(INDEX(Projects[Act Controls Eng],135)))</f>
        <v/>
      </c>
      <c r="BU136" s="5">
        <f>IF(A136="","",N(INDEX(Projects[Act Controls Purchase],135)))</f>
        <v/>
      </c>
      <c r="BV136" s="5">
        <f>IF(A136="","",N(INDEX(Projects[Act Software Eng],135)))</f>
        <v/>
      </c>
      <c r="BW136" s="5">
        <f>IF(A136="","",N(INDEX(Projects[Act 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  <c r="CE136" s="5">
        <f>INDEX(Projects[Act Data Status],135)&amp;""</f>
        <v/>
      </c>
      <c r="CF136" s="5">
        <f>IF(A136="","",N(INDEX(Projects[Est Mech Inst],135)))</f>
        <v/>
      </c>
      <c r="CG136" s="5">
        <f>IF(A136="","",N(INDEX(Projects[Est Elec Inst],135)))</f>
        <v/>
      </c>
      <c r="CH136" s="5">
        <f>IF(A136="","",N(INDEX(Projects[Est Project Management],135)))</f>
        <v/>
      </c>
      <c r="CI136" s="5">
        <f>IF(A136="","",N(INDEX(Projects[Est Systems Eng],135)))</f>
        <v/>
      </c>
      <c r="CJ136" s="5">
        <f>IF(A136="","",N(INDEX(Projects[Est Mechanical Eng],135)))</f>
        <v/>
      </c>
      <c r="CK136" s="5">
        <f>IF(A136="","",N(INDEX(Projects[Est Structural Engineering],135)))</f>
        <v/>
      </c>
      <c r="CL136" s="5">
        <f>IF(A136="","",N(INDEX(Projects[Est Site Sup],135)))</f>
        <v/>
      </c>
      <c r="CM136" s="5">
        <f>IF(A136="","",N(INDEX(Projects[Est Controls Commissioning],135)))</f>
        <v/>
      </c>
      <c r="CN136" s="5">
        <f>IF(A136="","",N(INDEX(Projects[Est Systems Commissioning],135)))</f>
        <v/>
      </c>
      <c r="CO136" s="5">
        <f>IF(A136="","",N(INDEX(Projects[Est Service Commissioning],135)))</f>
        <v/>
      </c>
      <c r="CP136" s="5">
        <f>IF(A136="","",N(INDEX(Projects[Est Controls Eng],135)))</f>
        <v/>
      </c>
      <c r="CQ136" s="5">
        <f>IF(A136="","",N(INDEX(Projects[Est Controls Purchase],135)))</f>
        <v/>
      </c>
      <c r="CR136" s="5">
        <f>IF(A136="","",N(INDEX(Projects[Est Software Eng],135)))</f>
        <v/>
      </c>
      <c r="CS136" s="5">
        <f>IF(A136="","",N(INDEX(Projects[Est Misc],135)))</f>
        <v/>
      </c>
      <c r="CT136" s="5">
        <f>IF(A136="","",SUM(CF136:CS136))</f>
        <v/>
      </c>
      <c r="CU136" s="5">
        <f>INDEX(Projects[Est Cost (M)],135)</f>
        <v/>
      </c>
      <c r="CV136" s="5">
        <f>INDEX(Projects[Act Cost (M)],135)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IF(A137="","",N(INDEX(Projects[Act Mech Inst],136)))</f>
        <v/>
      </c>
      <c r="BK137" s="5">
        <f>IF(A137="","",N(INDEX(Projects[Act Elec Inst],136)))</f>
        <v/>
      </c>
      <c r="BL137" s="5">
        <f>IF(A137="","",N(INDEX(Projects[Act Project Management],136)))</f>
        <v/>
      </c>
      <c r="BM137" s="5">
        <f>IF(A137="","",N(INDEX(Projects[Act Systems Eng],136)))</f>
        <v/>
      </c>
      <c r="BN137" s="5">
        <f>IF(A137="","",N(INDEX(Projects[Act Mechanical Eng],136)))</f>
        <v/>
      </c>
      <c r="BO137" s="5">
        <f>IF(A137="","",N(INDEX(Projects[Act Structural Engineering],136)))</f>
        <v/>
      </c>
      <c r="BP137" s="5">
        <f>IF(A137="","",N(INDEX(Projects[Act Site Sup],136)))</f>
        <v/>
      </c>
      <c r="BQ137" s="5">
        <f>IF(A137="","",N(INDEX(Projects[Act Controls Commissioning],136)))</f>
        <v/>
      </c>
      <c r="BR137" s="5">
        <f>IF(A137="","",N(INDEX(Projects[Act Systems Commissioning],136)))</f>
        <v/>
      </c>
      <c r="BS137" s="5">
        <f>IF(A137="","",N(INDEX(Projects[Act Service Commissioning],136)))</f>
        <v/>
      </c>
      <c r="BT137" s="5">
        <f>IF(A137="","",N(INDEX(Projects[Act Controls Eng],136)))</f>
        <v/>
      </c>
      <c r="BU137" s="5">
        <f>IF(A137="","",N(INDEX(Projects[Act Controls Purchase],136)))</f>
        <v/>
      </c>
      <c r="BV137" s="5">
        <f>IF(A137="","",N(INDEX(Projects[Act Software Eng],136)))</f>
        <v/>
      </c>
      <c r="BW137" s="5">
        <f>IF(A137="","",N(INDEX(Projects[Act 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  <c r="CE137" s="5">
        <f>INDEX(Projects[Act Data Status],136)&amp;""</f>
        <v/>
      </c>
      <c r="CF137" s="5">
        <f>IF(A137="","",N(INDEX(Projects[Est Mech Inst],136)))</f>
        <v/>
      </c>
      <c r="CG137" s="5">
        <f>IF(A137="","",N(INDEX(Projects[Est Elec Inst],136)))</f>
        <v/>
      </c>
      <c r="CH137" s="5">
        <f>IF(A137="","",N(INDEX(Projects[Est Project Management],136)))</f>
        <v/>
      </c>
      <c r="CI137" s="5">
        <f>IF(A137="","",N(INDEX(Projects[Est Systems Eng],136)))</f>
        <v/>
      </c>
      <c r="CJ137" s="5">
        <f>IF(A137="","",N(INDEX(Projects[Est Mechanical Eng],136)))</f>
        <v/>
      </c>
      <c r="CK137" s="5">
        <f>IF(A137="","",N(INDEX(Projects[Est Structural Engineering],136)))</f>
        <v/>
      </c>
      <c r="CL137" s="5">
        <f>IF(A137="","",N(INDEX(Projects[Est Site Sup],136)))</f>
        <v/>
      </c>
      <c r="CM137" s="5">
        <f>IF(A137="","",N(INDEX(Projects[Est Controls Commissioning],136)))</f>
        <v/>
      </c>
      <c r="CN137" s="5">
        <f>IF(A137="","",N(INDEX(Projects[Est Systems Commissioning],136)))</f>
        <v/>
      </c>
      <c r="CO137" s="5">
        <f>IF(A137="","",N(INDEX(Projects[Est Service Commissioning],136)))</f>
        <v/>
      </c>
      <c r="CP137" s="5">
        <f>IF(A137="","",N(INDEX(Projects[Est Controls Eng],136)))</f>
        <v/>
      </c>
      <c r="CQ137" s="5">
        <f>IF(A137="","",N(INDEX(Projects[Est Controls Purchase],136)))</f>
        <v/>
      </c>
      <c r="CR137" s="5">
        <f>IF(A137="","",N(INDEX(Projects[Est Software Eng],136)))</f>
        <v/>
      </c>
      <c r="CS137" s="5">
        <f>IF(A137="","",N(INDEX(Projects[Est Misc],136)))</f>
        <v/>
      </c>
      <c r="CT137" s="5">
        <f>IF(A137="","",SUM(CF137:CS137))</f>
        <v/>
      </c>
      <c r="CU137" s="5">
        <f>INDEX(Projects[Est Cost (M)],136)</f>
        <v/>
      </c>
      <c r="CV137" s="5">
        <f>INDEX(Projects[Act Cost (M)],136)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IF(A138="","",N(INDEX(Projects[Act Mech Inst],137)))</f>
        <v/>
      </c>
      <c r="BK138" s="5">
        <f>IF(A138="","",N(INDEX(Projects[Act Elec Inst],137)))</f>
        <v/>
      </c>
      <c r="BL138" s="5">
        <f>IF(A138="","",N(INDEX(Projects[Act Project Management],137)))</f>
        <v/>
      </c>
      <c r="BM138" s="5">
        <f>IF(A138="","",N(INDEX(Projects[Act Systems Eng],137)))</f>
        <v/>
      </c>
      <c r="BN138" s="5">
        <f>IF(A138="","",N(INDEX(Projects[Act Mechanical Eng],137)))</f>
        <v/>
      </c>
      <c r="BO138" s="5">
        <f>IF(A138="","",N(INDEX(Projects[Act Structural Engineering],137)))</f>
        <v/>
      </c>
      <c r="BP138" s="5">
        <f>IF(A138="","",N(INDEX(Projects[Act Site Sup],137)))</f>
        <v/>
      </c>
      <c r="BQ138" s="5">
        <f>IF(A138="","",N(INDEX(Projects[Act Controls Commissioning],137)))</f>
        <v/>
      </c>
      <c r="BR138" s="5">
        <f>IF(A138="","",N(INDEX(Projects[Act Systems Commissioning],137)))</f>
        <v/>
      </c>
      <c r="BS138" s="5">
        <f>IF(A138="","",N(INDEX(Projects[Act Service Commissioning],137)))</f>
        <v/>
      </c>
      <c r="BT138" s="5">
        <f>IF(A138="","",N(INDEX(Projects[Act Controls Eng],137)))</f>
        <v/>
      </c>
      <c r="BU138" s="5">
        <f>IF(A138="","",N(INDEX(Projects[Act Controls Purchase],137)))</f>
        <v/>
      </c>
      <c r="BV138" s="5">
        <f>IF(A138="","",N(INDEX(Projects[Act Software Eng],137)))</f>
        <v/>
      </c>
      <c r="BW138" s="5">
        <f>IF(A138="","",N(INDEX(Projects[Act 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  <c r="CE138" s="5">
        <f>INDEX(Projects[Act Data Status],137)&amp;""</f>
        <v/>
      </c>
      <c r="CF138" s="5">
        <f>IF(A138="","",N(INDEX(Projects[Est Mech Inst],137)))</f>
        <v/>
      </c>
      <c r="CG138" s="5">
        <f>IF(A138="","",N(INDEX(Projects[Est Elec Inst],137)))</f>
        <v/>
      </c>
      <c r="CH138" s="5">
        <f>IF(A138="","",N(INDEX(Projects[Est Project Management],137)))</f>
        <v/>
      </c>
      <c r="CI138" s="5">
        <f>IF(A138="","",N(INDEX(Projects[Est Systems Eng],137)))</f>
        <v/>
      </c>
      <c r="CJ138" s="5">
        <f>IF(A138="","",N(INDEX(Projects[Est Mechanical Eng],137)))</f>
        <v/>
      </c>
      <c r="CK138" s="5">
        <f>IF(A138="","",N(INDEX(Projects[Est Structural Engineering],137)))</f>
        <v/>
      </c>
      <c r="CL138" s="5">
        <f>IF(A138="","",N(INDEX(Projects[Est Site Sup],137)))</f>
        <v/>
      </c>
      <c r="CM138" s="5">
        <f>IF(A138="","",N(INDEX(Projects[Est Controls Commissioning],137)))</f>
        <v/>
      </c>
      <c r="CN138" s="5">
        <f>IF(A138="","",N(INDEX(Projects[Est Systems Commissioning],137)))</f>
        <v/>
      </c>
      <c r="CO138" s="5">
        <f>IF(A138="","",N(INDEX(Projects[Est Service Commissioning],137)))</f>
        <v/>
      </c>
      <c r="CP138" s="5">
        <f>IF(A138="","",N(INDEX(Projects[Est Controls Eng],137)))</f>
        <v/>
      </c>
      <c r="CQ138" s="5">
        <f>IF(A138="","",N(INDEX(Projects[Est Controls Purchase],137)))</f>
        <v/>
      </c>
      <c r="CR138" s="5">
        <f>IF(A138="","",N(INDEX(Projects[Est Software Eng],137)))</f>
        <v/>
      </c>
      <c r="CS138" s="5">
        <f>IF(A138="","",N(INDEX(Projects[Est Misc],137)))</f>
        <v/>
      </c>
      <c r="CT138" s="5">
        <f>IF(A138="","",SUM(CF138:CS138))</f>
        <v/>
      </c>
      <c r="CU138" s="5">
        <f>INDEX(Projects[Est Cost (M)],137)</f>
        <v/>
      </c>
      <c r="CV138" s="5">
        <f>INDEX(Projects[Act Cost (M)],137)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IF(A139="","",N(INDEX(Projects[Act Mech Inst],138)))</f>
        <v/>
      </c>
      <c r="BK139" s="5">
        <f>IF(A139="","",N(INDEX(Projects[Act Elec Inst],138)))</f>
        <v/>
      </c>
      <c r="BL139" s="5">
        <f>IF(A139="","",N(INDEX(Projects[Act Project Management],138)))</f>
        <v/>
      </c>
      <c r="BM139" s="5">
        <f>IF(A139="","",N(INDEX(Projects[Act Systems Eng],138)))</f>
        <v/>
      </c>
      <c r="BN139" s="5">
        <f>IF(A139="","",N(INDEX(Projects[Act Mechanical Eng],138)))</f>
        <v/>
      </c>
      <c r="BO139" s="5">
        <f>IF(A139="","",N(INDEX(Projects[Act Structural Engineering],138)))</f>
        <v/>
      </c>
      <c r="BP139" s="5">
        <f>IF(A139="","",N(INDEX(Projects[Act Site Sup],138)))</f>
        <v/>
      </c>
      <c r="BQ139" s="5">
        <f>IF(A139="","",N(INDEX(Projects[Act Controls Commissioning],138)))</f>
        <v/>
      </c>
      <c r="BR139" s="5">
        <f>IF(A139="","",N(INDEX(Projects[Act Systems Commissioning],138)))</f>
        <v/>
      </c>
      <c r="BS139" s="5">
        <f>IF(A139="","",N(INDEX(Projects[Act Service Commissioning],138)))</f>
        <v/>
      </c>
      <c r="BT139" s="5">
        <f>IF(A139="","",N(INDEX(Projects[Act Controls Eng],138)))</f>
        <v/>
      </c>
      <c r="BU139" s="5">
        <f>IF(A139="","",N(INDEX(Projects[Act Controls Purchase],138)))</f>
        <v/>
      </c>
      <c r="BV139" s="5">
        <f>IF(A139="","",N(INDEX(Projects[Act Software Eng],138)))</f>
        <v/>
      </c>
      <c r="BW139" s="5">
        <f>IF(A139="","",N(INDEX(Projects[Act 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  <c r="CE139" s="5">
        <f>INDEX(Projects[Act Data Status],138)&amp;""</f>
        <v/>
      </c>
      <c r="CF139" s="5">
        <f>IF(A139="","",N(INDEX(Projects[Est Mech Inst],138)))</f>
        <v/>
      </c>
      <c r="CG139" s="5">
        <f>IF(A139="","",N(INDEX(Projects[Est Elec Inst],138)))</f>
        <v/>
      </c>
      <c r="CH139" s="5">
        <f>IF(A139="","",N(INDEX(Projects[Est Project Management],138)))</f>
        <v/>
      </c>
      <c r="CI139" s="5">
        <f>IF(A139="","",N(INDEX(Projects[Est Systems Eng],138)))</f>
        <v/>
      </c>
      <c r="CJ139" s="5">
        <f>IF(A139="","",N(INDEX(Projects[Est Mechanical Eng],138)))</f>
        <v/>
      </c>
      <c r="CK139" s="5">
        <f>IF(A139="","",N(INDEX(Projects[Est Structural Engineering],138)))</f>
        <v/>
      </c>
      <c r="CL139" s="5">
        <f>IF(A139="","",N(INDEX(Projects[Est Site Sup],138)))</f>
        <v/>
      </c>
      <c r="CM139" s="5">
        <f>IF(A139="","",N(INDEX(Projects[Est Controls Commissioning],138)))</f>
        <v/>
      </c>
      <c r="CN139" s="5">
        <f>IF(A139="","",N(INDEX(Projects[Est Systems Commissioning],138)))</f>
        <v/>
      </c>
      <c r="CO139" s="5">
        <f>IF(A139="","",N(INDEX(Projects[Est Service Commissioning],138)))</f>
        <v/>
      </c>
      <c r="CP139" s="5">
        <f>IF(A139="","",N(INDEX(Projects[Est Controls Eng],138)))</f>
        <v/>
      </c>
      <c r="CQ139" s="5">
        <f>IF(A139="","",N(INDEX(Projects[Est Controls Purchase],138)))</f>
        <v/>
      </c>
      <c r="CR139" s="5">
        <f>IF(A139="","",N(INDEX(Projects[Est Software Eng],138)))</f>
        <v/>
      </c>
      <c r="CS139" s="5">
        <f>IF(A139="","",N(INDEX(Projects[Est Misc],138)))</f>
        <v/>
      </c>
      <c r="CT139" s="5">
        <f>IF(A139="","",SUM(CF139:CS139))</f>
        <v/>
      </c>
      <c r="CU139" s="5">
        <f>INDEX(Projects[Est Cost (M)],138)</f>
        <v/>
      </c>
      <c r="CV139" s="5">
        <f>INDEX(Projects[Act Cost (M)],138)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IF(A140="","",N(INDEX(Projects[Act Mech Inst],139)))</f>
        <v/>
      </c>
      <c r="BK140" s="5">
        <f>IF(A140="","",N(INDEX(Projects[Act Elec Inst],139)))</f>
        <v/>
      </c>
      <c r="BL140" s="5">
        <f>IF(A140="","",N(INDEX(Projects[Act Project Management],139)))</f>
        <v/>
      </c>
      <c r="BM140" s="5">
        <f>IF(A140="","",N(INDEX(Projects[Act Systems Eng],139)))</f>
        <v/>
      </c>
      <c r="BN140" s="5">
        <f>IF(A140="","",N(INDEX(Projects[Act Mechanical Eng],139)))</f>
        <v/>
      </c>
      <c r="BO140" s="5">
        <f>IF(A140="","",N(INDEX(Projects[Act Structural Engineering],139)))</f>
        <v/>
      </c>
      <c r="BP140" s="5">
        <f>IF(A140="","",N(INDEX(Projects[Act Site Sup],139)))</f>
        <v/>
      </c>
      <c r="BQ140" s="5">
        <f>IF(A140="","",N(INDEX(Projects[Act Controls Commissioning],139)))</f>
        <v/>
      </c>
      <c r="BR140" s="5">
        <f>IF(A140="","",N(INDEX(Projects[Act Systems Commissioning],139)))</f>
        <v/>
      </c>
      <c r="BS140" s="5">
        <f>IF(A140="","",N(INDEX(Projects[Act Service Commissioning],139)))</f>
        <v/>
      </c>
      <c r="BT140" s="5">
        <f>IF(A140="","",N(INDEX(Projects[Act Controls Eng],139)))</f>
        <v/>
      </c>
      <c r="BU140" s="5">
        <f>IF(A140="","",N(INDEX(Projects[Act Controls Purchase],139)))</f>
        <v/>
      </c>
      <c r="BV140" s="5">
        <f>IF(A140="","",N(INDEX(Projects[Act Software Eng],139)))</f>
        <v/>
      </c>
      <c r="BW140" s="5">
        <f>IF(A140="","",N(INDEX(Projects[Act 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  <c r="CE140" s="5">
        <f>INDEX(Projects[Act Data Status],139)&amp;""</f>
        <v/>
      </c>
      <c r="CF140" s="5">
        <f>IF(A140="","",N(INDEX(Projects[Est Mech Inst],139)))</f>
        <v/>
      </c>
      <c r="CG140" s="5">
        <f>IF(A140="","",N(INDEX(Projects[Est Elec Inst],139)))</f>
        <v/>
      </c>
      <c r="CH140" s="5">
        <f>IF(A140="","",N(INDEX(Projects[Est Project Management],139)))</f>
        <v/>
      </c>
      <c r="CI140" s="5">
        <f>IF(A140="","",N(INDEX(Projects[Est Systems Eng],139)))</f>
        <v/>
      </c>
      <c r="CJ140" s="5">
        <f>IF(A140="","",N(INDEX(Projects[Est Mechanical Eng],139)))</f>
        <v/>
      </c>
      <c r="CK140" s="5">
        <f>IF(A140="","",N(INDEX(Projects[Est Structural Engineering],139)))</f>
        <v/>
      </c>
      <c r="CL140" s="5">
        <f>IF(A140="","",N(INDEX(Projects[Est Site Sup],139)))</f>
        <v/>
      </c>
      <c r="CM140" s="5">
        <f>IF(A140="","",N(INDEX(Projects[Est Controls Commissioning],139)))</f>
        <v/>
      </c>
      <c r="CN140" s="5">
        <f>IF(A140="","",N(INDEX(Projects[Est Systems Commissioning],139)))</f>
        <v/>
      </c>
      <c r="CO140" s="5">
        <f>IF(A140="","",N(INDEX(Projects[Est Service Commissioning],139)))</f>
        <v/>
      </c>
      <c r="CP140" s="5">
        <f>IF(A140="","",N(INDEX(Projects[Est Controls Eng],139)))</f>
        <v/>
      </c>
      <c r="CQ140" s="5">
        <f>IF(A140="","",N(INDEX(Projects[Est Controls Purchase],139)))</f>
        <v/>
      </c>
      <c r="CR140" s="5">
        <f>IF(A140="","",N(INDEX(Projects[Est Software Eng],139)))</f>
        <v/>
      </c>
      <c r="CS140" s="5">
        <f>IF(A140="","",N(INDEX(Projects[Est Misc],139)))</f>
        <v/>
      </c>
      <c r="CT140" s="5">
        <f>IF(A140="","",SUM(CF140:CS140))</f>
        <v/>
      </c>
      <c r="CU140" s="5">
        <f>INDEX(Projects[Est Cost (M)],139)</f>
        <v/>
      </c>
      <c r="CV140" s="5">
        <f>INDEX(Projects[Act Cost (M)],139)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IF(A141="","",N(INDEX(Projects[Act Mech Inst],140)))</f>
        <v/>
      </c>
      <c r="BK141" s="5">
        <f>IF(A141="","",N(INDEX(Projects[Act Elec Inst],140)))</f>
        <v/>
      </c>
      <c r="BL141" s="5">
        <f>IF(A141="","",N(INDEX(Projects[Act Project Management],140)))</f>
        <v/>
      </c>
      <c r="BM141" s="5">
        <f>IF(A141="","",N(INDEX(Projects[Act Systems Eng],140)))</f>
        <v/>
      </c>
      <c r="BN141" s="5">
        <f>IF(A141="","",N(INDEX(Projects[Act Mechanical Eng],140)))</f>
        <v/>
      </c>
      <c r="BO141" s="5">
        <f>IF(A141="","",N(INDEX(Projects[Act Structural Engineering],140)))</f>
        <v/>
      </c>
      <c r="BP141" s="5">
        <f>IF(A141="","",N(INDEX(Projects[Act Site Sup],140)))</f>
        <v/>
      </c>
      <c r="BQ141" s="5">
        <f>IF(A141="","",N(INDEX(Projects[Act Controls Commissioning],140)))</f>
        <v/>
      </c>
      <c r="BR141" s="5">
        <f>IF(A141="","",N(INDEX(Projects[Act Systems Commissioning],140)))</f>
        <v/>
      </c>
      <c r="BS141" s="5">
        <f>IF(A141="","",N(INDEX(Projects[Act Service Commissioning],140)))</f>
        <v/>
      </c>
      <c r="BT141" s="5">
        <f>IF(A141="","",N(INDEX(Projects[Act Controls Eng],140)))</f>
        <v/>
      </c>
      <c r="BU141" s="5">
        <f>IF(A141="","",N(INDEX(Projects[Act Controls Purchase],140)))</f>
        <v/>
      </c>
      <c r="BV141" s="5">
        <f>IF(A141="","",N(INDEX(Projects[Act Software Eng],140)))</f>
        <v/>
      </c>
      <c r="BW141" s="5">
        <f>IF(A141="","",N(INDEX(Projects[Act 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  <c r="CE141" s="5">
        <f>INDEX(Projects[Act Data Status],140)&amp;""</f>
        <v/>
      </c>
      <c r="CF141" s="5">
        <f>IF(A141="","",N(INDEX(Projects[Est Mech Inst],140)))</f>
        <v/>
      </c>
      <c r="CG141" s="5">
        <f>IF(A141="","",N(INDEX(Projects[Est Elec Inst],140)))</f>
        <v/>
      </c>
      <c r="CH141" s="5">
        <f>IF(A141="","",N(INDEX(Projects[Est Project Management],140)))</f>
        <v/>
      </c>
      <c r="CI141" s="5">
        <f>IF(A141="","",N(INDEX(Projects[Est Systems Eng],140)))</f>
        <v/>
      </c>
      <c r="CJ141" s="5">
        <f>IF(A141="","",N(INDEX(Projects[Est Mechanical Eng],140)))</f>
        <v/>
      </c>
      <c r="CK141" s="5">
        <f>IF(A141="","",N(INDEX(Projects[Est Structural Engineering],140)))</f>
        <v/>
      </c>
      <c r="CL141" s="5">
        <f>IF(A141="","",N(INDEX(Projects[Est Site Sup],140)))</f>
        <v/>
      </c>
      <c r="CM141" s="5">
        <f>IF(A141="","",N(INDEX(Projects[Est Controls Commissioning],140)))</f>
        <v/>
      </c>
      <c r="CN141" s="5">
        <f>IF(A141="","",N(INDEX(Projects[Est Systems Commissioning],140)))</f>
        <v/>
      </c>
      <c r="CO141" s="5">
        <f>IF(A141="","",N(INDEX(Projects[Est Service Commissioning],140)))</f>
        <v/>
      </c>
      <c r="CP141" s="5">
        <f>IF(A141="","",N(INDEX(Projects[Est Controls Eng],140)))</f>
        <v/>
      </c>
      <c r="CQ141" s="5">
        <f>IF(A141="","",N(INDEX(Projects[Est Controls Purchase],140)))</f>
        <v/>
      </c>
      <c r="CR141" s="5">
        <f>IF(A141="","",N(INDEX(Projects[Est Software Eng],140)))</f>
        <v/>
      </c>
      <c r="CS141" s="5">
        <f>IF(A141="","",N(INDEX(Projects[Est Misc],140)))</f>
        <v/>
      </c>
      <c r="CT141" s="5">
        <f>IF(A141="","",SUM(CF141:CS141))</f>
        <v/>
      </c>
      <c r="CU141" s="5">
        <f>INDEX(Projects[Est Cost (M)],140)</f>
        <v/>
      </c>
      <c r="CV141" s="5">
        <f>INDEX(Projects[Act Cost (M)],140)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IF(A142="","",N(INDEX(Projects[Act Mech Inst],141)))</f>
        <v/>
      </c>
      <c r="BK142" s="5">
        <f>IF(A142="","",N(INDEX(Projects[Act Elec Inst],141)))</f>
        <v/>
      </c>
      <c r="BL142" s="5">
        <f>IF(A142="","",N(INDEX(Projects[Act Project Management],141)))</f>
        <v/>
      </c>
      <c r="BM142" s="5">
        <f>IF(A142="","",N(INDEX(Projects[Act Systems Eng],141)))</f>
        <v/>
      </c>
      <c r="BN142" s="5">
        <f>IF(A142="","",N(INDEX(Projects[Act Mechanical Eng],141)))</f>
        <v/>
      </c>
      <c r="BO142" s="5">
        <f>IF(A142="","",N(INDEX(Projects[Act Structural Engineering],141)))</f>
        <v/>
      </c>
      <c r="BP142" s="5">
        <f>IF(A142="","",N(INDEX(Projects[Act Site Sup],141)))</f>
        <v/>
      </c>
      <c r="BQ142" s="5">
        <f>IF(A142="","",N(INDEX(Projects[Act Controls Commissioning],141)))</f>
        <v/>
      </c>
      <c r="BR142" s="5">
        <f>IF(A142="","",N(INDEX(Projects[Act Systems Commissioning],141)))</f>
        <v/>
      </c>
      <c r="BS142" s="5">
        <f>IF(A142="","",N(INDEX(Projects[Act Service Commissioning],141)))</f>
        <v/>
      </c>
      <c r="BT142" s="5">
        <f>IF(A142="","",N(INDEX(Projects[Act Controls Eng],141)))</f>
        <v/>
      </c>
      <c r="BU142" s="5">
        <f>IF(A142="","",N(INDEX(Projects[Act Controls Purchase],141)))</f>
        <v/>
      </c>
      <c r="BV142" s="5">
        <f>IF(A142="","",N(INDEX(Projects[Act Software Eng],141)))</f>
        <v/>
      </c>
      <c r="BW142" s="5">
        <f>IF(A142="","",N(INDEX(Projects[Act 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  <c r="CE142" s="5">
        <f>INDEX(Projects[Act Data Status],141)&amp;""</f>
        <v/>
      </c>
      <c r="CF142" s="5">
        <f>IF(A142="","",N(INDEX(Projects[Est Mech Inst],141)))</f>
        <v/>
      </c>
      <c r="CG142" s="5">
        <f>IF(A142="","",N(INDEX(Projects[Est Elec Inst],141)))</f>
        <v/>
      </c>
      <c r="CH142" s="5">
        <f>IF(A142="","",N(INDEX(Projects[Est Project Management],141)))</f>
        <v/>
      </c>
      <c r="CI142" s="5">
        <f>IF(A142="","",N(INDEX(Projects[Est Systems Eng],141)))</f>
        <v/>
      </c>
      <c r="CJ142" s="5">
        <f>IF(A142="","",N(INDEX(Projects[Est Mechanical Eng],141)))</f>
        <v/>
      </c>
      <c r="CK142" s="5">
        <f>IF(A142="","",N(INDEX(Projects[Est Structural Engineering],141)))</f>
        <v/>
      </c>
      <c r="CL142" s="5">
        <f>IF(A142="","",N(INDEX(Projects[Est Site Sup],141)))</f>
        <v/>
      </c>
      <c r="CM142" s="5">
        <f>IF(A142="","",N(INDEX(Projects[Est Controls Commissioning],141)))</f>
        <v/>
      </c>
      <c r="CN142" s="5">
        <f>IF(A142="","",N(INDEX(Projects[Est Systems Commissioning],141)))</f>
        <v/>
      </c>
      <c r="CO142" s="5">
        <f>IF(A142="","",N(INDEX(Projects[Est Service Commissioning],141)))</f>
        <v/>
      </c>
      <c r="CP142" s="5">
        <f>IF(A142="","",N(INDEX(Projects[Est Controls Eng],141)))</f>
        <v/>
      </c>
      <c r="CQ142" s="5">
        <f>IF(A142="","",N(INDEX(Projects[Est Controls Purchase],141)))</f>
        <v/>
      </c>
      <c r="CR142" s="5">
        <f>IF(A142="","",N(INDEX(Projects[Est Software Eng],141)))</f>
        <v/>
      </c>
      <c r="CS142" s="5">
        <f>IF(A142="","",N(INDEX(Projects[Est Misc],141)))</f>
        <v/>
      </c>
      <c r="CT142" s="5">
        <f>IF(A142="","",SUM(CF142:CS142))</f>
        <v/>
      </c>
      <c r="CU142" s="5">
        <f>INDEX(Projects[Est Cost (M)],141)</f>
        <v/>
      </c>
      <c r="CV142" s="5">
        <f>INDEX(Projects[Act Cost (M)],141)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IF(A143="","",N(INDEX(Projects[Act Mech Inst],142)))</f>
        <v/>
      </c>
      <c r="BK143" s="5">
        <f>IF(A143="","",N(INDEX(Projects[Act Elec Inst],142)))</f>
        <v/>
      </c>
      <c r="BL143" s="5">
        <f>IF(A143="","",N(INDEX(Projects[Act Project Management],142)))</f>
        <v/>
      </c>
      <c r="BM143" s="5">
        <f>IF(A143="","",N(INDEX(Projects[Act Systems Eng],142)))</f>
        <v/>
      </c>
      <c r="BN143" s="5">
        <f>IF(A143="","",N(INDEX(Projects[Act Mechanical Eng],142)))</f>
        <v/>
      </c>
      <c r="BO143" s="5">
        <f>IF(A143="","",N(INDEX(Projects[Act Structural Engineering],142)))</f>
        <v/>
      </c>
      <c r="BP143" s="5">
        <f>IF(A143="","",N(INDEX(Projects[Act Site Sup],142)))</f>
        <v/>
      </c>
      <c r="BQ143" s="5">
        <f>IF(A143="","",N(INDEX(Projects[Act Controls Commissioning],142)))</f>
        <v/>
      </c>
      <c r="BR143" s="5">
        <f>IF(A143="","",N(INDEX(Projects[Act Systems Commissioning],142)))</f>
        <v/>
      </c>
      <c r="BS143" s="5">
        <f>IF(A143="","",N(INDEX(Projects[Act Service Commissioning],142)))</f>
        <v/>
      </c>
      <c r="BT143" s="5">
        <f>IF(A143="","",N(INDEX(Projects[Act Controls Eng],142)))</f>
        <v/>
      </c>
      <c r="BU143" s="5">
        <f>IF(A143="","",N(INDEX(Projects[Act Controls Purchase],142)))</f>
        <v/>
      </c>
      <c r="BV143" s="5">
        <f>IF(A143="","",N(INDEX(Projects[Act Software Eng],142)))</f>
        <v/>
      </c>
      <c r="BW143" s="5">
        <f>IF(A143="","",N(INDEX(Projects[Act 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  <c r="CE143" s="5">
        <f>INDEX(Projects[Act Data Status],142)&amp;""</f>
        <v/>
      </c>
      <c r="CF143" s="5">
        <f>IF(A143="","",N(INDEX(Projects[Est Mech Inst],142)))</f>
        <v/>
      </c>
      <c r="CG143" s="5">
        <f>IF(A143="","",N(INDEX(Projects[Est Elec Inst],142)))</f>
        <v/>
      </c>
      <c r="CH143" s="5">
        <f>IF(A143="","",N(INDEX(Projects[Est Project Management],142)))</f>
        <v/>
      </c>
      <c r="CI143" s="5">
        <f>IF(A143="","",N(INDEX(Projects[Est Systems Eng],142)))</f>
        <v/>
      </c>
      <c r="CJ143" s="5">
        <f>IF(A143="","",N(INDEX(Projects[Est Mechanical Eng],142)))</f>
        <v/>
      </c>
      <c r="CK143" s="5">
        <f>IF(A143="","",N(INDEX(Projects[Est Structural Engineering],142)))</f>
        <v/>
      </c>
      <c r="CL143" s="5">
        <f>IF(A143="","",N(INDEX(Projects[Est Site Sup],142)))</f>
        <v/>
      </c>
      <c r="CM143" s="5">
        <f>IF(A143="","",N(INDEX(Projects[Est Controls Commissioning],142)))</f>
        <v/>
      </c>
      <c r="CN143" s="5">
        <f>IF(A143="","",N(INDEX(Projects[Est Systems Commissioning],142)))</f>
        <v/>
      </c>
      <c r="CO143" s="5">
        <f>IF(A143="","",N(INDEX(Projects[Est Service Commissioning],142)))</f>
        <v/>
      </c>
      <c r="CP143" s="5">
        <f>IF(A143="","",N(INDEX(Projects[Est Controls Eng],142)))</f>
        <v/>
      </c>
      <c r="CQ143" s="5">
        <f>IF(A143="","",N(INDEX(Projects[Est Controls Purchase],142)))</f>
        <v/>
      </c>
      <c r="CR143" s="5">
        <f>IF(A143="","",N(INDEX(Projects[Est Software Eng],142)))</f>
        <v/>
      </c>
      <c r="CS143" s="5">
        <f>IF(A143="","",N(INDEX(Projects[Est Misc],142)))</f>
        <v/>
      </c>
      <c r="CT143" s="5">
        <f>IF(A143="","",SUM(CF143:CS143))</f>
        <v/>
      </c>
      <c r="CU143" s="5">
        <f>INDEX(Projects[Est Cost (M)],142)</f>
        <v/>
      </c>
      <c r="CV143" s="5">
        <f>INDEX(Projects[Act Cost (M)],142)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IF(A144="","",N(INDEX(Projects[Act Mech Inst],143)))</f>
        <v/>
      </c>
      <c r="BK144" s="5">
        <f>IF(A144="","",N(INDEX(Projects[Act Elec Inst],143)))</f>
        <v/>
      </c>
      <c r="BL144" s="5">
        <f>IF(A144="","",N(INDEX(Projects[Act Project Management],143)))</f>
        <v/>
      </c>
      <c r="BM144" s="5">
        <f>IF(A144="","",N(INDEX(Projects[Act Systems Eng],143)))</f>
        <v/>
      </c>
      <c r="BN144" s="5">
        <f>IF(A144="","",N(INDEX(Projects[Act Mechanical Eng],143)))</f>
        <v/>
      </c>
      <c r="BO144" s="5">
        <f>IF(A144="","",N(INDEX(Projects[Act Structural Engineering],143)))</f>
        <v/>
      </c>
      <c r="BP144" s="5">
        <f>IF(A144="","",N(INDEX(Projects[Act Site Sup],143)))</f>
        <v/>
      </c>
      <c r="BQ144" s="5">
        <f>IF(A144="","",N(INDEX(Projects[Act Controls Commissioning],143)))</f>
        <v/>
      </c>
      <c r="BR144" s="5">
        <f>IF(A144="","",N(INDEX(Projects[Act Systems Commissioning],143)))</f>
        <v/>
      </c>
      <c r="BS144" s="5">
        <f>IF(A144="","",N(INDEX(Projects[Act Service Commissioning],143)))</f>
        <v/>
      </c>
      <c r="BT144" s="5">
        <f>IF(A144="","",N(INDEX(Projects[Act Controls Eng],143)))</f>
        <v/>
      </c>
      <c r="BU144" s="5">
        <f>IF(A144="","",N(INDEX(Projects[Act Controls Purchase],143)))</f>
        <v/>
      </c>
      <c r="BV144" s="5">
        <f>IF(A144="","",N(INDEX(Projects[Act Software Eng],143)))</f>
        <v/>
      </c>
      <c r="BW144" s="5">
        <f>IF(A144="","",N(INDEX(Projects[Act 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  <c r="CE144" s="5">
        <f>INDEX(Projects[Act Data Status],143)&amp;""</f>
        <v/>
      </c>
      <c r="CF144" s="5">
        <f>IF(A144="","",N(INDEX(Projects[Est Mech Inst],143)))</f>
        <v/>
      </c>
      <c r="CG144" s="5">
        <f>IF(A144="","",N(INDEX(Projects[Est Elec Inst],143)))</f>
        <v/>
      </c>
      <c r="CH144" s="5">
        <f>IF(A144="","",N(INDEX(Projects[Est Project Management],143)))</f>
        <v/>
      </c>
      <c r="CI144" s="5">
        <f>IF(A144="","",N(INDEX(Projects[Est Systems Eng],143)))</f>
        <v/>
      </c>
      <c r="CJ144" s="5">
        <f>IF(A144="","",N(INDEX(Projects[Est Mechanical Eng],143)))</f>
        <v/>
      </c>
      <c r="CK144" s="5">
        <f>IF(A144="","",N(INDEX(Projects[Est Structural Engineering],143)))</f>
        <v/>
      </c>
      <c r="CL144" s="5">
        <f>IF(A144="","",N(INDEX(Projects[Est Site Sup],143)))</f>
        <v/>
      </c>
      <c r="CM144" s="5">
        <f>IF(A144="","",N(INDEX(Projects[Est Controls Commissioning],143)))</f>
        <v/>
      </c>
      <c r="CN144" s="5">
        <f>IF(A144="","",N(INDEX(Projects[Est Systems Commissioning],143)))</f>
        <v/>
      </c>
      <c r="CO144" s="5">
        <f>IF(A144="","",N(INDEX(Projects[Est Service Commissioning],143)))</f>
        <v/>
      </c>
      <c r="CP144" s="5">
        <f>IF(A144="","",N(INDEX(Projects[Est Controls Eng],143)))</f>
        <v/>
      </c>
      <c r="CQ144" s="5">
        <f>IF(A144="","",N(INDEX(Projects[Est Controls Purchase],143)))</f>
        <v/>
      </c>
      <c r="CR144" s="5">
        <f>IF(A144="","",N(INDEX(Projects[Est Software Eng],143)))</f>
        <v/>
      </c>
      <c r="CS144" s="5">
        <f>IF(A144="","",N(INDEX(Projects[Est Misc],143)))</f>
        <v/>
      </c>
      <c r="CT144" s="5">
        <f>IF(A144="","",SUM(CF144:CS144))</f>
        <v/>
      </c>
      <c r="CU144" s="5">
        <f>INDEX(Projects[Est Cost (M)],143)</f>
        <v/>
      </c>
      <c r="CV144" s="5">
        <f>INDEX(Projects[Act Cost (M)],143)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IF(A145="","",N(INDEX(Projects[Act Mech Inst],144)))</f>
        <v/>
      </c>
      <c r="BK145" s="5">
        <f>IF(A145="","",N(INDEX(Projects[Act Elec Inst],144)))</f>
        <v/>
      </c>
      <c r="BL145" s="5">
        <f>IF(A145="","",N(INDEX(Projects[Act Project Management],144)))</f>
        <v/>
      </c>
      <c r="BM145" s="5">
        <f>IF(A145="","",N(INDEX(Projects[Act Systems Eng],144)))</f>
        <v/>
      </c>
      <c r="BN145" s="5">
        <f>IF(A145="","",N(INDEX(Projects[Act Mechanical Eng],144)))</f>
        <v/>
      </c>
      <c r="BO145" s="5">
        <f>IF(A145="","",N(INDEX(Projects[Act Structural Engineering],144)))</f>
        <v/>
      </c>
      <c r="BP145" s="5">
        <f>IF(A145="","",N(INDEX(Projects[Act Site Sup],144)))</f>
        <v/>
      </c>
      <c r="BQ145" s="5">
        <f>IF(A145="","",N(INDEX(Projects[Act Controls Commissioning],144)))</f>
        <v/>
      </c>
      <c r="BR145" s="5">
        <f>IF(A145="","",N(INDEX(Projects[Act Systems Commissioning],144)))</f>
        <v/>
      </c>
      <c r="BS145" s="5">
        <f>IF(A145="","",N(INDEX(Projects[Act Service Commissioning],144)))</f>
        <v/>
      </c>
      <c r="BT145" s="5">
        <f>IF(A145="","",N(INDEX(Projects[Act Controls Eng],144)))</f>
        <v/>
      </c>
      <c r="BU145" s="5">
        <f>IF(A145="","",N(INDEX(Projects[Act Controls Purchase],144)))</f>
        <v/>
      </c>
      <c r="BV145" s="5">
        <f>IF(A145="","",N(INDEX(Projects[Act Software Eng],144)))</f>
        <v/>
      </c>
      <c r="BW145" s="5">
        <f>IF(A145="","",N(INDEX(Projects[Act 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  <c r="CE145" s="5">
        <f>INDEX(Projects[Act Data Status],144)&amp;""</f>
        <v/>
      </c>
      <c r="CF145" s="5">
        <f>IF(A145="","",N(INDEX(Projects[Est Mech Inst],144)))</f>
        <v/>
      </c>
      <c r="CG145" s="5">
        <f>IF(A145="","",N(INDEX(Projects[Est Elec Inst],144)))</f>
        <v/>
      </c>
      <c r="CH145" s="5">
        <f>IF(A145="","",N(INDEX(Projects[Est Project Management],144)))</f>
        <v/>
      </c>
      <c r="CI145" s="5">
        <f>IF(A145="","",N(INDEX(Projects[Est Systems Eng],144)))</f>
        <v/>
      </c>
      <c r="CJ145" s="5">
        <f>IF(A145="","",N(INDEX(Projects[Est Mechanical Eng],144)))</f>
        <v/>
      </c>
      <c r="CK145" s="5">
        <f>IF(A145="","",N(INDEX(Projects[Est Structural Engineering],144)))</f>
        <v/>
      </c>
      <c r="CL145" s="5">
        <f>IF(A145="","",N(INDEX(Projects[Est Site Sup],144)))</f>
        <v/>
      </c>
      <c r="CM145" s="5">
        <f>IF(A145="","",N(INDEX(Projects[Est Controls Commissioning],144)))</f>
        <v/>
      </c>
      <c r="CN145" s="5">
        <f>IF(A145="","",N(INDEX(Projects[Est Systems Commissioning],144)))</f>
        <v/>
      </c>
      <c r="CO145" s="5">
        <f>IF(A145="","",N(INDEX(Projects[Est Service Commissioning],144)))</f>
        <v/>
      </c>
      <c r="CP145" s="5">
        <f>IF(A145="","",N(INDEX(Projects[Est Controls Eng],144)))</f>
        <v/>
      </c>
      <c r="CQ145" s="5">
        <f>IF(A145="","",N(INDEX(Projects[Est Controls Purchase],144)))</f>
        <v/>
      </c>
      <c r="CR145" s="5">
        <f>IF(A145="","",N(INDEX(Projects[Est Software Eng],144)))</f>
        <v/>
      </c>
      <c r="CS145" s="5">
        <f>IF(A145="","",N(INDEX(Projects[Est Misc],144)))</f>
        <v/>
      </c>
      <c r="CT145" s="5">
        <f>IF(A145="","",SUM(CF145:CS145))</f>
        <v/>
      </c>
      <c r="CU145" s="5">
        <f>INDEX(Projects[Est Cost (M)],144)</f>
        <v/>
      </c>
      <c r="CV145" s="5">
        <f>INDEX(Projects[Act Cost (M)],144)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IF(A146="","",N(INDEX(Projects[Act Mech Inst],145)))</f>
        <v/>
      </c>
      <c r="BK146" s="5">
        <f>IF(A146="","",N(INDEX(Projects[Act Elec Inst],145)))</f>
        <v/>
      </c>
      <c r="BL146" s="5">
        <f>IF(A146="","",N(INDEX(Projects[Act Project Management],145)))</f>
        <v/>
      </c>
      <c r="BM146" s="5">
        <f>IF(A146="","",N(INDEX(Projects[Act Systems Eng],145)))</f>
        <v/>
      </c>
      <c r="BN146" s="5">
        <f>IF(A146="","",N(INDEX(Projects[Act Mechanical Eng],145)))</f>
        <v/>
      </c>
      <c r="BO146" s="5">
        <f>IF(A146="","",N(INDEX(Projects[Act Structural Engineering],145)))</f>
        <v/>
      </c>
      <c r="BP146" s="5">
        <f>IF(A146="","",N(INDEX(Projects[Act Site Sup],145)))</f>
        <v/>
      </c>
      <c r="BQ146" s="5">
        <f>IF(A146="","",N(INDEX(Projects[Act Controls Commissioning],145)))</f>
        <v/>
      </c>
      <c r="BR146" s="5">
        <f>IF(A146="","",N(INDEX(Projects[Act Systems Commissioning],145)))</f>
        <v/>
      </c>
      <c r="BS146" s="5">
        <f>IF(A146="","",N(INDEX(Projects[Act Service Commissioning],145)))</f>
        <v/>
      </c>
      <c r="BT146" s="5">
        <f>IF(A146="","",N(INDEX(Projects[Act Controls Eng],145)))</f>
        <v/>
      </c>
      <c r="BU146" s="5">
        <f>IF(A146="","",N(INDEX(Projects[Act Controls Purchase],145)))</f>
        <v/>
      </c>
      <c r="BV146" s="5">
        <f>IF(A146="","",N(INDEX(Projects[Act Software Eng],145)))</f>
        <v/>
      </c>
      <c r="BW146" s="5">
        <f>IF(A146="","",N(INDEX(Projects[Act 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  <c r="CE146" s="5">
        <f>INDEX(Projects[Act Data Status],145)&amp;""</f>
        <v/>
      </c>
      <c r="CF146" s="5">
        <f>IF(A146="","",N(INDEX(Projects[Est Mech Inst],145)))</f>
        <v/>
      </c>
      <c r="CG146" s="5">
        <f>IF(A146="","",N(INDEX(Projects[Est Elec Inst],145)))</f>
        <v/>
      </c>
      <c r="CH146" s="5">
        <f>IF(A146="","",N(INDEX(Projects[Est Project Management],145)))</f>
        <v/>
      </c>
      <c r="CI146" s="5">
        <f>IF(A146="","",N(INDEX(Projects[Est Systems Eng],145)))</f>
        <v/>
      </c>
      <c r="CJ146" s="5">
        <f>IF(A146="","",N(INDEX(Projects[Est Mechanical Eng],145)))</f>
        <v/>
      </c>
      <c r="CK146" s="5">
        <f>IF(A146="","",N(INDEX(Projects[Est Structural Engineering],145)))</f>
        <v/>
      </c>
      <c r="CL146" s="5">
        <f>IF(A146="","",N(INDEX(Projects[Est Site Sup],145)))</f>
        <v/>
      </c>
      <c r="CM146" s="5">
        <f>IF(A146="","",N(INDEX(Projects[Est Controls Commissioning],145)))</f>
        <v/>
      </c>
      <c r="CN146" s="5">
        <f>IF(A146="","",N(INDEX(Projects[Est Systems Commissioning],145)))</f>
        <v/>
      </c>
      <c r="CO146" s="5">
        <f>IF(A146="","",N(INDEX(Projects[Est Service Commissioning],145)))</f>
        <v/>
      </c>
      <c r="CP146" s="5">
        <f>IF(A146="","",N(INDEX(Projects[Est Controls Eng],145)))</f>
        <v/>
      </c>
      <c r="CQ146" s="5">
        <f>IF(A146="","",N(INDEX(Projects[Est Controls Purchase],145)))</f>
        <v/>
      </c>
      <c r="CR146" s="5">
        <f>IF(A146="","",N(INDEX(Projects[Est Software Eng],145)))</f>
        <v/>
      </c>
      <c r="CS146" s="5">
        <f>IF(A146="","",N(INDEX(Projects[Est Misc],145)))</f>
        <v/>
      </c>
      <c r="CT146" s="5">
        <f>IF(A146="","",SUM(CF146:CS146))</f>
        <v/>
      </c>
      <c r="CU146" s="5">
        <f>INDEX(Projects[Est Cost (M)],145)</f>
        <v/>
      </c>
      <c r="CV146" s="5">
        <f>INDEX(Projects[Act Cost (M)],145)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IF(A147="","",N(INDEX(Projects[Act Mech Inst],146)))</f>
        <v/>
      </c>
      <c r="BK147" s="5">
        <f>IF(A147="","",N(INDEX(Projects[Act Elec Inst],146)))</f>
        <v/>
      </c>
      <c r="BL147" s="5">
        <f>IF(A147="","",N(INDEX(Projects[Act Project Management],146)))</f>
        <v/>
      </c>
      <c r="BM147" s="5">
        <f>IF(A147="","",N(INDEX(Projects[Act Systems Eng],146)))</f>
        <v/>
      </c>
      <c r="BN147" s="5">
        <f>IF(A147="","",N(INDEX(Projects[Act Mechanical Eng],146)))</f>
        <v/>
      </c>
      <c r="BO147" s="5">
        <f>IF(A147="","",N(INDEX(Projects[Act Structural Engineering],146)))</f>
        <v/>
      </c>
      <c r="BP147" s="5">
        <f>IF(A147="","",N(INDEX(Projects[Act Site Sup],146)))</f>
        <v/>
      </c>
      <c r="BQ147" s="5">
        <f>IF(A147="","",N(INDEX(Projects[Act Controls Commissioning],146)))</f>
        <v/>
      </c>
      <c r="BR147" s="5">
        <f>IF(A147="","",N(INDEX(Projects[Act Systems Commissioning],146)))</f>
        <v/>
      </c>
      <c r="BS147" s="5">
        <f>IF(A147="","",N(INDEX(Projects[Act Service Commissioning],146)))</f>
        <v/>
      </c>
      <c r="BT147" s="5">
        <f>IF(A147="","",N(INDEX(Projects[Act Controls Eng],146)))</f>
        <v/>
      </c>
      <c r="BU147" s="5">
        <f>IF(A147="","",N(INDEX(Projects[Act Controls Purchase],146)))</f>
        <v/>
      </c>
      <c r="BV147" s="5">
        <f>IF(A147="","",N(INDEX(Projects[Act Software Eng],146)))</f>
        <v/>
      </c>
      <c r="BW147" s="5">
        <f>IF(A147="","",N(INDEX(Projects[Act 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  <c r="CE147" s="5">
        <f>INDEX(Projects[Act Data Status],146)&amp;""</f>
        <v/>
      </c>
      <c r="CF147" s="5">
        <f>IF(A147="","",N(INDEX(Projects[Est Mech Inst],146)))</f>
        <v/>
      </c>
      <c r="CG147" s="5">
        <f>IF(A147="","",N(INDEX(Projects[Est Elec Inst],146)))</f>
        <v/>
      </c>
      <c r="CH147" s="5">
        <f>IF(A147="","",N(INDEX(Projects[Est Project Management],146)))</f>
        <v/>
      </c>
      <c r="CI147" s="5">
        <f>IF(A147="","",N(INDEX(Projects[Est Systems Eng],146)))</f>
        <v/>
      </c>
      <c r="CJ147" s="5">
        <f>IF(A147="","",N(INDEX(Projects[Est Mechanical Eng],146)))</f>
        <v/>
      </c>
      <c r="CK147" s="5">
        <f>IF(A147="","",N(INDEX(Projects[Est Structural Engineering],146)))</f>
        <v/>
      </c>
      <c r="CL147" s="5">
        <f>IF(A147="","",N(INDEX(Projects[Est Site Sup],146)))</f>
        <v/>
      </c>
      <c r="CM147" s="5">
        <f>IF(A147="","",N(INDEX(Projects[Est Controls Commissioning],146)))</f>
        <v/>
      </c>
      <c r="CN147" s="5">
        <f>IF(A147="","",N(INDEX(Projects[Est Systems Commissioning],146)))</f>
        <v/>
      </c>
      <c r="CO147" s="5">
        <f>IF(A147="","",N(INDEX(Projects[Est Service Commissioning],146)))</f>
        <v/>
      </c>
      <c r="CP147" s="5">
        <f>IF(A147="","",N(INDEX(Projects[Est Controls Eng],146)))</f>
        <v/>
      </c>
      <c r="CQ147" s="5">
        <f>IF(A147="","",N(INDEX(Projects[Est Controls Purchase],146)))</f>
        <v/>
      </c>
      <c r="CR147" s="5">
        <f>IF(A147="","",N(INDEX(Projects[Est Software Eng],146)))</f>
        <v/>
      </c>
      <c r="CS147" s="5">
        <f>IF(A147="","",N(INDEX(Projects[Est Misc],146)))</f>
        <v/>
      </c>
      <c r="CT147" s="5">
        <f>IF(A147="","",SUM(CF147:CS147))</f>
        <v/>
      </c>
      <c r="CU147" s="5">
        <f>INDEX(Projects[Est Cost (M)],146)</f>
        <v/>
      </c>
      <c r="CV147" s="5">
        <f>INDEX(Projects[Act Cost (M)],146)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IF(A148="","",N(INDEX(Projects[Act Mech Inst],147)))</f>
        <v/>
      </c>
      <c r="BK148" s="5">
        <f>IF(A148="","",N(INDEX(Projects[Act Elec Inst],147)))</f>
        <v/>
      </c>
      <c r="BL148" s="5">
        <f>IF(A148="","",N(INDEX(Projects[Act Project Management],147)))</f>
        <v/>
      </c>
      <c r="BM148" s="5">
        <f>IF(A148="","",N(INDEX(Projects[Act Systems Eng],147)))</f>
        <v/>
      </c>
      <c r="BN148" s="5">
        <f>IF(A148="","",N(INDEX(Projects[Act Mechanical Eng],147)))</f>
        <v/>
      </c>
      <c r="BO148" s="5">
        <f>IF(A148="","",N(INDEX(Projects[Act Structural Engineering],147)))</f>
        <v/>
      </c>
      <c r="BP148" s="5">
        <f>IF(A148="","",N(INDEX(Projects[Act Site Sup],147)))</f>
        <v/>
      </c>
      <c r="BQ148" s="5">
        <f>IF(A148="","",N(INDEX(Projects[Act Controls Commissioning],147)))</f>
        <v/>
      </c>
      <c r="BR148" s="5">
        <f>IF(A148="","",N(INDEX(Projects[Act Systems Commissioning],147)))</f>
        <v/>
      </c>
      <c r="BS148" s="5">
        <f>IF(A148="","",N(INDEX(Projects[Act Service Commissioning],147)))</f>
        <v/>
      </c>
      <c r="BT148" s="5">
        <f>IF(A148="","",N(INDEX(Projects[Act Controls Eng],147)))</f>
        <v/>
      </c>
      <c r="BU148" s="5">
        <f>IF(A148="","",N(INDEX(Projects[Act Controls Purchase],147)))</f>
        <v/>
      </c>
      <c r="BV148" s="5">
        <f>IF(A148="","",N(INDEX(Projects[Act Software Eng],147)))</f>
        <v/>
      </c>
      <c r="BW148" s="5">
        <f>IF(A148="","",N(INDEX(Projects[Act 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  <c r="CE148" s="5">
        <f>INDEX(Projects[Act Data Status],147)&amp;""</f>
        <v/>
      </c>
      <c r="CF148" s="5">
        <f>IF(A148="","",N(INDEX(Projects[Est Mech Inst],147)))</f>
        <v/>
      </c>
      <c r="CG148" s="5">
        <f>IF(A148="","",N(INDEX(Projects[Est Elec Inst],147)))</f>
        <v/>
      </c>
      <c r="CH148" s="5">
        <f>IF(A148="","",N(INDEX(Projects[Est Project Management],147)))</f>
        <v/>
      </c>
      <c r="CI148" s="5">
        <f>IF(A148="","",N(INDEX(Projects[Est Systems Eng],147)))</f>
        <v/>
      </c>
      <c r="CJ148" s="5">
        <f>IF(A148="","",N(INDEX(Projects[Est Mechanical Eng],147)))</f>
        <v/>
      </c>
      <c r="CK148" s="5">
        <f>IF(A148="","",N(INDEX(Projects[Est Structural Engineering],147)))</f>
        <v/>
      </c>
      <c r="CL148" s="5">
        <f>IF(A148="","",N(INDEX(Projects[Est Site Sup],147)))</f>
        <v/>
      </c>
      <c r="CM148" s="5">
        <f>IF(A148="","",N(INDEX(Projects[Est Controls Commissioning],147)))</f>
        <v/>
      </c>
      <c r="CN148" s="5">
        <f>IF(A148="","",N(INDEX(Projects[Est Systems Commissioning],147)))</f>
        <v/>
      </c>
      <c r="CO148" s="5">
        <f>IF(A148="","",N(INDEX(Projects[Est Service Commissioning],147)))</f>
        <v/>
      </c>
      <c r="CP148" s="5">
        <f>IF(A148="","",N(INDEX(Projects[Est Controls Eng],147)))</f>
        <v/>
      </c>
      <c r="CQ148" s="5">
        <f>IF(A148="","",N(INDEX(Projects[Est Controls Purchase],147)))</f>
        <v/>
      </c>
      <c r="CR148" s="5">
        <f>IF(A148="","",N(INDEX(Projects[Est Software Eng],147)))</f>
        <v/>
      </c>
      <c r="CS148" s="5">
        <f>IF(A148="","",N(INDEX(Projects[Est Misc],147)))</f>
        <v/>
      </c>
      <c r="CT148" s="5">
        <f>IF(A148="","",SUM(CF148:CS148))</f>
        <v/>
      </c>
      <c r="CU148" s="5">
        <f>INDEX(Projects[Est Cost (M)],147)</f>
        <v/>
      </c>
      <c r="CV148" s="5">
        <f>INDEX(Projects[Act Cost (M)],147)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IF(A149="","",N(INDEX(Projects[Act Mech Inst],148)))</f>
        <v/>
      </c>
      <c r="BK149" s="5">
        <f>IF(A149="","",N(INDEX(Projects[Act Elec Inst],148)))</f>
        <v/>
      </c>
      <c r="BL149" s="5">
        <f>IF(A149="","",N(INDEX(Projects[Act Project Management],148)))</f>
        <v/>
      </c>
      <c r="BM149" s="5">
        <f>IF(A149="","",N(INDEX(Projects[Act Systems Eng],148)))</f>
        <v/>
      </c>
      <c r="BN149" s="5">
        <f>IF(A149="","",N(INDEX(Projects[Act Mechanical Eng],148)))</f>
        <v/>
      </c>
      <c r="BO149" s="5">
        <f>IF(A149="","",N(INDEX(Projects[Act Structural Engineering],148)))</f>
        <v/>
      </c>
      <c r="BP149" s="5">
        <f>IF(A149="","",N(INDEX(Projects[Act Site Sup],148)))</f>
        <v/>
      </c>
      <c r="BQ149" s="5">
        <f>IF(A149="","",N(INDEX(Projects[Act Controls Commissioning],148)))</f>
        <v/>
      </c>
      <c r="BR149" s="5">
        <f>IF(A149="","",N(INDEX(Projects[Act Systems Commissioning],148)))</f>
        <v/>
      </c>
      <c r="BS149" s="5">
        <f>IF(A149="","",N(INDEX(Projects[Act Service Commissioning],148)))</f>
        <v/>
      </c>
      <c r="BT149" s="5">
        <f>IF(A149="","",N(INDEX(Projects[Act Controls Eng],148)))</f>
        <v/>
      </c>
      <c r="BU149" s="5">
        <f>IF(A149="","",N(INDEX(Projects[Act Controls Purchase],148)))</f>
        <v/>
      </c>
      <c r="BV149" s="5">
        <f>IF(A149="","",N(INDEX(Projects[Act Software Eng],148)))</f>
        <v/>
      </c>
      <c r="BW149" s="5">
        <f>IF(A149="","",N(INDEX(Projects[Act 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  <c r="CE149" s="5">
        <f>INDEX(Projects[Act Data Status],148)&amp;""</f>
        <v/>
      </c>
      <c r="CF149" s="5">
        <f>IF(A149="","",N(INDEX(Projects[Est Mech Inst],148)))</f>
        <v/>
      </c>
      <c r="CG149" s="5">
        <f>IF(A149="","",N(INDEX(Projects[Est Elec Inst],148)))</f>
        <v/>
      </c>
      <c r="CH149" s="5">
        <f>IF(A149="","",N(INDEX(Projects[Est Project Management],148)))</f>
        <v/>
      </c>
      <c r="CI149" s="5">
        <f>IF(A149="","",N(INDEX(Projects[Est Systems Eng],148)))</f>
        <v/>
      </c>
      <c r="CJ149" s="5">
        <f>IF(A149="","",N(INDEX(Projects[Est Mechanical Eng],148)))</f>
        <v/>
      </c>
      <c r="CK149" s="5">
        <f>IF(A149="","",N(INDEX(Projects[Est Structural Engineering],148)))</f>
        <v/>
      </c>
      <c r="CL149" s="5">
        <f>IF(A149="","",N(INDEX(Projects[Est Site Sup],148)))</f>
        <v/>
      </c>
      <c r="CM149" s="5">
        <f>IF(A149="","",N(INDEX(Projects[Est Controls Commissioning],148)))</f>
        <v/>
      </c>
      <c r="CN149" s="5">
        <f>IF(A149="","",N(INDEX(Projects[Est Systems Commissioning],148)))</f>
        <v/>
      </c>
      <c r="CO149" s="5">
        <f>IF(A149="","",N(INDEX(Projects[Est Service Commissioning],148)))</f>
        <v/>
      </c>
      <c r="CP149" s="5">
        <f>IF(A149="","",N(INDEX(Projects[Est Controls Eng],148)))</f>
        <v/>
      </c>
      <c r="CQ149" s="5">
        <f>IF(A149="","",N(INDEX(Projects[Est Controls Purchase],148)))</f>
        <v/>
      </c>
      <c r="CR149" s="5">
        <f>IF(A149="","",N(INDEX(Projects[Est Software Eng],148)))</f>
        <v/>
      </c>
      <c r="CS149" s="5">
        <f>IF(A149="","",N(INDEX(Projects[Est Misc],148)))</f>
        <v/>
      </c>
      <c r="CT149" s="5">
        <f>IF(A149="","",SUM(CF149:CS149))</f>
        <v/>
      </c>
      <c r="CU149" s="5">
        <f>INDEX(Projects[Est Cost (M)],148)</f>
        <v/>
      </c>
      <c r="CV149" s="5">
        <f>INDEX(Projects[Act Cost (M)],148)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IF(A150="","",N(INDEX(Projects[Act Mech Inst],149)))</f>
        <v/>
      </c>
      <c r="BK150" s="5">
        <f>IF(A150="","",N(INDEX(Projects[Act Elec Inst],149)))</f>
        <v/>
      </c>
      <c r="BL150" s="5">
        <f>IF(A150="","",N(INDEX(Projects[Act Project Management],149)))</f>
        <v/>
      </c>
      <c r="BM150" s="5">
        <f>IF(A150="","",N(INDEX(Projects[Act Systems Eng],149)))</f>
        <v/>
      </c>
      <c r="BN150" s="5">
        <f>IF(A150="","",N(INDEX(Projects[Act Mechanical Eng],149)))</f>
        <v/>
      </c>
      <c r="BO150" s="5">
        <f>IF(A150="","",N(INDEX(Projects[Act Structural Engineering],149)))</f>
        <v/>
      </c>
      <c r="BP150" s="5">
        <f>IF(A150="","",N(INDEX(Projects[Act Site Sup],149)))</f>
        <v/>
      </c>
      <c r="BQ150" s="5">
        <f>IF(A150="","",N(INDEX(Projects[Act Controls Commissioning],149)))</f>
        <v/>
      </c>
      <c r="BR150" s="5">
        <f>IF(A150="","",N(INDEX(Projects[Act Systems Commissioning],149)))</f>
        <v/>
      </c>
      <c r="BS150" s="5">
        <f>IF(A150="","",N(INDEX(Projects[Act Service Commissioning],149)))</f>
        <v/>
      </c>
      <c r="BT150" s="5">
        <f>IF(A150="","",N(INDEX(Projects[Act Controls Eng],149)))</f>
        <v/>
      </c>
      <c r="BU150" s="5">
        <f>IF(A150="","",N(INDEX(Projects[Act Controls Purchase],149)))</f>
        <v/>
      </c>
      <c r="BV150" s="5">
        <f>IF(A150="","",N(INDEX(Projects[Act Software Eng],149)))</f>
        <v/>
      </c>
      <c r="BW150" s="5">
        <f>IF(A150="","",N(INDEX(Projects[Act 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  <c r="CE150" s="5">
        <f>INDEX(Projects[Act Data Status],149)&amp;""</f>
        <v/>
      </c>
      <c r="CF150" s="5">
        <f>IF(A150="","",N(INDEX(Projects[Est Mech Inst],149)))</f>
        <v/>
      </c>
      <c r="CG150" s="5">
        <f>IF(A150="","",N(INDEX(Projects[Est Elec Inst],149)))</f>
        <v/>
      </c>
      <c r="CH150" s="5">
        <f>IF(A150="","",N(INDEX(Projects[Est Project Management],149)))</f>
        <v/>
      </c>
      <c r="CI150" s="5">
        <f>IF(A150="","",N(INDEX(Projects[Est Systems Eng],149)))</f>
        <v/>
      </c>
      <c r="CJ150" s="5">
        <f>IF(A150="","",N(INDEX(Projects[Est Mechanical Eng],149)))</f>
        <v/>
      </c>
      <c r="CK150" s="5">
        <f>IF(A150="","",N(INDEX(Projects[Est Structural Engineering],149)))</f>
        <v/>
      </c>
      <c r="CL150" s="5">
        <f>IF(A150="","",N(INDEX(Projects[Est Site Sup],149)))</f>
        <v/>
      </c>
      <c r="CM150" s="5">
        <f>IF(A150="","",N(INDEX(Projects[Est Controls Commissioning],149)))</f>
        <v/>
      </c>
      <c r="CN150" s="5">
        <f>IF(A150="","",N(INDEX(Projects[Est Systems Commissioning],149)))</f>
        <v/>
      </c>
      <c r="CO150" s="5">
        <f>IF(A150="","",N(INDEX(Projects[Est Service Commissioning],149)))</f>
        <v/>
      </c>
      <c r="CP150" s="5">
        <f>IF(A150="","",N(INDEX(Projects[Est Controls Eng],149)))</f>
        <v/>
      </c>
      <c r="CQ150" s="5">
        <f>IF(A150="","",N(INDEX(Projects[Est Controls Purchase],149)))</f>
        <v/>
      </c>
      <c r="CR150" s="5">
        <f>IF(A150="","",N(INDEX(Projects[Est Software Eng],149)))</f>
        <v/>
      </c>
      <c r="CS150" s="5">
        <f>IF(A150="","",N(INDEX(Projects[Est Misc],149)))</f>
        <v/>
      </c>
      <c r="CT150" s="5">
        <f>IF(A150="","",SUM(CF150:CS150))</f>
        <v/>
      </c>
      <c r="CU150" s="5">
        <f>INDEX(Projects[Est Cost (M)],149)</f>
        <v/>
      </c>
      <c r="CV150" s="5">
        <f>INDEX(Projects[Act Cost (M)],149)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IF(A151="","",N(INDEX(Projects[Act Mech Inst],150)))</f>
        <v/>
      </c>
      <c r="BK151" s="5">
        <f>IF(A151="","",N(INDEX(Projects[Act Elec Inst],150)))</f>
        <v/>
      </c>
      <c r="BL151" s="5">
        <f>IF(A151="","",N(INDEX(Projects[Act Project Management],150)))</f>
        <v/>
      </c>
      <c r="BM151" s="5">
        <f>IF(A151="","",N(INDEX(Projects[Act Systems Eng],150)))</f>
        <v/>
      </c>
      <c r="BN151" s="5">
        <f>IF(A151="","",N(INDEX(Projects[Act Mechanical Eng],150)))</f>
        <v/>
      </c>
      <c r="BO151" s="5">
        <f>IF(A151="","",N(INDEX(Projects[Act Structural Engineering],150)))</f>
        <v/>
      </c>
      <c r="BP151" s="5">
        <f>IF(A151="","",N(INDEX(Projects[Act Site Sup],150)))</f>
        <v/>
      </c>
      <c r="BQ151" s="5">
        <f>IF(A151="","",N(INDEX(Projects[Act Controls Commissioning],150)))</f>
        <v/>
      </c>
      <c r="BR151" s="5">
        <f>IF(A151="","",N(INDEX(Projects[Act Systems Commissioning],150)))</f>
        <v/>
      </c>
      <c r="BS151" s="5">
        <f>IF(A151="","",N(INDEX(Projects[Act Service Commissioning],150)))</f>
        <v/>
      </c>
      <c r="BT151" s="5">
        <f>IF(A151="","",N(INDEX(Projects[Act Controls Eng],150)))</f>
        <v/>
      </c>
      <c r="BU151" s="5">
        <f>IF(A151="","",N(INDEX(Projects[Act Controls Purchase],150)))</f>
        <v/>
      </c>
      <c r="BV151" s="5">
        <f>IF(A151="","",N(INDEX(Projects[Act Software Eng],150)))</f>
        <v/>
      </c>
      <c r="BW151" s="5">
        <f>IF(A151="","",N(INDEX(Projects[Act 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  <c r="CE151" s="5">
        <f>INDEX(Projects[Act Data Status],150)&amp;""</f>
        <v/>
      </c>
      <c r="CF151" s="5">
        <f>IF(A151="","",N(INDEX(Projects[Est Mech Inst],150)))</f>
        <v/>
      </c>
      <c r="CG151" s="5">
        <f>IF(A151="","",N(INDEX(Projects[Est Elec Inst],150)))</f>
        <v/>
      </c>
      <c r="CH151" s="5">
        <f>IF(A151="","",N(INDEX(Projects[Est Project Management],150)))</f>
        <v/>
      </c>
      <c r="CI151" s="5">
        <f>IF(A151="","",N(INDEX(Projects[Est Systems Eng],150)))</f>
        <v/>
      </c>
      <c r="CJ151" s="5">
        <f>IF(A151="","",N(INDEX(Projects[Est Mechanical Eng],150)))</f>
        <v/>
      </c>
      <c r="CK151" s="5">
        <f>IF(A151="","",N(INDEX(Projects[Est Structural Engineering],150)))</f>
        <v/>
      </c>
      <c r="CL151" s="5">
        <f>IF(A151="","",N(INDEX(Projects[Est Site Sup],150)))</f>
        <v/>
      </c>
      <c r="CM151" s="5">
        <f>IF(A151="","",N(INDEX(Projects[Est Controls Commissioning],150)))</f>
        <v/>
      </c>
      <c r="CN151" s="5">
        <f>IF(A151="","",N(INDEX(Projects[Est Systems Commissioning],150)))</f>
        <v/>
      </c>
      <c r="CO151" s="5">
        <f>IF(A151="","",N(INDEX(Projects[Est Service Commissioning],150)))</f>
        <v/>
      </c>
      <c r="CP151" s="5">
        <f>IF(A151="","",N(INDEX(Projects[Est Controls Eng],150)))</f>
        <v/>
      </c>
      <c r="CQ151" s="5">
        <f>IF(A151="","",N(INDEX(Projects[Est Controls Purchase],150)))</f>
        <v/>
      </c>
      <c r="CR151" s="5">
        <f>IF(A151="","",N(INDEX(Projects[Est Software Eng],150)))</f>
        <v/>
      </c>
      <c r="CS151" s="5">
        <f>IF(A151="","",N(INDEX(Projects[Est Misc],150)))</f>
        <v/>
      </c>
      <c r="CT151" s="5">
        <f>IF(A151="","",SUM(CF151:CS151))</f>
        <v/>
      </c>
      <c r="CU151" s="5">
        <f>INDEX(Projects[Est Cost (M)],150)</f>
        <v/>
      </c>
      <c r="CV151" s="5">
        <f>INDEX(Projects[Act Cost (M)],150)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IF(A152="","",N(INDEX(Projects[Act Mech Inst],151)))</f>
        <v/>
      </c>
      <c r="BK152" s="5">
        <f>IF(A152="","",N(INDEX(Projects[Act Elec Inst],151)))</f>
        <v/>
      </c>
      <c r="BL152" s="5">
        <f>IF(A152="","",N(INDEX(Projects[Act Project Management],151)))</f>
        <v/>
      </c>
      <c r="BM152" s="5">
        <f>IF(A152="","",N(INDEX(Projects[Act Systems Eng],151)))</f>
        <v/>
      </c>
      <c r="BN152" s="5">
        <f>IF(A152="","",N(INDEX(Projects[Act Mechanical Eng],151)))</f>
        <v/>
      </c>
      <c r="BO152" s="5">
        <f>IF(A152="","",N(INDEX(Projects[Act Structural Engineering],151)))</f>
        <v/>
      </c>
      <c r="BP152" s="5">
        <f>IF(A152="","",N(INDEX(Projects[Act Site Sup],151)))</f>
        <v/>
      </c>
      <c r="BQ152" s="5">
        <f>IF(A152="","",N(INDEX(Projects[Act Controls Commissioning],151)))</f>
        <v/>
      </c>
      <c r="BR152" s="5">
        <f>IF(A152="","",N(INDEX(Projects[Act Systems Commissioning],151)))</f>
        <v/>
      </c>
      <c r="BS152" s="5">
        <f>IF(A152="","",N(INDEX(Projects[Act Service Commissioning],151)))</f>
        <v/>
      </c>
      <c r="BT152" s="5">
        <f>IF(A152="","",N(INDEX(Projects[Act Controls Eng],151)))</f>
        <v/>
      </c>
      <c r="BU152" s="5">
        <f>IF(A152="","",N(INDEX(Projects[Act Controls Purchase],151)))</f>
        <v/>
      </c>
      <c r="BV152" s="5">
        <f>IF(A152="","",N(INDEX(Projects[Act Software Eng],151)))</f>
        <v/>
      </c>
      <c r="BW152" s="5">
        <f>IF(A152="","",N(INDEX(Projects[Act 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  <c r="CE152" s="5">
        <f>INDEX(Projects[Act Data Status],151)&amp;""</f>
        <v/>
      </c>
      <c r="CF152" s="5">
        <f>IF(A152="","",N(INDEX(Projects[Est Mech Inst],151)))</f>
        <v/>
      </c>
      <c r="CG152" s="5">
        <f>IF(A152="","",N(INDEX(Projects[Est Elec Inst],151)))</f>
        <v/>
      </c>
      <c r="CH152" s="5">
        <f>IF(A152="","",N(INDEX(Projects[Est Project Management],151)))</f>
        <v/>
      </c>
      <c r="CI152" s="5">
        <f>IF(A152="","",N(INDEX(Projects[Est Systems Eng],151)))</f>
        <v/>
      </c>
      <c r="CJ152" s="5">
        <f>IF(A152="","",N(INDEX(Projects[Est Mechanical Eng],151)))</f>
        <v/>
      </c>
      <c r="CK152" s="5">
        <f>IF(A152="","",N(INDEX(Projects[Est Structural Engineering],151)))</f>
        <v/>
      </c>
      <c r="CL152" s="5">
        <f>IF(A152="","",N(INDEX(Projects[Est Site Sup],151)))</f>
        <v/>
      </c>
      <c r="CM152" s="5">
        <f>IF(A152="","",N(INDEX(Projects[Est Controls Commissioning],151)))</f>
        <v/>
      </c>
      <c r="CN152" s="5">
        <f>IF(A152="","",N(INDEX(Projects[Est Systems Commissioning],151)))</f>
        <v/>
      </c>
      <c r="CO152" s="5">
        <f>IF(A152="","",N(INDEX(Projects[Est Service Commissioning],151)))</f>
        <v/>
      </c>
      <c r="CP152" s="5">
        <f>IF(A152="","",N(INDEX(Projects[Est Controls Eng],151)))</f>
        <v/>
      </c>
      <c r="CQ152" s="5">
        <f>IF(A152="","",N(INDEX(Projects[Est Controls Purchase],151)))</f>
        <v/>
      </c>
      <c r="CR152" s="5">
        <f>IF(A152="","",N(INDEX(Projects[Est Software Eng],151)))</f>
        <v/>
      </c>
      <c r="CS152" s="5">
        <f>IF(A152="","",N(INDEX(Projects[Est Misc],151)))</f>
        <v/>
      </c>
      <c r="CT152" s="5">
        <f>IF(A152="","",SUM(CF152:CS152))</f>
        <v/>
      </c>
      <c r="CU152" s="5">
        <f>INDEX(Projects[Est Cost (M)],151)</f>
        <v/>
      </c>
      <c r="CV152" s="5">
        <f>INDEX(Projects[Act Cost (M)],151)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IF(A153="","",N(INDEX(Projects[Act Mech Inst],152)))</f>
        <v/>
      </c>
      <c r="BK153" s="5">
        <f>IF(A153="","",N(INDEX(Projects[Act Elec Inst],152)))</f>
        <v/>
      </c>
      <c r="BL153" s="5">
        <f>IF(A153="","",N(INDEX(Projects[Act Project Management],152)))</f>
        <v/>
      </c>
      <c r="BM153" s="5">
        <f>IF(A153="","",N(INDEX(Projects[Act Systems Eng],152)))</f>
        <v/>
      </c>
      <c r="BN153" s="5">
        <f>IF(A153="","",N(INDEX(Projects[Act Mechanical Eng],152)))</f>
        <v/>
      </c>
      <c r="BO153" s="5">
        <f>IF(A153="","",N(INDEX(Projects[Act Structural Engineering],152)))</f>
        <v/>
      </c>
      <c r="BP153" s="5">
        <f>IF(A153="","",N(INDEX(Projects[Act Site Sup],152)))</f>
        <v/>
      </c>
      <c r="BQ153" s="5">
        <f>IF(A153="","",N(INDEX(Projects[Act Controls Commissioning],152)))</f>
        <v/>
      </c>
      <c r="BR153" s="5">
        <f>IF(A153="","",N(INDEX(Projects[Act Systems Commissioning],152)))</f>
        <v/>
      </c>
      <c r="BS153" s="5">
        <f>IF(A153="","",N(INDEX(Projects[Act Service Commissioning],152)))</f>
        <v/>
      </c>
      <c r="BT153" s="5">
        <f>IF(A153="","",N(INDEX(Projects[Act Controls Eng],152)))</f>
        <v/>
      </c>
      <c r="BU153" s="5">
        <f>IF(A153="","",N(INDEX(Projects[Act Controls Purchase],152)))</f>
        <v/>
      </c>
      <c r="BV153" s="5">
        <f>IF(A153="","",N(INDEX(Projects[Act Software Eng],152)))</f>
        <v/>
      </c>
      <c r="BW153" s="5">
        <f>IF(A153="","",N(INDEX(Projects[Act 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  <c r="CE153" s="5">
        <f>INDEX(Projects[Act Data Status],152)&amp;""</f>
        <v/>
      </c>
      <c r="CF153" s="5">
        <f>IF(A153="","",N(INDEX(Projects[Est Mech Inst],152)))</f>
        <v/>
      </c>
      <c r="CG153" s="5">
        <f>IF(A153="","",N(INDEX(Projects[Est Elec Inst],152)))</f>
        <v/>
      </c>
      <c r="CH153" s="5">
        <f>IF(A153="","",N(INDEX(Projects[Est Project Management],152)))</f>
        <v/>
      </c>
      <c r="CI153" s="5">
        <f>IF(A153="","",N(INDEX(Projects[Est Systems Eng],152)))</f>
        <v/>
      </c>
      <c r="CJ153" s="5">
        <f>IF(A153="","",N(INDEX(Projects[Est Mechanical Eng],152)))</f>
        <v/>
      </c>
      <c r="CK153" s="5">
        <f>IF(A153="","",N(INDEX(Projects[Est Structural Engineering],152)))</f>
        <v/>
      </c>
      <c r="CL153" s="5">
        <f>IF(A153="","",N(INDEX(Projects[Est Site Sup],152)))</f>
        <v/>
      </c>
      <c r="CM153" s="5">
        <f>IF(A153="","",N(INDEX(Projects[Est Controls Commissioning],152)))</f>
        <v/>
      </c>
      <c r="CN153" s="5">
        <f>IF(A153="","",N(INDEX(Projects[Est Systems Commissioning],152)))</f>
        <v/>
      </c>
      <c r="CO153" s="5">
        <f>IF(A153="","",N(INDEX(Projects[Est Service Commissioning],152)))</f>
        <v/>
      </c>
      <c r="CP153" s="5">
        <f>IF(A153="","",N(INDEX(Projects[Est Controls Eng],152)))</f>
        <v/>
      </c>
      <c r="CQ153" s="5">
        <f>IF(A153="","",N(INDEX(Projects[Est Controls Purchase],152)))</f>
        <v/>
      </c>
      <c r="CR153" s="5">
        <f>IF(A153="","",N(INDEX(Projects[Est Software Eng],152)))</f>
        <v/>
      </c>
      <c r="CS153" s="5">
        <f>IF(A153="","",N(INDEX(Projects[Est Misc],152)))</f>
        <v/>
      </c>
      <c r="CT153" s="5">
        <f>IF(A153="","",SUM(CF153:CS153))</f>
        <v/>
      </c>
      <c r="CU153" s="5">
        <f>INDEX(Projects[Est Cost (M)],152)</f>
        <v/>
      </c>
      <c r="CV153" s="5">
        <f>INDEX(Projects[Act Cost (M)],152)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IF(A154="","",N(INDEX(Projects[Act Mech Inst],153)))</f>
        <v/>
      </c>
      <c r="BK154" s="5">
        <f>IF(A154="","",N(INDEX(Projects[Act Elec Inst],153)))</f>
        <v/>
      </c>
      <c r="BL154" s="5">
        <f>IF(A154="","",N(INDEX(Projects[Act Project Management],153)))</f>
        <v/>
      </c>
      <c r="BM154" s="5">
        <f>IF(A154="","",N(INDEX(Projects[Act Systems Eng],153)))</f>
        <v/>
      </c>
      <c r="BN154" s="5">
        <f>IF(A154="","",N(INDEX(Projects[Act Mechanical Eng],153)))</f>
        <v/>
      </c>
      <c r="BO154" s="5">
        <f>IF(A154="","",N(INDEX(Projects[Act Structural Engineering],153)))</f>
        <v/>
      </c>
      <c r="BP154" s="5">
        <f>IF(A154="","",N(INDEX(Projects[Act Site Sup],153)))</f>
        <v/>
      </c>
      <c r="BQ154" s="5">
        <f>IF(A154="","",N(INDEX(Projects[Act Controls Commissioning],153)))</f>
        <v/>
      </c>
      <c r="BR154" s="5">
        <f>IF(A154="","",N(INDEX(Projects[Act Systems Commissioning],153)))</f>
        <v/>
      </c>
      <c r="BS154" s="5">
        <f>IF(A154="","",N(INDEX(Projects[Act Service Commissioning],153)))</f>
        <v/>
      </c>
      <c r="BT154" s="5">
        <f>IF(A154="","",N(INDEX(Projects[Act Controls Eng],153)))</f>
        <v/>
      </c>
      <c r="BU154" s="5">
        <f>IF(A154="","",N(INDEX(Projects[Act Controls Purchase],153)))</f>
        <v/>
      </c>
      <c r="BV154" s="5">
        <f>IF(A154="","",N(INDEX(Projects[Act Software Eng],153)))</f>
        <v/>
      </c>
      <c r="BW154" s="5">
        <f>IF(A154="","",N(INDEX(Projects[Act 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  <c r="CE154" s="5">
        <f>INDEX(Projects[Act Data Status],153)&amp;""</f>
        <v/>
      </c>
      <c r="CF154" s="5">
        <f>IF(A154="","",N(INDEX(Projects[Est Mech Inst],153)))</f>
        <v/>
      </c>
      <c r="CG154" s="5">
        <f>IF(A154="","",N(INDEX(Projects[Est Elec Inst],153)))</f>
        <v/>
      </c>
      <c r="CH154" s="5">
        <f>IF(A154="","",N(INDEX(Projects[Est Project Management],153)))</f>
        <v/>
      </c>
      <c r="CI154" s="5">
        <f>IF(A154="","",N(INDEX(Projects[Est Systems Eng],153)))</f>
        <v/>
      </c>
      <c r="CJ154" s="5">
        <f>IF(A154="","",N(INDEX(Projects[Est Mechanical Eng],153)))</f>
        <v/>
      </c>
      <c r="CK154" s="5">
        <f>IF(A154="","",N(INDEX(Projects[Est Structural Engineering],153)))</f>
        <v/>
      </c>
      <c r="CL154" s="5">
        <f>IF(A154="","",N(INDEX(Projects[Est Site Sup],153)))</f>
        <v/>
      </c>
      <c r="CM154" s="5">
        <f>IF(A154="","",N(INDEX(Projects[Est Controls Commissioning],153)))</f>
        <v/>
      </c>
      <c r="CN154" s="5">
        <f>IF(A154="","",N(INDEX(Projects[Est Systems Commissioning],153)))</f>
        <v/>
      </c>
      <c r="CO154" s="5">
        <f>IF(A154="","",N(INDEX(Projects[Est Service Commissioning],153)))</f>
        <v/>
      </c>
      <c r="CP154" s="5">
        <f>IF(A154="","",N(INDEX(Projects[Est Controls Eng],153)))</f>
        <v/>
      </c>
      <c r="CQ154" s="5">
        <f>IF(A154="","",N(INDEX(Projects[Est Controls Purchase],153)))</f>
        <v/>
      </c>
      <c r="CR154" s="5">
        <f>IF(A154="","",N(INDEX(Projects[Est Software Eng],153)))</f>
        <v/>
      </c>
      <c r="CS154" s="5">
        <f>IF(A154="","",N(INDEX(Projects[Est Misc],153)))</f>
        <v/>
      </c>
      <c r="CT154" s="5">
        <f>IF(A154="","",SUM(CF154:CS154))</f>
        <v/>
      </c>
      <c r="CU154" s="5">
        <f>INDEX(Projects[Est Cost (M)],153)</f>
        <v/>
      </c>
      <c r="CV154" s="5">
        <f>INDEX(Projects[Act Cost (M)],153)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IF(A155="","",N(INDEX(Projects[Act Mech Inst],154)))</f>
        <v/>
      </c>
      <c r="BK155" s="5">
        <f>IF(A155="","",N(INDEX(Projects[Act Elec Inst],154)))</f>
        <v/>
      </c>
      <c r="BL155" s="5">
        <f>IF(A155="","",N(INDEX(Projects[Act Project Management],154)))</f>
        <v/>
      </c>
      <c r="BM155" s="5">
        <f>IF(A155="","",N(INDEX(Projects[Act Systems Eng],154)))</f>
        <v/>
      </c>
      <c r="BN155" s="5">
        <f>IF(A155="","",N(INDEX(Projects[Act Mechanical Eng],154)))</f>
        <v/>
      </c>
      <c r="BO155" s="5">
        <f>IF(A155="","",N(INDEX(Projects[Act Structural Engineering],154)))</f>
        <v/>
      </c>
      <c r="BP155" s="5">
        <f>IF(A155="","",N(INDEX(Projects[Act Site Sup],154)))</f>
        <v/>
      </c>
      <c r="BQ155" s="5">
        <f>IF(A155="","",N(INDEX(Projects[Act Controls Commissioning],154)))</f>
        <v/>
      </c>
      <c r="BR155" s="5">
        <f>IF(A155="","",N(INDEX(Projects[Act Systems Commissioning],154)))</f>
        <v/>
      </c>
      <c r="BS155" s="5">
        <f>IF(A155="","",N(INDEX(Projects[Act Service Commissioning],154)))</f>
        <v/>
      </c>
      <c r="BT155" s="5">
        <f>IF(A155="","",N(INDEX(Projects[Act Controls Eng],154)))</f>
        <v/>
      </c>
      <c r="BU155" s="5">
        <f>IF(A155="","",N(INDEX(Projects[Act Controls Purchase],154)))</f>
        <v/>
      </c>
      <c r="BV155" s="5">
        <f>IF(A155="","",N(INDEX(Projects[Act Software Eng],154)))</f>
        <v/>
      </c>
      <c r="BW155" s="5">
        <f>IF(A155="","",N(INDEX(Projects[Act 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  <c r="CE155" s="5">
        <f>INDEX(Projects[Act Data Status],154)&amp;""</f>
        <v/>
      </c>
      <c r="CF155" s="5">
        <f>IF(A155="","",N(INDEX(Projects[Est Mech Inst],154)))</f>
        <v/>
      </c>
      <c r="CG155" s="5">
        <f>IF(A155="","",N(INDEX(Projects[Est Elec Inst],154)))</f>
        <v/>
      </c>
      <c r="CH155" s="5">
        <f>IF(A155="","",N(INDEX(Projects[Est Project Management],154)))</f>
        <v/>
      </c>
      <c r="CI155" s="5">
        <f>IF(A155="","",N(INDEX(Projects[Est Systems Eng],154)))</f>
        <v/>
      </c>
      <c r="CJ155" s="5">
        <f>IF(A155="","",N(INDEX(Projects[Est Mechanical Eng],154)))</f>
        <v/>
      </c>
      <c r="CK155" s="5">
        <f>IF(A155="","",N(INDEX(Projects[Est Structural Engineering],154)))</f>
        <v/>
      </c>
      <c r="CL155" s="5">
        <f>IF(A155="","",N(INDEX(Projects[Est Site Sup],154)))</f>
        <v/>
      </c>
      <c r="CM155" s="5">
        <f>IF(A155="","",N(INDEX(Projects[Est Controls Commissioning],154)))</f>
        <v/>
      </c>
      <c r="CN155" s="5">
        <f>IF(A155="","",N(INDEX(Projects[Est Systems Commissioning],154)))</f>
        <v/>
      </c>
      <c r="CO155" s="5">
        <f>IF(A155="","",N(INDEX(Projects[Est Service Commissioning],154)))</f>
        <v/>
      </c>
      <c r="CP155" s="5">
        <f>IF(A155="","",N(INDEX(Projects[Est Controls Eng],154)))</f>
        <v/>
      </c>
      <c r="CQ155" s="5">
        <f>IF(A155="","",N(INDEX(Projects[Est Controls Purchase],154)))</f>
        <v/>
      </c>
      <c r="CR155" s="5">
        <f>IF(A155="","",N(INDEX(Projects[Est Software Eng],154)))</f>
        <v/>
      </c>
      <c r="CS155" s="5">
        <f>IF(A155="","",N(INDEX(Projects[Est Misc],154)))</f>
        <v/>
      </c>
      <c r="CT155" s="5">
        <f>IF(A155="","",SUM(CF155:CS155))</f>
        <v/>
      </c>
      <c r="CU155" s="5">
        <f>INDEX(Projects[Est Cost (M)],154)</f>
        <v/>
      </c>
      <c r="CV155" s="5">
        <f>INDEX(Projects[Act Cost (M)],154)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IF(A156="","",N(INDEX(Projects[Act Mech Inst],155)))</f>
        <v/>
      </c>
      <c r="BK156" s="5">
        <f>IF(A156="","",N(INDEX(Projects[Act Elec Inst],155)))</f>
        <v/>
      </c>
      <c r="BL156" s="5">
        <f>IF(A156="","",N(INDEX(Projects[Act Project Management],155)))</f>
        <v/>
      </c>
      <c r="BM156" s="5">
        <f>IF(A156="","",N(INDEX(Projects[Act Systems Eng],155)))</f>
        <v/>
      </c>
      <c r="BN156" s="5">
        <f>IF(A156="","",N(INDEX(Projects[Act Mechanical Eng],155)))</f>
        <v/>
      </c>
      <c r="BO156" s="5">
        <f>IF(A156="","",N(INDEX(Projects[Act Structural Engineering],155)))</f>
        <v/>
      </c>
      <c r="BP156" s="5">
        <f>IF(A156="","",N(INDEX(Projects[Act Site Sup],155)))</f>
        <v/>
      </c>
      <c r="BQ156" s="5">
        <f>IF(A156="","",N(INDEX(Projects[Act Controls Commissioning],155)))</f>
        <v/>
      </c>
      <c r="BR156" s="5">
        <f>IF(A156="","",N(INDEX(Projects[Act Systems Commissioning],155)))</f>
        <v/>
      </c>
      <c r="BS156" s="5">
        <f>IF(A156="","",N(INDEX(Projects[Act Service Commissioning],155)))</f>
        <v/>
      </c>
      <c r="BT156" s="5">
        <f>IF(A156="","",N(INDEX(Projects[Act Controls Eng],155)))</f>
        <v/>
      </c>
      <c r="BU156" s="5">
        <f>IF(A156="","",N(INDEX(Projects[Act Controls Purchase],155)))</f>
        <v/>
      </c>
      <c r="BV156" s="5">
        <f>IF(A156="","",N(INDEX(Projects[Act Software Eng],155)))</f>
        <v/>
      </c>
      <c r="BW156" s="5">
        <f>IF(A156="","",N(INDEX(Projects[Act 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  <c r="CE156" s="5">
        <f>INDEX(Projects[Act Data Status],155)&amp;""</f>
        <v/>
      </c>
      <c r="CF156" s="5">
        <f>IF(A156="","",N(INDEX(Projects[Est Mech Inst],155)))</f>
        <v/>
      </c>
      <c r="CG156" s="5">
        <f>IF(A156="","",N(INDEX(Projects[Est Elec Inst],155)))</f>
        <v/>
      </c>
      <c r="CH156" s="5">
        <f>IF(A156="","",N(INDEX(Projects[Est Project Management],155)))</f>
        <v/>
      </c>
      <c r="CI156" s="5">
        <f>IF(A156="","",N(INDEX(Projects[Est Systems Eng],155)))</f>
        <v/>
      </c>
      <c r="CJ156" s="5">
        <f>IF(A156="","",N(INDEX(Projects[Est Mechanical Eng],155)))</f>
        <v/>
      </c>
      <c r="CK156" s="5">
        <f>IF(A156="","",N(INDEX(Projects[Est Structural Engineering],155)))</f>
        <v/>
      </c>
      <c r="CL156" s="5">
        <f>IF(A156="","",N(INDEX(Projects[Est Site Sup],155)))</f>
        <v/>
      </c>
      <c r="CM156" s="5">
        <f>IF(A156="","",N(INDEX(Projects[Est Controls Commissioning],155)))</f>
        <v/>
      </c>
      <c r="CN156" s="5">
        <f>IF(A156="","",N(INDEX(Projects[Est Systems Commissioning],155)))</f>
        <v/>
      </c>
      <c r="CO156" s="5">
        <f>IF(A156="","",N(INDEX(Projects[Est Service Commissioning],155)))</f>
        <v/>
      </c>
      <c r="CP156" s="5">
        <f>IF(A156="","",N(INDEX(Projects[Est Controls Eng],155)))</f>
        <v/>
      </c>
      <c r="CQ156" s="5">
        <f>IF(A156="","",N(INDEX(Projects[Est Controls Purchase],155)))</f>
        <v/>
      </c>
      <c r="CR156" s="5">
        <f>IF(A156="","",N(INDEX(Projects[Est Software Eng],155)))</f>
        <v/>
      </c>
      <c r="CS156" s="5">
        <f>IF(A156="","",N(INDEX(Projects[Est Misc],155)))</f>
        <v/>
      </c>
      <c r="CT156" s="5">
        <f>IF(A156="","",SUM(CF156:CS156))</f>
        <v/>
      </c>
      <c r="CU156" s="5">
        <f>INDEX(Projects[Est Cost (M)],155)</f>
        <v/>
      </c>
      <c r="CV156" s="5">
        <f>INDEX(Projects[Act Cost (M)],155)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IF(A157="","",N(INDEX(Projects[Act Mech Inst],156)))</f>
        <v/>
      </c>
      <c r="BK157" s="5">
        <f>IF(A157="","",N(INDEX(Projects[Act Elec Inst],156)))</f>
        <v/>
      </c>
      <c r="BL157" s="5">
        <f>IF(A157="","",N(INDEX(Projects[Act Project Management],156)))</f>
        <v/>
      </c>
      <c r="BM157" s="5">
        <f>IF(A157="","",N(INDEX(Projects[Act Systems Eng],156)))</f>
        <v/>
      </c>
      <c r="BN157" s="5">
        <f>IF(A157="","",N(INDEX(Projects[Act Mechanical Eng],156)))</f>
        <v/>
      </c>
      <c r="BO157" s="5">
        <f>IF(A157="","",N(INDEX(Projects[Act Structural Engineering],156)))</f>
        <v/>
      </c>
      <c r="BP157" s="5">
        <f>IF(A157="","",N(INDEX(Projects[Act Site Sup],156)))</f>
        <v/>
      </c>
      <c r="BQ157" s="5">
        <f>IF(A157="","",N(INDEX(Projects[Act Controls Commissioning],156)))</f>
        <v/>
      </c>
      <c r="BR157" s="5">
        <f>IF(A157="","",N(INDEX(Projects[Act Systems Commissioning],156)))</f>
        <v/>
      </c>
      <c r="BS157" s="5">
        <f>IF(A157="","",N(INDEX(Projects[Act Service Commissioning],156)))</f>
        <v/>
      </c>
      <c r="BT157" s="5">
        <f>IF(A157="","",N(INDEX(Projects[Act Controls Eng],156)))</f>
        <v/>
      </c>
      <c r="BU157" s="5">
        <f>IF(A157="","",N(INDEX(Projects[Act Controls Purchase],156)))</f>
        <v/>
      </c>
      <c r="BV157" s="5">
        <f>IF(A157="","",N(INDEX(Projects[Act Software Eng],156)))</f>
        <v/>
      </c>
      <c r="BW157" s="5">
        <f>IF(A157="","",N(INDEX(Projects[Act 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  <c r="CE157" s="5">
        <f>INDEX(Projects[Act Data Status],156)&amp;""</f>
        <v/>
      </c>
      <c r="CF157" s="5">
        <f>IF(A157="","",N(INDEX(Projects[Est Mech Inst],156)))</f>
        <v/>
      </c>
      <c r="CG157" s="5">
        <f>IF(A157="","",N(INDEX(Projects[Est Elec Inst],156)))</f>
        <v/>
      </c>
      <c r="CH157" s="5">
        <f>IF(A157="","",N(INDEX(Projects[Est Project Management],156)))</f>
        <v/>
      </c>
      <c r="CI157" s="5">
        <f>IF(A157="","",N(INDEX(Projects[Est Systems Eng],156)))</f>
        <v/>
      </c>
      <c r="CJ157" s="5">
        <f>IF(A157="","",N(INDEX(Projects[Est Mechanical Eng],156)))</f>
        <v/>
      </c>
      <c r="CK157" s="5">
        <f>IF(A157="","",N(INDEX(Projects[Est Structural Engineering],156)))</f>
        <v/>
      </c>
      <c r="CL157" s="5">
        <f>IF(A157="","",N(INDEX(Projects[Est Site Sup],156)))</f>
        <v/>
      </c>
      <c r="CM157" s="5">
        <f>IF(A157="","",N(INDEX(Projects[Est Controls Commissioning],156)))</f>
        <v/>
      </c>
      <c r="CN157" s="5">
        <f>IF(A157="","",N(INDEX(Projects[Est Systems Commissioning],156)))</f>
        <v/>
      </c>
      <c r="CO157" s="5">
        <f>IF(A157="","",N(INDEX(Projects[Est Service Commissioning],156)))</f>
        <v/>
      </c>
      <c r="CP157" s="5">
        <f>IF(A157="","",N(INDEX(Projects[Est Controls Eng],156)))</f>
        <v/>
      </c>
      <c r="CQ157" s="5">
        <f>IF(A157="","",N(INDEX(Projects[Est Controls Purchase],156)))</f>
        <v/>
      </c>
      <c r="CR157" s="5">
        <f>IF(A157="","",N(INDEX(Projects[Est Software Eng],156)))</f>
        <v/>
      </c>
      <c r="CS157" s="5">
        <f>IF(A157="","",N(INDEX(Projects[Est Misc],156)))</f>
        <v/>
      </c>
      <c r="CT157" s="5">
        <f>IF(A157="","",SUM(CF157:CS157))</f>
        <v/>
      </c>
      <c r="CU157" s="5">
        <f>INDEX(Projects[Est Cost (M)],156)</f>
        <v/>
      </c>
      <c r="CV157" s="5">
        <f>INDEX(Projects[Act Cost (M)],156)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IF(A158="","",N(INDEX(Projects[Act Mech Inst],157)))</f>
        <v/>
      </c>
      <c r="BK158" s="5">
        <f>IF(A158="","",N(INDEX(Projects[Act Elec Inst],157)))</f>
        <v/>
      </c>
      <c r="BL158" s="5">
        <f>IF(A158="","",N(INDEX(Projects[Act Project Management],157)))</f>
        <v/>
      </c>
      <c r="BM158" s="5">
        <f>IF(A158="","",N(INDEX(Projects[Act Systems Eng],157)))</f>
        <v/>
      </c>
      <c r="BN158" s="5">
        <f>IF(A158="","",N(INDEX(Projects[Act Mechanical Eng],157)))</f>
        <v/>
      </c>
      <c r="BO158" s="5">
        <f>IF(A158="","",N(INDEX(Projects[Act Structural Engineering],157)))</f>
        <v/>
      </c>
      <c r="BP158" s="5">
        <f>IF(A158="","",N(INDEX(Projects[Act Site Sup],157)))</f>
        <v/>
      </c>
      <c r="BQ158" s="5">
        <f>IF(A158="","",N(INDEX(Projects[Act Controls Commissioning],157)))</f>
        <v/>
      </c>
      <c r="BR158" s="5">
        <f>IF(A158="","",N(INDEX(Projects[Act Systems Commissioning],157)))</f>
        <v/>
      </c>
      <c r="BS158" s="5">
        <f>IF(A158="","",N(INDEX(Projects[Act Service Commissioning],157)))</f>
        <v/>
      </c>
      <c r="BT158" s="5">
        <f>IF(A158="","",N(INDEX(Projects[Act Controls Eng],157)))</f>
        <v/>
      </c>
      <c r="BU158" s="5">
        <f>IF(A158="","",N(INDEX(Projects[Act Controls Purchase],157)))</f>
        <v/>
      </c>
      <c r="BV158" s="5">
        <f>IF(A158="","",N(INDEX(Projects[Act Software Eng],157)))</f>
        <v/>
      </c>
      <c r="BW158" s="5">
        <f>IF(A158="","",N(INDEX(Projects[Act 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  <c r="CE158" s="5">
        <f>INDEX(Projects[Act Data Status],157)&amp;""</f>
        <v/>
      </c>
      <c r="CF158" s="5">
        <f>IF(A158="","",N(INDEX(Projects[Est Mech Inst],157)))</f>
        <v/>
      </c>
      <c r="CG158" s="5">
        <f>IF(A158="","",N(INDEX(Projects[Est Elec Inst],157)))</f>
        <v/>
      </c>
      <c r="CH158" s="5">
        <f>IF(A158="","",N(INDEX(Projects[Est Project Management],157)))</f>
        <v/>
      </c>
      <c r="CI158" s="5">
        <f>IF(A158="","",N(INDEX(Projects[Est Systems Eng],157)))</f>
        <v/>
      </c>
      <c r="CJ158" s="5">
        <f>IF(A158="","",N(INDEX(Projects[Est Mechanical Eng],157)))</f>
        <v/>
      </c>
      <c r="CK158" s="5">
        <f>IF(A158="","",N(INDEX(Projects[Est Structural Engineering],157)))</f>
        <v/>
      </c>
      <c r="CL158" s="5">
        <f>IF(A158="","",N(INDEX(Projects[Est Site Sup],157)))</f>
        <v/>
      </c>
      <c r="CM158" s="5">
        <f>IF(A158="","",N(INDEX(Projects[Est Controls Commissioning],157)))</f>
        <v/>
      </c>
      <c r="CN158" s="5">
        <f>IF(A158="","",N(INDEX(Projects[Est Systems Commissioning],157)))</f>
        <v/>
      </c>
      <c r="CO158" s="5">
        <f>IF(A158="","",N(INDEX(Projects[Est Service Commissioning],157)))</f>
        <v/>
      </c>
      <c r="CP158" s="5">
        <f>IF(A158="","",N(INDEX(Projects[Est Controls Eng],157)))</f>
        <v/>
      </c>
      <c r="CQ158" s="5">
        <f>IF(A158="","",N(INDEX(Projects[Est Controls Purchase],157)))</f>
        <v/>
      </c>
      <c r="CR158" s="5">
        <f>IF(A158="","",N(INDEX(Projects[Est Software Eng],157)))</f>
        <v/>
      </c>
      <c r="CS158" s="5">
        <f>IF(A158="","",N(INDEX(Projects[Est Misc],157)))</f>
        <v/>
      </c>
      <c r="CT158" s="5">
        <f>IF(A158="","",SUM(CF158:CS158))</f>
        <v/>
      </c>
      <c r="CU158" s="5">
        <f>INDEX(Projects[Est Cost (M)],157)</f>
        <v/>
      </c>
      <c r="CV158" s="5">
        <f>INDEX(Projects[Act Cost (M)],157)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IF(A159="","",N(INDEX(Projects[Act Mech Inst],158)))</f>
        <v/>
      </c>
      <c r="BK159" s="5">
        <f>IF(A159="","",N(INDEX(Projects[Act Elec Inst],158)))</f>
        <v/>
      </c>
      <c r="BL159" s="5">
        <f>IF(A159="","",N(INDEX(Projects[Act Project Management],158)))</f>
        <v/>
      </c>
      <c r="BM159" s="5">
        <f>IF(A159="","",N(INDEX(Projects[Act Systems Eng],158)))</f>
        <v/>
      </c>
      <c r="BN159" s="5">
        <f>IF(A159="","",N(INDEX(Projects[Act Mechanical Eng],158)))</f>
        <v/>
      </c>
      <c r="BO159" s="5">
        <f>IF(A159="","",N(INDEX(Projects[Act Structural Engineering],158)))</f>
        <v/>
      </c>
      <c r="BP159" s="5">
        <f>IF(A159="","",N(INDEX(Projects[Act Site Sup],158)))</f>
        <v/>
      </c>
      <c r="BQ159" s="5">
        <f>IF(A159="","",N(INDEX(Projects[Act Controls Commissioning],158)))</f>
        <v/>
      </c>
      <c r="BR159" s="5">
        <f>IF(A159="","",N(INDEX(Projects[Act Systems Commissioning],158)))</f>
        <v/>
      </c>
      <c r="BS159" s="5">
        <f>IF(A159="","",N(INDEX(Projects[Act Service Commissioning],158)))</f>
        <v/>
      </c>
      <c r="BT159" s="5">
        <f>IF(A159="","",N(INDEX(Projects[Act Controls Eng],158)))</f>
        <v/>
      </c>
      <c r="BU159" s="5">
        <f>IF(A159="","",N(INDEX(Projects[Act Controls Purchase],158)))</f>
        <v/>
      </c>
      <c r="BV159" s="5">
        <f>IF(A159="","",N(INDEX(Projects[Act Software Eng],158)))</f>
        <v/>
      </c>
      <c r="BW159" s="5">
        <f>IF(A159="","",N(INDEX(Projects[Act 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  <c r="CE159" s="5">
        <f>INDEX(Projects[Act Data Status],158)&amp;""</f>
        <v/>
      </c>
      <c r="CF159" s="5">
        <f>IF(A159="","",N(INDEX(Projects[Est Mech Inst],158)))</f>
        <v/>
      </c>
      <c r="CG159" s="5">
        <f>IF(A159="","",N(INDEX(Projects[Est Elec Inst],158)))</f>
        <v/>
      </c>
      <c r="CH159" s="5">
        <f>IF(A159="","",N(INDEX(Projects[Est Project Management],158)))</f>
        <v/>
      </c>
      <c r="CI159" s="5">
        <f>IF(A159="","",N(INDEX(Projects[Est Systems Eng],158)))</f>
        <v/>
      </c>
      <c r="CJ159" s="5">
        <f>IF(A159="","",N(INDEX(Projects[Est Mechanical Eng],158)))</f>
        <v/>
      </c>
      <c r="CK159" s="5">
        <f>IF(A159="","",N(INDEX(Projects[Est Structural Engineering],158)))</f>
        <v/>
      </c>
      <c r="CL159" s="5">
        <f>IF(A159="","",N(INDEX(Projects[Est Site Sup],158)))</f>
        <v/>
      </c>
      <c r="CM159" s="5">
        <f>IF(A159="","",N(INDEX(Projects[Est Controls Commissioning],158)))</f>
        <v/>
      </c>
      <c r="CN159" s="5">
        <f>IF(A159="","",N(INDEX(Projects[Est Systems Commissioning],158)))</f>
        <v/>
      </c>
      <c r="CO159" s="5">
        <f>IF(A159="","",N(INDEX(Projects[Est Service Commissioning],158)))</f>
        <v/>
      </c>
      <c r="CP159" s="5">
        <f>IF(A159="","",N(INDEX(Projects[Est Controls Eng],158)))</f>
        <v/>
      </c>
      <c r="CQ159" s="5">
        <f>IF(A159="","",N(INDEX(Projects[Est Controls Purchase],158)))</f>
        <v/>
      </c>
      <c r="CR159" s="5">
        <f>IF(A159="","",N(INDEX(Projects[Est Software Eng],158)))</f>
        <v/>
      </c>
      <c r="CS159" s="5">
        <f>IF(A159="","",N(INDEX(Projects[Est Misc],158)))</f>
        <v/>
      </c>
      <c r="CT159" s="5">
        <f>IF(A159="","",SUM(CF159:CS159))</f>
        <v/>
      </c>
      <c r="CU159" s="5">
        <f>INDEX(Projects[Est Cost (M)],158)</f>
        <v/>
      </c>
      <c r="CV159" s="5">
        <f>INDEX(Projects[Act Cost (M)],158)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IF(A160="","",N(INDEX(Projects[Act Mech Inst],159)))</f>
        <v/>
      </c>
      <c r="BK160" s="5">
        <f>IF(A160="","",N(INDEX(Projects[Act Elec Inst],159)))</f>
        <v/>
      </c>
      <c r="BL160" s="5">
        <f>IF(A160="","",N(INDEX(Projects[Act Project Management],159)))</f>
        <v/>
      </c>
      <c r="BM160" s="5">
        <f>IF(A160="","",N(INDEX(Projects[Act Systems Eng],159)))</f>
        <v/>
      </c>
      <c r="BN160" s="5">
        <f>IF(A160="","",N(INDEX(Projects[Act Mechanical Eng],159)))</f>
        <v/>
      </c>
      <c r="BO160" s="5">
        <f>IF(A160="","",N(INDEX(Projects[Act Structural Engineering],159)))</f>
        <v/>
      </c>
      <c r="BP160" s="5">
        <f>IF(A160="","",N(INDEX(Projects[Act Site Sup],159)))</f>
        <v/>
      </c>
      <c r="BQ160" s="5">
        <f>IF(A160="","",N(INDEX(Projects[Act Controls Commissioning],159)))</f>
        <v/>
      </c>
      <c r="BR160" s="5">
        <f>IF(A160="","",N(INDEX(Projects[Act Systems Commissioning],159)))</f>
        <v/>
      </c>
      <c r="BS160" s="5">
        <f>IF(A160="","",N(INDEX(Projects[Act Service Commissioning],159)))</f>
        <v/>
      </c>
      <c r="BT160" s="5">
        <f>IF(A160="","",N(INDEX(Projects[Act Controls Eng],159)))</f>
        <v/>
      </c>
      <c r="BU160" s="5">
        <f>IF(A160="","",N(INDEX(Projects[Act Controls Purchase],159)))</f>
        <v/>
      </c>
      <c r="BV160" s="5">
        <f>IF(A160="","",N(INDEX(Projects[Act Software Eng],159)))</f>
        <v/>
      </c>
      <c r="BW160" s="5">
        <f>IF(A160="","",N(INDEX(Projects[Act 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  <c r="CE160" s="5">
        <f>INDEX(Projects[Act Data Status],159)&amp;""</f>
        <v/>
      </c>
      <c r="CF160" s="5">
        <f>IF(A160="","",N(INDEX(Projects[Est Mech Inst],159)))</f>
        <v/>
      </c>
      <c r="CG160" s="5">
        <f>IF(A160="","",N(INDEX(Projects[Est Elec Inst],159)))</f>
        <v/>
      </c>
      <c r="CH160" s="5">
        <f>IF(A160="","",N(INDEX(Projects[Est Project Management],159)))</f>
        <v/>
      </c>
      <c r="CI160" s="5">
        <f>IF(A160="","",N(INDEX(Projects[Est Systems Eng],159)))</f>
        <v/>
      </c>
      <c r="CJ160" s="5">
        <f>IF(A160="","",N(INDEX(Projects[Est Mechanical Eng],159)))</f>
        <v/>
      </c>
      <c r="CK160" s="5">
        <f>IF(A160="","",N(INDEX(Projects[Est Structural Engineering],159)))</f>
        <v/>
      </c>
      <c r="CL160" s="5">
        <f>IF(A160="","",N(INDEX(Projects[Est Site Sup],159)))</f>
        <v/>
      </c>
      <c r="CM160" s="5">
        <f>IF(A160="","",N(INDEX(Projects[Est Controls Commissioning],159)))</f>
        <v/>
      </c>
      <c r="CN160" s="5">
        <f>IF(A160="","",N(INDEX(Projects[Est Systems Commissioning],159)))</f>
        <v/>
      </c>
      <c r="CO160" s="5">
        <f>IF(A160="","",N(INDEX(Projects[Est Service Commissioning],159)))</f>
        <v/>
      </c>
      <c r="CP160" s="5">
        <f>IF(A160="","",N(INDEX(Projects[Est Controls Eng],159)))</f>
        <v/>
      </c>
      <c r="CQ160" s="5">
        <f>IF(A160="","",N(INDEX(Projects[Est Controls Purchase],159)))</f>
        <v/>
      </c>
      <c r="CR160" s="5">
        <f>IF(A160="","",N(INDEX(Projects[Est Software Eng],159)))</f>
        <v/>
      </c>
      <c r="CS160" s="5">
        <f>IF(A160="","",N(INDEX(Projects[Est Misc],159)))</f>
        <v/>
      </c>
      <c r="CT160" s="5">
        <f>IF(A160="","",SUM(CF160:CS160))</f>
        <v/>
      </c>
      <c r="CU160" s="5">
        <f>INDEX(Projects[Est Cost (M)],159)</f>
        <v/>
      </c>
      <c r="CV160" s="5">
        <f>INDEX(Projects[Act Cost (M)],159)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IF(A161="","",N(INDEX(Projects[Act Mech Inst],160)))</f>
        <v/>
      </c>
      <c r="BK161" s="5">
        <f>IF(A161="","",N(INDEX(Projects[Act Elec Inst],160)))</f>
        <v/>
      </c>
      <c r="BL161" s="5">
        <f>IF(A161="","",N(INDEX(Projects[Act Project Management],160)))</f>
        <v/>
      </c>
      <c r="BM161" s="5">
        <f>IF(A161="","",N(INDEX(Projects[Act Systems Eng],160)))</f>
        <v/>
      </c>
      <c r="BN161" s="5">
        <f>IF(A161="","",N(INDEX(Projects[Act Mechanical Eng],160)))</f>
        <v/>
      </c>
      <c r="BO161" s="5">
        <f>IF(A161="","",N(INDEX(Projects[Act Structural Engineering],160)))</f>
        <v/>
      </c>
      <c r="BP161" s="5">
        <f>IF(A161="","",N(INDEX(Projects[Act Site Sup],160)))</f>
        <v/>
      </c>
      <c r="BQ161" s="5">
        <f>IF(A161="","",N(INDEX(Projects[Act Controls Commissioning],160)))</f>
        <v/>
      </c>
      <c r="BR161" s="5">
        <f>IF(A161="","",N(INDEX(Projects[Act Systems Commissioning],160)))</f>
        <v/>
      </c>
      <c r="BS161" s="5">
        <f>IF(A161="","",N(INDEX(Projects[Act Service Commissioning],160)))</f>
        <v/>
      </c>
      <c r="BT161" s="5">
        <f>IF(A161="","",N(INDEX(Projects[Act Controls Eng],160)))</f>
        <v/>
      </c>
      <c r="BU161" s="5">
        <f>IF(A161="","",N(INDEX(Projects[Act Controls Purchase],160)))</f>
        <v/>
      </c>
      <c r="BV161" s="5">
        <f>IF(A161="","",N(INDEX(Projects[Act Software Eng],160)))</f>
        <v/>
      </c>
      <c r="BW161" s="5">
        <f>IF(A161="","",N(INDEX(Projects[Act 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  <c r="CE161" s="5">
        <f>INDEX(Projects[Act Data Status],160)&amp;""</f>
        <v/>
      </c>
      <c r="CF161" s="5">
        <f>IF(A161="","",N(INDEX(Projects[Est Mech Inst],160)))</f>
        <v/>
      </c>
      <c r="CG161" s="5">
        <f>IF(A161="","",N(INDEX(Projects[Est Elec Inst],160)))</f>
        <v/>
      </c>
      <c r="CH161" s="5">
        <f>IF(A161="","",N(INDEX(Projects[Est Project Management],160)))</f>
        <v/>
      </c>
      <c r="CI161" s="5">
        <f>IF(A161="","",N(INDEX(Projects[Est Systems Eng],160)))</f>
        <v/>
      </c>
      <c r="CJ161" s="5">
        <f>IF(A161="","",N(INDEX(Projects[Est Mechanical Eng],160)))</f>
        <v/>
      </c>
      <c r="CK161" s="5">
        <f>IF(A161="","",N(INDEX(Projects[Est Structural Engineering],160)))</f>
        <v/>
      </c>
      <c r="CL161" s="5">
        <f>IF(A161="","",N(INDEX(Projects[Est Site Sup],160)))</f>
        <v/>
      </c>
      <c r="CM161" s="5">
        <f>IF(A161="","",N(INDEX(Projects[Est Controls Commissioning],160)))</f>
        <v/>
      </c>
      <c r="CN161" s="5">
        <f>IF(A161="","",N(INDEX(Projects[Est Systems Commissioning],160)))</f>
        <v/>
      </c>
      <c r="CO161" s="5">
        <f>IF(A161="","",N(INDEX(Projects[Est Service Commissioning],160)))</f>
        <v/>
      </c>
      <c r="CP161" s="5">
        <f>IF(A161="","",N(INDEX(Projects[Est Controls Eng],160)))</f>
        <v/>
      </c>
      <c r="CQ161" s="5">
        <f>IF(A161="","",N(INDEX(Projects[Est Controls Purchase],160)))</f>
        <v/>
      </c>
      <c r="CR161" s="5">
        <f>IF(A161="","",N(INDEX(Projects[Est Software Eng],160)))</f>
        <v/>
      </c>
      <c r="CS161" s="5">
        <f>IF(A161="","",N(INDEX(Projects[Est Misc],160)))</f>
        <v/>
      </c>
      <c r="CT161" s="5">
        <f>IF(A161="","",SUM(CF161:CS161))</f>
        <v/>
      </c>
      <c r="CU161" s="5">
        <f>INDEX(Projects[Est Cost (M)],160)</f>
        <v/>
      </c>
      <c r="CV161" s="5">
        <f>INDEX(Projects[Act Cost (M)],160)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IF(A162="","",N(INDEX(Projects[Act Mech Inst],161)))</f>
        <v/>
      </c>
      <c r="BK162" s="5">
        <f>IF(A162="","",N(INDEX(Projects[Act Elec Inst],161)))</f>
        <v/>
      </c>
      <c r="BL162" s="5">
        <f>IF(A162="","",N(INDEX(Projects[Act Project Management],161)))</f>
        <v/>
      </c>
      <c r="BM162" s="5">
        <f>IF(A162="","",N(INDEX(Projects[Act Systems Eng],161)))</f>
        <v/>
      </c>
      <c r="BN162" s="5">
        <f>IF(A162="","",N(INDEX(Projects[Act Mechanical Eng],161)))</f>
        <v/>
      </c>
      <c r="BO162" s="5">
        <f>IF(A162="","",N(INDEX(Projects[Act Structural Engineering],161)))</f>
        <v/>
      </c>
      <c r="BP162" s="5">
        <f>IF(A162="","",N(INDEX(Projects[Act Site Sup],161)))</f>
        <v/>
      </c>
      <c r="BQ162" s="5">
        <f>IF(A162="","",N(INDEX(Projects[Act Controls Commissioning],161)))</f>
        <v/>
      </c>
      <c r="BR162" s="5">
        <f>IF(A162="","",N(INDEX(Projects[Act Systems Commissioning],161)))</f>
        <v/>
      </c>
      <c r="BS162" s="5">
        <f>IF(A162="","",N(INDEX(Projects[Act Service Commissioning],161)))</f>
        <v/>
      </c>
      <c r="BT162" s="5">
        <f>IF(A162="","",N(INDEX(Projects[Act Controls Eng],161)))</f>
        <v/>
      </c>
      <c r="BU162" s="5">
        <f>IF(A162="","",N(INDEX(Projects[Act Controls Purchase],161)))</f>
        <v/>
      </c>
      <c r="BV162" s="5">
        <f>IF(A162="","",N(INDEX(Projects[Act Software Eng],161)))</f>
        <v/>
      </c>
      <c r="BW162" s="5">
        <f>IF(A162="","",N(INDEX(Projects[Act 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  <c r="CE162" s="5">
        <f>INDEX(Projects[Act Data Status],161)&amp;""</f>
        <v/>
      </c>
      <c r="CF162" s="5">
        <f>IF(A162="","",N(INDEX(Projects[Est Mech Inst],161)))</f>
        <v/>
      </c>
      <c r="CG162" s="5">
        <f>IF(A162="","",N(INDEX(Projects[Est Elec Inst],161)))</f>
        <v/>
      </c>
      <c r="CH162" s="5">
        <f>IF(A162="","",N(INDEX(Projects[Est Project Management],161)))</f>
        <v/>
      </c>
      <c r="CI162" s="5">
        <f>IF(A162="","",N(INDEX(Projects[Est Systems Eng],161)))</f>
        <v/>
      </c>
      <c r="CJ162" s="5">
        <f>IF(A162="","",N(INDEX(Projects[Est Mechanical Eng],161)))</f>
        <v/>
      </c>
      <c r="CK162" s="5">
        <f>IF(A162="","",N(INDEX(Projects[Est Structural Engineering],161)))</f>
        <v/>
      </c>
      <c r="CL162" s="5">
        <f>IF(A162="","",N(INDEX(Projects[Est Site Sup],161)))</f>
        <v/>
      </c>
      <c r="CM162" s="5">
        <f>IF(A162="","",N(INDEX(Projects[Est Controls Commissioning],161)))</f>
        <v/>
      </c>
      <c r="CN162" s="5">
        <f>IF(A162="","",N(INDEX(Projects[Est Systems Commissioning],161)))</f>
        <v/>
      </c>
      <c r="CO162" s="5">
        <f>IF(A162="","",N(INDEX(Projects[Est Service Commissioning],161)))</f>
        <v/>
      </c>
      <c r="CP162" s="5">
        <f>IF(A162="","",N(INDEX(Projects[Est Controls Eng],161)))</f>
        <v/>
      </c>
      <c r="CQ162" s="5">
        <f>IF(A162="","",N(INDEX(Projects[Est Controls Purchase],161)))</f>
        <v/>
      </c>
      <c r="CR162" s="5">
        <f>IF(A162="","",N(INDEX(Projects[Est Software Eng],161)))</f>
        <v/>
      </c>
      <c r="CS162" s="5">
        <f>IF(A162="","",N(INDEX(Projects[Est Misc],161)))</f>
        <v/>
      </c>
      <c r="CT162" s="5">
        <f>IF(A162="","",SUM(CF162:CS162))</f>
        <v/>
      </c>
      <c r="CU162" s="5">
        <f>INDEX(Projects[Est Cost (M)],161)</f>
        <v/>
      </c>
      <c r="CV162" s="5">
        <f>INDEX(Projects[Act Cost (M)],161)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IF(A163="","",N(INDEX(Projects[Act Mech Inst],162)))</f>
        <v/>
      </c>
      <c r="BK163" s="5">
        <f>IF(A163="","",N(INDEX(Projects[Act Elec Inst],162)))</f>
        <v/>
      </c>
      <c r="BL163" s="5">
        <f>IF(A163="","",N(INDEX(Projects[Act Project Management],162)))</f>
        <v/>
      </c>
      <c r="BM163" s="5">
        <f>IF(A163="","",N(INDEX(Projects[Act Systems Eng],162)))</f>
        <v/>
      </c>
      <c r="BN163" s="5">
        <f>IF(A163="","",N(INDEX(Projects[Act Mechanical Eng],162)))</f>
        <v/>
      </c>
      <c r="BO163" s="5">
        <f>IF(A163="","",N(INDEX(Projects[Act Structural Engineering],162)))</f>
        <v/>
      </c>
      <c r="BP163" s="5">
        <f>IF(A163="","",N(INDEX(Projects[Act Site Sup],162)))</f>
        <v/>
      </c>
      <c r="BQ163" s="5">
        <f>IF(A163="","",N(INDEX(Projects[Act Controls Commissioning],162)))</f>
        <v/>
      </c>
      <c r="BR163" s="5">
        <f>IF(A163="","",N(INDEX(Projects[Act Systems Commissioning],162)))</f>
        <v/>
      </c>
      <c r="BS163" s="5">
        <f>IF(A163="","",N(INDEX(Projects[Act Service Commissioning],162)))</f>
        <v/>
      </c>
      <c r="BT163" s="5">
        <f>IF(A163="","",N(INDEX(Projects[Act Controls Eng],162)))</f>
        <v/>
      </c>
      <c r="BU163" s="5">
        <f>IF(A163="","",N(INDEX(Projects[Act Controls Purchase],162)))</f>
        <v/>
      </c>
      <c r="BV163" s="5">
        <f>IF(A163="","",N(INDEX(Projects[Act Software Eng],162)))</f>
        <v/>
      </c>
      <c r="BW163" s="5">
        <f>IF(A163="","",N(INDEX(Projects[Act 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  <c r="CE163" s="5">
        <f>INDEX(Projects[Act Data Status],162)&amp;""</f>
        <v/>
      </c>
      <c r="CF163" s="5">
        <f>IF(A163="","",N(INDEX(Projects[Est Mech Inst],162)))</f>
        <v/>
      </c>
      <c r="CG163" s="5">
        <f>IF(A163="","",N(INDEX(Projects[Est Elec Inst],162)))</f>
        <v/>
      </c>
      <c r="CH163" s="5">
        <f>IF(A163="","",N(INDEX(Projects[Est Project Management],162)))</f>
        <v/>
      </c>
      <c r="CI163" s="5">
        <f>IF(A163="","",N(INDEX(Projects[Est Systems Eng],162)))</f>
        <v/>
      </c>
      <c r="CJ163" s="5">
        <f>IF(A163="","",N(INDEX(Projects[Est Mechanical Eng],162)))</f>
        <v/>
      </c>
      <c r="CK163" s="5">
        <f>IF(A163="","",N(INDEX(Projects[Est Structural Engineering],162)))</f>
        <v/>
      </c>
      <c r="CL163" s="5">
        <f>IF(A163="","",N(INDEX(Projects[Est Site Sup],162)))</f>
        <v/>
      </c>
      <c r="CM163" s="5">
        <f>IF(A163="","",N(INDEX(Projects[Est Controls Commissioning],162)))</f>
        <v/>
      </c>
      <c r="CN163" s="5">
        <f>IF(A163="","",N(INDEX(Projects[Est Systems Commissioning],162)))</f>
        <v/>
      </c>
      <c r="CO163" s="5">
        <f>IF(A163="","",N(INDEX(Projects[Est Service Commissioning],162)))</f>
        <v/>
      </c>
      <c r="CP163" s="5">
        <f>IF(A163="","",N(INDEX(Projects[Est Controls Eng],162)))</f>
        <v/>
      </c>
      <c r="CQ163" s="5">
        <f>IF(A163="","",N(INDEX(Projects[Est Controls Purchase],162)))</f>
        <v/>
      </c>
      <c r="CR163" s="5">
        <f>IF(A163="","",N(INDEX(Projects[Est Software Eng],162)))</f>
        <v/>
      </c>
      <c r="CS163" s="5">
        <f>IF(A163="","",N(INDEX(Projects[Est Misc],162)))</f>
        <v/>
      </c>
      <c r="CT163" s="5">
        <f>IF(A163="","",SUM(CF163:CS163))</f>
        <v/>
      </c>
      <c r="CU163" s="5">
        <f>INDEX(Projects[Est Cost (M)],162)</f>
        <v/>
      </c>
      <c r="CV163" s="5">
        <f>INDEX(Projects[Act Cost (M)],162)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IF(A164="","",N(INDEX(Projects[Act Mech Inst],163)))</f>
        <v/>
      </c>
      <c r="BK164" s="5">
        <f>IF(A164="","",N(INDEX(Projects[Act Elec Inst],163)))</f>
        <v/>
      </c>
      <c r="BL164" s="5">
        <f>IF(A164="","",N(INDEX(Projects[Act Project Management],163)))</f>
        <v/>
      </c>
      <c r="BM164" s="5">
        <f>IF(A164="","",N(INDEX(Projects[Act Systems Eng],163)))</f>
        <v/>
      </c>
      <c r="BN164" s="5">
        <f>IF(A164="","",N(INDEX(Projects[Act Mechanical Eng],163)))</f>
        <v/>
      </c>
      <c r="BO164" s="5">
        <f>IF(A164="","",N(INDEX(Projects[Act Structural Engineering],163)))</f>
        <v/>
      </c>
      <c r="BP164" s="5">
        <f>IF(A164="","",N(INDEX(Projects[Act Site Sup],163)))</f>
        <v/>
      </c>
      <c r="BQ164" s="5">
        <f>IF(A164="","",N(INDEX(Projects[Act Controls Commissioning],163)))</f>
        <v/>
      </c>
      <c r="BR164" s="5">
        <f>IF(A164="","",N(INDEX(Projects[Act Systems Commissioning],163)))</f>
        <v/>
      </c>
      <c r="BS164" s="5">
        <f>IF(A164="","",N(INDEX(Projects[Act Service Commissioning],163)))</f>
        <v/>
      </c>
      <c r="BT164" s="5">
        <f>IF(A164="","",N(INDEX(Projects[Act Controls Eng],163)))</f>
        <v/>
      </c>
      <c r="BU164" s="5">
        <f>IF(A164="","",N(INDEX(Projects[Act Controls Purchase],163)))</f>
        <v/>
      </c>
      <c r="BV164" s="5">
        <f>IF(A164="","",N(INDEX(Projects[Act Software Eng],163)))</f>
        <v/>
      </c>
      <c r="BW164" s="5">
        <f>IF(A164="","",N(INDEX(Projects[Act 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  <c r="CE164" s="5">
        <f>INDEX(Projects[Act Data Status],163)&amp;""</f>
        <v/>
      </c>
      <c r="CF164" s="5">
        <f>IF(A164="","",N(INDEX(Projects[Est Mech Inst],163)))</f>
        <v/>
      </c>
      <c r="CG164" s="5">
        <f>IF(A164="","",N(INDEX(Projects[Est Elec Inst],163)))</f>
        <v/>
      </c>
      <c r="CH164" s="5">
        <f>IF(A164="","",N(INDEX(Projects[Est Project Management],163)))</f>
        <v/>
      </c>
      <c r="CI164" s="5">
        <f>IF(A164="","",N(INDEX(Projects[Est Systems Eng],163)))</f>
        <v/>
      </c>
      <c r="CJ164" s="5">
        <f>IF(A164="","",N(INDEX(Projects[Est Mechanical Eng],163)))</f>
        <v/>
      </c>
      <c r="CK164" s="5">
        <f>IF(A164="","",N(INDEX(Projects[Est Structural Engineering],163)))</f>
        <v/>
      </c>
      <c r="CL164" s="5">
        <f>IF(A164="","",N(INDEX(Projects[Est Site Sup],163)))</f>
        <v/>
      </c>
      <c r="CM164" s="5">
        <f>IF(A164="","",N(INDEX(Projects[Est Controls Commissioning],163)))</f>
        <v/>
      </c>
      <c r="CN164" s="5">
        <f>IF(A164="","",N(INDEX(Projects[Est Systems Commissioning],163)))</f>
        <v/>
      </c>
      <c r="CO164" s="5">
        <f>IF(A164="","",N(INDEX(Projects[Est Service Commissioning],163)))</f>
        <v/>
      </c>
      <c r="CP164" s="5">
        <f>IF(A164="","",N(INDEX(Projects[Est Controls Eng],163)))</f>
        <v/>
      </c>
      <c r="CQ164" s="5">
        <f>IF(A164="","",N(INDEX(Projects[Est Controls Purchase],163)))</f>
        <v/>
      </c>
      <c r="CR164" s="5">
        <f>IF(A164="","",N(INDEX(Projects[Est Software Eng],163)))</f>
        <v/>
      </c>
      <c r="CS164" s="5">
        <f>IF(A164="","",N(INDEX(Projects[Est Misc],163)))</f>
        <v/>
      </c>
      <c r="CT164" s="5">
        <f>IF(A164="","",SUM(CF164:CS164))</f>
        <v/>
      </c>
      <c r="CU164" s="5">
        <f>INDEX(Projects[Est Cost (M)],163)</f>
        <v/>
      </c>
      <c r="CV164" s="5">
        <f>INDEX(Projects[Act Cost (M)],163)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IF(A165="","",N(INDEX(Projects[Act Mech Inst],164)))</f>
        <v/>
      </c>
      <c r="BK165" s="5">
        <f>IF(A165="","",N(INDEX(Projects[Act Elec Inst],164)))</f>
        <v/>
      </c>
      <c r="BL165" s="5">
        <f>IF(A165="","",N(INDEX(Projects[Act Project Management],164)))</f>
        <v/>
      </c>
      <c r="BM165" s="5">
        <f>IF(A165="","",N(INDEX(Projects[Act Systems Eng],164)))</f>
        <v/>
      </c>
      <c r="BN165" s="5">
        <f>IF(A165="","",N(INDEX(Projects[Act Mechanical Eng],164)))</f>
        <v/>
      </c>
      <c r="BO165" s="5">
        <f>IF(A165="","",N(INDEX(Projects[Act Structural Engineering],164)))</f>
        <v/>
      </c>
      <c r="BP165" s="5">
        <f>IF(A165="","",N(INDEX(Projects[Act Site Sup],164)))</f>
        <v/>
      </c>
      <c r="BQ165" s="5">
        <f>IF(A165="","",N(INDEX(Projects[Act Controls Commissioning],164)))</f>
        <v/>
      </c>
      <c r="BR165" s="5">
        <f>IF(A165="","",N(INDEX(Projects[Act Systems Commissioning],164)))</f>
        <v/>
      </c>
      <c r="BS165" s="5">
        <f>IF(A165="","",N(INDEX(Projects[Act Service Commissioning],164)))</f>
        <v/>
      </c>
      <c r="BT165" s="5">
        <f>IF(A165="","",N(INDEX(Projects[Act Controls Eng],164)))</f>
        <v/>
      </c>
      <c r="BU165" s="5">
        <f>IF(A165="","",N(INDEX(Projects[Act Controls Purchase],164)))</f>
        <v/>
      </c>
      <c r="BV165" s="5">
        <f>IF(A165="","",N(INDEX(Projects[Act Software Eng],164)))</f>
        <v/>
      </c>
      <c r="BW165" s="5">
        <f>IF(A165="","",N(INDEX(Projects[Act 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  <c r="CE165" s="5">
        <f>INDEX(Projects[Act Data Status],164)&amp;""</f>
        <v/>
      </c>
      <c r="CF165" s="5">
        <f>IF(A165="","",N(INDEX(Projects[Est Mech Inst],164)))</f>
        <v/>
      </c>
      <c r="CG165" s="5">
        <f>IF(A165="","",N(INDEX(Projects[Est Elec Inst],164)))</f>
        <v/>
      </c>
      <c r="CH165" s="5">
        <f>IF(A165="","",N(INDEX(Projects[Est Project Management],164)))</f>
        <v/>
      </c>
      <c r="CI165" s="5">
        <f>IF(A165="","",N(INDEX(Projects[Est Systems Eng],164)))</f>
        <v/>
      </c>
      <c r="CJ165" s="5">
        <f>IF(A165="","",N(INDEX(Projects[Est Mechanical Eng],164)))</f>
        <v/>
      </c>
      <c r="CK165" s="5">
        <f>IF(A165="","",N(INDEX(Projects[Est Structural Engineering],164)))</f>
        <v/>
      </c>
      <c r="CL165" s="5">
        <f>IF(A165="","",N(INDEX(Projects[Est Site Sup],164)))</f>
        <v/>
      </c>
      <c r="CM165" s="5">
        <f>IF(A165="","",N(INDEX(Projects[Est Controls Commissioning],164)))</f>
        <v/>
      </c>
      <c r="CN165" s="5">
        <f>IF(A165="","",N(INDEX(Projects[Est Systems Commissioning],164)))</f>
        <v/>
      </c>
      <c r="CO165" s="5">
        <f>IF(A165="","",N(INDEX(Projects[Est Service Commissioning],164)))</f>
        <v/>
      </c>
      <c r="CP165" s="5">
        <f>IF(A165="","",N(INDEX(Projects[Est Controls Eng],164)))</f>
        <v/>
      </c>
      <c r="CQ165" s="5">
        <f>IF(A165="","",N(INDEX(Projects[Est Controls Purchase],164)))</f>
        <v/>
      </c>
      <c r="CR165" s="5">
        <f>IF(A165="","",N(INDEX(Projects[Est Software Eng],164)))</f>
        <v/>
      </c>
      <c r="CS165" s="5">
        <f>IF(A165="","",N(INDEX(Projects[Est Misc],164)))</f>
        <v/>
      </c>
      <c r="CT165" s="5">
        <f>IF(A165="","",SUM(CF165:CS165))</f>
        <v/>
      </c>
      <c r="CU165" s="5">
        <f>INDEX(Projects[Est Cost (M)],164)</f>
        <v/>
      </c>
      <c r="CV165" s="5">
        <f>INDEX(Projects[Act Cost (M)],164)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IF(A166="","",N(INDEX(Projects[Act Mech Inst],165)))</f>
        <v/>
      </c>
      <c r="BK166" s="5">
        <f>IF(A166="","",N(INDEX(Projects[Act Elec Inst],165)))</f>
        <v/>
      </c>
      <c r="BL166" s="5">
        <f>IF(A166="","",N(INDEX(Projects[Act Project Management],165)))</f>
        <v/>
      </c>
      <c r="BM166" s="5">
        <f>IF(A166="","",N(INDEX(Projects[Act Systems Eng],165)))</f>
        <v/>
      </c>
      <c r="BN166" s="5">
        <f>IF(A166="","",N(INDEX(Projects[Act Mechanical Eng],165)))</f>
        <v/>
      </c>
      <c r="BO166" s="5">
        <f>IF(A166="","",N(INDEX(Projects[Act Structural Engineering],165)))</f>
        <v/>
      </c>
      <c r="BP166" s="5">
        <f>IF(A166="","",N(INDEX(Projects[Act Site Sup],165)))</f>
        <v/>
      </c>
      <c r="BQ166" s="5">
        <f>IF(A166="","",N(INDEX(Projects[Act Controls Commissioning],165)))</f>
        <v/>
      </c>
      <c r="BR166" s="5">
        <f>IF(A166="","",N(INDEX(Projects[Act Systems Commissioning],165)))</f>
        <v/>
      </c>
      <c r="BS166" s="5">
        <f>IF(A166="","",N(INDEX(Projects[Act Service Commissioning],165)))</f>
        <v/>
      </c>
      <c r="BT166" s="5">
        <f>IF(A166="","",N(INDEX(Projects[Act Controls Eng],165)))</f>
        <v/>
      </c>
      <c r="BU166" s="5">
        <f>IF(A166="","",N(INDEX(Projects[Act Controls Purchase],165)))</f>
        <v/>
      </c>
      <c r="BV166" s="5">
        <f>IF(A166="","",N(INDEX(Projects[Act Software Eng],165)))</f>
        <v/>
      </c>
      <c r="BW166" s="5">
        <f>IF(A166="","",N(INDEX(Projects[Act 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  <c r="CE166" s="5">
        <f>INDEX(Projects[Act Data Status],165)&amp;""</f>
        <v/>
      </c>
      <c r="CF166" s="5">
        <f>IF(A166="","",N(INDEX(Projects[Est Mech Inst],165)))</f>
        <v/>
      </c>
      <c r="CG166" s="5">
        <f>IF(A166="","",N(INDEX(Projects[Est Elec Inst],165)))</f>
        <v/>
      </c>
      <c r="CH166" s="5">
        <f>IF(A166="","",N(INDEX(Projects[Est Project Management],165)))</f>
        <v/>
      </c>
      <c r="CI166" s="5">
        <f>IF(A166="","",N(INDEX(Projects[Est Systems Eng],165)))</f>
        <v/>
      </c>
      <c r="CJ166" s="5">
        <f>IF(A166="","",N(INDEX(Projects[Est Mechanical Eng],165)))</f>
        <v/>
      </c>
      <c r="CK166" s="5">
        <f>IF(A166="","",N(INDEX(Projects[Est Structural Engineering],165)))</f>
        <v/>
      </c>
      <c r="CL166" s="5">
        <f>IF(A166="","",N(INDEX(Projects[Est Site Sup],165)))</f>
        <v/>
      </c>
      <c r="CM166" s="5">
        <f>IF(A166="","",N(INDEX(Projects[Est Controls Commissioning],165)))</f>
        <v/>
      </c>
      <c r="CN166" s="5">
        <f>IF(A166="","",N(INDEX(Projects[Est Systems Commissioning],165)))</f>
        <v/>
      </c>
      <c r="CO166" s="5">
        <f>IF(A166="","",N(INDEX(Projects[Est Service Commissioning],165)))</f>
        <v/>
      </c>
      <c r="CP166" s="5">
        <f>IF(A166="","",N(INDEX(Projects[Est Controls Eng],165)))</f>
        <v/>
      </c>
      <c r="CQ166" s="5">
        <f>IF(A166="","",N(INDEX(Projects[Est Controls Purchase],165)))</f>
        <v/>
      </c>
      <c r="CR166" s="5">
        <f>IF(A166="","",N(INDEX(Projects[Est Software Eng],165)))</f>
        <v/>
      </c>
      <c r="CS166" s="5">
        <f>IF(A166="","",N(INDEX(Projects[Est Misc],165)))</f>
        <v/>
      </c>
      <c r="CT166" s="5">
        <f>IF(A166="","",SUM(CF166:CS166))</f>
        <v/>
      </c>
      <c r="CU166" s="5">
        <f>INDEX(Projects[Est Cost (M)],165)</f>
        <v/>
      </c>
      <c r="CV166" s="5">
        <f>INDEX(Projects[Act Cost (M)],165)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IF(A167="","",N(INDEX(Projects[Act Mech Inst],166)))</f>
        <v/>
      </c>
      <c r="BK167" s="5">
        <f>IF(A167="","",N(INDEX(Projects[Act Elec Inst],166)))</f>
        <v/>
      </c>
      <c r="BL167" s="5">
        <f>IF(A167="","",N(INDEX(Projects[Act Project Management],166)))</f>
        <v/>
      </c>
      <c r="BM167" s="5">
        <f>IF(A167="","",N(INDEX(Projects[Act Systems Eng],166)))</f>
        <v/>
      </c>
      <c r="BN167" s="5">
        <f>IF(A167="","",N(INDEX(Projects[Act Mechanical Eng],166)))</f>
        <v/>
      </c>
      <c r="BO167" s="5">
        <f>IF(A167="","",N(INDEX(Projects[Act Structural Engineering],166)))</f>
        <v/>
      </c>
      <c r="BP167" s="5">
        <f>IF(A167="","",N(INDEX(Projects[Act Site Sup],166)))</f>
        <v/>
      </c>
      <c r="BQ167" s="5">
        <f>IF(A167="","",N(INDEX(Projects[Act Controls Commissioning],166)))</f>
        <v/>
      </c>
      <c r="BR167" s="5">
        <f>IF(A167="","",N(INDEX(Projects[Act Systems Commissioning],166)))</f>
        <v/>
      </c>
      <c r="BS167" s="5">
        <f>IF(A167="","",N(INDEX(Projects[Act Service Commissioning],166)))</f>
        <v/>
      </c>
      <c r="BT167" s="5">
        <f>IF(A167="","",N(INDEX(Projects[Act Controls Eng],166)))</f>
        <v/>
      </c>
      <c r="BU167" s="5">
        <f>IF(A167="","",N(INDEX(Projects[Act Controls Purchase],166)))</f>
        <v/>
      </c>
      <c r="BV167" s="5">
        <f>IF(A167="","",N(INDEX(Projects[Act Software Eng],166)))</f>
        <v/>
      </c>
      <c r="BW167" s="5">
        <f>IF(A167="","",N(INDEX(Projects[Act 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  <c r="CE167" s="5">
        <f>INDEX(Projects[Act Data Status],166)&amp;""</f>
        <v/>
      </c>
      <c r="CF167" s="5">
        <f>IF(A167="","",N(INDEX(Projects[Est Mech Inst],166)))</f>
        <v/>
      </c>
      <c r="CG167" s="5">
        <f>IF(A167="","",N(INDEX(Projects[Est Elec Inst],166)))</f>
        <v/>
      </c>
      <c r="CH167" s="5">
        <f>IF(A167="","",N(INDEX(Projects[Est Project Management],166)))</f>
        <v/>
      </c>
      <c r="CI167" s="5">
        <f>IF(A167="","",N(INDEX(Projects[Est Systems Eng],166)))</f>
        <v/>
      </c>
      <c r="CJ167" s="5">
        <f>IF(A167="","",N(INDEX(Projects[Est Mechanical Eng],166)))</f>
        <v/>
      </c>
      <c r="CK167" s="5">
        <f>IF(A167="","",N(INDEX(Projects[Est Structural Engineering],166)))</f>
        <v/>
      </c>
      <c r="CL167" s="5">
        <f>IF(A167="","",N(INDEX(Projects[Est Site Sup],166)))</f>
        <v/>
      </c>
      <c r="CM167" s="5">
        <f>IF(A167="","",N(INDEX(Projects[Est Controls Commissioning],166)))</f>
        <v/>
      </c>
      <c r="CN167" s="5">
        <f>IF(A167="","",N(INDEX(Projects[Est Systems Commissioning],166)))</f>
        <v/>
      </c>
      <c r="CO167" s="5">
        <f>IF(A167="","",N(INDEX(Projects[Est Service Commissioning],166)))</f>
        <v/>
      </c>
      <c r="CP167" s="5">
        <f>IF(A167="","",N(INDEX(Projects[Est Controls Eng],166)))</f>
        <v/>
      </c>
      <c r="CQ167" s="5">
        <f>IF(A167="","",N(INDEX(Projects[Est Controls Purchase],166)))</f>
        <v/>
      </c>
      <c r="CR167" s="5">
        <f>IF(A167="","",N(INDEX(Projects[Est Software Eng],166)))</f>
        <v/>
      </c>
      <c r="CS167" s="5">
        <f>IF(A167="","",N(INDEX(Projects[Est Misc],166)))</f>
        <v/>
      </c>
      <c r="CT167" s="5">
        <f>IF(A167="","",SUM(CF167:CS167))</f>
        <v/>
      </c>
      <c r="CU167" s="5">
        <f>INDEX(Projects[Est Cost (M)],166)</f>
        <v/>
      </c>
      <c r="CV167" s="5">
        <f>INDEX(Projects[Act Cost (M)],166)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IF(A168="","",N(INDEX(Projects[Act Mech Inst],167)))</f>
        <v/>
      </c>
      <c r="BK168" s="5">
        <f>IF(A168="","",N(INDEX(Projects[Act Elec Inst],167)))</f>
        <v/>
      </c>
      <c r="BL168" s="5">
        <f>IF(A168="","",N(INDEX(Projects[Act Project Management],167)))</f>
        <v/>
      </c>
      <c r="BM168" s="5">
        <f>IF(A168="","",N(INDEX(Projects[Act Systems Eng],167)))</f>
        <v/>
      </c>
      <c r="BN168" s="5">
        <f>IF(A168="","",N(INDEX(Projects[Act Mechanical Eng],167)))</f>
        <v/>
      </c>
      <c r="BO168" s="5">
        <f>IF(A168="","",N(INDEX(Projects[Act Structural Engineering],167)))</f>
        <v/>
      </c>
      <c r="BP168" s="5">
        <f>IF(A168="","",N(INDEX(Projects[Act Site Sup],167)))</f>
        <v/>
      </c>
      <c r="BQ168" s="5">
        <f>IF(A168="","",N(INDEX(Projects[Act Controls Commissioning],167)))</f>
        <v/>
      </c>
      <c r="BR168" s="5">
        <f>IF(A168="","",N(INDEX(Projects[Act Systems Commissioning],167)))</f>
        <v/>
      </c>
      <c r="BS168" s="5">
        <f>IF(A168="","",N(INDEX(Projects[Act Service Commissioning],167)))</f>
        <v/>
      </c>
      <c r="BT168" s="5">
        <f>IF(A168="","",N(INDEX(Projects[Act Controls Eng],167)))</f>
        <v/>
      </c>
      <c r="BU168" s="5">
        <f>IF(A168="","",N(INDEX(Projects[Act Controls Purchase],167)))</f>
        <v/>
      </c>
      <c r="BV168" s="5">
        <f>IF(A168="","",N(INDEX(Projects[Act Software Eng],167)))</f>
        <v/>
      </c>
      <c r="BW168" s="5">
        <f>IF(A168="","",N(INDEX(Projects[Act 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  <c r="CE168" s="5">
        <f>INDEX(Projects[Act Data Status],167)&amp;""</f>
        <v/>
      </c>
      <c r="CF168" s="5">
        <f>IF(A168="","",N(INDEX(Projects[Est Mech Inst],167)))</f>
        <v/>
      </c>
      <c r="CG168" s="5">
        <f>IF(A168="","",N(INDEX(Projects[Est Elec Inst],167)))</f>
        <v/>
      </c>
      <c r="CH168" s="5">
        <f>IF(A168="","",N(INDEX(Projects[Est Project Management],167)))</f>
        <v/>
      </c>
      <c r="CI168" s="5">
        <f>IF(A168="","",N(INDEX(Projects[Est Systems Eng],167)))</f>
        <v/>
      </c>
      <c r="CJ168" s="5">
        <f>IF(A168="","",N(INDEX(Projects[Est Mechanical Eng],167)))</f>
        <v/>
      </c>
      <c r="CK168" s="5">
        <f>IF(A168="","",N(INDEX(Projects[Est Structural Engineering],167)))</f>
        <v/>
      </c>
      <c r="CL168" s="5">
        <f>IF(A168="","",N(INDEX(Projects[Est Site Sup],167)))</f>
        <v/>
      </c>
      <c r="CM168" s="5">
        <f>IF(A168="","",N(INDEX(Projects[Est Controls Commissioning],167)))</f>
        <v/>
      </c>
      <c r="CN168" s="5">
        <f>IF(A168="","",N(INDEX(Projects[Est Systems Commissioning],167)))</f>
        <v/>
      </c>
      <c r="CO168" s="5">
        <f>IF(A168="","",N(INDEX(Projects[Est Service Commissioning],167)))</f>
        <v/>
      </c>
      <c r="CP168" s="5">
        <f>IF(A168="","",N(INDEX(Projects[Est Controls Eng],167)))</f>
        <v/>
      </c>
      <c r="CQ168" s="5">
        <f>IF(A168="","",N(INDEX(Projects[Est Controls Purchase],167)))</f>
        <v/>
      </c>
      <c r="CR168" s="5">
        <f>IF(A168="","",N(INDEX(Projects[Est Software Eng],167)))</f>
        <v/>
      </c>
      <c r="CS168" s="5">
        <f>IF(A168="","",N(INDEX(Projects[Est Misc],167)))</f>
        <v/>
      </c>
      <c r="CT168" s="5">
        <f>IF(A168="","",SUM(CF168:CS168))</f>
        <v/>
      </c>
      <c r="CU168" s="5">
        <f>INDEX(Projects[Est Cost (M)],167)</f>
        <v/>
      </c>
      <c r="CV168" s="5">
        <f>INDEX(Projects[Act Cost (M)],167)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IF(A169="","",N(INDEX(Projects[Act Mech Inst],168)))</f>
        <v/>
      </c>
      <c r="BK169" s="5">
        <f>IF(A169="","",N(INDEX(Projects[Act Elec Inst],168)))</f>
        <v/>
      </c>
      <c r="BL169" s="5">
        <f>IF(A169="","",N(INDEX(Projects[Act Project Management],168)))</f>
        <v/>
      </c>
      <c r="BM169" s="5">
        <f>IF(A169="","",N(INDEX(Projects[Act Systems Eng],168)))</f>
        <v/>
      </c>
      <c r="BN169" s="5">
        <f>IF(A169="","",N(INDEX(Projects[Act Mechanical Eng],168)))</f>
        <v/>
      </c>
      <c r="BO169" s="5">
        <f>IF(A169="","",N(INDEX(Projects[Act Structural Engineering],168)))</f>
        <v/>
      </c>
      <c r="BP169" s="5">
        <f>IF(A169="","",N(INDEX(Projects[Act Site Sup],168)))</f>
        <v/>
      </c>
      <c r="BQ169" s="5">
        <f>IF(A169="","",N(INDEX(Projects[Act Controls Commissioning],168)))</f>
        <v/>
      </c>
      <c r="BR169" s="5">
        <f>IF(A169="","",N(INDEX(Projects[Act Systems Commissioning],168)))</f>
        <v/>
      </c>
      <c r="BS169" s="5">
        <f>IF(A169="","",N(INDEX(Projects[Act Service Commissioning],168)))</f>
        <v/>
      </c>
      <c r="BT169" s="5">
        <f>IF(A169="","",N(INDEX(Projects[Act Controls Eng],168)))</f>
        <v/>
      </c>
      <c r="BU169" s="5">
        <f>IF(A169="","",N(INDEX(Projects[Act Controls Purchase],168)))</f>
        <v/>
      </c>
      <c r="BV169" s="5">
        <f>IF(A169="","",N(INDEX(Projects[Act Software Eng],168)))</f>
        <v/>
      </c>
      <c r="BW169" s="5">
        <f>IF(A169="","",N(INDEX(Projects[Act 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  <c r="CE169" s="5">
        <f>INDEX(Projects[Act Data Status],168)&amp;""</f>
        <v/>
      </c>
      <c r="CF169" s="5">
        <f>IF(A169="","",N(INDEX(Projects[Est Mech Inst],168)))</f>
        <v/>
      </c>
      <c r="CG169" s="5">
        <f>IF(A169="","",N(INDEX(Projects[Est Elec Inst],168)))</f>
        <v/>
      </c>
      <c r="CH169" s="5">
        <f>IF(A169="","",N(INDEX(Projects[Est Project Management],168)))</f>
        <v/>
      </c>
      <c r="CI169" s="5">
        <f>IF(A169="","",N(INDEX(Projects[Est Systems Eng],168)))</f>
        <v/>
      </c>
      <c r="CJ169" s="5">
        <f>IF(A169="","",N(INDEX(Projects[Est Mechanical Eng],168)))</f>
        <v/>
      </c>
      <c r="CK169" s="5">
        <f>IF(A169="","",N(INDEX(Projects[Est Structural Engineering],168)))</f>
        <v/>
      </c>
      <c r="CL169" s="5">
        <f>IF(A169="","",N(INDEX(Projects[Est Site Sup],168)))</f>
        <v/>
      </c>
      <c r="CM169" s="5">
        <f>IF(A169="","",N(INDEX(Projects[Est Controls Commissioning],168)))</f>
        <v/>
      </c>
      <c r="CN169" s="5">
        <f>IF(A169="","",N(INDEX(Projects[Est Systems Commissioning],168)))</f>
        <v/>
      </c>
      <c r="CO169" s="5">
        <f>IF(A169="","",N(INDEX(Projects[Est Service Commissioning],168)))</f>
        <v/>
      </c>
      <c r="CP169" s="5">
        <f>IF(A169="","",N(INDEX(Projects[Est Controls Eng],168)))</f>
        <v/>
      </c>
      <c r="CQ169" s="5">
        <f>IF(A169="","",N(INDEX(Projects[Est Controls Purchase],168)))</f>
        <v/>
      </c>
      <c r="CR169" s="5">
        <f>IF(A169="","",N(INDEX(Projects[Est Software Eng],168)))</f>
        <v/>
      </c>
      <c r="CS169" s="5">
        <f>IF(A169="","",N(INDEX(Projects[Est Misc],168)))</f>
        <v/>
      </c>
      <c r="CT169" s="5">
        <f>IF(A169="","",SUM(CF169:CS169))</f>
        <v/>
      </c>
      <c r="CU169" s="5">
        <f>INDEX(Projects[Est Cost (M)],168)</f>
        <v/>
      </c>
      <c r="CV169" s="5">
        <f>INDEX(Projects[Act Cost (M)],168)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IF(A170="","",N(INDEX(Projects[Act Mech Inst],169)))</f>
        <v/>
      </c>
      <c r="BK170" s="5">
        <f>IF(A170="","",N(INDEX(Projects[Act Elec Inst],169)))</f>
        <v/>
      </c>
      <c r="BL170" s="5">
        <f>IF(A170="","",N(INDEX(Projects[Act Project Management],169)))</f>
        <v/>
      </c>
      <c r="BM170" s="5">
        <f>IF(A170="","",N(INDEX(Projects[Act Systems Eng],169)))</f>
        <v/>
      </c>
      <c r="BN170" s="5">
        <f>IF(A170="","",N(INDEX(Projects[Act Mechanical Eng],169)))</f>
        <v/>
      </c>
      <c r="BO170" s="5">
        <f>IF(A170="","",N(INDEX(Projects[Act Structural Engineering],169)))</f>
        <v/>
      </c>
      <c r="BP170" s="5">
        <f>IF(A170="","",N(INDEX(Projects[Act Site Sup],169)))</f>
        <v/>
      </c>
      <c r="BQ170" s="5">
        <f>IF(A170="","",N(INDEX(Projects[Act Controls Commissioning],169)))</f>
        <v/>
      </c>
      <c r="BR170" s="5">
        <f>IF(A170="","",N(INDEX(Projects[Act Systems Commissioning],169)))</f>
        <v/>
      </c>
      <c r="BS170" s="5">
        <f>IF(A170="","",N(INDEX(Projects[Act Service Commissioning],169)))</f>
        <v/>
      </c>
      <c r="BT170" s="5">
        <f>IF(A170="","",N(INDEX(Projects[Act Controls Eng],169)))</f>
        <v/>
      </c>
      <c r="BU170" s="5">
        <f>IF(A170="","",N(INDEX(Projects[Act Controls Purchase],169)))</f>
        <v/>
      </c>
      <c r="BV170" s="5">
        <f>IF(A170="","",N(INDEX(Projects[Act Software Eng],169)))</f>
        <v/>
      </c>
      <c r="BW170" s="5">
        <f>IF(A170="","",N(INDEX(Projects[Act 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  <c r="CE170" s="5">
        <f>INDEX(Projects[Act Data Status],169)&amp;""</f>
        <v/>
      </c>
      <c r="CF170" s="5">
        <f>IF(A170="","",N(INDEX(Projects[Est Mech Inst],169)))</f>
        <v/>
      </c>
      <c r="CG170" s="5">
        <f>IF(A170="","",N(INDEX(Projects[Est Elec Inst],169)))</f>
        <v/>
      </c>
      <c r="CH170" s="5">
        <f>IF(A170="","",N(INDEX(Projects[Est Project Management],169)))</f>
        <v/>
      </c>
      <c r="CI170" s="5">
        <f>IF(A170="","",N(INDEX(Projects[Est Systems Eng],169)))</f>
        <v/>
      </c>
      <c r="CJ170" s="5">
        <f>IF(A170="","",N(INDEX(Projects[Est Mechanical Eng],169)))</f>
        <v/>
      </c>
      <c r="CK170" s="5">
        <f>IF(A170="","",N(INDEX(Projects[Est Structural Engineering],169)))</f>
        <v/>
      </c>
      <c r="CL170" s="5">
        <f>IF(A170="","",N(INDEX(Projects[Est Site Sup],169)))</f>
        <v/>
      </c>
      <c r="CM170" s="5">
        <f>IF(A170="","",N(INDEX(Projects[Est Controls Commissioning],169)))</f>
        <v/>
      </c>
      <c r="CN170" s="5">
        <f>IF(A170="","",N(INDEX(Projects[Est Systems Commissioning],169)))</f>
        <v/>
      </c>
      <c r="CO170" s="5">
        <f>IF(A170="","",N(INDEX(Projects[Est Service Commissioning],169)))</f>
        <v/>
      </c>
      <c r="CP170" s="5">
        <f>IF(A170="","",N(INDEX(Projects[Est Controls Eng],169)))</f>
        <v/>
      </c>
      <c r="CQ170" s="5">
        <f>IF(A170="","",N(INDEX(Projects[Est Controls Purchase],169)))</f>
        <v/>
      </c>
      <c r="CR170" s="5">
        <f>IF(A170="","",N(INDEX(Projects[Est Software Eng],169)))</f>
        <v/>
      </c>
      <c r="CS170" s="5">
        <f>IF(A170="","",N(INDEX(Projects[Est Misc],169)))</f>
        <v/>
      </c>
      <c r="CT170" s="5">
        <f>IF(A170="","",SUM(CF170:CS170))</f>
        <v/>
      </c>
      <c r="CU170" s="5">
        <f>INDEX(Projects[Est Cost (M)],169)</f>
        <v/>
      </c>
      <c r="CV170" s="5">
        <f>INDEX(Projects[Act Cost (M)],169)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IF(A171="","",N(INDEX(Projects[Act Mech Inst],170)))</f>
        <v/>
      </c>
      <c r="BK171" s="5">
        <f>IF(A171="","",N(INDEX(Projects[Act Elec Inst],170)))</f>
        <v/>
      </c>
      <c r="BL171" s="5">
        <f>IF(A171="","",N(INDEX(Projects[Act Project Management],170)))</f>
        <v/>
      </c>
      <c r="BM171" s="5">
        <f>IF(A171="","",N(INDEX(Projects[Act Systems Eng],170)))</f>
        <v/>
      </c>
      <c r="BN171" s="5">
        <f>IF(A171="","",N(INDEX(Projects[Act Mechanical Eng],170)))</f>
        <v/>
      </c>
      <c r="BO171" s="5">
        <f>IF(A171="","",N(INDEX(Projects[Act Structural Engineering],170)))</f>
        <v/>
      </c>
      <c r="BP171" s="5">
        <f>IF(A171="","",N(INDEX(Projects[Act Site Sup],170)))</f>
        <v/>
      </c>
      <c r="BQ171" s="5">
        <f>IF(A171="","",N(INDEX(Projects[Act Controls Commissioning],170)))</f>
        <v/>
      </c>
      <c r="BR171" s="5">
        <f>IF(A171="","",N(INDEX(Projects[Act Systems Commissioning],170)))</f>
        <v/>
      </c>
      <c r="BS171" s="5">
        <f>IF(A171="","",N(INDEX(Projects[Act Service Commissioning],170)))</f>
        <v/>
      </c>
      <c r="BT171" s="5">
        <f>IF(A171="","",N(INDEX(Projects[Act Controls Eng],170)))</f>
        <v/>
      </c>
      <c r="BU171" s="5">
        <f>IF(A171="","",N(INDEX(Projects[Act Controls Purchase],170)))</f>
        <v/>
      </c>
      <c r="BV171" s="5">
        <f>IF(A171="","",N(INDEX(Projects[Act Software Eng],170)))</f>
        <v/>
      </c>
      <c r="BW171" s="5">
        <f>IF(A171="","",N(INDEX(Projects[Act 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  <c r="CE171" s="5">
        <f>INDEX(Projects[Act Data Status],170)&amp;""</f>
        <v/>
      </c>
      <c r="CF171" s="5">
        <f>IF(A171="","",N(INDEX(Projects[Est Mech Inst],170)))</f>
        <v/>
      </c>
      <c r="CG171" s="5">
        <f>IF(A171="","",N(INDEX(Projects[Est Elec Inst],170)))</f>
        <v/>
      </c>
      <c r="CH171" s="5">
        <f>IF(A171="","",N(INDEX(Projects[Est Project Management],170)))</f>
        <v/>
      </c>
      <c r="CI171" s="5">
        <f>IF(A171="","",N(INDEX(Projects[Est Systems Eng],170)))</f>
        <v/>
      </c>
      <c r="CJ171" s="5">
        <f>IF(A171="","",N(INDEX(Projects[Est Mechanical Eng],170)))</f>
        <v/>
      </c>
      <c r="CK171" s="5">
        <f>IF(A171="","",N(INDEX(Projects[Est Structural Engineering],170)))</f>
        <v/>
      </c>
      <c r="CL171" s="5">
        <f>IF(A171="","",N(INDEX(Projects[Est Site Sup],170)))</f>
        <v/>
      </c>
      <c r="CM171" s="5">
        <f>IF(A171="","",N(INDEX(Projects[Est Controls Commissioning],170)))</f>
        <v/>
      </c>
      <c r="CN171" s="5">
        <f>IF(A171="","",N(INDEX(Projects[Est Systems Commissioning],170)))</f>
        <v/>
      </c>
      <c r="CO171" s="5">
        <f>IF(A171="","",N(INDEX(Projects[Est Service Commissioning],170)))</f>
        <v/>
      </c>
      <c r="CP171" s="5">
        <f>IF(A171="","",N(INDEX(Projects[Est Controls Eng],170)))</f>
        <v/>
      </c>
      <c r="CQ171" s="5">
        <f>IF(A171="","",N(INDEX(Projects[Est Controls Purchase],170)))</f>
        <v/>
      </c>
      <c r="CR171" s="5">
        <f>IF(A171="","",N(INDEX(Projects[Est Software Eng],170)))</f>
        <v/>
      </c>
      <c r="CS171" s="5">
        <f>IF(A171="","",N(INDEX(Projects[Est Misc],170)))</f>
        <v/>
      </c>
      <c r="CT171" s="5">
        <f>IF(A171="","",SUM(CF171:CS171))</f>
        <v/>
      </c>
      <c r="CU171" s="5">
        <f>INDEX(Projects[Est Cost (M)],170)</f>
        <v/>
      </c>
      <c r="CV171" s="5">
        <f>INDEX(Projects[Act Cost (M)],170)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IF(A172="","",N(INDEX(Projects[Act Mech Inst],171)))</f>
        <v/>
      </c>
      <c r="BK172" s="5">
        <f>IF(A172="","",N(INDEX(Projects[Act Elec Inst],171)))</f>
        <v/>
      </c>
      <c r="BL172" s="5">
        <f>IF(A172="","",N(INDEX(Projects[Act Project Management],171)))</f>
        <v/>
      </c>
      <c r="BM172" s="5">
        <f>IF(A172="","",N(INDEX(Projects[Act Systems Eng],171)))</f>
        <v/>
      </c>
      <c r="BN172" s="5">
        <f>IF(A172="","",N(INDEX(Projects[Act Mechanical Eng],171)))</f>
        <v/>
      </c>
      <c r="BO172" s="5">
        <f>IF(A172="","",N(INDEX(Projects[Act Structural Engineering],171)))</f>
        <v/>
      </c>
      <c r="BP172" s="5">
        <f>IF(A172="","",N(INDEX(Projects[Act Site Sup],171)))</f>
        <v/>
      </c>
      <c r="BQ172" s="5">
        <f>IF(A172="","",N(INDEX(Projects[Act Controls Commissioning],171)))</f>
        <v/>
      </c>
      <c r="BR172" s="5">
        <f>IF(A172="","",N(INDEX(Projects[Act Systems Commissioning],171)))</f>
        <v/>
      </c>
      <c r="BS172" s="5">
        <f>IF(A172="","",N(INDEX(Projects[Act Service Commissioning],171)))</f>
        <v/>
      </c>
      <c r="BT172" s="5">
        <f>IF(A172="","",N(INDEX(Projects[Act Controls Eng],171)))</f>
        <v/>
      </c>
      <c r="BU172" s="5">
        <f>IF(A172="","",N(INDEX(Projects[Act Controls Purchase],171)))</f>
        <v/>
      </c>
      <c r="BV172" s="5">
        <f>IF(A172="","",N(INDEX(Projects[Act Software Eng],171)))</f>
        <v/>
      </c>
      <c r="BW172" s="5">
        <f>IF(A172="","",N(INDEX(Projects[Act 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  <c r="CE172" s="5">
        <f>INDEX(Projects[Act Data Status],171)&amp;""</f>
        <v/>
      </c>
      <c r="CF172" s="5">
        <f>IF(A172="","",N(INDEX(Projects[Est Mech Inst],171)))</f>
        <v/>
      </c>
      <c r="CG172" s="5">
        <f>IF(A172="","",N(INDEX(Projects[Est Elec Inst],171)))</f>
        <v/>
      </c>
      <c r="CH172" s="5">
        <f>IF(A172="","",N(INDEX(Projects[Est Project Management],171)))</f>
        <v/>
      </c>
      <c r="CI172" s="5">
        <f>IF(A172="","",N(INDEX(Projects[Est Systems Eng],171)))</f>
        <v/>
      </c>
      <c r="CJ172" s="5">
        <f>IF(A172="","",N(INDEX(Projects[Est Mechanical Eng],171)))</f>
        <v/>
      </c>
      <c r="CK172" s="5">
        <f>IF(A172="","",N(INDEX(Projects[Est Structural Engineering],171)))</f>
        <v/>
      </c>
      <c r="CL172" s="5">
        <f>IF(A172="","",N(INDEX(Projects[Est Site Sup],171)))</f>
        <v/>
      </c>
      <c r="CM172" s="5">
        <f>IF(A172="","",N(INDEX(Projects[Est Controls Commissioning],171)))</f>
        <v/>
      </c>
      <c r="CN172" s="5">
        <f>IF(A172="","",N(INDEX(Projects[Est Systems Commissioning],171)))</f>
        <v/>
      </c>
      <c r="CO172" s="5">
        <f>IF(A172="","",N(INDEX(Projects[Est Service Commissioning],171)))</f>
        <v/>
      </c>
      <c r="CP172" s="5">
        <f>IF(A172="","",N(INDEX(Projects[Est Controls Eng],171)))</f>
        <v/>
      </c>
      <c r="CQ172" s="5">
        <f>IF(A172="","",N(INDEX(Projects[Est Controls Purchase],171)))</f>
        <v/>
      </c>
      <c r="CR172" s="5">
        <f>IF(A172="","",N(INDEX(Projects[Est Software Eng],171)))</f>
        <v/>
      </c>
      <c r="CS172" s="5">
        <f>IF(A172="","",N(INDEX(Projects[Est Misc],171)))</f>
        <v/>
      </c>
      <c r="CT172" s="5">
        <f>IF(A172="","",SUM(CF172:CS172))</f>
        <v/>
      </c>
      <c r="CU172" s="5">
        <f>INDEX(Projects[Est Cost (M)],171)</f>
        <v/>
      </c>
      <c r="CV172" s="5">
        <f>INDEX(Projects[Act Cost (M)],171)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IF(A173="","",N(INDEX(Projects[Act Mech Inst],172)))</f>
        <v/>
      </c>
      <c r="BK173" s="5">
        <f>IF(A173="","",N(INDEX(Projects[Act Elec Inst],172)))</f>
        <v/>
      </c>
      <c r="BL173" s="5">
        <f>IF(A173="","",N(INDEX(Projects[Act Project Management],172)))</f>
        <v/>
      </c>
      <c r="BM173" s="5">
        <f>IF(A173="","",N(INDEX(Projects[Act Systems Eng],172)))</f>
        <v/>
      </c>
      <c r="BN173" s="5">
        <f>IF(A173="","",N(INDEX(Projects[Act Mechanical Eng],172)))</f>
        <v/>
      </c>
      <c r="BO173" s="5">
        <f>IF(A173="","",N(INDEX(Projects[Act Structural Engineering],172)))</f>
        <v/>
      </c>
      <c r="BP173" s="5">
        <f>IF(A173="","",N(INDEX(Projects[Act Site Sup],172)))</f>
        <v/>
      </c>
      <c r="BQ173" s="5">
        <f>IF(A173="","",N(INDEX(Projects[Act Controls Commissioning],172)))</f>
        <v/>
      </c>
      <c r="BR173" s="5">
        <f>IF(A173="","",N(INDEX(Projects[Act Systems Commissioning],172)))</f>
        <v/>
      </c>
      <c r="BS173" s="5">
        <f>IF(A173="","",N(INDEX(Projects[Act Service Commissioning],172)))</f>
        <v/>
      </c>
      <c r="BT173" s="5">
        <f>IF(A173="","",N(INDEX(Projects[Act Controls Eng],172)))</f>
        <v/>
      </c>
      <c r="BU173" s="5">
        <f>IF(A173="","",N(INDEX(Projects[Act Controls Purchase],172)))</f>
        <v/>
      </c>
      <c r="BV173" s="5">
        <f>IF(A173="","",N(INDEX(Projects[Act Software Eng],172)))</f>
        <v/>
      </c>
      <c r="BW173" s="5">
        <f>IF(A173="","",N(INDEX(Projects[Act 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  <c r="CE173" s="5">
        <f>INDEX(Projects[Act Data Status],172)&amp;""</f>
        <v/>
      </c>
      <c r="CF173" s="5">
        <f>IF(A173="","",N(INDEX(Projects[Est Mech Inst],172)))</f>
        <v/>
      </c>
      <c r="CG173" s="5">
        <f>IF(A173="","",N(INDEX(Projects[Est Elec Inst],172)))</f>
        <v/>
      </c>
      <c r="CH173" s="5">
        <f>IF(A173="","",N(INDEX(Projects[Est Project Management],172)))</f>
        <v/>
      </c>
      <c r="CI173" s="5">
        <f>IF(A173="","",N(INDEX(Projects[Est Systems Eng],172)))</f>
        <v/>
      </c>
      <c r="CJ173" s="5">
        <f>IF(A173="","",N(INDEX(Projects[Est Mechanical Eng],172)))</f>
        <v/>
      </c>
      <c r="CK173" s="5">
        <f>IF(A173="","",N(INDEX(Projects[Est Structural Engineering],172)))</f>
        <v/>
      </c>
      <c r="CL173" s="5">
        <f>IF(A173="","",N(INDEX(Projects[Est Site Sup],172)))</f>
        <v/>
      </c>
      <c r="CM173" s="5">
        <f>IF(A173="","",N(INDEX(Projects[Est Controls Commissioning],172)))</f>
        <v/>
      </c>
      <c r="CN173" s="5">
        <f>IF(A173="","",N(INDEX(Projects[Est Systems Commissioning],172)))</f>
        <v/>
      </c>
      <c r="CO173" s="5">
        <f>IF(A173="","",N(INDEX(Projects[Est Service Commissioning],172)))</f>
        <v/>
      </c>
      <c r="CP173" s="5">
        <f>IF(A173="","",N(INDEX(Projects[Est Controls Eng],172)))</f>
        <v/>
      </c>
      <c r="CQ173" s="5">
        <f>IF(A173="","",N(INDEX(Projects[Est Controls Purchase],172)))</f>
        <v/>
      </c>
      <c r="CR173" s="5">
        <f>IF(A173="","",N(INDEX(Projects[Est Software Eng],172)))</f>
        <v/>
      </c>
      <c r="CS173" s="5">
        <f>IF(A173="","",N(INDEX(Projects[Est Misc],172)))</f>
        <v/>
      </c>
      <c r="CT173" s="5">
        <f>IF(A173="","",SUM(CF173:CS173))</f>
        <v/>
      </c>
      <c r="CU173" s="5">
        <f>INDEX(Projects[Est Cost (M)],172)</f>
        <v/>
      </c>
      <c r="CV173" s="5">
        <f>INDEX(Projects[Act Cost (M)],172)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IF(A174="","",N(INDEX(Projects[Act Mech Inst],173)))</f>
        <v/>
      </c>
      <c r="BK174" s="5">
        <f>IF(A174="","",N(INDEX(Projects[Act Elec Inst],173)))</f>
        <v/>
      </c>
      <c r="BL174" s="5">
        <f>IF(A174="","",N(INDEX(Projects[Act Project Management],173)))</f>
        <v/>
      </c>
      <c r="BM174" s="5">
        <f>IF(A174="","",N(INDEX(Projects[Act Systems Eng],173)))</f>
        <v/>
      </c>
      <c r="BN174" s="5">
        <f>IF(A174="","",N(INDEX(Projects[Act Mechanical Eng],173)))</f>
        <v/>
      </c>
      <c r="BO174" s="5">
        <f>IF(A174="","",N(INDEX(Projects[Act Structural Engineering],173)))</f>
        <v/>
      </c>
      <c r="BP174" s="5">
        <f>IF(A174="","",N(INDEX(Projects[Act Site Sup],173)))</f>
        <v/>
      </c>
      <c r="BQ174" s="5">
        <f>IF(A174="","",N(INDEX(Projects[Act Controls Commissioning],173)))</f>
        <v/>
      </c>
      <c r="BR174" s="5">
        <f>IF(A174="","",N(INDEX(Projects[Act Systems Commissioning],173)))</f>
        <v/>
      </c>
      <c r="BS174" s="5">
        <f>IF(A174="","",N(INDEX(Projects[Act Service Commissioning],173)))</f>
        <v/>
      </c>
      <c r="BT174" s="5">
        <f>IF(A174="","",N(INDEX(Projects[Act Controls Eng],173)))</f>
        <v/>
      </c>
      <c r="BU174" s="5">
        <f>IF(A174="","",N(INDEX(Projects[Act Controls Purchase],173)))</f>
        <v/>
      </c>
      <c r="BV174" s="5">
        <f>IF(A174="","",N(INDEX(Projects[Act Software Eng],173)))</f>
        <v/>
      </c>
      <c r="BW174" s="5">
        <f>IF(A174="","",N(INDEX(Projects[Act 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  <c r="CE174" s="5">
        <f>INDEX(Projects[Act Data Status],173)&amp;""</f>
        <v/>
      </c>
      <c r="CF174" s="5">
        <f>IF(A174="","",N(INDEX(Projects[Est Mech Inst],173)))</f>
        <v/>
      </c>
      <c r="CG174" s="5">
        <f>IF(A174="","",N(INDEX(Projects[Est Elec Inst],173)))</f>
        <v/>
      </c>
      <c r="CH174" s="5">
        <f>IF(A174="","",N(INDEX(Projects[Est Project Management],173)))</f>
        <v/>
      </c>
      <c r="CI174" s="5">
        <f>IF(A174="","",N(INDEX(Projects[Est Systems Eng],173)))</f>
        <v/>
      </c>
      <c r="CJ174" s="5">
        <f>IF(A174="","",N(INDEX(Projects[Est Mechanical Eng],173)))</f>
        <v/>
      </c>
      <c r="CK174" s="5">
        <f>IF(A174="","",N(INDEX(Projects[Est Structural Engineering],173)))</f>
        <v/>
      </c>
      <c r="CL174" s="5">
        <f>IF(A174="","",N(INDEX(Projects[Est Site Sup],173)))</f>
        <v/>
      </c>
      <c r="CM174" s="5">
        <f>IF(A174="","",N(INDEX(Projects[Est Controls Commissioning],173)))</f>
        <v/>
      </c>
      <c r="CN174" s="5">
        <f>IF(A174="","",N(INDEX(Projects[Est Systems Commissioning],173)))</f>
        <v/>
      </c>
      <c r="CO174" s="5">
        <f>IF(A174="","",N(INDEX(Projects[Est Service Commissioning],173)))</f>
        <v/>
      </c>
      <c r="CP174" s="5">
        <f>IF(A174="","",N(INDEX(Projects[Est Controls Eng],173)))</f>
        <v/>
      </c>
      <c r="CQ174" s="5">
        <f>IF(A174="","",N(INDEX(Projects[Est Controls Purchase],173)))</f>
        <v/>
      </c>
      <c r="CR174" s="5">
        <f>IF(A174="","",N(INDEX(Projects[Est Software Eng],173)))</f>
        <v/>
      </c>
      <c r="CS174" s="5">
        <f>IF(A174="","",N(INDEX(Projects[Est Misc],173)))</f>
        <v/>
      </c>
      <c r="CT174" s="5">
        <f>IF(A174="","",SUM(CF174:CS174))</f>
        <v/>
      </c>
      <c r="CU174" s="5">
        <f>INDEX(Projects[Est Cost (M)],173)</f>
        <v/>
      </c>
      <c r="CV174" s="5">
        <f>INDEX(Projects[Act Cost (M)],173)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IF(A175="","",N(INDEX(Projects[Act Mech Inst],174)))</f>
        <v/>
      </c>
      <c r="BK175" s="5">
        <f>IF(A175="","",N(INDEX(Projects[Act Elec Inst],174)))</f>
        <v/>
      </c>
      <c r="BL175" s="5">
        <f>IF(A175="","",N(INDEX(Projects[Act Project Management],174)))</f>
        <v/>
      </c>
      <c r="BM175" s="5">
        <f>IF(A175="","",N(INDEX(Projects[Act Systems Eng],174)))</f>
        <v/>
      </c>
      <c r="BN175" s="5">
        <f>IF(A175="","",N(INDEX(Projects[Act Mechanical Eng],174)))</f>
        <v/>
      </c>
      <c r="BO175" s="5">
        <f>IF(A175="","",N(INDEX(Projects[Act Structural Engineering],174)))</f>
        <v/>
      </c>
      <c r="BP175" s="5">
        <f>IF(A175="","",N(INDEX(Projects[Act Site Sup],174)))</f>
        <v/>
      </c>
      <c r="BQ175" s="5">
        <f>IF(A175="","",N(INDEX(Projects[Act Controls Commissioning],174)))</f>
        <v/>
      </c>
      <c r="BR175" s="5">
        <f>IF(A175="","",N(INDEX(Projects[Act Systems Commissioning],174)))</f>
        <v/>
      </c>
      <c r="BS175" s="5">
        <f>IF(A175="","",N(INDEX(Projects[Act Service Commissioning],174)))</f>
        <v/>
      </c>
      <c r="BT175" s="5">
        <f>IF(A175="","",N(INDEX(Projects[Act Controls Eng],174)))</f>
        <v/>
      </c>
      <c r="BU175" s="5">
        <f>IF(A175="","",N(INDEX(Projects[Act Controls Purchase],174)))</f>
        <v/>
      </c>
      <c r="BV175" s="5">
        <f>IF(A175="","",N(INDEX(Projects[Act Software Eng],174)))</f>
        <v/>
      </c>
      <c r="BW175" s="5">
        <f>IF(A175="","",N(INDEX(Projects[Act 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  <c r="CE175" s="5">
        <f>INDEX(Projects[Act Data Status],174)&amp;""</f>
        <v/>
      </c>
      <c r="CF175" s="5">
        <f>IF(A175="","",N(INDEX(Projects[Est Mech Inst],174)))</f>
        <v/>
      </c>
      <c r="CG175" s="5">
        <f>IF(A175="","",N(INDEX(Projects[Est Elec Inst],174)))</f>
        <v/>
      </c>
      <c r="CH175" s="5">
        <f>IF(A175="","",N(INDEX(Projects[Est Project Management],174)))</f>
        <v/>
      </c>
      <c r="CI175" s="5">
        <f>IF(A175="","",N(INDEX(Projects[Est Systems Eng],174)))</f>
        <v/>
      </c>
      <c r="CJ175" s="5">
        <f>IF(A175="","",N(INDEX(Projects[Est Mechanical Eng],174)))</f>
        <v/>
      </c>
      <c r="CK175" s="5">
        <f>IF(A175="","",N(INDEX(Projects[Est Structural Engineering],174)))</f>
        <v/>
      </c>
      <c r="CL175" s="5">
        <f>IF(A175="","",N(INDEX(Projects[Est Site Sup],174)))</f>
        <v/>
      </c>
      <c r="CM175" s="5">
        <f>IF(A175="","",N(INDEX(Projects[Est Controls Commissioning],174)))</f>
        <v/>
      </c>
      <c r="CN175" s="5">
        <f>IF(A175="","",N(INDEX(Projects[Est Systems Commissioning],174)))</f>
        <v/>
      </c>
      <c r="CO175" s="5">
        <f>IF(A175="","",N(INDEX(Projects[Est Service Commissioning],174)))</f>
        <v/>
      </c>
      <c r="CP175" s="5">
        <f>IF(A175="","",N(INDEX(Projects[Est Controls Eng],174)))</f>
        <v/>
      </c>
      <c r="CQ175" s="5">
        <f>IF(A175="","",N(INDEX(Projects[Est Controls Purchase],174)))</f>
        <v/>
      </c>
      <c r="CR175" s="5">
        <f>IF(A175="","",N(INDEX(Projects[Est Software Eng],174)))</f>
        <v/>
      </c>
      <c r="CS175" s="5">
        <f>IF(A175="","",N(INDEX(Projects[Est Misc],174)))</f>
        <v/>
      </c>
      <c r="CT175" s="5">
        <f>IF(A175="","",SUM(CF175:CS175))</f>
        <v/>
      </c>
      <c r="CU175" s="5">
        <f>INDEX(Projects[Est Cost (M)],174)</f>
        <v/>
      </c>
      <c r="CV175" s="5">
        <f>INDEX(Projects[Act Cost (M)],174)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IF(A176="","",N(INDEX(Projects[Act Mech Inst],175)))</f>
        <v/>
      </c>
      <c r="BK176" s="5">
        <f>IF(A176="","",N(INDEX(Projects[Act Elec Inst],175)))</f>
        <v/>
      </c>
      <c r="BL176" s="5">
        <f>IF(A176="","",N(INDEX(Projects[Act Project Management],175)))</f>
        <v/>
      </c>
      <c r="BM176" s="5">
        <f>IF(A176="","",N(INDEX(Projects[Act Systems Eng],175)))</f>
        <v/>
      </c>
      <c r="BN176" s="5">
        <f>IF(A176="","",N(INDEX(Projects[Act Mechanical Eng],175)))</f>
        <v/>
      </c>
      <c r="BO176" s="5">
        <f>IF(A176="","",N(INDEX(Projects[Act Structural Engineering],175)))</f>
        <v/>
      </c>
      <c r="BP176" s="5">
        <f>IF(A176="","",N(INDEX(Projects[Act Site Sup],175)))</f>
        <v/>
      </c>
      <c r="BQ176" s="5">
        <f>IF(A176="","",N(INDEX(Projects[Act Controls Commissioning],175)))</f>
        <v/>
      </c>
      <c r="BR176" s="5">
        <f>IF(A176="","",N(INDEX(Projects[Act Systems Commissioning],175)))</f>
        <v/>
      </c>
      <c r="BS176" s="5">
        <f>IF(A176="","",N(INDEX(Projects[Act Service Commissioning],175)))</f>
        <v/>
      </c>
      <c r="BT176" s="5">
        <f>IF(A176="","",N(INDEX(Projects[Act Controls Eng],175)))</f>
        <v/>
      </c>
      <c r="BU176" s="5">
        <f>IF(A176="","",N(INDEX(Projects[Act Controls Purchase],175)))</f>
        <v/>
      </c>
      <c r="BV176" s="5">
        <f>IF(A176="","",N(INDEX(Projects[Act Software Eng],175)))</f>
        <v/>
      </c>
      <c r="BW176" s="5">
        <f>IF(A176="","",N(INDEX(Projects[Act 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  <c r="CE176" s="5">
        <f>INDEX(Projects[Act Data Status],175)&amp;""</f>
        <v/>
      </c>
      <c r="CF176" s="5">
        <f>IF(A176="","",N(INDEX(Projects[Est Mech Inst],175)))</f>
        <v/>
      </c>
      <c r="CG176" s="5">
        <f>IF(A176="","",N(INDEX(Projects[Est Elec Inst],175)))</f>
        <v/>
      </c>
      <c r="CH176" s="5">
        <f>IF(A176="","",N(INDEX(Projects[Est Project Management],175)))</f>
        <v/>
      </c>
      <c r="CI176" s="5">
        <f>IF(A176="","",N(INDEX(Projects[Est Systems Eng],175)))</f>
        <v/>
      </c>
      <c r="CJ176" s="5">
        <f>IF(A176="","",N(INDEX(Projects[Est Mechanical Eng],175)))</f>
        <v/>
      </c>
      <c r="CK176" s="5">
        <f>IF(A176="","",N(INDEX(Projects[Est Structural Engineering],175)))</f>
        <v/>
      </c>
      <c r="CL176" s="5">
        <f>IF(A176="","",N(INDEX(Projects[Est Site Sup],175)))</f>
        <v/>
      </c>
      <c r="CM176" s="5">
        <f>IF(A176="","",N(INDEX(Projects[Est Controls Commissioning],175)))</f>
        <v/>
      </c>
      <c r="CN176" s="5">
        <f>IF(A176="","",N(INDEX(Projects[Est Systems Commissioning],175)))</f>
        <v/>
      </c>
      <c r="CO176" s="5">
        <f>IF(A176="","",N(INDEX(Projects[Est Service Commissioning],175)))</f>
        <v/>
      </c>
      <c r="CP176" s="5">
        <f>IF(A176="","",N(INDEX(Projects[Est Controls Eng],175)))</f>
        <v/>
      </c>
      <c r="CQ176" s="5">
        <f>IF(A176="","",N(INDEX(Projects[Est Controls Purchase],175)))</f>
        <v/>
      </c>
      <c r="CR176" s="5">
        <f>IF(A176="","",N(INDEX(Projects[Est Software Eng],175)))</f>
        <v/>
      </c>
      <c r="CS176" s="5">
        <f>IF(A176="","",N(INDEX(Projects[Est Misc],175)))</f>
        <v/>
      </c>
      <c r="CT176" s="5">
        <f>IF(A176="","",SUM(CF176:CS176))</f>
        <v/>
      </c>
      <c r="CU176" s="5">
        <f>INDEX(Projects[Est Cost (M)],175)</f>
        <v/>
      </c>
      <c r="CV176" s="5">
        <f>INDEX(Projects[Act Cost (M)],175)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IF(A177="","",N(INDEX(Projects[Act Mech Inst],176)))</f>
        <v/>
      </c>
      <c r="BK177" s="5">
        <f>IF(A177="","",N(INDEX(Projects[Act Elec Inst],176)))</f>
        <v/>
      </c>
      <c r="BL177" s="5">
        <f>IF(A177="","",N(INDEX(Projects[Act Project Management],176)))</f>
        <v/>
      </c>
      <c r="BM177" s="5">
        <f>IF(A177="","",N(INDEX(Projects[Act Systems Eng],176)))</f>
        <v/>
      </c>
      <c r="BN177" s="5">
        <f>IF(A177="","",N(INDEX(Projects[Act Mechanical Eng],176)))</f>
        <v/>
      </c>
      <c r="BO177" s="5">
        <f>IF(A177="","",N(INDEX(Projects[Act Structural Engineering],176)))</f>
        <v/>
      </c>
      <c r="BP177" s="5">
        <f>IF(A177="","",N(INDEX(Projects[Act Site Sup],176)))</f>
        <v/>
      </c>
      <c r="BQ177" s="5">
        <f>IF(A177="","",N(INDEX(Projects[Act Controls Commissioning],176)))</f>
        <v/>
      </c>
      <c r="BR177" s="5">
        <f>IF(A177="","",N(INDEX(Projects[Act Systems Commissioning],176)))</f>
        <v/>
      </c>
      <c r="BS177" s="5">
        <f>IF(A177="","",N(INDEX(Projects[Act Service Commissioning],176)))</f>
        <v/>
      </c>
      <c r="BT177" s="5">
        <f>IF(A177="","",N(INDEX(Projects[Act Controls Eng],176)))</f>
        <v/>
      </c>
      <c r="BU177" s="5">
        <f>IF(A177="","",N(INDEX(Projects[Act Controls Purchase],176)))</f>
        <v/>
      </c>
      <c r="BV177" s="5">
        <f>IF(A177="","",N(INDEX(Projects[Act Software Eng],176)))</f>
        <v/>
      </c>
      <c r="BW177" s="5">
        <f>IF(A177="","",N(INDEX(Projects[Act 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  <c r="CE177" s="5">
        <f>INDEX(Projects[Act Data Status],176)&amp;""</f>
        <v/>
      </c>
      <c r="CF177" s="5">
        <f>IF(A177="","",N(INDEX(Projects[Est Mech Inst],176)))</f>
        <v/>
      </c>
      <c r="CG177" s="5">
        <f>IF(A177="","",N(INDEX(Projects[Est Elec Inst],176)))</f>
        <v/>
      </c>
      <c r="CH177" s="5">
        <f>IF(A177="","",N(INDEX(Projects[Est Project Management],176)))</f>
        <v/>
      </c>
      <c r="CI177" s="5">
        <f>IF(A177="","",N(INDEX(Projects[Est Systems Eng],176)))</f>
        <v/>
      </c>
      <c r="CJ177" s="5">
        <f>IF(A177="","",N(INDEX(Projects[Est Mechanical Eng],176)))</f>
        <v/>
      </c>
      <c r="CK177" s="5">
        <f>IF(A177="","",N(INDEX(Projects[Est Structural Engineering],176)))</f>
        <v/>
      </c>
      <c r="CL177" s="5">
        <f>IF(A177="","",N(INDEX(Projects[Est Site Sup],176)))</f>
        <v/>
      </c>
      <c r="CM177" s="5">
        <f>IF(A177="","",N(INDEX(Projects[Est Controls Commissioning],176)))</f>
        <v/>
      </c>
      <c r="CN177" s="5">
        <f>IF(A177="","",N(INDEX(Projects[Est Systems Commissioning],176)))</f>
        <v/>
      </c>
      <c r="CO177" s="5">
        <f>IF(A177="","",N(INDEX(Projects[Est Service Commissioning],176)))</f>
        <v/>
      </c>
      <c r="CP177" s="5">
        <f>IF(A177="","",N(INDEX(Projects[Est Controls Eng],176)))</f>
        <v/>
      </c>
      <c r="CQ177" s="5">
        <f>IF(A177="","",N(INDEX(Projects[Est Controls Purchase],176)))</f>
        <v/>
      </c>
      <c r="CR177" s="5">
        <f>IF(A177="","",N(INDEX(Projects[Est Software Eng],176)))</f>
        <v/>
      </c>
      <c r="CS177" s="5">
        <f>IF(A177="","",N(INDEX(Projects[Est Misc],176)))</f>
        <v/>
      </c>
      <c r="CT177" s="5">
        <f>IF(A177="","",SUM(CF177:CS177))</f>
        <v/>
      </c>
      <c r="CU177" s="5">
        <f>INDEX(Projects[Est Cost (M)],176)</f>
        <v/>
      </c>
      <c r="CV177" s="5">
        <f>INDEX(Projects[Act Cost (M)],176)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IF(A178="","",N(INDEX(Projects[Act Mech Inst],177)))</f>
        <v/>
      </c>
      <c r="BK178" s="5">
        <f>IF(A178="","",N(INDEX(Projects[Act Elec Inst],177)))</f>
        <v/>
      </c>
      <c r="BL178" s="5">
        <f>IF(A178="","",N(INDEX(Projects[Act Project Management],177)))</f>
        <v/>
      </c>
      <c r="BM178" s="5">
        <f>IF(A178="","",N(INDEX(Projects[Act Systems Eng],177)))</f>
        <v/>
      </c>
      <c r="BN178" s="5">
        <f>IF(A178="","",N(INDEX(Projects[Act Mechanical Eng],177)))</f>
        <v/>
      </c>
      <c r="BO178" s="5">
        <f>IF(A178="","",N(INDEX(Projects[Act Structural Engineering],177)))</f>
        <v/>
      </c>
      <c r="BP178" s="5">
        <f>IF(A178="","",N(INDEX(Projects[Act Site Sup],177)))</f>
        <v/>
      </c>
      <c r="BQ178" s="5">
        <f>IF(A178="","",N(INDEX(Projects[Act Controls Commissioning],177)))</f>
        <v/>
      </c>
      <c r="BR178" s="5">
        <f>IF(A178="","",N(INDEX(Projects[Act Systems Commissioning],177)))</f>
        <v/>
      </c>
      <c r="BS178" s="5">
        <f>IF(A178="","",N(INDEX(Projects[Act Service Commissioning],177)))</f>
        <v/>
      </c>
      <c r="BT178" s="5">
        <f>IF(A178="","",N(INDEX(Projects[Act Controls Eng],177)))</f>
        <v/>
      </c>
      <c r="BU178" s="5">
        <f>IF(A178="","",N(INDEX(Projects[Act Controls Purchase],177)))</f>
        <v/>
      </c>
      <c r="BV178" s="5">
        <f>IF(A178="","",N(INDEX(Projects[Act Software Eng],177)))</f>
        <v/>
      </c>
      <c r="BW178" s="5">
        <f>IF(A178="","",N(INDEX(Projects[Act 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  <c r="CE178" s="5">
        <f>INDEX(Projects[Act Data Status],177)&amp;""</f>
        <v/>
      </c>
      <c r="CF178" s="5">
        <f>IF(A178="","",N(INDEX(Projects[Est Mech Inst],177)))</f>
        <v/>
      </c>
      <c r="CG178" s="5">
        <f>IF(A178="","",N(INDEX(Projects[Est Elec Inst],177)))</f>
        <v/>
      </c>
      <c r="CH178" s="5">
        <f>IF(A178="","",N(INDEX(Projects[Est Project Management],177)))</f>
        <v/>
      </c>
      <c r="CI178" s="5">
        <f>IF(A178="","",N(INDEX(Projects[Est Systems Eng],177)))</f>
        <v/>
      </c>
      <c r="CJ178" s="5">
        <f>IF(A178="","",N(INDEX(Projects[Est Mechanical Eng],177)))</f>
        <v/>
      </c>
      <c r="CK178" s="5">
        <f>IF(A178="","",N(INDEX(Projects[Est Structural Engineering],177)))</f>
        <v/>
      </c>
      <c r="CL178" s="5">
        <f>IF(A178="","",N(INDEX(Projects[Est Site Sup],177)))</f>
        <v/>
      </c>
      <c r="CM178" s="5">
        <f>IF(A178="","",N(INDEX(Projects[Est Controls Commissioning],177)))</f>
        <v/>
      </c>
      <c r="CN178" s="5">
        <f>IF(A178="","",N(INDEX(Projects[Est Systems Commissioning],177)))</f>
        <v/>
      </c>
      <c r="CO178" s="5">
        <f>IF(A178="","",N(INDEX(Projects[Est Service Commissioning],177)))</f>
        <v/>
      </c>
      <c r="CP178" s="5">
        <f>IF(A178="","",N(INDEX(Projects[Est Controls Eng],177)))</f>
        <v/>
      </c>
      <c r="CQ178" s="5">
        <f>IF(A178="","",N(INDEX(Projects[Est Controls Purchase],177)))</f>
        <v/>
      </c>
      <c r="CR178" s="5">
        <f>IF(A178="","",N(INDEX(Projects[Est Software Eng],177)))</f>
        <v/>
      </c>
      <c r="CS178" s="5">
        <f>IF(A178="","",N(INDEX(Projects[Est Misc],177)))</f>
        <v/>
      </c>
      <c r="CT178" s="5">
        <f>IF(A178="","",SUM(CF178:CS178))</f>
        <v/>
      </c>
      <c r="CU178" s="5">
        <f>INDEX(Projects[Est Cost (M)],177)</f>
        <v/>
      </c>
      <c r="CV178" s="5">
        <f>INDEX(Projects[Act Cost (M)],177)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IF(A179="","",N(INDEX(Projects[Act Mech Inst],178)))</f>
        <v/>
      </c>
      <c r="BK179" s="5">
        <f>IF(A179="","",N(INDEX(Projects[Act Elec Inst],178)))</f>
        <v/>
      </c>
      <c r="BL179" s="5">
        <f>IF(A179="","",N(INDEX(Projects[Act Project Management],178)))</f>
        <v/>
      </c>
      <c r="BM179" s="5">
        <f>IF(A179="","",N(INDEX(Projects[Act Systems Eng],178)))</f>
        <v/>
      </c>
      <c r="BN179" s="5">
        <f>IF(A179="","",N(INDEX(Projects[Act Mechanical Eng],178)))</f>
        <v/>
      </c>
      <c r="BO179" s="5">
        <f>IF(A179="","",N(INDEX(Projects[Act Structural Engineering],178)))</f>
        <v/>
      </c>
      <c r="BP179" s="5">
        <f>IF(A179="","",N(INDEX(Projects[Act Site Sup],178)))</f>
        <v/>
      </c>
      <c r="BQ179" s="5">
        <f>IF(A179="","",N(INDEX(Projects[Act Controls Commissioning],178)))</f>
        <v/>
      </c>
      <c r="BR179" s="5">
        <f>IF(A179="","",N(INDEX(Projects[Act Systems Commissioning],178)))</f>
        <v/>
      </c>
      <c r="BS179" s="5">
        <f>IF(A179="","",N(INDEX(Projects[Act Service Commissioning],178)))</f>
        <v/>
      </c>
      <c r="BT179" s="5">
        <f>IF(A179="","",N(INDEX(Projects[Act Controls Eng],178)))</f>
        <v/>
      </c>
      <c r="BU179" s="5">
        <f>IF(A179="","",N(INDEX(Projects[Act Controls Purchase],178)))</f>
        <v/>
      </c>
      <c r="BV179" s="5">
        <f>IF(A179="","",N(INDEX(Projects[Act Software Eng],178)))</f>
        <v/>
      </c>
      <c r="BW179" s="5">
        <f>IF(A179="","",N(INDEX(Projects[Act 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  <c r="CE179" s="5">
        <f>INDEX(Projects[Act Data Status],178)&amp;""</f>
        <v/>
      </c>
      <c r="CF179" s="5">
        <f>IF(A179="","",N(INDEX(Projects[Est Mech Inst],178)))</f>
        <v/>
      </c>
      <c r="CG179" s="5">
        <f>IF(A179="","",N(INDEX(Projects[Est Elec Inst],178)))</f>
        <v/>
      </c>
      <c r="CH179" s="5">
        <f>IF(A179="","",N(INDEX(Projects[Est Project Management],178)))</f>
        <v/>
      </c>
      <c r="CI179" s="5">
        <f>IF(A179="","",N(INDEX(Projects[Est Systems Eng],178)))</f>
        <v/>
      </c>
      <c r="CJ179" s="5">
        <f>IF(A179="","",N(INDEX(Projects[Est Mechanical Eng],178)))</f>
        <v/>
      </c>
      <c r="CK179" s="5">
        <f>IF(A179="","",N(INDEX(Projects[Est Structural Engineering],178)))</f>
        <v/>
      </c>
      <c r="CL179" s="5">
        <f>IF(A179="","",N(INDEX(Projects[Est Site Sup],178)))</f>
        <v/>
      </c>
      <c r="CM179" s="5">
        <f>IF(A179="","",N(INDEX(Projects[Est Controls Commissioning],178)))</f>
        <v/>
      </c>
      <c r="CN179" s="5">
        <f>IF(A179="","",N(INDEX(Projects[Est Systems Commissioning],178)))</f>
        <v/>
      </c>
      <c r="CO179" s="5">
        <f>IF(A179="","",N(INDEX(Projects[Est Service Commissioning],178)))</f>
        <v/>
      </c>
      <c r="CP179" s="5">
        <f>IF(A179="","",N(INDEX(Projects[Est Controls Eng],178)))</f>
        <v/>
      </c>
      <c r="CQ179" s="5">
        <f>IF(A179="","",N(INDEX(Projects[Est Controls Purchase],178)))</f>
        <v/>
      </c>
      <c r="CR179" s="5">
        <f>IF(A179="","",N(INDEX(Projects[Est Software Eng],178)))</f>
        <v/>
      </c>
      <c r="CS179" s="5">
        <f>IF(A179="","",N(INDEX(Projects[Est Misc],178)))</f>
        <v/>
      </c>
      <c r="CT179" s="5">
        <f>IF(A179="","",SUM(CF179:CS179))</f>
        <v/>
      </c>
      <c r="CU179" s="5">
        <f>INDEX(Projects[Est Cost (M)],178)</f>
        <v/>
      </c>
      <c r="CV179" s="5">
        <f>INDEX(Projects[Act Cost (M)],178)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IF(A180="","",N(INDEX(Projects[Act Mech Inst],179)))</f>
        <v/>
      </c>
      <c r="BK180" s="5">
        <f>IF(A180="","",N(INDEX(Projects[Act Elec Inst],179)))</f>
        <v/>
      </c>
      <c r="BL180" s="5">
        <f>IF(A180="","",N(INDEX(Projects[Act Project Management],179)))</f>
        <v/>
      </c>
      <c r="BM180" s="5">
        <f>IF(A180="","",N(INDEX(Projects[Act Systems Eng],179)))</f>
        <v/>
      </c>
      <c r="BN180" s="5">
        <f>IF(A180="","",N(INDEX(Projects[Act Mechanical Eng],179)))</f>
        <v/>
      </c>
      <c r="BO180" s="5">
        <f>IF(A180="","",N(INDEX(Projects[Act Structural Engineering],179)))</f>
        <v/>
      </c>
      <c r="BP180" s="5">
        <f>IF(A180="","",N(INDEX(Projects[Act Site Sup],179)))</f>
        <v/>
      </c>
      <c r="BQ180" s="5">
        <f>IF(A180="","",N(INDEX(Projects[Act Controls Commissioning],179)))</f>
        <v/>
      </c>
      <c r="BR180" s="5">
        <f>IF(A180="","",N(INDEX(Projects[Act Systems Commissioning],179)))</f>
        <v/>
      </c>
      <c r="BS180" s="5">
        <f>IF(A180="","",N(INDEX(Projects[Act Service Commissioning],179)))</f>
        <v/>
      </c>
      <c r="BT180" s="5">
        <f>IF(A180="","",N(INDEX(Projects[Act Controls Eng],179)))</f>
        <v/>
      </c>
      <c r="BU180" s="5">
        <f>IF(A180="","",N(INDEX(Projects[Act Controls Purchase],179)))</f>
        <v/>
      </c>
      <c r="BV180" s="5">
        <f>IF(A180="","",N(INDEX(Projects[Act Software Eng],179)))</f>
        <v/>
      </c>
      <c r="BW180" s="5">
        <f>IF(A180="","",N(INDEX(Projects[Act 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  <c r="CE180" s="5">
        <f>INDEX(Projects[Act Data Status],179)&amp;""</f>
        <v/>
      </c>
      <c r="CF180" s="5">
        <f>IF(A180="","",N(INDEX(Projects[Est Mech Inst],179)))</f>
        <v/>
      </c>
      <c r="CG180" s="5">
        <f>IF(A180="","",N(INDEX(Projects[Est Elec Inst],179)))</f>
        <v/>
      </c>
      <c r="CH180" s="5">
        <f>IF(A180="","",N(INDEX(Projects[Est Project Management],179)))</f>
        <v/>
      </c>
      <c r="CI180" s="5">
        <f>IF(A180="","",N(INDEX(Projects[Est Systems Eng],179)))</f>
        <v/>
      </c>
      <c r="CJ180" s="5">
        <f>IF(A180="","",N(INDEX(Projects[Est Mechanical Eng],179)))</f>
        <v/>
      </c>
      <c r="CK180" s="5">
        <f>IF(A180="","",N(INDEX(Projects[Est Structural Engineering],179)))</f>
        <v/>
      </c>
      <c r="CL180" s="5">
        <f>IF(A180="","",N(INDEX(Projects[Est Site Sup],179)))</f>
        <v/>
      </c>
      <c r="CM180" s="5">
        <f>IF(A180="","",N(INDEX(Projects[Est Controls Commissioning],179)))</f>
        <v/>
      </c>
      <c r="CN180" s="5">
        <f>IF(A180="","",N(INDEX(Projects[Est Systems Commissioning],179)))</f>
        <v/>
      </c>
      <c r="CO180" s="5">
        <f>IF(A180="","",N(INDEX(Projects[Est Service Commissioning],179)))</f>
        <v/>
      </c>
      <c r="CP180" s="5">
        <f>IF(A180="","",N(INDEX(Projects[Est Controls Eng],179)))</f>
        <v/>
      </c>
      <c r="CQ180" s="5">
        <f>IF(A180="","",N(INDEX(Projects[Est Controls Purchase],179)))</f>
        <v/>
      </c>
      <c r="CR180" s="5">
        <f>IF(A180="","",N(INDEX(Projects[Est Software Eng],179)))</f>
        <v/>
      </c>
      <c r="CS180" s="5">
        <f>IF(A180="","",N(INDEX(Projects[Est Misc],179)))</f>
        <v/>
      </c>
      <c r="CT180" s="5">
        <f>IF(A180="","",SUM(CF180:CS180))</f>
        <v/>
      </c>
      <c r="CU180" s="5">
        <f>INDEX(Projects[Est Cost (M)],179)</f>
        <v/>
      </c>
      <c r="CV180" s="5">
        <f>INDEX(Projects[Act Cost (M)],179)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IF(A181="","",N(INDEX(Projects[Act Mech Inst],180)))</f>
        <v/>
      </c>
      <c r="BK181" s="5">
        <f>IF(A181="","",N(INDEX(Projects[Act Elec Inst],180)))</f>
        <v/>
      </c>
      <c r="BL181" s="5">
        <f>IF(A181="","",N(INDEX(Projects[Act Project Management],180)))</f>
        <v/>
      </c>
      <c r="BM181" s="5">
        <f>IF(A181="","",N(INDEX(Projects[Act Systems Eng],180)))</f>
        <v/>
      </c>
      <c r="BN181" s="5">
        <f>IF(A181="","",N(INDEX(Projects[Act Mechanical Eng],180)))</f>
        <v/>
      </c>
      <c r="BO181" s="5">
        <f>IF(A181="","",N(INDEX(Projects[Act Structural Engineering],180)))</f>
        <v/>
      </c>
      <c r="BP181" s="5">
        <f>IF(A181="","",N(INDEX(Projects[Act Site Sup],180)))</f>
        <v/>
      </c>
      <c r="BQ181" s="5">
        <f>IF(A181="","",N(INDEX(Projects[Act Controls Commissioning],180)))</f>
        <v/>
      </c>
      <c r="BR181" s="5">
        <f>IF(A181="","",N(INDEX(Projects[Act Systems Commissioning],180)))</f>
        <v/>
      </c>
      <c r="BS181" s="5">
        <f>IF(A181="","",N(INDEX(Projects[Act Service Commissioning],180)))</f>
        <v/>
      </c>
      <c r="BT181" s="5">
        <f>IF(A181="","",N(INDEX(Projects[Act Controls Eng],180)))</f>
        <v/>
      </c>
      <c r="BU181" s="5">
        <f>IF(A181="","",N(INDEX(Projects[Act Controls Purchase],180)))</f>
        <v/>
      </c>
      <c r="BV181" s="5">
        <f>IF(A181="","",N(INDEX(Projects[Act Software Eng],180)))</f>
        <v/>
      </c>
      <c r="BW181" s="5">
        <f>IF(A181="","",N(INDEX(Projects[Act 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  <c r="CE181" s="5">
        <f>INDEX(Projects[Act Data Status],180)&amp;""</f>
        <v/>
      </c>
      <c r="CF181" s="5">
        <f>IF(A181="","",N(INDEX(Projects[Est Mech Inst],180)))</f>
        <v/>
      </c>
      <c r="CG181" s="5">
        <f>IF(A181="","",N(INDEX(Projects[Est Elec Inst],180)))</f>
        <v/>
      </c>
      <c r="CH181" s="5">
        <f>IF(A181="","",N(INDEX(Projects[Est Project Management],180)))</f>
        <v/>
      </c>
      <c r="CI181" s="5">
        <f>IF(A181="","",N(INDEX(Projects[Est Systems Eng],180)))</f>
        <v/>
      </c>
      <c r="CJ181" s="5">
        <f>IF(A181="","",N(INDEX(Projects[Est Mechanical Eng],180)))</f>
        <v/>
      </c>
      <c r="CK181" s="5">
        <f>IF(A181="","",N(INDEX(Projects[Est Structural Engineering],180)))</f>
        <v/>
      </c>
      <c r="CL181" s="5">
        <f>IF(A181="","",N(INDEX(Projects[Est Site Sup],180)))</f>
        <v/>
      </c>
      <c r="CM181" s="5">
        <f>IF(A181="","",N(INDEX(Projects[Est Controls Commissioning],180)))</f>
        <v/>
      </c>
      <c r="CN181" s="5">
        <f>IF(A181="","",N(INDEX(Projects[Est Systems Commissioning],180)))</f>
        <v/>
      </c>
      <c r="CO181" s="5">
        <f>IF(A181="","",N(INDEX(Projects[Est Service Commissioning],180)))</f>
        <v/>
      </c>
      <c r="CP181" s="5">
        <f>IF(A181="","",N(INDEX(Projects[Est Controls Eng],180)))</f>
        <v/>
      </c>
      <c r="CQ181" s="5">
        <f>IF(A181="","",N(INDEX(Projects[Est Controls Purchase],180)))</f>
        <v/>
      </c>
      <c r="CR181" s="5">
        <f>IF(A181="","",N(INDEX(Projects[Est Software Eng],180)))</f>
        <v/>
      </c>
      <c r="CS181" s="5">
        <f>IF(A181="","",N(INDEX(Projects[Est Misc],180)))</f>
        <v/>
      </c>
      <c r="CT181" s="5">
        <f>IF(A181="","",SUM(CF181:CS181))</f>
        <v/>
      </c>
      <c r="CU181" s="5">
        <f>INDEX(Projects[Est Cost (M)],180)</f>
        <v/>
      </c>
      <c r="CV181" s="5">
        <f>INDEX(Projects[Act Cost (M)],180)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IF(A182="","",N(INDEX(Projects[Act Mech Inst],181)))</f>
        <v/>
      </c>
      <c r="BK182" s="5">
        <f>IF(A182="","",N(INDEX(Projects[Act Elec Inst],181)))</f>
        <v/>
      </c>
      <c r="BL182" s="5">
        <f>IF(A182="","",N(INDEX(Projects[Act Project Management],181)))</f>
        <v/>
      </c>
      <c r="BM182" s="5">
        <f>IF(A182="","",N(INDEX(Projects[Act Systems Eng],181)))</f>
        <v/>
      </c>
      <c r="BN182" s="5">
        <f>IF(A182="","",N(INDEX(Projects[Act Mechanical Eng],181)))</f>
        <v/>
      </c>
      <c r="BO182" s="5">
        <f>IF(A182="","",N(INDEX(Projects[Act Structural Engineering],181)))</f>
        <v/>
      </c>
      <c r="BP182" s="5">
        <f>IF(A182="","",N(INDEX(Projects[Act Site Sup],181)))</f>
        <v/>
      </c>
      <c r="BQ182" s="5">
        <f>IF(A182="","",N(INDEX(Projects[Act Controls Commissioning],181)))</f>
        <v/>
      </c>
      <c r="BR182" s="5">
        <f>IF(A182="","",N(INDEX(Projects[Act Systems Commissioning],181)))</f>
        <v/>
      </c>
      <c r="BS182" s="5">
        <f>IF(A182="","",N(INDEX(Projects[Act Service Commissioning],181)))</f>
        <v/>
      </c>
      <c r="BT182" s="5">
        <f>IF(A182="","",N(INDEX(Projects[Act Controls Eng],181)))</f>
        <v/>
      </c>
      <c r="BU182" s="5">
        <f>IF(A182="","",N(INDEX(Projects[Act Controls Purchase],181)))</f>
        <v/>
      </c>
      <c r="BV182" s="5">
        <f>IF(A182="","",N(INDEX(Projects[Act Software Eng],181)))</f>
        <v/>
      </c>
      <c r="BW182" s="5">
        <f>IF(A182="","",N(INDEX(Projects[Act 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  <c r="CE182" s="5">
        <f>INDEX(Projects[Act Data Status],181)&amp;""</f>
        <v/>
      </c>
      <c r="CF182" s="5">
        <f>IF(A182="","",N(INDEX(Projects[Est Mech Inst],181)))</f>
        <v/>
      </c>
      <c r="CG182" s="5">
        <f>IF(A182="","",N(INDEX(Projects[Est Elec Inst],181)))</f>
        <v/>
      </c>
      <c r="CH182" s="5">
        <f>IF(A182="","",N(INDEX(Projects[Est Project Management],181)))</f>
        <v/>
      </c>
      <c r="CI182" s="5">
        <f>IF(A182="","",N(INDEX(Projects[Est Systems Eng],181)))</f>
        <v/>
      </c>
      <c r="CJ182" s="5">
        <f>IF(A182="","",N(INDEX(Projects[Est Mechanical Eng],181)))</f>
        <v/>
      </c>
      <c r="CK182" s="5">
        <f>IF(A182="","",N(INDEX(Projects[Est Structural Engineering],181)))</f>
        <v/>
      </c>
      <c r="CL182" s="5">
        <f>IF(A182="","",N(INDEX(Projects[Est Site Sup],181)))</f>
        <v/>
      </c>
      <c r="CM182" s="5">
        <f>IF(A182="","",N(INDEX(Projects[Est Controls Commissioning],181)))</f>
        <v/>
      </c>
      <c r="CN182" s="5">
        <f>IF(A182="","",N(INDEX(Projects[Est Systems Commissioning],181)))</f>
        <v/>
      </c>
      <c r="CO182" s="5">
        <f>IF(A182="","",N(INDEX(Projects[Est Service Commissioning],181)))</f>
        <v/>
      </c>
      <c r="CP182" s="5">
        <f>IF(A182="","",N(INDEX(Projects[Est Controls Eng],181)))</f>
        <v/>
      </c>
      <c r="CQ182" s="5">
        <f>IF(A182="","",N(INDEX(Projects[Est Controls Purchase],181)))</f>
        <v/>
      </c>
      <c r="CR182" s="5">
        <f>IF(A182="","",N(INDEX(Projects[Est Software Eng],181)))</f>
        <v/>
      </c>
      <c r="CS182" s="5">
        <f>IF(A182="","",N(INDEX(Projects[Est Misc],181)))</f>
        <v/>
      </c>
      <c r="CT182" s="5">
        <f>IF(A182="","",SUM(CF182:CS182))</f>
        <v/>
      </c>
      <c r="CU182" s="5">
        <f>INDEX(Projects[Est Cost (M)],181)</f>
        <v/>
      </c>
      <c r="CV182" s="5">
        <f>INDEX(Projects[Act Cost (M)],181)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IF(A183="","",N(INDEX(Projects[Act Mech Inst],182)))</f>
        <v/>
      </c>
      <c r="BK183" s="5">
        <f>IF(A183="","",N(INDEX(Projects[Act Elec Inst],182)))</f>
        <v/>
      </c>
      <c r="BL183" s="5">
        <f>IF(A183="","",N(INDEX(Projects[Act Project Management],182)))</f>
        <v/>
      </c>
      <c r="BM183" s="5">
        <f>IF(A183="","",N(INDEX(Projects[Act Systems Eng],182)))</f>
        <v/>
      </c>
      <c r="BN183" s="5">
        <f>IF(A183="","",N(INDEX(Projects[Act Mechanical Eng],182)))</f>
        <v/>
      </c>
      <c r="BO183" s="5">
        <f>IF(A183="","",N(INDEX(Projects[Act Structural Engineering],182)))</f>
        <v/>
      </c>
      <c r="BP183" s="5">
        <f>IF(A183="","",N(INDEX(Projects[Act Site Sup],182)))</f>
        <v/>
      </c>
      <c r="BQ183" s="5">
        <f>IF(A183="","",N(INDEX(Projects[Act Controls Commissioning],182)))</f>
        <v/>
      </c>
      <c r="BR183" s="5">
        <f>IF(A183="","",N(INDEX(Projects[Act Systems Commissioning],182)))</f>
        <v/>
      </c>
      <c r="BS183" s="5">
        <f>IF(A183="","",N(INDEX(Projects[Act Service Commissioning],182)))</f>
        <v/>
      </c>
      <c r="BT183" s="5">
        <f>IF(A183="","",N(INDEX(Projects[Act Controls Eng],182)))</f>
        <v/>
      </c>
      <c r="BU183" s="5">
        <f>IF(A183="","",N(INDEX(Projects[Act Controls Purchase],182)))</f>
        <v/>
      </c>
      <c r="BV183" s="5">
        <f>IF(A183="","",N(INDEX(Projects[Act Software Eng],182)))</f>
        <v/>
      </c>
      <c r="BW183" s="5">
        <f>IF(A183="","",N(INDEX(Projects[Act 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  <c r="CE183" s="5">
        <f>INDEX(Projects[Act Data Status],182)&amp;""</f>
        <v/>
      </c>
      <c r="CF183" s="5">
        <f>IF(A183="","",N(INDEX(Projects[Est Mech Inst],182)))</f>
        <v/>
      </c>
      <c r="CG183" s="5">
        <f>IF(A183="","",N(INDEX(Projects[Est Elec Inst],182)))</f>
        <v/>
      </c>
      <c r="CH183" s="5">
        <f>IF(A183="","",N(INDEX(Projects[Est Project Management],182)))</f>
        <v/>
      </c>
      <c r="CI183" s="5">
        <f>IF(A183="","",N(INDEX(Projects[Est Systems Eng],182)))</f>
        <v/>
      </c>
      <c r="CJ183" s="5">
        <f>IF(A183="","",N(INDEX(Projects[Est Mechanical Eng],182)))</f>
        <v/>
      </c>
      <c r="CK183" s="5">
        <f>IF(A183="","",N(INDEX(Projects[Est Structural Engineering],182)))</f>
        <v/>
      </c>
      <c r="CL183" s="5">
        <f>IF(A183="","",N(INDEX(Projects[Est Site Sup],182)))</f>
        <v/>
      </c>
      <c r="CM183" s="5">
        <f>IF(A183="","",N(INDEX(Projects[Est Controls Commissioning],182)))</f>
        <v/>
      </c>
      <c r="CN183" s="5">
        <f>IF(A183="","",N(INDEX(Projects[Est Systems Commissioning],182)))</f>
        <v/>
      </c>
      <c r="CO183" s="5">
        <f>IF(A183="","",N(INDEX(Projects[Est Service Commissioning],182)))</f>
        <v/>
      </c>
      <c r="CP183" s="5">
        <f>IF(A183="","",N(INDEX(Projects[Est Controls Eng],182)))</f>
        <v/>
      </c>
      <c r="CQ183" s="5">
        <f>IF(A183="","",N(INDEX(Projects[Est Controls Purchase],182)))</f>
        <v/>
      </c>
      <c r="CR183" s="5">
        <f>IF(A183="","",N(INDEX(Projects[Est Software Eng],182)))</f>
        <v/>
      </c>
      <c r="CS183" s="5">
        <f>IF(A183="","",N(INDEX(Projects[Est Misc],182)))</f>
        <v/>
      </c>
      <c r="CT183" s="5">
        <f>IF(A183="","",SUM(CF183:CS183))</f>
        <v/>
      </c>
      <c r="CU183" s="5">
        <f>INDEX(Projects[Est Cost (M)],182)</f>
        <v/>
      </c>
      <c r="CV183" s="5">
        <f>INDEX(Projects[Act Cost (M)],182)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IF(A184="","",N(INDEX(Projects[Act Mech Inst],183)))</f>
        <v/>
      </c>
      <c r="BK184" s="5">
        <f>IF(A184="","",N(INDEX(Projects[Act Elec Inst],183)))</f>
        <v/>
      </c>
      <c r="BL184" s="5">
        <f>IF(A184="","",N(INDEX(Projects[Act Project Management],183)))</f>
        <v/>
      </c>
      <c r="BM184" s="5">
        <f>IF(A184="","",N(INDEX(Projects[Act Systems Eng],183)))</f>
        <v/>
      </c>
      <c r="BN184" s="5">
        <f>IF(A184="","",N(INDEX(Projects[Act Mechanical Eng],183)))</f>
        <v/>
      </c>
      <c r="BO184" s="5">
        <f>IF(A184="","",N(INDEX(Projects[Act Structural Engineering],183)))</f>
        <v/>
      </c>
      <c r="BP184" s="5">
        <f>IF(A184="","",N(INDEX(Projects[Act Site Sup],183)))</f>
        <v/>
      </c>
      <c r="BQ184" s="5">
        <f>IF(A184="","",N(INDEX(Projects[Act Controls Commissioning],183)))</f>
        <v/>
      </c>
      <c r="BR184" s="5">
        <f>IF(A184="","",N(INDEX(Projects[Act Systems Commissioning],183)))</f>
        <v/>
      </c>
      <c r="BS184" s="5">
        <f>IF(A184="","",N(INDEX(Projects[Act Service Commissioning],183)))</f>
        <v/>
      </c>
      <c r="BT184" s="5">
        <f>IF(A184="","",N(INDEX(Projects[Act Controls Eng],183)))</f>
        <v/>
      </c>
      <c r="BU184" s="5">
        <f>IF(A184="","",N(INDEX(Projects[Act Controls Purchase],183)))</f>
        <v/>
      </c>
      <c r="BV184" s="5">
        <f>IF(A184="","",N(INDEX(Projects[Act Software Eng],183)))</f>
        <v/>
      </c>
      <c r="BW184" s="5">
        <f>IF(A184="","",N(INDEX(Projects[Act 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  <c r="CE184" s="5">
        <f>INDEX(Projects[Act Data Status],183)&amp;""</f>
        <v/>
      </c>
      <c r="CF184" s="5">
        <f>IF(A184="","",N(INDEX(Projects[Est Mech Inst],183)))</f>
        <v/>
      </c>
      <c r="CG184" s="5">
        <f>IF(A184="","",N(INDEX(Projects[Est Elec Inst],183)))</f>
        <v/>
      </c>
      <c r="CH184" s="5">
        <f>IF(A184="","",N(INDEX(Projects[Est Project Management],183)))</f>
        <v/>
      </c>
      <c r="CI184" s="5">
        <f>IF(A184="","",N(INDEX(Projects[Est Systems Eng],183)))</f>
        <v/>
      </c>
      <c r="CJ184" s="5">
        <f>IF(A184="","",N(INDEX(Projects[Est Mechanical Eng],183)))</f>
        <v/>
      </c>
      <c r="CK184" s="5">
        <f>IF(A184="","",N(INDEX(Projects[Est Structural Engineering],183)))</f>
        <v/>
      </c>
      <c r="CL184" s="5">
        <f>IF(A184="","",N(INDEX(Projects[Est Site Sup],183)))</f>
        <v/>
      </c>
      <c r="CM184" s="5">
        <f>IF(A184="","",N(INDEX(Projects[Est Controls Commissioning],183)))</f>
        <v/>
      </c>
      <c r="CN184" s="5">
        <f>IF(A184="","",N(INDEX(Projects[Est Systems Commissioning],183)))</f>
        <v/>
      </c>
      <c r="CO184" s="5">
        <f>IF(A184="","",N(INDEX(Projects[Est Service Commissioning],183)))</f>
        <v/>
      </c>
      <c r="CP184" s="5">
        <f>IF(A184="","",N(INDEX(Projects[Est Controls Eng],183)))</f>
        <v/>
      </c>
      <c r="CQ184" s="5">
        <f>IF(A184="","",N(INDEX(Projects[Est Controls Purchase],183)))</f>
        <v/>
      </c>
      <c r="CR184" s="5">
        <f>IF(A184="","",N(INDEX(Projects[Est Software Eng],183)))</f>
        <v/>
      </c>
      <c r="CS184" s="5">
        <f>IF(A184="","",N(INDEX(Projects[Est Misc],183)))</f>
        <v/>
      </c>
      <c r="CT184" s="5">
        <f>IF(A184="","",SUM(CF184:CS184))</f>
        <v/>
      </c>
      <c r="CU184" s="5">
        <f>INDEX(Projects[Est Cost (M)],183)</f>
        <v/>
      </c>
      <c r="CV184" s="5">
        <f>INDEX(Projects[Act Cost (M)],183)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IF(A185="","",N(INDEX(Projects[Act Mech Inst],184)))</f>
        <v/>
      </c>
      <c r="BK185" s="5">
        <f>IF(A185="","",N(INDEX(Projects[Act Elec Inst],184)))</f>
        <v/>
      </c>
      <c r="BL185" s="5">
        <f>IF(A185="","",N(INDEX(Projects[Act Project Management],184)))</f>
        <v/>
      </c>
      <c r="BM185" s="5">
        <f>IF(A185="","",N(INDEX(Projects[Act Systems Eng],184)))</f>
        <v/>
      </c>
      <c r="BN185" s="5">
        <f>IF(A185="","",N(INDEX(Projects[Act Mechanical Eng],184)))</f>
        <v/>
      </c>
      <c r="BO185" s="5">
        <f>IF(A185="","",N(INDEX(Projects[Act Structural Engineering],184)))</f>
        <v/>
      </c>
      <c r="BP185" s="5">
        <f>IF(A185="","",N(INDEX(Projects[Act Site Sup],184)))</f>
        <v/>
      </c>
      <c r="BQ185" s="5">
        <f>IF(A185="","",N(INDEX(Projects[Act Controls Commissioning],184)))</f>
        <v/>
      </c>
      <c r="BR185" s="5">
        <f>IF(A185="","",N(INDEX(Projects[Act Systems Commissioning],184)))</f>
        <v/>
      </c>
      <c r="BS185" s="5">
        <f>IF(A185="","",N(INDEX(Projects[Act Service Commissioning],184)))</f>
        <v/>
      </c>
      <c r="BT185" s="5">
        <f>IF(A185="","",N(INDEX(Projects[Act Controls Eng],184)))</f>
        <v/>
      </c>
      <c r="BU185" s="5">
        <f>IF(A185="","",N(INDEX(Projects[Act Controls Purchase],184)))</f>
        <v/>
      </c>
      <c r="BV185" s="5">
        <f>IF(A185="","",N(INDEX(Projects[Act Software Eng],184)))</f>
        <v/>
      </c>
      <c r="BW185" s="5">
        <f>IF(A185="","",N(INDEX(Projects[Act 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  <c r="CE185" s="5">
        <f>INDEX(Projects[Act Data Status],184)&amp;""</f>
        <v/>
      </c>
      <c r="CF185" s="5">
        <f>IF(A185="","",N(INDEX(Projects[Est Mech Inst],184)))</f>
        <v/>
      </c>
      <c r="CG185" s="5">
        <f>IF(A185="","",N(INDEX(Projects[Est Elec Inst],184)))</f>
        <v/>
      </c>
      <c r="CH185" s="5">
        <f>IF(A185="","",N(INDEX(Projects[Est Project Management],184)))</f>
        <v/>
      </c>
      <c r="CI185" s="5">
        <f>IF(A185="","",N(INDEX(Projects[Est Systems Eng],184)))</f>
        <v/>
      </c>
      <c r="CJ185" s="5">
        <f>IF(A185="","",N(INDEX(Projects[Est Mechanical Eng],184)))</f>
        <v/>
      </c>
      <c r="CK185" s="5">
        <f>IF(A185="","",N(INDEX(Projects[Est Structural Engineering],184)))</f>
        <v/>
      </c>
      <c r="CL185" s="5">
        <f>IF(A185="","",N(INDEX(Projects[Est Site Sup],184)))</f>
        <v/>
      </c>
      <c r="CM185" s="5">
        <f>IF(A185="","",N(INDEX(Projects[Est Controls Commissioning],184)))</f>
        <v/>
      </c>
      <c r="CN185" s="5">
        <f>IF(A185="","",N(INDEX(Projects[Est Systems Commissioning],184)))</f>
        <v/>
      </c>
      <c r="CO185" s="5">
        <f>IF(A185="","",N(INDEX(Projects[Est Service Commissioning],184)))</f>
        <v/>
      </c>
      <c r="CP185" s="5">
        <f>IF(A185="","",N(INDEX(Projects[Est Controls Eng],184)))</f>
        <v/>
      </c>
      <c r="CQ185" s="5">
        <f>IF(A185="","",N(INDEX(Projects[Est Controls Purchase],184)))</f>
        <v/>
      </c>
      <c r="CR185" s="5">
        <f>IF(A185="","",N(INDEX(Projects[Est Software Eng],184)))</f>
        <v/>
      </c>
      <c r="CS185" s="5">
        <f>IF(A185="","",N(INDEX(Projects[Est Misc],184)))</f>
        <v/>
      </c>
      <c r="CT185" s="5">
        <f>IF(A185="","",SUM(CF185:CS185))</f>
        <v/>
      </c>
      <c r="CU185" s="5">
        <f>INDEX(Projects[Est Cost (M)],184)</f>
        <v/>
      </c>
      <c r="CV185" s="5">
        <f>INDEX(Projects[Act Cost (M)],184)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IF(A186="","",N(INDEX(Projects[Act Mech Inst],185)))</f>
        <v/>
      </c>
      <c r="BK186" s="5">
        <f>IF(A186="","",N(INDEX(Projects[Act Elec Inst],185)))</f>
        <v/>
      </c>
      <c r="BL186" s="5">
        <f>IF(A186="","",N(INDEX(Projects[Act Project Management],185)))</f>
        <v/>
      </c>
      <c r="BM186" s="5">
        <f>IF(A186="","",N(INDEX(Projects[Act Systems Eng],185)))</f>
        <v/>
      </c>
      <c r="BN186" s="5">
        <f>IF(A186="","",N(INDEX(Projects[Act Mechanical Eng],185)))</f>
        <v/>
      </c>
      <c r="BO186" s="5">
        <f>IF(A186="","",N(INDEX(Projects[Act Structural Engineering],185)))</f>
        <v/>
      </c>
      <c r="BP186" s="5">
        <f>IF(A186="","",N(INDEX(Projects[Act Site Sup],185)))</f>
        <v/>
      </c>
      <c r="BQ186" s="5">
        <f>IF(A186="","",N(INDEX(Projects[Act Controls Commissioning],185)))</f>
        <v/>
      </c>
      <c r="BR186" s="5">
        <f>IF(A186="","",N(INDEX(Projects[Act Systems Commissioning],185)))</f>
        <v/>
      </c>
      <c r="BS186" s="5">
        <f>IF(A186="","",N(INDEX(Projects[Act Service Commissioning],185)))</f>
        <v/>
      </c>
      <c r="BT186" s="5">
        <f>IF(A186="","",N(INDEX(Projects[Act Controls Eng],185)))</f>
        <v/>
      </c>
      <c r="BU186" s="5">
        <f>IF(A186="","",N(INDEX(Projects[Act Controls Purchase],185)))</f>
        <v/>
      </c>
      <c r="BV186" s="5">
        <f>IF(A186="","",N(INDEX(Projects[Act Software Eng],185)))</f>
        <v/>
      </c>
      <c r="BW186" s="5">
        <f>IF(A186="","",N(INDEX(Projects[Act 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  <c r="CE186" s="5">
        <f>INDEX(Projects[Act Data Status],185)&amp;""</f>
        <v/>
      </c>
      <c r="CF186" s="5">
        <f>IF(A186="","",N(INDEX(Projects[Est Mech Inst],185)))</f>
        <v/>
      </c>
      <c r="CG186" s="5">
        <f>IF(A186="","",N(INDEX(Projects[Est Elec Inst],185)))</f>
        <v/>
      </c>
      <c r="CH186" s="5">
        <f>IF(A186="","",N(INDEX(Projects[Est Project Management],185)))</f>
        <v/>
      </c>
      <c r="CI186" s="5">
        <f>IF(A186="","",N(INDEX(Projects[Est Systems Eng],185)))</f>
        <v/>
      </c>
      <c r="CJ186" s="5">
        <f>IF(A186="","",N(INDEX(Projects[Est Mechanical Eng],185)))</f>
        <v/>
      </c>
      <c r="CK186" s="5">
        <f>IF(A186="","",N(INDEX(Projects[Est Structural Engineering],185)))</f>
        <v/>
      </c>
      <c r="CL186" s="5">
        <f>IF(A186="","",N(INDEX(Projects[Est Site Sup],185)))</f>
        <v/>
      </c>
      <c r="CM186" s="5">
        <f>IF(A186="","",N(INDEX(Projects[Est Controls Commissioning],185)))</f>
        <v/>
      </c>
      <c r="CN186" s="5">
        <f>IF(A186="","",N(INDEX(Projects[Est Systems Commissioning],185)))</f>
        <v/>
      </c>
      <c r="CO186" s="5">
        <f>IF(A186="","",N(INDEX(Projects[Est Service Commissioning],185)))</f>
        <v/>
      </c>
      <c r="CP186" s="5">
        <f>IF(A186="","",N(INDEX(Projects[Est Controls Eng],185)))</f>
        <v/>
      </c>
      <c r="CQ186" s="5">
        <f>IF(A186="","",N(INDEX(Projects[Est Controls Purchase],185)))</f>
        <v/>
      </c>
      <c r="CR186" s="5">
        <f>IF(A186="","",N(INDEX(Projects[Est Software Eng],185)))</f>
        <v/>
      </c>
      <c r="CS186" s="5">
        <f>IF(A186="","",N(INDEX(Projects[Est Misc],185)))</f>
        <v/>
      </c>
      <c r="CT186" s="5">
        <f>IF(A186="","",SUM(CF186:CS186))</f>
        <v/>
      </c>
      <c r="CU186" s="5">
        <f>INDEX(Projects[Est Cost (M)],185)</f>
        <v/>
      </c>
      <c r="CV186" s="5">
        <f>INDEX(Projects[Act Cost (M)],185)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IF(A187="","",N(INDEX(Projects[Act Mech Inst],186)))</f>
        <v/>
      </c>
      <c r="BK187" s="5">
        <f>IF(A187="","",N(INDEX(Projects[Act Elec Inst],186)))</f>
        <v/>
      </c>
      <c r="BL187" s="5">
        <f>IF(A187="","",N(INDEX(Projects[Act Project Management],186)))</f>
        <v/>
      </c>
      <c r="BM187" s="5">
        <f>IF(A187="","",N(INDEX(Projects[Act Systems Eng],186)))</f>
        <v/>
      </c>
      <c r="BN187" s="5">
        <f>IF(A187="","",N(INDEX(Projects[Act Mechanical Eng],186)))</f>
        <v/>
      </c>
      <c r="BO187" s="5">
        <f>IF(A187="","",N(INDEX(Projects[Act Structural Engineering],186)))</f>
        <v/>
      </c>
      <c r="BP187" s="5">
        <f>IF(A187="","",N(INDEX(Projects[Act Site Sup],186)))</f>
        <v/>
      </c>
      <c r="BQ187" s="5">
        <f>IF(A187="","",N(INDEX(Projects[Act Controls Commissioning],186)))</f>
        <v/>
      </c>
      <c r="BR187" s="5">
        <f>IF(A187="","",N(INDEX(Projects[Act Systems Commissioning],186)))</f>
        <v/>
      </c>
      <c r="BS187" s="5">
        <f>IF(A187="","",N(INDEX(Projects[Act Service Commissioning],186)))</f>
        <v/>
      </c>
      <c r="BT187" s="5">
        <f>IF(A187="","",N(INDEX(Projects[Act Controls Eng],186)))</f>
        <v/>
      </c>
      <c r="BU187" s="5">
        <f>IF(A187="","",N(INDEX(Projects[Act Controls Purchase],186)))</f>
        <v/>
      </c>
      <c r="BV187" s="5">
        <f>IF(A187="","",N(INDEX(Projects[Act Software Eng],186)))</f>
        <v/>
      </c>
      <c r="BW187" s="5">
        <f>IF(A187="","",N(INDEX(Projects[Act 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  <c r="CE187" s="5">
        <f>INDEX(Projects[Act Data Status],186)&amp;""</f>
        <v/>
      </c>
      <c r="CF187" s="5">
        <f>IF(A187="","",N(INDEX(Projects[Est Mech Inst],186)))</f>
        <v/>
      </c>
      <c r="CG187" s="5">
        <f>IF(A187="","",N(INDEX(Projects[Est Elec Inst],186)))</f>
        <v/>
      </c>
      <c r="CH187" s="5">
        <f>IF(A187="","",N(INDEX(Projects[Est Project Management],186)))</f>
        <v/>
      </c>
      <c r="CI187" s="5">
        <f>IF(A187="","",N(INDEX(Projects[Est Systems Eng],186)))</f>
        <v/>
      </c>
      <c r="CJ187" s="5">
        <f>IF(A187="","",N(INDEX(Projects[Est Mechanical Eng],186)))</f>
        <v/>
      </c>
      <c r="CK187" s="5">
        <f>IF(A187="","",N(INDEX(Projects[Est Structural Engineering],186)))</f>
        <v/>
      </c>
      <c r="CL187" s="5">
        <f>IF(A187="","",N(INDEX(Projects[Est Site Sup],186)))</f>
        <v/>
      </c>
      <c r="CM187" s="5">
        <f>IF(A187="","",N(INDEX(Projects[Est Controls Commissioning],186)))</f>
        <v/>
      </c>
      <c r="CN187" s="5">
        <f>IF(A187="","",N(INDEX(Projects[Est Systems Commissioning],186)))</f>
        <v/>
      </c>
      <c r="CO187" s="5">
        <f>IF(A187="","",N(INDEX(Projects[Est Service Commissioning],186)))</f>
        <v/>
      </c>
      <c r="CP187" s="5">
        <f>IF(A187="","",N(INDEX(Projects[Est Controls Eng],186)))</f>
        <v/>
      </c>
      <c r="CQ187" s="5">
        <f>IF(A187="","",N(INDEX(Projects[Est Controls Purchase],186)))</f>
        <v/>
      </c>
      <c r="CR187" s="5">
        <f>IF(A187="","",N(INDEX(Projects[Est Software Eng],186)))</f>
        <v/>
      </c>
      <c r="CS187" s="5">
        <f>IF(A187="","",N(INDEX(Projects[Est Misc],186)))</f>
        <v/>
      </c>
      <c r="CT187" s="5">
        <f>IF(A187="","",SUM(CF187:CS187))</f>
        <v/>
      </c>
      <c r="CU187" s="5">
        <f>INDEX(Projects[Est Cost (M)],186)</f>
        <v/>
      </c>
      <c r="CV187" s="5">
        <f>INDEX(Projects[Act Cost (M)],186)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IF(A188="","",N(INDEX(Projects[Act Mech Inst],187)))</f>
        <v/>
      </c>
      <c r="BK188" s="5">
        <f>IF(A188="","",N(INDEX(Projects[Act Elec Inst],187)))</f>
        <v/>
      </c>
      <c r="BL188" s="5">
        <f>IF(A188="","",N(INDEX(Projects[Act Project Management],187)))</f>
        <v/>
      </c>
      <c r="BM188" s="5">
        <f>IF(A188="","",N(INDEX(Projects[Act Systems Eng],187)))</f>
        <v/>
      </c>
      <c r="BN188" s="5">
        <f>IF(A188="","",N(INDEX(Projects[Act Mechanical Eng],187)))</f>
        <v/>
      </c>
      <c r="BO188" s="5">
        <f>IF(A188="","",N(INDEX(Projects[Act Structural Engineering],187)))</f>
        <v/>
      </c>
      <c r="BP188" s="5">
        <f>IF(A188="","",N(INDEX(Projects[Act Site Sup],187)))</f>
        <v/>
      </c>
      <c r="BQ188" s="5">
        <f>IF(A188="","",N(INDEX(Projects[Act Controls Commissioning],187)))</f>
        <v/>
      </c>
      <c r="BR188" s="5">
        <f>IF(A188="","",N(INDEX(Projects[Act Systems Commissioning],187)))</f>
        <v/>
      </c>
      <c r="BS188" s="5">
        <f>IF(A188="","",N(INDEX(Projects[Act Service Commissioning],187)))</f>
        <v/>
      </c>
      <c r="BT188" s="5">
        <f>IF(A188="","",N(INDEX(Projects[Act Controls Eng],187)))</f>
        <v/>
      </c>
      <c r="BU188" s="5">
        <f>IF(A188="","",N(INDEX(Projects[Act Controls Purchase],187)))</f>
        <v/>
      </c>
      <c r="BV188" s="5">
        <f>IF(A188="","",N(INDEX(Projects[Act Software Eng],187)))</f>
        <v/>
      </c>
      <c r="BW188" s="5">
        <f>IF(A188="","",N(INDEX(Projects[Act 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  <c r="CE188" s="5">
        <f>INDEX(Projects[Act Data Status],187)&amp;""</f>
        <v/>
      </c>
      <c r="CF188" s="5">
        <f>IF(A188="","",N(INDEX(Projects[Est Mech Inst],187)))</f>
        <v/>
      </c>
      <c r="CG188" s="5">
        <f>IF(A188="","",N(INDEX(Projects[Est Elec Inst],187)))</f>
        <v/>
      </c>
      <c r="CH188" s="5">
        <f>IF(A188="","",N(INDEX(Projects[Est Project Management],187)))</f>
        <v/>
      </c>
      <c r="CI188" s="5">
        <f>IF(A188="","",N(INDEX(Projects[Est Systems Eng],187)))</f>
        <v/>
      </c>
      <c r="CJ188" s="5">
        <f>IF(A188="","",N(INDEX(Projects[Est Mechanical Eng],187)))</f>
        <v/>
      </c>
      <c r="CK188" s="5">
        <f>IF(A188="","",N(INDEX(Projects[Est Structural Engineering],187)))</f>
        <v/>
      </c>
      <c r="CL188" s="5">
        <f>IF(A188="","",N(INDEX(Projects[Est Site Sup],187)))</f>
        <v/>
      </c>
      <c r="CM188" s="5">
        <f>IF(A188="","",N(INDEX(Projects[Est Controls Commissioning],187)))</f>
        <v/>
      </c>
      <c r="CN188" s="5">
        <f>IF(A188="","",N(INDEX(Projects[Est Systems Commissioning],187)))</f>
        <v/>
      </c>
      <c r="CO188" s="5">
        <f>IF(A188="","",N(INDEX(Projects[Est Service Commissioning],187)))</f>
        <v/>
      </c>
      <c r="CP188" s="5">
        <f>IF(A188="","",N(INDEX(Projects[Est Controls Eng],187)))</f>
        <v/>
      </c>
      <c r="CQ188" s="5">
        <f>IF(A188="","",N(INDEX(Projects[Est Controls Purchase],187)))</f>
        <v/>
      </c>
      <c r="CR188" s="5">
        <f>IF(A188="","",N(INDEX(Projects[Est Software Eng],187)))</f>
        <v/>
      </c>
      <c r="CS188" s="5">
        <f>IF(A188="","",N(INDEX(Projects[Est Misc],187)))</f>
        <v/>
      </c>
      <c r="CT188" s="5">
        <f>IF(A188="","",SUM(CF188:CS188))</f>
        <v/>
      </c>
      <c r="CU188" s="5">
        <f>INDEX(Projects[Est Cost (M)],187)</f>
        <v/>
      </c>
      <c r="CV188" s="5">
        <f>INDEX(Projects[Act Cost (M)],187)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IF(A189="","",N(INDEX(Projects[Act Mech Inst],188)))</f>
        <v/>
      </c>
      <c r="BK189" s="5">
        <f>IF(A189="","",N(INDEX(Projects[Act Elec Inst],188)))</f>
        <v/>
      </c>
      <c r="BL189" s="5">
        <f>IF(A189="","",N(INDEX(Projects[Act Project Management],188)))</f>
        <v/>
      </c>
      <c r="BM189" s="5">
        <f>IF(A189="","",N(INDEX(Projects[Act Systems Eng],188)))</f>
        <v/>
      </c>
      <c r="BN189" s="5">
        <f>IF(A189="","",N(INDEX(Projects[Act Mechanical Eng],188)))</f>
        <v/>
      </c>
      <c r="BO189" s="5">
        <f>IF(A189="","",N(INDEX(Projects[Act Structural Engineering],188)))</f>
        <v/>
      </c>
      <c r="BP189" s="5">
        <f>IF(A189="","",N(INDEX(Projects[Act Site Sup],188)))</f>
        <v/>
      </c>
      <c r="BQ189" s="5">
        <f>IF(A189="","",N(INDEX(Projects[Act Controls Commissioning],188)))</f>
        <v/>
      </c>
      <c r="BR189" s="5">
        <f>IF(A189="","",N(INDEX(Projects[Act Systems Commissioning],188)))</f>
        <v/>
      </c>
      <c r="BS189" s="5">
        <f>IF(A189="","",N(INDEX(Projects[Act Service Commissioning],188)))</f>
        <v/>
      </c>
      <c r="BT189" s="5">
        <f>IF(A189="","",N(INDEX(Projects[Act Controls Eng],188)))</f>
        <v/>
      </c>
      <c r="BU189" s="5">
        <f>IF(A189="","",N(INDEX(Projects[Act Controls Purchase],188)))</f>
        <v/>
      </c>
      <c r="BV189" s="5">
        <f>IF(A189="","",N(INDEX(Projects[Act Software Eng],188)))</f>
        <v/>
      </c>
      <c r="BW189" s="5">
        <f>IF(A189="","",N(INDEX(Projects[Act 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  <c r="CE189" s="5">
        <f>INDEX(Projects[Act Data Status],188)&amp;""</f>
        <v/>
      </c>
      <c r="CF189" s="5">
        <f>IF(A189="","",N(INDEX(Projects[Est Mech Inst],188)))</f>
        <v/>
      </c>
      <c r="CG189" s="5">
        <f>IF(A189="","",N(INDEX(Projects[Est Elec Inst],188)))</f>
        <v/>
      </c>
      <c r="CH189" s="5">
        <f>IF(A189="","",N(INDEX(Projects[Est Project Management],188)))</f>
        <v/>
      </c>
      <c r="CI189" s="5">
        <f>IF(A189="","",N(INDEX(Projects[Est Systems Eng],188)))</f>
        <v/>
      </c>
      <c r="CJ189" s="5">
        <f>IF(A189="","",N(INDEX(Projects[Est Mechanical Eng],188)))</f>
        <v/>
      </c>
      <c r="CK189" s="5">
        <f>IF(A189="","",N(INDEX(Projects[Est Structural Engineering],188)))</f>
        <v/>
      </c>
      <c r="CL189" s="5">
        <f>IF(A189="","",N(INDEX(Projects[Est Site Sup],188)))</f>
        <v/>
      </c>
      <c r="CM189" s="5">
        <f>IF(A189="","",N(INDEX(Projects[Est Controls Commissioning],188)))</f>
        <v/>
      </c>
      <c r="CN189" s="5">
        <f>IF(A189="","",N(INDEX(Projects[Est Systems Commissioning],188)))</f>
        <v/>
      </c>
      <c r="CO189" s="5">
        <f>IF(A189="","",N(INDEX(Projects[Est Service Commissioning],188)))</f>
        <v/>
      </c>
      <c r="CP189" s="5">
        <f>IF(A189="","",N(INDEX(Projects[Est Controls Eng],188)))</f>
        <v/>
      </c>
      <c r="CQ189" s="5">
        <f>IF(A189="","",N(INDEX(Projects[Est Controls Purchase],188)))</f>
        <v/>
      </c>
      <c r="CR189" s="5">
        <f>IF(A189="","",N(INDEX(Projects[Est Software Eng],188)))</f>
        <v/>
      </c>
      <c r="CS189" s="5">
        <f>IF(A189="","",N(INDEX(Projects[Est Misc],188)))</f>
        <v/>
      </c>
      <c r="CT189" s="5">
        <f>IF(A189="","",SUM(CF189:CS189))</f>
        <v/>
      </c>
      <c r="CU189" s="5">
        <f>INDEX(Projects[Est Cost (M)],188)</f>
        <v/>
      </c>
      <c r="CV189" s="5">
        <f>INDEX(Projects[Act Cost (M)],188)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IF(A190="","",N(INDEX(Projects[Act Mech Inst],189)))</f>
        <v/>
      </c>
      <c r="BK190" s="5">
        <f>IF(A190="","",N(INDEX(Projects[Act Elec Inst],189)))</f>
        <v/>
      </c>
      <c r="BL190" s="5">
        <f>IF(A190="","",N(INDEX(Projects[Act Project Management],189)))</f>
        <v/>
      </c>
      <c r="BM190" s="5">
        <f>IF(A190="","",N(INDEX(Projects[Act Systems Eng],189)))</f>
        <v/>
      </c>
      <c r="BN190" s="5">
        <f>IF(A190="","",N(INDEX(Projects[Act Mechanical Eng],189)))</f>
        <v/>
      </c>
      <c r="BO190" s="5">
        <f>IF(A190="","",N(INDEX(Projects[Act Structural Engineering],189)))</f>
        <v/>
      </c>
      <c r="BP190" s="5">
        <f>IF(A190="","",N(INDEX(Projects[Act Site Sup],189)))</f>
        <v/>
      </c>
      <c r="BQ190" s="5">
        <f>IF(A190="","",N(INDEX(Projects[Act Controls Commissioning],189)))</f>
        <v/>
      </c>
      <c r="BR190" s="5">
        <f>IF(A190="","",N(INDEX(Projects[Act Systems Commissioning],189)))</f>
        <v/>
      </c>
      <c r="BS190" s="5">
        <f>IF(A190="","",N(INDEX(Projects[Act Service Commissioning],189)))</f>
        <v/>
      </c>
      <c r="BT190" s="5">
        <f>IF(A190="","",N(INDEX(Projects[Act Controls Eng],189)))</f>
        <v/>
      </c>
      <c r="BU190" s="5">
        <f>IF(A190="","",N(INDEX(Projects[Act Controls Purchase],189)))</f>
        <v/>
      </c>
      <c r="BV190" s="5">
        <f>IF(A190="","",N(INDEX(Projects[Act Software Eng],189)))</f>
        <v/>
      </c>
      <c r="BW190" s="5">
        <f>IF(A190="","",N(INDEX(Projects[Act 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  <c r="CE190" s="5">
        <f>INDEX(Projects[Act Data Status],189)&amp;""</f>
        <v/>
      </c>
      <c r="CF190" s="5">
        <f>IF(A190="","",N(INDEX(Projects[Est Mech Inst],189)))</f>
        <v/>
      </c>
      <c r="CG190" s="5">
        <f>IF(A190="","",N(INDEX(Projects[Est Elec Inst],189)))</f>
        <v/>
      </c>
      <c r="CH190" s="5">
        <f>IF(A190="","",N(INDEX(Projects[Est Project Management],189)))</f>
        <v/>
      </c>
      <c r="CI190" s="5">
        <f>IF(A190="","",N(INDEX(Projects[Est Systems Eng],189)))</f>
        <v/>
      </c>
      <c r="CJ190" s="5">
        <f>IF(A190="","",N(INDEX(Projects[Est Mechanical Eng],189)))</f>
        <v/>
      </c>
      <c r="CK190" s="5">
        <f>IF(A190="","",N(INDEX(Projects[Est Structural Engineering],189)))</f>
        <v/>
      </c>
      <c r="CL190" s="5">
        <f>IF(A190="","",N(INDEX(Projects[Est Site Sup],189)))</f>
        <v/>
      </c>
      <c r="CM190" s="5">
        <f>IF(A190="","",N(INDEX(Projects[Est Controls Commissioning],189)))</f>
        <v/>
      </c>
      <c r="CN190" s="5">
        <f>IF(A190="","",N(INDEX(Projects[Est Systems Commissioning],189)))</f>
        <v/>
      </c>
      <c r="CO190" s="5">
        <f>IF(A190="","",N(INDEX(Projects[Est Service Commissioning],189)))</f>
        <v/>
      </c>
      <c r="CP190" s="5">
        <f>IF(A190="","",N(INDEX(Projects[Est Controls Eng],189)))</f>
        <v/>
      </c>
      <c r="CQ190" s="5">
        <f>IF(A190="","",N(INDEX(Projects[Est Controls Purchase],189)))</f>
        <v/>
      </c>
      <c r="CR190" s="5">
        <f>IF(A190="","",N(INDEX(Projects[Est Software Eng],189)))</f>
        <v/>
      </c>
      <c r="CS190" s="5">
        <f>IF(A190="","",N(INDEX(Projects[Est Misc],189)))</f>
        <v/>
      </c>
      <c r="CT190" s="5">
        <f>IF(A190="","",SUM(CF190:CS190))</f>
        <v/>
      </c>
      <c r="CU190" s="5">
        <f>INDEX(Projects[Est Cost (M)],189)</f>
        <v/>
      </c>
      <c r="CV190" s="5">
        <f>INDEX(Projects[Act Cost (M)],189)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IF(A191="","",N(INDEX(Projects[Act Mech Inst],190)))</f>
        <v/>
      </c>
      <c r="BK191" s="5">
        <f>IF(A191="","",N(INDEX(Projects[Act Elec Inst],190)))</f>
        <v/>
      </c>
      <c r="BL191" s="5">
        <f>IF(A191="","",N(INDEX(Projects[Act Project Management],190)))</f>
        <v/>
      </c>
      <c r="BM191" s="5">
        <f>IF(A191="","",N(INDEX(Projects[Act Systems Eng],190)))</f>
        <v/>
      </c>
      <c r="BN191" s="5">
        <f>IF(A191="","",N(INDEX(Projects[Act Mechanical Eng],190)))</f>
        <v/>
      </c>
      <c r="BO191" s="5">
        <f>IF(A191="","",N(INDEX(Projects[Act Structural Engineering],190)))</f>
        <v/>
      </c>
      <c r="BP191" s="5">
        <f>IF(A191="","",N(INDEX(Projects[Act Site Sup],190)))</f>
        <v/>
      </c>
      <c r="BQ191" s="5">
        <f>IF(A191="","",N(INDEX(Projects[Act Controls Commissioning],190)))</f>
        <v/>
      </c>
      <c r="BR191" s="5">
        <f>IF(A191="","",N(INDEX(Projects[Act Systems Commissioning],190)))</f>
        <v/>
      </c>
      <c r="BS191" s="5">
        <f>IF(A191="","",N(INDEX(Projects[Act Service Commissioning],190)))</f>
        <v/>
      </c>
      <c r="BT191" s="5">
        <f>IF(A191="","",N(INDEX(Projects[Act Controls Eng],190)))</f>
        <v/>
      </c>
      <c r="BU191" s="5">
        <f>IF(A191="","",N(INDEX(Projects[Act Controls Purchase],190)))</f>
        <v/>
      </c>
      <c r="BV191" s="5">
        <f>IF(A191="","",N(INDEX(Projects[Act Software Eng],190)))</f>
        <v/>
      </c>
      <c r="BW191" s="5">
        <f>IF(A191="","",N(INDEX(Projects[Act 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  <c r="CE191" s="5">
        <f>INDEX(Projects[Act Data Status],190)&amp;""</f>
        <v/>
      </c>
      <c r="CF191" s="5">
        <f>IF(A191="","",N(INDEX(Projects[Est Mech Inst],190)))</f>
        <v/>
      </c>
      <c r="CG191" s="5">
        <f>IF(A191="","",N(INDEX(Projects[Est Elec Inst],190)))</f>
        <v/>
      </c>
      <c r="CH191" s="5">
        <f>IF(A191="","",N(INDEX(Projects[Est Project Management],190)))</f>
        <v/>
      </c>
      <c r="CI191" s="5">
        <f>IF(A191="","",N(INDEX(Projects[Est Systems Eng],190)))</f>
        <v/>
      </c>
      <c r="CJ191" s="5">
        <f>IF(A191="","",N(INDEX(Projects[Est Mechanical Eng],190)))</f>
        <v/>
      </c>
      <c r="CK191" s="5">
        <f>IF(A191="","",N(INDEX(Projects[Est Structural Engineering],190)))</f>
        <v/>
      </c>
      <c r="CL191" s="5">
        <f>IF(A191="","",N(INDEX(Projects[Est Site Sup],190)))</f>
        <v/>
      </c>
      <c r="CM191" s="5">
        <f>IF(A191="","",N(INDEX(Projects[Est Controls Commissioning],190)))</f>
        <v/>
      </c>
      <c r="CN191" s="5">
        <f>IF(A191="","",N(INDEX(Projects[Est Systems Commissioning],190)))</f>
        <v/>
      </c>
      <c r="CO191" s="5">
        <f>IF(A191="","",N(INDEX(Projects[Est Service Commissioning],190)))</f>
        <v/>
      </c>
      <c r="CP191" s="5">
        <f>IF(A191="","",N(INDEX(Projects[Est Controls Eng],190)))</f>
        <v/>
      </c>
      <c r="CQ191" s="5">
        <f>IF(A191="","",N(INDEX(Projects[Est Controls Purchase],190)))</f>
        <v/>
      </c>
      <c r="CR191" s="5">
        <f>IF(A191="","",N(INDEX(Projects[Est Software Eng],190)))</f>
        <v/>
      </c>
      <c r="CS191" s="5">
        <f>IF(A191="","",N(INDEX(Projects[Est Misc],190)))</f>
        <v/>
      </c>
      <c r="CT191" s="5">
        <f>IF(A191="","",SUM(CF191:CS191))</f>
        <v/>
      </c>
      <c r="CU191" s="5">
        <f>INDEX(Projects[Est Cost (M)],190)</f>
        <v/>
      </c>
      <c r="CV191" s="5">
        <f>INDEX(Projects[Act Cost (M)],190)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IF(A192="","",N(INDEX(Projects[Act Mech Inst],191)))</f>
        <v/>
      </c>
      <c r="BK192" s="5">
        <f>IF(A192="","",N(INDEX(Projects[Act Elec Inst],191)))</f>
        <v/>
      </c>
      <c r="BL192" s="5">
        <f>IF(A192="","",N(INDEX(Projects[Act Project Management],191)))</f>
        <v/>
      </c>
      <c r="BM192" s="5">
        <f>IF(A192="","",N(INDEX(Projects[Act Systems Eng],191)))</f>
        <v/>
      </c>
      <c r="BN192" s="5">
        <f>IF(A192="","",N(INDEX(Projects[Act Mechanical Eng],191)))</f>
        <v/>
      </c>
      <c r="BO192" s="5">
        <f>IF(A192="","",N(INDEX(Projects[Act Structural Engineering],191)))</f>
        <v/>
      </c>
      <c r="BP192" s="5">
        <f>IF(A192="","",N(INDEX(Projects[Act Site Sup],191)))</f>
        <v/>
      </c>
      <c r="BQ192" s="5">
        <f>IF(A192="","",N(INDEX(Projects[Act Controls Commissioning],191)))</f>
        <v/>
      </c>
      <c r="BR192" s="5">
        <f>IF(A192="","",N(INDEX(Projects[Act Systems Commissioning],191)))</f>
        <v/>
      </c>
      <c r="BS192" s="5">
        <f>IF(A192="","",N(INDEX(Projects[Act Service Commissioning],191)))</f>
        <v/>
      </c>
      <c r="BT192" s="5">
        <f>IF(A192="","",N(INDEX(Projects[Act Controls Eng],191)))</f>
        <v/>
      </c>
      <c r="BU192" s="5">
        <f>IF(A192="","",N(INDEX(Projects[Act Controls Purchase],191)))</f>
        <v/>
      </c>
      <c r="BV192" s="5">
        <f>IF(A192="","",N(INDEX(Projects[Act Software Eng],191)))</f>
        <v/>
      </c>
      <c r="BW192" s="5">
        <f>IF(A192="","",N(INDEX(Projects[Act 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  <c r="CE192" s="5">
        <f>INDEX(Projects[Act Data Status],191)&amp;""</f>
        <v/>
      </c>
      <c r="CF192" s="5">
        <f>IF(A192="","",N(INDEX(Projects[Est Mech Inst],191)))</f>
        <v/>
      </c>
      <c r="CG192" s="5">
        <f>IF(A192="","",N(INDEX(Projects[Est Elec Inst],191)))</f>
        <v/>
      </c>
      <c r="CH192" s="5">
        <f>IF(A192="","",N(INDEX(Projects[Est Project Management],191)))</f>
        <v/>
      </c>
      <c r="CI192" s="5">
        <f>IF(A192="","",N(INDEX(Projects[Est Systems Eng],191)))</f>
        <v/>
      </c>
      <c r="CJ192" s="5">
        <f>IF(A192="","",N(INDEX(Projects[Est Mechanical Eng],191)))</f>
        <v/>
      </c>
      <c r="CK192" s="5">
        <f>IF(A192="","",N(INDEX(Projects[Est Structural Engineering],191)))</f>
        <v/>
      </c>
      <c r="CL192" s="5">
        <f>IF(A192="","",N(INDEX(Projects[Est Site Sup],191)))</f>
        <v/>
      </c>
      <c r="CM192" s="5">
        <f>IF(A192="","",N(INDEX(Projects[Est Controls Commissioning],191)))</f>
        <v/>
      </c>
      <c r="CN192" s="5">
        <f>IF(A192="","",N(INDEX(Projects[Est Systems Commissioning],191)))</f>
        <v/>
      </c>
      <c r="CO192" s="5">
        <f>IF(A192="","",N(INDEX(Projects[Est Service Commissioning],191)))</f>
        <v/>
      </c>
      <c r="CP192" s="5">
        <f>IF(A192="","",N(INDEX(Projects[Est Controls Eng],191)))</f>
        <v/>
      </c>
      <c r="CQ192" s="5">
        <f>IF(A192="","",N(INDEX(Projects[Est Controls Purchase],191)))</f>
        <v/>
      </c>
      <c r="CR192" s="5">
        <f>IF(A192="","",N(INDEX(Projects[Est Software Eng],191)))</f>
        <v/>
      </c>
      <c r="CS192" s="5">
        <f>IF(A192="","",N(INDEX(Projects[Est Misc],191)))</f>
        <v/>
      </c>
      <c r="CT192" s="5">
        <f>IF(A192="","",SUM(CF192:CS192))</f>
        <v/>
      </c>
      <c r="CU192" s="5">
        <f>INDEX(Projects[Est Cost (M)],191)</f>
        <v/>
      </c>
      <c r="CV192" s="5">
        <f>INDEX(Projects[Act Cost (M)],191)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IF(A193="","",N(INDEX(Projects[Act Mech Inst],192)))</f>
        <v/>
      </c>
      <c r="BK193" s="5">
        <f>IF(A193="","",N(INDEX(Projects[Act Elec Inst],192)))</f>
        <v/>
      </c>
      <c r="BL193" s="5">
        <f>IF(A193="","",N(INDEX(Projects[Act Project Management],192)))</f>
        <v/>
      </c>
      <c r="BM193" s="5">
        <f>IF(A193="","",N(INDEX(Projects[Act Systems Eng],192)))</f>
        <v/>
      </c>
      <c r="BN193" s="5">
        <f>IF(A193="","",N(INDEX(Projects[Act Mechanical Eng],192)))</f>
        <v/>
      </c>
      <c r="BO193" s="5">
        <f>IF(A193="","",N(INDEX(Projects[Act Structural Engineering],192)))</f>
        <v/>
      </c>
      <c r="BP193" s="5">
        <f>IF(A193="","",N(INDEX(Projects[Act Site Sup],192)))</f>
        <v/>
      </c>
      <c r="BQ193" s="5">
        <f>IF(A193="","",N(INDEX(Projects[Act Controls Commissioning],192)))</f>
        <v/>
      </c>
      <c r="BR193" s="5">
        <f>IF(A193="","",N(INDEX(Projects[Act Systems Commissioning],192)))</f>
        <v/>
      </c>
      <c r="BS193" s="5">
        <f>IF(A193="","",N(INDEX(Projects[Act Service Commissioning],192)))</f>
        <v/>
      </c>
      <c r="BT193" s="5">
        <f>IF(A193="","",N(INDEX(Projects[Act Controls Eng],192)))</f>
        <v/>
      </c>
      <c r="BU193" s="5">
        <f>IF(A193="","",N(INDEX(Projects[Act Controls Purchase],192)))</f>
        <v/>
      </c>
      <c r="BV193" s="5">
        <f>IF(A193="","",N(INDEX(Projects[Act Software Eng],192)))</f>
        <v/>
      </c>
      <c r="BW193" s="5">
        <f>IF(A193="","",N(INDEX(Projects[Act 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  <c r="CE193" s="5">
        <f>INDEX(Projects[Act Data Status],192)&amp;""</f>
        <v/>
      </c>
      <c r="CF193" s="5">
        <f>IF(A193="","",N(INDEX(Projects[Est Mech Inst],192)))</f>
        <v/>
      </c>
      <c r="CG193" s="5">
        <f>IF(A193="","",N(INDEX(Projects[Est Elec Inst],192)))</f>
        <v/>
      </c>
      <c r="CH193" s="5">
        <f>IF(A193="","",N(INDEX(Projects[Est Project Management],192)))</f>
        <v/>
      </c>
      <c r="CI193" s="5">
        <f>IF(A193="","",N(INDEX(Projects[Est Systems Eng],192)))</f>
        <v/>
      </c>
      <c r="CJ193" s="5">
        <f>IF(A193="","",N(INDEX(Projects[Est Mechanical Eng],192)))</f>
        <v/>
      </c>
      <c r="CK193" s="5">
        <f>IF(A193="","",N(INDEX(Projects[Est Structural Engineering],192)))</f>
        <v/>
      </c>
      <c r="CL193" s="5">
        <f>IF(A193="","",N(INDEX(Projects[Est Site Sup],192)))</f>
        <v/>
      </c>
      <c r="CM193" s="5">
        <f>IF(A193="","",N(INDEX(Projects[Est Controls Commissioning],192)))</f>
        <v/>
      </c>
      <c r="CN193" s="5">
        <f>IF(A193="","",N(INDEX(Projects[Est Systems Commissioning],192)))</f>
        <v/>
      </c>
      <c r="CO193" s="5">
        <f>IF(A193="","",N(INDEX(Projects[Est Service Commissioning],192)))</f>
        <v/>
      </c>
      <c r="CP193" s="5">
        <f>IF(A193="","",N(INDEX(Projects[Est Controls Eng],192)))</f>
        <v/>
      </c>
      <c r="CQ193" s="5">
        <f>IF(A193="","",N(INDEX(Projects[Est Controls Purchase],192)))</f>
        <v/>
      </c>
      <c r="CR193" s="5">
        <f>IF(A193="","",N(INDEX(Projects[Est Software Eng],192)))</f>
        <v/>
      </c>
      <c r="CS193" s="5">
        <f>IF(A193="","",N(INDEX(Projects[Est Misc],192)))</f>
        <v/>
      </c>
      <c r="CT193" s="5">
        <f>IF(A193="","",SUM(CF193:CS193))</f>
        <v/>
      </c>
      <c r="CU193" s="5">
        <f>INDEX(Projects[Est Cost (M)],192)</f>
        <v/>
      </c>
      <c r="CV193" s="5">
        <f>INDEX(Projects[Act Cost (M)],192)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IF(A194="","",N(INDEX(Projects[Act Mech Inst],193)))</f>
        <v/>
      </c>
      <c r="BK194" s="5">
        <f>IF(A194="","",N(INDEX(Projects[Act Elec Inst],193)))</f>
        <v/>
      </c>
      <c r="BL194" s="5">
        <f>IF(A194="","",N(INDEX(Projects[Act Project Management],193)))</f>
        <v/>
      </c>
      <c r="BM194" s="5">
        <f>IF(A194="","",N(INDEX(Projects[Act Systems Eng],193)))</f>
        <v/>
      </c>
      <c r="BN194" s="5">
        <f>IF(A194="","",N(INDEX(Projects[Act Mechanical Eng],193)))</f>
        <v/>
      </c>
      <c r="BO194" s="5">
        <f>IF(A194="","",N(INDEX(Projects[Act Structural Engineering],193)))</f>
        <v/>
      </c>
      <c r="BP194" s="5">
        <f>IF(A194="","",N(INDEX(Projects[Act Site Sup],193)))</f>
        <v/>
      </c>
      <c r="BQ194" s="5">
        <f>IF(A194="","",N(INDEX(Projects[Act Controls Commissioning],193)))</f>
        <v/>
      </c>
      <c r="BR194" s="5">
        <f>IF(A194="","",N(INDEX(Projects[Act Systems Commissioning],193)))</f>
        <v/>
      </c>
      <c r="BS194" s="5">
        <f>IF(A194="","",N(INDEX(Projects[Act Service Commissioning],193)))</f>
        <v/>
      </c>
      <c r="BT194" s="5">
        <f>IF(A194="","",N(INDEX(Projects[Act Controls Eng],193)))</f>
        <v/>
      </c>
      <c r="BU194" s="5">
        <f>IF(A194="","",N(INDEX(Projects[Act Controls Purchase],193)))</f>
        <v/>
      </c>
      <c r="BV194" s="5">
        <f>IF(A194="","",N(INDEX(Projects[Act Software Eng],193)))</f>
        <v/>
      </c>
      <c r="BW194" s="5">
        <f>IF(A194="","",N(INDEX(Projects[Act 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  <c r="CE194" s="5">
        <f>INDEX(Projects[Act Data Status],193)&amp;""</f>
        <v/>
      </c>
      <c r="CF194" s="5">
        <f>IF(A194="","",N(INDEX(Projects[Est Mech Inst],193)))</f>
        <v/>
      </c>
      <c r="CG194" s="5">
        <f>IF(A194="","",N(INDEX(Projects[Est Elec Inst],193)))</f>
        <v/>
      </c>
      <c r="CH194" s="5">
        <f>IF(A194="","",N(INDEX(Projects[Est Project Management],193)))</f>
        <v/>
      </c>
      <c r="CI194" s="5">
        <f>IF(A194="","",N(INDEX(Projects[Est Systems Eng],193)))</f>
        <v/>
      </c>
      <c r="CJ194" s="5">
        <f>IF(A194="","",N(INDEX(Projects[Est Mechanical Eng],193)))</f>
        <v/>
      </c>
      <c r="CK194" s="5">
        <f>IF(A194="","",N(INDEX(Projects[Est Structural Engineering],193)))</f>
        <v/>
      </c>
      <c r="CL194" s="5">
        <f>IF(A194="","",N(INDEX(Projects[Est Site Sup],193)))</f>
        <v/>
      </c>
      <c r="CM194" s="5">
        <f>IF(A194="","",N(INDEX(Projects[Est Controls Commissioning],193)))</f>
        <v/>
      </c>
      <c r="CN194" s="5">
        <f>IF(A194="","",N(INDEX(Projects[Est Systems Commissioning],193)))</f>
        <v/>
      </c>
      <c r="CO194" s="5">
        <f>IF(A194="","",N(INDEX(Projects[Est Service Commissioning],193)))</f>
        <v/>
      </c>
      <c r="CP194" s="5">
        <f>IF(A194="","",N(INDEX(Projects[Est Controls Eng],193)))</f>
        <v/>
      </c>
      <c r="CQ194" s="5">
        <f>IF(A194="","",N(INDEX(Projects[Est Controls Purchase],193)))</f>
        <v/>
      </c>
      <c r="CR194" s="5">
        <f>IF(A194="","",N(INDEX(Projects[Est Software Eng],193)))</f>
        <v/>
      </c>
      <c r="CS194" s="5">
        <f>IF(A194="","",N(INDEX(Projects[Est Misc],193)))</f>
        <v/>
      </c>
      <c r="CT194" s="5">
        <f>IF(A194="","",SUM(CF194:CS194))</f>
        <v/>
      </c>
      <c r="CU194" s="5">
        <f>INDEX(Projects[Est Cost (M)],193)</f>
        <v/>
      </c>
      <c r="CV194" s="5">
        <f>INDEX(Projects[Act Cost (M)],193)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IF(A195="","",N(INDEX(Projects[Act Mech Inst],194)))</f>
        <v/>
      </c>
      <c r="BK195" s="5">
        <f>IF(A195="","",N(INDEX(Projects[Act Elec Inst],194)))</f>
        <v/>
      </c>
      <c r="BL195" s="5">
        <f>IF(A195="","",N(INDEX(Projects[Act Project Management],194)))</f>
        <v/>
      </c>
      <c r="BM195" s="5">
        <f>IF(A195="","",N(INDEX(Projects[Act Systems Eng],194)))</f>
        <v/>
      </c>
      <c r="BN195" s="5">
        <f>IF(A195="","",N(INDEX(Projects[Act Mechanical Eng],194)))</f>
        <v/>
      </c>
      <c r="BO195" s="5">
        <f>IF(A195="","",N(INDEX(Projects[Act Structural Engineering],194)))</f>
        <v/>
      </c>
      <c r="BP195" s="5">
        <f>IF(A195="","",N(INDEX(Projects[Act Site Sup],194)))</f>
        <v/>
      </c>
      <c r="BQ195" s="5">
        <f>IF(A195="","",N(INDEX(Projects[Act Controls Commissioning],194)))</f>
        <v/>
      </c>
      <c r="BR195" s="5">
        <f>IF(A195="","",N(INDEX(Projects[Act Systems Commissioning],194)))</f>
        <v/>
      </c>
      <c r="BS195" s="5">
        <f>IF(A195="","",N(INDEX(Projects[Act Service Commissioning],194)))</f>
        <v/>
      </c>
      <c r="BT195" s="5">
        <f>IF(A195="","",N(INDEX(Projects[Act Controls Eng],194)))</f>
        <v/>
      </c>
      <c r="BU195" s="5">
        <f>IF(A195="","",N(INDEX(Projects[Act Controls Purchase],194)))</f>
        <v/>
      </c>
      <c r="BV195" s="5">
        <f>IF(A195="","",N(INDEX(Projects[Act Software Eng],194)))</f>
        <v/>
      </c>
      <c r="BW195" s="5">
        <f>IF(A195="","",N(INDEX(Projects[Act 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  <c r="CE195" s="5">
        <f>INDEX(Projects[Act Data Status],194)&amp;""</f>
        <v/>
      </c>
      <c r="CF195" s="5">
        <f>IF(A195="","",N(INDEX(Projects[Est Mech Inst],194)))</f>
        <v/>
      </c>
      <c r="CG195" s="5">
        <f>IF(A195="","",N(INDEX(Projects[Est Elec Inst],194)))</f>
        <v/>
      </c>
      <c r="CH195" s="5">
        <f>IF(A195="","",N(INDEX(Projects[Est Project Management],194)))</f>
        <v/>
      </c>
      <c r="CI195" s="5">
        <f>IF(A195="","",N(INDEX(Projects[Est Systems Eng],194)))</f>
        <v/>
      </c>
      <c r="CJ195" s="5">
        <f>IF(A195="","",N(INDEX(Projects[Est Mechanical Eng],194)))</f>
        <v/>
      </c>
      <c r="CK195" s="5">
        <f>IF(A195="","",N(INDEX(Projects[Est Structural Engineering],194)))</f>
        <v/>
      </c>
      <c r="CL195" s="5">
        <f>IF(A195="","",N(INDEX(Projects[Est Site Sup],194)))</f>
        <v/>
      </c>
      <c r="CM195" s="5">
        <f>IF(A195="","",N(INDEX(Projects[Est Controls Commissioning],194)))</f>
        <v/>
      </c>
      <c r="CN195" s="5">
        <f>IF(A195="","",N(INDEX(Projects[Est Systems Commissioning],194)))</f>
        <v/>
      </c>
      <c r="CO195" s="5">
        <f>IF(A195="","",N(INDEX(Projects[Est Service Commissioning],194)))</f>
        <v/>
      </c>
      <c r="CP195" s="5">
        <f>IF(A195="","",N(INDEX(Projects[Est Controls Eng],194)))</f>
        <v/>
      </c>
      <c r="CQ195" s="5">
        <f>IF(A195="","",N(INDEX(Projects[Est Controls Purchase],194)))</f>
        <v/>
      </c>
      <c r="CR195" s="5">
        <f>IF(A195="","",N(INDEX(Projects[Est Software Eng],194)))</f>
        <v/>
      </c>
      <c r="CS195" s="5">
        <f>IF(A195="","",N(INDEX(Projects[Est Misc],194)))</f>
        <v/>
      </c>
      <c r="CT195" s="5">
        <f>IF(A195="","",SUM(CF195:CS195))</f>
        <v/>
      </c>
      <c r="CU195" s="5">
        <f>INDEX(Projects[Est Cost (M)],194)</f>
        <v/>
      </c>
      <c r="CV195" s="5">
        <f>INDEX(Projects[Act Cost (M)],194)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IF(A196="","",N(INDEX(Projects[Act Mech Inst],195)))</f>
        <v/>
      </c>
      <c r="BK196" s="5">
        <f>IF(A196="","",N(INDEX(Projects[Act Elec Inst],195)))</f>
        <v/>
      </c>
      <c r="BL196" s="5">
        <f>IF(A196="","",N(INDEX(Projects[Act Project Management],195)))</f>
        <v/>
      </c>
      <c r="BM196" s="5">
        <f>IF(A196="","",N(INDEX(Projects[Act Systems Eng],195)))</f>
        <v/>
      </c>
      <c r="BN196" s="5">
        <f>IF(A196="","",N(INDEX(Projects[Act Mechanical Eng],195)))</f>
        <v/>
      </c>
      <c r="BO196" s="5">
        <f>IF(A196="","",N(INDEX(Projects[Act Structural Engineering],195)))</f>
        <v/>
      </c>
      <c r="BP196" s="5">
        <f>IF(A196="","",N(INDEX(Projects[Act Site Sup],195)))</f>
        <v/>
      </c>
      <c r="BQ196" s="5">
        <f>IF(A196="","",N(INDEX(Projects[Act Controls Commissioning],195)))</f>
        <v/>
      </c>
      <c r="BR196" s="5">
        <f>IF(A196="","",N(INDEX(Projects[Act Systems Commissioning],195)))</f>
        <v/>
      </c>
      <c r="BS196" s="5">
        <f>IF(A196="","",N(INDEX(Projects[Act Service Commissioning],195)))</f>
        <v/>
      </c>
      <c r="BT196" s="5">
        <f>IF(A196="","",N(INDEX(Projects[Act Controls Eng],195)))</f>
        <v/>
      </c>
      <c r="BU196" s="5">
        <f>IF(A196="","",N(INDEX(Projects[Act Controls Purchase],195)))</f>
        <v/>
      </c>
      <c r="BV196" s="5">
        <f>IF(A196="","",N(INDEX(Projects[Act Software Eng],195)))</f>
        <v/>
      </c>
      <c r="BW196" s="5">
        <f>IF(A196="","",N(INDEX(Projects[Act 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  <c r="CE196" s="5">
        <f>INDEX(Projects[Act Data Status],195)&amp;""</f>
        <v/>
      </c>
      <c r="CF196" s="5">
        <f>IF(A196="","",N(INDEX(Projects[Est Mech Inst],195)))</f>
        <v/>
      </c>
      <c r="CG196" s="5">
        <f>IF(A196="","",N(INDEX(Projects[Est Elec Inst],195)))</f>
        <v/>
      </c>
      <c r="CH196" s="5">
        <f>IF(A196="","",N(INDEX(Projects[Est Project Management],195)))</f>
        <v/>
      </c>
      <c r="CI196" s="5">
        <f>IF(A196="","",N(INDEX(Projects[Est Systems Eng],195)))</f>
        <v/>
      </c>
      <c r="CJ196" s="5">
        <f>IF(A196="","",N(INDEX(Projects[Est Mechanical Eng],195)))</f>
        <v/>
      </c>
      <c r="CK196" s="5">
        <f>IF(A196="","",N(INDEX(Projects[Est Structural Engineering],195)))</f>
        <v/>
      </c>
      <c r="CL196" s="5">
        <f>IF(A196="","",N(INDEX(Projects[Est Site Sup],195)))</f>
        <v/>
      </c>
      <c r="CM196" s="5">
        <f>IF(A196="","",N(INDEX(Projects[Est Controls Commissioning],195)))</f>
        <v/>
      </c>
      <c r="CN196" s="5">
        <f>IF(A196="","",N(INDEX(Projects[Est Systems Commissioning],195)))</f>
        <v/>
      </c>
      <c r="CO196" s="5">
        <f>IF(A196="","",N(INDEX(Projects[Est Service Commissioning],195)))</f>
        <v/>
      </c>
      <c r="CP196" s="5">
        <f>IF(A196="","",N(INDEX(Projects[Est Controls Eng],195)))</f>
        <v/>
      </c>
      <c r="CQ196" s="5">
        <f>IF(A196="","",N(INDEX(Projects[Est Controls Purchase],195)))</f>
        <v/>
      </c>
      <c r="CR196" s="5">
        <f>IF(A196="","",N(INDEX(Projects[Est Software Eng],195)))</f>
        <v/>
      </c>
      <c r="CS196" s="5">
        <f>IF(A196="","",N(INDEX(Projects[Est Misc],195)))</f>
        <v/>
      </c>
      <c r="CT196" s="5">
        <f>IF(A196="","",SUM(CF196:CS196))</f>
        <v/>
      </c>
      <c r="CU196" s="5">
        <f>INDEX(Projects[Est Cost (M)],195)</f>
        <v/>
      </c>
      <c r="CV196" s="5">
        <f>INDEX(Projects[Act Cost (M)],195)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IF(A197="","",N(INDEX(Projects[Act Mech Inst],196)))</f>
        <v/>
      </c>
      <c r="BK197" s="5">
        <f>IF(A197="","",N(INDEX(Projects[Act Elec Inst],196)))</f>
        <v/>
      </c>
      <c r="BL197" s="5">
        <f>IF(A197="","",N(INDEX(Projects[Act Project Management],196)))</f>
        <v/>
      </c>
      <c r="BM197" s="5">
        <f>IF(A197="","",N(INDEX(Projects[Act Systems Eng],196)))</f>
        <v/>
      </c>
      <c r="BN197" s="5">
        <f>IF(A197="","",N(INDEX(Projects[Act Mechanical Eng],196)))</f>
        <v/>
      </c>
      <c r="BO197" s="5">
        <f>IF(A197="","",N(INDEX(Projects[Act Structural Engineering],196)))</f>
        <v/>
      </c>
      <c r="BP197" s="5">
        <f>IF(A197="","",N(INDEX(Projects[Act Site Sup],196)))</f>
        <v/>
      </c>
      <c r="BQ197" s="5">
        <f>IF(A197="","",N(INDEX(Projects[Act Controls Commissioning],196)))</f>
        <v/>
      </c>
      <c r="BR197" s="5">
        <f>IF(A197="","",N(INDEX(Projects[Act Systems Commissioning],196)))</f>
        <v/>
      </c>
      <c r="BS197" s="5">
        <f>IF(A197="","",N(INDEX(Projects[Act Service Commissioning],196)))</f>
        <v/>
      </c>
      <c r="BT197" s="5">
        <f>IF(A197="","",N(INDEX(Projects[Act Controls Eng],196)))</f>
        <v/>
      </c>
      <c r="BU197" s="5">
        <f>IF(A197="","",N(INDEX(Projects[Act Controls Purchase],196)))</f>
        <v/>
      </c>
      <c r="BV197" s="5">
        <f>IF(A197="","",N(INDEX(Projects[Act Software Eng],196)))</f>
        <v/>
      </c>
      <c r="BW197" s="5">
        <f>IF(A197="","",N(INDEX(Projects[Act 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  <c r="CE197" s="5">
        <f>INDEX(Projects[Act Data Status],196)&amp;""</f>
        <v/>
      </c>
      <c r="CF197" s="5">
        <f>IF(A197="","",N(INDEX(Projects[Est Mech Inst],196)))</f>
        <v/>
      </c>
      <c r="CG197" s="5">
        <f>IF(A197="","",N(INDEX(Projects[Est Elec Inst],196)))</f>
        <v/>
      </c>
      <c r="CH197" s="5">
        <f>IF(A197="","",N(INDEX(Projects[Est Project Management],196)))</f>
        <v/>
      </c>
      <c r="CI197" s="5">
        <f>IF(A197="","",N(INDEX(Projects[Est Systems Eng],196)))</f>
        <v/>
      </c>
      <c r="CJ197" s="5">
        <f>IF(A197="","",N(INDEX(Projects[Est Mechanical Eng],196)))</f>
        <v/>
      </c>
      <c r="CK197" s="5">
        <f>IF(A197="","",N(INDEX(Projects[Est Structural Engineering],196)))</f>
        <v/>
      </c>
      <c r="CL197" s="5">
        <f>IF(A197="","",N(INDEX(Projects[Est Site Sup],196)))</f>
        <v/>
      </c>
      <c r="CM197" s="5">
        <f>IF(A197="","",N(INDEX(Projects[Est Controls Commissioning],196)))</f>
        <v/>
      </c>
      <c r="CN197" s="5">
        <f>IF(A197="","",N(INDEX(Projects[Est Systems Commissioning],196)))</f>
        <v/>
      </c>
      <c r="CO197" s="5">
        <f>IF(A197="","",N(INDEX(Projects[Est Service Commissioning],196)))</f>
        <v/>
      </c>
      <c r="CP197" s="5">
        <f>IF(A197="","",N(INDEX(Projects[Est Controls Eng],196)))</f>
        <v/>
      </c>
      <c r="CQ197" s="5">
        <f>IF(A197="","",N(INDEX(Projects[Est Controls Purchase],196)))</f>
        <v/>
      </c>
      <c r="CR197" s="5">
        <f>IF(A197="","",N(INDEX(Projects[Est Software Eng],196)))</f>
        <v/>
      </c>
      <c r="CS197" s="5">
        <f>IF(A197="","",N(INDEX(Projects[Est Misc],196)))</f>
        <v/>
      </c>
      <c r="CT197" s="5">
        <f>IF(A197="","",SUM(CF197:CS197))</f>
        <v/>
      </c>
      <c r="CU197" s="5">
        <f>INDEX(Projects[Est Cost (M)],196)</f>
        <v/>
      </c>
      <c r="CV197" s="5">
        <f>INDEX(Projects[Act Cost (M)],196)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IF(A198="","",N(INDEX(Projects[Act Mech Inst],197)))</f>
        <v/>
      </c>
      <c r="BK198" s="5">
        <f>IF(A198="","",N(INDEX(Projects[Act Elec Inst],197)))</f>
        <v/>
      </c>
      <c r="BL198" s="5">
        <f>IF(A198="","",N(INDEX(Projects[Act Project Management],197)))</f>
        <v/>
      </c>
      <c r="BM198" s="5">
        <f>IF(A198="","",N(INDEX(Projects[Act Systems Eng],197)))</f>
        <v/>
      </c>
      <c r="BN198" s="5">
        <f>IF(A198="","",N(INDEX(Projects[Act Mechanical Eng],197)))</f>
        <v/>
      </c>
      <c r="BO198" s="5">
        <f>IF(A198="","",N(INDEX(Projects[Act Structural Engineering],197)))</f>
        <v/>
      </c>
      <c r="BP198" s="5">
        <f>IF(A198="","",N(INDEX(Projects[Act Site Sup],197)))</f>
        <v/>
      </c>
      <c r="BQ198" s="5">
        <f>IF(A198="","",N(INDEX(Projects[Act Controls Commissioning],197)))</f>
        <v/>
      </c>
      <c r="BR198" s="5">
        <f>IF(A198="","",N(INDEX(Projects[Act Systems Commissioning],197)))</f>
        <v/>
      </c>
      <c r="BS198" s="5">
        <f>IF(A198="","",N(INDEX(Projects[Act Service Commissioning],197)))</f>
        <v/>
      </c>
      <c r="BT198" s="5">
        <f>IF(A198="","",N(INDEX(Projects[Act Controls Eng],197)))</f>
        <v/>
      </c>
      <c r="BU198" s="5">
        <f>IF(A198="","",N(INDEX(Projects[Act Controls Purchase],197)))</f>
        <v/>
      </c>
      <c r="BV198" s="5">
        <f>IF(A198="","",N(INDEX(Projects[Act Software Eng],197)))</f>
        <v/>
      </c>
      <c r="BW198" s="5">
        <f>IF(A198="","",N(INDEX(Projects[Act 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  <c r="CE198" s="5">
        <f>INDEX(Projects[Act Data Status],197)&amp;""</f>
        <v/>
      </c>
      <c r="CF198" s="5">
        <f>IF(A198="","",N(INDEX(Projects[Est Mech Inst],197)))</f>
        <v/>
      </c>
      <c r="CG198" s="5">
        <f>IF(A198="","",N(INDEX(Projects[Est Elec Inst],197)))</f>
        <v/>
      </c>
      <c r="CH198" s="5">
        <f>IF(A198="","",N(INDEX(Projects[Est Project Management],197)))</f>
        <v/>
      </c>
      <c r="CI198" s="5">
        <f>IF(A198="","",N(INDEX(Projects[Est Systems Eng],197)))</f>
        <v/>
      </c>
      <c r="CJ198" s="5">
        <f>IF(A198="","",N(INDEX(Projects[Est Mechanical Eng],197)))</f>
        <v/>
      </c>
      <c r="CK198" s="5">
        <f>IF(A198="","",N(INDEX(Projects[Est Structural Engineering],197)))</f>
        <v/>
      </c>
      <c r="CL198" s="5">
        <f>IF(A198="","",N(INDEX(Projects[Est Site Sup],197)))</f>
        <v/>
      </c>
      <c r="CM198" s="5">
        <f>IF(A198="","",N(INDEX(Projects[Est Controls Commissioning],197)))</f>
        <v/>
      </c>
      <c r="CN198" s="5">
        <f>IF(A198="","",N(INDEX(Projects[Est Systems Commissioning],197)))</f>
        <v/>
      </c>
      <c r="CO198" s="5">
        <f>IF(A198="","",N(INDEX(Projects[Est Service Commissioning],197)))</f>
        <v/>
      </c>
      <c r="CP198" s="5">
        <f>IF(A198="","",N(INDEX(Projects[Est Controls Eng],197)))</f>
        <v/>
      </c>
      <c r="CQ198" s="5">
        <f>IF(A198="","",N(INDEX(Projects[Est Controls Purchase],197)))</f>
        <v/>
      </c>
      <c r="CR198" s="5">
        <f>IF(A198="","",N(INDEX(Projects[Est Software Eng],197)))</f>
        <v/>
      </c>
      <c r="CS198" s="5">
        <f>IF(A198="","",N(INDEX(Projects[Est Misc],197)))</f>
        <v/>
      </c>
      <c r="CT198" s="5">
        <f>IF(A198="","",SUM(CF198:CS198))</f>
        <v/>
      </c>
      <c r="CU198" s="5">
        <f>INDEX(Projects[Est Cost (M)],197)</f>
        <v/>
      </c>
      <c r="CV198" s="5">
        <f>INDEX(Projects[Act Cost (M)],197)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IF(A199="","",N(INDEX(Projects[Act Mech Inst],198)))</f>
        <v/>
      </c>
      <c r="BK199" s="5">
        <f>IF(A199="","",N(INDEX(Projects[Act Elec Inst],198)))</f>
        <v/>
      </c>
      <c r="BL199" s="5">
        <f>IF(A199="","",N(INDEX(Projects[Act Project Management],198)))</f>
        <v/>
      </c>
      <c r="BM199" s="5">
        <f>IF(A199="","",N(INDEX(Projects[Act Systems Eng],198)))</f>
        <v/>
      </c>
      <c r="BN199" s="5">
        <f>IF(A199="","",N(INDEX(Projects[Act Mechanical Eng],198)))</f>
        <v/>
      </c>
      <c r="BO199" s="5">
        <f>IF(A199="","",N(INDEX(Projects[Act Structural Engineering],198)))</f>
        <v/>
      </c>
      <c r="BP199" s="5">
        <f>IF(A199="","",N(INDEX(Projects[Act Site Sup],198)))</f>
        <v/>
      </c>
      <c r="BQ199" s="5">
        <f>IF(A199="","",N(INDEX(Projects[Act Controls Commissioning],198)))</f>
        <v/>
      </c>
      <c r="BR199" s="5">
        <f>IF(A199="","",N(INDEX(Projects[Act Systems Commissioning],198)))</f>
        <v/>
      </c>
      <c r="BS199" s="5">
        <f>IF(A199="","",N(INDEX(Projects[Act Service Commissioning],198)))</f>
        <v/>
      </c>
      <c r="BT199" s="5">
        <f>IF(A199="","",N(INDEX(Projects[Act Controls Eng],198)))</f>
        <v/>
      </c>
      <c r="BU199" s="5">
        <f>IF(A199="","",N(INDEX(Projects[Act Controls Purchase],198)))</f>
        <v/>
      </c>
      <c r="BV199" s="5">
        <f>IF(A199="","",N(INDEX(Projects[Act Software Eng],198)))</f>
        <v/>
      </c>
      <c r="BW199" s="5">
        <f>IF(A199="","",N(INDEX(Projects[Act 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  <c r="CE199" s="5">
        <f>INDEX(Projects[Act Data Status],198)&amp;""</f>
        <v/>
      </c>
      <c r="CF199" s="5">
        <f>IF(A199="","",N(INDEX(Projects[Est Mech Inst],198)))</f>
        <v/>
      </c>
      <c r="CG199" s="5">
        <f>IF(A199="","",N(INDEX(Projects[Est Elec Inst],198)))</f>
        <v/>
      </c>
      <c r="CH199" s="5">
        <f>IF(A199="","",N(INDEX(Projects[Est Project Management],198)))</f>
        <v/>
      </c>
      <c r="CI199" s="5">
        <f>IF(A199="","",N(INDEX(Projects[Est Systems Eng],198)))</f>
        <v/>
      </c>
      <c r="CJ199" s="5">
        <f>IF(A199="","",N(INDEX(Projects[Est Mechanical Eng],198)))</f>
        <v/>
      </c>
      <c r="CK199" s="5">
        <f>IF(A199="","",N(INDEX(Projects[Est Structural Engineering],198)))</f>
        <v/>
      </c>
      <c r="CL199" s="5">
        <f>IF(A199="","",N(INDEX(Projects[Est Site Sup],198)))</f>
        <v/>
      </c>
      <c r="CM199" s="5">
        <f>IF(A199="","",N(INDEX(Projects[Est Controls Commissioning],198)))</f>
        <v/>
      </c>
      <c r="CN199" s="5">
        <f>IF(A199="","",N(INDEX(Projects[Est Systems Commissioning],198)))</f>
        <v/>
      </c>
      <c r="CO199" s="5">
        <f>IF(A199="","",N(INDEX(Projects[Est Service Commissioning],198)))</f>
        <v/>
      </c>
      <c r="CP199" s="5">
        <f>IF(A199="","",N(INDEX(Projects[Est Controls Eng],198)))</f>
        <v/>
      </c>
      <c r="CQ199" s="5">
        <f>IF(A199="","",N(INDEX(Projects[Est Controls Purchase],198)))</f>
        <v/>
      </c>
      <c r="CR199" s="5">
        <f>IF(A199="","",N(INDEX(Projects[Est Software Eng],198)))</f>
        <v/>
      </c>
      <c r="CS199" s="5">
        <f>IF(A199="","",N(INDEX(Projects[Est Misc],198)))</f>
        <v/>
      </c>
      <c r="CT199" s="5">
        <f>IF(A199="","",SUM(CF199:CS199))</f>
        <v/>
      </c>
      <c r="CU199" s="5">
        <f>INDEX(Projects[Est Cost (M)],198)</f>
        <v/>
      </c>
      <c r="CV199" s="5">
        <f>INDEX(Projects[Act Cost (M)],198)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IF(A200="","",N(INDEX(Projects[Act Mech Inst],199)))</f>
        <v/>
      </c>
      <c r="BK200" s="5">
        <f>IF(A200="","",N(INDEX(Projects[Act Elec Inst],199)))</f>
        <v/>
      </c>
      <c r="BL200" s="5">
        <f>IF(A200="","",N(INDEX(Projects[Act Project Management],199)))</f>
        <v/>
      </c>
      <c r="BM200" s="5">
        <f>IF(A200="","",N(INDEX(Projects[Act Systems Eng],199)))</f>
        <v/>
      </c>
      <c r="BN200" s="5">
        <f>IF(A200="","",N(INDEX(Projects[Act Mechanical Eng],199)))</f>
        <v/>
      </c>
      <c r="BO200" s="5">
        <f>IF(A200="","",N(INDEX(Projects[Act Structural Engineering],199)))</f>
        <v/>
      </c>
      <c r="BP200" s="5">
        <f>IF(A200="","",N(INDEX(Projects[Act Site Sup],199)))</f>
        <v/>
      </c>
      <c r="BQ200" s="5">
        <f>IF(A200="","",N(INDEX(Projects[Act Controls Commissioning],199)))</f>
        <v/>
      </c>
      <c r="BR200" s="5">
        <f>IF(A200="","",N(INDEX(Projects[Act Systems Commissioning],199)))</f>
        <v/>
      </c>
      <c r="BS200" s="5">
        <f>IF(A200="","",N(INDEX(Projects[Act Service Commissioning],199)))</f>
        <v/>
      </c>
      <c r="BT200" s="5">
        <f>IF(A200="","",N(INDEX(Projects[Act Controls Eng],199)))</f>
        <v/>
      </c>
      <c r="BU200" s="5">
        <f>IF(A200="","",N(INDEX(Projects[Act Controls Purchase],199)))</f>
        <v/>
      </c>
      <c r="BV200" s="5">
        <f>IF(A200="","",N(INDEX(Projects[Act Software Eng],199)))</f>
        <v/>
      </c>
      <c r="BW200" s="5">
        <f>IF(A200="","",N(INDEX(Projects[Act 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  <c r="CE200" s="5">
        <f>INDEX(Projects[Act Data Status],199)&amp;""</f>
        <v/>
      </c>
      <c r="CF200" s="5">
        <f>IF(A200="","",N(INDEX(Projects[Est Mech Inst],199)))</f>
        <v/>
      </c>
      <c r="CG200" s="5">
        <f>IF(A200="","",N(INDEX(Projects[Est Elec Inst],199)))</f>
        <v/>
      </c>
      <c r="CH200" s="5">
        <f>IF(A200="","",N(INDEX(Projects[Est Project Management],199)))</f>
        <v/>
      </c>
      <c r="CI200" s="5">
        <f>IF(A200="","",N(INDEX(Projects[Est Systems Eng],199)))</f>
        <v/>
      </c>
      <c r="CJ200" s="5">
        <f>IF(A200="","",N(INDEX(Projects[Est Mechanical Eng],199)))</f>
        <v/>
      </c>
      <c r="CK200" s="5">
        <f>IF(A200="","",N(INDEX(Projects[Est Structural Engineering],199)))</f>
        <v/>
      </c>
      <c r="CL200" s="5">
        <f>IF(A200="","",N(INDEX(Projects[Est Site Sup],199)))</f>
        <v/>
      </c>
      <c r="CM200" s="5">
        <f>IF(A200="","",N(INDEX(Projects[Est Controls Commissioning],199)))</f>
        <v/>
      </c>
      <c r="CN200" s="5">
        <f>IF(A200="","",N(INDEX(Projects[Est Systems Commissioning],199)))</f>
        <v/>
      </c>
      <c r="CO200" s="5">
        <f>IF(A200="","",N(INDEX(Projects[Est Service Commissioning],199)))</f>
        <v/>
      </c>
      <c r="CP200" s="5">
        <f>IF(A200="","",N(INDEX(Projects[Est Controls Eng],199)))</f>
        <v/>
      </c>
      <c r="CQ200" s="5">
        <f>IF(A200="","",N(INDEX(Projects[Est Controls Purchase],199)))</f>
        <v/>
      </c>
      <c r="CR200" s="5">
        <f>IF(A200="","",N(INDEX(Projects[Est Software Eng],199)))</f>
        <v/>
      </c>
      <c r="CS200" s="5">
        <f>IF(A200="","",N(INDEX(Projects[Est Misc],199)))</f>
        <v/>
      </c>
      <c r="CT200" s="5">
        <f>IF(A200="","",SUM(CF200:CS200))</f>
        <v/>
      </c>
      <c r="CU200" s="5">
        <f>INDEX(Projects[Est Cost (M)],199)</f>
        <v/>
      </c>
      <c r="CV200" s="5">
        <f>INDEX(Projects[Act Cost (M)],199)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IF(A201="","",N(INDEX(Projects[Act Mech Inst],200)))</f>
        <v/>
      </c>
      <c r="BK201" s="5">
        <f>IF(A201="","",N(INDEX(Projects[Act Elec Inst],200)))</f>
        <v/>
      </c>
      <c r="BL201" s="5">
        <f>IF(A201="","",N(INDEX(Projects[Act Project Management],200)))</f>
        <v/>
      </c>
      <c r="BM201" s="5">
        <f>IF(A201="","",N(INDEX(Projects[Act Systems Eng],200)))</f>
        <v/>
      </c>
      <c r="BN201" s="5">
        <f>IF(A201="","",N(INDEX(Projects[Act Mechanical Eng],200)))</f>
        <v/>
      </c>
      <c r="BO201" s="5">
        <f>IF(A201="","",N(INDEX(Projects[Act Structural Engineering],200)))</f>
        <v/>
      </c>
      <c r="BP201" s="5">
        <f>IF(A201="","",N(INDEX(Projects[Act Site Sup],200)))</f>
        <v/>
      </c>
      <c r="BQ201" s="5">
        <f>IF(A201="","",N(INDEX(Projects[Act Controls Commissioning],200)))</f>
        <v/>
      </c>
      <c r="BR201" s="5">
        <f>IF(A201="","",N(INDEX(Projects[Act Systems Commissioning],200)))</f>
        <v/>
      </c>
      <c r="BS201" s="5">
        <f>IF(A201="","",N(INDEX(Projects[Act Service Commissioning],200)))</f>
        <v/>
      </c>
      <c r="BT201" s="5">
        <f>IF(A201="","",N(INDEX(Projects[Act Controls Eng],200)))</f>
        <v/>
      </c>
      <c r="BU201" s="5">
        <f>IF(A201="","",N(INDEX(Projects[Act Controls Purchase],200)))</f>
        <v/>
      </c>
      <c r="BV201" s="5">
        <f>IF(A201="","",N(INDEX(Projects[Act Software Eng],200)))</f>
        <v/>
      </c>
      <c r="BW201" s="5">
        <f>IF(A201="","",N(INDEX(Projects[Act 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  <c r="CE201" s="5">
        <f>INDEX(Projects[Act Data Status],200)&amp;""</f>
        <v/>
      </c>
      <c r="CF201" s="5">
        <f>IF(A201="","",N(INDEX(Projects[Est Mech Inst],200)))</f>
        <v/>
      </c>
      <c r="CG201" s="5">
        <f>IF(A201="","",N(INDEX(Projects[Est Elec Inst],200)))</f>
        <v/>
      </c>
      <c r="CH201" s="5">
        <f>IF(A201="","",N(INDEX(Projects[Est Project Management],200)))</f>
        <v/>
      </c>
      <c r="CI201" s="5">
        <f>IF(A201="","",N(INDEX(Projects[Est Systems Eng],200)))</f>
        <v/>
      </c>
      <c r="CJ201" s="5">
        <f>IF(A201="","",N(INDEX(Projects[Est Mechanical Eng],200)))</f>
        <v/>
      </c>
      <c r="CK201" s="5">
        <f>IF(A201="","",N(INDEX(Projects[Est Structural Engineering],200)))</f>
        <v/>
      </c>
      <c r="CL201" s="5">
        <f>IF(A201="","",N(INDEX(Projects[Est Site Sup],200)))</f>
        <v/>
      </c>
      <c r="CM201" s="5">
        <f>IF(A201="","",N(INDEX(Projects[Est Controls Commissioning],200)))</f>
        <v/>
      </c>
      <c r="CN201" s="5">
        <f>IF(A201="","",N(INDEX(Projects[Est Systems Commissioning],200)))</f>
        <v/>
      </c>
      <c r="CO201" s="5">
        <f>IF(A201="","",N(INDEX(Projects[Est Service Commissioning],200)))</f>
        <v/>
      </c>
      <c r="CP201" s="5">
        <f>IF(A201="","",N(INDEX(Projects[Est Controls Eng],200)))</f>
        <v/>
      </c>
      <c r="CQ201" s="5">
        <f>IF(A201="","",N(INDEX(Projects[Est Controls Purchase],200)))</f>
        <v/>
      </c>
      <c r="CR201" s="5">
        <f>IF(A201="","",N(INDEX(Projects[Est Software Eng],200)))</f>
        <v/>
      </c>
      <c r="CS201" s="5">
        <f>IF(A201="","",N(INDEX(Projects[Est Misc],200)))</f>
        <v/>
      </c>
      <c r="CT201" s="5">
        <f>IF(A201="","",SUM(CF201:CS201))</f>
        <v/>
      </c>
      <c r="CU201" s="5">
        <f>INDEX(Projects[Est Cost (M)],200)</f>
        <v/>
      </c>
      <c r="CV201" s="5">
        <f>INDEX(Projects[Act Cost (M)],200)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IF(A202="","",N(INDEX(Projects[Act Mech Inst],201)))</f>
        <v/>
      </c>
      <c r="BK202" s="5">
        <f>IF(A202="","",N(INDEX(Projects[Act Elec Inst],201)))</f>
        <v/>
      </c>
      <c r="BL202" s="5">
        <f>IF(A202="","",N(INDEX(Projects[Act Project Management],201)))</f>
        <v/>
      </c>
      <c r="BM202" s="5">
        <f>IF(A202="","",N(INDEX(Projects[Act Systems Eng],201)))</f>
        <v/>
      </c>
      <c r="BN202" s="5">
        <f>IF(A202="","",N(INDEX(Projects[Act Mechanical Eng],201)))</f>
        <v/>
      </c>
      <c r="BO202" s="5">
        <f>IF(A202="","",N(INDEX(Projects[Act Structural Engineering],201)))</f>
        <v/>
      </c>
      <c r="BP202" s="5">
        <f>IF(A202="","",N(INDEX(Projects[Act Site Sup],201)))</f>
        <v/>
      </c>
      <c r="BQ202" s="5">
        <f>IF(A202="","",N(INDEX(Projects[Act Controls Commissioning],201)))</f>
        <v/>
      </c>
      <c r="BR202" s="5">
        <f>IF(A202="","",N(INDEX(Projects[Act Systems Commissioning],201)))</f>
        <v/>
      </c>
      <c r="BS202" s="5">
        <f>IF(A202="","",N(INDEX(Projects[Act Service Commissioning],201)))</f>
        <v/>
      </c>
      <c r="BT202" s="5">
        <f>IF(A202="","",N(INDEX(Projects[Act Controls Eng],201)))</f>
        <v/>
      </c>
      <c r="BU202" s="5">
        <f>IF(A202="","",N(INDEX(Projects[Act Controls Purchase],201)))</f>
        <v/>
      </c>
      <c r="BV202" s="5">
        <f>IF(A202="","",N(INDEX(Projects[Act Software Eng],201)))</f>
        <v/>
      </c>
      <c r="BW202" s="5">
        <f>IF(A202="","",N(INDEX(Projects[Act 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  <c r="CE202" s="5">
        <f>INDEX(Projects[Act Data Status],201)&amp;""</f>
        <v/>
      </c>
      <c r="CF202" s="5">
        <f>IF(A202="","",N(INDEX(Projects[Est Mech Inst],201)))</f>
        <v/>
      </c>
      <c r="CG202" s="5">
        <f>IF(A202="","",N(INDEX(Projects[Est Elec Inst],201)))</f>
        <v/>
      </c>
      <c r="CH202" s="5">
        <f>IF(A202="","",N(INDEX(Projects[Est Project Management],201)))</f>
        <v/>
      </c>
      <c r="CI202" s="5">
        <f>IF(A202="","",N(INDEX(Projects[Est Systems Eng],201)))</f>
        <v/>
      </c>
      <c r="CJ202" s="5">
        <f>IF(A202="","",N(INDEX(Projects[Est Mechanical Eng],201)))</f>
        <v/>
      </c>
      <c r="CK202" s="5">
        <f>IF(A202="","",N(INDEX(Projects[Est Structural Engineering],201)))</f>
        <v/>
      </c>
      <c r="CL202" s="5">
        <f>IF(A202="","",N(INDEX(Projects[Est Site Sup],201)))</f>
        <v/>
      </c>
      <c r="CM202" s="5">
        <f>IF(A202="","",N(INDEX(Projects[Est Controls Commissioning],201)))</f>
        <v/>
      </c>
      <c r="CN202" s="5">
        <f>IF(A202="","",N(INDEX(Projects[Est Systems Commissioning],201)))</f>
        <v/>
      </c>
      <c r="CO202" s="5">
        <f>IF(A202="","",N(INDEX(Projects[Est Service Commissioning],201)))</f>
        <v/>
      </c>
      <c r="CP202" s="5">
        <f>IF(A202="","",N(INDEX(Projects[Est Controls Eng],201)))</f>
        <v/>
      </c>
      <c r="CQ202" s="5">
        <f>IF(A202="","",N(INDEX(Projects[Est Controls Purchase],201)))</f>
        <v/>
      </c>
      <c r="CR202" s="5">
        <f>IF(A202="","",N(INDEX(Projects[Est Software Eng],201)))</f>
        <v/>
      </c>
      <c r="CS202" s="5">
        <f>IF(A202="","",N(INDEX(Projects[Est Misc],201)))</f>
        <v/>
      </c>
      <c r="CT202" s="5">
        <f>IF(A202="","",SUM(CF202:CS202))</f>
        <v/>
      </c>
      <c r="CU202" s="5">
        <f>INDEX(Projects[Est Cost (M)],201)</f>
        <v/>
      </c>
      <c r="CV202" s="5">
        <f>INDEX(Projects[Act Cost (M)],201)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IF(A203="","",N(INDEX(Projects[Act Mech Inst],202)))</f>
        <v/>
      </c>
      <c r="BK203" s="5">
        <f>IF(A203="","",N(INDEX(Projects[Act Elec Inst],202)))</f>
        <v/>
      </c>
      <c r="BL203" s="5">
        <f>IF(A203="","",N(INDEX(Projects[Act Project Management],202)))</f>
        <v/>
      </c>
      <c r="BM203" s="5">
        <f>IF(A203="","",N(INDEX(Projects[Act Systems Eng],202)))</f>
        <v/>
      </c>
      <c r="BN203" s="5">
        <f>IF(A203="","",N(INDEX(Projects[Act Mechanical Eng],202)))</f>
        <v/>
      </c>
      <c r="BO203" s="5">
        <f>IF(A203="","",N(INDEX(Projects[Act Structural Engineering],202)))</f>
        <v/>
      </c>
      <c r="BP203" s="5">
        <f>IF(A203="","",N(INDEX(Projects[Act Site Sup],202)))</f>
        <v/>
      </c>
      <c r="BQ203" s="5">
        <f>IF(A203="","",N(INDEX(Projects[Act Controls Commissioning],202)))</f>
        <v/>
      </c>
      <c r="BR203" s="5">
        <f>IF(A203="","",N(INDEX(Projects[Act Systems Commissioning],202)))</f>
        <v/>
      </c>
      <c r="BS203" s="5">
        <f>IF(A203="","",N(INDEX(Projects[Act Service Commissioning],202)))</f>
        <v/>
      </c>
      <c r="BT203" s="5">
        <f>IF(A203="","",N(INDEX(Projects[Act Controls Eng],202)))</f>
        <v/>
      </c>
      <c r="BU203" s="5">
        <f>IF(A203="","",N(INDEX(Projects[Act Controls Purchase],202)))</f>
        <v/>
      </c>
      <c r="BV203" s="5">
        <f>IF(A203="","",N(INDEX(Projects[Act Software Eng],202)))</f>
        <v/>
      </c>
      <c r="BW203" s="5">
        <f>IF(A203="","",N(INDEX(Projects[Act 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  <c r="CE203" s="5">
        <f>INDEX(Projects[Act Data Status],202)&amp;""</f>
        <v/>
      </c>
      <c r="CF203" s="5">
        <f>IF(A203="","",N(INDEX(Projects[Est Mech Inst],202)))</f>
        <v/>
      </c>
      <c r="CG203" s="5">
        <f>IF(A203="","",N(INDEX(Projects[Est Elec Inst],202)))</f>
        <v/>
      </c>
      <c r="CH203" s="5">
        <f>IF(A203="","",N(INDEX(Projects[Est Project Management],202)))</f>
        <v/>
      </c>
      <c r="CI203" s="5">
        <f>IF(A203="","",N(INDEX(Projects[Est Systems Eng],202)))</f>
        <v/>
      </c>
      <c r="CJ203" s="5">
        <f>IF(A203="","",N(INDEX(Projects[Est Mechanical Eng],202)))</f>
        <v/>
      </c>
      <c r="CK203" s="5">
        <f>IF(A203="","",N(INDEX(Projects[Est Structural Engineering],202)))</f>
        <v/>
      </c>
      <c r="CL203" s="5">
        <f>IF(A203="","",N(INDEX(Projects[Est Site Sup],202)))</f>
        <v/>
      </c>
      <c r="CM203" s="5">
        <f>IF(A203="","",N(INDEX(Projects[Est Controls Commissioning],202)))</f>
        <v/>
      </c>
      <c r="CN203" s="5">
        <f>IF(A203="","",N(INDEX(Projects[Est Systems Commissioning],202)))</f>
        <v/>
      </c>
      <c r="CO203" s="5">
        <f>IF(A203="","",N(INDEX(Projects[Est Service Commissioning],202)))</f>
        <v/>
      </c>
      <c r="CP203" s="5">
        <f>IF(A203="","",N(INDEX(Projects[Est Controls Eng],202)))</f>
        <v/>
      </c>
      <c r="CQ203" s="5">
        <f>IF(A203="","",N(INDEX(Projects[Est Controls Purchase],202)))</f>
        <v/>
      </c>
      <c r="CR203" s="5">
        <f>IF(A203="","",N(INDEX(Projects[Est Software Eng],202)))</f>
        <v/>
      </c>
      <c r="CS203" s="5">
        <f>IF(A203="","",N(INDEX(Projects[Est Misc],202)))</f>
        <v/>
      </c>
      <c r="CT203" s="5">
        <f>IF(A203="","",SUM(CF203:CS203))</f>
        <v/>
      </c>
      <c r="CU203" s="5">
        <f>INDEX(Projects[Est Cost (M)],202)</f>
        <v/>
      </c>
      <c r="CV203" s="5">
        <f>INDEX(Projects[Act Cost (M)],202)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IF(A204="","",N(INDEX(Projects[Act Mech Inst],203)))</f>
        <v/>
      </c>
      <c r="BK204" s="5">
        <f>IF(A204="","",N(INDEX(Projects[Act Elec Inst],203)))</f>
        <v/>
      </c>
      <c r="BL204" s="5">
        <f>IF(A204="","",N(INDEX(Projects[Act Project Management],203)))</f>
        <v/>
      </c>
      <c r="BM204" s="5">
        <f>IF(A204="","",N(INDEX(Projects[Act Systems Eng],203)))</f>
        <v/>
      </c>
      <c r="BN204" s="5">
        <f>IF(A204="","",N(INDEX(Projects[Act Mechanical Eng],203)))</f>
        <v/>
      </c>
      <c r="BO204" s="5">
        <f>IF(A204="","",N(INDEX(Projects[Act Structural Engineering],203)))</f>
        <v/>
      </c>
      <c r="BP204" s="5">
        <f>IF(A204="","",N(INDEX(Projects[Act Site Sup],203)))</f>
        <v/>
      </c>
      <c r="BQ204" s="5">
        <f>IF(A204="","",N(INDEX(Projects[Act Controls Commissioning],203)))</f>
        <v/>
      </c>
      <c r="BR204" s="5">
        <f>IF(A204="","",N(INDEX(Projects[Act Systems Commissioning],203)))</f>
        <v/>
      </c>
      <c r="BS204" s="5">
        <f>IF(A204="","",N(INDEX(Projects[Act Service Commissioning],203)))</f>
        <v/>
      </c>
      <c r="BT204" s="5">
        <f>IF(A204="","",N(INDEX(Projects[Act Controls Eng],203)))</f>
        <v/>
      </c>
      <c r="BU204" s="5">
        <f>IF(A204="","",N(INDEX(Projects[Act Controls Purchase],203)))</f>
        <v/>
      </c>
      <c r="BV204" s="5">
        <f>IF(A204="","",N(INDEX(Projects[Act Software Eng],203)))</f>
        <v/>
      </c>
      <c r="BW204" s="5">
        <f>IF(A204="","",N(INDEX(Projects[Act 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  <c r="CE204" s="5">
        <f>INDEX(Projects[Act Data Status],203)&amp;""</f>
        <v/>
      </c>
      <c r="CF204" s="5">
        <f>IF(A204="","",N(INDEX(Projects[Est Mech Inst],203)))</f>
        <v/>
      </c>
      <c r="CG204" s="5">
        <f>IF(A204="","",N(INDEX(Projects[Est Elec Inst],203)))</f>
        <v/>
      </c>
      <c r="CH204" s="5">
        <f>IF(A204="","",N(INDEX(Projects[Est Project Management],203)))</f>
        <v/>
      </c>
      <c r="CI204" s="5">
        <f>IF(A204="","",N(INDEX(Projects[Est Systems Eng],203)))</f>
        <v/>
      </c>
      <c r="CJ204" s="5">
        <f>IF(A204="","",N(INDEX(Projects[Est Mechanical Eng],203)))</f>
        <v/>
      </c>
      <c r="CK204" s="5">
        <f>IF(A204="","",N(INDEX(Projects[Est Structural Engineering],203)))</f>
        <v/>
      </c>
      <c r="CL204" s="5">
        <f>IF(A204="","",N(INDEX(Projects[Est Site Sup],203)))</f>
        <v/>
      </c>
      <c r="CM204" s="5">
        <f>IF(A204="","",N(INDEX(Projects[Est Controls Commissioning],203)))</f>
        <v/>
      </c>
      <c r="CN204" s="5">
        <f>IF(A204="","",N(INDEX(Projects[Est Systems Commissioning],203)))</f>
        <v/>
      </c>
      <c r="CO204" s="5">
        <f>IF(A204="","",N(INDEX(Projects[Est Service Commissioning],203)))</f>
        <v/>
      </c>
      <c r="CP204" s="5">
        <f>IF(A204="","",N(INDEX(Projects[Est Controls Eng],203)))</f>
        <v/>
      </c>
      <c r="CQ204" s="5">
        <f>IF(A204="","",N(INDEX(Projects[Est Controls Purchase],203)))</f>
        <v/>
      </c>
      <c r="CR204" s="5">
        <f>IF(A204="","",N(INDEX(Projects[Est Software Eng],203)))</f>
        <v/>
      </c>
      <c r="CS204" s="5">
        <f>IF(A204="","",N(INDEX(Projects[Est Misc],203)))</f>
        <v/>
      </c>
      <c r="CT204" s="5">
        <f>IF(A204="","",SUM(CF204:CS204))</f>
        <v/>
      </c>
      <c r="CU204" s="5">
        <f>INDEX(Projects[Est Cost (M)],203)</f>
        <v/>
      </c>
      <c r="CV204" s="5">
        <f>INDEX(Projects[Act Cost (M)],203)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IF(A205="","",N(INDEX(Projects[Act Mech Inst],204)))</f>
        <v/>
      </c>
      <c r="BK205" s="5">
        <f>IF(A205="","",N(INDEX(Projects[Act Elec Inst],204)))</f>
        <v/>
      </c>
      <c r="BL205" s="5">
        <f>IF(A205="","",N(INDEX(Projects[Act Project Management],204)))</f>
        <v/>
      </c>
      <c r="BM205" s="5">
        <f>IF(A205="","",N(INDEX(Projects[Act Systems Eng],204)))</f>
        <v/>
      </c>
      <c r="BN205" s="5">
        <f>IF(A205="","",N(INDEX(Projects[Act Mechanical Eng],204)))</f>
        <v/>
      </c>
      <c r="BO205" s="5">
        <f>IF(A205="","",N(INDEX(Projects[Act Structural Engineering],204)))</f>
        <v/>
      </c>
      <c r="BP205" s="5">
        <f>IF(A205="","",N(INDEX(Projects[Act Site Sup],204)))</f>
        <v/>
      </c>
      <c r="BQ205" s="5">
        <f>IF(A205="","",N(INDEX(Projects[Act Controls Commissioning],204)))</f>
        <v/>
      </c>
      <c r="BR205" s="5">
        <f>IF(A205="","",N(INDEX(Projects[Act Systems Commissioning],204)))</f>
        <v/>
      </c>
      <c r="BS205" s="5">
        <f>IF(A205="","",N(INDEX(Projects[Act Service Commissioning],204)))</f>
        <v/>
      </c>
      <c r="BT205" s="5">
        <f>IF(A205="","",N(INDEX(Projects[Act Controls Eng],204)))</f>
        <v/>
      </c>
      <c r="BU205" s="5">
        <f>IF(A205="","",N(INDEX(Projects[Act Controls Purchase],204)))</f>
        <v/>
      </c>
      <c r="BV205" s="5">
        <f>IF(A205="","",N(INDEX(Projects[Act Software Eng],204)))</f>
        <v/>
      </c>
      <c r="BW205" s="5">
        <f>IF(A205="","",N(INDEX(Projects[Act 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  <c r="CE205" s="5">
        <f>INDEX(Projects[Act Data Status],204)&amp;""</f>
        <v/>
      </c>
      <c r="CF205" s="5">
        <f>IF(A205="","",N(INDEX(Projects[Est Mech Inst],204)))</f>
        <v/>
      </c>
      <c r="CG205" s="5">
        <f>IF(A205="","",N(INDEX(Projects[Est Elec Inst],204)))</f>
        <v/>
      </c>
      <c r="CH205" s="5">
        <f>IF(A205="","",N(INDEX(Projects[Est Project Management],204)))</f>
        <v/>
      </c>
      <c r="CI205" s="5">
        <f>IF(A205="","",N(INDEX(Projects[Est Systems Eng],204)))</f>
        <v/>
      </c>
      <c r="CJ205" s="5">
        <f>IF(A205="","",N(INDEX(Projects[Est Mechanical Eng],204)))</f>
        <v/>
      </c>
      <c r="CK205" s="5">
        <f>IF(A205="","",N(INDEX(Projects[Est Structural Engineering],204)))</f>
        <v/>
      </c>
      <c r="CL205" s="5">
        <f>IF(A205="","",N(INDEX(Projects[Est Site Sup],204)))</f>
        <v/>
      </c>
      <c r="CM205" s="5">
        <f>IF(A205="","",N(INDEX(Projects[Est Controls Commissioning],204)))</f>
        <v/>
      </c>
      <c r="CN205" s="5">
        <f>IF(A205="","",N(INDEX(Projects[Est Systems Commissioning],204)))</f>
        <v/>
      </c>
      <c r="CO205" s="5">
        <f>IF(A205="","",N(INDEX(Projects[Est Service Commissioning],204)))</f>
        <v/>
      </c>
      <c r="CP205" s="5">
        <f>IF(A205="","",N(INDEX(Projects[Est Controls Eng],204)))</f>
        <v/>
      </c>
      <c r="CQ205" s="5">
        <f>IF(A205="","",N(INDEX(Projects[Est Controls Purchase],204)))</f>
        <v/>
      </c>
      <c r="CR205" s="5">
        <f>IF(A205="","",N(INDEX(Projects[Est Software Eng],204)))</f>
        <v/>
      </c>
      <c r="CS205" s="5">
        <f>IF(A205="","",N(INDEX(Projects[Est Misc],204)))</f>
        <v/>
      </c>
      <c r="CT205" s="5">
        <f>IF(A205="","",SUM(CF205:CS205))</f>
        <v/>
      </c>
      <c r="CU205" s="5">
        <f>INDEX(Projects[Est Cost (M)],204)</f>
        <v/>
      </c>
      <c r="CV205" s="5">
        <f>INDEX(Projects[Act Cost (M)],204)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IF(A206="","",N(INDEX(Projects[Act Mech Inst],205)))</f>
        <v/>
      </c>
      <c r="BK206" s="5">
        <f>IF(A206="","",N(INDEX(Projects[Act Elec Inst],205)))</f>
        <v/>
      </c>
      <c r="BL206" s="5">
        <f>IF(A206="","",N(INDEX(Projects[Act Project Management],205)))</f>
        <v/>
      </c>
      <c r="BM206" s="5">
        <f>IF(A206="","",N(INDEX(Projects[Act Systems Eng],205)))</f>
        <v/>
      </c>
      <c r="BN206" s="5">
        <f>IF(A206="","",N(INDEX(Projects[Act Mechanical Eng],205)))</f>
        <v/>
      </c>
      <c r="BO206" s="5">
        <f>IF(A206="","",N(INDEX(Projects[Act Structural Engineering],205)))</f>
        <v/>
      </c>
      <c r="BP206" s="5">
        <f>IF(A206="","",N(INDEX(Projects[Act Site Sup],205)))</f>
        <v/>
      </c>
      <c r="BQ206" s="5">
        <f>IF(A206="","",N(INDEX(Projects[Act Controls Commissioning],205)))</f>
        <v/>
      </c>
      <c r="BR206" s="5">
        <f>IF(A206="","",N(INDEX(Projects[Act Systems Commissioning],205)))</f>
        <v/>
      </c>
      <c r="BS206" s="5">
        <f>IF(A206="","",N(INDEX(Projects[Act Service Commissioning],205)))</f>
        <v/>
      </c>
      <c r="BT206" s="5">
        <f>IF(A206="","",N(INDEX(Projects[Act Controls Eng],205)))</f>
        <v/>
      </c>
      <c r="BU206" s="5">
        <f>IF(A206="","",N(INDEX(Projects[Act Controls Purchase],205)))</f>
        <v/>
      </c>
      <c r="BV206" s="5">
        <f>IF(A206="","",N(INDEX(Projects[Act Software Eng],205)))</f>
        <v/>
      </c>
      <c r="BW206" s="5">
        <f>IF(A206="","",N(INDEX(Projects[Act 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  <c r="CE206" s="5">
        <f>INDEX(Projects[Act Data Status],205)&amp;""</f>
        <v/>
      </c>
      <c r="CF206" s="5">
        <f>IF(A206="","",N(INDEX(Projects[Est Mech Inst],205)))</f>
        <v/>
      </c>
      <c r="CG206" s="5">
        <f>IF(A206="","",N(INDEX(Projects[Est Elec Inst],205)))</f>
        <v/>
      </c>
      <c r="CH206" s="5">
        <f>IF(A206="","",N(INDEX(Projects[Est Project Management],205)))</f>
        <v/>
      </c>
      <c r="CI206" s="5">
        <f>IF(A206="","",N(INDEX(Projects[Est Systems Eng],205)))</f>
        <v/>
      </c>
      <c r="CJ206" s="5">
        <f>IF(A206="","",N(INDEX(Projects[Est Mechanical Eng],205)))</f>
        <v/>
      </c>
      <c r="CK206" s="5">
        <f>IF(A206="","",N(INDEX(Projects[Est Structural Engineering],205)))</f>
        <v/>
      </c>
      <c r="CL206" s="5">
        <f>IF(A206="","",N(INDEX(Projects[Est Site Sup],205)))</f>
        <v/>
      </c>
      <c r="CM206" s="5">
        <f>IF(A206="","",N(INDEX(Projects[Est Controls Commissioning],205)))</f>
        <v/>
      </c>
      <c r="CN206" s="5">
        <f>IF(A206="","",N(INDEX(Projects[Est Systems Commissioning],205)))</f>
        <v/>
      </c>
      <c r="CO206" s="5">
        <f>IF(A206="","",N(INDEX(Projects[Est Service Commissioning],205)))</f>
        <v/>
      </c>
      <c r="CP206" s="5">
        <f>IF(A206="","",N(INDEX(Projects[Est Controls Eng],205)))</f>
        <v/>
      </c>
      <c r="CQ206" s="5">
        <f>IF(A206="","",N(INDEX(Projects[Est Controls Purchase],205)))</f>
        <v/>
      </c>
      <c r="CR206" s="5">
        <f>IF(A206="","",N(INDEX(Projects[Est Software Eng],205)))</f>
        <v/>
      </c>
      <c r="CS206" s="5">
        <f>IF(A206="","",N(INDEX(Projects[Est Misc],205)))</f>
        <v/>
      </c>
      <c r="CT206" s="5">
        <f>IF(A206="","",SUM(CF206:CS206))</f>
        <v/>
      </c>
      <c r="CU206" s="5">
        <f>INDEX(Projects[Est Cost (M)],205)</f>
        <v/>
      </c>
      <c r="CV206" s="5">
        <f>INDEX(Projects[Act Cost (M)],205)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IF(A207="","",N(INDEX(Projects[Act Mech Inst],206)))</f>
        <v/>
      </c>
      <c r="BK207" s="5">
        <f>IF(A207="","",N(INDEX(Projects[Act Elec Inst],206)))</f>
        <v/>
      </c>
      <c r="BL207" s="5">
        <f>IF(A207="","",N(INDEX(Projects[Act Project Management],206)))</f>
        <v/>
      </c>
      <c r="BM207" s="5">
        <f>IF(A207="","",N(INDEX(Projects[Act Systems Eng],206)))</f>
        <v/>
      </c>
      <c r="BN207" s="5">
        <f>IF(A207="","",N(INDEX(Projects[Act Mechanical Eng],206)))</f>
        <v/>
      </c>
      <c r="BO207" s="5">
        <f>IF(A207="","",N(INDEX(Projects[Act Structural Engineering],206)))</f>
        <v/>
      </c>
      <c r="BP207" s="5">
        <f>IF(A207="","",N(INDEX(Projects[Act Site Sup],206)))</f>
        <v/>
      </c>
      <c r="BQ207" s="5">
        <f>IF(A207="","",N(INDEX(Projects[Act Controls Commissioning],206)))</f>
        <v/>
      </c>
      <c r="BR207" s="5">
        <f>IF(A207="","",N(INDEX(Projects[Act Systems Commissioning],206)))</f>
        <v/>
      </c>
      <c r="BS207" s="5">
        <f>IF(A207="","",N(INDEX(Projects[Act Service Commissioning],206)))</f>
        <v/>
      </c>
      <c r="BT207" s="5">
        <f>IF(A207="","",N(INDEX(Projects[Act Controls Eng],206)))</f>
        <v/>
      </c>
      <c r="BU207" s="5">
        <f>IF(A207="","",N(INDEX(Projects[Act Controls Purchase],206)))</f>
        <v/>
      </c>
      <c r="BV207" s="5">
        <f>IF(A207="","",N(INDEX(Projects[Act Software Eng],206)))</f>
        <v/>
      </c>
      <c r="BW207" s="5">
        <f>IF(A207="","",N(INDEX(Projects[Act 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  <c r="CE207" s="5">
        <f>INDEX(Projects[Act Data Status],206)&amp;""</f>
        <v/>
      </c>
      <c r="CF207" s="5">
        <f>IF(A207="","",N(INDEX(Projects[Est Mech Inst],206)))</f>
        <v/>
      </c>
      <c r="CG207" s="5">
        <f>IF(A207="","",N(INDEX(Projects[Est Elec Inst],206)))</f>
        <v/>
      </c>
      <c r="CH207" s="5">
        <f>IF(A207="","",N(INDEX(Projects[Est Project Management],206)))</f>
        <v/>
      </c>
      <c r="CI207" s="5">
        <f>IF(A207="","",N(INDEX(Projects[Est Systems Eng],206)))</f>
        <v/>
      </c>
      <c r="CJ207" s="5">
        <f>IF(A207="","",N(INDEX(Projects[Est Mechanical Eng],206)))</f>
        <v/>
      </c>
      <c r="CK207" s="5">
        <f>IF(A207="","",N(INDEX(Projects[Est Structural Engineering],206)))</f>
        <v/>
      </c>
      <c r="CL207" s="5">
        <f>IF(A207="","",N(INDEX(Projects[Est Site Sup],206)))</f>
        <v/>
      </c>
      <c r="CM207" s="5">
        <f>IF(A207="","",N(INDEX(Projects[Est Controls Commissioning],206)))</f>
        <v/>
      </c>
      <c r="CN207" s="5">
        <f>IF(A207="","",N(INDEX(Projects[Est Systems Commissioning],206)))</f>
        <v/>
      </c>
      <c r="CO207" s="5">
        <f>IF(A207="","",N(INDEX(Projects[Est Service Commissioning],206)))</f>
        <v/>
      </c>
      <c r="CP207" s="5">
        <f>IF(A207="","",N(INDEX(Projects[Est Controls Eng],206)))</f>
        <v/>
      </c>
      <c r="CQ207" s="5">
        <f>IF(A207="","",N(INDEX(Projects[Est Controls Purchase],206)))</f>
        <v/>
      </c>
      <c r="CR207" s="5">
        <f>IF(A207="","",N(INDEX(Projects[Est Software Eng],206)))</f>
        <v/>
      </c>
      <c r="CS207" s="5">
        <f>IF(A207="","",N(INDEX(Projects[Est Misc],206)))</f>
        <v/>
      </c>
      <c r="CT207" s="5">
        <f>IF(A207="","",SUM(CF207:CS207))</f>
        <v/>
      </c>
      <c r="CU207" s="5">
        <f>INDEX(Projects[Est Cost (M)],206)</f>
        <v/>
      </c>
      <c r="CV207" s="5">
        <f>INDEX(Projects[Act Cost (M)],206)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IF(A208="","",N(INDEX(Projects[Act Mech Inst],207)))</f>
        <v/>
      </c>
      <c r="BK208" s="5">
        <f>IF(A208="","",N(INDEX(Projects[Act Elec Inst],207)))</f>
        <v/>
      </c>
      <c r="BL208" s="5">
        <f>IF(A208="","",N(INDEX(Projects[Act Project Management],207)))</f>
        <v/>
      </c>
      <c r="BM208" s="5">
        <f>IF(A208="","",N(INDEX(Projects[Act Systems Eng],207)))</f>
        <v/>
      </c>
      <c r="BN208" s="5">
        <f>IF(A208="","",N(INDEX(Projects[Act Mechanical Eng],207)))</f>
        <v/>
      </c>
      <c r="BO208" s="5">
        <f>IF(A208="","",N(INDEX(Projects[Act Structural Engineering],207)))</f>
        <v/>
      </c>
      <c r="BP208" s="5">
        <f>IF(A208="","",N(INDEX(Projects[Act Site Sup],207)))</f>
        <v/>
      </c>
      <c r="BQ208" s="5">
        <f>IF(A208="","",N(INDEX(Projects[Act Controls Commissioning],207)))</f>
        <v/>
      </c>
      <c r="BR208" s="5">
        <f>IF(A208="","",N(INDEX(Projects[Act Systems Commissioning],207)))</f>
        <v/>
      </c>
      <c r="BS208" s="5">
        <f>IF(A208="","",N(INDEX(Projects[Act Service Commissioning],207)))</f>
        <v/>
      </c>
      <c r="BT208" s="5">
        <f>IF(A208="","",N(INDEX(Projects[Act Controls Eng],207)))</f>
        <v/>
      </c>
      <c r="BU208" s="5">
        <f>IF(A208="","",N(INDEX(Projects[Act Controls Purchase],207)))</f>
        <v/>
      </c>
      <c r="BV208" s="5">
        <f>IF(A208="","",N(INDEX(Projects[Act Software Eng],207)))</f>
        <v/>
      </c>
      <c r="BW208" s="5">
        <f>IF(A208="","",N(INDEX(Projects[Act 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  <c r="CE208" s="5">
        <f>INDEX(Projects[Act Data Status],207)&amp;""</f>
        <v/>
      </c>
      <c r="CF208" s="5">
        <f>IF(A208="","",N(INDEX(Projects[Est Mech Inst],207)))</f>
        <v/>
      </c>
      <c r="CG208" s="5">
        <f>IF(A208="","",N(INDEX(Projects[Est Elec Inst],207)))</f>
        <v/>
      </c>
      <c r="CH208" s="5">
        <f>IF(A208="","",N(INDEX(Projects[Est Project Management],207)))</f>
        <v/>
      </c>
      <c r="CI208" s="5">
        <f>IF(A208="","",N(INDEX(Projects[Est Systems Eng],207)))</f>
        <v/>
      </c>
      <c r="CJ208" s="5">
        <f>IF(A208="","",N(INDEX(Projects[Est Mechanical Eng],207)))</f>
        <v/>
      </c>
      <c r="CK208" s="5">
        <f>IF(A208="","",N(INDEX(Projects[Est Structural Engineering],207)))</f>
        <v/>
      </c>
      <c r="CL208" s="5">
        <f>IF(A208="","",N(INDEX(Projects[Est Site Sup],207)))</f>
        <v/>
      </c>
      <c r="CM208" s="5">
        <f>IF(A208="","",N(INDEX(Projects[Est Controls Commissioning],207)))</f>
        <v/>
      </c>
      <c r="CN208" s="5">
        <f>IF(A208="","",N(INDEX(Projects[Est Systems Commissioning],207)))</f>
        <v/>
      </c>
      <c r="CO208" s="5">
        <f>IF(A208="","",N(INDEX(Projects[Est Service Commissioning],207)))</f>
        <v/>
      </c>
      <c r="CP208" s="5">
        <f>IF(A208="","",N(INDEX(Projects[Est Controls Eng],207)))</f>
        <v/>
      </c>
      <c r="CQ208" s="5">
        <f>IF(A208="","",N(INDEX(Projects[Est Controls Purchase],207)))</f>
        <v/>
      </c>
      <c r="CR208" s="5">
        <f>IF(A208="","",N(INDEX(Projects[Est Software Eng],207)))</f>
        <v/>
      </c>
      <c r="CS208" s="5">
        <f>IF(A208="","",N(INDEX(Projects[Est Misc],207)))</f>
        <v/>
      </c>
      <c r="CT208" s="5">
        <f>IF(A208="","",SUM(CF208:CS208))</f>
        <v/>
      </c>
      <c r="CU208" s="5">
        <f>INDEX(Projects[Est Cost (M)],207)</f>
        <v/>
      </c>
      <c r="CV208" s="5">
        <f>INDEX(Projects[Act Cost (M)],207)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IF(A209="","",N(INDEX(Projects[Act Mech Inst],208)))</f>
        <v/>
      </c>
      <c r="BK209" s="5">
        <f>IF(A209="","",N(INDEX(Projects[Act Elec Inst],208)))</f>
        <v/>
      </c>
      <c r="BL209" s="5">
        <f>IF(A209="","",N(INDEX(Projects[Act Project Management],208)))</f>
        <v/>
      </c>
      <c r="BM209" s="5">
        <f>IF(A209="","",N(INDEX(Projects[Act Systems Eng],208)))</f>
        <v/>
      </c>
      <c r="BN209" s="5">
        <f>IF(A209="","",N(INDEX(Projects[Act Mechanical Eng],208)))</f>
        <v/>
      </c>
      <c r="BO209" s="5">
        <f>IF(A209="","",N(INDEX(Projects[Act Structural Engineering],208)))</f>
        <v/>
      </c>
      <c r="BP209" s="5">
        <f>IF(A209="","",N(INDEX(Projects[Act Site Sup],208)))</f>
        <v/>
      </c>
      <c r="BQ209" s="5">
        <f>IF(A209="","",N(INDEX(Projects[Act Controls Commissioning],208)))</f>
        <v/>
      </c>
      <c r="BR209" s="5">
        <f>IF(A209="","",N(INDEX(Projects[Act Systems Commissioning],208)))</f>
        <v/>
      </c>
      <c r="BS209" s="5">
        <f>IF(A209="","",N(INDEX(Projects[Act Service Commissioning],208)))</f>
        <v/>
      </c>
      <c r="BT209" s="5">
        <f>IF(A209="","",N(INDEX(Projects[Act Controls Eng],208)))</f>
        <v/>
      </c>
      <c r="BU209" s="5">
        <f>IF(A209="","",N(INDEX(Projects[Act Controls Purchase],208)))</f>
        <v/>
      </c>
      <c r="BV209" s="5">
        <f>IF(A209="","",N(INDEX(Projects[Act Software Eng],208)))</f>
        <v/>
      </c>
      <c r="BW209" s="5">
        <f>IF(A209="","",N(INDEX(Projects[Act 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  <c r="CE209" s="5">
        <f>INDEX(Projects[Act Data Status],208)&amp;""</f>
        <v/>
      </c>
      <c r="CF209" s="5">
        <f>IF(A209="","",N(INDEX(Projects[Est Mech Inst],208)))</f>
        <v/>
      </c>
      <c r="CG209" s="5">
        <f>IF(A209="","",N(INDEX(Projects[Est Elec Inst],208)))</f>
        <v/>
      </c>
      <c r="CH209" s="5">
        <f>IF(A209="","",N(INDEX(Projects[Est Project Management],208)))</f>
        <v/>
      </c>
      <c r="CI209" s="5">
        <f>IF(A209="","",N(INDEX(Projects[Est Systems Eng],208)))</f>
        <v/>
      </c>
      <c r="CJ209" s="5">
        <f>IF(A209="","",N(INDEX(Projects[Est Mechanical Eng],208)))</f>
        <v/>
      </c>
      <c r="CK209" s="5">
        <f>IF(A209="","",N(INDEX(Projects[Est Structural Engineering],208)))</f>
        <v/>
      </c>
      <c r="CL209" s="5">
        <f>IF(A209="","",N(INDEX(Projects[Est Site Sup],208)))</f>
        <v/>
      </c>
      <c r="CM209" s="5">
        <f>IF(A209="","",N(INDEX(Projects[Est Controls Commissioning],208)))</f>
        <v/>
      </c>
      <c r="CN209" s="5">
        <f>IF(A209="","",N(INDEX(Projects[Est Systems Commissioning],208)))</f>
        <v/>
      </c>
      <c r="CO209" s="5">
        <f>IF(A209="","",N(INDEX(Projects[Est Service Commissioning],208)))</f>
        <v/>
      </c>
      <c r="CP209" s="5">
        <f>IF(A209="","",N(INDEX(Projects[Est Controls Eng],208)))</f>
        <v/>
      </c>
      <c r="CQ209" s="5">
        <f>IF(A209="","",N(INDEX(Projects[Est Controls Purchase],208)))</f>
        <v/>
      </c>
      <c r="CR209" s="5">
        <f>IF(A209="","",N(INDEX(Projects[Est Software Eng],208)))</f>
        <v/>
      </c>
      <c r="CS209" s="5">
        <f>IF(A209="","",N(INDEX(Projects[Est Misc],208)))</f>
        <v/>
      </c>
      <c r="CT209" s="5">
        <f>IF(A209="","",SUM(CF209:CS209))</f>
        <v/>
      </c>
      <c r="CU209" s="5">
        <f>INDEX(Projects[Est Cost (M)],208)</f>
        <v/>
      </c>
      <c r="CV209" s="5">
        <f>INDEX(Projects[Act Cost (M)],208)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IF(A210="","",N(INDEX(Projects[Act Mech Inst],209)))</f>
        <v/>
      </c>
      <c r="BK210" s="5">
        <f>IF(A210="","",N(INDEX(Projects[Act Elec Inst],209)))</f>
        <v/>
      </c>
      <c r="BL210" s="5">
        <f>IF(A210="","",N(INDEX(Projects[Act Project Management],209)))</f>
        <v/>
      </c>
      <c r="BM210" s="5">
        <f>IF(A210="","",N(INDEX(Projects[Act Systems Eng],209)))</f>
        <v/>
      </c>
      <c r="BN210" s="5">
        <f>IF(A210="","",N(INDEX(Projects[Act Mechanical Eng],209)))</f>
        <v/>
      </c>
      <c r="BO210" s="5">
        <f>IF(A210="","",N(INDEX(Projects[Act Structural Engineering],209)))</f>
        <v/>
      </c>
      <c r="BP210" s="5">
        <f>IF(A210="","",N(INDEX(Projects[Act Site Sup],209)))</f>
        <v/>
      </c>
      <c r="BQ210" s="5">
        <f>IF(A210="","",N(INDEX(Projects[Act Controls Commissioning],209)))</f>
        <v/>
      </c>
      <c r="BR210" s="5">
        <f>IF(A210="","",N(INDEX(Projects[Act Systems Commissioning],209)))</f>
        <v/>
      </c>
      <c r="BS210" s="5">
        <f>IF(A210="","",N(INDEX(Projects[Act Service Commissioning],209)))</f>
        <v/>
      </c>
      <c r="BT210" s="5">
        <f>IF(A210="","",N(INDEX(Projects[Act Controls Eng],209)))</f>
        <v/>
      </c>
      <c r="BU210" s="5">
        <f>IF(A210="","",N(INDEX(Projects[Act Controls Purchase],209)))</f>
        <v/>
      </c>
      <c r="BV210" s="5">
        <f>IF(A210="","",N(INDEX(Projects[Act Software Eng],209)))</f>
        <v/>
      </c>
      <c r="BW210" s="5">
        <f>IF(A210="","",N(INDEX(Projects[Act 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  <c r="CE210" s="5">
        <f>INDEX(Projects[Act Data Status],209)&amp;""</f>
        <v/>
      </c>
      <c r="CF210" s="5">
        <f>IF(A210="","",N(INDEX(Projects[Est Mech Inst],209)))</f>
        <v/>
      </c>
      <c r="CG210" s="5">
        <f>IF(A210="","",N(INDEX(Projects[Est Elec Inst],209)))</f>
        <v/>
      </c>
      <c r="CH210" s="5">
        <f>IF(A210="","",N(INDEX(Projects[Est Project Management],209)))</f>
        <v/>
      </c>
      <c r="CI210" s="5">
        <f>IF(A210="","",N(INDEX(Projects[Est Systems Eng],209)))</f>
        <v/>
      </c>
      <c r="CJ210" s="5">
        <f>IF(A210="","",N(INDEX(Projects[Est Mechanical Eng],209)))</f>
        <v/>
      </c>
      <c r="CK210" s="5">
        <f>IF(A210="","",N(INDEX(Projects[Est Structural Engineering],209)))</f>
        <v/>
      </c>
      <c r="CL210" s="5">
        <f>IF(A210="","",N(INDEX(Projects[Est Site Sup],209)))</f>
        <v/>
      </c>
      <c r="CM210" s="5">
        <f>IF(A210="","",N(INDEX(Projects[Est Controls Commissioning],209)))</f>
        <v/>
      </c>
      <c r="CN210" s="5">
        <f>IF(A210="","",N(INDEX(Projects[Est Systems Commissioning],209)))</f>
        <v/>
      </c>
      <c r="CO210" s="5">
        <f>IF(A210="","",N(INDEX(Projects[Est Service Commissioning],209)))</f>
        <v/>
      </c>
      <c r="CP210" s="5">
        <f>IF(A210="","",N(INDEX(Projects[Est Controls Eng],209)))</f>
        <v/>
      </c>
      <c r="CQ210" s="5">
        <f>IF(A210="","",N(INDEX(Projects[Est Controls Purchase],209)))</f>
        <v/>
      </c>
      <c r="CR210" s="5">
        <f>IF(A210="","",N(INDEX(Projects[Est Software Eng],209)))</f>
        <v/>
      </c>
      <c r="CS210" s="5">
        <f>IF(A210="","",N(INDEX(Projects[Est Misc],209)))</f>
        <v/>
      </c>
      <c r="CT210" s="5">
        <f>IF(A210="","",SUM(CF210:CS210))</f>
        <v/>
      </c>
      <c r="CU210" s="5">
        <f>INDEX(Projects[Est Cost (M)],209)</f>
        <v/>
      </c>
      <c r="CV210" s="5">
        <f>INDEX(Projects[Act Cost (M)],209)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IF(A211="","",N(INDEX(Projects[Act Mech Inst],210)))</f>
        <v/>
      </c>
      <c r="BK211" s="5">
        <f>IF(A211="","",N(INDEX(Projects[Act Elec Inst],210)))</f>
        <v/>
      </c>
      <c r="BL211" s="5">
        <f>IF(A211="","",N(INDEX(Projects[Act Project Management],210)))</f>
        <v/>
      </c>
      <c r="BM211" s="5">
        <f>IF(A211="","",N(INDEX(Projects[Act Systems Eng],210)))</f>
        <v/>
      </c>
      <c r="BN211" s="5">
        <f>IF(A211="","",N(INDEX(Projects[Act Mechanical Eng],210)))</f>
        <v/>
      </c>
      <c r="BO211" s="5">
        <f>IF(A211="","",N(INDEX(Projects[Act Structural Engineering],210)))</f>
        <v/>
      </c>
      <c r="BP211" s="5">
        <f>IF(A211="","",N(INDEX(Projects[Act Site Sup],210)))</f>
        <v/>
      </c>
      <c r="BQ211" s="5">
        <f>IF(A211="","",N(INDEX(Projects[Act Controls Commissioning],210)))</f>
        <v/>
      </c>
      <c r="BR211" s="5">
        <f>IF(A211="","",N(INDEX(Projects[Act Systems Commissioning],210)))</f>
        <v/>
      </c>
      <c r="BS211" s="5">
        <f>IF(A211="","",N(INDEX(Projects[Act Service Commissioning],210)))</f>
        <v/>
      </c>
      <c r="BT211" s="5">
        <f>IF(A211="","",N(INDEX(Projects[Act Controls Eng],210)))</f>
        <v/>
      </c>
      <c r="BU211" s="5">
        <f>IF(A211="","",N(INDEX(Projects[Act Controls Purchase],210)))</f>
        <v/>
      </c>
      <c r="BV211" s="5">
        <f>IF(A211="","",N(INDEX(Projects[Act Software Eng],210)))</f>
        <v/>
      </c>
      <c r="BW211" s="5">
        <f>IF(A211="","",N(INDEX(Projects[Act 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  <c r="CE211" s="5">
        <f>INDEX(Projects[Act Data Status],210)&amp;""</f>
        <v/>
      </c>
      <c r="CF211" s="5">
        <f>IF(A211="","",N(INDEX(Projects[Est Mech Inst],210)))</f>
        <v/>
      </c>
      <c r="CG211" s="5">
        <f>IF(A211="","",N(INDEX(Projects[Est Elec Inst],210)))</f>
        <v/>
      </c>
      <c r="CH211" s="5">
        <f>IF(A211="","",N(INDEX(Projects[Est Project Management],210)))</f>
        <v/>
      </c>
      <c r="CI211" s="5">
        <f>IF(A211="","",N(INDEX(Projects[Est Systems Eng],210)))</f>
        <v/>
      </c>
      <c r="CJ211" s="5">
        <f>IF(A211="","",N(INDEX(Projects[Est Mechanical Eng],210)))</f>
        <v/>
      </c>
      <c r="CK211" s="5">
        <f>IF(A211="","",N(INDEX(Projects[Est Structural Engineering],210)))</f>
        <v/>
      </c>
      <c r="CL211" s="5">
        <f>IF(A211="","",N(INDEX(Projects[Est Site Sup],210)))</f>
        <v/>
      </c>
      <c r="CM211" s="5">
        <f>IF(A211="","",N(INDEX(Projects[Est Controls Commissioning],210)))</f>
        <v/>
      </c>
      <c r="CN211" s="5">
        <f>IF(A211="","",N(INDEX(Projects[Est Systems Commissioning],210)))</f>
        <v/>
      </c>
      <c r="CO211" s="5">
        <f>IF(A211="","",N(INDEX(Projects[Est Service Commissioning],210)))</f>
        <v/>
      </c>
      <c r="CP211" s="5">
        <f>IF(A211="","",N(INDEX(Projects[Est Controls Eng],210)))</f>
        <v/>
      </c>
      <c r="CQ211" s="5">
        <f>IF(A211="","",N(INDEX(Projects[Est Controls Purchase],210)))</f>
        <v/>
      </c>
      <c r="CR211" s="5">
        <f>IF(A211="","",N(INDEX(Projects[Est Software Eng],210)))</f>
        <v/>
      </c>
      <c r="CS211" s="5">
        <f>IF(A211="","",N(INDEX(Projects[Est Misc],210)))</f>
        <v/>
      </c>
      <c r="CT211" s="5">
        <f>IF(A211="","",SUM(CF211:CS211))</f>
        <v/>
      </c>
      <c r="CU211" s="5">
        <f>INDEX(Projects[Est Cost (M)],210)</f>
        <v/>
      </c>
      <c r="CV211" s="5">
        <f>INDEX(Projects[Act Cost (M)],210)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IF(A212="","",N(INDEX(Projects[Act Mech Inst],211)))</f>
        <v/>
      </c>
      <c r="BK212" s="5">
        <f>IF(A212="","",N(INDEX(Projects[Act Elec Inst],211)))</f>
        <v/>
      </c>
      <c r="BL212" s="5">
        <f>IF(A212="","",N(INDEX(Projects[Act Project Management],211)))</f>
        <v/>
      </c>
      <c r="BM212" s="5">
        <f>IF(A212="","",N(INDEX(Projects[Act Systems Eng],211)))</f>
        <v/>
      </c>
      <c r="BN212" s="5">
        <f>IF(A212="","",N(INDEX(Projects[Act Mechanical Eng],211)))</f>
        <v/>
      </c>
      <c r="BO212" s="5">
        <f>IF(A212="","",N(INDEX(Projects[Act Structural Engineering],211)))</f>
        <v/>
      </c>
      <c r="BP212" s="5">
        <f>IF(A212="","",N(INDEX(Projects[Act Site Sup],211)))</f>
        <v/>
      </c>
      <c r="BQ212" s="5">
        <f>IF(A212="","",N(INDEX(Projects[Act Controls Commissioning],211)))</f>
        <v/>
      </c>
      <c r="BR212" s="5">
        <f>IF(A212="","",N(INDEX(Projects[Act Systems Commissioning],211)))</f>
        <v/>
      </c>
      <c r="BS212" s="5">
        <f>IF(A212="","",N(INDEX(Projects[Act Service Commissioning],211)))</f>
        <v/>
      </c>
      <c r="BT212" s="5">
        <f>IF(A212="","",N(INDEX(Projects[Act Controls Eng],211)))</f>
        <v/>
      </c>
      <c r="BU212" s="5">
        <f>IF(A212="","",N(INDEX(Projects[Act Controls Purchase],211)))</f>
        <v/>
      </c>
      <c r="BV212" s="5">
        <f>IF(A212="","",N(INDEX(Projects[Act Software Eng],211)))</f>
        <v/>
      </c>
      <c r="BW212" s="5">
        <f>IF(A212="","",N(INDEX(Projects[Act 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  <c r="CE212" s="5">
        <f>INDEX(Projects[Act Data Status],211)&amp;""</f>
        <v/>
      </c>
      <c r="CF212" s="5">
        <f>IF(A212="","",N(INDEX(Projects[Est Mech Inst],211)))</f>
        <v/>
      </c>
      <c r="CG212" s="5">
        <f>IF(A212="","",N(INDEX(Projects[Est Elec Inst],211)))</f>
        <v/>
      </c>
      <c r="CH212" s="5">
        <f>IF(A212="","",N(INDEX(Projects[Est Project Management],211)))</f>
        <v/>
      </c>
      <c r="CI212" s="5">
        <f>IF(A212="","",N(INDEX(Projects[Est Systems Eng],211)))</f>
        <v/>
      </c>
      <c r="CJ212" s="5">
        <f>IF(A212="","",N(INDEX(Projects[Est Mechanical Eng],211)))</f>
        <v/>
      </c>
      <c r="CK212" s="5">
        <f>IF(A212="","",N(INDEX(Projects[Est Structural Engineering],211)))</f>
        <v/>
      </c>
      <c r="CL212" s="5">
        <f>IF(A212="","",N(INDEX(Projects[Est Site Sup],211)))</f>
        <v/>
      </c>
      <c r="CM212" s="5">
        <f>IF(A212="","",N(INDEX(Projects[Est Controls Commissioning],211)))</f>
        <v/>
      </c>
      <c r="CN212" s="5">
        <f>IF(A212="","",N(INDEX(Projects[Est Systems Commissioning],211)))</f>
        <v/>
      </c>
      <c r="CO212" s="5">
        <f>IF(A212="","",N(INDEX(Projects[Est Service Commissioning],211)))</f>
        <v/>
      </c>
      <c r="CP212" s="5">
        <f>IF(A212="","",N(INDEX(Projects[Est Controls Eng],211)))</f>
        <v/>
      </c>
      <c r="CQ212" s="5">
        <f>IF(A212="","",N(INDEX(Projects[Est Controls Purchase],211)))</f>
        <v/>
      </c>
      <c r="CR212" s="5">
        <f>IF(A212="","",N(INDEX(Projects[Est Software Eng],211)))</f>
        <v/>
      </c>
      <c r="CS212" s="5">
        <f>IF(A212="","",N(INDEX(Projects[Est Misc],211)))</f>
        <v/>
      </c>
      <c r="CT212" s="5">
        <f>IF(A212="","",SUM(CF212:CS212))</f>
        <v/>
      </c>
      <c r="CU212" s="5">
        <f>INDEX(Projects[Est Cost (M)],211)</f>
        <v/>
      </c>
      <c r="CV212" s="5">
        <f>INDEX(Projects[Act Cost (M)],211)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IF(A213="","",N(INDEX(Projects[Act Mech Inst],212)))</f>
        <v/>
      </c>
      <c r="BK213" s="5">
        <f>IF(A213="","",N(INDEX(Projects[Act Elec Inst],212)))</f>
        <v/>
      </c>
      <c r="BL213" s="5">
        <f>IF(A213="","",N(INDEX(Projects[Act Project Management],212)))</f>
        <v/>
      </c>
      <c r="BM213" s="5">
        <f>IF(A213="","",N(INDEX(Projects[Act Systems Eng],212)))</f>
        <v/>
      </c>
      <c r="BN213" s="5">
        <f>IF(A213="","",N(INDEX(Projects[Act Mechanical Eng],212)))</f>
        <v/>
      </c>
      <c r="BO213" s="5">
        <f>IF(A213="","",N(INDEX(Projects[Act Structural Engineering],212)))</f>
        <v/>
      </c>
      <c r="BP213" s="5">
        <f>IF(A213="","",N(INDEX(Projects[Act Site Sup],212)))</f>
        <v/>
      </c>
      <c r="BQ213" s="5">
        <f>IF(A213="","",N(INDEX(Projects[Act Controls Commissioning],212)))</f>
        <v/>
      </c>
      <c r="BR213" s="5">
        <f>IF(A213="","",N(INDEX(Projects[Act Systems Commissioning],212)))</f>
        <v/>
      </c>
      <c r="BS213" s="5">
        <f>IF(A213="","",N(INDEX(Projects[Act Service Commissioning],212)))</f>
        <v/>
      </c>
      <c r="BT213" s="5">
        <f>IF(A213="","",N(INDEX(Projects[Act Controls Eng],212)))</f>
        <v/>
      </c>
      <c r="BU213" s="5">
        <f>IF(A213="","",N(INDEX(Projects[Act Controls Purchase],212)))</f>
        <v/>
      </c>
      <c r="BV213" s="5">
        <f>IF(A213="","",N(INDEX(Projects[Act Software Eng],212)))</f>
        <v/>
      </c>
      <c r="BW213" s="5">
        <f>IF(A213="","",N(INDEX(Projects[Act 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  <c r="CE213" s="5">
        <f>INDEX(Projects[Act Data Status],212)&amp;""</f>
        <v/>
      </c>
      <c r="CF213" s="5">
        <f>IF(A213="","",N(INDEX(Projects[Est Mech Inst],212)))</f>
        <v/>
      </c>
      <c r="CG213" s="5">
        <f>IF(A213="","",N(INDEX(Projects[Est Elec Inst],212)))</f>
        <v/>
      </c>
      <c r="CH213" s="5">
        <f>IF(A213="","",N(INDEX(Projects[Est Project Management],212)))</f>
        <v/>
      </c>
      <c r="CI213" s="5">
        <f>IF(A213="","",N(INDEX(Projects[Est Systems Eng],212)))</f>
        <v/>
      </c>
      <c r="CJ213" s="5">
        <f>IF(A213="","",N(INDEX(Projects[Est Mechanical Eng],212)))</f>
        <v/>
      </c>
      <c r="CK213" s="5">
        <f>IF(A213="","",N(INDEX(Projects[Est Structural Engineering],212)))</f>
        <v/>
      </c>
      <c r="CL213" s="5">
        <f>IF(A213="","",N(INDEX(Projects[Est Site Sup],212)))</f>
        <v/>
      </c>
      <c r="CM213" s="5">
        <f>IF(A213="","",N(INDEX(Projects[Est Controls Commissioning],212)))</f>
        <v/>
      </c>
      <c r="CN213" s="5">
        <f>IF(A213="","",N(INDEX(Projects[Est Systems Commissioning],212)))</f>
        <v/>
      </c>
      <c r="CO213" s="5">
        <f>IF(A213="","",N(INDEX(Projects[Est Service Commissioning],212)))</f>
        <v/>
      </c>
      <c r="CP213" s="5">
        <f>IF(A213="","",N(INDEX(Projects[Est Controls Eng],212)))</f>
        <v/>
      </c>
      <c r="CQ213" s="5">
        <f>IF(A213="","",N(INDEX(Projects[Est Controls Purchase],212)))</f>
        <v/>
      </c>
      <c r="CR213" s="5">
        <f>IF(A213="","",N(INDEX(Projects[Est Software Eng],212)))</f>
        <v/>
      </c>
      <c r="CS213" s="5">
        <f>IF(A213="","",N(INDEX(Projects[Est Misc],212)))</f>
        <v/>
      </c>
      <c r="CT213" s="5">
        <f>IF(A213="","",SUM(CF213:CS213))</f>
        <v/>
      </c>
      <c r="CU213" s="5">
        <f>INDEX(Projects[Est Cost (M)],212)</f>
        <v/>
      </c>
      <c r="CV213" s="5">
        <f>INDEX(Projects[Act Cost (M)],212)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IF(A214="","",N(INDEX(Projects[Act Mech Inst],213)))</f>
        <v/>
      </c>
      <c r="BK214" s="5">
        <f>IF(A214="","",N(INDEX(Projects[Act Elec Inst],213)))</f>
        <v/>
      </c>
      <c r="BL214" s="5">
        <f>IF(A214="","",N(INDEX(Projects[Act Project Management],213)))</f>
        <v/>
      </c>
      <c r="BM214" s="5">
        <f>IF(A214="","",N(INDEX(Projects[Act Systems Eng],213)))</f>
        <v/>
      </c>
      <c r="BN214" s="5">
        <f>IF(A214="","",N(INDEX(Projects[Act Mechanical Eng],213)))</f>
        <v/>
      </c>
      <c r="BO214" s="5">
        <f>IF(A214="","",N(INDEX(Projects[Act Structural Engineering],213)))</f>
        <v/>
      </c>
      <c r="BP214" s="5">
        <f>IF(A214="","",N(INDEX(Projects[Act Site Sup],213)))</f>
        <v/>
      </c>
      <c r="BQ214" s="5">
        <f>IF(A214="","",N(INDEX(Projects[Act Controls Commissioning],213)))</f>
        <v/>
      </c>
      <c r="BR214" s="5">
        <f>IF(A214="","",N(INDEX(Projects[Act Systems Commissioning],213)))</f>
        <v/>
      </c>
      <c r="BS214" s="5">
        <f>IF(A214="","",N(INDEX(Projects[Act Service Commissioning],213)))</f>
        <v/>
      </c>
      <c r="BT214" s="5">
        <f>IF(A214="","",N(INDEX(Projects[Act Controls Eng],213)))</f>
        <v/>
      </c>
      <c r="BU214" s="5">
        <f>IF(A214="","",N(INDEX(Projects[Act Controls Purchase],213)))</f>
        <v/>
      </c>
      <c r="BV214" s="5">
        <f>IF(A214="","",N(INDEX(Projects[Act Software Eng],213)))</f>
        <v/>
      </c>
      <c r="BW214" s="5">
        <f>IF(A214="","",N(INDEX(Projects[Act 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  <c r="CE214" s="5">
        <f>INDEX(Projects[Act Data Status],213)&amp;""</f>
        <v/>
      </c>
      <c r="CF214" s="5">
        <f>IF(A214="","",N(INDEX(Projects[Est Mech Inst],213)))</f>
        <v/>
      </c>
      <c r="CG214" s="5">
        <f>IF(A214="","",N(INDEX(Projects[Est Elec Inst],213)))</f>
        <v/>
      </c>
      <c r="CH214" s="5">
        <f>IF(A214="","",N(INDEX(Projects[Est Project Management],213)))</f>
        <v/>
      </c>
      <c r="CI214" s="5">
        <f>IF(A214="","",N(INDEX(Projects[Est Systems Eng],213)))</f>
        <v/>
      </c>
      <c r="CJ214" s="5">
        <f>IF(A214="","",N(INDEX(Projects[Est Mechanical Eng],213)))</f>
        <v/>
      </c>
      <c r="CK214" s="5">
        <f>IF(A214="","",N(INDEX(Projects[Est Structural Engineering],213)))</f>
        <v/>
      </c>
      <c r="CL214" s="5">
        <f>IF(A214="","",N(INDEX(Projects[Est Site Sup],213)))</f>
        <v/>
      </c>
      <c r="CM214" s="5">
        <f>IF(A214="","",N(INDEX(Projects[Est Controls Commissioning],213)))</f>
        <v/>
      </c>
      <c r="CN214" s="5">
        <f>IF(A214="","",N(INDEX(Projects[Est Systems Commissioning],213)))</f>
        <v/>
      </c>
      <c r="CO214" s="5">
        <f>IF(A214="","",N(INDEX(Projects[Est Service Commissioning],213)))</f>
        <v/>
      </c>
      <c r="CP214" s="5">
        <f>IF(A214="","",N(INDEX(Projects[Est Controls Eng],213)))</f>
        <v/>
      </c>
      <c r="CQ214" s="5">
        <f>IF(A214="","",N(INDEX(Projects[Est Controls Purchase],213)))</f>
        <v/>
      </c>
      <c r="CR214" s="5">
        <f>IF(A214="","",N(INDEX(Projects[Est Software Eng],213)))</f>
        <v/>
      </c>
      <c r="CS214" s="5">
        <f>IF(A214="","",N(INDEX(Projects[Est Misc],213)))</f>
        <v/>
      </c>
      <c r="CT214" s="5">
        <f>IF(A214="","",SUM(CF214:CS214))</f>
        <v/>
      </c>
      <c r="CU214" s="5">
        <f>INDEX(Projects[Est Cost (M)],213)</f>
        <v/>
      </c>
      <c r="CV214" s="5">
        <f>INDEX(Projects[Act Cost (M)],213)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IF(A215="","",N(INDEX(Projects[Act Mech Inst],214)))</f>
        <v/>
      </c>
      <c r="BK215" s="5">
        <f>IF(A215="","",N(INDEX(Projects[Act Elec Inst],214)))</f>
        <v/>
      </c>
      <c r="BL215" s="5">
        <f>IF(A215="","",N(INDEX(Projects[Act Project Management],214)))</f>
        <v/>
      </c>
      <c r="BM215" s="5">
        <f>IF(A215="","",N(INDEX(Projects[Act Systems Eng],214)))</f>
        <v/>
      </c>
      <c r="BN215" s="5">
        <f>IF(A215="","",N(INDEX(Projects[Act Mechanical Eng],214)))</f>
        <v/>
      </c>
      <c r="BO215" s="5">
        <f>IF(A215="","",N(INDEX(Projects[Act Structural Engineering],214)))</f>
        <v/>
      </c>
      <c r="BP215" s="5">
        <f>IF(A215="","",N(INDEX(Projects[Act Site Sup],214)))</f>
        <v/>
      </c>
      <c r="BQ215" s="5">
        <f>IF(A215="","",N(INDEX(Projects[Act Controls Commissioning],214)))</f>
        <v/>
      </c>
      <c r="BR215" s="5">
        <f>IF(A215="","",N(INDEX(Projects[Act Systems Commissioning],214)))</f>
        <v/>
      </c>
      <c r="BS215" s="5">
        <f>IF(A215="","",N(INDEX(Projects[Act Service Commissioning],214)))</f>
        <v/>
      </c>
      <c r="BT215" s="5">
        <f>IF(A215="","",N(INDEX(Projects[Act Controls Eng],214)))</f>
        <v/>
      </c>
      <c r="BU215" s="5">
        <f>IF(A215="","",N(INDEX(Projects[Act Controls Purchase],214)))</f>
        <v/>
      </c>
      <c r="BV215" s="5">
        <f>IF(A215="","",N(INDEX(Projects[Act Software Eng],214)))</f>
        <v/>
      </c>
      <c r="BW215" s="5">
        <f>IF(A215="","",N(INDEX(Projects[Act 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  <c r="CE215" s="5">
        <f>INDEX(Projects[Act Data Status],214)&amp;""</f>
        <v/>
      </c>
      <c r="CF215" s="5">
        <f>IF(A215="","",N(INDEX(Projects[Est Mech Inst],214)))</f>
        <v/>
      </c>
      <c r="CG215" s="5">
        <f>IF(A215="","",N(INDEX(Projects[Est Elec Inst],214)))</f>
        <v/>
      </c>
      <c r="CH215" s="5">
        <f>IF(A215="","",N(INDEX(Projects[Est Project Management],214)))</f>
        <v/>
      </c>
      <c r="CI215" s="5">
        <f>IF(A215="","",N(INDEX(Projects[Est Systems Eng],214)))</f>
        <v/>
      </c>
      <c r="CJ215" s="5">
        <f>IF(A215="","",N(INDEX(Projects[Est Mechanical Eng],214)))</f>
        <v/>
      </c>
      <c r="CK215" s="5">
        <f>IF(A215="","",N(INDEX(Projects[Est Structural Engineering],214)))</f>
        <v/>
      </c>
      <c r="CL215" s="5">
        <f>IF(A215="","",N(INDEX(Projects[Est Site Sup],214)))</f>
        <v/>
      </c>
      <c r="CM215" s="5">
        <f>IF(A215="","",N(INDEX(Projects[Est Controls Commissioning],214)))</f>
        <v/>
      </c>
      <c r="CN215" s="5">
        <f>IF(A215="","",N(INDEX(Projects[Est Systems Commissioning],214)))</f>
        <v/>
      </c>
      <c r="CO215" s="5">
        <f>IF(A215="","",N(INDEX(Projects[Est Service Commissioning],214)))</f>
        <v/>
      </c>
      <c r="CP215" s="5">
        <f>IF(A215="","",N(INDEX(Projects[Est Controls Eng],214)))</f>
        <v/>
      </c>
      <c r="CQ215" s="5">
        <f>IF(A215="","",N(INDEX(Projects[Est Controls Purchase],214)))</f>
        <v/>
      </c>
      <c r="CR215" s="5">
        <f>IF(A215="","",N(INDEX(Projects[Est Software Eng],214)))</f>
        <v/>
      </c>
      <c r="CS215" s="5">
        <f>IF(A215="","",N(INDEX(Projects[Est Misc],214)))</f>
        <v/>
      </c>
      <c r="CT215" s="5">
        <f>IF(A215="","",SUM(CF215:CS215))</f>
        <v/>
      </c>
      <c r="CU215" s="5">
        <f>INDEX(Projects[Est Cost (M)],214)</f>
        <v/>
      </c>
      <c r="CV215" s="5">
        <f>INDEX(Projects[Act Cost (M)],214)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IF(A216="","",N(INDEX(Projects[Act Mech Inst],215)))</f>
        <v/>
      </c>
      <c r="BK216" s="5">
        <f>IF(A216="","",N(INDEX(Projects[Act Elec Inst],215)))</f>
        <v/>
      </c>
      <c r="BL216" s="5">
        <f>IF(A216="","",N(INDEX(Projects[Act Project Management],215)))</f>
        <v/>
      </c>
      <c r="BM216" s="5">
        <f>IF(A216="","",N(INDEX(Projects[Act Systems Eng],215)))</f>
        <v/>
      </c>
      <c r="BN216" s="5">
        <f>IF(A216="","",N(INDEX(Projects[Act Mechanical Eng],215)))</f>
        <v/>
      </c>
      <c r="BO216" s="5">
        <f>IF(A216="","",N(INDEX(Projects[Act Structural Engineering],215)))</f>
        <v/>
      </c>
      <c r="BP216" s="5">
        <f>IF(A216="","",N(INDEX(Projects[Act Site Sup],215)))</f>
        <v/>
      </c>
      <c r="BQ216" s="5">
        <f>IF(A216="","",N(INDEX(Projects[Act Controls Commissioning],215)))</f>
        <v/>
      </c>
      <c r="BR216" s="5">
        <f>IF(A216="","",N(INDEX(Projects[Act Systems Commissioning],215)))</f>
        <v/>
      </c>
      <c r="BS216" s="5">
        <f>IF(A216="","",N(INDEX(Projects[Act Service Commissioning],215)))</f>
        <v/>
      </c>
      <c r="BT216" s="5">
        <f>IF(A216="","",N(INDEX(Projects[Act Controls Eng],215)))</f>
        <v/>
      </c>
      <c r="BU216" s="5">
        <f>IF(A216="","",N(INDEX(Projects[Act Controls Purchase],215)))</f>
        <v/>
      </c>
      <c r="BV216" s="5">
        <f>IF(A216="","",N(INDEX(Projects[Act Software Eng],215)))</f>
        <v/>
      </c>
      <c r="BW216" s="5">
        <f>IF(A216="","",N(INDEX(Projects[Act 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  <c r="CE216" s="5">
        <f>INDEX(Projects[Act Data Status],215)&amp;""</f>
        <v/>
      </c>
      <c r="CF216" s="5">
        <f>IF(A216="","",N(INDEX(Projects[Est Mech Inst],215)))</f>
        <v/>
      </c>
      <c r="CG216" s="5">
        <f>IF(A216="","",N(INDEX(Projects[Est Elec Inst],215)))</f>
        <v/>
      </c>
      <c r="CH216" s="5">
        <f>IF(A216="","",N(INDEX(Projects[Est Project Management],215)))</f>
        <v/>
      </c>
      <c r="CI216" s="5">
        <f>IF(A216="","",N(INDEX(Projects[Est Systems Eng],215)))</f>
        <v/>
      </c>
      <c r="CJ216" s="5">
        <f>IF(A216="","",N(INDEX(Projects[Est Mechanical Eng],215)))</f>
        <v/>
      </c>
      <c r="CK216" s="5">
        <f>IF(A216="","",N(INDEX(Projects[Est Structural Engineering],215)))</f>
        <v/>
      </c>
      <c r="CL216" s="5">
        <f>IF(A216="","",N(INDEX(Projects[Est Site Sup],215)))</f>
        <v/>
      </c>
      <c r="CM216" s="5">
        <f>IF(A216="","",N(INDEX(Projects[Est Controls Commissioning],215)))</f>
        <v/>
      </c>
      <c r="CN216" s="5">
        <f>IF(A216="","",N(INDEX(Projects[Est Systems Commissioning],215)))</f>
        <v/>
      </c>
      <c r="CO216" s="5">
        <f>IF(A216="","",N(INDEX(Projects[Est Service Commissioning],215)))</f>
        <v/>
      </c>
      <c r="CP216" s="5">
        <f>IF(A216="","",N(INDEX(Projects[Est Controls Eng],215)))</f>
        <v/>
      </c>
      <c r="CQ216" s="5">
        <f>IF(A216="","",N(INDEX(Projects[Est Controls Purchase],215)))</f>
        <v/>
      </c>
      <c r="CR216" s="5">
        <f>IF(A216="","",N(INDEX(Projects[Est Software Eng],215)))</f>
        <v/>
      </c>
      <c r="CS216" s="5">
        <f>IF(A216="","",N(INDEX(Projects[Est Misc],215)))</f>
        <v/>
      </c>
      <c r="CT216" s="5">
        <f>IF(A216="","",SUM(CF216:CS216))</f>
        <v/>
      </c>
      <c r="CU216" s="5">
        <f>INDEX(Projects[Est Cost (M)],215)</f>
        <v/>
      </c>
      <c r="CV216" s="5">
        <f>INDEX(Projects[Act Cost (M)],215)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IF(A217="","",N(INDEX(Projects[Act Mech Inst],216)))</f>
        <v/>
      </c>
      <c r="BK217" s="5">
        <f>IF(A217="","",N(INDEX(Projects[Act Elec Inst],216)))</f>
        <v/>
      </c>
      <c r="BL217" s="5">
        <f>IF(A217="","",N(INDEX(Projects[Act Project Management],216)))</f>
        <v/>
      </c>
      <c r="BM217" s="5">
        <f>IF(A217="","",N(INDEX(Projects[Act Systems Eng],216)))</f>
        <v/>
      </c>
      <c r="BN217" s="5">
        <f>IF(A217="","",N(INDEX(Projects[Act Mechanical Eng],216)))</f>
        <v/>
      </c>
      <c r="BO217" s="5">
        <f>IF(A217="","",N(INDEX(Projects[Act Structural Engineering],216)))</f>
        <v/>
      </c>
      <c r="BP217" s="5">
        <f>IF(A217="","",N(INDEX(Projects[Act Site Sup],216)))</f>
        <v/>
      </c>
      <c r="BQ217" s="5">
        <f>IF(A217="","",N(INDEX(Projects[Act Controls Commissioning],216)))</f>
        <v/>
      </c>
      <c r="BR217" s="5">
        <f>IF(A217="","",N(INDEX(Projects[Act Systems Commissioning],216)))</f>
        <v/>
      </c>
      <c r="BS217" s="5">
        <f>IF(A217="","",N(INDEX(Projects[Act Service Commissioning],216)))</f>
        <v/>
      </c>
      <c r="BT217" s="5">
        <f>IF(A217="","",N(INDEX(Projects[Act Controls Eng],216)))</f>
        <v/>
      </c>
      <c r="BU217" s="5">
        <f>IF(A217="","",N(INDEX(Projects[Act Controls Purchase],216)))</f>
        <v/>
      </c>
      <c r="BV217" s="5">
        <f>IF(A217="","",N(INDEX(Projects[Act Software Eng],216)))</f>
        <v/>
      </c>
      <c r="BW217" s="5">
        <f>IF(A217="","",N(INDEX(Projects[Act 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  <c r="CE217" s="5">
        <f>INDEX(Projects[Act Data Status],216)&amp;""</f>
        <v/>
      </c>
      <c r="CF217" s="5">
        <f>IF(A217="","",N(INDEX(Projects[Est Mech Inst],216)))</f>
        <v/>
      </c>
      <c r="CG217" s="5">
        <f>IF(A217="","",N(INDEX(Projects[Est Elec Inst],216)))</f>
        <v/>
      </c>
      <c r="CH217" s="5">
        <f>IF(A217="","",N(INDEX(Projects[Est Project Management],216)))</f>
        <v/>
      </c>
      <c r="CI217" s="5">
        <f>IF(A217="","",N(INDEX(Projects[Est Systems Eng],216)))</f>
        <v/>
      </c>
      <c r="CJ217" s="5">
        <f>IF(A217="","",N(INDEX(Projects[Est Mechanical Eng],216)))</f>
        <v/>
      </c>
      <c r="CK217" s="5">
        <f>IF(A217="","",N(INDEX(Projects[Est Structural Engineering],216)))</f>
        <v/>
      </c>
      <c r="CL217" s="5">
        <f>IF(A217="","",N(INDEX(Projects[Est Site Sup],216)))</f>
        <v/>
      </c>
      <c r="CM217" s="5">
        <f>IF(A217="","",N(INDEX(Projects[Est Controls Commissioning],216)))</f>
        <v/>
      </c>
      <c r="CN217" s="5">
        <f>IF(A217="","",N(INDEX(Projects[Est Systems Commissioning],216)))</f>
        <v/>
      </c>
      <c r="CO217" s="5">
        <f>IF(A217="","",N(INDEX(Projects[Est Service Commissioning],216)))</f>
        <v/>
      </c>
      <c r="CP217" s="5">
        <f>IF(A217="","",N(INDEX(Projects[Est Controls Eng],216)))</f>
        <v/>
      </c>
      <c r="CQ217" s="5">
        <f>IF(A217="","",N(INDEX(Projects[Est Controls Purchase],216)))</f>
        <v/>
      </c>
      <c r="CR217" s="5">
        <f>IF(A217="","",N(INDEX(Projects[Est Software Eng],216)))</f>
        <v/>
      </c>
      <c r="CS217" s="5">
        <f>IF(A217="","",N(INDEX(Projects[Est Misc],216)))</f>
        <v/>
      </c>
      <c r="CT217" s="5">
        <f>IF(A217="","",SUM(CF217:CS217))</f>
        <v/>
      </c>
      <c r="CU217" s="5">
        <f>INDEX(Projects[Est Cost (M)],216)</f>
        <v/>
      </c>
      <c r="CV217" s="5">
        <f>INDEX(Projects[Act Cost (M)],216)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IF(A218="","",N(INDEX(Projects[Act Mech Inst],217)))</f>
        <v/>
      </c>
      <c r="BK218" s="5">
        <f>IF(A218="","",N(INDEX(Projects[Act Elec Inst],217)))</f>
        <v/>
      </c>
      <c r="BL218" s="5">
        <f>IF(A218="","",N(INDEX(Projects[Act Project Management],217)))</f>
        <v/>
      </c>
      <c r="BM218" s="5">
        <f>IF(A218="","",N(INDEX(Projects[Act Systems Eng],217)))</f>
        <v/>
      </c>
      <c r="BN218" s="5">
        <f>IF(A218="","",N(INDEX(Projects[Act Mechanical Eng],217)))</f>
        <v/>
      </c>
      <c r="BO218" s="5">
        <f>IF(A218="","",N(INDEX(Projects[Act Structural Engineering],217)))</f>
        <v/>
      </c>
      <c r="BP218" s="5">
        <f>IF(A218="","",N(INDEX(Projects[Act Site Sup],217)))</f>
        <v/>
      </c>
      <c r="BQ218" s="5">
        <f>IF(A218="","",N(INDEX(Projects[Act Controls Commissioning],217)))</f>
        <v/>
      </c>
      <c r="BR218" s="5">
        <f>IF(A218="","",N(INDEX(Projects[Act Systems Commissioning],217)))</f>
        <v/>
      </c>
      <c r="BS218" s="5">
        <f>IF(A218="","",N(INDEX(Projects[Act Service Commissioning],217)))</f>
        <v/>
      </c>
      <c r="BT218" s="5">
        <f>IF(A218="","",N(INDEX(Projects[Act Controls Eng],217)))</f>
        <v/>
      </c>
      <c r="BU218" s="5">
        <f>IF(A218="","",N(INDEX(Projects[Act Controls Purchase],217)))</f>
        <v/>
      </c>
      <c r="BV218" s="5">
        <f>IF(A218="","",N(INDEX(Projects[Act Software Eng],217)))</f>
        <v/>
      </c>
      <c r="BW218" s="5">
        <f>IF(A218="","",N(INDEX(Projects[Act 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  <c r="CE218" s="5">
        <f>INDEX(Projects[Act Data Status],217)&amp;""</f>
        <v/>
      </c>
      <c r="CF218" s="5">
        <f>IF(A218="","",N(INDEX(Projects[Est Mech Inst],217)))</f>
        <v/>
      </c>
      <c r="CG218" s="5">
        <f>IF(A218="","",N(INDEX(Projects[Est Elec Inst],217)))</f>
        <v/>
      </c>
      <c r="CH218" s="5">
        <f>IF(A218="","",N(INDEX(Projects[Est Project Management],217)))</f>
        <v/>
      </c>
      <c r="CI218" s="5">
        <f>IF(A218="","",N(INDEX(Projects[Est Systems Eng],217)))</f>
        <v/>
      </c>
      <c r="CJ218" s="5">
        <f>IF(A218="","",N(INDEX(Projects[Est Mechanical Eng],217)))</f>
        <v/>
      </c>
      <c r="CK218" s="5">
        <f>IF(A218="","",N(INDEX(Projects[Est Structural Engineering],217)))</f>
        <v/>
      </c>
      <c r="CL218" s="5">
        <f>IF(A218="","",N(INDEX(Projects[Est Site Sup],217)))</f>
        <v/>
      </c>
      <c r="CM218" s="5">
        <f>IF(A218="","",N(INDEX(Projects[Est Controls Commissioning],217)))</f>
        <v/>
      </c>
      <c r="CN218" s="5">
        <f>IF(A218="","",N(INDEX(Projects[Est Systems Commissioning],217)))</f>
        <v/>
      </c>
      <c r="CO218" s="5">
        <f>IF(A218="","",N(INDEX(Projects[Est Service Commissioning],217)))</f>
        <v/>
      </c>
      <c r="CP218" s="5">
        <f>IF(A218="","",N(INDEX(Projects[Est Controls Eng],217)))</f>
        <v/>
      </c>
      <c r="CQ218" s="5">
        <f>IF(A218="","",N(INDEX(Projects[Est Controls Purchase],217)))</f>
        <v/>
      </c>
      <c r="CR218" s="5">
        <f>IF(A218="","",N(INDEX(Projects[Est Software Eng],217)))</f>
        <v/>
      </c>
      <c r="CS218" s="5">
        <f>IF(A218="","",N(INDEX(Projects[Est Misc],217)))</f>
        <v/>
      </c>
      <c r="CT218" s="5">
        <f>IF(A218="","",SUM(CF218:CS218))</f>
        <v/>
      </c>
      <c r="CU218" s="5">
        <f>INDEX(Projects[Est Cost (M)],217)</f>
        <v/>
      </c>
      <c r="CV218" s="5">
        <f>INDEX(Projects[Act Cost (M)],217)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IF(A219="","",N(INDEX(Projects[Act Mech Inst],218)))</f>
        <v/>
      </c>
      <c r="BK219" s="5">
        <f>IF(A219="","",N(INDEX(Projects[Act Elec Inst],218)))</f>
        <v/>
      </c>
      <c r="BL219" s="5">
        <f>IF(A219="","",N(INDEX(Projects[Act Project Management],218)))</f>
        <v/>
      </c>
      <c r="BM219" s="5">
        <f>IF(A219="","",N(INDEX(Projects[Act Systems Eng],218)))</f>
        <v/>
      </c>
      <c r="BN219" s="5">
        <f>IF(A219="","",N(INDEX(Projects[Act Mechanical Eng],218)))</f>
        <v/>
      </c>
      <c r="BO219" s="5">
        <f>IF(A219="","",N(INDEX(Projects[Act Structural Engineering],218)))</f>
        <v/>
      </c>
      <c r="BP219" s="5">
        <f>IF(A219="","",N(INDEX(Projects[Act Site Sup],218)))</f>
        <v/>
      </c>
      <c r="BQ219" s="5">
        <f>IF(A219="","",N(INDEX(Projects[Act Controls Commissioning],218)))</f>
        <v/>
      </c>
      <c r="BR219" s="5">
        <f>IF(A219="","",N(INDEX(Projects[Act Systems Commissioning],218)))</f>
        <v/>
      </c>
      <c r="BS219" s="5">
        <f>IF(A219="","",N(INDEX(Projects[Act Service Commissioning],218)))</f>
        <v/>
      </c>
      <c r="BT219" s="5">
        <f>IF(A219="","",N(INDEX(Projects[Act Controls Eng],218)))</f>
        <v/>
      </c>
      <c r="BU219" s="5">
        <f>IF(A219="","",N(INDEX(Projects[Act Controls Purchase],218)))</f>
        <v/>
      </c>
      <c r="BV219" s="5">
        <f>IF(A219="","",N(INDEX(Projects[Act Software Eng],218)))</f>
        <v/>
      </c>
      <c r="BW219" s="5">
        <f>IF(A219="","",N(INDEX(Projects[Act 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  <c r="CE219" s="5">
        <f>INDEX(Projects[Act Data Status],218)&amp;""</f>
        <v/>
      </c>
      <c r="CF219" s="5">
        <f>IF(A219="","",N(INDEX(Projects[Est Mech Inst],218)))</f>
        <v/>
      </c>
      <c r="CG219" s="5">
        <f>IF(A219="","",N(INDEX(Projects[Est Elec Inst],218)))</f>
        <v/>
      </c>
      <c r="CH219" s="5">
        <f>IF(A219="","",N(INDEX(Projects[Est Project Management],218)))</f>
        <v/>
      </c>
      <c r="CI219" s="5">
        <f>IF(A219="","",N(INDEX(Projects[Est Systems Eng],218)))</f>
        <v/>
      </c>
      <c r="CJ219" s="5">
        <f>IF(A219="","",N(INDEX(Projects[Est Mechanical Eng],218)))</f>
        <v/>
      </c>
      <c r="CK219" s="5">
        <f>IF(A219="","",N(INDEX(Projects[Est Structural Engineering],218)))</f>
        <v/>
      </c>
      <c r="CL219" s="5">
        <f>IF(A219="","",N(INDEX(Projects[Est Site Sup],218)))</f>
        <v/>
      </c>
      <c r="CM219" s="5">
        <f>IF(A219="","",N(INDEX(Projects[Est Controls Commissioning],218)))</f>
        <v/>
      </c>
      <c r="CN219" s="5">
        <f>IF(A219="","",N(INDEX(Projects[Est Systems Commissioning],218)))</f>
        <v/>
      </c>
      <c r="CO219" s="5">
        <f>IF(A219="","",N(INDEX(Projects[Est Service Commissioning],218)))</f>
        <v/>
      </c>
      <c r="CP219" s="5">
        <f>IF(A219="","",N(INDEX(Projects[Est Controls Eng],218)))</f>
        <v/>
      </c>
      <c r="CQ219" s="5">
        <f>IF(A219="","",N(INDEX(Projects[Est Controls Purchase],218)))</f>
        <v/>
      </c>
      <c r="CR219" s="5">
        <f>IF(A219="","",N(INDEX(Projects[Est Software Eng],218)))</f>
        <v/>
      </c>
      <c r="CS219" s="5">
        <f>IF(A219="","",N(INDEX(Projects[Est Misc],218)))</f>
        <v/>
      </c>
      <c r="CT219" s="5">
        <f>IF(A219="","",SUM(CF219:CS219))</f>
        <v/>
      </c>
      <c r="CU219" s="5">
        <f>INDEX(Projects[Est Cost (M)],218)</f>
        <v/>
      </c>
      <c r="CV219" s="5">
        <f>INDEX(Projects[Act Cost (M)],218)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IF(A220="","",N(INDEX(Projects[Act Mech Inst],219)))</f>
        <v/>
      </c>
      <c r="BK220" s="5">
        <f>IF(A220="","",N(INDEX(Projects[Act Elec Inst],219)))</f>
        <v/>
      </c>
      <c r="BL220" s="5">
        <f>IF(A220="","",N(INDEX(Projects[Act Project Management],219)))</f>
        <v/>
      </c>
      <c r="BM220" s="5">
        <f>IF(A220="","",N(INDEX(Projects[Act Systems Eng],219)))</f>
        <v/>
      </c>
      <c r="BN220" s="5">
        <f>IF(A220="","",N(INDEX(Projects[Act Mechanical Eng],219)))</f>
        <v/>
      </c>
      <c r="BO220" s="5">
        <f>IF(A220="","",N(INDEX(Projects[Act Structural Engineering],219)))</f>
        <v/>
      </c>
      <c r="BP220" s="5">
        <f>IF(A220="","",N(INDEX(Projects[Act Site Sup],219)))</f>
        <v/>
      </c>
      <c r="BQ220" s="5">
        <f>IF(A220="","",N(INDEX(Projects[Act Controls Commissioning],219)))</f>
        <v/>
      </c>
      <c r="BR220" s="5">
        <f>IF(A220="","",N(INDEX(Projects[Act Systems Commissioning],219)))</f>
        <v/>
      </c>
      <c r="BS220" s="5">
        <f>IF(A220="","",N(INDEX(Projects[Act Service Commissioning],219)))</f>
        <v/>
      </c>
      <c r="BT220" s="5">
        <f>IF(A220="","",N(INDEX(Projects[Act Controls Eng],219)))</f>
        <v/>
      </c>
      <c r="BU220" s="5">
        <f>IF(A220="","",N(INDEX(Projects[Act Controls Purchase],219)))</f>
        <v/>
      </c>
      <c r="BV220" s="5">
        <f>IF(A220="","",N(INDEX(Projects[Act Software Eng],219)))</f>
        <v/>
      </c>
      <c r="BW220" s="5">
        <f>IF(A220="","",N(INDEX(Projects[Act 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  <c r="CE220" s="5">
        <f>INDEX(Projects[Act Data Status],219)&amp;""</f>
        <v/>
      </c>
      <c r="CF220" s="5">
        <f>IF(A220="","",N(INDEX(Projects[Est Mech Inst],219)))</f>
        <v/>
      </c>
      <c r="CG220" s="5">
        <f>IF(A220="","",N(INDEX(Projects[Est Elec Inst],219)))</f>
        <v/>
      </c>
      <c r="CH220" s="5">
        <f>IF(A220="","",N(INDEX(Projects[Est Project Management],219)))</f>
        <v/>
      </c>
      <c r="CI220" s="5">
        <f>IF(A220="","",N(INDEX(Projects[Est Systems Eng],219)))</f>
        <v/>
      </c>
      <c r="CJ220" s="5">
        <f>IF(A220="","",N(INDEX(Projects[Est Mechanical Eng],219)))</f>
        <v/>
      </c>
      <c r="CK220" s="5">
        <f>IF(A220="","",N(INDEX(Projects[Est Structural Engineering],219)))</f>
        <v/>
      </c>
      <c r="CL220" s="5">
        <f>IF(A220="","",N(INDEX(Projects[Est Site Sup],219)))</f>
        <v/>
      </c>
      <c r="CM220" s="5">
        <f>IF(A220="","",N(INDEX(Projects[Est Controls Commissioning],219)))</f>
        <v/>
      </c>
      <c r="CN220" s="5">
        <f>IF(A220="","",N(INDEX(Projects[Est Systems Commissioning],219)))</f>
        <v/>
      </c>
      <c r="CO220" s="5">
        <f>IF(A220="","",N(INDEX(Projects[Est Service Commissioning],219)))</f>
        <v/>
      </c>
      <c r="CP220" s="5">
        <f>IF(A220="","",N(INDEX(Projects[Est Controls Eng],219)))</f>
        <v/>
      </c>
      <c r="CQ220" s="5">
        <f>IF(A220="","",N(INDEX(Projects[Est Controls Purchase],219)))</f>
        <v/>
      </c>
      <c r="CR220" s="5">
        <f>IF(A220="","",N(INDEX(Projects[Est Software Eng],219)))</f>
        <v/>
      </c>
      <c r="CS220" s="5">
        <f>IF(A220="","",N(INDEX(Projects[Est Misc],219)))</f>
        <v/>
      </c>
      <c r="CT220" s="5">
        <f>IF(A220="","",SUM(CF220:CS220))</f>
        <v/>
      </c>
      <c r="CU220" s="5">
        <f>INDEX(Projects[Est Cost (M)],219)</f>
        <v/>
      </c>
      <c r="CV220" s="5">
        <f>INDEX(Projects[Act Cost (M)],219)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IF(A221="","",N(INDEX(Projects[Act Mech Inst],220)))</f>
        <v/>
      </c>
      <c r="BK221" s="5">
        <f>IF(A221="","",N(INDEX(Projects[Act Elec Inst],220)))</f>
        <v/>
      </c>
      <c r="BL221" s="5">
        <f>IF(A221="","",N(INDEX(Projects[Act Project Management],220)))</f>
        <v/>
      </c>
      <c r="BM221" s="5">
        <f>IF(A221="","",N(INDEX(Projects[Act Systems Eng],220)))</f>
        <v/>
      </c>
      <c r="BN221" s="5">
        <f>IF(A221="","",N(INDEX(Projects[Act Mechanical Eng],220)))</f>
        <v/>
      </c>
      <c r="BO221" s="5">
        <f>IF(A221="","",N(INDEX(Projects[Act Structural Engineering],220)))</f>
        <v/>
      </c>
      <c r="BP221" s="5">
        <f>IF(A221="","",N(INDEX(Projects[Act Site Sup],220)))</f>
        <v/>
      </c>
      <c r="BQ221" s="5">
        <f>IF(A221="","",N(INDEX(Projects[Act Controls Commissioning],220)))</f>
        <v/>
      </c>
      <c r="BR221" s="5">
        <f>IF(A221="","",N(INDEX(Projects[Act Systems Commissioning],220)))</f>
        <v/>
      </c>
      <c r="BS221" s="5">
        <f>IF(A221="","",N(INDEX(Projects[Act Service Commissioning],220)))</f>
        <v/>
      </c>
      <c r="BT221" s="5">
        <f>IF(A221="","",N(INDEX(Projects[Act Controls Eng],220)))</f>
        <v/>
      </c>
      <c r="BU221" s="5">
        <f>IF(A221="","",N(INDEX(Projects[Act Controls Purchase],220)))</f>
        <v/>
      </c>
      <c r="BV221" s="5">
        <f>IF(A221="","",N(INDEX(Projects[Act Software Eng],220)))</f>
        <v/>
      </c>
      <c r="BW221" s="5">
        <f>IF(A221="","",N(INDEX(Projects[Act 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  <c r="CE221" s="5">
        <f>INDEX(Projects[Act Data Status],220)&amp;""</f>
        <v/>
      </c>
      <c r="CF221" s="5">
        <f>IF(A221="","",N(INDEX(Projects[Est Mech Inst],220)))</f>
        <v/>
      </c>
      <c r="CG221" s="5">
        <f>IF(A221="","",N(INDEX(Projects[Est Elec Inst],220)))</f>
        <v/>
      </c>
      <c r="CH221" s="5">
        <f>IF(A221="","",N(INDEX(Projects[Est Project Management],220)))</f>
        <v/>
      </c>
      <c r="CI221" s="5">
        <f>IF(A221="","",N(INDEX(Projects[Est Systems Eng],220)))</f>
        <v/>
      </c>
      <c r="CJ221" s="5">
        <f>IF(A221="","",N(INDEX(Projects[Est Mechanical Eng],220)))</f>
        <v/>
      </c>
      <c r="CK221" s="5">
        <f>IF(A221="","",N(INDEX(Projects[Est Structural Engineering],220)))</f>
        <v/>
      </c>
      <c r="CL221" s="5">
        <f>IF(A221="","",N(INDEX(Projects[Est Site Sup],220)))</f>
        <v/>
      </c>
      <c r="CM221" s="5">
        <f>IF(A221="","",N(INDEX(Projects[Est Controls Commissioning],220)))</f>
        <v/>
      </c>
      <c r="CN221" s="5">
        <f>IF(A221="","",N(INDEX(Projects[Est Systems Commissioning],220)))</f>
        <v/>
      </c>
      <c r="CO221" s="5">
        <f>IF(A221="","",N(INDEX(Projects[Est Service Commissioning],220)))</f>
        <v/>
      </c>
      <c r="CP221" s="5">
        <f>IF(A221="","",N(INDEX(Projects[Est Controls Eng],220)))</f>
        <v/>
      </c>
      <c r="CQ221" s="5">
        <f>IF(A221="","",N(INDEX(Projects[Est Controls Purchase],220)))</f>
        <v/>
      </c>
      <c r="CR221" s="5">
        <f>IF(A221="","",N(INDEX(Projects[Est Software Eng],220)))</f>
        <v/>
      </c>
      <c r="CS221" s="5">
        <f>IF(A221="","",N(INDEX(Projects[Est Misc],220)))</f>
        <v/>
      </c>
      <c r="CT221" s="5">
        <f>IF(A221="","",SUM(CF221:CS221))</f>
        <v/>
      </c>
      <c r="CU221" s="5">
        <f>INDEX(Projects[Est Cost (M)],220)</f>
        <v/>
      </c>
      <c r="CV221" s="5">
        <f>INDEX(Projects[Act Cost (M)],220)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IF(A222="","",N(INDEX(Projects[Act Mech Inst],221)))</f>
        <v/>
      </c>
      <c r="BK222" s="5">
        <f>IF(A222="","",N(INDEX(Projects[Act Elec Inst],221)))</f>
        <v/>
      </c>
      <c r="BL222" s="5">
        <f>IF(A222="","",N(INDEX(Projects[Act Project Management],221)))</f>
        <v/>
      </c>
      <c r="BM222" s="5">
        <f>IF(A222="","",N(INDEX(Projects[Act Systems Eng],221)))</f>
        <v/>
      </c>
      <c r="BN222" s="5">
        <f>IF(A222="","",N(INDEX(Projects[Act Mechanical Eng],221)))</f>
        <v/>
      </c>
      <c r="BO222" s="5">
        <f>IF(A222="","",N(INDEX(Projects[Act Structural Engineering],221)))</f>
        <v/>
      </c>
      <c r="BP222" s="5">
        <f>IF(A222="","",N(INDEX(Projects[Act Site Sup],221)))</f>
        <v/>
      </c>
      <c r="BQ222" s="5">
        <f>IF(A222="","",N(INDEX(Projects[Act Controls Commissioning],221)))</f>
        <v/>
      </c>
      <c r="BR222" s="5">
        <f>IF(A222="","",N(INDEX(Projects[Act Systems Commissioning],221)))</f>
        <v/>
      </c>
      <c r="BS222" s="5">
        <f>IF(A222="","",N(INDEX(Projects[Act Service Commissioning],221)))</f>
        <v/>
      </c>
      <c r="BT222" s="5">
        <f>IF(A222="","",N(INDEX(Projects[Act Controls Eng],221)))</f>
        <v/>
      </c>
      <c r="BU222" s="5">
        <f>IF(A222="","",N(INDEX(Projects[Act Controls Purchase],221)))</f>
        <v/>
      </c>
      <c r="BV222" s="5">
        <f>IF(A222="","",N(INDEX(Projects[Act Software Eng],221)))</f>
        <v/>
      </c>
      <c r="BW222" s="5">
        <f>IF(A222="","",N(INDEX(Projects[Act 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  <c r="CE222" s="5">
        <f>INDEX(Projects[Act Data Status],221)&amp;""</f>
        <v/>
      </c>
      <c r="CF222" s="5">
        <f>IF(A222="","",N(INDEX(Projects[Est Mech Inst],221)))</f>
        <v/>
      </c>
      <c r="CG222" s="5">
        <f>IF(A222="","",N(INDEX(Projects[Est Elec Inst],221)))</f>
        <v/>
      </c>
      <c r="CH222" s="5">
        <f>IF(A222="","",N(INDEX(Projects[Est Project Management],221)))</f>
        <v/>
      </c>
      <c r="CI222" s="5">
        <f>IF(A222="","",N(INDEX(Projects[Est Systems Eng],221)))</f>
        <v/>
      </c>
      <c r="CJ222" s="5">
        <f>IF(A222="","",N(INDEX(Projects[Est Mechanical Eng],221)))</f>
        <v/>
      </c>
      <c r="CK222" s="5">
        <f>IF(A222="","",N(INDEX(Projects[Est Structural Engineering],221)))</f>
        <v/>
      </c>
      <c r="CL222" s="5">
        <f>IF(A222="","",N(INDEX(Projects[Est Site Sup],221)))</f>
        <v/>
      </c>
      <c r="CM222" s="5">
        <f>IF(A222="","",N(INDEX(Projects[Est Controls Commissioning],221)))</f>
        <v/>
      </c>
      <c r="CN222" s="5">
        <f>IF(A222="","",N(INDEX(Projects[Est Systems Commissioning],221)))</f>
        <v/>
      </c>
      <c r="CO222" s="5">
        <f>IF(A222="","",N(INDEX(Projects[Est Service Commissioning],221)))</f>
        <v/>
      </c>
      <c r="CP222" s="5">
        <f>IF(A222="","",N(INDEX(Projects[Est Controls Eng],221)))</f>
        <v/>
      </c>
      <c r="CQ222" s="5">
        <f>IF(A222="","",N(INDEX(Projects[Est Controls Purchase],221)))</f>
        <v/>
      </c>
      <c r="CR222" s="5">
        <f>IF(A222="","",N(INDEX(Projects[Est Software Eng],221)))</f>
        <v/>
      </c>
      <c r="CS222" s="5">
        <f>IF(A222="","",N(INDEX(Projects[Est Misc],221)))</f>
        <v/>
      </c>
      <c r="CT222" s="5">
        <f>IF(A222="","",SUM(CF222:CS222))</f>
        <v/>
      </c>
      <c r="CU222" s="5">
        <f>INDEX(Projects[Est Cost (M)],221)</f>
        <v/>
      </c>
      <c r="CV222" s="5">
        <f>INDEX(Projects[Act Cost (M)],221)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IF(A223="","",N(INDEX(Projects[Act Mech Inst],222)))</f>
        <v/>
      </c>
      <c r="BK223" s="5">
        <f>IF(A223="","",N(INDEX(Projects[Act Elec Inst],222)))</f>
        <v/>
      </c>
      <c r="BL223" s="5">
        <f>IF(A223="","",N(INDEX(Projects[Act Project Management],222)))</f>
        <v/>
      </c>
      <c r="BM223" s="5">
        <f>IF(A223="","",N(INDEX(Projects[Act Systems Eng],222)))</f>
        <v/>
      </c>
      <c r="BN223" s="5">
        <f>IF(A223="","",N(INDEX(Projects[Act Mechanical Eng],222)))</f>
        <v/>
      </c>
      <c r="BO223" s="5">
        <f>IF(A223="","",N(INDEX(Projects[Act Structural Engineering],222)))</f>
        <v/>
      </c>
      <c r="BP223" s="5">
        <f>IF(A223="","",N(INDEX(Projects[Act Site Sup],222)))</f>
        <v/>
      </c>
      <c r="BQ223" s="5">
        <f>IF(A223="","",N(INDEX(Projects[Act Controls Commissioning],222)))</f>
        <v/>
      </c>
      <c r="BR223" s="5">
        <f>IF(A223="","",N(INDEX(Projects[Act Systems Commissioning],222)))</f>
        <v/>
      </c>
      <c r="BS223" s="5">
        <f>IF(A223="","",N(INDEX(Projects[Act Service Commissioning],222)))</f>
        <v/>
      </c>
      <c r="BT223" s="5">
        <f>IF(A223="","",N(INDEX(Projects[Act Controls Eng],222)))</f>
        <v/>
      </c>
      <c r="BU223" s="5">
        <f>IF(A223="","",N(INDEX(Projects[Act Controls Purchase],222)))</f>
        <v/>
      </c>
      <c r="BV223" s="5">
        <f>IF(A223="","",N(INDEX(Projects[Act Software Eng],222)))</f>
        <v/>
      </c>
      <c r="BW223" s="5">
        <f>IF(A223="","",N(INDEX(Projects[Act 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  <c r="CE223" s="5">
        <f>INDEX(Projects[Act Data Status],222)&amp;""</f>
        <v/>
      </c>
      <c r="CF223" s="5">
        <f>IF(A223="","",N(INDEX(Projects[Est Mech Inst],222)))</f>
        <v/>
      </c>
      <c r="CG223" s="5">
        <f>IF(A223="","",N(INDEX(Projects[Est Elec Inst],222)))</f>
        <v/>
      </c>
      <c r="CH223" s="5">
        <f>IF(A223="","",N(INDEX(Projects[Est Project Management],222)))</f>
        <v/>
      </c>
      <c r="CI223" s="5">
        <f>IF(A223="","",N(INDEX(Projects[Est Systems Eng],222)))</f>
        <v/>
      </c>
      <c r="CJ223" s="5">
        <f>IF(A223="","",N(INDEX(Projects[Est Mechanical Eng],222)))</f>
        <v/>
      </c>
      <c r="CK223" s="5">
        <f>IF(A223="","",N(INDEX(Projects[Est Structural Engineering],222)))</f>
        <v/>
      </c>
      <c r="CL223" s="5">
        <f>IF(A223="","",N(INDEX(Projects[Est Site Sup],222)))</f>
        <v/>
      </c>
      <c r="CM223" s="5">
        <f>IF(A223="","",N(INDEX(Projects[Est Controls Commissioning],222)))</f>
        <v/>
      </c>
      <c r="CN223" s="5">
        <f>IF(A223="","",N(INDEX(Projects[Est Systems Commissioning],222)))</f>
        <v/>
      </c>
      <c r="CO223" s="5">
        <f>IF(A223="","",N(INDEX(Projects[Est Service Commissioning],222)))</f>
        <v/>
      </c>
      <c r="CP223" s="5">
        <f>IF(A223="","",N(INDEX(Projects[Est Controls Eng],222)))</f>
        <v/>
      </c>
      <c r="CQ223" s="5">
        <f>IF(A223="","",N(INDEX(Projects[Est Controls Purchase],222)))</f>
        <v/>
      </c>
      <c r="CR223" s="5">
        <f>IF(A223="","",N(INDEX(Projects[Est Software Eng],222)))</f>
        <v/>
      </c>
      <c r="CS223" s="5">
        <f>IF(A223="","",N(INDEX(Projects[Est Misc],222)))</f>
        <v/>
      </c>
      <c r="CT223" s="5">
        <f>IF(A223="","",SUM(CF223:CS223))</f>
        <v/>
      </c>
      <c r="CU223" s="5">
        <f>INDEX(Projects[Est Cost (M)],222)</f>
        <v/>
      </c>
      <c r="CV223" s="5">
        <f>INDEX(Projects[Act Cost (M)],222)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IF(A224="","",N(INDEX(Projects[Act Mech Inst],223)))</f>
        <v/>
      </c>
      <c r="BK224" s="5">
        <f>IF(A224="","",N(INDEX(Projects[Act Elec Inst],223)))</f>
        <v/>
      </c>
      <c r="BL224" s="5">
        <f>IF(A224="","",N(INDEX(Projects[Act Project Management],223)))</f>
        <v/>
      </c>
      <c r="BM224" s="5">
        <f>IF(A224="","",N(INDEX(Projects[Act Systems Eng],223)))</f>
        <v/>
      </c>
      <c r="BN224" s="5">
        <f>IF(A224="","",N(INDEX(Projects[Act Mechanical Eng],223)))</f>
        <v/>
      </c>
      <c r="BO224" s="5">
        <f>IF(A224="","",N(INDEX(Projects[Act Structural Engineering],223)))</f>
        <v/>
      </c>
      <c r="BP224" s="5">
        <f>IF(A224="","",N(INDEX(Projects[Act Site Sup],223)))</f>
        <v/>
      </c>
      <c r="BQ224" s="5">
        <f>IF(A224="","",N(INDEX(Projects[Act Controls Commissioning],223)))</f>
        <v/>
      </c>
      <c r="BR224" s="5">
        <f>IF(A224="","",N(INDEX(Projects[Act Systems Commissioning],223)))</f>
        <v/>
      </c>
      <c r="BS224" s="5">
        <f>IF(A224="","",N(INDEX(Projects[Act Service Commissioning],223)))</f>
        <v/>
      </c>
      <c r="BT224" s="5">
        <f>IF(A224="","",N(INDEX(Projects[Act Controls Eng],223)))</f>
        <v/>
      </c>
      <c r="BU224" s="5">
        <f>IF(A224="","",N(INDEX(Projects[Act Controls Purchase],223)))</f>
        <v/>
      </c>
      <c r="BV224" s="5">
        <f>IF(A224="","",N(INDEX(Projects[Act Software Eng],223)))</f>
        <v/>
      </c>
      <c r="BW224" s="5">
        <f>IF(A224="","",N(INDEX(Projects[Act 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  <c r="CE224" s="5">
        <f>INDEX(Projects[Act Data Status],223)&amp;""</f>
        <v/>
      </c>
      <c r="CF224" s="5">
        <f>IF(A224="","",N(INDEX(Projects[Est Mech Inst],223)))</f>
        <v/>
      </c>
      <c r="CG224" s="5">
        <f>IF(A224="","",N(INDEX(Projects[Est Elec Inst],223)))</f>
        <v/>
      </c>
      <c r="CH224" s="5">
        <f>IF(A224="","",N(INDEX(Projects[Est Project Management],223)))</f>
        <v/>
      </c>
      <c r="CI224" s="5">
        <f>IF(A224="","",N(INDEX(Projects[Est Systems Eng],223)))</f>
        <v/>
      </c>
      <c r="CJ224" s="5">
        <f>IF(A224="","",N(INDEX(Projects[Est Mechanical Eng],223)))</f>
        <v/>
      </c>
      <c r="CK224" s="5">
        <f>IF(A224="","",N(INDEX(Projects[Est Structural Engineering],223)))</f>
        <v/>
      </c>
      <c r="CL224" s="5">
        <f>IF(A224="","",N(INDEX(Projects[Est Site Sup],223)))</f>
        <v/>
      </c>
      <c r="CM224" s="5">
        <f>IF(A224="","",N(INDEX(Projects[Est Controls Commissioning],223)))</f>
        <v/>
      </c>
      <c r="CN224" s="5">
        <f>IF(A224="","",N(INDEX(Projects[Est Systems Commissioning],223)))</f>
        <v/>
      </c>
      <c r="CO224" s="5">
        <f>IF(A224="","",N(INDEX(Projects[Est Service Commissioning],223)))</f>
        <v/>
      </c>
      <c r="CP224" s="5">
        <f>IF(A224="","",N(INDEX(Projects[Est Controls Eng],223)))</f>
        <v/>
      </c>
      <c r="CQ224" s="5">
        <f>IF(A224="","",N(INDEX(Projects[Est Controls Purchase],223)))</f>
        <v/>
      </c>
      <c r="CR224" s="5">
        <f>IF(A224="","",N(INDEX(Projects[Est Software Eng],223)))</f>
        <v/>
      </c>
      <c r="CS224" s="5">
        <f>IF(A224="","",N(INDEX(Projects[Est Misc],223)))</f>
        <v/>
      </c>
      <c r="CT224" s="5">
        <f>IF(A224="","",SUM(CF224:CS224))</f>
        <v/>
      </c>
      <c r="CU224" s="5">
        <f>INDEX(Projects[Est Cost (M)],223)</f>
        <v/>
      </c>
      <c r="CV224" s="5">
        <f>INDEX(Projects[Act Cost (M)],223)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IF(A225="","",N(INDEX(Projects[Act Mech Inst],224)))</f>
        <v/>
      </c>
      <c r="BK225" s="5">
        <f>IF(A225="","",N(INDEX(Projects[Act Elec Inst],224)))</f>
        <v/>
      </c>
      <c r="BL225" s="5">
        <f>IF(A225="","",N(INDEX(Projects[Act Project Management],224)))</f>
        <v/>
      </c>
      <c r="BM225" s="5">
        <f>IF(A225="","",N(INDEX(Projects[Act Systems Eng],224)))</f>
        <v/>
      </c>
      <c r="BN225" s="5">
        <f>IF(A225="","",N(INDEX(Projects[Act Mechanical Eng],224)))</f>
        <v/>
      </c>
      <c r="BO225" s="5">
        <f>IF(A225="","",N(INDEX(Projects[Act Structural Engineering],224)))</f>
        <v/>
      </c>
      <c r="BP225" s="5">
        <f>IF(A225="","",N(INDEX(Projects[Act Site Sup],224)))</f>
        <v/>
      </c>
      <c r="BQ225" s="5">
        <f>IF(A225="","",N(INDEX(Projects[Act Controls Commissioning],224)))</f>
        <v/>
      </c>
      <c r="BR225" s="5">
        <f>IF(A225="","",N(INDEX(Projects[Act Systems Commissioning],224)))</f>
        <v/>
      </c>
      <c r="BS225" s="5">
        <f>IF(A225="","",N(INDEX(Projects[Act Service Commissioning],224)))</f>
        <v/>
      </c>
      <c r="BT225" s="5">
        <f>IF(A225="","",N(INDEX(Projects[Act Controls Eng],224)))</f>
        <v/>
      </c>
      <c r="BU225" s="5">
        <f>IF(A225="","",N(INDEX(Projects[Act Controls Purchase],224)))</f>
        <v/>
      </c>
      <c r="BV225" s="5">
        <f>IF(A225="","",N(INDEX(Projects[Act Software Eng],224)))</f>
        <v/>
      </c>
      <c r="BW225" s="5">
        <f>IF(A225="","",N(INDEX(Projects[Act 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  <c r="CE225" s="5">
        <f>INDEX(Projects[Act Data Status],224)&amp;""</f>
        <v/>
      </c>
      <c r="CF225" s="5">
        <f>IF(A225="","",N(INDEX(Projects[Est Mech Inst],224)))</f>
        <v/>
      </c>
      <c r="CG225" s="5">
        <f>IF(A225="","",N(INDEX(Projects[Est Elec Inst],224)))</f>
        <v/>
      </c>
      <c r="CH225" s="5">
        <f>IF(A225="","",N(INDEX(Projects[Est Project Management],224)))</f>
        <v/>
      </c>
      <c r="CI225" s="5">
        <f>IF(A225="","",N(INDEX(Projects[Est Systems Eng],224)))</f>
        <v/>
      </c>
      <c r="CJ225" s="5">
        <f>IF(A225="","",N(INDEX(Projects[Est Mechanical Eng],224)))</f>
        <v/>
      </c>
      <c r="CK225" s="5">
        <f>IF(A225="","",N(INDEX(Projects[Est Structural Engineering],224)))</f>
        <v/>
      </c>
      <c r="CL225" s="5">
        <f>IF(A225="","",N(INDEX(Projects[Est Site Sup],224)))</f>
        <v/>
      </c>
      <c r="CM225" s="5">
        <f>IF(A225="","",N(INDEX(Projects[Est Controls Commissioning],224)))</f>
        <v/>
      </c>
      <c r="CN225" s="5">
        <f>IF(A225="","",N(INDEX(Projects[Est Systems Commissioning],224)))</f>
        <v/>
      </c>
      <c r="CO225" s="5">
        <f>IF(A225="","",N(INDEX(Projects[Est Service Commissioning],224)))</f>
        <v/>
      </c>
      <c r="CP225" s="5">
        <f>IF(A225="","",N(INDEX(Projects[Est Controls Eng],224)))</f>
        <v/>
      </c>
      <c r="CQ225" s="5">
        <f>IF(A225="","",N(INDEX(Projects[Est Controls Purchase],224)))</f>
        <v/>
      </c>
      <c r="CR225" s="5">
        <f>IF(A225="","",N(INDEX(Projects[Est Software Eng],224)))</f>
        <v/>
      </c>
      <c r="CS225" s="5">
        <f>IF(A225="","",N(INDEX(Projects[Est Misc],224)))</f>
        <v/>
      </c>
      <c r="CT225" s="5">
        <f>IF(A225="","",SUM(CF225:CS225))</f>
        <v/>
      </c>
      <c r="CU225" s="5">
        <f>INDEX(Projects[Est Cost (M)],224)</f>
        <v/>
      </c>
      <c r="CV225" s="5">
        <f>INDEX(Projects[Act Cost (M)],224)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IF(A226="","",N(INDEX(Projects[Act Mech Inst],225)))</f>
        <v/>
      </c>
      <c r="BK226" s="5">
        <f>IF(A226="","",N(INDEX(Projects[Act Elec Inst],225)))</f>
        <v/>
      </c>
      <c r="BL226" s="5">
        <f>IF(A226="","",N(INDEX(Projects[Act Project Management],225)))</f>
        <v/>
      </c>
      <c r="BM226" s="5">
        <f>IF(A226="","",N(INDEX(Projects[Act Systems Eng],225)))</f>
        <v/>
      </c>
      <c r="BN226" s="5">
        <f>IF(A226="","",N(INDEX(Projects[Act Mechanical Eng],225)))</f>
        <v/>
      </c>
      <c r="BO226" s="5">
        <f>IF(A226="","",N(INDEX(Projects[Act Structural Engineering],225)))</f>
        <v/>
      </c>
      <c r="BP226" s="5">
        <f>IF(A226="","",N(INDEX(Projects[Act Site Sup],225)))</f>
        <v/>
      </c>
      <c r="BQ226" s="5">
        <f>IF(A226="","",N(INDEX(Projects[Act Controls Commissioning],225)))</f>
        <v/>
      </c>
      <c r="BR226" s="5">
        <f>IF(A226="","",N(INDEX(Projects[Act Systems Commissioning],225)))</f>
        <v/>
      </c>
      <c r="BS226" s="5">
        <f>IF(A226="","",N(INDEX(Projects[Act Service Commissioning],225)))</f>
        <v/>
      </c>
      <c r="BT226" s="5">
        <f>IF(A226="","",N(INDEX(Projects[Act Controls Eng],225)))</f>
        <v/>
      </c>
      <c r="BU226" s="5">
        <f>IF(A226="","",N(INDEX(Projects[Act Controls Purchase],225)))</f>
        <v/>
      </c>
      <c r="BV226" s="5">
        <f>IF(A226="","",N(INDEX(Projects[Act Software Eng],225)))</f>
        <v/>
      </c>
      <c r="BW226" s="5">
        <f>IF(A226="","",N(INDEX(Projects[Act 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  <c r="CE226" s="5">
        <f>INDEX(Projects[Act Data Status],225)&amp;""</f>
        <v/>
      </c>
      <c r="CF226" s="5">
        <f>IF(A226="","",N(INDEX(Projects[Est Mech Inst],225)))</f>
        <v/>
      </c>
      <c r="CG226" s="5">
        <f>IF(A226="","",N(INDEX(Projects[Est Elec Inst],225)))</f>
        <v/>
      </c>
      <c r="CH226" s="5">
        <f>IF(A226="","",N(INDEX(Projects[Est Project Management],225)))</f>
        <v/>
      </c>
      <c r="CI226" s="5">
        <f>IF(A226="","",N(INDEX(Projects[Est Systems Eng],225)))</f>
        <v/>
      </c>
      <c r="CJ226" s="5">
        <f>IF(A226="","",N(INDEX(Projects[Est Mechanical Eng],225)))</f>
        <v/>
      </c>
      <c r="CK226" s="5">
        <f>IF(A226="","",N(INDEX(Projects[Est Structural Engineering],225)))</f>
        <v/>
      </c>
      <c r="CL226" s="5">
        <f>IF(A226="","",N(INDEX(Projects[Est Site Sup],225)))</f>
        <v/>
      </c>
      <c r="CM226" s="5">
        <f>IF(A226="","",N(INDEX(Projects[Est Controls Commissioning],225)))</f>
        <v/>
      </c>
      <c r="CN226" s="5">
        <f>IF(A226="","",N(INDEX(Projects[Est Systems Commissioning],225)))</f>
        <v/>
      </c>
      <c r="CO226" s="5">
        <f>IF(A226="","",N(INDEX(Projects[Est Service Commissioning],225)))</f>
        <v/>
      </c>
      <c r="CP226" s="5">
        <f>IF(A226="","",N(INDEX(Projects[Est Controls Eng],225)))</f>
        <v/>
      </c>
      <c r="CQ226" s="5">
        <f>IF(A226="","",N(INDEX(Projects[Est Controls Purchase],225)))</f>
        <v/>
      </c>
      <c r="CR226" s="5">
        <f>IF(A226="","",N(INDEX(Projects[Est Software Eng],225)))</f>
        <v/>
      </c>
      <c r="CS226" s="5">
        <f>IF(A226="","",N(INDEX(Projects[Est Misc],225)))</f>
        <v/>
      </c>
      <c r="CT226" s="5">
        <f>IF(A226="","",SUM(CF226:CS226))</f>
        <v/>
      </c>
      <c r="CU226" s="5">
        <f>INDEX(Projects[Est Cost (M)],225)</f>
        <v/>
      </c>
      <c r="CV226" s="5">
        <f>INDEX(Projects[Act Cost (M)],225)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IF(A227="","",N(INDEX(Projects[Act Mech Inst],226)))</f>
        <v/>
      </c>
      <c r="BK227" s="5">
        <f>IF(A227="","",N(INDEX(Projects[Act Elec Inst],226)))</f>
        <v/>
      </c>
      <c r="BL227" s="5">
        <f>IF(A227="","",N(INDEX(Projects[Act Project Management],226)))</f>
        <v/>
      </c>
      <c r="BM227" s="5">
        <f>IF(A227="","",N(INDEX(Projects[Act Systems Eng],226)))</f>
        <v/>
      </c>
      <c r="BN227" s="5">
        <f>IF(A227="","",N(INDEX(Projects[Act Mechanical Eng],226)))</f>
        <v/>
      </c>
      <c r="BO227" s="5">
        <f>IF(A227="","",N(INDEX(Projects[Act Structural Engineering],226)))</f>
        <v/>
      </c>
      <c r="BP227" s="5">
        <f>IF(A227="","",N(INDEX(Projects[Act Site Sup],226)))</f>
        <v/>
      </c>
      <c r="BQ227" s="5">
        <f>IF(A227="","",N(INDEX(Projects[Act Controls Commissioning],226)))</f>
        <v/>
      </c>
      <c r="BR227" s="5">
        <f>IF(A227="","",N(INDEX(Projects[Act Systems Commissioning],226)))</f>
        <v/>
      </c>
      <c r="BS227" s="5">
        <f>IF(A227="","",N(INDEX(Projects[Act Service Commissioning],226)))</f>
        <v/>
      </c>
      <c r="BT227" s="5">
        <f>IF(A227="","",N(INDEX(Projects[Act Controls Eng],226)))</f>
        <v/>
      </c>
      <c r="BU227" s="5">
        <f>IF(A227="","",N(INDEX(Projects[Act Controls Purchase],226)))</f>
        <v/>
      </c>
      <c r="BV227" s="5">
        <f>IF(A227="","",N(INDEX(Projects[Act Software Eng],226)))</f>
        <v/>
      </c>
      <c r="BW227" s="5">
        <f>IF(A227="","",N(INDEX(Projects[Act 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  <c r="CE227" s="5">
        <f>INDEX(Projects[Act Data Status],226)&amp;""</f>
        <v/>
      </c>
      <c r="CF227" s="5">
        <f>IF(A227="","",N(INDEX(Projects[Est Mech Inst],226)))</f>
        <v/>
      </c>
      <c r="CG227" s="5">
        <f>IF(A227="","",N(INDEX(Projects[Est Elec Inst],226)))</f>
        <v/>
      </c>
      <c r="CH227" s="5">
        <f>IF(A227="","",N(INDEX(Projects[Est Project Management],226)))</f>
        <v/>
      </c>
      <c r="CI227" s="5">
        <f>IF(A227="","",N(INDEX(Projects[Est Systems Eng],226)))</f>
        <v/>
      </c>
      <c r="CJ227" s="5">
        <f>IF(A227="","",N(INDEX(Projects[Est Mechanical Eng],226)))</f>
        <v/>
      </c>
      <c r="CK227" s="5">
        <f>IF(A227="","",N(INDEX(Projects[Est Structural Engineering],226)))</f>
        <v/>
      </c>
      <c r="CL227" s="5">
        <f>IF(A227="","",N(INDEX(Projects[Est Site Sup],226)))</f>
        <v/>
      </c>
      <c r="CM227" s="5">
        <f>IF(A227="","",N(INDEX(Projects[Est Controls Commissioning],226)))</f>
        <v/>
      </c>
      <c r="CN227" s="5">
        <f>IF(A227="","",N(INDEX(Projects[Est Systems Commissioning],226)))</f>
        <v/>
      </c>
      <c r="CO227" s="5">
        <f>IF(A227="","",N(INDEX(Projects[Est Service Commissioning],226)))</f>
        <v/>
      </c>
      <c r="CP227" s="5">
        <f>IF(A227="","",N(INDEX(Projects[Est Controls Eng],226)))</f>
        <v/>
      </c>
      <c r="CQ227" s="5">
        <f>IF(A227="","",N(INDEX(Projects[Est Controls Purchase],226)))</f>
        <v/>
      </c>
      <c r="CR227" s="5">
        <f>IF(A227="","",N(INDEX(Projects[Est Software Eng],226)))</f>
        <v/>
      </c>
      <c r="CS227" s="5">
        <f>IF(A227="","",N(INDEX(Projects[Est Misc],226)))</f>
        <v/>
      </c>
      <c r="CT227" s="5">
        <f>IF(A227="","",SUM(CF227:CS227))</f>
        <v/>
      </c>
      <c r="CU227" s="5">
        <f>INDEX(Projects[Est Cost (M)],226)</f>
        <v/>
      </c>
      <c r="CV227" s="5">
        <f>INDEX(Projects[Act Cost (M)],226)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IF(A228="","",N(INDEX(Projects[Act Mech Inst],227)))</f>
        <v/>
      </c>
      <c r="BK228" s="5">
        <f>IF(A228="","",N(INDEX(Projects[Act Elec Inst],227)))</f>
        <v/>
      </c>
      <c r="BL228" s="5">
        <f>IF(A228="","",N(INDEX(Projects[Act Project Management],227)))</f>
        <v/>
      </c>
      <c r="BM228" s="5">
        <f>IF(A228="","",N(INDEX(Projects[Act Systems Eng],227)))</f>
        <v/>
      </c>
      <c r="BN228" s="5">
        <f>IF(A228="","",N(INDEX(Projects[Act Mechanical Eng],227)))</f>
        <v/>
      </c>
      <c r="BO228" s="5">
        <f>IF(A228="","",N(INDEX(Projects[Act Structural Engineering],227)))</f>
        <v/>
      </c>
      <c r="BP228" s="5">
        <f>IF(A228="","",N(INDEX(Projects[Act Site Sup],227)))</f>
        <v/>
      </c>
      <c r="BQ228" s="5">
        <f>IF(A228="","",N(INDEX(Projects[Act Controls Commissioning],227)))</f>
        <v/>
      </c>
      <c r="BR228" s="5">
        <f>IF(A228="","",N(INDEX(Projects[Act Systems Commissioning],227)))</f>
        <v/>
      </c>
      <c r="BS228" s="5">
        <f>IF(A228="","",N(INDEX(Projects[Act Service Commissioning],227)))</f>
        <v/>
      </c>
      <c r="BT228" s="5">
        <f>IF(A228="","",N(INDEX(Projects[Act Controls Eng],227)))</f>
        <v/>
      </c>
      <c r="BU228" s="5">
        <f>IF(A228="","",N(INDEX(Projects[Act Controls Purchase],227)))</f>
        <v/>
      </c>
      <c r="BV228" s="5">
        <f>IF(A228="","",N(INDEX(Projects[Act Software Eng],227)))</f>
        <v/>
      </c>
      <c r="BW228" s="5">
        <f>IF(A228="","",N(INDEX(Projects[Act 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  <c r="CE228" s="5">
        <f>INDEX(Projects[Act Data Status],227)&amp;""</f>
        <v/>
      </c>
      <c r="CF228" s="5">
        <f>IF(A228="","",N(INDEX(Projects[Est Mech Inst],227)))</f>
        <v/>
      </c>
      <c r="CG228" s="5">
        <f>IF(A228="","",N(INDEX(Projects[Est Elec Inst],227)))</f>
        <v/>
      </c>
      <c r="CH228" s="5">
        <f>IF(A228="","",N(INDEX(Projects[Est Project Management],227)))</f>
        <v/>
      </c>
      <c r="CI228" s="5">
        <f>IF(A228="","",N(INDEX(Projects[Est Systems Eng],227)))</f>
        <v/>
      </c>
      <c r="CJ228" s="5">
        <f>IF(A228="","",N(INDEX(Projects[Est Mechanical Eng],227)))</f>
        <v/>
      </c>
      <c r="CK228" s="5">
        <f>IF(A228="","",N(INDEX(Projects[Est Structural Engineering],227)))</f>
        <v/>
      </c>
      <c r="CL228" s="5">
        <f>IF(A228="","",N(INDEX(Projects[Est Site Sup],227)))</f>
        <v/>
      </c>
      <c r="CM228" s="5">
        <f>IF(A228="","",N(INDEX(Projects[Est Controls Commissioning],227)))</f>
        <v/>
      </c>
      <c r="CN228" s="5">
        <f>IF(A228="","",N(INDEX(Projects[Est Systems Commissioning],227)))</f>
        <v/>
      </c>
      <c r="CO228" s="5">
        <f>IF(A228="","",N(INDEX(Projects[Est Service Commissioning],227)))</f>
        <v/>
      </c>
      <c r="CP228" s="5">
        <f>IF(A228="","",N(INDEX(Projects[Est Controls Eng],227)))</f>
        <v/>
      </c>
      <c r="CQ228" s="5">
        <f>IF(A228="","",N(INDEX(Projects[Est Controls Purchase],227)))</f>
        <v/>
      </c>
      <c r="CR228" s="5">
        <f>IF(A228="","",N(INDEX(Projects[Est Software Eng],227)))</f>
        <v/>
      </c>
      <c r="CS228" s="5">
        <f>IF(A228="","",N(INDEX(Projects[Est Misc],227)))</f>
        <v/>
      </c>
      <c r="CT228" s="5">
        <f>IF(A228="","",SUM(CF228:CS228))</f>
        <v/>
      </c>
      <c r="CU228" s="5">
        <f>INDEX(Projects[Est Cost (M)],227)</f>
        <v/>
      </c>
      <c r="CV228" s="5">
        <f>INDEX(Projects[Act Cost (M)],227)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IF(A229="","",N(INDEX(Projects[Act Mech Inst],228)))</f>
        <v/>
      </c>
      <c r="BK229" s="5">
        <f>IF(A229="","",N(INDEX(Projects[Act Elec Inst],228)))</f>
        <v/>
      </c>
      <c r="BL229" s="5">
        <f>IF(A229="","",N(INDEX(Projects[Act Project Management],228)))</f>
        <v/>
      </c>
      <c r="BM229" s="5">
        <f>IF(A229="","",N(INDEX(Projects[Act Systems Eng],228)))</f>
        <v/>
      </c>
      <c r="BN229" s="5">
        <f>IF(A229="","",N(INDEX(Projects[Act Mechanical Eng],228)))</f>
        <v/>
      </c>
      <c r="BO229" s="5">
        <f>IF(A229="","",N(INDEX(Projects[Act Structural Engineering],228)))</f>
        <v/>
      </c>
      <c r="BP229" s="5">
        <f>IF(A229="","",N(INDEX(Projects[Act Site Sup],228)))</f>
        <v/>
      </c>
      <c r="BQ229" s="5">
        <f>IF(A229="","",N(INDEX(Projects[Act Controls Commissioning],228)))</f>
        <v/>
      </c>
      <c r="BR229" s="5">
        <f>IF(A229="","",N(INDEX(Projects[Act Systems Commissioning],228)))</f>
        <v/>
      </c>
      <c r="BS229" s="5">
        <f>IF(A229="","",N(INDEX(Projects[Act Service Commissioning],228)))</f>
        <v/>
      </c>
      <c r="BT229" s="5">
        <f>IF(A229="","",N(INDEX(Projects[Act Controls Eng],228)))</f>
        <v/>
      </c>
      <c r="BU229" s="5">
        <f>IF(A229="","",N(INDEX(Projects[Act Controls Purchase],228)))</f>
        <v/>
      </c>
      <c r="BV229" s="5">
        <f>IF(A229="","",N(INDEX(Projects[Act Software Eng],228)))</f>
        <v/>
      </c>
      <c r="BW229" s="5">
        <f>IF(A229="","",N(INDEX(Projects[Act 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  <c r="CE229" s="5">
        <f>INDEX(Projects[Act Data Status],228)&amp;""</f>
        <v/>
      </c>
      <c r="CF229" s="5">
        <f>IF(A229="","",N(INDEX(Projects[Est Mech Inst],228)))</f>
        <v/>
      </c>
      <c r="CG229" s="5">
        <f>IF(A229="","",N(INDEX(Projects[Est Elec Inst],228)))</f>
        <v/>
      </c>
      <c r="CH229" s="5">
        <f>IF(A229="","",N(INDEX(Projects[Est Project Management],228)))</f>
        <v/>
      </c>
      <c r="CI229" s="5">
        <f>IF(A229="","",N(INDEX(Projects[Est Systems Eng],228)))</f>
        <v/>
      </c>
      <c r="CJ229" s="5">
        <f>IF(A229="","",N(INDEX(Projects[Est Mechanical Eng],228)))</f>
        <v/>
      </c>
      <c r="CK229" s="5">
        <f>IF(A229="","",N(INDEX(Projects[Est Structural Engineering],228)))</f>
        <v/>
      </c>
      <c r="CL229" s="5">
        <f>IF(A229="","",N(INDEX(Projects[Est Site Sup],228)))</f>
        <v/>
      </c>
      <c r="CM229" s="5">
        <f>IF(A229="","",N(INDEX(Projects[Est Controls Commissioning],228)))</f>
        <v/>
      </c>
      <c r="CN229" s="5">
        <f>IF(A229="","",N(INDEX(Projects[Est Systems Commissioning],228)))</f>
        <v/>
      </c>
      <c r="CO229" s="5">
        <f>IF(A229="","",N(INDEX(Projects[Est Service Commissioning],228)))</f>
        <v/>
      </c>
      <c r="CP229" s="5">
        <f>IF(A229="","",N(INDEX(Projects[Est Controls Eng],228)))</f>
        <v/>
      </c>
      <c r="CQ229" s="5">
        <f>IF(A229="","",N(INDEX(Projects[Est Controls Purchase],228)))</f>
        <v/>
      </c>
      <c r="CR229" s="5">
        <f>IF(A229="","",N(INDEX(Projects[Est Software Eng],228)))</f>
        <v/>
      </c>
      <c r="CS229" s="5">
        <f>IF(A229="","",N(INDEX(Projects[Est Misc],228)))</f>
        <v/>
      </c>
      <c r="CT229" s="5">
        <f>IF(A229="","",SUM(CF229:CS229))</f>
        <v/>
      </c>
      <c r="CU229" s="5">
        <f>INDEX(Projects[Est Cost (M)],228)</f>
        <v/>
      </c>
      <c r="CV229" s="5">
        <f>INDEX(Projects[Act Cost (M)],228)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IF(A230="","",N(INDEX(Projects[Act Mech Inst],229)))</f>
        <v/>
      </c>
      <c r="BK230" s="5">
        <f>IF(A230="","",N(INDEX(Projects[Act Elec Inst],229)))</f>
        <v/>
      </c>
      <c r="BL230" s="5">
        <f>IF(A230="","",N(INDEX(Projects[Act Project Management],229)))</f>
        <v/>
      </c>
      <c r="BM230" s="5">
        <f>IF(A230="","",N(INDEX(Projects[Act Systems Eng],229)))</f>
        <v/>
      </c>
      <c r="BN230" s="5">
        <f>IF(A230="","",N(INDEX(Projects[Act Mechanical Eng],229)))</f>
        <v/>
      </c>
      <c r="BO230" s="5">
        <f>IF(A230="","",N(INDEX(Projects[Act Structural Engineering],229)))</f>
        <v/>
      </c>
      <c r="BP230" s="5">
        <f>IF(A230="","",N(INDEX(Projects[Act Site Sup],229)))</f>
        <v/>
      </c>
      <c r="BQ230" s="5">
        <f>IF(A230="","",N(INDEX(Projects[Act Controls Commissioning],229)))</f>
        <v/>
      </c>
      <c r="BR230" s="5">
        <f>IF(A230="","",N(INDEX(Projects[Act Systems Commissioning],229)))</f>
        <v/>
      </c>
      <c r="BS230" s="5">
        <f>IF(A230="","",N(INDEX(Projects[Act Service Commissioning],229)))</f>
        <v/>
      </c>
      <c r="BT230" s="5">
        <f>IF(A230="","",N(INDEX(Projects[Act Controls Eng],229)))</f>
        <v/>
      </c>
      <c r="BU230" s="5">
        <f>IF(A230="","",N(INDEX(Projects[Act Controls Purchase],229)))</f>
        <v/>
      </c>
      <c r="BV230" s="5">
        <f>IF(A230="","",N(INDEX(Projects[Act Software Eng],229)))</f>
        <v/>
      </c>
      <c r="BW230" s="5">
        <f>IF(A230="","",N(INDEX(Projects[Act 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  <c r="CE230" s="5">
        <f>INDEX(Projects[Act Data Status],229)&amp;""</f>
        <v/>
      </c>
      <c r="CF230" s="5">
        <f>IF(A230="","",N(INDEX(Projects[Est Mech Inst],229)))</f>
        <v/>
      </c>
      <c r="CG230" s="5">
        <f>IF(A230="","",N(INDEX(Projects[Est Elec Inst],229)))</f>
        <v/>
      </c>
      <c r="CH230" s="5">
        <f>IF(A230="","",N(INDEX(Projects[Est Project Management],229)))</f>
        <v/>
      </c>
      <c r="CI230" s="5">
        <f>IF(A230="","",N(INDEX(Projects[Est Systems Eng],229)))</f>
        <v/>
      </c>
      <c r="CJ230" s="5">
        <f>IF(A230="","",N(INDEX(Projects[Est Mechanical Eng],229)))</f>
        <v/>
      </c>
      <c r="CK230" s="5">
        <f>IF(A230="","",N(INDEX(Projects[Est Structural Engineering],229)))</f>
        <v/>
      </c>
      <c r="CL230" s="5">
        <f>IF(A230="","",N(INDEX(Projects[Est Site Sup],229)))</f>
        <v/>
      </c>
      <c r="CM230" s="5">
        <f>IF(A230="","",N(INDEX(Projects[Est Controls Commissioning],229)))</f>
        <v/>
      </c>
      <c r="CN230" s="5">
        <f>IF(A230="","",N(INDEX(Projects[Est Systems Commissioning],229)))</f>
        <v/>
      </c>
      <c r="CO230" s="5">
        <f>IF(A230="","",N(INDEX(Projects[Est Service Commissioning],229)))</f>
        <v/>
      </c>
      <c r="CP230" s="5">
        <f>IF(A230="","",N(INDEX(Projects[Est Controls Eng],229)))</f>
        <v/>
      </c>
      <c r="CQ230" s="5">
        <f>IF(A230="","",N(INDEX(Projects[Est Controls Purchase],229)))</f>
        <v/>
      </c>
      <c r="CR230" s="5">
        <f>IF(A230="","",N(INDEX(Projects[Est Software Eng],229)))</f>
        <v/>
      </c>
      <c r="CS230" s="5">
        <f>IF(A230="","",N(INDEX(Projects[Est Misc],229)))</f>
        <v/>
      </c>
      <c r="CT230" s="5">
        <f>IF(A230="","",SUM(CF230:CS230))</f>
        <v/>
      </c>
      <c r="CU230" s="5">
        <f>INDEX(Projects[Est Cost (M)],229)</f>
        <v/>
      </c>
      <c r="CV230" s="5">
        <f>INDEX(Projects[Act Cost (M)],229)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IF(A231="","",N(INDEX(Projects[Act Mech Inst],230)))</f>
        <v/>
      </c>
      <c r="BK231" s="5">
        <f>IF(A231="","",N(INDEX(Projects[Act Elec Inst],230)))</f>
        <v/>
      </c>
      <c r="BL231" s="5">
        <f>IF(A231="","",N(INDEX(Projects[Act Project Management],230)))</f>
        <v/>
      </c>
      <c r="BM231" s="5">
        <f>IF(A231="","",N(INDEX(Projects[Act Systems Eng],230)))</f>
        <v/>
      </c>
      <c r="BN231" s="5">
        <f>IF(A231="","",N(INDEX(Projects[Act Mechanical Eng],230)))</f>
        <v/>
      </c>
      <c r="BO231" s="5">
        <f>IF(A231="","",N(INDEX(Projects[Act Structural Engineering],230)))</f>
        <v/>
      </c>
      <c r="BP231" s="5">
        <f>IF(A231="","",N(INDEX(Projects[Act Site Sup],230)))</f>
        <v/>
      </c>
      <c r="BQ231" s="5">
        <f>IF(A231="","",N(INDEX(Projects[Act Controls Commissioning],230)))</f>
        <v/>
      </c>
      <c r="BR231" s="5">
        <f>IF(A231="","",N(INDEX(Projects[Act Systems Commissioning],230)))</f>
        <v/>
      </c>
      <c r="BS231" s="5">
        <f>IF(A231="","",N(INDEX(Projects[Act Service Commissioning],230)))</f>
        <v/>
      </c>
      <c r="BT231" s="5">
        <f>IF(A231="","",N(INDEX(Projects[Act Controls Eng],230)))</f>
        <v/>
      </c>
      <c r="BU231" s="5">
        <f>IF(A231="","",N(INDEX(Projects[Act Controls Purchase],230)))</f>
        <v/>
      </c>
      <c r="BV231" s="5">
        <f>IF(A231="","",N(INDEX(Projects[Act Software Eng],230)))</f>
        <v/>
      </c>
      <c r="BW231" s="5">
        <f>IF(A231="","",N(INDEX(Projects[Act 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  <c r="CE231" s="5">
        <f>INDEX(Projects[Act Data Status],230)&amp;""</f>
        <v/>
      </c>
      <c r="CF231" s="5">
        <f>IF(A231="","",N(INDEX(Projects[Est Mech Inst],230)))</f>
        <v/>
      </c>
      <c r="CG231" s="5">
        <f>IF(A231="","",N(INDEX(Projects[Est Elec Inst],230)))</f>
        <v/>
      </c>
      <c r="CH231" s="5">
        <f>IF(A231="","",N(INDEX(Projects[Est Project Management],230)))</f>
        <v/>
      </c>
      <c r="CI231" s="5">
        <f>IF(A231="","",N(INDEX(Projects[Est Systems Eng],230)))</f>
        <v/>
      </c>
      <c r="CJ231" s="5">
        <f>IF(A231="","",N(INDEX(Projects[Est Mechanical Eng],230)))</f>
        <v/>
      </c>
      <c r="CK231" s="5">
        <f>IF(A231="","",N(INDEX(Projects[Est Structural Engineering],230)))</f>
        <v/>
      </c>
      <c r="CL231" s="5">
        <f>IF(A231="","",N(INDEX(Projects[Est Site Sup],230)))</f>
        <v/>
      </c>
      <c r="CM231" s="5">
        <f>IF(A231="","",N(INDEX(Projects[Est Controls Commissioning],230)))</f>
        <v/>
      </c>
      <c r="CN231" s="5">
        <f>IF(A231="","",N(INDEX(Projects[Est Systems Commissioning],230)))</f>
        <v/>
      </c>
      <c r="CO231" s="5">
        <f>IF(A231="","",N(INDEX(Projects[Est Service Commissioning],230)))</f>
        <v/>
      </c>
      <c r="CP231" s="5">
        <f>IF(A231="","",N(INDEX(Projects[Est Controls Eng],230)))</f>
        <v/>
      </c>
      <c r="CQ231" s="5">
        <f>IF(A231="","",N(INDEX(Projects[Est Controls Purchase],230)))</f>
        <v/>
      </c>
      <c r="CR231" s="5">
        <f>IF(A231="","",N(INDEX(Projects[Est Software Eng],230)))</f>
        <v/>
      </c>
      <c r="CS231" s="5">
        <f>IF(A231="","",N(INDEX(Projects[Est Misc],230)))</f>
        <v/>
      </c>
      <c r="CT231" s="5">
        <f>IF(A231="","",SUM(CF231:CS231))</f>
        <v/>
      </c>
      <c r="CU231" s="5">
        <f>INDEX(Projects[Est Cost (M)],230)</f>
        <v/>
      </c>
      <c r="CV231" s="5">
        <f>INDEX(Projects[Act Cost (M)],230)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IF(A232="","",N(INDEX(Projects[Act Mech Inst],231)))</f>
        <v/>
      </c>
      <c r="BK232" s="5">
        <f>IF(A232="","",N(INDEX(Projects[Act Elec Inst],231)))</f>
        <v/>
      </c>
      <c r="BL232" s="5">
        <f>IF(A232="","",N(INDEX(Projects[Act Project Management],231)))</f>
        <v/>
      </c>
      <c r="BM232" s="5">
        <f>IF(A232="","",N(INDEX(Projects[Act Systems Eng],231)))</f>
        <v/>
      </c>
      <c r="BN232" s="5">
        <f>IF(A232="","",N(INDEX(Projects[Act Mechanical Eng],231)))</f>
        <v/>
      </c>
      <c r="BO232" s="5">
        <f>IF(A232="","",N(INDEX(Projects[Act Structural Engineering],231)))</f>
        <v/>
      </c>
      <c r="BP232" s="5">
        <f>IF(A232="","",N(INDEX(Projects[Act Site Sup],231)))</f>
        <v/>
      </c>
      <c r="BQ232" s="5">
        <f>IF(A232="","",N(INDEX(Projects[Act Controls Commissioning],231)))</f>
        <v/>
      </c>
      <c r="BR232" s="5">
        <f>IF(A232="","",N(INDEX(Projects[Act Systems Commissioning],231)))</f>
        <v/>
      </c>
      <c r="BS232" s="5">
        <f>IF(A232="","",N(INDEX(Projects[Act Service Commissioning],231)))</f>
        <v/>
      </c>
      <c r="BT232" s="5">
        <f>IF(A232="","",N(INDEX(Projects[Act Controls Eng],231)))</f>
        <v/>
      </c>
      <c r="BU232" s="5">
        <f>IF(A232="","",N(INDEX(Projects[Act Controls Purchase],231)))</f>
        <v/>
      </c>
      <c r="BV232" s="5">
        <f>IF(A232="","",N(INDEX(Projects[Act Software Eng],231)))</f>
        <v/>
      </c>
      <c r="BW232" s="5">
        <f>IF(A232="","",N(INDEX(Projects[Act 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  <c r="CE232" s="5">
        <f>INDEX(Projects[Act Data Status],231)&amp;""</f>
        <v/>
      </c>
      <c r="CF232" s="5">
        <f>IF(A232="","",N(INDEX(Projects[Est Mech Inst],231)))</f>
        <v/>
      </c>
      <c r="CG232" s="5">
        <f>IF(A232="","",N(INDEX(Projects[Est Elec Inst],231)))</f>
        <v/>
      </c>
      <c r="CH232" s="5">
        <f>IF(A232="","",N(INDEX(Projects[Est Project Management],231)))</f>
        <v/>
      </c>
      <c r="CI232" s="5">
        <f>IF(A232="","",N(INDEX(Projects[Est Systems Eng],231)))</f>
        <v/>
      </c>
      <c r="CJ232" s="5">
        <f>IF(A232="","",N(INDEX(Projects[Est Mechanical Eng],231)))</f>
        <v/>
      </c>
      <c r="CK232" s="5">
        <f>IF(A232="","",N(INDEX(Projects[Est Structural Engineering],231)))</f>
        <v/>
      </c>
      <c r="CL232" s="5">
        <f>IF(A232="","",N(INDEX(Projects[Est Site Sup],231)))</f>
        <v/>
      </c>
      <c r="CM232" s="5">
        <f>IF(A232="","",N(INDEX(Projects[Est Controls Commissioning],231)))</f>
        <v/>
      </c>
      <c r="CN232" s="5">
        <f>IF(A232="","",N(INDEX(Projects[Est Systems Commissioning],231)))</f>
        <v/>
      </c>
      <c r="CO232" s="5">
        <f>IF(A232="","",N(INDEX(Projects[Est Service Commissioning],231)))</f>
        <v/>
      </c>
      <c r="CP232" s="5">
        <f>IF(A232="","",N(INDEX(Projects[Est Controls Eng],231)))</f>
        <v/>
      </c>
      <c r="CQ232" s="5">
        <f>IF(A232="","",N(INDEX(Projects[Est Controls Purchase],231)))</f>
        <v/>
      </c>
      <c r="CR232" s="5">
        <f>IF(A232="","",N(INDEX(Projects[Est Software Eng],231)))</f>
        <v/>
      </c>
      <c r="CS232" s="5">
        <f>IF(A232="","",N(INDEX(Projects[Est Misc],231)))</f>
        <v/>
      </c>
      <c r="CT232" s="5">
        <f>IF(A232="","",SUM(CF232:CS232))</f>
        <v/>
      </c>
      <c r="CU232" s="5">
        <f>INDEX(Projects[Est Cost (M)],231)</f>
        <v/>
      </c>
      <c r="CV232" s="5">
        <f>INDEX(Projects[Act Cost (M)],231)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IF(A233="","",N(INDEX(Projects[Act Mech Inst],232)))</f>
        <v/>
      </c>
      <c r="BK233" s="5">
        <f>IF(A233="","",N(INDEX(Projects[Act Elec Inst],232)))</f>
        <v/>
      </c>
      <c r="BL233" s="5">
        <f>IF(A233="","",N(INDEX(Projects[Act Project Management],232)))</f>
        <v/>
      </c>
      <c r="BM233" s="5">
        <f>IF(A233="","",N(INDEX(Projects[Act Systems Eng],232)))</f>
        <v/>
      </c>
      <c r="BN233" s="5">
        <f>IF(A233="","",N(INDEX(Projects[Act Mechanical Eng],232)))</f>
        <v/>
      </c>
      <c r="BO233" s="5">
        <f>IF(A233="","",N(INDEX(Projects[Act Structural Engineering],232)))</f>
        <v/>
      </c>
      <c r="BP233" s="5">
        <f>IF(A233="","",N(INDEX(Projects[Act Site Sup],232)))</f>
        <v/>
      </c>
      <c r="BQ233" s="5">
        <f>IF(A233="","",N(INDEX(Projects[Act Controls Commissioning],232)))</f>
        <v/>
      </c>
      <c r="BR233" s="5">
        <f>IF(A233="","",N(INDEX(Projects[Act Systems Commissioning],232)))</f>
        <v/>
      </c>
      <c r="BS233" s="5">
        <f>IF(A233="","",N(INDEX(Projects[Act Service Commissioning],232)))</f>
        <v/>
      </c>
      <c r="BT233" s="5">
        <f>IF(A233="","",N(INDEX(Projects[Act Controls Eng],232)))</f>
        <v/>
      </c>
      <c r="BU233" s="5">
        <f>IF(A233="","",N(INDEX(Projects[Act Controls Purchase],232)))</f>
        <v/>
      </c>
      <c r="BV233" s="5">
        <f>IF(A233="","",N(INDEX(Projects[Act Software Eng],232)))</f>
        <v/>
      </c>
      <c r="BW233" s="5">
        <f>IF(A233="","",N(INDEX(Projects[Act 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  <c r="CE233" s="5">
        <f>INDEX(Projects[Act Data Status],232)&amp;""</f>
        <v/>
      </c>
      <c r="CF233" s="5">
        <f>IF(A233="","",N(INDEX(Projects[Est Mech Inst],232)))</f>
        <v/>
      </c>
      <c r="CG233" s="5">
        <f>IF(A233="","",N(INDEX(Projects[Est Elec Inst],232)))</f>
        <v/>
      </c>
      <c r="CH233" s="5">
        <f>IF(A233="","",N(INDEX(Projects[Est Project Management],232)))</f>
        <v/>
      </c>
      <c r="CI233" s="5">
        <f>IF(A233="","",N(INDEX(Projects[Est Systems Eng],232)))</f>
        <v/>
      </c>
      <c r="CJ233" s="5">
        <f>IF(A233="","",N(INDEX(Projects[Est Mechanical Eng],232)))</f>
        <v/>
      </c>
      <c r="CK233" s="5">
        <f>IF(A233="","",N(INDEX(Projects[Est Structural Engineering],232)))</f>
        <v/>
      </c>
      <c r="CL233" s="5">
        <f>IF(A233="","",N(INDEX(Projects[Est Site Sup],232)))</f>
        <v/>
      </c>
      <c r="CM233" s="5">
        <f>IF(A233="","",N(INDEX(Projects[Est Controls Commissioning],232)))</f>
        <v/>
      </c>
      <c r="CN233" s="5">
        <f>IF(A233="","",N(INDEX(Projects[Est Systems Commissioning],232)))</f>
        <v/>
      </c>
      <c r="CO233" s="5">
        <f>IF(A233="","",N(INDEX(Projects[Est Service Commissioning],232)))</f>
        <v/>
      </c>
      <c r="CP233" s="5">
        <f>IF(A233="","",N(INDEX(Projects[Est Controls Eng],232)))</f>
        <v/>
      </c>
      <c r="CQ233" s="5">
        <f>IF(A233="","",N(INDEX(Projects[Est Controls Purchase],232)))</f>
        <v/>
      </c>
      <c r="CR233" s="5">
        <f>IF(A233="","",N(INDEX(Projects[Est Software Eng],232)))</f>
        <v/>
      </c>
      <c r="CS233" s="5">
        <f>IF(A233="","",N(INDEX(Projects[Est Misc],232)))</f>
        <v/>
      </c>
      <c r="CT233" s="5">
        <f>IF(A233="","",SUM(CF233:CS233))</f>
        <v/>
      </c>
      <c r="CU233" s="5">
        <f>INDEX(Projects[Est Cost (M)],232)</f>
        <v/>
      </c>
      <c r="CV233" s="5">
        <f>INDEX(Projects[Act Cost (M)],232)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IF(A234="","",N(INDEX(Projects[Act Mech Inst],233)))</f>
        <v/>
      </c>
      <c r="BK234" s="5">
        <f>IF(A234="","",N(INDEX(Projects[Act Elec Inst],233)))</f>
        <v/>
      </c>
      <c r="BL234" s="5">
        <f>IF(A234="","",N(INDEX(Projects[Act Project Management],233)))</f>
        <v/>
      </c>
      <c r="BM234" s="5">
        <f>IF(A234="","",N(INDEX(Projects[Act Systems Eng],233)))</f>
        <v/>
      </c>
      <c r="BN234" s="5">
        <f>IF(A234="","",N(INDEX(Projects[Act Mechanical Eng],233)))</f>
        <v/>
      </c>
      <c r="BO234" s="5">
        <f>IF(A234="","",N(INDEX(Projects[Act Structural Engineering],233)))</f>
        <v/>
      </c>
      <c r="BP234" s="5">
        <f>IF(A234="","",N(INDEX(Projects[Act Site Sup],233)))</f>
        <v/>
      </c>
      <c r="BQ234" s="5">
        <f>IF(A234="","",N(INDEX(Projects[Act Controls Commissioning],233)))</f>
        <v/>
      </c>
      <c r="BR234" s="5">
        <f>IF(A234="","",N(INDEX(Projects[Act Systems Commissioning],233)))</f>
        <v/>
      </c>
      <c r="BS234" s="5">
        <f>IF(A234="","",N(INDEX(Projects[Act Service Commissioning],233)))</f>
        <v/>
      </c>
      <c r="BT234" s="5">
        <f>IF(A234="","",N(INDEX(Projects[Act Controls Eng],233)))</f>
        <v/>
      </c>
      <c r="BU234" s="5">
        <f>IF(A234="","",N(INDEX(Projects[Act Controls Purchase],233)))</f>
        <v/>
      </c>
      <c r="BV234" s="5">
        <f>IF(A234="","",N(INDEX(Projects[Act Software Eng],233)))</f>
        <v/>
      </c>
      <c r="BW234" s="5">
        <f>IF(A234="","",N(INDEX(Projects[Act 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  <c r="CE234" s="5">
        <f>INDEX(Projects[Act Data Status],233)&amp;""</f>
        <v/>
      </c>
      <c r="CF234" s="5">
        <f>IF(A234="","",N(INDEX(Projects[Est Mech Inst],233)))</f>
        <v/>
      </c>
      <c r="CG234" s="5">
        <f>IF(A234="","",N(INDEX(Projects[Est Elec Inst],233)))</f>
        <v/>
      </c>
      <c r="CH234" s="5">
        <f>IF(A234="","",N(INDEX(Projects[Est Project Management],233)))</f>
        <v/>
      </c>
      <c r="CI234" s="5">
        <f>IF(A234="","",N(INDEX(Projects[Est Systems Eng],233)))</f>
        <v/>
      </c>
      <c r="CJ234" s="5">
        <f>IF(A234="","",N(INDEX(Projects[Est Mechanical Eng],233)))</f>
        <v/>
      </c>
      <c r="CK234" s="5">
        <f>IF(A234="","",N(INDEX(Projects[Est Structural Engineering],233)))</f>
        <v/>
      </c>
      <c r="CL234" s="5">
        <f>IF(A234="","",N(INDEX(Projects[Est Site Sup],233)))</f>
        <v/>
      </c>
      <c r="CM234" s="5">
        <f>IF(A234="","",N(INDEX(Projects[Est Controls Commissioning],233)))</f>
        <v/>
      </c>
      <c r="CN234" s="5">
        <f>IF(A234="","",N(INDEX(Projects[Est Systems Commissioning],233)))</f>
        <v/>
      </c>
      <c r="CO234" s="5">
        <f>IF(A234="","",N(INDEX(Projects[Est Service Commissioning],233)))</f>
        <v/>
      </c>
      <c r="CP234" s="5">
        <f>IF(A234="","",N(INDEX(Projects[Est Controls Eng],233)))</f>
        <v/>
      </c>
      <c r="CQ234" s="5">
        <f>IF(A234="","",N(INDEX(Projects[Est Controls Purchase],233)))</f>
        <v/>
      </c>
      <c r="CR234" s="5">
        <f>IF(A234="","",N(INDEX(Projects[Est Software Eng],233)))</f>
        <v/>
      </c>
      <c r="CS234" s="5">
        <f>IF(A234="","",N(INDEX(Projects[Est Misc],233)))</f>
        <v/>
      </c>
      <c r="CT234" s="5">
        <f>IF(A234="","",SUM(CF234:CS234))</f>
        <v/>
      </c>
      <c r="CU234" s="5">
        <f>INDEX(Projects[Est Cost (M)],233)</f>
        <v/>
      </c>
      <c r="CV234" s="5">
        <f>INDEX(Projects[Act Cost (M)],233)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IF(A235="","",N(INDEX(Projects[Act Mech Inst],234)))</f>
        <v/>
      </c>
      <c r="BK235" s="5">
        <f>IF(A235="","",N(INDEX(Projects[Act Elec Inst],234)))</f>
        <v/>
      </c>
      <c r="BL235" s="5">
        <f>IF(A235="","",N(INDEX(Projects[Act Project Management],234)))</f>
        <v/>
      </c>
      <c r="BM235" s="5">
        <f>IF(A235="","",N(INDEX(Projects[Act Systems Eng],234)))</f>
        <v/>
      </c>
      <c r="BN235" s="5">
        <f>IF(A235="","",N(INDEX(Projects[Act Mechanical Eng],234)))</f>
        <v/>
      </c>
      <c r="BO235" s="5">
        <f>IF(A235="","",N(INDEX(Projects[Act Structural Engineering],234)))</f>
        <v/>
      </c>
      <c r="BP235" s="5">
        <f>IF(A235="","",N(INDEX(Projects[Act Site Sup],234)))</f>
        <v/>
      </c>
      <c r="BQ235" s="5">
        <f>IF(A235="","",N(INDEX(Projects[Act Controls Commissioning],234)))</f>
        <v/>
      </c>
      <c r="BR235" s="5">
        <f>IF(A235="","",N(INDEX(Projects[Act Systems Commissioning],234)))</f>
        <v/>
      </c>
      <c r="BS235" s="5">
        <f>IF(A235="","",N(INDEX(Projects[Act Service Commissioning],234)))</f>
        <v/>
      </c>
      <c r="BT235" s="5">
        <f>IF(A235="","",N(INDEX(Projects[Act Controls Eng],234)))</f>
        <v/>
      </c>
      <c r="BU235" s="5">
        <f>IF(A235="","",N(INDEX(Projects[Act Controls Purchase],234)))</f>
        <v/>
      </c>
      <c r="BV235" s="5">
        <f>IF(A235="","",N(INDEX(Projects[Act Software Eng],234)))</f>
        <v/>
      </c>
      <c r="BW235" s="5">
        <f>IF(A235="","",N(INDEX(Projects[Act 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  <c r="CE235" s="5">
        <f>INDEX(Projects[Act Data Status],234)&amp;""</f>
        <v/>
      </c>
      <c r="CF235" s="5">
        <f>IF(A235="","",N(INDEX(Projects[Est Mech Inst],234)))</f>
        <v/>
      </c>
      <c r="CG235" s="5">
        <f>IF(A235="","",N(INDEX(Projects[Est Elec Inst],234)))</f>
        <v/>
      </c>
      <c r="CH235" s="5">
        <f>IF(A235="","",N(INDEX(Projects[Est Project Management],234)))</f>
        <v/>
      </c>
      <c r="CI235" s="5">
        <f>IF(A235="","",N(INDEX(Projects[Est Systems Eng],234)))</f>
        <v/>
      </c>
      <c r="CJ235" s="5">
        <f>IF(A235="","",N(INDEX(Projects[Est Mechanical Eng],234)))</f>
        <v/>
      </c>
      <c r="CK235" s="5">
        <f>IF(A235="","",N(INDEX(Projects[Est Structural Engineering],234)))</f>
        <v/>
      </c>
      <c r="CL235" s="5">
        <f>IF(A235="","",N(INDEX(Projects[Est Site Sup],234)))</f>
        <v/>
      </c>
      <c r="CM235" s="5">
        <f>IF(A235="","",N(INDEX(Projects[Est Controls Commissioning],234)))</f>
        <v/>
      </c>
      <c r="CN235" s="5">
        <f>IF(A235="","",N(INDEX(Projects[Est Systems Commissioning],234)))</f>
        <v/>
      </c>
      <c r="CO235" s="5">
        <f>IF(A235="","",N(INDEX(Projects[Est Service Commissioning],234)))</f>
        <v/>
      </c>
      <c r="CP235" s="5">
        <f>IF(A235="","",N(INDEX(Projects[Est Controls Eng],234)))</f>
        <v/>
      </c>
      <c r="CQ235" s="5">
        <f>IF(A235="","",N(INDEX(Projects[Est Controls Purchase],234)))</f>
        <v/>
      </c>
      <c r="CR235" s="5">
        <f>IF(A235="","",N(INDEX(Projects[Est Software Eng],234)))</f>
        <v/>
      </c>
      <c r="CS235" s="5">
        <f>IF(A235="","",N(INDEX(Projects[Est Misc],234)))</f>
        <v/>
      </c>
      <c r="CT235" s="5">
        <f>IF(A235="","",SUM(CF235:CS235))</f>
        <v/>
      </c>
      <c r="CU235" s="5">
        <f>INDEX(Projects[Est Cost (M)],234)</f>
        <v/>
      </c>
      <c r="CV235" s="5">
        <f>INDEX(Projects[Act Cost (M)],234)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IF(A236="","",N(INDEX(Projects[Act Mech Inst],235)))</f>
        <v/>
      </c>
      <c r="BK236" s="5">
        <f>IF(A236="","",N(INDEX(Projects[Act Elec Inst],235)))</f>
        <v/>
      </c>
      <c r="BL236" s="5">
        <f>IF(A236="","",N(INDEX(Projects[Act Project Management],235)))</f>
        <v/>
      </c>
      <c r="BM236" s="5">
        <f>IF(A236="","",N(INDEX(Projects[Act Systems Eng],235)))</f>
        <v/>
      </c>
      <c r="BN236" s="5">
        <f>IF(A236="","",N(INDEX(Projects[Act Mechanical Eng],235)))</f>
        <v/>
      </c>
      <c r="BO236" s="5">
        <f>IF(A236="","",N(INDEX(Projects[Act Structural Engineering],235)))</f>
        <v/>
      </c>
      <c r="BP236" s="5">
        <f>IF(A236="","",N(INDEX(Projects[Act Site Sup],235)))</f>
        <v/>
      </c>
      <c r="BQ236" s="5">
        <f>IF(A236="","",N(INDEX(Projects[Act Controls Commissioning],235)))</f>
        <v/>
      </c>
      <c r="BR236" s="5">
        <f>IF(A236="","",N(INDEX(Projects[Act Systems Commissioning],235)))</f>
        <v/>
      </c>
      <c r="BS236" s="5">
        <f>IF(A236="","",N(INDEX(Projects[Act Service Commissioning],235)))</f>
        <v/>
      </c>
      <c r="BT236" s="5">
        <f>IF(A236="","",N(INDEX(Projects[Act Controls Eng],235)))</f>
        <v/>
      </c>
      <c r="BU236" s="5">
        <f>IF(A236="","",N(INDEX(Projects[Act Controls Purchase],235)))</f>
        <v/>
      </c>
      <c r="BV236" s="5">
        <f>IF(A236="","",N(INDEX(Projects[Act Software Eng],235)))</f>
        <v/>
      </c>
      <c r="BW236" s="5">
        <f>IF(A236="","",N(INDEX(Projects[Act 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  <c r="CE236" s="5">
        <f>INDEX(Projects[Act Data Status],235)&amp;""</f>
        <v/>
      </c>
      <c r="CF236" s="5">
        <f>IF(A236="","",N(INDEX(Projects[Est Mech Inst],235)))</f>
        <v/>
      </c>
      <c r="CG236" s="5">
        <f>IF(A236="","",N(INDEX(Projects[Est Elec Inst],235)))</f>
        <v/>
      </c>
      <c r="CH236" s="5">
        <f>IF(A236="","",N(INDEX(Projects[Est Project Management],235)))</f>
        <v/>
      </c>
      <c r="CI236" s="5">
        <f>IF(A236="","",N(INDEX(Projects[Est Systems Eng],235)))</f>
        <v/>
      </c>
      <c r="CJ236" s="5">
        <f>IF(A236="","",N(INDEX(Projects[Est Mechanical Eng],235)))</f>
        <v/>
      </c>
      <c r="CK236" s="5">
        <f>IF(A236="","",N(INDEX(Projects[Est Structural Engineering],235)))</f>
        <v/>
      </c>
      <c r="CL236" s="5">
        <f>IF(A236="","",N(INDEX(Projects[Est Site Sup],235)))</f>
        <v/>
      </c>
      <c r="CM236" s="5">
        <f>IF(A236="","",N(INDEX(Projects[Est Controls Commissioning],235)))</f>
        <v/>
      </c>
      <c r="CN236" s="5">
        <f>IF(A236="","",N(INDEX(Projects[Est Systems Commissioning],235)))</f>
        <v/>
      </c>
      <c r="CO236" s="5">
        <f>IF(A236="","",N(INDEX(Projects[Est Service Commissioning],235)))</f>
        <v/>
      </c>
      <c r="CP236" s="5">
        <f>IF(A236="","",N(INDEX(Projects[Est Controls Eng],235)))</f>
        <v/>
      </c>
      <c r="CQ236" s="5">
        <f>IF(A236="","",N(INDEX(Projects[Est Controls Purchase],235)))</f>
        <v/>
      </c>
      <c r="CR236" s="5">
        <f>IF(A236="","",N(INDEX(Projects[Est Software Eng],235)))</f>
        <v/>
      </c>
      <c r="CS236" s="5">
        <f>IF(A236="","",N(INDEX(Projects[Est Misc],235)))</f>
        <v/>
      </c>
      <c r="CT236" s="5">
        <f>IF(A236="","",SUM(CF236:CS236))</f>
        <v/>
      </c>
      <c r="CU236" s="5">
        <f>INDEX(Projects[Est Cost (M)],235)</f>
        <v/>
      </c>
      <c r="CV236" s="5">
        <f>INDEX(Projects[Act Cost (M)],235)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IF(A237="","",N(INDEX(Projects[Act Mech Inst],236)))</f>
        <v/>
      </c>
      <c r="BK237" s="5">
        <f>IF(A237="","",N(INDEX(Projects[Act Elec Inst],236)))</f>
        <v/>
      </c>
      <c r="BL237" s="5">
        <f>IF(A237="","",N(INDEX(Projects[Act Project Management],236)))</f>
        <v/>
      </c>
      <c r="BM237" s="5">
        <f>IF(A237="","",N(INDEX(Projects[Act Systems Eng],236)))</f>
        <v/>
      </c>
      <c r="BN237" s="5">
        <f>IF(A237="","",N(INDEX(Projects[Act Mechanical Eng],236)))</f>
        <v/>
      </c>
      <c r="BO237" s="5">
        <f>IF(A237="","",N(INDEX(Projects[Act Structural Engineering],236)))</f>
        <v/>
      </c>
      <c r="BP237" s="5">
        <f>IF(A237="","",N(INDEX(Projects[Act Site Sup],236)))</f>
        <v/>
      </c>
      <c r="BQ237" s="5">
        <f>IF(A237="","",N(INDEX(Projects[Act Controls Commissioning],236)))</f>
        <v/>
      </c>
      <c r="BR237" s="5">
        <f>IF(A237="","",N(INDEX(Projects[Act Systems Commissioning],236)))</f>
        <v/>
      </c>
      <c r="BS237" s="5">
        <f>IF(A237="","",N(INDEX(Projects[Act Service Commissioning],236)))</f>
        <v/>
      </c>
      <c r="BT237" s="5">
        <f>IF(A237="","",N(INDEX(Projects[Act Controls Eng],236)))</f>
        <v/>
      </c>
      <c r="BU237" s="5">
        <f>IF(A237="","",N(INDEX(Projects[Act Controls Purchase],236)))</f>
        <v/>
      </c>
      <c r="BV237" s="5">
        <f>IF(A237="","",N(INDEX(Projects[Act Software Eng],236)))</f>
        <v/>
      </c>
      <c r="BW237" s="5">
        <f>IF(A237="","",N(INDEX(Projects[Act 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  <c r="CE237" s="5">
        <f>INDEX(Projects[Act Data Status],236)&amp;""</f>
        <v/>
      </c>
      <c r="CF237" s="5">
        <f>IF(A237="","",N(INDEX(Projects[Est Mech Inst],236)))</f>
        <v/>
      </c>
      <c r="CG237" s="5">
        <f>IF(A237="","",N(INDEX(Projects[Est Elec Inst],236)))</f>
        <v/>
      </c>
      <c r="CH237" s="5">
        <f>IF(A237="","",N(INDEX(Projects[Est Project Management],236)))</f>
        <v/>
      </c>
      <c r="CI237" s="5">
        <f>IF(A237="","",N(INDEX(Projects[Est Systems Eng],236)))</f>
        <v/>
      </c>
      <c r="CJ237" s="5">
        <f>IF(A237="","",N(INDEX(Projects[Est Mechanical Eng],236)))</f>
        <v/>
      </c>
      <c r="CK237" s="5">
        <f>IF(A237="","",N(INDEX(Projects[Est Structural Engineering],236)))</f>
        <v/>
      </c>
      <c r="CL237" s="5">
        <f>IF(A237="","",N(INDEX(Projects[Est Site Sup],236)))</f>
        <v/>
      </c>
      <c r="CM237" s="5">
        <f>IF(A237="","",N(INDEX(Projects[Est Controls Commissioning],236)))</f>
        <v/>
      </c>
      <c r="CN237" s="5">
        <f>IF(A237="","",N(INDEX(Projects[Est Systems Commissioning],236)))</f>
        <v/>
      </c>
      <c r="CO237" s="5">
        <f>IF(A237="","",N(INDEX(Projects[Est Service Commissioning],236)))</f>
        <v/>
      </c>
      <c r="CP237" s="5">
        <f>IF(A237="","",N(INDEX(Projects[Est Controls Eng],236)))</f>
        <v/>
      </c>
      <c r="CQ237" s="5">
        <f>IF(A237="","",N(INDEX(Projects[Est Controls Purchase],236)))</f>
        <v/>
      </c>
      <c r="CR237" s="5">
        <f>IF(A237="","",N(INDEX(Projects[Est Software Eng],236)))</f>
        <v/>
      </c>
      <c r="CS237" s="5">
        <f>IF(A237="","",N(INDEX(Projects[Est Misc],236)))</f>
        <v/>
      </c>
      <c r="CT237" s="5">
        <f>IF(A237="","",SUM(CF237:CS237))</f>
        <v/>
      </c>
      <c r="CU237" s="5">
        <f>INDEX(Projects[Est Cost (M)],236)</f>
        <v/>
      </c>
      <c r="CV237" s="5">
        <f>INDEX(Projects[Act Cost (M)],236)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IF(A238="","",N(INDEX(Projects[Act Mech Inst],237)))</f>
        <v/>
      </c>
      <c r="BK238" s="5">
        <f>IF(A238="","",N(INDEX(Projects[Act Elec Inst],237)))</f>
        <v/>
      </c>
      <c r="BL238" s="5">
        <f>IF(A238="","",N(INDEX(Projects[Act Project Management],237)))</f>
        <v/>
      </c>
      <c r="BM238" s="5">
        <f>IF(A238="","",N(INDEX(Projects[Act Systems Eng],237)))</f>
        <v/>
      </c>
      <c r="BN238" s="5">
        <f>IF(A238="","",N(INDEX(Projects[Act Mechanical Eng],237)))</f>
        <v/>
      </c>
      <c r="BO238" s="5">
        <f>IF(A238="","",N(INDEX(Projects[Act Structural Engineering],237)))</f>
        <v/>
      </c>
      <c r="BP238" s="5">
        <f>IF(A238="","",N(INDEX(Projects[Act Site Sup],237)))</f>
        <v/>
      </c>
      <c r="BQ238" s="5">
        <f>IF(A238="","",N(INDEX(Projects[Act Controls Commissioning],237)))</f>
        <v/>
      </c>
      <c r="BR238" s="5">
        <f>IF(A238="","",N(INDEX(Projects[Act Systems Commissioning],237)))</f>
        <v/>
      </c>
      <c r="BS238" s="5">
        <f>IF(A238="","",N(INDEX(Projects[Act Service Commissioning],237)))</f>
        <v/>
      </c>
      <c r="BT238" s="5">
        <f>IF(A238="","",N(INDEX(Projects[Act Controls Eng],237)))</f>
        <v/>
      </c>
      <c r="BU238" s="5">
        <f>IF(A238="","",N(INDEX(Projects[Act Controls Purchase],237)))</f>
        <v/>
      </c>
      <c r="BV238" s="5">
        <f>IF(A238="","",N(INDEX(Projects[Act Software Eng],237)))</f>
        <v/>
      </c>
      <c r="BW238" s="5">
        <f>IF(A238="","",N(INDEX(Projects[Act 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  <c r="CE238" s="5">
        <f>INDEX(Projects[Act Data Status],237)&amp;""</f>
        <v/>
      </c>
      <c r="CF238" s="5">
        <f>IF(A238="","",N(INDEX(Projects[Est Mech Inst],237)))</f>
        <v/>
      </c>
      <c r="CG238" s="5">
        <f>IF(A238="","",N(INDEX(Projects[Est Elec Inst],237)))</f>
        <v/>
      </c>
      <c r="CH238" s="5">
        <f>IF(A238="","",N(INDEX(Projects[Est Project Management],237)))</f>
        <v/>
      </c>
      <c r="CI238" s="5">
        <f>IF(A238="","",N(INDEX(Projects[Est Systems Eng],237)))</f>
        <v/>
      </c>
      <c r="CJ238" s="5">
        <f>IF(A238="","",N(INDEX(Projects[Est Mechanical Eng],237)))</f>
        <v/>
      </c>
      <c r="CK238" s="5">
        <f>IF(A238="","",N(INDEX(Projects[Est Structural Engineering],237)))</f>
        <v/>
      </c>
      <c r="CL238" s="5">
        <f>IF(A238="","",N(INDEX(Projects[Est Site Sup],237)))</f>
        <v/>
      </c>
      <c r="CM238" s="5">
        <f>IF(A238="","",N(INDEX(Projects[Est Controls Commissioning],237)))</f>
        <v/>
      </c>
      <c r="CN238" s="5">
        <f>IF(A238="","",N(INDEX(Projects[Est Systems Commissioning],237)))</f>
        <v/>
      </c>
      <c r="CO238" s="5">
        <f>IF(A238="","",N(INDEX(Projects[Est Service Commissioning],237)))</f>
        <v/>
      </c>
      <c r="CP238" s="5">
        <f>IF(A238="","",N(INDEX(Projects[Est Controls Eng],237)))</f>
        <v/>
      </c>
      <c r="CQ238" s="5">
        <f>IF(A238="","",N(INDEX(Projects[Est Controls Purchase],237)))</f>
        <v/>
      </c>
      <c r="CR238" s="5">
        <f>IF(A238="","",N(INDEX(Projects[Est Software Eng],237)))</f>
        <v/>
      </c>
      <c r="CS238" s="5">
        <f>IF(A238="","",N(INDEX(Projects[Est Misc],237)))</f>
        <v/>
      </c>
      <c r="CT238" s="5">
        <f>IF(A238="","",SUM(CF238:CS238))</f>
        <v/>
      </c>
      <c r="CU238" s="5">
        <f>INDEX(Projects[Est Cost (M)],237)</f>
        <v/>
      </c>
      <c r="CV238" s="5">
        <f>INDEX(Projects[Act Cost (M)],237)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IF(A239="","",N(INDEX(Projects[Act Mech Inst],238)))</f>
        <v/>
      </c>
      <c r="BK239" s="5">
        <f>IF(A239="","",N(INDEX(Projects[Act Elec Inst],238)))</f>
        <v/>
      </c>
      <c r="BL239" s="5">
        <f>IF(A239="","",N(INDEX(Projects[Act Project Management],238)))</f>
        <v/>
      </c>
      <c r="BM239" s="5">
        <f>IF(A239="","",N(INDEX(Projects[Act Systems Eng],238)))</f>
        <v/>
      </c>
      <c r="BN239" s="5">
        <f>IF(A239="","",N(INDEX(Projects[Act Mechanical Eng],238)))</f>
        <v/>
      </c>
      <c r="BO239" s="5">
        <f>IF(A239="","",N(INDEX(Projects[Act Structural Engineering],238)))</f>
        <v/>
      </c>
      <c r="BP239" s="5">
        <f>IF(A239="","",N(INDEX(Projects[Act Site Sup],238)))</f>
        <v/>
      </c>
      <c r="BQ239" s="5">
        <f>IF(A239="","",N(INDEX(Projects[Act Controls Commissioning],238)))</f>
        <v/>
      </c>
      <c r="BR239" s="5">
        <f>IF(A239="","",N(INDEX(Projects[Act Systems Commissioning],238)))</f>
        <v/>
      </c>
      <c r="BS239" s="5">
        <f>IF(A239="","",N(INDEX(Projects[Act Service Commissioning],238)))</f>
        <v/>
      </c>
      <c r="BT239" s="5">
        <f>IF(A239="","",N(INDEX(Projects[Act Controls Eng],238)))</f>
        <v/>
      </c>
      <c r="BU239" s="5">
        <f>IF(A239="","",N(INDEX(Projects[Act Controls Purchase],238)))</f>
        <v/>
      </c>
      <c r="BV239" s="5">
        <f>IF(A239="","",N(INDEX(Projects[Act Software Eng],238)))</f>
        <v/>
      </c>
      <c r="BW239" s="5">
        <f>IF(A239="","",N(INDEX(Projects[Act 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  <c r="CE239" s="5">
        <f>INDEX(Projects[Act Data Status],238)&amp;""</f>
        <v/>
      </c>
      <c r="CF239" s="5">
        <f>IF(A239="","",N(INDEX(Projects[Est Mech Inst],238)))</f>
        <v/>
      </c>
      <c r="CG239" s="5">
        <f>IF(A239="","",N(INDEX(Projects[Est Elec Inst],238)))</f>
        <v/>
      </c>
      <c r="CH239" s="5">
        <f>IF(A239="","",N(INDEX(Projects[Est Project Management],238)))</f>
        <v/>
      </c>
      <c r="CI239" s="5">
        <f>IF(A239="","",N(INDEX(Projects[Est Systems Eng],238)))</f>
        <v/>
      </c>
      <c r="CJ239" s="5">
        <f>IF(A239="","",N(INDEX(Projects[Est Mechanical Eng],238)))</f>
        <v/>
      </c>
      <c r="CK239" s="5">
        <f>IF(A239="","",N(INDEX(Projects[Est Structural Engineering],238)))</f>
        <v/>
      </c>
      <c r="CL239" s="5">
        <f>IF(A239="","",N(INDEX(Projects[Est Site Sup],238)))</f>
        <v/>
      </c>
      <c r="CM239" s="5">
        <f>IF(A239="","",N(INDEX(Projects[Est Controls Commissioning],238)))</f>
        <v/>
      </c>
      <c r="CN239" s="5">
        <f>IF(A239="","",N(INDEX(Projects[Est Systems Commissioning],238)))</f>
        <v/>
      </c>
      <c r="CO239" s="5">
        <f>IF(A239="","",N(INDEX(Projects[Est Service Commissioning],238)))</f>
        <v/>
      </c>
      <c r="CP239" s="5">
        <f>IF(A239="","",N(INDEX(Projects[Est Controls Eng],238)))</f>
        <v/>
      </c>
      <c r="CQ239" s="5">
        <f>IF(A239="","",N(INDEX(Projects[Est Controls Purchase],238)))</f>
        <v/>
      </c>
      <c r="CR239" s="5">
        <f>IF(A239="","",N(INDEX(Projects[Est Software Eng],238)))</f>
        <v/>
      </c>
      <c r="CS239" s="5">
        <f>IF(A239="","",N(INDEX(Projects[Est Misc],238)))</f>
        <v/>
      </c>
      <c r="CT239" s="5">
        <f>IF(A239="","",SUM(CF239:CS239))</f>
        <v/>
      </c>
      <c r="CU239" s="5">
        <f>INDEX(Projects[Est Cost (M)],238)</f>
        <v/>
      </c>
      <c r="CV239" s="5">
        <f>INDEX(Projects[Act Cost (M)],238)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IF(A240="","",N(INDEX(Projects[Act Mech Inst],239)))</f>
        <v/>
      </c>
      <c r="BK240" s="5">
        <f>IF(A240="","",N(INDEX(Projects[Act Elec Inst],239)))</f>
        <v/>
      </c>
      <c r="BL240" s="5">
        <f>IF(A240="","",N(INDEX(Projects[Act Project Management],239)))</f>
        <v/>
      </c>
      <c r="BM240" s="5">
        <f>IF(A240="","",N(INDEX(Projects[Act Systems Eng],239)))</f>
        <v/>
      </c>
      <c r="BN240" s="5">
        <f>IF(A240="","",N(INDEX(Projects[Act Mechanical Eng],239)))</f>
        <v/>
      </c>
      <c r="BO240" s="5">
        <f>IF(A240="","",N(INDEX(Projects[Act Structural Engineering],239)))</f>
        <v/>
      </c>
      <c r="BP240" s="5">
        <f>IF(A240="","",N(INDEX(Projects[Act Site Sup],239)))</f>
        <v/>
      </c>
      <c r="BQ240" s="5">
        <f>IF(A240="","",N(INDEX(Projects[Act Controls Commissioning],239)))</f>
        <v/>
      </c>
      <c r="BR240" s="5">
        <f>IF(A240="","",N(INDEX(Projects[Act Systems Commissioning],239)))</f>
        <v/>
      </c>
      <c r="BS240" s="5">
        <f>IF(A240="","",N(INDEX(Projects[Act Service Commissioning],239)))</f>
        <v/>
      </c>
      <c r="BT240" s="5">
        <f>IF(A240="","",N(INDEX(Projects[Act Controls Eng],239)))</f>
        <v/>
      </c>
      <c r="BU240" s="5">
        <f>IF(A240="","",N(INDEX(Projects[Act Controls Purchase],239)))</f>
        <v/>
      </c>
      <c r="BV240" s="5">
        <f>IF(A240="","",N(INDEX(Projects[Act Software Eng],239)))</f>
        <v/>
      </c>
      <c r="BW240" s="5">
        <f>IF(A240="","",N(INDEX(Projects[Act 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  <c r="CE240" s="5">
        <f>INDEX(Projects[Act Data Status],239)&amp;""</f>
        <v/>
      </c>
      <c r="CF240" s="5">
        <f>IF(A240="","",N(INDEX(Projects[Est Mech Inst],239)))</f>
        <v/>
      </c>
      <c r="CG240" s="5">
        <f>IF(A240="","",N(INDEX(Projects[Est Elec Inst],239)))</f>
        <v/>
      </c>
      <c r="CH240" s="5">
        <f>IF(A240="","",N(INDEX(Projects[Est Project Management],239)))</f>
        <v/>
      </c>
      <c r="CI240" s="5">
        <f>IF(A240="","",N(INDEX(Projects[Est Systems Eng],239)))</f>
        <v/>
      </c>
      <c r="CJ240" s="5">
        <f>IF(A240="","",N(INDEX(Projects[Est Mechanical Eng],239)))</f>
        <v/>
      </c>
      <c r="CK240" s="5">
        <f>IF(A240="","",N(INDEX(Projects[Est Structural Engineering],239)))</f>
        <v/>
      </c>
      <c r="CL240" s="5">
        <f>IF(A240="","",N(INDEX(Projects[Est Site Sup],239)))</f>
        <v/>
      </c>
      <c r="CM240" s="5">
        <f>IF(A240="","",N(INDEX(Projects[Est Controls Commissioning],239)))</f>
        <v/>
      </c>
      <c r="CN240" s="5">
        <f>IF(A240="","",N(INDEX(Projects[Est Systems Commissioning],239)))</f>
        <v/>
      </c>
      <c r="CO240" s="5">
        <f>IF(A240="","",N(INDEX(Projects[Est Service Commissioning],239)))</f>
        <v/>
      </c>
      <c r="CP240" s="5">
        <f>IF(A240="","",N(INDEX(Projects[Est Controls Eng],239)))</f>
        <v/>
      </c>
      <c r="CQ240" s="5">
        <f>IF(A240="","",N(INDEX(Projects[Est Controls Purchase],239)))</f>
        <v/>
      </c>
      <c r="CR240" s="5">
        <f>IF(A240="","",N(INDEX(Projects[Est Software Eng],239)))</f>
        <v/>
      </c>
      <c r="CS240" s="5">
        <f>IF(A240="","",N(INDEX(Projects[Est Misc],239)))</f>
        <v/>
      </c>
      <c r="CT240" s="5">
        <f>IF(A240="","",SUM(CF240:CS240))</f>
        <v/>
      </c>
      <c r="CU240" s="5">
        <f>INDEX(Projects[Est Cost (M)],239)</f>
        <v/>
      </c>
      <c r="CV240" s="5">
        <f>INDEX(Projects[Act Cost (M)],239)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IF(A241="","",N(INDEX(Projects[Act Mech Inst],240)))</f>
        <v/>
      </c>
      <c r="BK241" s="5">
        <f>IF(A241="","",N(INDEX(Projects[Act Elec Inst],240)))</f>
        <v/>
      </c>
      <c r="BL241" s="5">
        <f>IF(A241="","",N(INDEX(Projects[Act Project Management],240)))</f>
        <v/>
      </c>
      <c r="BM241" s="5">
        <f>IF(A241="","",N(INDEX(Projects[Act Systems Eng],240)))</f>
        <v/>
      </c>
      <c r="BN241" s="5">
        <f>IF(A241="","",N(INDEX(Projects[Act Mechanical Eng],240)))</f>
        <v/>
      </c>
      <c r="BO241" s="5">
        <f>IF(A241="","",N(INDEX(Projects[Act Structural Engineering],240)))</f>
        <v/>
      </c>
      <c r="BP241" s="5">
        <f>IF(A241="","",N(INDEX(Projects[Act Site Sup],240)))</f>
        <v/>
      </c>
      <c r="BQ241" s="5">
        <f>IF(A241="","",N(INDEX(Projects[Act Controls Commissioning],240)))</f>
        <v/>
      </c>
      <c r="BR241" s="5">
        <f>IF(A241="","",N(INDEX(Projects[Act Systems Commissioning],240)))</f>
        <v/>
      </c>
      <c r="BS241" s="5">
        <f>IF(A241="","",N(INDEX(Projects[Act Service Commissioning],240)))</f>
        <v/>
      </c>
      <c r="BT241" s="5">
        <f>IF(A241="","",N(INDEX(Projects[Act Controls Eng],240)))</f>
        <v/>
      </c>
      <c r="BU241" s="5">
        <f>IF(A241="","",N(INDEX(Projects[Act Controls Purchase],240)))</f>
        <v/>
      </c>
      <c r="BV241" s="5">
        <f>IF(A241="","",N(INDEX(Projects[Act Software Eng],240)))</f>
        <v/>
      </c>
      <c r="BW241" s="5">
        <f>IF(A241="","",N(INDEX(Projects[Act 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  <c r="CE241" s="5">
        <f>INDEX(Projects[Act Data Status],240)&amp;""</f>
        <v/>
      </c>
      <c r="CF241" s="5">
        <f>IF(A241="","",N(INDEX(Projects[Est Mech Inst],240)))</f>
        <v/>
      </c>
      <c r="CG241" s="5">
        <f>IF(A241="","",N(INDEX(Projects[Est Elec Inst],240)))</f>
        <v/>
      </c>
      <c r="CH241" s="5">
        <f>IF(A241="","",N(INDEX(Projects[Est Project Management],240)))</f>
        <v/>
      </c>
      <c r="CI241" s="5">
        <f>IF(A241="","",N(INDEX(Projects[Est Systems Eng],240)))</f>
        <v/>
      </c>
      <c r="CJ241" s="5">
        <f>IF(A241="","",N(INDEX(Projects[Est Mechanical Eng],240)))</f>
        <v/>
      </c>
      <c r="CK241" s="5">
        <f>IF(A241="","",N(INDEX(Projects[Est Structural Engineering],240)))</f>
        <v/>
      </c>
      <c r="CL241" s="5">
        <f>IF(A241="","",N(INDEX(Projects[Est Site Sup],240)))</f>
        <v/>
      </c>
      <c r="CM241" s="5">
        <f>IF(A241="","",N(INDEX(Projects[Est Controls Commissioning],240)))</f>
        <v/>
      </c>
      <c r="CN241" s="5">
        <f>IF(A241="","",N(INDEX(Projects[Est Systems Commissioning],240)))</f>
        <v/>
      </c>
      <c r="CO241" s="5">
        <f>IF(A241="","",N(INDEX(Projects[Est Service Commissioning],240)))</f>
        <v/>
      </c>
      <c r="CP241" s="5">
        <f>IF(A241="","",N(INDEX(Projects[Est Controls Eng],240)))</f>
        <v/>
      </c>
      <c r="CQ241" s="5">
        <f>IF(A241="","",N(INDEX(Projects[Est Controls Purchase],240)))</f>
        <v/>
      </c>
      <c r="CR241" s="5">
        <f>IF(A241="","",N(INDEX(Projects[Est Software Eng],240)))</f>
        <v/>
      </c>
      <c r="CS241" s="5">
        <f>IF(A241="","",N(INDEX(Projects[Est Misc],240)))</f>
        <v/>
      </c>
      <c r="CT241" s="5">
        <f>IF(A241="","",SUM(CF241:CS241))</f>
        <v/>
      </c>
      <c r="CU241" s="5">
        <f>INDEX(Projects[Est Cost (M)],240)</f>
        <v/>
      </c>
      <c r="CV241" s="5">
        <f>INDEX(Projects[Act Cost (M)],240)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IF(A242="","",N(INDEX(Projects[Act Mech Inst],241)))</f>
        <v/>
      </c>
      <c r="BK242" s="5">
        <f>IF(A242="","",N(INDEX(Projects[Act Elec Inst],241)))</f>
        <v/>
      </c>
      <c r="BL242" s="5">
        <f>IF(A242="","",N(INDEX(Projects[Act Project Management],241)))</f>
        <v/>
      </c>
      <c r="BM242" s="5">
        <f>IF(A242="","",N(INDEX(Projects[Act Systems Eng],241)))</f>
        <v/>
      </c>
      <c r="BN242" s="5">
        <f>IF(A242="","",N(INDEX(Projects[Act Mechanical Eng],241)))</f>
        <v/>
      </c>
      <c r="BO242" s="5">
        <f>IF(A242="","",N(INDEX(Projects[Act Structural Engineering],241)))</f>
        <v/>
      </c>
      <c r="BP242" s="5">
        <f>IF(A242="","",N(INDEX(Projects[Act Site Sup],241)))</f>
        <v/>
      </c>
      <c r="BQ242" s="5">
        <f>IF(A242="","",N(INDEX(Projects[Act Controls Commissioning],241)))</f>
        <v/>
      </c>
      <c r="BR242" s="5">
        <f>IF(A242="","",N(INDEX(Projects[Act Systems Commissioning],241)))</f>
        <v/>
      </c>
      <c r="BS242" s="5">
        <f>IF(A242="","",N(INDEX(Projects[Act Service Commissioning],241)))</f>
        <v/>
      </c>
      <c r="BT242" s="5">
        <f>IF(A242="","",N(INDEX(Projects[Act Controls Eng],241)))</f>
        <v/>
      </c>
      <c r="BU242" s="5">
        <f>IF(A242="","",N(INDEX(Projects[Act Controls Purchase],241)))</f>
        <v/>
      </c>
      <c r="BV242" s="5">
        <f>IF(A242="","",N(INDEX(Projects[Act Software Eng],241)))</f>
        <v/>
      </c>
      <c r="BW242" s="5">
        <f>IF(A242="","",N(INDEX(Projects[Act 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  <c r="CE242" s="5">
        <f>INDEX(Projects[Act Data Status],241)&amp;""</f>
        <v/>
      </c>
      <c r="CF242" s="5">
        <f>IF(A242="","",N(INDEX(Projects[Est Mech Inst],241)))</f>
        <v/>
      </c>
      <c r="CG242" s="5">
        <f>IF(A242="","",N(INDEX(Projects[Est Elec Inst],241)))</f>
        <v/>
      </c>
      <c r="CH242" s="5">
        <f>IF(A242="","",N(INDEX(Projects[Est Project Management],241)))</f>
        <v/>
      </c>
      <c r="CI242" s="5">
        <f>IF(A242="","",N(INDEX(Projects[Est Systems Eng],241)))</f>
        <v/>
      </c>
      <c r="CJ242" s="5">
        <f>IF(A242="","",N(INDEX(Projects[Est Mechanical Eng],241)))</f>
        <v/>
      </c>
      <c r="CK242" s="5">
        <f>IF(A242="","",N(INDEX(Projects[Est Structural Engineering],241)))</f>
        <v/>
      </c>
      <c r="CL242" s="5">
        <f>IF(A242="","",N(INDEX(Projects[Est Site Sup],241)))</f>
        <v/>
      </c>
      <c r="CM242" s="5">
        <f>IF(A242="","",N(INDEX(Projects[Est Controls Commissioning],241)))</f>
        <v/>
      </c>
      <c r="CN242" s="5">
        <f>IF(A242="","",N(INDEX(Projects[Est Systems Commissioning],241)))</f>
        <v/>
      </c>
      <c r="CO242" s="5">
        <f>IF(A242="","",N(INDEX(Projects[Est Service Commissioning],241)))</f>
        <v/>
      </c>
      <c r="CP242" s="5">
        <f>IF(A242="","",N(INDEX(Projects[Est Controls Eng],241)))</f>
        <v/>
      </c>
      <c r="CQ242" s="5">
        <f>IF(A242="","",N(INDEX(Projects[Est Controls Purchase],241)))</f>
        <v/>
      </c>
      <c r="CR242" s="5">
        <f>IF(A242="","",N(INDEX(Projects[Est Software Eng],241)))</f>
        <v/>
      </c>
      <c r="CS242" s="5">
        <f>IF(A242="","",N(INDEX(Projects[Est Misc],241)))</f>
        <v/>
      </c>
      <c r="CT242" s="5">
        <f>IF(A242="","",SUM(CF242:CS242))</f>
        <v/>
      </c>
      <c r="CU242" s="5">
        <f>INDEX(Projects[Est Cost (M)],241)</f>
        <v/>
      </c>
      <c r="CV242" s="5">
        <f>INDEX(Projects[Act Cost (M)],241)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IF(A243="","",N(INDEX(Projects[Act Mech Inst],242)))</f>
        <v/>
      </c>
      <c r="BK243" s="5">
        <f>IF(A243="","",N(INDEX(Projects[Act Elec Inst],242)))</f>
        <v/>
      </c>
      <c r="BL243" s="5">
        <f>IF(A243="","",N(INDEX(Projects[Act Project Management],242)))</f>
        <v/>
      </c>
      <c r="BM243" s="5">
        <f>IF(A243="","",N(INDEX(Projects[Act Systems Eng],242)))</f>
        <v/>
      </c>
      <c r="BN243" s="5">
        <f>IF(A243="","",N(INDEX(Projects[Act Mechanical Eng],242)))</f>
        <v/>
      </c>
      <c r="BO243" s="5">
        <f>IF(A243="","",N(INDEX(Projects[Act Structural Engineering],242)))</f>
        <v/>
      </c>
      <c r="BP243" s="5">
        <f>IF(A243="","",N(INDEX(Projects[Act Site Sup],242)))</f>
        <v/>
      </c>
      <c r="BQ243" s="5">
        <f>IF(A243="","",N(INDEX(Projects[Act Controls Commissioning],242)))</f>
        <v/>
      </c>
      <c r="BR243" s="5">
        <f>IF(A243="","",N(INDEX(Projects[Act Systems Commissioning],242)))</f>
        <v/>
      </c>
      <c r="BS243" s="5">
        <f>IF(A243="","",N(INDEX(Projects[Act Service Commissioning],242)))</f>
        <v/>
      </c>
      <c r="BT243" s="5">
        <f>IF(A243="","",N(INDEX(Projects[Act Controls Eng],242)))</f>
        <v/>
      </c>
      <c r="BU243" s="5">
        <f>IF(A243="","",N(INDEX(Projects[Act Controls Purchase],242)))</f>
        <v/>
      </c>
      <c r="BV243" s="5">
        <f>IF(A243="","",N(INDEX(Projects[Act Software Eng],242)))</f>
        <v/>
      </c>
      <c r="BW243" s="5">
        <f>IF(A243="","",N(INDEX(Projects[Act 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  <c r="CE243" s="5">
        <f>INDEX(Projects[Act Data Status],242)&amp;""</f>
        <v/>
      </c>
      <c r="CF243" s="5">
        <f>IF(A243="","",N(INDEX(Projects[Est Mech Inst],242)))</f>
        <v/>
      </c>
      <c r="CG243" s="5">
        <f>IF(A243="","",N(INDEX(Projects[Est Elec Inst],242)))</f>
        <v/>
      </c>
      <c r="CH243" s="5">
        <f>IF(A243="","",N(INDEX(Projects[Est Project Management],242)))</f>
        <v/>
      </c>
      <c r="CI243" s="5">
        <f>IF(A243="","",N(INDEX(Projects[Est Systems Eng],242)))</f>
        <v/>
      </c>
      <c r="CJ243" s="5">
        <f>IF(A243="","",N(INDEX(Projects[Est Mechanical Eng],242)))</f>
        <v/>
      </c>
      <c r="CK243" s="5">
        <f>IF(A243="","",N(INDEX(Projects[Est Structural Engineering],242)))</f>
        <v/>
      </c>
      <c r="CL243" s="5">
        <f>IF(A243="","",N(INDEX(Projects[Est Site Sup],242)))</f>
        <v/>
      </c>
      <c r="CM243" s="5">
        <f>IF(A243="","",N(INDEX(Projects[Est Controls Commissioning],242)))</f>
        <v/>
      </c>
      <c r="CN243" s="5">
        <f>IF(A243="","",N(INDEX(Projects[Est Systems Commissioning],242)))</f>
        <v/>
      </c>
      <c r="CO243" s="5">
        <f>IF(A243="","",N(INDEX(Projects[Est Service Commissioning],242)))</f>
        <v/>
      </c>
      <c r="CP243" s="5">
        <f>IF(A243="","",N(INDEX(Projects[Est Controls Eng],242)))</f>
        <v/>
      </c>
      <c r="CQ243" s="5">
        <f>IF(A243="","",N(INDEX(Projects[Est Controls Purchase],242)))</f>
        <v/>
      </c>
      <c r="CR243" s="5">
        <f>IF(A243="","",N(INDEX(Projects[Est Software Eng],242)))</f>
        <v/>
      </c>
      <c r="CS243" s="5">
        <f>IF(A243="","",N(INDEX(Projects[Est Misc],242)))</f>
        <v/>
      </c>
      <c r="CT243" s="5">
        <f>IF(A243="","",SUM(CF243:CS243))</f>
        <v/>
      </c>
      <c r="CU243" s="5">
        <f>INDEX(Projects[Est Cost (M)],242)</f>
        <v/>
      </c>
      <c r="CV243" s="5">
        <f>INDEX(Projects[Act Cost (M)],242)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IF(A244="","",N(INDEX(Projects[Act Mech Inst],243)))</f>
        <v/>
      </c>
      <c r="BK244" s="5">
        <f>IF(A244="","",N(INDEX(Projects[Act Elec Inst],243)))</f>
        <v/>
      </c>
      <c r="BL244" s="5">
        <f>IF(A244="","",N(INDEX(Projects[Act Project Management],243)))</f>
        <v/>
      </c>
      <c r="BM244" s="5">
        <f>IF(A244="","",N(INDEX(Projects[Act Systems Eng],243)))</f>
        <v/>
      </c>
      <c r="BN244" s="5">
        <f>IF(A244="","",N(INDEX(Projects[Act Mechanical Eng],243)))</f>
        <v/>
      </c>
      <c r="BO244" s="5">
        <f>IF(A244="","",N(INDEX(Projects[Act Structural Engineering],243)))</f>
        <v/>
      </c>
      <c r="BP244" s="5">
        <f>IF(A244="","",N(INDEX(Projects[Act Site Sup],243)))</f>
        <v/>
      </c>
      <c r="BQ244" s="5">
        <f>IF(A244="","",N(INDEX(Projects[Act Controls Commissioning],243)))</f>
        <v/>
      </c>
      <c r="BR244" s="5">
        <f>IF(A244="","",N(INDEX(Projects[Act Systems Commissioning],243)))</f>
        <v/>
      </c>
      <c r="BS244" s="5">
        <f>IF(A244="","",N(INDEX(Projects[Act Service Commissioning],243)))</f>
        <v/>
      </c>
      <c r="BT244" s="5">
        <f>IF(A244="","",N(INDEX(Projects[Act Controls Eng],243)))</f>
        <v/>
      </c>
      <c r="BU244" s="5">
        <f>IF(A244="","",N(INDEX(Projects[Act Controls Purchase],243)))</f>
        <v/>
      </c>
      <c r="BV244" s="5">
        <f>IF(A244="","",N(INDEX(Projects[Act Software Eng],243)))</f>
        <v/>
      </c>
      <c r="BW244" s="5">
        <f>IF(A244="","",N(INDEX(Projects[Act 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  <c r="CE244" s="5">
        <f>INDEX(Projects[Act Data Status],243)&amp;""</f>
        <v/>
      </c>
      <c r="CF244" s="5">
        <f>IF(A244="","",N(INDEX(Projects[Est Mech Inst],243)))</f>
        <v/>
      </c>
      <c r="CG244" s="5">
        <f>IF(A244="","",N(INDEX(Projects[Est Elec Inst],243)))</f>
        <v/>
      </c>
      <c r="CH244" s="5">
        <f>IF(A244="","",N(INDEX(Projects[Est Project Management],243)))</f>
        <v/>
      </c>
      <c r="CI244" s="5">
        <f>IF(A244="","",N(INDEX(Projects[Est Systems Eng],243)))</f>
        <v/>
      </c>
      <c r="CJ244" s="5">
        <f>IF(A244="","",N(INDEX(Projects[Est Mechanical Eng],243)))</f>
        <v/>
      </c>
      <c r="CK244" s="5">
        <f>IF(A244="","",N(INDEX(Projects[Est Structural Engineering],243)))</f>
        <v/>
      </c>
      <c r="CL244" s="5">
        <f>IF(A244="","",N(INDEX(Projects[Est Site Sup],243)))</f>
        <v/>
      </c>
      <c r="CM244" s="5">
        <f>IF(A244="","",N(INDEX(Projects[Est Controls Commissioning],243)))</f>
        <v/>
      </c>
      <c r="CN244" s="5">
        <f>IF(A244="","",N(INDEX(Projects[Est Systems Commissioning],243)))</f>
        <v/>
      </c>
      <c r="CO244" s="5">
        <f>IF(A244="","",N(INDEX(Projects[Est Service Commissioning],243)))</f>
        <v/>
      </c>
      <c r="CP244" s="5">
        <f>IF(A244="","",N(INDEX(Projects[Est Controls Eng],243)))</f>
        <v/>
      </c>
      <c r="CQ244" s="5">
        <f>IF(A244="","",N(INDEX(Projects[Est Controls Purchase],243)))</f>
        <v/>
      </c>
      <c r="CR244" s="5">
        <f>IF(A244="","",N(INDEX(Projects[Est Software Eng],243)))</f>
        <v/>
      </c>
      <c r="CS244" s="5">
        <f>IF(A244="","",N(INDEX(Projects[Est Misc],243)))</f>
        <v/>
      </c>
      <c r="CT244" s="5">
        <f>IF(A244="","",SUM(CF244:CS244))</f>
        <v/>
      </c>
      <c r="CU244" s="5">
        <f>INDEX(Projects[Est Cost (M)],243)</f>
        <v/>
      </c>
      <c r="CV244" s="5">
        <f>INDEX(Projects[Act Cost (M)],243)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IF(A245="","",N(INDEX(Projects[Act Mech Inst],244)))</f>
        <v/>
      </c>
      <c r="BK245" s="5">
        <f>IF(A245="","",N(INDEX(Projects[Act Elec Inst],244)))</f>
        <v/>
      </c>
      <c r="BL245" s="5">
        <f>IF(A245="","",N(INDEX(Projects[Act Project Management],244)))</f>
        <v/>
      </c>
      <c r="BM245" s="5">
        <f>IF(A245="","",N(INDEX(Projects[Act Systems Eng],244)))</f>
        <v/>
      </c>
      <c r="BN245" s="5">
        <f>IF(A245="","",N(INDEX(Projects[Act Mechanical Eng],244)))</f>
        <v/>
      </c>
      <c r="BO245" s="5">
        <f>IF(A245="","",N(INDEX(Projects[Act Structural Engineering],244)))</f>
        <v/>
      </c>
      <c r="BP245" s="5">
        <f>IF(A245="","",N(INDEX(Projects[Act Site Sup],244)))</f>
        <v/>
      </c>
      <c r="BQ245" s="5">
        <f>IF(A245="","",N(INDEX(Projects[Act Controls Commissioning],244)))</f>
        <v/>
      </c>
      <c r="BR245" s="5">
        <f>IF(A245="","",N(INDEX(Projects[Act Systems Commissioning],244)))</f>
        <v/>
      </c>
      <c r="BS245" s="5">
        <f>IF(A245="","",N(INDEX(Projects[Act Service Commissioning],244)))</f>
        <v/>
      </c>
      <c r="BT245" s="5">
        <f>IF(A245="","",N(INDEX(Projects[Act Controls Eng],244)))</f>
        <v/>
      </c>
      <c r="BU245" s="5">
        <f>IF(A245="","",N(INDEX(Projects[Act Controls Purchase],244)))</f>
        <v/>
      </c>
      <c r="BV245" s="5">
        <f>IF(A245="","",N(INDEX(Projects[Act Software Eng],244)))</f>
        <v/>
      </c>
      <c r="BW245" s="5">
        <f>IF(A245="","",N(INDEX(Projects[Act 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  <c r="CE245" s="5">
        <f>INDEX(Projects[Act Data Status],244)&amp;""</f>
        <v/>
      </c>
      <c r="CF245" s="5">
        <f>IF(A245="","",N(INDEX(Projects[Est Mech Inst],244)))</f>
        <v/>
      </c>
      <c r="CG245" s="5">
        <f>IF(A245="","",N(INDEX(Projects[Est Elec Inst],244)))</f>
        <v/>
      </c>
      <c r="CH245" s="5">
        <f>IF(A245="","",N(INDEX(Projects[Est Project Management],244)))</f>
        <v/>
      </c>
      <c r="CI245" s="5">
        <f>IF(A245="","",N(INDEX(Projects[Est Systems Eng],244)))</f>
        <v/>
      </c>
      <c r="CJ245" s="5">
        <f>IF(A245="","",N(INDEX(Projects[Est Mechanical Eng],244)))</f>
        <v/>
      </c>
      <c r="CK245" s="5">
        <f>IF(A245="","",N(INDEX(Projects[Est Structural Engineering],244)))</f>
        <v/>
      </c>
      <c r="CL245" s="5">
        <f>IF(A245="","",N(INDEX(Projects[Est Site Sup],244)))</f>
        <v/>
      </c>
      <c r="CM245" s="5">
        <f>IF(A245="","",N(INDEX(Projects[Est Controls Commissioning],244)))</f>
        <v/>
      </c>
      <c r="CN245" s="5">
        <f>IF(A245="","",N(INDEX(Projects[Est Systems Commissioning],244)))</f>
        <v/>
      </c>
      <c r="CO245" s="5">
        <f>IF(A245="","",N(INDEX(Projects[Est Service Commissioning],244)))</f>
        <v/>
      </c>
      <c r="CP245" s="5">
        <f>IF(A245="","",N(INDEX(Projects[Est Controls Eng],244)))</f>
        <v/>
      </c>
      <c r="CQ245" s="5">
        <f>IF(A245="","",N(INDEX(Projects[Est Controls Purchase],244)))</f>
        <v/>
      </c>
      <c r="CR245" s="5">
        <f>IF(A245="","",N(INDEX(Projects[Est Software Eng],244)))</f>
        <v/>
      </c>
      <c r="CS245" s="5">
        <f>IF(A245="","",N(INDEX(Projects[Est Misc],244)))</f>
        <v/>
      </c>
      <c r="CT245" s="5">
        <f>IF(A245="","",SUM(CF245:CS245))</f>
        <v/>
      </c>
      <c r="CU245" s="5">
        <f>INDEX(Projects[Est Cost (M)],244)</f>
        <v/>
      </c>
      <c r="CV245" s="5">
        <f>INDEX(Projects[Act Cost (M)],244)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IF(A246="","",N(INDEX(Projects[Act Mech Inst],245)))</f>
        <v/>
      </c>
      <c r="BK246" s="5">
        <f>IF(A246="","",N(INDEX(Projects[Act Elec Inst],245)))</f>
        <v/>
      </c>
      <c r="BL246" s="5">
        <f>IF(A246="","",N(INDEX(Projects[Act Project Management],245)))</f>
        <v/>
      </c>
      <c r="BM246" s="5">
        <f>IF(A246="","",N(INDEX(Projects[Act Systems Eng],245)))</f>
        <v/>
      </c>
      <c r="BN246" s="5">
        <f>IF(A246="","",N(INDEX(Projects[Act Mechanical Eng],245)))</f>
        <v/>
      </c>
      <c r="BO246" s="5">
        <f>IF(A246="","",N(INDEX(Projects[Act Structural Engineering],245)))</f>
        <v/>
      </c>
      <c r="BP246" s="5">
        <f>IF(A246="","",N(INDEX(Projects[Act Site Sup],245)))</f>
        <v/>
      </c>
      <c r="BQ246" s="5">
        <f>IF(A246="","",N(INDEX(Projects[Act Controls Commissioning],245)))</f>
        <v/>
      </c>
      <c r="BR246" s="5">
        <f>IF(A246="","",N(INDEX(Projects[Act Systems Commissioning],245)))</f>
        <v/>
      </c>
      <c r="BS246" s="5">
        <f>IF(A246="","",N(INDEX(Projects[Act Service Commissioning],245)))</f>
        <v/>
      </c>
      <c r="BT246" s="5">
        <f>IF(A246="","",N(INDEX(Projects[Act Controls Eng],245)))</f>
        <v/>
      </c>
      <c r="BU246" s="5">
        <f>IF(A246="","",N(INDEX(Projects[Act Controls Purchase],245)))</f>
        <v/>
      </c>
      <c r="BV246" s="5">
        <f>IF(A246="","",N(INDEX(Projects[Act Software Eng],245)))</f>
        <v/>
      </c>
      <c r="BW246" s="5">
        <f>IF(A246="","",N(INDEX(Projects[Act 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  <c r="CE246" s="5">
        <f>INDEX(Projects[Act Data Status],245)&amp;""</f>
        <v/>
      </c>
      <c r="CF246" s="5">
        <f>IF(A246="","",N(INDEX(Projects[Est Mech Inst],245)))</f>
        <v/>
      </c>
      <c r="CG246" s="5">
        <f>IF(A246="","",N(INDEX(Projects[Est Elec Inst],245)))</f>
        <v/>
      </c>
      <c r="CH246" s="5">
        <f>IF(A246="","",N(INDEX(Projects[Est Project Management],245)))</f>
        <v/>
      </c>
      <c r="CI246" s="5">
        <f>IF(A246="","",N(INDEX(Projects[Est Systems Eng],245)))</f>
        <v/>
      </c>
      <c r="CJ246" s="5">
        <f>IF(A246="","",N(INDEX(Projects[Est Mechanical Eng],245)))</f>
        <v/>
      </c>
      <c r="CK246" s="5">
        <f>IF(A246="","",N(INDEX(Projects[Est Structural Engineering],245)))</f>
        <v/>
      </c>
      <c r="CL246" s="5">
        <f>IF(A246="","",N(INDEX(Projects[Est Site Sup],245)))</f>
        <v/>
      </c>
      <c r="CM246" s="5">
        <f>IF(A246="","",N(INDEX(Projects[Est Controls Commissioning],245)))</f>
        <v/>
      </c>
      <c r="CN246" s="5">
        <f>IF(A246="","",N(INDEX(Projects[Est Systems Commissioning],245)))</f>
        <v/>
      </c>
      <c r="CO246" s="5">
        <f>IF(A246="","",N(INDEX(Projects[Est Service Commissioning],245)))</f>
        <v/>
      </c>
      <c r="CP246" s="5">
        <f>IF(A246="","",N(INDEX(Projects[Est Controls Eng],245)))</f>
        <v/>
      </c>
      <c r="CQ246" s="5">
        <f>IF(A246="","",N(INDEX(Projects[Est Controls Purchase],245)))</f>
        <v/>
      </c>
      <c r="CR246" s="5">
        <f>IF(A246="","",N(INDEX(Projects[Est Software Eng],245)))</f>
        <v/>
      </c>
      <c r="CS246" s="5">
        <f>IF(A246="","",N(INDEX(Projects[Est Misc],245)))</f>
        <v/>
      </c>
      <c r="CT246" s="5">
        <f>IF(A246="","",SUM(CF246:CS246))</f>
        <v/>
      </c>
      <c r="CU246" s="5">
        <f>INDEX(Projects[Est Cost (M)],245)</f>
        <v/>
      </c>
      <c r="CV246" s="5">
        <f>INDEX(Projects[Act Cost (M)],245)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IF(A247="","",N(INDEX(Projects[Act Mech Inst],246)))</f>
        <v/>
      </c>
      <c r="BK247" s="5">
        <f>IF(A247="","",N(INDEX(Projects[Act Elec Inst],246)))</f>
        <v/>
      </c>
      <c r="BL247" s="5">
        <f>IF(A247="","",N(INDEX(Projects[Act Project Management],246)))</f>
        <v/>
      </c>
      <c r="BM247" s="5">
        <f>IF(A247="","",N(INDEX(Projects[Act Systems Eng],246)))</f>
        <v/>
      </c>
      <c r="BN247" s="5">
        <f>IF(A247="","",N(INDEX(Projects[Act Mechanical Eng],246)))</f>
        <v/>
      </c>
      <c r="BO247" s="5">
        <f>IF(A247="","",N(INDEX(Projects[Act Structural Engineering],246)))</f>
        <v/>
      </c>
      <c r="BP247" s="5">
        <f>IF(A247="","",N(INDEX(Projects[Act Site Sup],246)))</f>
        <v/>
      </c>
      <c r="BQ247" s="5">
        <f>IF(A247="","",N(INDEX(Projects[Act Controls Commissioning],246)))</f>
        <v/>
      </c>
      <c r="BR247" s="5">
        <f>IF(A247="","",N(INDEX(Projects[Act Systems Commissioning],246)))</f>
        <v/>
      </c>
      <c r="BS247" s="5">
        <f>IF(A247="","",N(INDEX(Projects[Act Service Commissioning],246)))</f>
        <v/>
      </c>
      <c r="BT247" s="5">
        <f>IF(A247="","",N(INDEX(Projects[Act Controls Eng],246)))</f>
        <v/>
      </c>
      <c r="BU247" s="5">
        <f>IF(A247="","",N(INDEX(Projects[Act Controls Purchase],246)))</f>
        <v/>
      </c>
      <c r="BV247" s="5">
        <f>IF(A247="","",N(INDEX(Projects[Act Software Eng],246)))</f>
        <v/>
      </c>
      <c r="BW247" s="5">
        <f>IF(A247="","",N(INDEX(Projects[Act 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  <c r="CE247" s="5">
        <f>INDEX(Projects[Act Data Status],246)&amp;""</f>
        <v/>
      </c>
      <c r="CF247" s="5">
        <f>IF(A247="","",N(INDEX(Projects[Est Mech Inst],246)))</f>
        <v/>
      </c>
      <c r="CG247" s="5">
        <f>IF(A247="","",N(INDEX(Projects[Est Elec Inst],246)))</f>
        <v/>
      </c>
      <c r="CH247" s="5">
        <f>IF(A247="","",N(INDEX(Projects[Est Project Management],246)))</f>
        <v/>
      </c>
      <c r="CI247" s="5">
        <f>IF(A247="","",N(INDEX(Projects[Est Systems Eng],246)))</f>
        <v/>
      </c>
      <c r="CJ247" s="5">
        <f>IF(A247="","",N(INDEX(Projects[Est Mechanical Eng],246)))</f>
        <v/>
      </c>
      <c r="CK247" s="5">
        <f>IF(A247="","",N(INDEX(Projects[Est Structural Engineering],246)))</f>
        <v/>
      </c>
      <c r="CL247" s="5">
        <f>IF(A247="","",N(INDEX(Projects[Est Site Sup],246)))</f>
        <v/>
      </c>
      <c r="CM247" s="5">
        <f>IF(A247="","",N(INDEX(Projects[Est Controls Commissioning],246)))</f>
        <v/>
      </c>
      <c r="CN247" s="5">
        <f>IF(A247="","",N(INDEX(Projects[Est Systems Commissioning],246)))</f>
        <v/>
      </c>
      <c r="CO247" s="5">
        <f>IF(A247="","",N(INDEX(Projects[Est Service Commissioning],246)))</f>
        <v/>
      </c>
      <c r="CP247" s="5">
        <f>IF(A247="","",N(INDEX(Projects[Est Controls Eng],246)))</f>
        <v/>
      </c>
      <c r="CQ247" s="5">
        <f>IF(A247="","",N(INDEX(Projects[Est Controls Purchase],246)))</f>
        <v/>
      </c>
      <c r="CR247" s="5">
        <f>IF(A247="","",N(INDEX(Projects[Est Software Eng],246)))</f>
        <v/>
      </c>
      <c r="CS247" s="5">
        <f>IF(A247="","",N(INDEX(Projects[Est Misc],246)))</f>
        <v/>
      </c>
      <c r="CT247" s="5">
        <f>IF(A247="","",SUM(CF247:CS247))</f>
        <v/>
      </c>
      <c r="CU247" s="5">
        <f>INDEX(Projects[Est Cost (M)],246)</f>
        <v/>
      </c>
      <c r="CV247" s="5">
        <f>INDEX(Projects[Act Cost (M)],246)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IF(A248="","",N(INDEX(Projects[Act Mech Inst],247)))</f>
        <v/>
      </c>
      <c r="BK248" s="5">
        <f>IF(A248="","",N(INDEX(Projects[Act Elec Inst],247)))</f>
        <v/>
      </c>
      <c r="BL248" s="5">
        <f>IF(A248="","",N(INDEX(Projects[Act Project Management],247)))</f>
        <v/>
      </c>
      <c r="BM248" s="5">
        <f>IF(A248="","",N(INDEX(Projects[Act Systems Eng],247)))</f>
        <v/>
      </c>
      <c r="BN248" s="5">
        <f>IF(A248="","",N(INDEX(Projects[Act Mechanical Eng],247)))</f>
        <v/>
      </c>
      <c r="BO248" s="5">
        <f>IF(A248="","",N(INDEX(Projects[Act Structural Engineering],247)))</f>
        <v/>
      </c>
      <c r="BP248" s="5">
        <f>IF(A248="","",N(INDEX(Projects[Act Site Sup],247)))</f>
        <v/>
      </c>
      <c r="BQ248" s="5">
        <f>IF(A248="","",N(INDEX(Projects[Act Controls Commissioning],247)))</f>
        <v/>
      </c>
      <c r="BR248" s="5">
        <f>IF(A248="","",N(INDEX(Projects[Act Systems Commissioning],247)))</f>
        <v/>
      </c>
      <c r="BS248" s="5">
        <f>IF(A248="","",N(INDEX(Projects[Act Service Commissioning],247)))</f>
        <v/>
      </c>
      <c r="BT248" s="5">
        <f>IF(A248="","",N(INDEX(Projects[Act Controls Eng],247)))</f>
        <v/>
      </c>
      <c r="BU248" s="5">
        <f>IF(A248="","",N(INDEX(Projects[Act Controls Purchase],247)))</f>
        <v/>
      </c>
      <c r="BV248" s="5">
        <f>IF(A248="","",N(INDEX(Projects[Act Software Eng],247)))</f>
        <v/>
      </c>
      <c r="BW248" s="5">
        <f>IF(A248="","",N(INDEX(Projects[Act 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  <c r="CE248" s="5">
        <f>INDEX(Projects[Act Data Status],247)&amp;""</f>
        <v/>
      </c>
      <c r="CF248" s="5">
        <f>IF(A248="","",N(INDEX(Projects[Est Mech Inst],247)))</f>
        <v/>
      </c>
      <c r="CG248" s="5">
        <f>IF(A248="","",N(INDEX(Projects[Est Elec Inst],247)))</f>
        <v/>
      </c>
      <c r="CH248" s="5">
        <f>IF(A248="","",N(INDEX(Projects[Est Project Management],247)))</f>
        <v/>
      </c>
      <c r="CI248" s="5">
        <f>IF(A248="","",N(INDEX(Projects[Est Systems Eng],247)))</f>
        <v/>
      </c>
      <c r="CJ248" s="5">
        <f>IF(A248="","",N(INDEX(Projects[Est Mechanical Eng],247)))</f>
        <v/>
      </c>
      <c r="CK248" s="5">
        <f>IF(A248="","",N(INDEX(Projects[Est Structural Engineering],247)))</f>
        <v/>
      </c>
      <c r="CL248" s="5">
        <f>IF(A248="","",N(INDEX(Projects[Est Site Sup],247)))</f>
        <v/>
      </c>
      <c r="CM248" s="5">
        <f>IF(A248="","",N(INDEX(Projects[Est Controls Commissioning],247)))</f>
        <v/>
      </c>
      <c r="CN248" s="5">
        <f>IF(A248="","",N(INDEX(Projects[Est Systems Commissioning],247)))</f>
        <v/>
      </c>
      <c r="CO248" s="5">
        <f>IF(A248="","",N(INDEX(Projects[Est Service Commissioning],247)))</f>
        <v/>
      </c>
      <c r="CP248" s="5">
        <f>IF(A248="","",N(INDEX(Projects[Est Controls Eng],247)))</f>
        <v/>
      </c>
      <c r="CQ248" s="5">
        <f>IF(A248="","",N(INDEX(Projects[Est Controls Purchase],247)))</f>
        <v/>
      </c>
      <c r="CR248" s="5">
        <f>IF(A248="","",N(INDEX(Projects[Est Software Eng],247)))</f>
        <v/>
      </c>
      <c r="CS248" s="5">
        <f>IF(A248="","",N(INDEX(Projects[Est Misc],247)))</f>
        <v/>
      </c>
      <c r="CT248" s="5">
        <f>IF(A248="","",SUM(CF248:CS248))</f>
        <v/>
      </c>
      <c r="CU248" s="5">
        <f>INDEX(Projects[Est Cost (M)],247)</f>
        <v/>
      </c>
      <c r="CV248" s="5">
        <f>INDEX(Projects[Act Cost (M)],247)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IF(A249="","",N(INDEX(Projects[Act Mech Inst],248)))</f>
        <v/>
      </c>
      <c r="BK249" s="5">
        <f>IF(A249="","",N(INDEX(Projects[Act Elec Inst],248)))</f>
        <v/>
      </c>
      <c r="BL249" s="5">
        <f>IF(A249="","",N(INDEX(Projects[Act Project Management],248)))</f>
        <v/>
      </c>
      <c r="BM249" s="5">
        <f>IF(A249="","",N(INDEX(Projects[Act Systems Eng],248)))</f>
        <v/>
      </c>
      <c r="BN249" s="5">
        <f>IF(A249="","",N(INDEX(Projects[Act Mechanical Eng],248)))</f>
        <v/>
      </c>
      <c r="BO249" s="5">
        <f>IF(A249="","",N(INDEX(Projects[Act Structural Engineering],248)))</f>
        <v/>
      </c>
      <c r="BP249" s="5">
        <f>IF(A249="","",N(INDEX(Projects[Act Site Sup],248)))</f>
        <v/>
      </c>
      <c r="BQ249" s="5">
        <f>IF(A249="","",N(INDEX(Projects[Act Controls Commissioning],248)))</f>
        <v/>
      </c>
      <c r="BR249" s="5">
        <f>IF(A249="","",N(INDEX(Projects[Act Systems Commissioning],248)))</f>
        <v/>
      </c>
      <c r="BS249" s="5">
        <f>IF(A249="","",N(INDEX(Projects[Act Service Commissioning],248)))</f>
        <v/>
      </c>
      <c r="BT249" s="5">
        <f>IF(A249="","",N(INDEX(Projects[Act Controls Eng],248)))</f>
        <v/>
      </c>
      <c r="BU249" s="5">
        <f>IF(A249="","",N(INDEX(Projects[Act Controls Purchase],248)))</f>
        <v/>
      </c>
      <c r="BV249" s="5">
        <f>IF(A249="","",N(INDEX(Projects[Act Software Eng],248)))</f>
        <v/>
      </c>
      <c r="BW249" s="5">
        <f>IF(A249="","",N(INDEX(Projects[Act 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  <c r="CE249" s="5">
        <f>INDEX(Projects[Act Data Status],248)&amp;""</f>
        <v/>
      </c>
      <c r="CF249" s="5">
        <f>IF(A249="","",N(INDEX(Projects[Est Mech Inst],248)))</f>
        <v/>
      </c>
      <c r="CG249" s="5">
        <f>IF(A249="","",N(INDEX(Projects[Est Elec Inst],248)))</f>
        <v/>
      </c>
      <c r="CH249" s="5">
        <f>IF(A249="","",N(INDEX(Projects[Est Project Management],248)))</f>
        <v/>
      </c>
      <c r="CI249" s="5">
        <f>IF(A249="","",N(INDEX(Projects[Est Systems Eng],248)))</f>
        <v/>
      </c>
      <c r="CJ249" s="5">
        <f>IF(A249="","",N(INDEX(Projects[Est Mechanical Eng],248)))</f>
        <v/>
      </c>
      <c r="CK249" s="5">
        <f>IF(A249="","",N(INDEX(Projects[Est Structural Engineering],248)))</f>
        <v/>
      </c>
      <c r="CL249" s="5">
        <f>IF(A249="","",N(INDEX(Projects[Est Site Sup],248)))</f>
        <v/>
      </c>
      <c r="CM249" s="5">
        <f>IF(A249="","",N(INDEX(Projects[Est Controls Commissioning],248)))</f>
        <v/>
      </c>
      <c r="CN249" s="5">
        <f>IF(A249="","",N(INDEX(Projects[Est Systems Commissioning],248)))</f>
        <v/>
      </c>
      <c r="CO249" s="5">
        <f>IF(A249="","",N(INDEX(Projects[Est Service Commissioning],248)))</f>
        <v/>
      </c>
      <c r="CP249" s="5">
        <f>IF(A249="","",N(INDEX(Projects[Est Controls Eng],248)))</f>
        <v/>
      </c>
      <c r="CQ249" s="5">
        <f>IF(A249="","",N(INDEX(Projects[Est Controls Purchase],248)))</f>
        <v/>
      </c>
      <c r="CR249" s="5">
        <f>IF(A249="","",N(INDEX(Projects[Est Software Eng],248)))</f>
        <v/>
      </c>
      <c r="CS249" s="5">
        <f>IF(A249="","",N(INDEX(Projects[Est Misc],248)))</f>
        <v/>
      </c>
      <c r="CT249" s="5">
        <f>IF(A249="","",SUM(CF249:CS249))</f>
        <v/>
      </c>
      <c r="CU249" s="5">
        <f>INDEX(Projects[Est Cost (M)],248)</f>
        <v/>
      </c>
      <c r="CV249" s="5">
        <f>INDEX(Projects[Act Cost (M)],248)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IF(A250="","",N(INDEX(Projects[Act Mech Inst],249)))</f>
        <v/>
      </c>
      <c r="BK250" s="5">
        <f>IF(A250="","",N(INDEX(Projects[Act Elec Inst],249)))</f>
        <v/>
      </c>
      <c r="BL250" s="5">
        <f>IF(A250="","",N(INDEX(Projects[Act Project Management],249)))</f>
        <v/>
      </c>
      <c r="BM250" s="5">
        <f>IF(A250="","",N(INDEX(Projects[Act Systems Eng],249)))</f>
        <v/>
      </c>
      <c r="BN250" s="5">
        <f>IF(A250="","",N(INDEX(Projects[Act Mechanical Eng],249)))</f>
        <v/>
      </c>
      <c r="BO250" s="5">
        <f>IF(A250="","",N(INDEX(Projects[Act Structural Engineering],249)))</f>
        <v/>
      </c>
      <c r="BP250" s="5">
        <f>IF(A250="","",N(INDEX(Projects[Act Site Sup],249)))</f>
        <v/>
      </c>
      <c r="BQ250" s="5">
        <f>IF(A250="","",N(INDEX(Projects[Act Controls Commissioning],249)))</f>
        <v/>
      </c>
      <c r="BR250" s="5">
        <f>IF(A250="","",N(INDEX(Projects[Act Systems Commissioning],249)))</f>
        <v/>
      </c>
      <c r="BS250" s="5">
        <f>IF(A250="","",N(INDEX(Projects[Act Service Commissioning],249)))</f>
        <v/>
      </c>
      <c r="BT250" s="5">
        <f>IF(A250="","",N(INDEX(Projects[Act Controls Eng],249)))</f>
        <v/>
      </c>
      <c r="BU250" s="5">
        <f>IF(A250="","",N(INDEX(Projects[Act Controls Purchase],249)))</f>
        <v/>
      </c>
      <c r="BV250" s="5">
        <f>IF(A250="","",N(INDEX(Projects[Act Software Eng],249)))</f>
        <v/>
      </c>
      <c r="BW250" s="5">
        <f>IF(A250="","",N(INDEX(Projects[Act 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  <c r="CE250" s="5">
        <f>INDEX(Projects[Act Data Status],249)&amp;""</f>
        <v/>
      </c>
      <c r="CF250" s="5">
        <f>IF(A250="","",N(INDEX(Projects[Est Mech Inst],249)))</f>
        <v/>
      </c>
      <c r="CG250" s="5">
        <f>IF(A250="","",N(INDEX(Projects[Est Elec Inst],249)))</f>
        <v/>
      </c>
      <c r="CH250" s="5">
        <f>IF(A250="","",N(INDEX(Projects[Est Project Management],249)))</f>
        <v/>
      </c>
      <c r="CI250" s="5">
        <f>IF(A250="","",N(INDEX(Projects[Est Systems Eng],249)))</f>
        <v/>
      </c>
      <c r="CJ250" s="5">
        <f>IF(A250="","",N(INDEX(Projects[Est Mechanical Eng],249)))</f>
        <v/>
      </c>
      <c r="CK250" s="5">
        <f>IF(A250="","",N(INDEX(Projects[Est Structural Engineering],249)))</f>
        <v/>
      </c>
      <c r="CL250" s="5">
        <f>IF(A250="","",N(INDEX(Projects[Est Site Sup],249)))</f>
        <v/>
      </c>
      <c r="CM250" s="5">
        <f>IF(A250="","",N(INDEX(Projects[Est Controls Commissioning],249)))</f>
        <v/>
      </c>
      <c r="CN250" s="5">
        <f>IF(A250="","",N(INDEX(Projects[Est Systems Commissioning],249)))</f>
        <v/>
      </c>
      <c r="CO250" s="5">
        <f>IF(A250="","",N(INDEX(Projects[Est Service Commissioning],249)))</f>
        <v/>
      </c>
      <c r="CP250" s="5">
        <f>IF(A250="","",N(INDEX(Projects[Est Controls Eng],249)))</f>
        <v/>
      </c>
      <c r="CQ250" s="5">
        <f>IF(A250="","",N(INDEX(Projects[Est Controls Purchase],249)))</f>
        <v/>
      </c>
      <c r="CR250" s="5">
        <f>IF(A250="","",N(INDEX(Projects[Est Software Eng],249)))</f>
        <v/>
      </c>
      <c r="CS250" s="5">
        <f>IF(A250="","",N(INDEX(Projects[Est Misc],249)))</f>
        <v/>
      </c>
      <c r="CT250" s="5">
        <f>IF(A250="","",SUM(CF250:CS250))</f>
        <v/>
      </c>
      <c r="CU250" s="5">
        <f>INDEX(Projects[Est Cost (M)],249)</f>
        <v/>
      </c>
      <c r="CV250" s="5">
        <f>INDEX(Projects[Act Cost (M)],249)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IF(A251="","",N(INDEX(Projects[Act Mech Inst],250)))</f>
        <v/>
      </c>
      <c r="BK251" s="5">
        <f>IF(A251="","",N(INDEX(Projects[Act Elec Inst],250)))</f>
        <v/>
      </c>
      <c r="BL251" s="5">
        <f>IF(A251="","",N(INDEX(Projects[Act Project Management],250)))</f>
        <v/>
      </c>
      <c r="BM251" s="5">
        <f>IF(A251="","",N(INDEX(Projects[Act Systems Eng],250)))</f>
        <v/>
      </c>
      <c r="BN251" s="5">
        <f>IF(A251="","",N(INDEX(Projects[Act Mechanical Eng],250)))</f>
        <v/>
      </c>
      <c r="BO251" s="5">
        <f>IF(A251="","",N(INDEX(Projects[Act Structural Engineering],250)))</f>
        <v/>
      </c>
      <c r="BP251" s="5">
        <f>IF(A251="","",N(INDEX(Projects[Act Site Sup],250)))</f>
        <v/>
      </c>
      <c r="BQ251" s="5">
        <f>IF(A251="","",N(INDEX(Projects[Act Controls Commissioning],250)))</f>
        <v/>
      </c>
      <c r="BR251" s="5">
        <f>IF(A251="","",N(INDEX(Projects[Act Systems Commissioning],250)))</f>
        <v/>
      </c>
      <c r="BS251" s="5">
        <f>IF(A251="","",N(INDEX(Projects[Act Service Commissioning],250)))</f>
        <v/>
      </c>
      <c r="BT251" s="5">
        <f>IF(A251="","",N(INDEX(Projects[Act Controls Eng],250)))</f>
        <v/>
      </c>
      <c r="BU251" s="5">
        <f>IF(A251="","",N(INDEX(Projects[Act Controls Purchase],250)))</f>
        <v/>
      </c>
      <c r="BV251" s="5">
        <f>IF(A251="","",N(INDEX(Projects[Act Software Eng],250)))</f>
        <v/>
      </c>
      <c r="BW251" s="5">
        <f>IF(A251="","",N(INDEX(Projects[Act 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  <c r="CE251" s="5">
        <f>INDEX(Projects[Act Data Status],250)&amp;""</f>
        <v/>
      </c>
      <c r="CF251" s="5">
        <f>IF(A251="","",N(INDEX(Projects[Est Mech Inst],250)))</f>
        <v/>
      </c>
      <c r="CG251" s="5">
        <f>IF(A251="","",N(INDEX(Projects[Est Elec Inst],250)))</f>
        <v/>
      </c>
      <c r="CH251" s="5">
        <f>IF(A251="","",N(INDEX(Projects[Est Project Management],250)))</f>
        <v/>
      </c>
      <c r="CI251" s="5">
        <f>IF(A251="","",N(INDEX(Projects[Est Systems Eng],250)))</f>
        <v/>
      </c>
      <c r="CJ251" s="5">
        <f>IF(A251="","",N(INDEX(Projects[Est Mechanical Eng],250)))</f>
        <v/>
      </c>
      <c r="CK251" s="5">
        <f>IF(A251="","",N(INDEX(Projects[Est Structural Engineering],250)))</f>
        <v/>
      </c>
      <c r="CL251" s="5">
        <f>IF(A251="","",N(INDEX(Projects[Est Site Sup],250)))</f>
        <v/>
      </c>
      <c r="CM251" s="5">
        <f>IF(A251="","",N(INDEX(Projects[Est Controls Commissioning],250)))</f>
        <v/>
      </c>
      <c r="CN251" s="5">
        <f>IF(A251="","",N(INDEX(Projects[Est Systems Commissioning],250)))</f>
        <v/>
      </c>
      <c r="CO251" s="5">
        <f>IF(A251="","",N(INDEX(Projects[Est Service Commissioning],250)))</f>
        <v/>
      </c>
      <c r="CP251" s="5">
        <f>IF(A251="","",N(INDEX(Projects[Est Controls Eng],250)))</f>
        <v/>
      </c>
      <c r="CQ251" s="5">
        <f>IF(A251="","",N(INDEX(Projects[Est Controls Purchase],250)))</f>
        <v/>
      </c>
      <c r="CR251" s="5">
        <f>IF(A251="","",N(INDEX(Projects[Est Software Eng],250)))</f>
        <v/>
      </c>
      <c r="CS251" s="5">
        <f>IF(A251="","",N(INDEX(Projects[Est Misc],250)))</f>
        <v/>
      </c>
      <c r="CT251" s="5">
        <f>IF(A251="","",SUM(CF251:CS251))</f>
        <v/>
      </c>
      <c r="CU251" s="5">
        <f>INDEX(Projects[Est Cost (M)],250)</f>
        <v/>
      </c>
      <c r="CV251" s="5">
        <f>INDEX(Projects[Act Cost (M)],250)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IF(A252="","",N(INDEX(Projects[Act Mech Inst],251)))</f>
        <v/>
      </c>
      <c r="BK252" s="5">
        <f>IF(A252="","",N(INDEX(Projects[Act Elec Inst],251)))</f>
        <v/>
      </c>
      <c r="BL252" s="5">
        <f>IF(A252="","",N(INDEX(Projects[Act Project Management],251)))</f>
        <v/>
      </c>
      <c r="BM252" s="5">
        <f>IF(A252="","",N(INDEX(Projects[Act Systems Eng],251)))</f>
        <v/>
      </c>
      <c r="BN252" s="5">
        <f>IF(A252="","",N(INDEX(Projects[Act Mechanical Eng],251)))</f>
        <v/>
      </c>
      <c r="BO252" s="5">
        <f>IF(A252="","",N(INDEX(Projects[Act Structural Engineering],251)))</f>
        <v/>
      </c>
      <c r="BP252" s="5">
        <f>IF(A252="","",N(INDEX(Projects[Act Site Sup],251)))</f>
        <v/>
      </c>
      <c r="BQ252" s="5">
        <f>IF(A252="","",N(INDEX(Projects[Act Controls Commissioning],251)))</f>
        <v/>
      </c>
      <c r="BR252" s="5">
        <f>IF(A252="","",N(INDEX(Projects[Act Systems Commissioning],251)))</f>
        <v/>
      </c>
      <c r="BS252" s="5">
        <f>IF(A252="","",N(INDEX(Projects[Act Service Commissioning],251)))</f>
        <v/>
      </c>
      <c r="BT252" s="5">
        <f>IF(A252="","",N(INDEX(Projects[Act Controls Eng],251)))</f>
        <v/>
      </c>
      <c r="BU252" s="5">
        <f>IF(A252="","",N(INDEX(Projects[Act Controls Purchase],251)))</f>
        <v/>
      </c>
      <c r="BV252" s="5">
        <f>IF(A252="","",N(INDEX(Projects[Act Software Eng],251)))</f>
        <v/>
      </c>
      <c r="BW252" s="5">
        <f>IF(A252="","",N(INDEX(Projects[Act 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  <c r="CE252" s="5">
        <f>INDEX(Projects[Act Data Status],251)&amp;""</f>
        <v/>
      </c>
      <c r="CF252" s="5">
        <f>IF(A252="","",N(INDEX(Projects[Est Mech Inst],251)))</f>
        <v/>
      </c>
      <c r="CG252" s="5">
        <f>IF(A252="","",N(INDEX(Projects[Est Elec Inst],251)))</f>
        <v/>
      </c>
      <c r="CH252" s="5">
        <f>IF(A252="","",N(INDEX(Projects[Est Project Management],251)))</f>
        <v/>
      </c>
      <c r="CI252" s="5">
        <f>IF(A252="","",N(INDEX(Projects[Est Systems Eng],251)))</f>
        <v/>
      </c>
      <c r="CJ252" s="5">
        <f>IF(A252="","",N(INDEX(Projects[Est Mechanical Eng],251)))</f>
        <v/>
      </c>
      <c r="CK252" s="5">
        <f>IF(A252="","",N(INDEX(Projects[Est Structural Engineering],251)))</f>
        <v/>
      </c>
      <c r="CL252" s="5">
        <f>IF(A252="","",N(INDEX(Projects[Est Site Sup],251)))</f>
        <v/>
      </c>
      <c r="CM252" s="5">
        <f>IF(A252="","",N(INDEX(Projects[Est Controls Commissioning],251)))</f>
        <v/>
      </c>
      <c r="CN252" s="5">
        <f>IF(A252="","",N(INDEX(Projects[Est Systems Commissioning],251)))</f>
        <v/>
      </c>
      <c r="CO252" s="5">
        <f>IF(A252="","",N(INDEX(Projects[Est Service Commissioning],251)))</f>
        <v/>
      </c>
      <c r="CP252" s="5">
        <f>IF(A252="","",N(INDEX(Projects[Est Controls Eng],251)))</f>
        <v/>
      </c>
      <c r="CQ252" s="5">
        <f>IF(A252="","",N(INDEX(Projects[Est Controls Purchase],251)))</f>
        <v/>
      </c>
      <c r="CR252" s="5">
        <f>IF(A252="","",N(INDEX(Projects[Est Software Eng],251)))</f>
        <v/>
      </c>
      <c r="CS252" s="5">
        <f>IF(A252="","",N(INDEX(Projects[Est Misc],251)))</f>
        <v/>
      </c>
      <c r="CT252" s="5">
        <f>IF(A252="","",SUM(CF252:CS252))</f>
        <v/>
      </c>
      <c r="CU252" s="5">
        <f>INDEX(Projects[Est Cost (M)],251)</f>
        <v/>
      </c>
      <c r="CV252" s="5">
        <f>INDEX(Projects[Act Cost (M)],251)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IF(A253="","",N(INDEX(Projects[Act Mech Inst],252)))</f>
        <v/>
      </c>
      <c r="BK253" s="5">
        <f>IF(A253="","",N(INDEX(Projects[Act Elec Inst],252)))</f>
        <v/>
      </c>
      <c r="BL253" s="5">
        <f>IF(A253="","",N(INDEX(Projects[Act Project Management],252)))</f>
        <v/>
      </c>
      <c r="BM253" s="5">
        <f>IF(A253="","",N(INDEX(Projects[Act Systems Eng],252)))</f>
        <v/>
      </c>
      <c r="BN253" s="5">
        <f>IF(A253="","",N(INDEX(Projects[Act Mechanical Eng],252)))</f>
        <v/>
      </c>
      <c r="BO253" s="5">
        <f>IF(A253="","",N(INDEX(Projects[Act Structural Engineering],252)))</f>
        <v/>
      </c>
      <c r="BP253" s="5">
        <f>IF(A253="","",N(INDEX(Projects[Act Site Sup],252)))</f>
        <v/>
      </c>
      <c r="BQ253" s="5">
        <f>IF(A253="","",N(INDEX(Projects[Act Controls Commissioning],252)))</f>
        <v/>
      </c>
      <c r="BR253" s="5">
        <f>IF(A253="","",N(INDEX(Projects[Act Systems Commissioning],252)))</f>
        <v/>
      </c>
      <c r="BS253" s="5">
        <f>IF(A253="","",N(INDEX(Projects[Act Service Commissioning],252)))</f>
        <v/>
      </c>
      <c r="BT253" s="5">
        <f>IF(A253="","",N(INDEX(Projects[Act Controls Eng],252)))</f>
        <v/>
      </c>
      <c r="BU253" s="5">
        <f>IF(A253="","",N(INDEX(Projects[Act Controls Purchase],252)))</f>
        <v/>
      </c>
      <c r="BV253" s="5">
        <f>IF(A253="","",N(INDEX(Projects[Act Software Eng],252)))</f>
        <v/>
      </c>
      <c r="BW253" s="5">
        <f>IF(A253="","",N(INDEX(Projects[Act 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  <c r="CE253" s="5">
        <f>INDEX(Projects[Act Data Status],252)&amp;""</f>
        <v/>
      </c>
      <c r="CF253" s="5">
        <f>IF(A253="","",N(INDEX(Projects[Est Mech Inst],252)))</f>
        <v/>
      </c>
      <c r="CG253" s="5">
        <f>IF(A253="","",N(INDEX(Projects[Est Elec Inst],252)))</f>
        <v/>
      </c>
      <c r="CH253" s="5">
        <f>IF(A253="","",N(INDEX(Projects[Est Project Management],252)))</f>
        <v/>
      </c>
      <c r="CI253" s="5">
        <f>IF(A253="","",N(INDEX(Projects[Est Systems Eng],252)))</f>
        <v/>
      </c>
      <c r="CJ253" s="5">
        <f>IF(A253="","",N(INDEX(Projects[Est Mechanical Eng],252)))</f>
        <v/>
      </c>
      <c r="CK253" s="5">
        <f>IF(A253="","",N(INDEX(Projects[Est Structural Engineering],252)))</f>
        <v/>
      </c>
      <c r="CL253" s="5">
        <f>IF(A253="","",N(INDEX(Projects[Est Site Sup],252)))</f>
        <v/>
      </c>
      <c r="CM253" s="5">
        <f>IF(A253="","",N(INDEX(Projects[Est Controls Commissioning],252)))</f>
        <v/>
      </c>
      <c r="CN253" s="5">
        <f>IF(A253="","",N(INDEX(Projects[Est Systems Commissioning],252)))</f>
        <v/>
      </c>
      <c r="CO253" s="5">
        <f>IF(A253="","",N(INDEX(Projects[Est Service Commissioning],252)))</f>
        <v/>
      </c>
      <c r="CP253" s="5">
        <f>IF(A253="","",N(INDEX(Projects[Est Controls Eng],252)))</f>
        <v/>
      </c>
      <c r="CQ253" s="5">
        <f>IF(A253="","",N(INDEX(Projects[Est Controls Purchase],252)))</f>
        <v/>
      </c>
      <c r="CR253" s="5">
        <f>IF(A253="","",N(INDEX(Projects[Est Software Eng],252)))</f>
        <v/>
      </c>
      <c r="CS253" s="5">
        <f>IF(A253="","",N(INDEX(Projects[Est Misc],252)))</f>
        <v/>
      </c>
      <c r="CT253" s="5">
        <f>IF(A253="","",SUM(CF253:CS253))</f>
        <v/>
      </c>
      <c r="CU253" s="5">
        <f>INDEX(Projects[Est Cost (M)],252)</f>
        <v/>
      </c>
      <c r="CV253" s="5">
        <f>INDEX(Projects[Act Cost (M)],252)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IF(A254="","",N(INDEX(Projects[Act Mech Inst],253)))</f>
        <v/>
      </c>
      <c r="BK254" s="5">
        <f>IF(A254="","",N(INDEX(Projects[Act Elec Inst],253)))</f>
        <v/>
      </c>
      <c r="BL254" s="5">
        <f>IF(A254="","",N(INDEX(Projects[Act Project Management],253)))</f>
        <v/>
      </c>
      <c r="BM254" s="5">
        <f>IF(A254="","",N(INDEX(Projects[Act Systems Eng],253)))</f>
        <v/>
      </c>
      <c r="BN254" s="5">
        <f>IF(A254="","",N(INDEX(Projects[Act Mechanical Eng],253)))</f>
        <v/>
      </c>
      <c r="BO254" s="5">
        <f>IF(A254="","",N(INDEX(Projects[Act Structural Engineering],253)))</f>
        <v/>
      </c>
      <c r="BP254" s="5">
        <f>IF(A254="","",N(INDEX(Projects[Act Site Sup],253)))</f>
        <v/>
      </c>
      <c r="BQ254" s="5">
        <f>IF(A254="","",N(INDEX(Projects[Act Controls Commissioning],253)))</f>
        <v/>
      </c>
      <c r="BR254" s="5">
        <f>IF(A254="","",N(INDEX(Projects[Act Systems Commissioning],253)))</f>
        <v/>
      </c>
      <c r="BS254" s="5">
        <f>IF(A254="","",N(INDEX(Projects[Act Service Commissioning],253)))</f>
        <v/>
      </c>
      <c r="BT254" s="5">
        <f>IF(A254="","",N(INDEX(Projects[Act Controls Eng],253)))</f>
        <v/>
      </c>
      <c r="BU254" s="5">
        <f>IF(A254="","",N(INDEX(Projects[Act Controls Purchase],253)))</f>
        <v/>
      </c>
      <c r="BV254" s="5">
        <f>IF(A254="","",N(INDEX(Projects[Act Software Eng],253)))</f>
        <v/>
      </c>
      <c r="BW254" s="5">
        <f>IF(A254="","",N(INDEX(Projects[Act 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  <c r="CE254" s="5">
        <f>INDEX(Projects[Act Data Status],253)&amp;""</f>
        <v/>
      </c>
      <c r="CF254" s="5">
        <f>IF(A254="","",N(INDEX(Projects[Est Mech Inst],253)))</f>
        <v/>
      </c>
      <c r="CG254" s="5">
        <f>IF(A254="","",N(INDEX(Projects[Est Elec Inst],253)))</f>
        <v/>
      </c>
      <c r="CH254" s="5">
        <f>IF(A254="","",N(INDEX(Projects[Est Project Management],253)))</f>
        <v/>
      </c>
      <c r="CI254" s="5">
        <f>IF(A254="","",N(INDEX(Projects[Est Systems Eng],253)))</f>
        <v/>
      </c>
      <c r="CJ254" s="5">
        <f>IF(A254="","",N(INDEX(Projects[Est Mechanical Eng],253)))</f>
        <v/>
      </c>
      <c r="CK254" s="5">
        <f>IF(A254="","",N(INDEX(Projects[Est Structural Engineering],253)))</f>
        <v/>
      </c>
      <c r="CL254" s="5">
        <f>IF(A254="","",N(INDEX(Projects[Est Site Sup],253)))</f>
        <v/>
      </c>
      <c r="CM254" s="5">
        <f>IF(A254="","",N(INDEX(Projects[Est Controls Commissioning],253)))</f>
        <v/>
      </c>
      <c r="CN254" s="5">
        <f>IF(A254="","",N(INDEX(Projects[Est Systems Commissioning],253)))</f>
        <v/>
      </c>
      <c r="CO254" s="5">
        <f>IF(A254="","",N(INDEX(Projects[Est Service Commissioning],253)))</f>
        <v/>
      </c>
      <c r="CP254" s="5">
        <f>IF(A254="","",N(INDEX(Projects[Est Controls Eng],253)))</f>
        <v/>
      </c>
      <c r="CQ254" s="5">
        <f>IF(A254="","",N(INDEX(Projects[Est Controls Purchase],253)))</f>
        <v/>
      </c>
      <c r="CR254" s="5">
        <f>IF(A254="","",N(INDEX(Projects[Est Software Eng],253)))</f>
        <v/>
      </c>
      <c r="CS254" s="5">
        <f>IF(A254="","",N(INDEX(Projects[Est Misc],253)))</f>
        <v/>
      </c>
      <c r="CT254" s="5">
        <f>IF(A254="","",SUM(CF254:CS254))</f>
        <v/>
      </c>
      <c r="CU254" s="5">
        <f>INDEX(Projects[Est Cost (M)],253)</f>
        <v/>
      </c>
      <c r="CV254" s="5">
        <f>INDEX(Projects[Act Cost (M)],253)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IF(A255="","",N(INDEX(Projects[Act Mech Inst],254)))</f>
        <v/>
      </c>
      <c r="BK255" s="5">
        <f>IF(A255="","",N(INDEX(Projects[Act Elec Inst],254)))</f>
        <v/>
      </c>
      <c r="BL255" s="5">
        <f>IF(A255="","",N(INDEX(Projects[Act Project Management],254)))</f>
        <v/>
      </c>
      <c r="BM255" s="5">
        <f>IF(A255="","",N(INDEX(Projects[Act Systems Eng],254)))</f>
        <v/>
      </c>
      <c r="BN255" s="5">
        <f>IF(A255="","",N(INDEX(Projects[Act Mechanical Eng],254)))</f>
        <v/>
      </c>
      <c r="BO255" s="5">
        <f>IF(A255="","",N(INDEX(Projects[Act Structural Engineering],254)))</f>
        <v/>
      </c>
      <c r="BP255" s="5">
        <f>IF(A255="","",N(INDEX(Projects[Act Site Sup],254)))</f>
        <v/>
      </c>
      <c r="BQ255" s="5">
        <f>IF(A255="","",N(INDEX(Projects[Act Controls Commissioning],254)))</f>
        <v/>
      </c>
      <c r="BR255" s="5">
        <f>IF(A255="","",N(INDEX(Projects[Act Systems Commissioning],254)))</f>
        <v/>
      </c>
      <c r="BS255" s="5">
        <f>IF(A255="","",N(INDEX(Projects[Act Service Commissioning],254)))</f>
        <v/>
      </c>
      <c r="BT255" s="5">
        <f>IF(A255="","",N(INDEX(Projects[Act Controls Eng],254)))</f>
        <v/>
      </c>
      <c r="BU255" s="5">
        <f>IF(A255="","",N(INDEX(Projects[Act Controls Purchase],254)))</f>
        <v/>
      </c>
      <c r="BV255" s="5">
        <f>IF(A255="","",N(INDEX(Projects[Act Software Eng],254)))</f>
        <v/>
      </c>
      <c r="BW255" s="5">
        <f>IF(A255="","",N(INDEX(Projects[Act 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  <c r="CE255" s="5">
        <f>INDEX(Projects[Act Data Status],254)&amp;""</f>
        <v/>
      </c>
      <c r="CF255" s="5">
        <f>IF(A255="","",N(INDEX(Projects[Est Mech Inst],254)))</f>
        <v/>
      </c>
      <c r="CG255" s="5">
        <f>IF(A255="","",N(INDEX(Projects[Est Elec Inst],254)))</f>
        <v/>
      </c>
      <c r="CH255" s="5">
        <f>IF(A255="","",N(INDEX(Projects[Est Project Management],254)))</f>
        <v/>
      </c>
      <c r="CI255" s="5">
        <f>IF(A255="","",N(INDEX(Projects[Est Systems Eng],254)))</f>
        <v/>
      </c>
      <c r="CJ255" s="5">
        <f>IF(A255="","",N(INDEX(Projects[Est Mechanical Eng],254)))</f>
        <v/>
      </c>
      <c r="CK255" s="5">
        <f>IF(A255="","",N(INDEX(Projects[Est Structural Engineering],254)))</f>
        <v/>
      </c>
      <c r="CL255" s="5">
        <f>IF(A255="","",N(INDEX(Projects[Est Site Sup],254)))</f>
        <v/>
      </c>
      <c r="CM255" s="5">
        <f>IF(A255="","",N(INDEX(Projects[Est Controls Commissioning],254)))</f>
        <v/>
      </c>
      <c r="CN255" s="5">
        <f>IF(A255="","",N(INDEX(Projects[Est Systems Commissioning],254)))</f>
        <v/>
      </c>
      <c r="CO255" s="5">
        <f>IF(A255="","",N(INDEX(Projects[Est Service Commissioning],254)))</f>
        <v/>
      </c>
      <c r="CP255" s="5">
        <f>IF(A255="","",N(INDEX(Projects[Est Controls Eng],254)))</f>
        <v/>
      </c>
      <c r="CQ255" s="5">
        <f>IF(A255="","",N(INDEX(Projects[Est Controls Purchase],254)))</f>
        <v/>
      </c>
      <c r="CR255" s="5">
        <f>IF(A255="","",N(INDEX(Projects[Est Software Eng],254)))</f>
        <v/>
      </c>
      <c r="CS255" s="5">
        <f>IF(A255="","",N(INDEX(Projects[Est Misc],254)))</f>
        <v/>
      </c>
      <c r="CT255" s="5">
        <f>IF(A255="","",SUM(CF255:CS255))</f>
        <v/>
      </c>
      <c r="CU255" s="5">
        <f>INDEX(Projects[Est Cost (M)],254)</f>
        <v/>
      </c>
      <c r="CV255" s="5">
        <f>INDEX(Projects[Act Cost (M)],254)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IF(A256="","",N(INDEX(Projects[Act Mech Inst],255)))</f>
        <v/>
      </c>
      <c r="BK256" s="5">
        <f>IF(A256="","",N(INDEX(Projects[Act Elec Inst],255)))</f>
        <v/>
      </c>
      <c r="BL256" s="5">
        <f>IF(A256="","",N(INDEX(Projects[Act Project Management],255)))</f>
        <v/>
      </c>
      <c r="BM256" s="5">
        <f>IF(A256="","",N(INDEX(Projects[Act Systems Eng],255)))</f>
        <v/>
      </c>
      <c r="BN256" s="5">
        <f>IF(A256="","",N(INDEX(Projects[Act Mechanical Eng],255)))</f>
        <v/>
      </c>
      <c r="BO256" s="5">
        <f>IF(A256="","",N(INDEX(Projects[Act Structural Engineering],255)))</f>
        <v/>
      </c>
      <c r="BP256" s="5">
        <f>IF(A256="","",N(INDEX(Projects[Act Site Sup],255)))</f>
        <v/>
      </c>
      <c r="BQ256" s="5">
        <f>IF(A256="","",N(INDEX(Projects[Act Controls Commissioning],255)))</f>
        <v/>
      </c>
      <c r="BR256" s="5">
        <f>IF(A256="","",N(INDEX(Projects[Act Systems Commissioning],255)))</f>
        <v/>
      </c>
      <c r="BS256" s="5">
        <f>IF(A256="","",N(INDEX(Projects[Act Service Commissioning],255)))</f>
        <v/>
      </c>
      <c r="BT256" s="5">
        <f>IF(A256="","",N(INDEX(Projects[Act Controls Eng],255)))</f>
        <v/>
      </c>
      <c r="BU256" s="5">
        <f>IF(A256="","",N(INDEX(Projects[Act Controls Purchase],255)))</f>
        <v/>
      </c>
      <c r="BV256" s="5">
        <f>IF(A256="","",N(INDEX(Projects[Act Software Eng],255)))</f>
        <v/>
      </c>
      <c r="BW256" s="5">
        <f>IF(A256="","",N(INDEX(Projects[Act 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  <c r="CE256" s="5">
        <f>INDEX(Projects[Act Data Status],255)&amp;""</f>
        <v/>
      </c>
      <c r="CF256" s="5">
        <f>IF(A256="","",N(INDEX(Projects[Est Mech Inst],255)))</f>
        <v/>
      </c>
      <c r="CG256" s="5">
        <f>IF(A256="","",N(INDEX(Projects[Est Elec Inst],255)))</f>
        <v/>
      </c>
      <c r="CH256" s="5">
        <f>IF(A256="","",N(INDEX(Projects[Est Project Management],255)))</f>
        <v/>
      </c>
      <c r="CI256" s="5">
        <f>IF(A256="","",N(INDEX(Projects[Est Systems Eng],255)))</f>
        <v/>
      </c>
      <c r="CJ256" s="5">
        <f>IF(A256="","",N(INDEX(Projects[Est Mechanical Eng],255)))</f>
        <v/>
      </c>
      <c r="CK256" s="5">
        <f>IF(A256="","",N(INDEX(Projects[Est Structural Engineering],255)))</f>
        <v/>
      </c>
      <c r="CL256" s="5">
        <f>IF(A256="","",N(INDEX(Projects[Est Site Sup],255)))</f>
        <v/>
      </c>
      <c r="CM256" s="5">
        <f>IF(A256="","",N(INDEX(Projects[Est Controls Commissioning],255)))</f>
        <v/>
      </c>
      <c r="CN256" s="5">
        <f>IF(A256="","",N(INDEX(Projects[Est Systems Commissioning],255)))</f>
        <v/>
      </c>
      <c r="CO256" s="5">
        <f>IF(A256="","",N(INDEX(Projects[Est Service Commissioning],255)))</f>
        <v/>
      </c>
      <c r="CP256" s="5">
        <f>IF(A256="","",N(INDEX(Projects[Est Controls Eng],255)))</f>
        <v/>
      </c>
      <c r="CQ256" s="5">
        <f>IF(A256="","",N(INDEX(Projects[Est Controls Purchase],255)))</f>
        <v/>
      </c>
      <c r="CR256" s="5">
        <f>IF(A256="","",N(INDEX(Projects[Est Software Eng],255)))</f>
        <v/>
      </c>
      <c r="CS256" s="5">
        <f>IF(A256="","",N(INDEX(Projects[Est Misc],255)))</f>
        <v/>
      </c>
      <c r="CT256" s="5">
        <f>IF(A256="","",SUM(CF256:CS256))</f>
        <v/>
      </c>
      <c r="CU256" s="5">
        <f>INDEX(Projects[Est Cost (M)],255)</f>
        <v/>
      </c>
      <c r="CV256" s="5">
        <f>INDEX(Projects[Act Cost (M)],255)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IF(A257="","",N(INDEX(Projects[Act Mech Inst],256)))</f>
        <v/>
      </c>
      <c r="BK257" s="5">
        <f>IF(A257="","",N(INDEX(Projects[Act Elec Inst],256)))</f>
        <v/>
      </c>
      <c r="BL257" s="5">
        <f>IF(A257="","",N(INDEX(Projects[Act Project Management],256)))</f>
        <v/>
      </c>
      <c r="BM257" s="5">
        <f>IF(A257="","",N(INDEX(Projects[Act Systems Eng],256)))</f>
        <v/>
      </c>
      <c r="BN257" s="5">
        <f>IF(A257="","",N(INDEX(Projects[Act Mechanical Eng],256)))</f>
        <v/>
      </c>
      <c r="BO257" s="5">
        <f>IF(A257="","",N(INDEX(Projects[Act Structural Engineering],256)))</f>
        <v/>
      </c>
      <c r="BP257" s="5">
        <f>IF(A257="","",N(INDEX(Projects[Act Site Sup],256)))</f>
        <v/>
      </c>
      <c r="BQ257" s="5">
        <f>IF(A257="","",N(INDEX(Projects[Act Controls Commissioning],256)))</f>
        <v/>
      </c>
      <c r="BR257" s="5">
        <f>IF(A257="","",N(INDEX(Projects[Act Systems Commissioning],256)))</f>
        <v/>
      </c>
      <c r="BS257" s="5">
        <f>IF(A257="","",N(INDEX(Projects[Act Service Commissioning],256)))</f>
        <v/>
      </c>
      <c r="BT257" s="5">
        <f>IF(A257="","",N(INDEX(Projects[Act Controls Eng],256)))</f>
        <v/>
      </c>
      <c r="BU257" s="5">
        <f>IF(A257="","",N(INDEX(Projects[Act Controls Purchase],256)))</f>
        <v/>
      </c>
      <c r="BV257" s="5">
        <f>IF(A257="","",N(INDEX(Projects[Act Software Eng],256)))</f>
        <v/>
      </c>
      <c r="BW257" s="5">
        <f>IF(A257="","",N(INDEX(Projects[Act 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  <c r="CE257" s="5">
        <f>INDEX(Projects[Act Data Status],256)&amp;""</f>
        <v/>
      </c>
      <c r="CF257" s="5">
        <f>IF(A257="","",N(INDEX(Projects[Est Mech Inst],256)))</f>
        <v/>
      </c>
      <c r="CG257" s="5">
        <f>IF(A257="","",N(INDEX(Projects[Est Elec Inst],256)))</f>
        <v/>
      </c>
      <c r="CH257" s="5">
        <f>IF(A257="","",N(INDEX(Projects[Est Project Management],256)))</f>
        <v/>
      </c>
      <c r="CI257" s="5">
        <f>IF(A257="","",N(INDEX(Projects[Est Systems Eng],256)))</f>
        <v/>
      </c>
      <c r="CJ257" s="5">
        <f>IF(A257="","",N(INDEX(Projects[Est Mechanical Eng],256)))</f>
        <v/>
      </c>
      <c r="CK257" s="5">
        <f>IF(A257="","",N(INDEX(Projects[Est Structural Engineering],256)))</f>
        <v/>
      </c>
      <c r="CL257" s="5">
        <f>IF(A257="","",N(INDEX(Projects[Est Site Sup],256)))</f>
        <v/>
      </c>
      <c r="CM257" s="5">
        <f>IF(A257="","",N(INDEX(Projects[Est Controls Commissioning],256)))</f>
        <v/>
      </c>
      <c r="CN257" s="5">
        <f>IF(A257="","",N(INDEX(Projects[Est Systems Commissioning],256)))</f>
        <v/>
      </c>
      <c r="CO257" s="5">
        <f>IF(A257="","",N(INDEX(Projects[Est Service Commissioning],256)))</f>
        <v/>
      </c>
      <c r="CP257" s="5">
        <f>IF(A257="","",N(INDEX(Projects[Est Controls Eng],256)))</f>
        <v/>
      </c>
      <c r="CQ257" s="5">
        <f>IF(A257="","",N(INDEX(Projects[Est Controls Purchase],256)))</f>
        <v/>
      </c>
      <c r="CR257" s="5">
        <f>IF(A257="","",N(INDEX(Projects[Est Software Eng],256)))</f>
        <v/>
      </c>
      <c r="CS257" s="5">
        <f>IF(A257="","",N(INDEX(Projects[Est Misc],256)))</f>
        <v/>
      </c>
      <c r="CT257" s="5">
        <f>IF(A257="","",SUM(CF257:CS257))</f>
        <v/>
      </c>
      <c r="CU257" s="5">
        <f>INDEX(Projects[Est Cost (M)],256)</f>
        <v/>
      </c>
      <c r="CV257" s="5">
        <f>INDEX(Projects[Act Cost (M)],256)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IF(A258="","",N(INDEX(Projects[Act Mech Inst],257)))</f>
        <v/>
      </c>
      <c r="BK258" s="5">
        <f>IF(A258="","",N(INDEX(Projects[Act Elec Inst],257)))</f>
        <v/>
      </c>
      <c r="BL258" s="5">
        <f>IF(A258="","",N(INDEX(Projects[Act Project Management],257)))</f>
        <v/>
      </c>
      <c r="BM258" s="5">
        <f>IF(A258="","",N(INDEX(Projects[Act Systems Eng],257)))</f>
        <v/>
      </c>
      <c r="BN258" s="5">
        <f>IF(A258="","",N(INDEX(Projects[Act Mechanical Eng],257)))</f>
        <v/>
      </c>
      <c r="BO258" s="5">
        <f>IF(A258="","",N(INDEX(Projects[Act Structural Engineering],257)))</f>
        <v/>
      </c>
      <c r="BP258" s="5">
        <f>IF(A258="","",N(INDEX(Projects[Act Site Sup],257)))</f>
        <v/>
      </c>
      <c r="BQ258" s="5">
        <f>IF(A258="","",N(INDEX(Projects[Act Controls Commissioning],257)))</f>
        <v/>
      </c>
      <c r="BR258" s="5">
        <f>IF(A258="","",N(INDEX(Projects[Act Systems Commissioning],257)))</f>
        <v/>
      </c>
      <c r="BS258" s="5">
        <f>IF(A258="","",N(INDEX(Projects[Act Service Commissioning],257)))</f>
        <v/>
      </c>
      <c r="BT258" s="5">
        <f>IF(A258="","",N(INDEX(Projects[Act Controls Eng],257)))</f>
        <v/>
      </c>
      <c r="BU258" s="5">
        <f>IF(A258="","",N(INDEX(Projects[Act Controls Purchase],257)))</f>
        <v/>
      </c>
      <c r="BV258" s="5">
        <f>IF(A258="","",N(INDEX(Projects[Act Software Eng],257)))</f>
        <v/>
      </c>
      <c r="BW258" s="5">
        <f>IF(A258="","",N(INDEX(Projects[Act 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  <c r="CE258" s="5">
        <f>INDEX(Projects[Act Data Status],257)&amp;""</f>
        <v/>
      </c>
      <c r="CF258" s="5">
        <f>IF(A258="","",N(INDEX(Projects[Est Mech Inst],257)))</f>
        <v/>
      </c>
      <c r="CG258" s="5">
        <f>IF(A258="","",N(INDEX(Projects[Est Elec Inst],257)))</f>
        <v/>
      </c>
      <c r="CH258" s="5">
        <f>IF(A258="","",N(INDEX(Projects[Est Project Management],257)))</f>
        <v/>
      </c>
      <c r="CI258" s="5">
        <f>IF(A258="","",N(INDEX(Projects[Est Systems Eng],257)))</f>
        <v/>
      </c>
      <c r="CJ258" s="5">
        <f>IF(A258="","",N(INDEX(Projects[Est Mechanical Eng],257)))</f>
        <v/>
      </c>
      <c r="CK258" s="5">
        <f>IF(A258="","",N(INDEX(Projects[Est Structural Engineering],257)))</f>
        <v/>
      </c>
      <c r="CL258" s="5">
        <f>IF(A258="","",N(INDEX(Projects[Est Site Sup],257)))</f>
        <v/>
      </c>
      <c r="CM258" s="5">
        <f>IF(A258="","",N(INDEX(Projects[Est Controls Commissioning],257)))</f>
        <v/>
      </c>
      <c r="CN258" s="5">
        <f>IF(A258="","",N(INDEX(Projects[Est Systems Commissioning],257)))</f>
        <v/>
      </c>
      <c r="CO258" s="5">
        <f>IF(A258="","",N(INDEX(Projects[Est Service Commissioning],257)))</f>
        <v/>
      </c>
      <c r="CP258" s="5">
        <f>IF(A258="","",N(INDEX(Projects[Est Controls Eng],257)))</f>
        <v/>
      </c>
      <c r="CQ258" s="5">
        <f>IF(A258="","",N(INDEX(Projects[Est Controls Purchase],257)))</f>
        <v/>
      </c>
      <c r="CR258" s="5">
        <f>IF(A258="","",N(INDEX(Projects[Est Software Eng],257)))</f>
        <v/>
      </c>
      <c r="CS258" s="5">
        <f>IF(A258="","",N(INDEX(Projects[Est Misc],257)))</f>
        <v/>
      </c>
      <c r="CT258" s="5">
        <f>IF(A258="","",SUM(CF258:CS258))</f>
        <v/>
      </c>
      <c r="CU258" s="5">
        <f>INDEX(Projects[Est Cost (M)],257)</f>
        <v/>
      </c>
      <c r="CV258" s="5">
        <f>INDEX(Projects[Act Cost (M)],257)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IF(A259="","",N(INDEX(Projects[Act Mech Inst],258)))</f>
        <v/>
      </c>
      <c r="BK259" s="5">
        <f>IF(A259="","",N(INDEX(Projects[Act Elec Inst],258)))</f>
        <v/>
      </c>
      <c r="BL259" s="5">
        <f>IF(A259="","",N(INDEX(Projects[Act Project Management],258)))</f>
        <v/>
      </c>
      <c r="BM259" s="5">
        <f>IF(A259="","",N(INDEX(Projects[Act Systems Eng],258)))</f>
        <v/>
      </c>
      <c r="BN259" s="5">
        <f>IF(A259="","",N(INDEX(Projects[Act Mechanical Eng],258)))</f>
        <v/>
      </c>
      <c r="BO259" s="5">
        <f>IF(A259="","",N(INDEX(Projects[Act Structural Engineering],258)))</f>
        <v/>
      </c>
      <c r="BP259" s="5">
        <f>IF(A259="","",N(INDEX(Projects[Act Site Sup],258)))</f>
        <v/>
      </c>
      <c r="BQ259" s="5">
        <f>IF(A259="","",N(INDEX(Projects[Act Controls Commissioning],258)))</f>
        <v/>
      </c>
      <c r="BR259" s="5">
        <f>IF(A259="","",N(INDEX(Projects[Act Systems Commissioning],258)))</f>
        <v/>
      </c>
      <c r="BS259" s="5">
        <f>IF(A259="","",N(INDEX(Projects[Act Service Commissioning],258)))</f>
        <v/>
      </c>
      <c r="BT259" s="5">
        <f>IF(A259="","",N(INDEX(Projects[Act Controls Eng],258)))</f>
        <v/>
      </c>
      <c r="BU259" s="5">
        <f>IF(A259="","",N(INDEX(Projects[Act Controls Purchase],258)))</f>
        <v/>
      </c>
      <c r="BV259" s="5">
        <f>IF(A259="","",N(INDEX(Projects[Act Software Eng],258)))</f>
        <v/>
      </c>
      <c r="BW259" s="5">
        <f>IF(A259="","",N(INDEX(Projects[Act 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  <c r="CE259" s="5">
        <f>INDEX(Projects[Act Data Status],258)&amp;""</f>
        <v/>
      </c>
      <c r="CF259" s="5">
        <f>IF(A259="","",N(INDEX(Projects[Est Mech Inst],258)))</f>
        <v/>
      </c>
      <c r="CG259" s="5">
        <f>IF(A259="","",N(INDEX(Projects[Est Elec Inst],258)))</f>
        <v/>
      </c>
      <c r="CH259" s="5">
        <f>IF(A259="","",N(INDEX(Projects[Est Project Management],258)))</f>
        <v/>
      </c>
      <c r="CI259" s="5">
        <f>IF(A259="","",N(INDEX(Projects[Est Systems Eng],258)))</f>
        <v/>
      </c>
      <c r="CJ259" s="5">
        <f>IF(A259="","",N(INDEX(Projects[Est Mechanical Eng],258)))</f>
        <v/>
      </c>
      <c r="CK259" s="5">
        <f>IF(A259="","",N(INDEX(Projects[Est Structural Engineering],258)))</f>
        <v/>
      </c>
      <c r="CL259" s="5">
        <f>IF(A259="","",N(INDEX(Projects[Est Site Sup],258)))</f>
        <v/>
      </c>
      <c r="CM259" s="5">
        <f>IF(A259="","",N(INDEX(Projects[Est Controls Commissioning],258)))</f>
        <v/>
      </c>
      <c r="CN259" s="5">
        <f>IF(A259="","",N(INDEX(Projects[Est Systems Commissioning],258)))</f>
        <v/>
      </c>
      <c r="CO259" s="5">
        <f>IF(A259="","",N(INDEX(Projects[Est Service Commissioning],258)))</f>
        <v/>
      </c>
      <c r="CP259" s="5">
        <f>IF(A259="","",N(INDEX(Projects[Est Controls Eng],258)))</f>
        <v/>
      </c>
      <c r="CQ259" s="5">
        <f>IF(A259="","",N(INDEX(Projects[Est Controls Purchase],258)))</f>
        <v/>
      </c>
      <c r="CR259" s="5">
        <f>IF(A259="","",N(INDEX(Projects[Est Software Eng],258)))</f>
        <v/>
      </c>
      <c r="CS259" s="5">
        <f>IF(A259="","",N(INDEX(Projects[Est Misc],258)))</f>
        <v/>
      </c>
      <c r="CT259" s="5">
        <f>IF(A259="","",SUM(CF259:CS259))</f>
        <v/>
      </c>
      <c r="CU259" s="5">
        <f>INDEX(Projects[Est Cost (M)],258)</f>
        <v/>
      </c>
      <c r="CV259" s="5">
        <f>INDEX(Projects[Act Cost (M)],258)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IF(A260="","",N(INDEX(Projects[Act Mech Inst],259)))</f>
        <v/>
      </c>
      <c r="BK260" s="5">
        <f>IF(A260="","",N(INDEX(Projects[Act Elec Inst],259)))</f>
        <v/>
      </c>
      <c r="BL260" s="5">
        <f>IF(A260="","",N(INDEX(Projects[Act Project Management],259)))</f>
        <v/>
      </c>
      <c r="BM260" s="5">
        <f>IF(A260="","",N(INDEX(Projects[Act Systems Eng],259)))</f>
        <v/>
      </c>
      <c r="BN260" s="5">
        <f>IF(A260="","",N(INDEX(Projects[Act Mechanical Eng],259)))</f>
        <v/>
      </c>
      <c r="BO260" s="5">
        <f>IF(A260="","",N(INDEX(Projects[Act Structural Engineering],259)))</f>
        <v/>
      </c>
      <c r="BP260" s="5">
        <f>IF(A260="","",N(INDEX(Projects[Act Site Sup],259)))</f>
        <v/>
      </c>
      <c r="BQ260" s="5">
        <f>IF(A260="","",N(INDEX(Projects[Act Controls Commissioning],259)))</f>
        <v/>
      </c>
      <c r="BR260" s="5">
        <f>IF(A260="","",N(INDEX(Projects[Act Systems Commissioning],259)))</f>
        <v/>
      </c>
      <c r="BS260" s="5">
        <f>IF(A260="","",N(INDEX(Projects[Act Service Commissioning],259)))</f>
        <v/>
      </c>
      <c r="BT260" s="5">
        <f>IF(A260="","",N(INDEX(Projects[Act Controls Eng],259)))</f>
        <v/>
      </c>
      <c r="BU260" s="5">
        <f>IF(A260="","",N(INDEX(Projects[Act Controls Purchase],259)))</f>
        <v/>
      </c>
      <c r="BV260" s="5">
        <f>IF(A260="","",N(INDEX(Projects[Act Software Eng],259)))</f>
        <v/>
      </c>
      <c r="BW260" s="5">
        <f>IF(A260="","",N(INDEX(Projects[Act 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  <c r="CE260" s="5">
        <f>INDEX(Projects[Act Data Status],259)&amp;""</f>
        <v/>
      </c>
      <c r="CF260" s="5">
        <f>IF(A260="","",N(INDEX(Projects[Est Mech Inst],259)))</f>
        <v/>
      </c>
      <c r="CG260" s="5">
        <f>IF(A260="","",N(INDEX(Projects[Est Elec Inst],259)))</f>
        <v/>
      </c>
      <c r="CH260" s="5">
        <f>IF(A260="","",N(INDEX(Projects[Est Project Management],259)))</f>
        <v/>
      </c>
      <c r="CI260" s="5">
        <f>IF(A260="","",N(INDEX(Projects[Est Systems Eng],259)))</f>
        <v/>
      </c>
      <c r="CJ260" s="5">
        <f>IF(A260="","",N(INDEX(Projects[Est Mechanical Eng],259)))</f>
        <v/>
      </c>
      <c r="CK260" s="5">
        <f>IF(A260="","",N(INDEX(Projects[Est Structural Engineering],259)))</f>
        <v/>
      </c>
      <c r="CL260" s="5">
        <f>IF(A260="","",N(INDEX(Projects[Est Site Sup],259)))</f>
        <v/>
      </c>
      <c r="CM260" s="5">
        <f>IF(A260="","",N(INDEX(Projects[Est Controls Commissioning],259)))</f>
        <v/>
      </c>
      <c r="CN260" s="5">
        <f>IF(A260="","",N(INDEX(Projects[Est Systems Commissioning],259)))</f>
        <v/>
      </c>
      <c r="CO260" s="5">
        <f>IF(A260="","",N(INDEX(Projects[Est Service Commissioning],259)))</f>
        <v/>
      </c>
      <c r="CP260" s="5">
        <f>IF(A260="","",N(INDEX(Projects[Est Controls Eng],259)))</f>
        <v/>
      </c>
      <c r="CQ260" s="5">
        <f>IF(A260="","",N(INDEX(Projects[Est Controls Purchase],259)))</f>
        <v/>
      </c>
      <c r="CR260" s="5">
        <f>IF(A260="","",N(INDEX(Projects[Est Software Eng],259)))</f>
        <v/>
      </c>
      <c r="CS260" s="5">
        <f>IF(A260="","",N(INDEX(Projects[Est Misc],259)))</f>
        <v/>
      </c>
      <c r="CT260" s="5">
        <f>IF(A260="","",SUM(CF260:CS260))</f>
        <v/>
      </c>
      <c r="CU260" s="5">
        <f>INDEX(Projects[Est Cost (M)],259)</f>
        <v/>
      </c>
      <c r="CV260" s="5">
        <f>INDEX(Projects[Act Cost (M)],259)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IF(A261="","",N(INDEX(Projects[Act Mech Inst],260)))</f>
        <v/>
      </c>
      <c r="BK261" s="5">
        <f>IF(A261="","",N(INDEX(Projects[Act Elec Inst],260)))</f>
        <v/>
      </c>
      <c r="BL261" s="5">
        <f>IF(A261="","",N(INDEX(Projects[Act Project Management],260)))</f>
        <v/>
      </c>
      <c r="BM261" s="5">
        <f>IF(A261="","",N(INDEX(Projects[Act Systems Eng],260)))</f>
        <v/>
      </c>
      <c r="BN261" s="5">
        <f>IF(A261="","",N(INDEX(Projects[Act Mechanical Eng],260)))</f>
        <v/>
      </c>
      <c r="BO261" s="5">
        <f>IF(A261="","",N(INDEX(Projects[Act Structural Engineering],260)))</f>
        <v/>
      </c>
      <c r="BP261" s="5">
        <f>IF(A261="","",N(INDEX(Projects[Act Site Sup],260)))</f>
        <v/>
      </c>
      <c r="BQ261" s="5">
        <f>IF(A261="","",N(INDEX(Projects[Act Controls Commissioning],260)))</f>
        <v/>
      </c>
      <c r="BR261" s="5">
        <f>IF(A261="","",N(INDEX(Projects[Act Systems Commissioning],260)))</f>
        <v/>
      </c>
      <c r="BS261" s="5">
        <f>IF(A261="","",N(INDEX(Projects[Act Service Commissioning],260)))</f>
        <v/>
      </c>
      <c r="BT261" s="5">
        <f>IF(A261="","",N(INDEX(Projects[Act Controls Eng],260)))</f>
        <v/>
      </c>
      <c r="BU261" s="5">
        <f>IF(A261="","",N(INDEX(Projects[Act Controls Purchase],260)))</f>
        <v/>
      </c>
      <c r="BV261" s="5">
        <f>IF(A261="","",N(INDEX(Projects[Act Software Eng],260)))</f>
        <v/>
      </c>
      <c r="BW261" s="5">
        <f>IF(A261="","",N(INDEX(Projects[Act 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  <c r="CE261" s="5">
        <f>INDEX(Projects[Act Data Status],260)&amp;""</f>
        <v/>
      </c>
      <c r="CF261" s="5">
        <f>IF(A261="","",N(INDEX(Projects[Est Mech Inst],260)))</f>
        <v/>
      </c>
      <c r="CG261" s="5">
        <f>IF(A261="","",N(INDEX(Projects[Est Elec Inst],260)))</f>
        <v/>
      </c>
      <c r="CH261" s="5">
        <f>IF(A261="","",N(INDEX(Projects[Est Project Management],260)))</f>
        <v/>
      </c>
      <c r="CI261" s="5">
        <f>IF(A261="","",N(INDEX(Projects[Est Systems Eng],260)))</f>
        <v/>
      </c>
      <c r="CJ261" s="5">
        <f>IF(A261="","",N(INDEX(Projects[Est Mechanical Eng],260)))</f>
        <v/>
      </c>
      <c r="CK261" s="5">
        <f>IF(A261="","",N(INDEX(Projects[Est Structural Engineering],260)))</f>
        <v/>
      </c>
      <c r="CL261" s="5">
        <f>IF(A261="","",N(INDEX(Projects[Est Site Sup],260)))</f>
        <v/>
      </c>
      <c r="CM261" s="5">
        <f>IF(A261="","",N(INDEX(Projects[Est Controls Commissioning],260)))</f>
        <v/>
      </c>
      <c r="CN261" s="5">
        <f>IF(A261="","",N(INDEX(Projects[Est Systems Commissioning],260)))</f>
        <v/>
      </c>
      <c r="CO261" s="5">
        <f>IF(A261="","",N(INDEX(Projects[Est Service Commissioning],260)))</f>
        <v/>
      </c>
      <c r="CP261" s="5">
        <f>IF(A261="","",N(INDEX(Projects[Est Controls Eng],260)))</f>
        <v/>
      </c>
      <c r="CQ261" s="5">
        <f>IF(A261="","",N(INDEX(Projects[Est Controls Purchase],260)))</f>
        <v/>
      </c>
      <c r="CR261" s="5">
        <f>IF(A261="","",N(INDEX(Projects[Est Software Eng],260)))</f>
        <v/>
      </c>
      <c r="CS261" s="5">
        <f>IF(A261="","",N(INDEX(Projects[Est Misc],260)))</f>
        <v/>
      </c>
      <c r="CT261" s="5">
        <f>IF(A261="","",SUM(CF261:CS261))</f>
        <v/>
      </c>
      <c r="CU261" s="5">
        <f>INDEX(Projects[Est Cost (M)],260)</f>
        <v/>
      </c>
      <c r="CV261" s="5">
        <f>INDEX(Projects[Act Cost (M)],260)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IF(A262="","",N(INDEX(Projects[Act Mech Inst],261)))</f>
        <v/>
      </c>
      <c r="BK262" s="5">
        <f>IF(A262="","",N(INDEX(Projects[Act Elec Inst],261)))</f>
        <v/>
      </c>
      <c r="BL262" s="5">
        <f>IF(A262="","",N(INDEX(Projects[Act Project Management],261)))</f>
        <v/>
      </c>
      <c r="BM262" s="5">
        <f>IF(A262="","",N(INDEX(Projects[Act Systems Eng],261)))</f>
        <v/>
      </c>
      <c r="BN262" s="5">
        <f>IF(A262="","",N(INDEX(Projects[Act Mechanical Eng],261)))</f>
        <v/>
      </c>
      <c r="BO262" s="5">
        <f>IF(A262="","",N(INDEX(Projects[Act Structural Engineering],261)))</f>
        <v/>
      </c>
      <c r="BP262" s="5">
        <f>IF(A262="","",N(INDEX(Projects[Act Site Sup],261)))</f>
        <v/>
      </c>
      <c r="BQ262" s="5">
        <f>IF(A262="","",N(INDEX(Projects[Act Controls Commissioning],261)))</f>
        <v/>
      </c>
      <c r="BR262" s="5">
        <f>IF(A262="","",N(INDEX(Projects[Act Systems Commissioning],261)))</f>
        <v/>
      </c>
      <c r="BS262" s="5">
        <f>IF(A262="","",N(INDEX(Projects[Act Service Commissioning],261)))</f>
        <v/>
      </c>
      <c r="BT262" s="5">
        <f>IF(A262="","",N(INDEX(Projects[Act Controls Eng],261)))</f>
        <v/>
      </c>
      <c r="BU262" s="5">
        <f>IF(A262="","",N(INDEX(Projects[Act Controls Purchase],261)))</f>
        <v/>
      </c>
      <c r="BV262" s="5">
        <f>IF(A262="","",N(INDEX(Projects[Act Software Eng],261)))</f>
        <v/>
      </c>
      <c r="BW262" s="5">
        <f>IF(A262="","",N(INDEX(Projects[Act 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  <c r="CE262" s="5">
        <f>INDEX(Projects[Act Data Status],261)&amp;""</f>
        <v/>
      </c>
      <c r="CF262" s="5">
        <f>IF(A262="","",N(INDEX(Projects[Est Mech Inst],261)))</f>
        <v/>
      </c>
      <c r="CG262" s="5">
        <f>IF(A262="","",N(INDEX(Projects[Est Elec Inst],261)))</f>
        <v/>
      </c>
      <c r="CH262" s="5">
        <f>IF(A262="","",N(INDEX(Projects[Est Project Management],261)))</f>
        <v/>
      </c>
      <c r="CI262" s="5">
        <f>IF(A262="","",N(INDEX(Projects[Est Systems Eng],261)))</f>
        <v/>
      </c>
      <c r="CJ262" s="5">
        <f>IF(A262="","",N(INDEX(Projects[Est Mechanical Eng],261)))</f>
        <v/>
      </c>
      <c r="CK262" s="5">
        <f>IF(A262="","",N(INDEX(Projects[Est Structural Engineering],261)))</f>
        <v/>
      </c>
      <c r="CL262" s="5">
        <f>IF(A262="","",N(INDEX(Projects[Est Site Sup],261)))</f>
        <v/>
      </c>
      <c r="CM262" s="5">
        <f>IF(A262="","",N(INDEX(Projects[Est Controls Commissioning],261)))</f>
        <v/>
      </c>
      <c r="CN262" s="5">
        <f>IF(A262="","",N(INDEX(Projects[Est Systems Commissioning],261)))</f>
        <v/>
      </c>
      <c r="CO262" s="5">
        <f>IF(A262="","",N(INDEX(Projects[Est Service Commissioning],261)))</f>
        <v/>
      </c>
      <c r="CP262" s="5">
        <f>IF(A262="","",N(INDEX(Projects[Est Controls Eng],261)))</f>
        <v/>
      </c>
      <c r="CQ262" s="5">
        <f>IF(A262="","",N(INDEX(Projects[Est Controls Purchase],261)))</f>
        <v/>
      </c>
      <c r="CR262" s="5">
        <f>IF(A262="","",N(INDEX(Projects[Est Software Eng],261)))</f>
        <v/>
      </c>
      <c r="CS262" s="5">
        <f>IF(A262="","",N(INDEX(Projects[Est Misc],261)))</f>
        <v/>
      </c>
      <c r="CT262" s="5">
        <f>IF(A262="","",SUM(CF262:CS262))</f>
        <v/>
      </c>
      <c r="CU262" s="5">
        <f>INDEX(Projects[Est Cost (M)],261)</f>
        <v/>
      </c>
      <c r="CV262" s="5">
        <f>INDEX(Projects[Act Cost (M)],261)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IF(A263="","",N(INDEX(Projects[Act Mech Inst],262)))</f>
        <v/>
      </c>
      <c r="BK263" s="5">
        <f>IF(A263="","",N(INDEX(Projects[Act Elec Inst],262)))</f>
        <v/>
      </c>
      <c r="BL263" s="5">
        <f>IF(A263="","",N(INDEX(Projects[Act Project Management],262)))</f>
        <v/>
      </c>
      <c r="BM263" s="5">
        <f>IF(A263="","",N(INDEX(Projects[Act Systems Eng],262)))</f>
        <v/>
      </c>
      <c r="BN263" s="5">
        <f>IF(A263="","",N(INDEX(Projects[Act Mechanical Eng],262)))</f>
        <v/>
      </c>
      <c r="BO263" s="5">
        <f>IF(A263="","",N(INDEX(Projects[Act Structural Engineering],262)))</f>
        <v/>
      </c>
      <c r="BP263" s="5">
        <f>IF(A263="","",N(INDEX(Projects[Act Site Sup],262)))</f>
        <v/>
      </c>
      <c r="BQ263" s="5">
        <f>IF(A263="","",N(INDEX(Projects[Act Controls Commissioning],262)))</f>
        <v/>
      </c>
      <c r="BR263" s="5">
        <f>IF(A263="","",N(INDEX(Projects[Act Systems Commissioning],262)))</f>
        <v/>
      </c>
      <c r="BS263" s="5">
        <f>IF(A263="","",N(INDEX(Projects[Act Service Commissioning],262)))</f>
        <v/>
      </c>
      <c r="BT263" s="5">
        <f>IF(A263="","",N(INDEX(Projects[Act Controls Eng],262)))</f>
        <v/>
      </c>
      <c r="BU263" s="5">
        <f>IF(A263="","",N(INDEX(Projects[Act Controls Purchase],262)))</f>
        <v/>
      </c>
      <c r="BV263" s="5">
        <f>IF(A263="","",N(INDEX(Projects[Act Software Eng],262)))</f>
        <v/>
      </c>
      <c r="BW263" s="5">
        <f>IF(A263="","",N(INDEX(Projects[Act 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  <c r="CE263" s="5">
        <f>INDEX(Projects[Act Data Status],262)&amp;""</f>
        <v/>
      </c>
      <c r="CF263" s="5">
        <f>IF(A263="","",N(INDEX(Projects[Est Mech Inst],262)))</f>
        <v/>
      </c>
      <c r="CG263" s="5">
        <f>IF(A263="","",N(INDEX(Projects[Est Elec Inst],262)))</f>
        <v/>
      </c>
      <c r="CH263" s="5">
        <f>IF(A263="","",N(INDEX(Projects[Est Project Management],262)))</f>
        <v/>
      </c>
      <c r="CI263" s="5">
        <f>IF(A263="","",N(INDEX(Projects[Est Systems Eng],262)))</f>
        <v/>
      </c>
      <c r="CJ263" s="5">
        <f>IF(A263="","",N(INDEX(Projects[Est Mechanical Eng],262)))</f>
        <v/>
      </c>
      <c r="CK263" s="5">
        <f>IF(A263="","",N(INDEX(Projects[Est Structural Engineering],262)))</f>
        <v/>
      </c>
      <c r="CL263" s="5">
        <f>IF(A263="","",N(INDEX(Projects[Est Site Sup],262)))</f>
        <v/>
      </c>
      <c r="CM263" s="5">
        <f>IF(A263="","",N(INDEX(Projects[Est Controls Commissioning],262)))</f>
        <v/>
      </c>
      <c r="CN263" s="5">
        <f>IF(A263="","",N(INDEX(Projects[Est Systems Commissioning],262)))</f>
        <v/>
      </c>
      <c r="CO263" s="5">
        <f>IF(A263="","",N(INDEX(Projects[Est Service Commissioning],262)))</f>
        <v/>
      </c>
      <c r="CP263" s="5">
        <f>IF(A263="","",N(INDEX(Projects[Est Controls Eng],262)))</f>
        <v/>
      </c>
      <c r="CQ263" s="5">
        <f>IF(A263="","",N(INDEX(Projects[Est Controls Purchase],262)))</f>
        <v/>
      </c>
      <c r="CR263" s="5">
        <f>IF(A263="","",N(INDEX(Projects[Est Software Eng],262)))</f>
        <v/>
      </c>
      <c r="CS263" s="5">
        <f>IF(A263="","",N(INDEX(Projects[Est Misc],262)))</f>
        <v/>
      </c>
      <c r="CT263" s="5">
        <f>IF(A263="","",SUM(CF263:CS263))</f>
        <v/>
      </c>
      <c r="CU263" s="5">
        <f>INDEX(Projects[Est Cost (M)],262)</f>
        <v/>
      </c>
      <c r="CV263" s="5">
        <f>INDEX(Projects[Act Cost (M)],262)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IF(A264="","",N(INDEX(Projects[Act Mech Inst],263)))</f>
        <v/>
      </c>
      <c r="BK264" s="5">
        <f>IF(A264="","",N(INDEX(Projects[Act Elec Inst],263)))</f>
        <v/>
      </c>
      <c r="BL264" s="5">
        <f>IF(A264="","",N(INDEX(Projects[Act Project Management],263)))</f>
        <v/>
      </c>
      <c r="BM264" s="5">
        <f>IF(A264="","",N(INDEX(Projects[Act Systems Eng],263)))</f>
        <v/>
      </c>
      <c r="BN264" s="5">
        <f>IF(A264="","",N(INDEX(Projects[Act Mechanical Eng],263)))</f>
        <v/>
      </c>
      <c r="BO264" s="5">
        <f>IF(A264="","",N(INDEX(Projects[Act Structural Engineering],263)))</f>
        <v/>
      </c>
      <c r="BP264" s="5">
        <f>IF(A264="","",N(INDEX(Projects[Act Site Sup],263)))</f>
        <v/>
      </c>
      <c r="BQ264" s="5">
        <f>IF(A264="","",N(INDEX(Projects[Act Controls Commissioning],263)))</f>
        <v/>
      </c>
      <c r="BR264" s="5">
        <f>IF(A264="","",N(INDEX(Projects[Act Systems Commissioning],263)))</f>
        <v/>
      </c>
      <c r="BS264" s="5">
        <f>IF(A264="","",N(INDEX(Projects[Act Service Commissioning],263)))</f>
        <v/>
      </c>
      <c r="BT264" s="5">
        <f>IF(A264="","",N(INDEX(Projects[Act Controls Eng],263)))</f>
        <v/>
      </c>
      <c r="BU264" s="5">
        <f>IF(A264="","",N(INDEX(Projects[Act Controls Purchase],263)))</f>
        <v/>
      </c>
      <c r="BV264" s="5">
        <f>IF(A264="","",N(INDEX(Projects[Act Software Eng],263)))</f>
        <v/>
      </c>
      <c r="BW264" s="5">
        <f>IF(A264="","",N(INDEX(Projects[Act 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  <c r="CE264" s="5">
        <f>INDEX(Projects[Act Data Status],263)&amp;""</f>
        <v/>
      </c>
      <c r="CF264" s="5">
        <f>IF(A264="","",N(INDEX(Projects[Est Mech Inst],263)))</f>
        <v/>
      </c>
      <c r="CG264" s="5">
        <f>IF(A264="","",N(INDEX(Projects[Est Elec Inst],263)))</f>
        <v/>
      </c>
      <c r="CH264" s="5">
        <f>IF(A264="","",N(INDEX(Projects[Est Project Management],263)))</f>
        <v/>
      </c>
      <c r="CI264" s="5">
        <f>IF(A264="","",N(INDEX(Projects[Est Systems Eng],263)))</f>
        <v/>
      </c>
      <c r="CJ264" s="5">
        <f>IF(A264="","",N(INDEX(Projects[Est Mechanical Eng],263)))</f>
        <v/>
      </c>
      <c r="CK264" s="5">
        <f>IF(A264="","",N(INDEX(Projects[Est Structural Engineering],263)))</f>
        <v/>
      </c>
      <c r="CL264" s="5">
        <f>IF(A264="","",N(INDEX(Projects[Est Site Sup],263)))</f>
        <v/>
      </c>
      <c r="CM264" s="5">
        <f>IF(A264="","",N(INDEX(Projects[Est Controls Commissioning],263)))</f>
        <v/>
      </c>
      <c r="CN264" s="5">
        <f>IF(A264="","",N(INDEX(Projects[Est Systems Commissioning],263)))</f>
        <v/>
      </c>
      <c r="CO264" s="5">
        <f>IF(A264="","",N(INDEX(Projects[Est Service Commissioning],263)))</f>
        <v/>
      </c>
      <c r="CP264" s="5">
        <f>IF(A264="","",N(INDEX(Projects[Est Controls Eng],263)))</f>
        <v/>
      </c>
      <c r="CQ264" s="5">
        <f>IF(A264="","",N(INDEX(Projects[Est Controls Purchase],263)))</f>
        <v/>
      </c>
      <c r="CR264" s="5">
        <f>IF(A264="","",N(INDEX(Projects[Est Software Eng],263)))</f>
        <v/>
      </c>
      <c r="CS264" s="5">
        <f>IF(A264="","",N(INDEX(Projects[Est Misc],263)))</f>
        <v/>
      </c>
      <c r="CT264" s="5">
        <f>IF(A264="","",SUM(CF264:CS264))</f>
        <v/>
      </c>
      <c r="CU264" s="5">
        <f>INDEX(Projects[Est Cost (M)],263)</f>
        <v/>
      </c>
      <c r="CV264" s="5">
        <f>INDEX(Projects[Act Cost (M)],263)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IF(A265="","",N(INDEX(Projects[Act Mech Inst],264)))</f>
        <v/>
      </c>
      <c r="BK265" s="5">
        <f>IF(A265="","",N(INDEX(Projects[Act Elec Inst],264)))</f>
        <v/>
      </c>
      <c r="BL265" s="5">
        <f>IF(A265="","",N(INDEX(Projects[Act Project Management],264)))</f>
        <v/>
      </c>
      <c r="BM265" s="5">
        <f>IF(A265="","",N(INDEX(Projects[Act Systems Eng],264)))</f>
        <v/>
      </c>
      <c r="BN265" s="5">
        <f>IF(A265="","",N(INDEX(Projects[Act Mechanical Eng],264)))</f>
        <v/>
      </c>
      <c r="BO265" s="5">
        <f>IF(A265="","",N(INDEX(Projects[Act Structural Engineering],264)))</f>
        <v/>
      </c>
      <c r="BP265" s="5">
        <f>IF(A265="","",N(INDEX(Projects[Act Site Sup],264)))</f>
        <v/>
      </c>
      <c r="BQ265" s="5">
        <f>IF(A265="","",N(INDEX(Projects[Act Controls Commissioning],264)))</f>
        <v/>
      </c>
      <c r="BR265" s="5">
        <f>IF(A265="","",N(INDEX(Projects[Act Systems Commissioning],264)))</f>
        <v/>
      </c>
      <c r="BS265" s="5">
        <f>IF(A265="","",N(INDEX(Projects[Act Service Commissioning],264)))</f>
        <v/>
      </c>
      <c r="BT265" s="5">
        <f>IF(A265="","",N(INDEX(Projects[Act Controls Eng],264)))</f>
        <v/>
      </c>
      <c r="BU265" s="5">
        <f>IF(A265="","",N(INDEX(Projects[Act Controls Purchase],264)))</f>
        <v/>
      </c>
      <c r="BV265" s="5">
        <f>IF(A265="","",N(INDEX(Projects[Act Software Eng],264)))</f>
        <v/>
      </c>
      <c r="BW265" s="5">
        <f>IF(A265="","",N(INDEX(Projects[Act 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  <c r="CE265" s="5">
        <f>INDEX(Projects[Act Data Status],264)&amp;""</f>
        <v/>
      </c>
      <c r="CF265" s="5">
        <f>IF(A265="","",N(INDEX(Projects[Est Mech Inst],264)))</f>
        <v/>
      </c>
      <c r="CG265" s="5">
        <f>IF(A265="","",N(INDEX(Projects[Est Elec Inst],264)))</f>
        <v/>
      </c>
      <c r="CH265" s="5">
        <f>IF(A265="","",N(INDEX(Projects[Est Project Management],264)))</f>
        <v/>
      </c>
      <c r="CI265" s="5">
        <f>IF(A265="","",N(INDEX(Projects[Est Systems Eng],264)))</f>
        <v/>
      </c>
      <c r="CJ265" s="5">
        <f>IF(A265="","",N(INDEX(Projects[Est Mechanical Eng],264)))</f>
        <v/>
      </c>
      <c r="CK265" s="5">
        <f>IF(A265="","",N(INDEX(Projects[Est Structural Engineering],264)))</f>
        <v/>
      </c>
      <c r="CL265" s="5">
        <f>IF(A265="","",N(INDEX(Projects[Est Site Sup],264)))</f>
        <v/>
      </c>
      <c r="CM265" s="5">
        <f>IF(A265="","",N(INDEX(Projects[Est Controls Commissioning],264)))</f>
        <v/>
      </c>
      <c r="CN265" s="5">
        <f>IF(A265="","",N(INDEX(Projects[Est Systems Commissioning],264)))</f>
        <v/>
      </c>
      <c r="CO265" s="5">
        <f>IF(A265="","",N(INDEX(Projects[Est Service Commissioning],264)))</f>
        <v/>
      </c>
      <c r="CP265" s="5">
        <f>IF(A265="","",N(INDEX(Projects[Est Controls Eng],264)))</f>
        <v/>
      </c>
      <c r="CQ265" s="5">
        <f>IF(A265="","",N(INDEX(Projects[Est Controls Purchase],264)))</f>
        <v/>
      </c>
      <c r="CR265" s="5">
        <f>IF(A265="","",N(INDEX(Projects[Est Software Eng],264)))</f>
        <v/>
      </c>
      <c r="CS265" s="5">
        <f>IF(A265="","",N(INDEX(Projects[Est Misc],264)))</f>
        <v/>
      </c>
      <c r="CT265" s="5">
        <f>IF(A265="","",SUM(CF265:CS265))</f>
        <v/>
      </c>
      <c r="CU265" s="5">
        <f>INDEX(Projects[Est Cost (M)],264)</f>
        <v/>
      </c>
      <c r="CV265" s="5">
        <f>INDEX(Projects[Act Cost (M)],264)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IF(A266="","",N(INDEX(Projects[Act Mech Inst],265)))</f>
        <v/>
      </c>
      <c r="BK266" s="5">
        <f>IF(A266="","",N(INDEX(Projects[Act Elec Inst],265)))</f>
        <v/>
      </c>
      <c r="BL266" s="5">
        <f>IF(A266="","",N(INDEX(Projects[Act Project Management],265)))</f>
        <v/>
      </c>
      <c r="BM266" s="5">
        <f>IF(A266="","",N(INDEX(Projects[Act Systems Eng],265)))</f>
        <v/>
      </c>
      <c r="BN266" s="5">
        <f>IF(A266="","",N(INDEX(Projects[Act Mechanical Eng],265)))</f>
        <v/>
      </c>
      <c r="BO266" s="5">
        <f>IF(A266="","",N(INDEX(Projects[Act Structural Engineering],265)))</f>
        <v/>
      </c>
      <c r="BP266" s="5">
        <f>IF(A266="","",N(INDEX(Projects[Act Site Sup],265)))</f>
        <v/>
      </c>
      <c r="BQ266" s="5">
        <f>IF(A266="","",N(INDEX(Projects[Act Controls Commissioning],265)))</f>
        <v/>
      </c>
      <c r="BR266" s="5">
        <f>IF(A266="","",N(INDEX(Projects[Act Systems Commissioning],265)))</f>
        <v/>
      </c>
      <c r="BS266" s="5">
        <f>IF(A266="","",N(INDEX(Projects[Act Service Commissioning],265)))</f>
        <v/>
      </c>
      <c r="BT266" s="5">
        <f>IF(A266="","",N(INDEX(Projects[Act Controls Eng],265)))</f>
        <v/>
      </c>
      <c r="BU266" s="5">
        <f>IF(A266="","",N(INDEX(Projects[Act Controls Purchase],265)))</f>
        <v/>
      </c>
      <c r="BV266" s="5">
        <f>IF(A266="","",N(INDEX(Projects[Act Software Eng],265)))</f>
        <v/>
      </c>
      <c r="BW266" s="5">
        <f>IF(A266="","",N(INDEX(Projects[Act 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  <c r="CE266" s="5">
        <f>INDEX(Projects[Act Data Status],265)&amp;""</f>
        <v/>
      </c>
      <c r="CF266" s="5">
        <f>IF(A266="","",N(INDEX(Projects[Est Mech Inst],265)))</f>
        <v/>
      </c>
      <c r="CG266" s="5">
        <f>IF(A266="","",N(INDEX(Projects[Est Elec Inst],265)))</f>
        <v/>
      </c>
      <c r="CH266" s="5">
        <f>IF(A266="","",N(INDEX(Projects[Est Project Management],265)))</f>
        <v/>
      </c>
      <c r="CI266" s="5">
        <f>IF(A266="","",N(INDEX(Projects[Est Systems Eng],265)))</f>
        <v/>
      </c>
      <c r="CJ266" s="5">
        <f>IF(A266="","",N(INDEX(Projects[Est Mechanical Eng],265)))</f>
        <v/>
      </c>
      <c r="CK266" s="5">
        <f>IF(A266="","",N(INDEX(Projects[Est Structural Engineering],265)))</f>
        <v/>
      </c>
      <c r="CL266" s="5">
        <f>IF(A266="","",N(INDEX(Projects[Est Site Sup],265)))</f>
        <v/>
      </c>
      <c r="CM266" s="5">
        <f>IF(A266="","",N(INDEX(Projects[Est Controls Commissioning],265)))</f>
        <v/>
      </c>
      <c r="CN266" s="5">
        <f>IF(A266="","",N(INDEX(Projects[Est Systems Commissioning],265)))</f>
        <v/>
      </c>
      <c r="CO266" s="5">
        <f>IF(A266="","",N(INDEX(Projects[Est Service Commissioning],265)))</f>
        <v/>
      </c>
      <c r="CP266" s="5">
        <f>IF(A266="","",N(INDEX(Projects[Est Controls Eng],265)))</f>
        <v/>
      </c>
      <c r="CQ266" s="5">
        <f>IF(A266="","",N(INDEX(Projects[Est Controls Purchase],265)))</f>
        <v/>
      </c>
      <c r="CR266" s="5">
        <f>IF(A266="","",N(INDEX(Projects[Est Software Eng],265)))</f>
        <v/>
      </c>
      <c r="CS266" s="5">
        <f>IF(A266="","",N(INDEX(Projects[Est Misc],265)))</f>
        <v/>
      </c>
      <c r="CT266" s="5">
        <f>IF(A266="","",SUM(CF266:CS266))</f>
        <v/>
      </c>
      <c r="CU266" s="5">
        <f>INDEX(Projects[Est Cost (M)],265)</f>
        <v/>
      </c>
      <c r="CV266" s="5">
        <f>INDEX(Projects[Act Cost (M)],265)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IF(A267="","",N(INDEX(Projects[Act Mech Inst],266)))</f>
        <v/>
      </c>
      <c r="BK267" s="5">
        <f>IF(A267="","",N(INDEX(Projects[Act Elec Inst],266)))</f>
        <v/>
      </c>
      <c r="BL267" s="5">
        <f>IF(A267="","",N(INDEX(Projects[Act Project Management],266)))</f>
        <v/>
      </c>
      <c r="BM267" s="5">
        <f>IF(A267="","",N(INDEX(Projects[Act Systems Eng],266)))</f>
        <v/>
      </c>
      <c r="BN267" s="5">
        <f>IF(A267="","",N(INDEX(Projects[Act Mechanical Eng],266)))</f>
        <v/>
      </c>
      <c r="BO267" s="5">
        <f>IF(A267="","",N(INDEX(Projects[Act Structural Engineering],266)))</f>
        <v/>
      </c>
      <c r="BP267" s="5">
        <f>IF(A267="","",N(INDEX(Projects[Act Site Sup],266)))</f>
        <v/>
      </c>
      <c r="BQ267" s="5">
        <f>IF(A267="","",N(INDEX(Projects[Act Controls Commissioning],266)))</f>
        <v/>
      </c>
      <c r="BR267" s="5">
        <f>IF(A267="","",N(INDEX(Projects[Act Systems Commissioning],266)))</f>
        <v/>
      </c>
      <c r="BS267" s="5">
        <f>IF(A267="","",N(INDEX(Projects[Act Service Commissioning],266)))</f>
        <v/>
      </c>
      <c r="BT267" s="5">
        <f>IF(A267="","",N(INDEX(Projects[Act Controls Eng],266)))</f>
        <v/>
      </c>
      <c r="BU267" s="5">
        <f>IF(A267="","",N(INDEX(Projects[Act Controls Purchase],266)))</f>
        <v/>
      </c>
      <c r="BV267" s="5">
        <f>IF(A267="","",N(INDEX(Projects[Act Software Eng],266)))</f>
        <v/>
      </c>
      <c r="BW267" s="5">
        <f>IF(A267="","",N(INDEX(Projects[Act 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  <c r="CE267" s="5">
        <f>INDEX(Projects[Act Data Status],266)&amp;""</f>
        <v/>
      </c>
      <c r="CF267" s="5">
        <f>IF(A267="","",N(INDEX(Projects[Est Mech Inst],266)))</f>
        <v/>
      </c>
      <c r="CG267" s="5">
        <f>IF(A267="","",N(INDEX(Projects[Est Elec Inst],266)))</f>
        <v/>
      </c>
      <c r="CH267" s="5">
        <f>IF(A267="","",N(INDEX(Projects[Est Project Management],266)))</f>
        <v/>
      </c>
      <c r="CI267" s="5">
        <f>IF(A267="","",N(INDEX(Projects[Est Systems Eng],266)))</f>
        <v/>
      </c>
      <c r="CJ267" s="5">
        <f>IF(A267="","",N(INDEX(Projects[Est Mechanical Eng],266)))</f>
        <v/>
      </c>
      <c r="CK267" s="5">
        <f>IF(A267="","",N(INDEX(Projects[Est Structural Engineering],266)))</f>
        <v/>
      </c>
      <c r="CL267" s="5">
        <f>IF(A267="","",N(INDEX(Projects[Est Site Sup],266)))</f>
        <v/>
      </c>
      <c r="CM267" s="5">
        <f>IF(A267="","",N(INDEX(Projects[Est Controls Commissioning],266)))</f>
        <v/>
      </c>
      <c r="CN267" s="5">
        <f>IF(A267="","",N(INDEX(Projects[Est Systems Commissioning],266)))</f>
        <v/>
      </c>
      <c r="CO267" s="5">
        <f>IF(A267="","",N(INDEX(Projects[Est Service Commissioning],266)))</f>
        <v/>
      </c>
      <c r="CP267" s="5">
        <f>IF(A267="","",N(INDEX(Projects[Est Controls Eng],266)))</f>
        <v/>
      </c>
      <c r="CQ267" s="5">
        <f>IF(A267="","",N(INDEX(Projects[Est Controls Purchase],266)))</f>
        <v/>
      </c>
      <c r="CR267" s="5">
        <f>IF(A267="","",N(INDEX(Projects[Est Software Eng],266)))</f>
        <v/>
      </c>
      <c r="CS267" s="5">
        <f>IF(A267="","",N(INDEX(Projects[Est Misc],266)))</f>
        <v/>
      </c>
      <c r="CT267" s="5">
        <f>IF(A267="","",SUM(CF267:CS267))</f>
        <v/>
      </c>
      <c r="CU267" s="5">
        <f>INDEX(Projects[Est Cost (M)],266)</f>
        <v/>
      </c>
      <c r="CV267" s="5">
        <f>INDEX(Projects[Act Cost (M)],266)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IF(A268="","",N(INDEX(Projects[Act Mech Inst],267)))</f>
        <v/>
      </c>
      <c r="BK268" s="5">
        <f>IF(A268="","",N(INDEX(Projects[Act Elec Inst],267)))</f>
        <v/>
      </c>
      <c r="BL268" s="5">
        <f>IF(A268="","",N(INDEX(Projects[Act Project Management],267)))</f>
        <v/>
      </c>
      <c r="BM268" s="5">
        <f>IF(A268="","",N(INDEX(Projects[Act Systems Eng],267)))</f>
        <v/>
      </c>
      <c r="BN268" s="5">
        <f>IF(A268="","",N(INDEX(Projects[Act Mechanical Eng],267)))</f>
        <v/>
      </c>
      <c r="BO268" s="5">
        <f>IF(A268="","",N(INDEX(Projects[Act Structural Engineering],267)))</f>
        <v/>
      </c>
      <c r="BP268" s="5">
        <f>IF(A268="","",N(INDEX(Projects[Act Site Sup],267)))</f>
        <v/>
      </c>
      <c r="BQ268" s="5">
        <f>IF(A268="","",N(INDEX(Projects[Act Controls Commissioning],267)))</f>
        <v/>
      </c>
      <c r="BR268" s="5">
        <f>IF(A268="","",N(INDEX(Projects[Act Systems Commissioning],267)))</f>
        <v/>
      </c>
      <c r="BS268" s="5">
        <f>IF(A268="","",N(INDEX(Projects[Act Service Commissioning],267)))</f>
        <v/>
      </c>
      <c r="BT268" s="5">
        <f>IF(A268="","",N(INDEX(Projects[Act Controls Eng],267)))</f>
        <v/>
      </c>
      <c r="BU268" s="5">
        <f>IF(A268="","",N(INDEX(Projects[Act Controls Purchase],267)))</f>
        <v/>
      </c>
      <c r="BV268" s="5">
        <f>IF(A268="","",N(INDEX(Projects[Act Software Eng],267)))</f>
        <v/>
      </c>
      <c r="BW268" s="5">
        <f>IF(A268="","",N(INDEX(Projects[Act 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  <c r="CE268" s="5">
        <f>INDEX(Projects[Act Data Status],267)&amp;""</f>
        <v/>
      </c>
      <c r="CF268" s="5">
        <f>IF(A268="","",N(INDEX(Projects[Est Mech Inst],267)))</f>
        <v/>
      </c>
      <c r="CG268" s="5">
        <f>IF(A268="","",N(INDEX(Projects[Est Elec Inst],267)))</f>
        <v/>
      </c>
      <c r="CH268" s="5">
        <f>IF(A268="","",N(INDEX(Projects[Est Project Management],267)))</f>
        <v/>
      </c>
      <c r="CI268" s="5">
        <f>IF(A268="","",N(INDEX(Projects[Est Systems Eng],267)))</f>
        <v/>
      </c>
      <c r="CJ268" s="5">
        <f>IF(A268="","",N(INDEX(Projects[Est Mechanical Eng],267)))</f>
        <v/>
      </c>
      <c r="CK268" s="5">
        <f>IF(A268="","",N(INDEX(Projects[Est Structural Engineering],267)))</f>
        <v/>
      </c>
      <c r="CL268" s="5">
        <f>IF(A268="","",N(INDEX(Projects[Est Site Sup],267)))</f>
        <v/>
      </c>
      <c r="CM268" s="5">
        <f>IF(A268="","",N(INDEX(Projects[Est Controls Commissioning],267)))</f>
        <v/>
      </c>
      <c r="CN268" s="5">
        <f>IF(A268="","",N(INDEX(Projects[Est Systems Commissioning],267)))</f>
        <v/>
      </c>
      <c r="CO268" s="5">
        <f>IF(A268="","",N(INDEX(Projects[Est Service Commissioning],267)))</f>
        <v/>
      </c>
      <c r="CP268" s="5">
        <f>IF(A268="","",N(INDEX(Projects[Est Controls Eng],267)))</f>
        <v/>
      </c>
      <c r="CQ268" s="5">
        <f>IF(A268="","",N(INDEX(Projects[Est Controls Purchase],267)))</f>
        <v/>
      </c>
      <c r="CR268" s="5">
        <f>IF(A268="","",N(INDEX(Projects[Est Software Eng],267)))</f>
        <v/>
      </c>
      <c r="CS268" s="5">
        <f>IF(A268="","",N(INDEX(Projects[Est Misc],267)))</f>
        <v/>
      </c>
      <c r="CT268" s="5">
        <f>IF(A268="","",SUM(CF268:CS268))</f>
        <v/>
      </c>
      <c r="CU268" s="5">
        <f>INDEX(Projects[Est Cost (M)],267)</f>
        <v/>
      </c>
      <c r="CV268" s="5">
        <f>INDEX(Projects[Act Cost (M)],267)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IF(A269="","",N(INDEX(Projects[Act Mech Inst],268)))</f>
        <v/>
      </c>
      <c r="BK269" s="5">
        <f>IF(A269="","",N(INDEX(Projects[Act Elec Inst],268)))</f>
        <v/>
      </c>
      <c r="BL269" s="5">
        <f>IF(A269="","",N(INDEX(Projects[Act Project Management],268)))</f>
        <v/>
      </c>
      <c r="BM269" s="5">
        <f>IF(A269="","",N(INDEX(Projects[Act Systems Eng],268)))</f>
        <v/>
      </c>
      <c r="BN269" s="5">
        <f>IF(A269="","",N(INDEX(Projects[Act Mechanical Eng],268)))</f>
        <v/>
      </c>
      <c r="BO269" s="5">
        <f>IF(A269="","",N(INDEX(Projects[Act Structural Engineering],268)))</f>
        <v/>
      </c>
      <c r="BP269" s="5">
        <f>IF(A269="","",N(INDEX(Projects[Act Site Sup],268)))</f>
        <v/>
      </c>
      <c r="BQ269" s="5">
        <f>IF(A269="","",N(INDEX(Projects[Act Controls Commissioning],268)))</f>
        <v/>
      </c>
      <c r="BR269" s="5">
        <f>IF(A269="","",N(INDEX(Projects[Act Systems Commissioning],268)))</f>
        <v/>
      </c>
      <c r="BS269" s="5">
        <f>IF(A269="","",N(INDEX(Projects[Act Service Commissioning],268)))</f>
        <v/>
      </c>
      <c r="BT269" s="5">
        <f>IF(A269="","",N(INDEX(Projects[Act Controls Eng],268)))</f>
        <v/>
      </c>
      <c r="BU269" s="5">
        <f>IF(A269="","",N(INDEX(Projects[Act Controls Purchase],268)))</f>
        <v/>
      </c>
      <c r="BV269" s="5">
        <f>IF(A269="","",N(INDEX(Projects[Act Software Eng],268)))</f>
        <v/>
      </c>
      <c r="BW269" s="5">
        <f>IF(A269="","",N(INDEX(Projects[Act 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  <c r="CE269" s="5">
        <f>INDEX(Projects[Act Data Status],268)&amp;""</f>
        <v/>
      </c>
      <c r="CF269" s="5">
        <f>IF(A269="","",N(INDEX(Projects[Est Mech Inst],268)))</f>
        <v/>
      </c>
      <c r="CG269" s="5">
        <f>IF(A269="","",N(INDEX(Projects[Est Elec Inst],268)))</f>
        <v/>
      </c>
      <c r="CH269" s="5">
        <f>IF(A269="","",N(INDEX(Projects[Est Project Management],268)))</f>
        <v/>
      </c>
      <c r="CI269" s="5">
        <f>IF(A269="","",N(INDEX(Projects[Est Systems Eng],268)))</f>
        <v/>
      </c>
      <c r="CJ269" s="5">
        <f>IF(A269="","",N(INDEX(Projects[Est Mechanical Eng],268)))</f>
        <v/>
      </c>
      <c r="CK269" s="5">
        <f>IF(A269="","",N(INDEX(Projects[Est Structural Engineering],268)))</f>
        <v/>
      </c>
      <c r="CL269" s="5">
        <f>IF(A269="","",N(INDEX(Projects[Est Site Sup],268)))</f>
        <v/>
      </c>
      <c r="CM269" s="5">
        <f>IF(A269="","",N(INDEX(Projects[Est Controls Commissioning],268)))</f>
        <v/>
      </c>
      <c r="CN269" s="5">
        <f>IF(A269="","",N(INDEX(Projects[Est Systems Commissioning],268)))</f>
        <v/>
      </c>
      <c r="CO269" s="5">
        <f>IF(A269="","",N(INDEX(Projects[Est Service Commissioning],268)))</f>
        <v/>
      </c>
      <c r="CP269" s="5">
        <f>IF(A269="","",N(INDEX(Projects[Est Controls Eng],268)))</f>
        <v/>
      </c>
      <c r="CQ269" s="5">
        <f>IF(A269="","",N(INDEX(Projects[Est Controls Purchase],268)))</f>
        <v/>
      </c>
      <c r="CR269" s="5">
        <f>IF(A269="","",N(INDEX(Projects[Est Software Eng],268)))</f>
        <v/>
      </c>
      <c r="CS269" s="5">
        <f>IF(A269="","",N(INDEX(Projects[Est Misc],268)))</f>
        <v/>
      </c>
      <c r="CT269" s="5">
        <f>IF(A269="","",SUM(CF269:CS269))</f>
        <v/>
      </c>
      <c r="CU269" s="5">
        <f>INDEX(Projects[Est Cost (M)],268)</f>
        <v/>
      </c>
      <c r="CV269" s="5">
        <f>INDEX(Projects[Act Cost (M)],268)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IF(A270="","",N(INDEX(Projects[Act Mech Inst],269)))</f>
        <v/>
      </c>
      <c r="BK270" s="5">
        <f>IF(A270="","",N(INDEX(Projects[Act Elec Inst],269)))</f>
        <v/>
      </c>
      <c r="BL270" s="5">
        <f>IF(A270="","",N(INDEX(Projects[Act Project Management],269)))</f>
        <v/>
      </c>
      <c r="BM270" s="5">
        <f>IF(A270="","",N(INDEX(Projects[Act Systems Eng],269)))</f>
        <v/>
      </c>
      <c r="BN270" s="5">
        <f>IF(A270="","",N(INDEX(Projects[Act Mechanical Eng],269)))</f>
        <v/>
      </c>
      <c r="BO270" s="5">
        <f>IF(A270="","",N(INDEX(Projects[Act Structural Engineering],269)))</f>
        <v/>
      </c>
      <c r="BP270" s="5">
        <f>IF(A270="","",N(INDEX(Projects[Act Site Sup],269)))</f>
        <v/>
      </c>
      <c r="BQ270" s="5">
        <f>IF(A270="","",N(INDEX(Projects[Act Controls Commissioning],269)))</f>
        <v/>
      </c>
      <c r="BR270" s="5">
        <f>IF(A270="","",N(INDEX(Projects[Act Systems Commissioning],269)))</f>
        <v/>
      </c>
      <c r="BS270" s="5">
        <f>IF(A270="","",N(INDEX(Projects[Act Service Commissioning],269)))</f>
        <v/>
      </c>
      <c r="BT270" s="5">
        <f>IF(A270="","",N(INDEX(Projects[Act Controls Eng],269)))</f>
        <v/>
      </c>
      <c r="BU270" s="5">
        <f>IF(A270="","",N(INDEX(Projects[Act Controls Purchase],269)))</f>
        <v/>
      </c>
      <c r="BV270" s="5">
        <f>IF(A270="","",N(INDEX(Projects[Act Software Eng],269)))</f>
        <v/>
      </c>
      <c r="BW270" s="5">
        <f>IF(A270="","",N(INDEX(Projects[Act 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  <c r="CE270" s="5">
        <f>INDEX(Projects[Act Data Status],269)&amp;""</f>
        <v/>
      </c>
      <c r="CF270" s="5">
        <f>IF(A270="","",N(INDEX(Projects[Est Mech Inst],269)))</f>
        <v/>
      </c>
      <c r="CG270" s="5">
        <f>IF(A270="","",N(INDEX(Projects[Est Elec Inst],269)))</f>
        <v/>
      </c>
      <c r="CH270" s="5">
        <f>IF(A270="","",N(INDEX(Projects[Est Project Management],269)))</f>
        <v/>
      </c>
      <c r="CI270" s="5">
        <f>IF(A270="","",N(INDEX(Projects[Est Systems Eng],269)))</f>
        <v/>
      </c>
      <c r="CJ270" s="5">
        <f>IF(A270="","",N(INDEX(Projects[Est Mechanical Eng],269)))</f>
        <v/>
      </c>
      <c r="CK270" s="5">
        <f>IF(A270="","",N(INDEX(Projects[Est Structural Engineering],269)))</f>
        <v/>
      </c>
      <c r="CL270" s="5">
        <f>IF(A270="","",N(INDEX(Projects[Est Site Sup],269)))</f>
        <v/>
      </c>
      <c r="CM270" s="5">
        <f>IF(A270="","",N(INDEX(Projects[Est Controls Commissioning],269)))</f>
        <v/>
      </c>
      <c r="CN270" s="5">
        <f>IF(A270="","",N(INDEX(Projects[Est Systems Commissioning],269)))</f>
        <v/>
      </c>
      <c r="CO270" s="5">
        <f>IF(A270="","",N(INDEX(Projects[Est Service Commissioning],269)))</f>
        <v/>
      </c>
      <c r="CP270" s="5">
        <f>IF(A270="","",N(INDEX(Projects[Est Controls Eng],269)))</f>
        <v/>
      </c>
      <c r="CQ270" s="5">
        <f>IF(A270="","",N(INDEX(Projects[Est Controls Purchase],269)))</f>
        <v/>
      </c>
      <c r="CR270" s="5">
        <f>IF(A270="","",N(INDEX(Projects[Est Software Eng],269)))</f>
        <v/>
      </c>
      <c r="CS270" s="5">
        <f>IF(A270="","",N(INDEX(Projects[Est Misc],269)))</f>
        <v/>
      </c>
      <c r="CT270" s="5">
        <f>IF(A270="","",SUM(CF270:CS270))</f>
        <v/>
      </c>
      <c r="CU270" s="5">
        <f>INDEX(Projects[Est Cost (M)],269)</f>
        <v/>
      </c>
      <c r="CV270" s="5">
        <f>INDEX(Projects[Act Cost (M)],269)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IF(A271="","",N(INDEX(Projects[Act Mech Inst],270)))</f>
        <v/>
      </c>
      <c r="BK271" s="5">
        <f>IF(A271="","",N(INDEX(Projects[Act Elec Inst],270)))</f>
        <v/>
      </c>
      <c r="BL271" s="5">
        <f>IF(A271="","",N(INDEX(Projects[Act Project Management],270)))</f>
        <v/>
      </c>
      <c r="BM271" s="5">
        <f>IF(A271="","",N(INDEX(Projects[Act Systems Eng],270)))</f>
        <v/>
      </c>
      <c r="BN271" s="5">
        <f>IF(A271="","",N(INDEX(Projects[Act Mechanical Eng],270)))</f>
        <v/>
      </c>
      <c r="BO271" s="5">
        <f>IF(A271="","",N(INDEX(Projects[Act Structural Engineering],270)))</f>
        <v/>
      </c>
      <c r="BP271" s="5">
        <f>IF(A271="","",N(INDEX(Projects[Act Site Sup],270)))</f>
        <v/>
      </c>
      <c r="BQ271" s="5">
        <f>IF(A271="","",N(INDEX(Projects[Act Controls Commissioning],270)))</f>
        <v/>
      </c>
      <c r="BR271" s="5">
        <f>IF(A271="","",N(INDEX(Projects[Act Systems Commissioning],270)))</f>
        <v/>
      </c>
      <c r="BS271" s="5">
        <f>IF(A271="","",N(INDEX(Projects[Act Service Commissioning],270)))</f>
        <v/>
      </c>
      <c r="BT271" s="5">
        <f>IF(A271="","",N(INDEX(Projects[Act Controls Eng],270)))</f>
        <v/>
      </c>
      <c r="BU271" s="5">
        <f>IF(A271="","",N(INDEX(Projects[Act Controls Purchase],270)))</f>
        <v/>
      </c>
      <c r="BV271" s="5">
        <f>IF(A271="","",N(INDEX(Projects[Act Software Eng],270)))</f>
        <v/>
      </c>
      <c r="BW271" s="5">
        <f>IF(A271="","",N(INDEX(Projects[Act 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  <c r="CE271" s="5">
        <f>INDEX(Projects[Act Data Status],270)&amp;""</f>
        <v/>
      </c>
      <c r="CF271" s="5">
        <f>IF(A271="","",N(INDEX(Projects[Est Mech Inst],270)))</f>
        <v/>
      </c>
      <c r="CG271" s="5">
        <f>IF(A271="","",N(INDEX(Projects[Est Elec Inst],270)))</f>
        <v/>
      </c>
      <c r="CH271" s="5">
        <f>IF(A271="","",N(INDEX(Projects[Est Project Management],270)))</f>
        <v/>
      </c>
      <c r="CI271" s="5">
        <f>IF(A271="","",N(INDEX(Projects[Est Systems Eng],270)))</f>
        <v/>
      </c>
      <c r="CJ271" s="5">
        <f>IF(A271="","",N(INDEX(Projects[Est Mechanical Eng],270)))</f>
        <v/>
      </c>
      <c r="CK271" s="5">
        <f>IF(A271="","",N(INDEX(Projects[Est Structural Engineering],270)))</f>
        <v/>
      </c>
      <c r="CL271" s="5">
        <f>IF(A271="","",N(INDEX(Projects[Est Site Sup],270)))</f>
        <v/>
      </c>
      <c r="CM271" s="5">
        <f>IF(A271="","",N(INDEX(Projects[Est Controls Commissioning],270)))</f>
        <v/>
      </c>
      <c r="CN271" s="5">
        <f>IF(A271="","",N(INDEX(Projects[Est Systems Commissioning],270)))</f>
        <v/>
      </c>
      <c r="CO271" s="5">
        <f>IF(A271="","",N(INDEX(Projects[Est Service Commissioning],270)))</f>
        <v/>
      </c>
      <c r="CP271" s="5">
        <f>IF(A271="","",N(INDEX(Projects[Est Controls Eng],270)))</f>
        <v/>
      </c>
      <c r="CQ271" s="5">
        <f>IF(A271="","",N(INDEX(Projects[Est Controls Purchase],270)))</f>
        <v/>
      </c>
      <c r="CR271" s="5">
        <f>IF(A271="","",N(INDEX(Projects[Est Software Eng],270)))</f>
        <v/>
      </c>
      <c r="CS271" s="5">
        <f>IF(A271="","",N(INDEX(Projects[Est Misc],270)))</f>
        <v/>
      </c>
      <c r="CT271" s="5">
        <f>IF(A271="","",SUM(CF271:CS271))</f>
        <v/>
      </c>
      <c r="CU271" s="5">
        <f>INDEX(Projects[Est Cost (M)],270)</f>
        <v/>
      </c>
      <c r="CV271" s="5">
        <f>INDEX(Projects[Act Cost (M)],270)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IF(A272="","",N(INDEX(Projects[Act Mech Inst],271)))</f>
        <v/>
      </c>
      <c r="BK272" s="5">
        <f>IF(A272="","",N(INDEX(Projects[Act Elec Inst],271)))</f>
        <v/>
      </c>
      <c r="BL272" s="5">
        <f>IF(A272="","",N(INDEX(Projects[Act Project Management],271)))</f>
        <v/>
      </c>
      <c r="BM272" s="5">
        <f>IF(A272="","",N(INDEX(Projects[Act Systems Eng],271)))</f>
        <v/>
      </c>
      <c r="BN272" s="5">
        <f>IF(A272="","",N(INDEX(Projects[Act Mechanical Eng],271)))</f>
        <v/>
      </c>
      <c r="BO272" s="5">
        <f>IF(A272="","",N(INDEX(Projects[Act Structural Engineering],271)))</f>
        <v/>
      </c>
      <c r="BP272" s="5">
        <f>IF(A272="","",N(INDEX(Projects[Act Site Sup],271)))</f>
        <v/>
      </c>
      <c r="BQ272" s="5">
        <f>IF(A272="","",N(INDEX(Projects[Act Controls Commissioning],271)))</f>
        <v/>
      </c>
      <c r="BR272" s="5">
        <f>IF(A272="","",N(INDEX(Projects[Act Systems Commissioning],271)))</f>
        <v/>
      </c>
      <c r="BS272" s="5">
        <f>IF(A272="","",N(INDEX(Projects[Act Service Commissioning],271)))</f>
        <v/>
      </c>
      <c r="BT272" s="5">
        <f>IF(A272="","",N(INDEX(Projects[Act Controls Eng],271)))</f>
        <v/>
      </c>
      <c r="BU272" s="5">
        <f>IF(A272="","",N(INDEX(Projects[Act Controls Purchase],271)))</f>
        <v/>
      </c>
      <c r="BV272" s="5">
        <f>IF(A272="","",N(INDEX(Projects[Act Software Eng],271)))</f>
        <v/>
      </c>
      <c r="BW272" s="5">
        <f>IF(A272="","",N(INDEX(Projects[Act 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  <c r="CE272" s="5">
        <f>INDEX(Projects[Act Data Status],271)&amp;""</f>
        <v/>
      </c>
      <c r="CF272" s="5">
        <f>IF(A272="","",N(INDEX(Projects[Est Mech Inst],271)))</f>
        <v/>
      </c>
      <c r="CG272" s="5">
        <f>IF(A272="","",N(INDEX(Projects[Est Elec Inst],271)))</f>
        <v/>
      </c>
      <c r="CH272" s="5">
        <f>IF(A272="","",N(INDEX(Projects[Est Project Management],271)))</f>
        <v/>
      </c>
      <c r="CI272" s="5">
        <f>IF(A272="","",N(INDEX(Projects[Est Systems Eng],271)))</f>
        <v/>
      </c>
      <c r="CJ272" s="5">
        <f>IF(A272="","",N(INDEX(Projects[Est Mechanical Eng],271)))</f>
        <v/>
      </c>
      <c r="CK272" s="5">
        <f>IF(A272="","",N(INDEX(Projects[Est Structural Engineering],271)))</f>
        <v/>
      </c>
      <c r="CL272" s="5">
        <f>IF(A272="","",N(INDEX(Projects[Est Site Sup],271)))</f>
        <v/>
      </c>
      <c r="CM272" s="5">
        <f>IF(A272="","",N(INDEX(Projects[Est Controls Commissioning],271)))</f>
        <v/>
      </c>
      <c r="CN272" s="5">
        <f>IF(A272="","",N(INDEX(Projects[Est Systems Commissioning],271)))</f>
        <v/>
      </c>
      <c r="CO272" s="5">
        <f>IF(A272="","",N(INDEX(Projects[Est Service Commissioning],271)))</f>
        <v/>
      </c>
      <c r="CP272" s="5">
        <f>IF(A272="","",N(INDEX(Projects[Est Controls Eng],271)))</f>
        <v/>
      </c>
      <c r="CQ272" s="5">
        <f>IF(A272="","",N(INDEX(Projects[Est Controls Purchase],271)))</f>
        <v/>
      </c>
      <c r="CR272" s="5">
        <f>IF(A272="","",N(INDEX(Projects[Est Software Eng],271)))</f>
        <v/>
      </c>
      <c r="CS272" s="5">
        <f>IF(A272="","",N(INDEX(Projects[Est Misc],271)))</f>
        <v/>
      </c>
      <c r="CT272" s="5">
        <f>IF(A272="","",SUM(CF272:CS272))</f>
        <v/>
      </c>
      <c r="CU272" s="5">
        <f>INDEX(Projects[Est Cost (M)],271)</f>
        <v/>
      </c>
      <c r="CV272" s="5">
        <f>INDEX(Projects[Act Cost (M)],271)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IF(A273="","",N(INDEX(Projects[Act Mech Inst],272)))</f>
        <v/>
      </c>
      <c r="BK273" s="5">
        <f>IF(A273="","",N(INDEX(Projects[Act Elec Inst],272)))</f>
        <v/>
      </c>
      <c r="BL273" s="5">
        <f>IF(A273="","",N(INDEX(Projects[Act Project Management],272)))</f>
        <v/>
      </c>
      <c r="BM273" s="5">
        <f>IF(A273="","",N(INDEX(Projects[Act Systems Eng],272)))</f>
        <v/>
      </c>
      <c r="BN273" s="5">
        <f>IF(A273="","",N(INDEX(Projects[Act Mechanical Eng],272)))</f>
        <v/>
      </c>
      <c r="BO273" s="5">
        <f>IF(A273="","",N(INDEX(Projects[Act Structural Engineering],272)))</f>
        <v/>
      </c>
      <c r="BP273" s="5">
        <f>IF(A273="","",N(INDEX(Projects[Act Site Sup],272)))</f>
        <v/>
      </c>
      <c r="BQ273" s="5">
        <f>IF(A273="","",N(INDEX(Projects[Act Controls Commissioning],272)))</f>
        <v/>
      </c>
      <c r="BR273" s="5">
        <f>IF(A273="","",N(INDEX(Projects[Act Systems Commissioning],272)))</f>
        <v/>
      </c>
      <c r="BS273" s="5">
        <f>IF(A273="","",N(INDEX(Projects[Act Service Commissioning],272)))</f>
        <v/>
      </c>
      <c r="BT273" s="5">
        <f>IF(A273="","",N(INDEX(Projects[Act Controls Eng],272)))</f>
        <v/>
      </c>
      <c r="BU273" s="5">
        <f>IF(A273="","",N(INDEX(Projects[Act Controls Purchase],272)))</f>
        <v/>
      </c>
      <c r="BV273" s="5">
        <f>IF(A273="","",N(INDEX(Projects[Act Software Eng],272)))</f>
        <v/>
      </c>
      <c r="BW273" s="5">
        <f>IF(A273="","",N(INDEX(Projects[Act 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  <c r="CE273" s="5">
        <f>INDEX(Projects[Act Data Status],272)&amp;""</f>
        <v/>
      </c>
      <c r="CF273" s="5">
        <f>IF(A273="","",N(INDEX(Projects[Est Mech Inst],272)))</f>
        <v/>
      </c>
      <c r="CG273" s="5">
        <f>IF(A273="","",N(INDEX(Projects[Est Elec Inst],272)))</f>
        <v/>
      </c>
      <c r="CH273" s="5">
        <f>IF(A273="","",N(INDEX(Projects[Est Project Management],272)))</f>
        <v/>
      </c>
      <c r="CI273" s="5">
        <f>IF(A273="","",N(INDEX(Projects[Est Systems Eng],272)))</f>
        <v/>
      </c>
      <c r="CJ273" s="5">
        <f>IF(A273="","",N(INDEX(Projects[Est Mechanical Eng],272)))</f>
        <v/>
      </c>
      <c r="CK273" s="5">
        <f>IF(A273="","",N(INDEX(Projects[Est Structural Engineering],272)))</f>
        <v/>
      </c>
      <c r="CL273" s="5">
        <f>IF(A273="","",N(INDEX(Projects[Est Site Sup],272)))</f>
        <v/>
      </c>
      <c r="CM273" s="5">
        <f>IF(A273="","",N(INDEX(Projects[Est Controls Commissioning],272)))</f>
        <v/>
      </c>
      <c r="CN273" s="5">
        <f>IF(A273="","",N(INDEX(Projects[Est Systems Commissioning],272)))</f>
        <v/>
      </c>
      <c r="CO273" s="5">
        <f>IF(A273="","",N(INDEX(Projects[Est Service Commissioning],272)))</f>
        <v/>
      </c>
      <c r="CP273" s="5">
        <f>IF(A273="","",N(INDEX(Projects[Est Controls Eng],272)))</f>
        <v/>
      </c>
      <c r="CQ273" s="5">
        <f>IF(A273="","",N(INDEX(Projects[Est Controls Purchase],272)))</f>
        <v/>
      </c>
      <c r="CR273" s="5">
        <f>IF(A273="","",N(INDEX(Projects[Est Software Eng],272)))</f>
        <v/>
      </c>
      <c r="CS273" s="5">
        <f>IF(A273="","",N(INDEX(Projects[Est Misc],272)))</f>
        <v/>
      </c>
      <c r="CT273" s="5">
        <f>IF(A273="","",SUM(CF273:CS273))</f>
        <v/>
      </c>
      <c r="CU273" s="5">
        <f>INDEX(Projects[Est Cost (M)],272)</f>
        <v/>
      </c>
      <c r="CV273" s="5">
        <f>INDEX(Projects[Act Cost (M)],272)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IF(A274="","",N(INDEX(Projects[Act Mech Inst],273)))</f>
        <v/>
      </c>
      <c r="BK274" s="5">
        <f>IF(A274="","",N(INDEX(Projects[Act Elec Inst],273)))</f>
        <v/>
      </c>
      <c r="BL274" s="5">
        <f>IF(A274="","",N(INDEX(Projects[Act Project Management],273)))</f>
        <v/>
      </c>
      <c r="BM274" s="5">
        <f>IF(A274="","",N(INDEX(Projects[Act Systems Eng],273)))</f>
        <v/>
      </c>
      <c r="BN274" s="5">
        <f>IF(A274="","",N(INDEX(Projects[Act Mechanical Eng],273)))</f>
        <v/>
      </c>
      <c r="BO274" s="5">
        <f>IF(A274="","",N(INDEX(Projects[Act Structural Engineering],273)))</f>
        <v/>
      </c>
      <c r="BP274" s="5">
        <f>IF(A274="","",N(INDEX(Projects[Act Site Sup],273)))</f>
        <v/>
      </c>
      <c r="BQ274" s="5">
        <f>IF(A274="","",N(INDEX(Projects[Act Controls Commissioning],273)))</f>
        <v/>
      </c>
      <c r="BR274" s="5">
        <f>IF(A274="","",N(INDEX(Projects[Act Systems Commissioning],273)))</f>
        <v/>
      </c>
      <c r="BS274" s="5">
        <f>IF(A274="","",N(INDEX(Projects[Act Service Commissioning],273)))</f>
        <v/>
      </c>
      <c r="BT274" s="5">
        <f>IF(A274="","",N(INDEX(Projects[Act Controls Eng],273)))</f>
        <v/>
      </c>
      <c r="BU274" s="5">
        <f>IF(A274="","",N(INDEX(Projects[Act Controls Purchase],273)))</f>
        <v/>
      </c>
      <c r="BV274" s="5">
        <f>IF(A274="","",N(INDEX(Projects[Act Software Eng],273)))</f>
        <v/>
      </c>
      <c r="BW274" s="5">
        <f>IF(A274="","",N(INDEX(Projects[Act 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  <c r="CE274" s="5">
        <f>INDEX(Projects[Act Data Status],273)&amp;""</f>
        <v/>
      </c>
      <c r="CF274" s="5">
        <f>IF(A274="","",N(INDEX(Projects[Est Mech Inst],273)))</f>
        <v/>
      </c>
      <c r="CG274" s="5">
        <f>IF(A274="","",N(INDEX(Projects[Est Elec Inst],273)))</f>
        <v/>
      </c>
      <c r="CH274" s="5">
        <f>IF(A274="","",N(INDEX(Projects[Est Project Management],273)))</f>
        <v/>
      </c>
      <c r="CI274" s="5">
        <f>IF(A274="","",N(INDEX(Projects[Est Systems Eng],273)))</f>
        <v/>
      </c>
      <c r="CJ274" s="5">
        <f>IF(A274="","",N(INDEX(Projects[Est Mechanical Eng],273)))</f>
        <v/>
      </c>
      <c r="CK274" s="5">
        <f>IF(A274="","",N(INDEX(Projects[Est Structural Engineering],273)))</f>
        <v/>
      </c>
      <c r="CL274" s="5">
        <f>IF(A274="","",N(INDEX(Projects[Est Site Sup],273)))</f>
        <v/>
      </c>
      <c r="CM274" s="5">
        <f>IF(A274="","",N(INDEX(Projects[Est Controls Commissioning],273)))</f>
        <v/>
      </c>
      <c r="CN274" s="5">
        <f>IF(A274="","",N(INDEX(Projects[Est Systems Commissioning],273)))</f>
        <v/>
      </c>
      <c r="CO274" s="5">
        <f>IF(A274="","",N(INDEX(Projects[Est Service Commissioning],273)))</f>
        <v/>
      </c>
      <c r="CP274" s="5">
        <f>IF(A274="","",N(INDEX(Projects[Est Controls Eng],273)))</f>
        <v/>
      </c>
      <c r="CQ274" s="5">
        <f>IF(A274="","",N(INDEX(Projects[Est Controls Purchase],273)))</f>
        <v/>
      </c>
      <c r="CR274" s="5">
        <f>IF(A274="","",N(INDEX(Projects[Est Software Eng],273)))</f>
        <v/>
      </c>
      <c r="CS274" s="5">
        <f>IF(A274="","",N(INDEX(Projects[Est Misc],273)))</f>
        <v/>
      </c>
      <c r="CT274" s="5">
        <f>IF(A274="","",SUM(CF274:CS274))</f>
        <v/>
      </c>
      <c r="CU274" s="5">
        <f>INDEX(Projects[Est Cost (M)],273)</f>
        <v/>
      </c>
      <c r="CV274" s="5">
        <f>INDEX(Projects[Act Cost (M)],273)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IF(A275="","",N(INDEX(Projects[Act Mech Inst],274)))</f>
        <v/>
      </c>
      <c r="BK275" s="5">
        <f>IF(A275="","",N(INDEX(Projects[Act Elec Inst],274)))</f>
        <v/>
      </c>
      <c r="BL275" s="5">
        <f>IF(A275="","",N(INDEX(Projects[Act Project Management],274)))</f>
        <v/>
      </c>
      <c r="BM275" s="5">
        <f>IF(A275="","",N(INDEX(Projects[Act Systems Eng],274)))</f>
        <v/>
      </c>
      <c r="BN275" s="5">
        <f>IF(A275="","",N(INDEX(Projects[Act Mechanical Eng],274)))</f>
        <v/>
      </c>
      <c r="BO275" s="5">
        <f>IF(A275="","",N(INDEX(Projects[Act Structural Engineering],274)))</f>
        <v/>
      </c>
      <c r="BP275" s="5">
        <f>IF(A275="","",N(INDEX(Projects[Act Site Sup],274)))</f>
        <v/>
      </c>
      <c r="BQ275" s="5">
        <f>IF(A275="","",N(INDEX(Projects[Act Controls Commissioning],274)))</f>
        <v/>
      </c>
      <c r="BR275" s="5">
        <f>IF(A275="","",N(INDEX(Projects[Act Systems Commissioning],274)))</f>
        <v/>
      </c>
      <c r="BS275" s="5">
        <f>IF(A275="","",N(INDEX(Projects[Act Service Commissioning],274)))</f>
        <v/>
      </c>
      <c r="BT275" s="5">
        <f>IF(A275="","",N(INDEX(Projects[Act Controls Eng],274)))</f>
        <v/>
      </c>
      <c r="BU275" s="5">
        <f>IF(A275="","",N(INDEX(Projects[Act Controls Purchase],274)))</f>
        <v/>
      </c>
      <c r="BV275" s="5">
        <f>IF(A275="","",N(INDEX(Projects[Act Software Eng],274)))</f>
        <v/>
      </c>
      <c r="BW275" s="5">
        <f>IF(A275="","",N(INDEX(Projects[Act 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  <c r="CE275" s="5">
        <f>INDEX(Projects[Act Data Status],274)&amp;""</f>
        <v/>
      </c>
      <c r="CF275" s="5">
        <f>IF(A275="","",N(INDEX(Projects[Est Mech Inst],274)))</f>
        <v/>
      </c>
      <c r="CG275" s="5">
        <f>IF(A275="","",N(INDEX(Projects[Est Elec Inst],274)))</f>
        <v/>
      </c>
      <c r="CH275" s="5">
        <f>IF(A275="","",N(INDEX(Projects[Est Project Management],274)))</f>
        <v/>
      </c>
      <c r="CI275" s="5">
        <f>IF(A275="","",N(INDEX(Projects[Est Systems Eng],274)))</f>
        <v/>
      </c>
      <c r="CJ275" s="5">
        <f>IF(A275="","",N(INDEX(Projects[Est Mechanical Eng],274)))</f>
        <v/>
      </c>
      <c r="CK275" s="5">
        <f>IF(A275="","",N(INDEX(Projects[Est Structural Engineering],274)))</f>
        <v/>
      </c>
      <c r="CL275" s="5">
        <f>IF(A275="","",N(INDEX(Projects[Est Site Sup],274)))</f>
        <v/>
      </c>
      <c r="CM275" s="5">
        <f>IF(A275="","",N(INDEX(Projects[Est Controls Commissioning],274)))</f>
        <v/>
      </c>
      <c r="CN275" s="5">
        <f>IF(A275="","",N(INDEX(Projects[Est Systems Commissioning],274)))</f>
        <v/>
      </c>
      <c r="CO275" s="5">
        <f>IF(A275="","",N(INDEX(Projects[Est Service Commissioning],274)))</f>
        <v/>
      </c>
      <c r="CP275" s="5">
        <f>IF(A275="","",N(INDEX(Projects[Est Controls Eng],274)))</f>
        <v/>
      </c>
      <c r="CQ275" s="5">
        <f>IF(A275="","",N(INDEX(Projects[Est Controls Purchase],274)))</f>
        <v/>
      </c>
      <c r="CR275" s="5">
        <f>IF(A275="","",N(INDEX(Projects[Est Software Eng],274)))</f>
        <v/>
      </c>
      <c r="CS275" s="5">
        <f>IF(A275="","",N(INDEX(Projects[Est Misc],274)))</f>
        <v/>
      </c>
      <c r="CT275" s="5">
        <f>IF(A275="","",SUM(CF275:CS275))</f>
        <v/>
      </c>
      <c r="CU275" s="5">
        <f>INDEX(Projects[Est Cost (M)],274)</f>
        <v/>
      </c>
      <c r="CV275" s="5">
        <f>INDEX(Projects[Act Cost (M)],274)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IF(A276="","",N(INDEX(Projects[Act Mech Inst],275)))</f>
        <v/>
      </c>
      <c r="BK276" s="5">
        <f>IF(A276="","",N(INDEX(Projects[Act Elec Inst],275)))</f>
        <v/>
      </c>
      <c r="BL276" s="5">
        <f>IF(A276="","",N(INDEX(Projects[Act Project Management],275)))</f>
        <v/>
      </c>
      <c r="BM276" s="5">
        <f>IF(A276="","",N(INDEX(Projects[Act Systems Eng],275)))</f>
        <v/>
      </c>
      <c r="BN276" s="5">
        <f>IF(A276="","",N(INDEX(Projects[Act Mechanical Eng],275)))</f>
        <v/>
      </c>
      <c r="BO276" s="5">
        <f>IF(A276="","",N(INDEX(Projects[Act Structural Engineering],275)))</f>
        <v/>
      </c>
      <c r="BP276" s="5">
        <f>IF(A276="","",N(INDEX(Projects[Act Site Sup],275)))</f>
        <v/>
      </c>
      <c r="BQ276" s="5">
        <f>IF(A276="","",N(INDEX(Projects[Act Controls Commissioning],275)))</f>
        <v/>
      </c>
      <c r="BR276" s="5">
        <f>IF(A276="","",N(INDEX(Projects[Act Systems Commissioning],275)))</f>
        <v/>
      </c>
      <c r="BS276" s="5">
        <f>IF(A276="","",N(INDEX(Projects[Act Service Commissioning],275)))</f>
        <v/>
      </c>
      <c r="BT276" s="5">
        <f>IF(A276="","",N(INDEX(Projects[Act Controls Eng],275)))</f>
        <v/>
      </c>
      <c r="BU276" s="5">
        <f>IF(A276="","",N(INDEX(Projects[Act Controls Purchase],275)))</f>
        <v/>
      </c>
      <c r="BV276" s="5">
        <f>IF(A276="","",N(INDEX(Projects[Act Software Eng],275)))</f>
        <v/>
      </c>
      <c r="BW276" s="5">
        <f>IF(A276="","",N(INDEX(Projects[Act 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  <c r="CE276" s="5">
        <f>INDEX(Projects[Act Data Status],275)&amp;""</f>
        <v/>
      </c>
      <c r="CF276" s="5">
        <f>IF(A276="","",N(INDEX(Projects[Est Mech Inst],275)))</f>
        <v/>
      </c>
      <c r="CG276" s="5">
        <f>IF(A276="","",N(INDEX(Projects[Est Elec Inst],275)))</f>
        <v/>
      </c>
      <c r="CH276" s="5">
        <f>IF(A276="","",N(INDEX(Projects[Est Project Management],275)))</f>
        <v/>
      </c>
      <c r="CI276" s="5">
        <f>IF(A276="","",N(INDEX(Projects[Est Systems Eng],275)))</f>
        <v/>
      </c>
      <c r="CJ276" s="5">
        <f>IF(A276="","",N(INDEX(Projects[Est Mechanical Eng],275)))</f>
        <v/>
      </c>
      <c r="CK276" s="5">
        <f>IF(A276="","",N(INDEX(Projects[Est Structural Engineering],275)))</f>
        <v/>
      </c>
      <c r="CL276" s="5">
        <f>IF(A276="","",N(INDEX(Projects[Est Site Sup],275)))</f>
        <v/>
      </c>
      <c r="CM276" s="5">
        <f>IF(A276="","",N(INDEX(Projects[Est Controls Commissioning],275)))</f>
        <v/>
      </c>
      <c r="CN276" s="5">
        <f>IF(A276="","",N(INDEX(Projects[Est Systems Commissioning],275)))</f>
        <v/>
      </c>
      <c r="CO276" s="5">
        <f>IF(A276="","",N(INDEX(Projects[Est Service Commissioning],275)))</f>
        <v/>
      </c>
      <c r="CP276" s="5">
        <f>IF(A276="","",N(INDEX(Projects[Est Controls Eng],275)))</f>
        <v/>
      </c>
      <c r="CQ276" s="5">
        <f>IF(A276="","",N(INDEX(Projects[Est Controls Purchase],275)))</f>
        <v/>
      </c>
      <c r="CR276" s="5">
        <f>IF(A276="","",N(INDEX(Projects[Est Software Eng],275)))</f>
        <v/>
      </c>
      <c r="CS276" s="5">
        <f>IF(A276="","",N(INDEX(Projects[Est Misc],275)))</f>
        <v/>
      </c>
      <c r="CT276" s="5">
        <f>IF(A276="","",SUM(CF276:CS276))</f>
        <v/>
      </c>
      <c r="CU276" s="5">
        <f>INDEX(Projects[Est Cost (M)],275)</f>
        <v/>
      </c>
      <c r="CV276" s="5">
        <f>INDEX(Projects[Act Cost (M)],275)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IF(A277="","",N(INDEX(Projects[Act Mech Inst],276)))</f>
        <v/>
      </c>
      <c r="BK277" s="5">
        <f>IF(A277="","",N(INDEX(Projects[Act Elec Inst],276)))</f>
        <v/>
      </c>
      <c r="BL277" s="5">
        <f>IF(A277="","",N(INDEX(Projects[Act Project Management],276)))</f>
        <v/>
      </c>
      <c r="BM277" s="5">
        <f>IF(A277="","",N(INDEX(Projects[Act Systems Eng],276)))</f>
        <v/>
      </c>
      <c r="BN277" s="5">
        <f>IF(A277="","",N(INDEX(Projects[Act Mechanical Eng],276)))</f>
        <v/>
      </c>
      <c r="BO277" s="5">
        <f>IF(A277="","",N(INDEX(Projects[Act Structural Engineering],276)))</f>
        <v/>
      </c>
      <c r="BP277" s="5">
        <f>IF(A277="","",N(INDEX(Projects[Act Site Sup],276)))</f>
        <v/>
      </c>
      <c r="BQ277" s="5">
        <f>IF(A277="","",N(INDEX(Projects[Act Controls Commissioning],276)))</f>
        <v/>
      </c>
      <c r="BR277" s="5">
        <f>IF(A277="","",N(INDEX(Projects[Act Systems Commissioning],276)))</f>
        <v/>
      </c>
      <c r="BS277" s="5">
        <f>IF(A277="","",N(INDEX(Projects[Act Service Commissioning],276)))</f>
        <v/>
      </c>
      <c r="BT277" s="5">
        <f>IF(A277="","",N(INDEX(Projects[Act Controls Eng],276)))</f>
        <v/>
      </c>
      <c r="BU277" s="5">
        <f>IF(A277="","",N(INDEX(Projects[Act Controls Purchase],276)))</f>
        <v/>
      </c>
      <c r="BV277" s="5">
        <f>IF(A277="","",N(INDEX(Projects[Act Software Eng],276)))</f>
        <v/>
      </c>
      <c r="BW277" s="5">
        <f>IF(A277="","",N(INDEX(Projects[Act 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  <c r="CE277" s="5">
        <f>INDEX(Projects[Act Data Status],276)&amp;""</f>
        <v/>
      </c>
      <c r="CF277" s="5">
        <f>IF(A277="","",N(INDEX(Projects[Est Mech Inst],276)))</f>
        <v/>
      </c>
      <c r="CG277" s="5">
        <f>IF(A277="","",N(INDEX(Projects[Est Elec Inst],276)))</f>
        <v/>
      </c>
      <c r="CH277" s="5">
        <f>IF(A277="","",N(INDEX(Projects[Est Project Management],276)))</f>
        <v/>
      </c>
      <c r="CI277" s="5">
        <f>IF(A277="","",N(INDEX(Projects[Est Systems Eng],276)))</f>
        <v/>
      </c>
      <c r="CJ277" s="5">
        <f>IF(A277="","",N(INDEX(Projects[Est Mechanical Eng],276)))</f>
        <v/>
      </c>
      <c r="CK277" s="5">
        <f>IF(A277="","",N(INDEX(Projects[Est Structural Engineering],276)))</f>
        <v/>
      </c>
      <c r="CL277" s="5">
        <f>IF(A277="","",N(INDEX(Projects[Est Site Sup],276)))</f>
        <v/>
      </c>
      <c r="CM277" s="5">
        <f>IF(A277="","",N(INDEX(Projects[Est Controls Commissioning],276)))</f>
        <v/>
      </c>
      <c r="CN277" s="5">
        <f>IF(A277="","",N(INDEX(Projects[Est Systems Commissioning],276)))</f>
        <v/>
      </c>
      <c r="CO277" s="5">
        <f>IF(A277="","",N(INDEX(Projects[Est Service Commissioning],276)))</f>
        <v/>
      </c>
      <c r="CP277" s="5">
        <f>IF(A277="","",N(INDEX(Projects[Est Controls Eng],276)))</f>
        <v/>
      </c>
      <c r="CQ277" s="5">
        <f>IF(A277="","",N(INDEX(Projects[Est Controls Purchase],276)))</f>
        <v/>
      </c>
      <c r="CR277" s="5">
        <f>IF(A277="","",N(INDEX(Projects[Est Software Eng],276)))</f>
        <v/>
      </c>
      <c r="CS277" s="5">
        <f>IF(A277="","",N(INDEX(Projects[Est Misc],276)))</f>
        <v/>
      </c>
      <c r="CT277" s="5">
        <f>IF(A277="","",SUM(CF277:CS277))</f>
        <v/>
      </c>
      <c r="CU277" s="5">
        <f>INDEX(Projects[Est Cost (M)],276)</f>
        <v/>
      </c>
      <c r="CV277" s="5">
        <f>INDEX(Projects[Act Cost (M)],276)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IF(A278="","",N(INDEX(Projects[Act Mech Inst],277)))</f>
        <v/>
      </c>
      <c r="BK278" s="5">
        <f>IF(A278="","",N(INDEX(Projects[Act Elec Inst],277)))</f>
        <v/>
      </c>
      <c r="BL278" s="5">
        <f>IF(A278="","",N(INDEX(Projects[Act Project Management],277)))</f>
        <v/>
      </c>
      <c r="BM278" s="5">
        <f>IF(A278="","",N(INDEX(Projects[Act Systems Eng],277)))</f>
        <v/>
      </c>
      <c r="BN278" s="5">
        <f>IF(A278="","",N(INDEX(Projects[Act Mechanical Eng],277)))</f>
        <v/>
      </c>
      <c r="BO278" s="5">
        <f>IF(A278="","",N(INDEX(Projects[Act Structural Engineering],277)))</f>
        <v/>
      </c>
      <c r="BP278" s="5">
        <f>IF(A278="","",N(INDEX(Projects[Act Site Sup],277)))</f>
        <v/>
      </c>
      <c r="BQ278" s="5">
        <f>IF(A278="","",N(INDEX(Projects[Act Controls Commissioning],277)))</f>
        <v/>
      </c>
      <c r="BR278" s="5">
        <f>IF(A278="","",N(INDEX(Projects[Act Systems Commissioning],277)))</f>
        <v/>
      </c>
      <c r="BS278" s="5">
        <f>IF(A278="","",N(INDEX(Projects[Act Service Commissioning],277)))</f>
        <v/>
      </c>
      <c r="BT278" s="5">
        <f>IF(A278="","",N(INDEX(Projects[Act Controls Eng],277)))</f>
        <v/>
      </c>
      <c r="BU278" s="5">
        <f>IF(A278="","",N(INDEX(Projects[Act Controls Purchase],277)))</f>
        <v/>
      </c>
      <c r="BV278" s="5">
        <f>IF(A278="","",N(INDEX(Projects[Act Software Eng],277)))</f>
        <v/>
      </c>
      <c r="BW278" s="5">
        <f>IF(A278="","",N(INDEX(Projects[Act 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  <c r="CE278" s="5">
        <f>INDEX(Projects[Act Data Status],277)&amp;""</f>
        <v/>
      </c>
      <c r="CF278" s="5">
        <f>IF(A278="","",N(INDEX(Projects[Est Mech Inst],277)))</f>
        <v/>
      </c>
      <c r="CG278" s="5">
        <f>IF(A278="","",N(INDEX(Projects[Est Elec Inst],277)))</f>
        <v/>
      </c>
      <c r="CH278" s="5">
        <f>IF(A278="","",N(INDEX(Projects[Est Project Management],277)))</f>
        <v/>
      </c>
      <c r="CI278" s="5">
        <f>IF(A278="","",N(INDEX(Projects[Est Systems Eng],277)))</f>
        <v/>
      </c>
      <c r="CJ278" s="5">
        <f>IF(A278="","",N(INDEX(Projects[Est Mechanical Eng],277)))</f>
        <v/>
      </c>
      <c r="CK278" s="5">
        <f>IF(A278="","",N(INDEX(Projects[Est Structural Engineering],277)))</f>
        <v/>
      </c>
      <c r="CL278" s="5">
        <f>IF(A278="","",N(INDEX(Projects[Est Site Sup],277)))</f>
        <v/>
      </c>
      <c r="CM278" s="5">
        <f>IF(A278="","",N(INDEX(Projects[Est Controls Commissioning],277)))</f>
        <v/>
      </c>
      <c r="CN278" s="5">
        <f>IF(A278="","",N(INDEX(Projects[Est Systems Commissioning],277)))</f>
        <v/>
      </c>
      <c r="CO278" s="5">
        <f>IF(A278="","",N(INDEX(Projects[Est Service Commissioning],277)))</f>
        <v/>
      </c>
      <c r="CP278" s="5">
        <f>IF(A278="","",N(INDEX(Projects[Est Controls Eng],277)))</f>
        <v/>
      </c>
      <c r="CQ278" s="5">
        <f>IF(A278="","",N(INDEX(Projects[Est Controls Purchase],277)))</f>
        <v/>
      </c>
      <c r="CR278" s="5">
        <f>IF(A278="","",N(INDEX(Projects[Est Software Eng],277)))</f>
        <v/>
      </c>
      <c r="CS278" s="5">
        <f>IF(A278="","",N(INDEX(Projects[Est Misc],277)))</f>
        <v/>
      </c>
      <c r="CT278" s="5">
        <f>IF(A278="","",SUM(CF278:CS278))</f>
        <v/>
      </c>
      <c r="CU278" s="5">
        <f>INDEX(Projects[Est Cost (M)],277)</f>
        <v/>
      </c>
      <c r="CV278" s="5">
        <f>INDEX(Projects[Act Cost (M)],277)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IF(A279="","",N(INDEX(Projects[Act Mech Inst],278)))</f>
        <v/>
      </c>
      <c r="BK279" s="5">
        <f>IF(A279="","",N(INDEX(Projects[Act Elec Inst],278)))</f>
        <v/>
      </c>
      <c r="BL279" s="5">
        <f>IF(A279="","",N(INDEX(Projects[Act Project Management],278)))</f>
        <v/>
      </c>
      <c r="BM279" s="5">
        <f>IF(A279="","",N(INDEX(Projects[Act Systems Eng],278)))</f>
        <v/>
      </c>
      <c r="BN279" s="5">
        <f>IF(A279="","",N(INDEX(Projects[Act Mechanical Eng],278)))</f>
        <v/>
      </c>
      <c r="BO279" s="5">
        <f>IF(A279="","",N(INDEX(Projects[Act Structural Engineering],278)))</f>
        <v/>
      </c>
      <c r="BP279" s="5">
        <f>IF(A279="","",N(INDEX(Projects[Act Site Sup],278)))</f>
        <v/>
      </c>
      <c r="BQ279" s="5">
        <f>IF(A279="","",N(INDEX(Projects[Act Controls Commissioning],278)))</f>
        <v/>
      </c>
      <c r="BR279" s="5">
        <f>IF(A279="","",N(INDEX(Projects[Act Systems Commissioning],278)))</f>
        <v/>
      </c>
      <c r="BS279" s="5">
        <f>IF(A279="","",N(INDEX(Projects[Act Service Commissioning],278)))</f>
        <v/>
      </c>
      <c r="BT279" s="5">
        <f>IF(A279="","",N(INDEX(Projects[Act Controls Eng],278)))</f>
        <v/>
      </c>
      <c r="BU279" s="5">
        <f>IF(A279="","",N(INDEX(Projects[Act Controls Purchase],278)))</f>
        <v/>
      </c>
      <c r="BV279" s="5">
        <f>IF(A279="","",N(INDEX(Projects[Act Software Eng],278)))</f>
        <v/>
      </c>
      <c r="BW279" s="5">
        <f>IF(A279="","",N(INDEX(Projects[Act 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  <c r="CE279" s="5">
        <f>INDEX(Projects[Act Data Status],278)&amp;""</f>
        <v/>
      </c>
      <c r="CF279" s="5">
        <f>IF(A279="","",N(INDEX(Projects[Est Mech Inst],278)))</f>
        <v/>
      </c>
      <c r="CG279" s="5">
        <f>IF(A279="","",N(INDEX(Projects[Est Elec Inst],278)))</f>
        <v/>
      </c>
      <c r="CH279" s="5">
        <f>IF(A279="","",N(INDEX(Projects[Est Project Management],278)))</f>
        <v/>
      </c>
      <c r="CI279" s="5">
        <f>IF(A279="","",N(INDEX(Projects[Est Systems Eng],278)))</f>
        <v/>
      </c>
      <c r="CJ279" s="5">
        <f>IF(A279="","",N(INDEX(Projects[Est Mechanical Eng],278)))</f>
        <v/>
      </c>
      <c r="CK279" s="5">
        <f>IF(A279="","",N(INDEX(Projects[Est Structural Engineering],278)))</f>
        <v/>
      </c>
      <c r="CL279" s="5">
        <f>IF(A279="","",N(INDEX(Projects[Est Site Sup],278)))</f>
        <v/>
      </c>
      <c r="CM279" s="5">
        <f>IF(A279="","",N(INDEX(Projects[Est Controls Commissioning],278)))</f>
        <v/>
      </c>
      <c r="CN279" s="5">
        <f>IF(A279="","",N(INDEX(Projects[Est Systems Commissioning],278)))</f>
        <v/>
      </c>
      <c r="CO279" s="5">
        <f>IF(A279="","",N(INDEX(Projects[Est Service Commissioning],278)))</f>
        <v/>
      </c>
      <c r="CP279" s="5">
        <f>IF(A279="","",N(INDEX(Projects[Est Controls Eng],278)))</f>
        <v/>
      </c>
      <c r="CQ279" s="5">
        <f>IF(A279="","",N(INDEX(Projects[Est Controls Purchase],278)))</f>
        <v/>
      </c>
      <c r="CR279" s="5">
        <f>IF(A279="","",N(INDEX(Projects[Est Software Eng],278)))</f>
        <v/>
      </c>
      <c r="CS279" s="5">
        <f>IF(A279="","",N(INDEX(Projects[Est Misc],278)))</f>
        <v/>
      </c>
      <c r="CT279" s="5">
        <f>IF(A279="","",SUM(CF279:CS279))</f>
        <v/>
      </c>
      <c r="CU279" s="5">
        <f>INDEX(Projects[Est Cost (M)],278)</f>
        <v/>
      </c>
      <c r="CV279" s="5">
        <f>INDEX(Projects[Act Cost (M)],278)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IF(A280="","",N(INDEX(Projects[Act Mech Inst],279)))</f>
        <v/>
      </c>
      <c r="BK280" s="5">
        <f>IF(A280="","",N(INDEX(Projects[Act Elec Inst],279)))</f>
        <v/>
      </c>
      <c r="BL280" s="5">
        <f>IF(A280="","",N(INDEX(Projects[Act Project Management],279)))</f>
        <v/>
      </c>
      <c r="BM280" s="5">
        <f>IF(A280="","",N(INDEX(Projects[Act Systems Eng],279)))</f>
        <v/>
      </c>
      <c r="BN280" s="5">
        <f>IF(A280="","",N(INDEX(Projects[Act Mechanical Eng],279)))</f>
        <v/>
      </c>
      <c r="BO280" s="5">
        <f>IF(A280="","",N(INDEX(Projects[Act Structural Engineering],279)))</f>
        <v/>
      </c>
      <c r="BP280" s="5">
        <f>IF(A280="","",N(INDEX(Projects[Act Site Sup],279)))</f>
        <v/>
      </c>
      <c r="BQ280" s="5">
        <f>IF(A280="","",N(INDEX(Projects[Act Controls Commissioning],279)))</f>
        <v/>
      </c>
      <c r="BR280" s="5">
        <f>IF(A280="","",N(INDEX(Projects[Act Systems Commissioning],279)))</f>
        <v/>
      </c>
      <c r="BS280" s="5">
        <f>IF(A280="","",N(INDEX(Projects[Act Service Commissioning],279)))</f>
        <v/>
      </c>
      <c r="BT280" s="5">
        <f>IF(A280="","",N(INDEX(Projects[Act Controls Eng],279)))</f>
        <v/>
      </c>
      <c r="BU280" s="5">
        <f>IF(A280="","",N(INDEX(Projects[Act Controls Purchase],279)))</f>
        <v/>
      </c>
      <c r="BV280" s="5">
        <f>IF(A280="","",N(INDEX(Projects[Act Software Eng],279)))</f>
        <v/>
      </c>
      <c r="BW280" s="5">
        <f>IF(A280="","",N(INDEX(Projects[Act 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  <c r="CE280" s="5">
        <f>INDEX(Projects[Act Data Status],279)&amp;""</f>
        <v/>
      </c>
      <c r="CF280" s="5">
        <f>IF(A280="","",N(INDEX(Projects[Est Mech Inst],279)))</f>
        <v/>
      </c>
      <c r="CG280" s="5">
        <f>IF(A280="","",N(INDEX(Projects[Est Elec Inst],279)))</f>
        <v/>
      </c>
      <c r="CH280" s="5">
        <f>IF(A280="","",N(INDEX(Projects[Est Project Management],279)))</f>
        <v/>
      </c>
      <c r="CI280" s="5">
        <f>IF(A280="","",N(INDEX(Projects[Est Systems Eng],279)))</f>
        <v/>
      </c>
      <c r="CJ280" s="5">
        <f>IF(A280="","",N(INDEX(Projects[Est Mechanical Eng],279)))</f>
        <v/>
      </c>
      <c r="CK280" s="5">
        <f>IF(A280="","",N(INDEX(Projects[Est Structural Engineering],279)))</f>
        <v/>
      </c>
      <c r="CL280" s="5">
        <f>IF(A280="","",N(INDEX(Projects[Est Site Sup],279)))</f>
        <v/>
      </c>
      <c r="CM280" s="5">
        <f>IF(A280="","",N(INDEX(Projects[Est Controls Commissioning],279)))</f>
        <v/>
      </c>
      <c r="CN280" s="5">
        <f>IF(A280="","",N(INDEX(Projects[Est Systems Commissioning],279)))</f>
        <v/>
      </c>
      <c r="CO280" s="5">
        <f>IF(A280="","",N(INDEX(Projects[Est Service Commissioning],279)))</f>
        <v/>
      </c>
      <c r="CP280" s="5">
        <f>IF(A280="","",N(INDEX(Projects[Est Controls Eng],279)))</f>
        <v/>
      </c>
      <c r="CQ280" s="5">
        <f>IF(A280="","",N(INDEX(Projects[Est Controls Purchase],279)))</f>
        <v/>
      </c>
      <c r="CR280" s="5">
        <f>IF(A280="","",N(INDEX(Projects[Est Software Eng],279)))</f>
        <v/>
      </c>
      <c r="CS280" s="5">
        <f>IF(A280="","",N(INDEX(Projects[Est Misc],279)))</f>
        <v/>
      </c>
      <c r="CT280" s="5">
        <f>IF(A280="","",SUM(CF280:CS280))</f>
        <v/>
      </c>
      <c r="CU280" s="5">
        <f>INDEX(Projects[Est Cost (M)],279)</f>
        <v/>
      </c>
      <c r="CV280" s="5">
        <f>INDEX(Projects[Act Cost (M)],279)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IF(A281="","",N(INDEX(Projects[Act Mech Inst],280)))</f>
        <v/>
      </c>
      <c r="BK281" s="5">
        <f>IF(A281="","",N(INDEX(Projects[Act Elec Inst],280)))</f>
        <v/>
      </c>
      <c r="BL281" s="5">
        <f>IF(A281="","",N(INDEX(Projects[Act Project Management],280)))</f>
        <v/>
      </c>
      <c r="BM281" s="5">
        <f>IF(A281="","",N(INDEX(Projects[Act Systems Eng],280)))</f>
        <v/>
      </c>
      <c r="BN281" s="5">
        <f>IF(A281="","",N(INDEX(Projects[Act Mechanical Eng],280)))</f>
        <v/>
      </c>
      <c r="BO281" s="5">
        <f>IF(A281="","",N(INDEX(Projects[Act Structural Engineering],280)))</f>
        <v/>
      </c>
      <c r="BP281" s="5">
        <f>IF(A281="","",N(INDEX(Projects[Act Site Sup],280)))</f>
        <v/>
      </c>
      <c r="BQ281" s="5">
        <f>IF(A281="","",N(INDEX(Projects[Act Controls Commissioning],280)))</f>
        <v/>
      </c>
      <c r="BR281" s="5">
        <f>IF(A281="","",N(INDEX(Projects[Act Systems Commissioning],280)))</f>
        <v/>
      </c>
      <c r="BS281" s="5">
        <f>IF(A281="","",N(INDEX(Projects[Act Service Commissioning],280)))</f>
        <v/>
      </c>
      <c r="BT281" s="5">
        <f>IF(A281="","",N(INDEX(Projects[Act Controls Eng],280)))</f>
        <v/>
      </c>
      <c r="BU281" s="5">
        <f>IF(A281="","",N(INDEX(Projects[Act Controls Purchase],280)))</f>
        <v/>
      </c>
      <c r="BV281" s="5">
        <f>IF(A281="","",N(INDEX(Projects[Act Software Eng],280)))</f>
        <v/>
      </c>
      <c r="BW281" s="5">
        <f>IF(A281="","",N(INDEX(Projects[Act 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  <c r="CE281" s="5">
        <f>INDEX(Projects[Act Data Status],280)&amp;""</f>
        <v/>
      </c>
      <c r="CF281" s="5">
        <f>IF(A281="","",N(INDEX(Projects[Est Mech Inst],280)))</f>
        <v/>
      </c>
      <c r="CG281" s="5">
        <f>IF(A281="","",N(INDEX(Projects[Est Elec Inst],280)))</f>
        <v/>
      </c>
      <c r="CH281" s="5">
        <f>IF(A281="","",N(INDEX(Projects[Est Project Management],280)))</f>
        <v/>
      </c>
      <c r="CI281" s="5">
        <f>IF(A281="","",N(INDEX(Projects[Est Systems Eng],280)))</f>
        <v/>
      </c>
      <c r="CJ281" s="5">
        <f>IF(A281="","",N(INDEX(Projects[Est Mechanical Eng],280)))</f>
        <v/>
      </c>
      <c r="CK281" s="5">
        <f>IF(A281="","",N(INDEX(Projects[Est Structural Engineering],280)))</f>
        <v/>
      </c>
      <c r="CL281" s="5">
        <f>IF(A281="","",N(INDEX(Projects[Est Site Sup],280)))</f>
        <v/>
      </c>
      <c r="CM281" s="5">
        <f>IF(A281="","",N(INDEX(Projects[Est Controls Commissioning],280)))</f>
        <v/>
      </c>
      <c r="CN281" s="5">
        <f>IF(A281="","",N(INDEX(Projects[Est Systems Commissioning],280)))</f>
        <v/>
      </c>
      <c r="CO281" s="5">
        <f>IF(A281="","",N(INDEX(Projects[Est Service Commissioning],280)))</f>
        <v/>
      </c>
      <c r="CP281" s="5">
        <f>IF(A281="","",N(INDEX(Projects[Est Controls Eng],280)))</f>
        <v/>
      </c>
      <c r="CQ281" s="5">
        <f>IF(A281="","",N(INDEX(Projects[Est Controls Purchase],280)))</f>
        <v/>
      </c>
      <c r="CR281" s="5">
        <f>IF(A281="","",N(INDEX(Projects[Est Software Eng],280)))</f>
        <v/>
      </c>
      <c r="CS281" s="5">
        <f>IF(A281="","",N(INDEX(Projects[Est Misc],280)))</f>
        <v/>
      </c>
      <c r="CT281" s="5">
        <f>IF(A281="","",SUM(CF281:CS281))</f>
        <v/>
      </c>
      <c r="CU281" s="5">
        <f>INDEX(Projects[Est Cost (M)],280)</f>
        <v/>
      </c>
      <c r="CV281" s="5">
        <f>INDEX(Projects[Act Cost (M)],280)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IF(A282="","",N(INDEX(Projects[Act Mech Inst],281)))</f>
        <v/>
      </c>
      <c r="BK282" s="5">
        <f>IF(A282="","",N(INDEX(Projects[Act Elec Inst],281)))</f>
        <v/>
      </c>
      <c r="BL282" s="5">
        <f>IF(A282="","",N(INDEX(Projects[Act Project Management],281)))</f>
        <v/>
      </c>
      <c r="BM282" s="5">
        <f>IF(A282="","",N(INDEX(Projects[Act Systems Eng],281)))</f>
        <v/>
      </c>
      <c r="BN282" s="5">
        <f>IF(A282="","",N(INDEX(Projects[Act Mechanical Eng],281)))</f>
        <v/>
      </c>
      <c r="BO282" s="5">
        <f>IF(A282="","",N(INDEX(Projects[Act Structural Engineering],281)))</f>
        <v/>
      </c>
      <c r="BP282" s="5">
        <f>IF(A282="","",N(INDEX(Projects[Act Site Sup],281)))</f>
        <v/>
      </c>
      <c r="BQ282" s="5">
        <f>IF(A282="","",N(INDEX(Projects[Act Controls Commissioning],281)))</f>
        <v/>
      </c>
      <c r="BR282" s="5">
        <f>IF(A282="","",N(INDEX(Projects[Act Systems Commissioning],281)))</f>
        <v/>
      </c>
      <c r="BS282" s="5">
        <f>IF(A282="","",N(INDEX(Projects[Act Service Commissioning],281)))</f>
        <v/>
      </c>
      <c r="BT282" s="5">
        <f>IF(A282="","",N(INDEX(Projects[Act Controls Eng],281)))</f>
        <v/>
      </c>
      <c r="BU282" s="5">
        <f>IF(A282="","",N(INDEX(Projects[Act Controls Purchase],281)))</f>
        <v/>
      </c>
      <c r="BV282" s="5">
        <f>IF(A282="","",N(INDEX(Projects[Act Software Eng],281)))</f>
        <v/>
      </c>
      <c r="BW282" s="5">
        <f>IF(A282="","",N(INDEX(Projects[Act 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  <c r="CE282" s="5">
        <f>INDEX(Projects[Act Data Status],281)&amp;""</f>
        <v/>
      </c>
      <c r="CF282" s="5">
        <f>IF(A282="","",N(INDEX(Projects[Est Mech Inst],281)))</f>
        <v/>
      </c>
      <c r="CG282" s="5">
        <f>IF(A282="","",N(INDEX(Projects[Est Elec Inst],281)))</f>
        <v/>
      </c>
      <c r="CH282" s="5">
        <f>IF(A282="","",N(INDEX(Projects[Est Project Management],281)))</f>
        <v/>
      </c>
      <c r="CI282" s="5">
        <f>IF(A282="","",N(INDEX(Projects[Est Systems Eng],281)))</f>
        <v/>
      </c>
      <c r="CJ282" s="5">
        <f>IF(A282="","",N(INDEX(Projects[Est Mechanical Eng],281)))</f>
        <v/>
      </c>
      <c r="CK282" s="5">
        <f>IF(A282="","",N(INDEX(Projects[Est Structural Engineering],281)))</f>
        <v/>
      </c>
      <c r="CL282" s="5">
        <f>IF(A282="","",N(INDEX(Projects[Est Site Sup],281)))</f>
        <v/>
      </c>
      <c r="CM282" s="5">
        <f>IF(A282="","",N(INDEX(Projects[Est Controls Commissioning],281)))</f>
        <v/>
      </c>
      <c r="CN282" s="5">
        <f>IF(A282="","",N(INDEX(Projects[Est Systems Commissioning],281)))</f>
        <v/>
      </c>
      <c r="CO282" s="5">
        <f>IF(A282="","",N(INDEX(Projects[Est Service Commissioning],281)))</f>
        <v/>
      </c>
      <c r="CP282" s="5">
        <f>IF(A282="","",N(INDEX(Projects[Est Controls Eng],281)))</f>
        <v/>
      </c>
      <c r="CQ282" s="5">
        <f>IF(A282="","",N(INDEX(Projects[Est Controls Purchase],281)))</f>
        <v/>
      </c>
      <c r="CR282" s="5">
        <f>IF(A282="","",N(INDEX(Projects[Est Software Eng],281)))</f>
        <v/>
      </c>
      <c r="CS282" s="5">
        <f>IF(A282="","",N(INDEX(Projects[Est Misc],281)))</f>
        <v/>
      </c>
      <c r="CT282" s="5">
        <f>IF(A282="","",SUM(CF282:CS282))</f>
        <v/>
      </c>
      <c r="CU282" s="5">
        <f>INDEX(Projects[Est Cost (M)],281)</f>
        <v/>
      </c>
      <c r="CV282" s="5">
        <f>INDEX(Projects[Act Cost (M)],281)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IF(A283="","",N(INDEX(Projects[Act Mech Inst],282)))</f>
        <v/>
      </c>
      <c r="BK283" s="5">
        <f>IF(A283="","",N(INDEX(Projects[Act Elec Inst],282)))</f>
        <v/>
      </c>
      <c r="BL283" s="5">
        <f>IF(A283="","",N(INDEX(Projects[Act Project Management],282)))</f>
        <v/>
      </c>
      <c r="BM283" s="5">
        <f>IF(A283="","",N(INDEX(Projects[Act Systems Eng],282)))</f>
        <v/>
      </c>
      <c r="BN283" s="5">
        <f>IF(A283="","",N(INDEX(Projects[Act Mechanical Eng],282)))</f>
        <v/>
      </c>
      <c r="BO283" s="5">
        <f>IF(A283="","",N(INDEX(Projects[Act Structural Engineering],282)))</f>
        <v/>
      </c>
      <c r="BP283" s="5">
        <f>IF(A283="","",N(INDEX(Projects[Act Site Sup],282)))</f>
        <v/>
      </c>
      <c r="BQ283" s="5">
        <f>IF(A283="","",N(INDEX(Projects[Act Controls Commissioning],282)))</f>
        <v/>
      </c>
      <c r="BR283" s="5">
        <f>IF(A283="","",N(INDEX(Projects[Act Systems Commissioning],282)))</f>
        <v/>
      </c>
      <c r="BS283" s="5">
        <f>IF(A283="","",N(INDEX(Projects[Act Service Commissioning],282)))</f>
        <v/>
      </c>
      <c r="BT283" s="5">
        <f>IF(A283="","",N(INDEX(Projects[Act Controls Eng],282)))</f>
        <v/>
      </c>
      <c r="BU283" s="5">
        <f>IF(A283="","",N(INDEX(Projects[Act Controls Purchase],282)))</f>
        <v/>
      </c>
      <c r="BV283" s="5">
        <f>IF(A283="","",N(INDEX(Projects[Act Software Eng],282)))</f>
        <v/>
      </c>
      <c r="BW283" s="5">
        <f>IF(A283="","",N(INDEX(Projects[Act 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  <c r="CE283" s="5">
        <f>INDEX(Projects[Act Data Status],282)&amp;""</f>
        <v/>
      </c>
      <c r="CF283" s="5">
        <f>IF(A283="","",N(INDEX(Projects[Est Mech Inst],282)))</f>
        <v/>
      </c>
      <c r="CG283" s="5">
        <f>IF(A283="","",N(INDEX(Projects[Est Elec Inst],282)))</f>
        <v/>
      </c>
      <c r="CH283" s="5">
        <f>IF(A283="","",N(INDEX(Projects[Est Project Management],282)))</f>
        <v/>
      </c>
      <c r="CI283" s="5">
        <f>IF(A283="","",N(INDEX(Projects[Est Systems Eng],282)))</f>
        <v/>
      </c>
      <c r="CJ283" s="5">
        <f>IF(A283="","",N(INDEX(Projects[Est Mechanical Eng],282)))</f>
        <v/>
      </c>
      <c r="CK283" s="5">
        <f>IF(A283="","",N(INDEX(Projects[Est Structural Engineering],282)))</f>
        <v/>
      </c>
      <c r="CL283" s="5">
        <f>IF(A283="","",N(INDEX(Projects[Est Site Sup],282)))</f>
        <v/>
      </c>
      <c r="CM283" s="5">
        <f>IF(A283="","",N(INDEX(Projects[Est Controls Commissioning],282)))</f>
        <v/>
      </c>
      <c r="CN283" s="5">
        <f>IF(A283="","",N(INDEX(Projects[Est Systems Commissioning],282)))</f>
        <v/>
      </c>
      <c r="CO283" s="5">
        <f>IF(A283="","",N(INDEX(Projects[Est Service Commissioning],282)))</f>
        <v/>
      </c>
      <c r="CP283" s="5">
        <f>IF(A283="","",N(INDEX(Projects[Est Controls Eng],282)))</f>
        <v/>
      </c>
      <c r="CQ283" s="5">
        <f>IF(A283="","",N(INDEX(Projects[Est Controls Purchase],282)))</f>
        <v/>
      </c>
      <c r="CR283" s="5">
        <f>IF(A283="","",N(INDEX(Projects[Est Software Eng],282)))</f>
        <v/>
      </c>
      <c r="CS283" s="5">
        <f>IF(A283="","",N(INDEX(Projects[Est Misc],282)))</f>
        <v/>
      </c>
      <c r="CT283" s="5">
        <f>IF(A283="","",SUM(CF283:CS283))</f>
        <v/>
      </c>
      <c r="CU283" s="5">
        <f>INDEX(Projects[Est Cost (M)],282)</f>
        <v/>
      </c>
      <c r="CV283" s="5">
        <f>INDEX(Projects[Act Cost (M)],282)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IF(A284="","",N(INDEX(Projects[Act Mech Inst],283)))</f>
        <v/>
      </c>
      <c r="BK284" s="5">
        <f>IF(A284="","",N(INDEX(Projects[Act Elec Inst],283)))</f>
        <v/>
      </c>
      <c r="BL284" s="5">
        <f>IF(A284="","",N(INDEX(Projects[Act Project Management],283)))</f>
        <v/>
      </c>
      <c r="BM284" s="5">
        <f>IF(A284="","",N(INDEX(Projects[Act Systems Eng],283)))</f>
        <v/>
      </c>
      <c r="BN284" s="5">
        <f>IF(A284="","",N(INDEX(Projects[Act Mechanical Eng],283)))</f>
        <v/>
      </c>
      <c r="BO284" s="5">
        <f>IF(A284="","",N(INDEX(Projects[Act Structural Engineering],283)))</f>
        <v/>
      </c>
      <c r="BP284" s="5">
        <f>IF(A284="","",N(INDEX(Projects[Act Site Sup],283)))</f>
        <v/>
      </c>
      <c r="BQ284" s="5">
        <f>IF(A284="","",N(INDEX(Projects[Act Controls Commissioning],283)))</f>
        <v/>
      </c>
      <c r="BR284" s="5">
        <f>IF(A284="","",N(INDEX(Projects[Act Systems Commissioning],283)))</f>
        <v/>
      </c>
      <c r="BS284" s="5">
        <f>IF(A284="","",N(INDEX(Projects[Act Service Commissioning],283)))</f>
        <v/>
      </c>
      <c r="BT284" s="5">
        <f>IF(A284="","",N(INDEX(Projects[Act Controls Eng],283)))</f>
        <v/>
      </c>
      <c r="BU284" s="5">
        <f>IF(A284="","",N(INDEX(Projects[Act Controls Purchase],283)))</f>
        <v/>
      </c>
      <c r="BV284" s="5">
        <f>IF(A284="","",N(INDEX(Projects[Act Software Eng],283)))</f>
        <v/>
      </c>
      <c r="BW284" s="5">
        <f>IF(A284="","",N(INDEX(Projects[Act 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  <c r="CE284" s="5">
        <f>INDEX(Projects[Act Data Status],283)&amp;""</f>
        <v/>
      </c>
      <c r="CF284" s="5">
        <f>IF(A284="","",N(INDEX(Projects[Est Mech Inst],283)))</f>
        <v/>
      </c>
      <c r="CG284" s="5">
        <f>IF(A284="","",N(INDEX(Projects[Est Elec Inst],283)))</f>
        <v/>
      </c>
      <c r="CH284" s="5">
        <f>IF(A284="","",N(INDEX(Projects[Est Project Management],283)))</f>
        <v/>
      </c>
      <c r="CI284" s="5">
        <f>IF(A284="","",N(INDEX(Projects[Est Systems Eng],283)))</f>
        <v/>
      </c>
      <c r="CJ284" s="5">
        <f>IF(A284="","",N(INDEX(Projects[Est Mechanical Eng],283)))</f>
        <v/>
      </c>
      <c r="CK284" s="5">
        <f>IF(A284="","",N(INDEX(Projects[Est Structural Engineering],283)))</f>
        <v/>
      </c>
      <c r="CL284" s="5">
        <f>IF(A284="","",N(INDEX(Projects[Est Site Sup],283)))</f>
        <v/>
      </c>
      <c r="CM284" s="5">
        <f>IF(A284="","",N(INDEX(Projects[Est Controls Commissioning],283)))</f>
        <v/>
      </c>
      <c r="CN284" s="5">
        <f>IF(A284="","",N(INDEX(Projects[Est Systems Commissioning],283)))</f>
        <v/>
      </c>
      <c r="CO284" s="5">
        <f>IF(A284="","",N(INDEX(Projects[Est Service Commissioning],283)))</f>
        <v/>
      </c>
      <c r="CP284" s="5">
        <f>IF(A284="","",N(INDEX(Projects[Est Controls Eng],283)))</f>
        <v/>
      </c>
      <c r="CQ284" s="5">
        <f>IF(A284="","",N(INDEX(Projects[Est Controls Purchase],283)))</f>
        <v/>
      </c>
      <c r="CR284" s="5">
        <f>IF(A284="","",N(INDEX(Projects[Est Software Eng],283)))</f>
        <v/>
      </c>
      <c r="CS284" s="5">
        <f>IF(A284="","",N(INDEX(Projects[Est Misc],283)))</f>
        <v/>
      </c>
      <c r="CT284" s="5">
        <f>IF(A284="","",SUM(CF284:CS284))</f>
        <v/>
      </c>
      <c r="CU284" s="5">
        <f>INDEX(Projects[Est Cost (M)],283)</f>
        <v/>
      </c>
      <c r="CV284" s="5">
        <f>INDEX(Projects[Act Cost (M)],283)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IF(A285="","",N(INDEX(Projects[Act Mech Inst],284)))</f>
        <v/>
      </c>
      <c r="BK285" s="5">
        <f>IF(A285="","",N(INDEX(Projects[Act Elec Inst],284)))</f>
        <v/>
      </c>
      <c r="BL285" s="5">
        <f>IF(A285="","",N(INDEX(Projects[Act Project Management],284)))</f>
        <v/>
      </c>
      <c r="BM285" s="5">
        <f>IF(A285="","",N(INDEX(Projects[Act Systems Eng],284)))</f>
        <v/>
      </c>
      <c r="BN285" s="5">
        <f>IF(A285="","",N(INDEX(Projects[Act Mechanical Eng],284)))</f>
        <v/>
      </c>
      <c r="BO285" s="5">
        <f>IF(A285="","",N(INDEX(Projects[Act Structural Engineering],284)))</f>
        <v/>
      </c>
      <c r="BP285" s="5">
        <f>IF(A285="","",N(INDEX(Projects[Act Site Sup],284)))</f>
        <v/>
      </c>
      <c r="BQ285" s="5">
        <f>IF(A285="","",N(INDEX(Projects[Act Controls Commissioning],284)))</f>
        <v/>
      </c>
      <c r="BR285" s="5">
        <f>IF(A285="","",N(INDEX(Projects[Act Systems Commissioning],284)))</f>
        <v/>
      </c>
      <c r="BS285" s="5">
        <f>IF(A285="","",N(INDEX(Projects[Act Service Commissioning],284)))</f>
        <v/>
      </c>
      <c r="BT285" s="5">
        <f>IF(A285="","",N(INDEX(Projects[Act Controls Eng],284)))</f>
        <v/>
      </c>
      <c r="BU285" s="5">
        <f>IF(A285="","",N(INDEX(Projects[Act Controls Purchase],284)))</f>
        <v/>
      </c>
      <c r="BV285" s="5">
        <f>IF(A285="","",N(INDEX(Projects[Act Software Eng],284)))</f>
        <v/>
      </c>
      <c r="BW285" s="5">
        <f>IF(A285="","",N(INDEX(Projects[Act 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  <c r="CE285" s="5">
        <f>INDEX(Projects[Act Data Status],284)&amp;""</f>
        <v/>
      </c>
      <c r="CF285" s="5">
        <f>IF(A285="","",N(INDEX(Projects[Est Mech Inst],284)))</f>
        <v/>
      </c>
      <c r="CG285" s="5">
        <f>IF(A285="","",N(INDEX(Projects[Est Elec Inst],284)))</f>
        <v/>
      </c>
      <c r="CH285" s="5">
        <f>IF(A285="","",N(INDEX(Projects[Est Project Management],284)))</f>
        <v/>
      </c>
      <c r="CI285" s="5">
        <f>IF(A285="","",N(INDEX(Projects[Est Systems Eng],284)))</f>
        <v/>
      </c>
      <c r="CJ285" s="5">
        <f>IF(A285="","",N(INDEX(Projects[Est Mechanical Eng],284)))</f>
        <v/>
      </c>
      <c r="CK285" s="5">
        <f>IF(A285="","",N(INDEX(Projects[Est Structural Engineering],284)))</f>
        <v/>
      </c>
      <c r="CL285" s="5">
        <f>IF(A285="","",N(INDEX(Projects[Est Site Sup],284)))</f>
        <v/>
      </c>
      <c r="CM285" s="5">
        <f>IF(A285="","",N(INDEX(Projects[Est Controls Commissioning],284)))</f>
        <v/>
      </c>
      <c r="CN285" s="5">
        <f>IF(A285="","",N(INDEX(Projects[Est Systems Commissioning],284)))</f>
        <v/>
      </c>
      <c r="CO285" s="5">
        <f>IF(A285="","",N(INDEX(Projects[Est Service Commissioning],284)))</f>
        <v/>
      </c>
      <c r="CP285" s="5">
        <f>IF(A285="","",N(INDEX(Projects[Est Controls Eng],284)))</f>
        <v/>
      </c>
      <c r="CQ285" s="5">
        <f>IF(A285="","",N(INDEX(Projects[Est Controls Purchase],284)))</f>
        <v/>
      </c>
      <c r="CR285" s="5">
        <f>IF(A285="","",N(INDEX(Projects[Est Software Eng],284)))</f>
        <v/>
      </c>
      <c r="CS285" s="5">
        <f>IF(A285="","",N(INDEX(Projects[Est Misc],284)))</f>
        <v/>
      </c>
      <c r="CT285" s="5">
        <f>IF(A285="","",SUM(CF285:CS285))</f>
        <v/>
      </c>
      <c r="CU285" s="5">
        <f>INDEX(Projects[Est Cost (M)],284)</f>
        <v/>
      </c>
      <c r="CV285" s="5">
        <f>INDEX(Projects[Act Cost (M)],284)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IF(A286="","",N(INDEX(Projects[Act Mech Inst],285)))</f>
        <v/>
      </c>
      <c r="BK286" s="5">
        <f>IF(A286="","",N(INDEX(Projects[Act Elec Inst],285)))</f>
        <v/>
      </c>
      <c r="BL286" s="5">
        <f>IF(A286="","",N(INDEX(Projects[Act Project Management],285)))</f>
        <v/>
      </c>
      <c r="BM286" s="5">
        <f>IF(A286="","",N(INDEX(Projects[Act Systems Eng],285)))</f>
        <v/>
      </c>
      <c r="BN286" s="5">
        <f>IF(A286="","",N(INDEX(Projects[Act Mechanical Eng],285)))</f>
        <v/>
      </c>
      <c r="BO286" s="5">
        <f>IF(A286="","",N(INDEX(Projects[Act Structural Engineering],285)))</f>
        <v/>
      </c>
      <c r="BP286" s="5">
        <f>IF(A286="","",N(INDEX(Projects[Act Site Sup],285)))</f>
        <v/>
      </c>
      <c r="BQ286" s="5">
        <f>IF(A286="","",N(INDEX(Projects[Act Controls Commissioning],285)))</f>
        <v/>
      </c>
      <c r="BR286" s="5">
        <f>IF(A286="","",N(INDEX(Projects[Act Systems Commissioning],285)))</f>
        <v/>
      </c>
      <c r="BS286" s="5">
        <f>IF(A286="","",N(INDEX(Projects[Act Service Commissioning],285)))</f>
        <v/>
      </c>
      <c r="BT286" s="5">
        <f>IF(A286="","",N(INDEX(Projects[Act Controls Eng],285)))</f>
        <v/>
      </c>
      <c r="BU286" s="5">
        <f>IF(A286="","",N(INDEX(Projects[Act Controls Purchase],285)))</f>
        <v/>
      </c>
      <c r="BV286" s="5">
        <f>IF(A286="","",N(INDEX(Projects[Act Software Eng],285)))</f>
        <v/>
      </c>
      <c r="BW286" s="5">
        <f>IF(A286="","",N(INDEX(Projects[Act 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  <c r="CE286" s="5">
        <f>INDEX(Projects[Act Data Status],285)&amp;""</f>
        <v/>
      </c>
      <c r="CF286" s="5">
        <f>IF(A286="","",N(INDEX(Projects[Est Mech Inst],285)))</f>
        <v/>
      </c>
      <c r="CG286" s="5">
        <f>IF(A286="","",N(INDEX(Projects[Est Elec Inst],285)))</f>
        <v/>
      </c>
      <c r="CH286" s="5">
        <f>IF(A286="","",N(INDEX(Projects[Est Project Management],285)))</f>
        <v/>
      </c>
      <c r="CI286" s="5">
        <f>IF(A286="","",N(INDEX(Projects[Est Systems Eng],285)))</f>
        <v/>
      </c>
      <c r="CJ286" s="5">
        <f>IF(A286="","",N(INDEX(Projects[Est Mechanical Eng],285)))</f>
        <v/>
      </c>
      <c r="CK286" s="5">
        <f>IF(A286="","",N(INDEX(Projects[Est Structural Engineering],285)))</f>
        <v/>
      </c>
      <c r="CL286" s="5">
        <f>IF(A286="","",N(INDEX(Projects[Est Site Sup],285)))</f>
        <v/>
      </c>
      <c r="CM286" s="5">
        <f>IF(A286="","",N(INDEX(Projects[Est Controls Commissioning],285)))</f>
        <v/>
      </c>
      <c r="CN286" s="5">
        <f>IF(A286="","",N(INDEX(Projects[Est Systems Commissioning],285)))</f>
        <v/>
      </c>
      <c r="CO286" s="5">
        <f>IF(A286="","",N(INDEX(Projects[Est Service Commissioning],285)))</f>
        <v/>
      </c>
      <c r="CP286" s="5">
        <f>IF(A286="","",N(INDEX(Projects[Est Controls Eng],285)))</f>
        <v/>
      </c>
      <c r="CQ286" s="5">
        <f>IF(A286="","",N(INDEX(Projects[Est Controls Purchase],285)))</f>
        <v/>
      </c>
      <c r="CR286" s="5">
        <f>IF(A286="","",N(INDEX(Projects[Est Software Eng],285)))</f>
        <v/>
      </c>
      <c r="CS286" s="5">
        <f>IF(A286="","",N(INDEX(Projects[Est Misc],285)))</f>
        <v/>
      </c>
      <c r="CT286" s="5">
        <f>IF(A286="","",SUM(CF286:CS286))</f>
        <v/>
      </c>
      <c r="CU286" s="5">
        <f>INDEX(Projects[Est Cost (M)],285)</f>
        <v/>
      </c>
      <c r="CV286" s="5">
        <f>INDEX(Projects[Act Cost (M)],285)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IF(A287="","",N(INDEX(Projects[Act Mech Inst],286)))</f>
        <v/>
      </c>
      <c r="BK287" s="5">
        <f>IF(A287="","",N(INDEX(Projects[Act Elec Inst],286)))</f>
        <v/>
      </c>
      <c r="BL287" s="5">
        <f>IF(A287="","",N(INDEX(Projects[Act Project Management],286)))</f>
        <v/>
      </c>
      <c r="BM287" s="5">
        <f>IF(A287="","",N(INDEX(Projects[Act Systems Eng],286)))</f>
        <v/>
      </c>
      <c r="BN287" s="5">
        <f>IF(A287="","",N(INDEX(Projects[Act Mechanical Eng],286)))</f>
        <v/>
      </c>
      <c r="BO287" s="5">
        <f>IF(A287="","",N(INDEX(Projects[Act Structural Engineering],286)))</f>
        <v/>
      </c>
      <c r="BP287" s="5">
        <f>IF(A287="","",N(INDEX(Projects[Act Site Sup],286)))</f>
        <v/>
      </c>
      <c r="BQ287" s="5">
        <f>IF(A287="","",N(INDEX(Projects[Act Controls Commissioning],286)))</f>
        <v/>
      </c>
      <c r="BR287" s="5">
        <f>IF(A287="","",N(INDEX(Projects[Act Systems Commissioning],286)))</f>
        <v/>
      </c>
      <c r="BS287" s="5">
        <f>IF(A287="","",N(INDEX(Projects[Act Service Commissioning],286)))</f>
        <v/>
      </c>
      <c r="BT287" s="5">
        <f>IF(A287="","",N(INDEX(Projects[Act Controls Eng],286)))</f>
        <v/>
      </c>
      <c r="BU287" s="5">
        <f>IF(A287="","",N(INDEX(Projects[Act Controls Purchase],286)))</f>
        <v/>
      </c>
      <c r="BV287" s="5">
        <f>IF(A287="","",N(INDEX(Projects[Act Software Eng],286)))</f>
        <v/>
      </c>
      <c r="BW287" s="5">
        <f>IF(A287="","",N(INDEX(Projects[Act 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  <c r="CE287" s="5">
        <f>INDEX(Projects[Act Data Status],286)&amp;""</f>
        <v/>
      </c>
      <c r="CF287" s="5">
        <f>IF(A287="","",N(INDEX(Projects[Est Mech Inst],286)))</f>
        <v/>
      </c>
      <c r="CG287" s="5">
        <f>IF(A287="","",N(INDEX(Projects[Est Elec Inst],286)))</f>
        <v/>
      </c>
      <c r="CH287" s="5">
        <f>IF(A287="","",N(INDEX(Projects[Est Project Management],286)))</f>
        <v/>
      </c>
      <c r="CI287" s="5">
        <f>IF(A287="","",N(INDEX(Projects[Est Systems Eng],286)))</f>
        <v/>
      </c>
      <c r="CJ287" s="5">
        <f>IF(A287="","",N(INDEX(Projects[Est Mechanical Eng],286)))</f>
        <v/>
      </c>
      <c r="CK287" s="5">
        <f>IF(A287="","",N(INDEX(Projects[Est Structural Engineering],286)))</f>
        <v/>
      </c>
      <c r="CL287" s="5">
        <f>IF(A287="","",N(INDEX(Projects[Est Site Sup],286)))</f>
        <v/>
      </c>
      <c r="CM287" s="5">
        <f>IF(A287="","",N(INDEX(Projects[Est Controls Commissioning],286)))</f>
        <v/>
      </c>
      <c r="CN287" s="5">
        <f>IF(A287="","",N(INDEX(Projects[Est Systems Commissioning],286)))</f>
        <v/>
      </c>
      <c r="CO287" s="5">
        <f>IF(A287="","",N(INDEX(Projects[Est Service Commissioning],286)))</f>
        <v/>
      </c>
      <c r="CP287" s="5">
        <f>IF(A287="","",N(INDEX(Projects[Est Controls Eng],286)))</f>
        <v/>
      </c>
      <c r="CQ287" s="5">
        <f>IF(A287="","",N(INDEX(Projects[Est Controls Purchase],286)))</f>
        <v/>
      </c>
      <c r="CR287" s="5">
        <f>IF(A287="","",N(INDEX(Projects[Est Software Eng],286)))</f>
        <v/>
      </c>
      <c r="CS287" s="5">
        <f>IF(A287="","",N(INDEX(Projects[Est Misc],286)))</f>
        <v/>
      </c>
      <c r="CT287" s="5">
        <f>IF(A287="","",SUM(CF287:CS287))</f>
        <v/>
      </c>
      <c r="CU287" s="5">
        <f>INDEX(Projects[Est Cost (M)],286)</f>
        <v/>
      </c>
      <c r="CV287" s="5">
        <f>INDEX(Projects[Act Cost (M)],286)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IF(A288="","",N(INDEX(Projects[Act Mech Inst],287)))</f>
        <v/>
      </c>
      <c r="BK288" s="5">
        <f>IF(A288="","",N(INDEX(Projects[Act Elec Inst],287)))</f>
        <v/>
      </c>
      <c r="BL288" s="5">
        <f>IF(A288="","",N(INDEX(Projects[Act Project Management],287)))</f>
        <v/>
      </c>
      <c r="BM288" s="5">
        <f>IF(A288="","",N(INDEX(Projects[Act Systems Eng],287)))</f>
        <v/>
      </c>
      <c r="BN288" s="5">
        <f>IF(A288="","",N(INDEX(Projects[Act Mechanical Eng],287)))</f>
        <v/>
      </c>
      <c r="BO288" s="5">
        <f>IF(A288="","",N(INDEX(Projects[Act Structural Engineering],287)))</f>
        <v/>
      </c>
      <c r="BP288" s="5">
        <f>IF(A288="","",N(INDEX(Projects[Act Site Sup],287)))</f>
        <v/>
      </c>
      <c r="BQ288" s="5">
        <f>IF(A288="","",N(INDEX(Projects[Act Controls Commissioning],287)))</f>
        <v/>
      </c>
      <c r="BR288" s="5">
        <f>IF(A288="","",N(INDEX(Projects[Act Systems Commissioning],287)))</f>
        <v/>
      </c>
      <c r="BS288" s="5">
        <f>IF(A288="","",N(INDEX(Projects[Act Service Commissioning],287)))</f>
        <v/>
      </c>
      <c r="BT288" s="5">
        <f>IF(A288="","",N(INDEX(Projects[Act Controls Eng],287)))</f>
        <v/>
      </c>
      <c r="BU288" s="5">
        <f>IF(A288="","",N(INDEX(Projects[Act Controls Purchase],287)))</f>
        <v/>
      </c>
      <c r="BV288" s="5">
        <f>IF(A288="","",N(INDEX(Projects[Act Software Eng],287)))</f>
        <v/>
      </c>
      <c r="BW288" s="5">
        <f>IF(A288="","",N(INDEX(Projects[Act 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  <c r="CE288" s="5">
        <f>INDEX(Projects[Act Data Status],287)&amp;""</f>
        <v/>
      </c>
      <c r="CF288" s="5">
        <f>IF(A288="","",N(INDEX(Projects[Est Mech Inst],287)))</f>
        <v/>
      </c>
      <c r="CG288" s="5">
        <f>IF(A288="","",N(INDEX(Projects[Est Elec Inst],287)))</f>
        <v/>
      </c>
      <c r="CH288" s="5">
        <f>IF(A288="","",N(INDEX(Projects[Est Project Management],287)))</f>
        <v/>
      </c>
      <c r="CI288" s="5">
        <f>IF(A288="","",N(INDEX(Projects[Est Systems Eng],287)))</f>
        <v/>
      </c>
      <c r="CJ288" s="5">
        <f>IF(A288="","",N(INDEX(Projects[Est Mechanical Eng],287)))</f>
        <v/>
      </c>
      <c r="CK288" s="5">
        <f>IF(A288="","",N(INDEX(Projects[Est Structural Engineering],287)))</f>
        <v/>
      </c>
      <c r="CL288" s="5">
        <f>IF(A288="","",N(INDEX(Projects[Est Site Sup],287)))</f>
        <v/>
      </c>
      <c r="CM288" s="5">
        <f>IF(A288="","",N(INDEX(Projects[Est Controls Commissioning],287)))</f>
        <v/>
      </c>
      <c r="CN288" s="5">
        <f>IF(A288="","",N(INDEX(Projects[Est Systems Commissioning],287)))</f>
        <v/>
      </c>
      <c r="CO288" s="5">
        <f>IF(A288="","",N(INDEX(Projects[Est Service Commissioning],287)))</f>
        <v/>
      </c>
      <c r="CP288" s="5">
        <f>IF(A288="","",N(INDEX(Projects[Est Controls Eng],287)))</f>
        <v/>
      </c>
      <c r="CQ288" s="5">
        <f>IF(A288="","",N(INDEX(Projects[Est Controls Purchase],287)))</f>
        <v/>
      </c>
      <c r="CR288" s="5">
        <f>IF(A288="","",N(INDEX(Projects[Est Software Eng],287)))</f>
        <v/>
      </c>
      <c r="CS288" s="5">
        <f>IF(A288="","",N(INDEX(Projects[Est Misc],287)))</f>
        <v/>
      </c>
      <c r="CT288" s="5">
        <f>IF(A288="","",SUM(CF288:CS288))</f>
        <v/>
      </c>
      <c r="CU288" s="5">
        <f>INDEX(Projects[Est Cost (M)],287)</f>
        <v/>
      </c>
      <c r="CV288" s="5">
        <f>INDEX(Projects[Act Cost (M)],287)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IF(A289="","",N(INDEX(Projects[Act Mech Inst],288)))</f>
        <v/>
      </c>
      <c r="BK289" s="5">
        <f>IF(A289="","",N(INDEX(Projects[Act Elec Inst],288)))</f>
        <v/>
      </c>
      <c r="BL289" s="5">
        <f>IF(A289="","",N(INDEX(Projects[Act Project Management],288)))</f>
        <v/>
      </c>
      <c r="BM289" s="5">
        <f>IF(A289="","",N(INDEX(Projects[Act Systems Eng],288)))</f>
        <v/>
      </c>
      <c r="BN289" s="5">
        <f>IF(A289="","",N(INDEX(Projects[Act Mechanical Eng],288)))</f>
        <v/>
      </c>
      <c r="BO289" s="5">
        <f>IF(A289="","",N(INDEX(Projects[Act Structural Engineering],288)))</f>
        <v/>
      </c>
      <c r="BP289" s="5">
        <f>IF(A289="","",N(INDEX(Projects[Act Site Sup],288)))</f>
        <v/>
      </c>
      <c r="BQ289" s="5">
        <f>IF(A289="","",N(INDEX(Projects[Act Controls Commissioning],288)))</f>
        <v/>
      </c>
      <c r="BR289" s="5">
        <f>IF(A289="","",N(INDEX(Projects[Act Systems Commissioning],288)))</f>
        <v/>
      </c>
      <c r="BS289" s="5">
        <f>IF(A289="","",N(INDEX(Projects[Act Service Commissioning],288)))</f>
        <v/>
      </c>
      <c r="BT289" s="5">
        <f>IF(A289="","",N(INDEX(Projects[Act Controls Eng],288)))</f>
        <v/>
      </c>
      <c r="BU289" s="5">
        <f>IF(A289="","",N(INDEX(Projects[Act Controls Purchase],288)))</f>
        <v/>
      </c>
      <c r="BV289" s="5">
        <f>IF(A289="","",N(INDEX(Projects[Act Software Eng],288)))</f>
        <v/>
      </c>
      <c r="BW289" s="5">
        <f>IF(A289="","",N(INDEX(Projects[Act 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  <c r="CE289" s="5">
        <f>INDEX(Projects[Act Data Status],288)&amp;""</f>
        <v/>
      </c>
      <c r="CF289" s="5">
        <f>IF(A289="","",N(INDEX(Projects[Est Mech Inst],288)))</f>
        <v/>
      </c>
      <c r="CG289" s="5">
        <f>IF(A289="","",N(INDEX(Projects[Est Elec Inst],288)))</f>
        <v/>
      </c>
      <c r="CH289" s="5">
        <f>IF(A289="","",N(INDEX(Projects[Est Project Management],288)))</f>
        <v/>
      </c>
      <c r="CI289" s="5">
        <f>IF(A289="","",N(INDEX(Projects[Est Systems Eng],288)))</f>
        <v/>
      </c>
      <c r="CJ289" s="5">
        <f>IF(A289="","",N(INDEX(Projects[Est Mechanical Eng],288)))</f>
        <v/>
      </c>
      <c r="CK289" s="5">
        <f>IF(A289="","",N(INDEX(Projects[Est Structural Engineering],288)))</f>
        <v/>
      </c>
      <c r="CL289" s="5">
        <f>IF(A289="","",N(INDEX(Projects[Est Site Sup],288)))</f>
        <v/>
      </c>
      <c r="CM289" s="5">
        <f>IF(A289="","",N(INDEX(Projects[Est Controls Commissioning],288)))</f>
        <v/>
      </c>
      <c r="CN289" s="5">
        <f>IF(A289="","",N(INDEX(Projects[Est Systems Commissioning],288)))</f>
        <v/>
      </c>
      <c r="CO289" s="5">
        <f>IF(A289="","",N(INDEX(Projects[Est Service Commissioning],288)))</f>
        <v/>
      </c>
      <c r="CP289" s="5">
        <f>IF(A289="","",N(INDEX(Projects[Est Controls Eng],288)))</f>
        <v/>
      </c>
      <c r="CQ289" s="5">
        <f>IF(A289="","",N(INDEX(Projects[Est Controls Purchase],288)))</f>
        <v/>
      </c>
      <c r="CR289" s="5">
        <f>IF(A289="","",N(INDEX(Projects[Est Software Eng],288)))</f>
        <v/>
      </c>
      <c r="CS289" s="5">
        <f>IF(A289="","",N(INDEX(Projects[Est Misc],288)))</f>
        <v/>
      </c>
      <c r="CT289" s="5">
        <f>IF(A289="","",SUM(CF289:CS289))</f>
        <v/>
      </c>
      <c r="CU289" s="5">
        <f>INDEX(Projects[Est Cost (M)],288)</f>
        <v/>
      </c>
      <c r="CV289" s="5">
        <f>INDEX(Projects[Act Cost (M)],288)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IF(A290="","",N(INDEX(Projects[Act Mech Inst],289)))</f>
        <v/>
      </c>
      <c r="BK290" s="5">
        <f>IF(A290="","",N(INDEX(Projects[Act Elec Inst],289)))</f>
        <v/>
      </c>
      <c r="BL290" s="5">
        <f>IF(A290="","",N(INDEX(Projects[Act Project Management],289)))</f>
        <v/>
      </c>
      <c r="BM290" s="5">
        <f>IF(A290="","",N(INDEX(Projects[Act Systems Eng],289)))</f>
        <v/>
      </c>
      <c r="BN290" s="5">
        <f>IF(A290="","",N(INDEX(Projects[Act Mechanical Eng],289)))</f>
        <v/>
      </c>
      <c r="BO290" s="5">
        <f>IF(A290="","",N(INDEX(Projects[Act Structural Engineering],289)))</f>
        <v/>
      </c>
      <c r="BP290" s="5">
        <f>IF(A290="","",N(INDEX(Projects[Act Site Sup],289)))</f>
        <v/>
      </c>
      <c r="BQ290" s="5">
        <f>IF(A290="","",N(INDEX(Projects[Act Controls Commissioning],289)))</f>
        <v/>
      </c>
      <c r="BR290" s="5">
        <f>IF(A290="","",N(INDEX(Projects[Act Systems Commissioning],289)))</f>
        <v/>
      </c>
      <c r="BS290" s="5">
        <f>IF(A290="","",N(INDEX(Projects[Act Service Commissioning],289)))</f>
        <v/>
      </c>
      <c r="BT290" s="5">
        <f>IF(A290="","",N(INDEX(Projects[Act Controls Eng],289)))</f>
        <v/>
      </c>
      <c r="BU290" s="5">
        <f>IF(A290="","",N(INDEX(Projects[Act Controls Purchase],289)))</f>
        <v/>
      </c>
      <c r="BV290" s="5">
        <f>IF(A290="","",N(INDEX(Projects[Act Software Eng],289)))</f>
        <v/>
      </c>
      <c r="BW290" s="5">
        <f>IF(A290="","",N(INDEX(Projects[Act 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  <c r="CE290" s="5">
        <f>INDEX(Projects[Act Data Status],289)&amp;""</f>
        <v/>
      </c>
      <c r="CF290" s="5">
        <f>IF(A290="","",N(INDEX(Projects[Est Mech Inst],289)))</f>
        <v/>
      </c>
      <c r="CG290" s="5">
        <f>IF(A290="","",N(INDEX(Projects[Est Elec Inst],289)))</f>
        <v/>
      </c>
      <c r="CH290" s="5">
        <f>IF(A290="","",N(INDEX(Projects[Est Project Management],289)))</f>
        <v/>
      </c>
      <c r="CI290" s="5">
        <f>IF(A290="","",N(INDEX(Projects[Est Systems Eng],289)))</f>
        <v/>
      </c>
      <c r="CJ290" s="5">
        <f>IF(A290="","",N(INDEX(Projects[Est Mechanical Eng],289)))</f>
        <v/>
      </c>
      <c r="CK290" s="5">
        <f>IF(A290="","",N(INDEX(Projects[Est Structural Engineering],289)))</f>
        <v/>
      </c>
      <c r="CL290" s="5">
        <f>IF(A290="","",N(INDEX(Projects[Est Site Sup],289)))</f>
        <v/>
      </c>
      <c r="CM290" s="5">
        <f>IF(A290="","",N(INDEX(Projects[Est Controls Commissioning],289)))</f>
        <v/>
      </c>
      <c r="CN290" s="5">
        <f>IF(A290="","",N(INDEX(Projects[Est Systems Commissioning],289)))</f>
        <v/>
      </c>
      <c r="CO290" s="5">
        <f>IF(A290="","",N(INDEX(Projects[Est Service Commissioning],289)))</f>
        <v/>
      </c>
      <c r="CP290" s="5">
        <f>IF(A290="","",N(INDEX(Projects[Est Controls Eng],289)))</f>
        <v/>
      </c>
      <c r="CQ290" s="5">
        <f>IF(A290="","",N(INDEX(Projects[Est Controls Purchase],289)))</f>
        <v/>
      </c>
      <c r="CR290" s="5">
        <f>IF(A290="","",N(INDEX(Projects[Est Software Eng],289)))</f>
        <v/>
      </c>
      <c r="CS290" s="5">
        <f>IF(A290="","",N(INDEX(Projects[Est Misc],289)))</f>
        <v/>
      </c>
      <c r="CT290" s="5">
        <f>IF(A290="","",SUM(CF290:CS290))</f>
        <v/>
      </c>
      <c r="CU290" s="5">
        <f>INDEX(Projects[Est Cost (M)],289)</f>
        <v/>
      </c>
      <c r="CV290" s="5">
        <f>INDEX(Projects[Act Cost (M)],289)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IF(A291="","",N(INDEX(Projects[Act Mech Inst],290)))</f>
        <v/>
      </c>
      <c r="BK291" s="5">
        <f>IF(A291="","",N(INDEX(Projects[Act Elec Inst],290)))</f>
        <v/>
      </c>
      <c r="BL291" s="5">
        <f>IF(A291="","",N(INDEX(Projects[Act Project Management],290)))</f>
        <v/>
      </c>
      <c r="BM291" s="5">
        <f>IF(A291="","",N(INDEX(Projects[Act Systems Eng],290)))</f>
        <v/>
      </c>
      <c r="BN291" s="5">
        <f>IF(A291="","",N(INDEX(Projects[Act Mechanical Eng],290)))</f>
        <v/>
      </c>
      <c r="BO291" s="5">
        <f>IF(A291="","",N(INDEX(Projects[Act Structural Engineering],290)))</f>
        <v/>
      </c>
      <c r="BP291" s="5">
        <f>IF(A291="","",N(INDEX(Projects[Act Site Sup],290)))</f>
        <v/>
      </c>
      <c r="BQ291" s="5">
        <f>IF(A291="","",N(INDEX(Projects[Act Controls Commissioning],290)))</f>
        <v/>
      </c>
      <c r="BR291" s="5">
        <f>IF(A291="","",N(INDEX(Projects[Act Systems Commissioning],290)))</f>
        <v/>
      </c>
      <c r="BS291" s="5">
        <f>IF(A291="","",N(INDEX(Projects[Act Service Commissioning],290)))</f>
        <v/>
      </c>
      <c r="BT291" s="5">
        <f>IF(A291="","",N(INDEX(Projects[Act Controls Eng],290)))</f>
        <v/>
      </c>
      <c r="BU291" s="5">
        <f>IF(A291="","",N(INDEX(Projects[Act Controls Purchase],290)))</f>
        <v/>
      </c>
      <c r="BV291" s="5">
        <f>IF(A291="","",N(INDEX(Projects[Act Software Eng],290)))</f>
        <v/>
      </c>
      <c r="BW291" s="5">
        <f>IF(A291="","",N(INDEX(Projects[Act 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  <c r="CE291" s="5">
        <f>INDEX(Projects[Act Data Status],290)&amp;""</f>
        <v/>
      </c>
      <c r="CF291" s="5">
        <f>IF(A291="","",N(INDEX(Projects[Est Mech Inst],290)))</f>
        <v/>
      </c>
      <c r="CG291" s="5">
        <f>IF(A291="","",N(INDEX(Projects[Est Elec Inst],290)))</f>
        <v/>
      </c>
      <c r="CH291" s="5">
        <f>IF(A291="","",N(INDEX(Projects[Est Project Management],290)))</f>
        <v/>
      </c>
      <c r="CI291" s="5">
        <f>IF(A291="","",N(INDEX(Projects[Est Systems Eng],290)))</f>
        <v/>
      </c>
      <c r="CJ291" s="5">
        <f>IF(A291="","",N(INDEX(Projects[Est Mechanical Eng],290)))</f>
        <v/>
      </c>
      <c r="CK291" s="5">
        <f>IF(A291="","",N(INDEX(Projects[Est Structural Engineering],290)))</f>
        <v/>
      </c>
      <c r="CL291" s="5">
        <f>IF(A291="","",N(INDEX(Projects[Est Site Sup],290)))</f>
        <v/>
      </c>
      <c r="CM291" s="5">
        <f>IF(A291="","",N(INDEX(Projects[Est Controls Commissioning],290)))</f>
        <v/>
      </c>
      <c r="CN291" s="5">
        <f>IF(A291="","",N(INDEX(Projects[Est Systems Commissioning],290)))</f>
        <v/>
      </c>
      <c r="CO291" s="5">
        <f>IF(A291="","",N(INDEX(Projects[Est Service Commissioning],290)))</f>
        <v/>
      </c>
      <c r="CP291" s="5">
        <f>IF(A291="","",N(INDEX(Projects[Est Controls Eng],290)))</f>
        <v/>
      </c>
      <c r="CQ291" s="5">
        <f>IF(A291="","",N(INDEX(Projects[Est Controls Purchase],290)))</f>
        <v/>
      </c>
      <c r="CR291" s="5">
        <f>IF(A291="","",N(INDEX(Projects[Est Software Eng],290)))</f>
        <v/>
      </c>
      <c r="CS291" s="5">
        <f>IF(A291="","",N(INDEX(Projects[Est Misc],290)))</f>
        <v/>
      </c>
      <c r="CT291" s="5">
        <f>IF(A291="","",SUM(CF291:CS291))</f>
        <v/>
      </c>
      <c r="CU291" s="5">
        <f>INDEX(Projects[Est Cost (M)],290)</f>
        <v/>
      </c>
      <c r="CV291" s="5">
        <f>INDEX(Projects[Act Cost (M)],290)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IF(A292="","",N(INDEX(Projects[Act Mech Inst],291)))</f>
        <v/>
      </c>
      <c r="BK292" s="5">
        <f>IF(A292="","",N(INDEX(Projects[Act Elec Inst],291)))</f>
        <v/>
      </c>
      <c r="BL292" s="5">
        <f>IF(A292="","",N(INDEX(Projects[Act Project Management],291)))</f>
        <v/>
      </c>
      <c r="BM292" s="5">
        <f>IF(A292="","",N(INDEX(Projects[Act Systems Eng],291)))</f>
        <v/>
      </c>
      <c r="BN292" s="5">
        <f>IF(A292="","",N(INDEX(Projects[Act Mechanical Eng],291)))</f>
        <v/>
      </c>
      <c r="BO292" s="5">
        <f>IF(A292="","",N(INDEX(Projects[Act Structural Engineering],291)))</f>
        <v/>
      </c>
      <c r="BP292" s="5">
        <f>IF(A292="","",N(INDEX(Projects[Act Site Sup],291)))</f>
        <v/>
      </c>
      <c r="BQ292" s="5">
        <f>IF(A292="","",N(INDEX(Projects[Act Controls Commissioning],291)))</f>
        <v/>
      </c>
      <c r="BR292" s="5">
        <f>IF(A292="","",N(INDEX(Projects[Act Systems Commissioning],291)))</f>
        <v/>
      </c>
      <c r="BS292" s="5">
        <f>IF(A292="","",N(INDEX(Projects[Act Service Commissioning],291)))</f>
        <v/>
      </c>
      <c r="BT292" s="5">
        <f>IF(A292="","",N(INDEX(Projects[Act Controls Eng],291)))</f>
        <v/>
      </c>
      <c r="BU292" s="5">
        <f>IF(A292="","",N(INDEX(Projects[Act Controls Purchase],291)))</f>
        <v/>
      </c>
      <c r="BV292" s="5">
        <f>IF(A292="","",N(INDEX(Projects[Act Software Eng],291)))</f>
        <v/>
      </c>
      <c r="BW292" s="5">
        <f>IF(A292="","",N(INDEX(Projects[Act 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  <c r="CE292" s="5">
        <f>INDEX(Projects[Act Data Status],291)&amp;""</f>
        <v/>
      </c>
      <c r="CF292" s="5">
        <f>IF(A292="","",N(INDEX(Projects[Est Mech Inst],291)))</f>
        <v/>
      </c>
      <c r="CG292" s="5">
        <f>IF(A292="","",N(INDEX(Projects[Est Elec Inst],291)))</f>
        <v/>
      </c>
      <c r="CH292" s="5">
        <f>IF(A292="","",N(INDEX(Projects[Est Project Management],291)))</f>
        <v/>
      </c>
      <c r="CI292" s="5">
        <f>IF(A292="","",N(INDEX(Projects[Est Systems Eng],291)))</f>
        <v/>
      </c>
      <c r="CJ292" s="5">
        <f>IF(A292="","",N(INDEX(Projects[Est Mechanical Eng],291)))</f>
        <v/>
      </c>
      <c r="CK292" s="5">
        <f>IF(A292="","",N(INDEX(Projects[Est Structural Engineering],291)))</f>
        <v/>
      </c>
      <c r="CL292" s="5">
        <f>IF(A292="","",N(INDEX(Projects[Est Site Sup],291)))</f>
        <v/>
      </c>
      <c r="CM292" s="5">
        <f>IF(A292="","",N(INDEX(Projects[Est Controls Commissioning],291)))</f>
        <v/>
      </c>
      <c r="CN292" s="5">
        <f>IF(A292="","",N(INDEX(Projects[Est Systems Commissioning],291)))</f>
        <v/>
      </c>
      <c r="CO292" s="5">
        <f>IF(A292="","",N(INDEX(Projects[Est Service Commissioning],291)))</f>
        <v/>
      </c>
      <c r="CP292" s="5">
        <f>IF(A292="","",N(INDEX(Projects[Est Controls Eng],291)))</f>
        <v/>
      </c>
      <c r="CQ292" s="5">
        <f>IF(A292="","",N(INDEX(Projects[Est Controls Purchase],291)))</f>
        <v/>
      </c>
      <c r="CR292" s="5">
        <f>IF(A292="","",N(INDEX(Projects[Est Software Eng],291)))</f>
        <v/>
      </c>
      <c r="CS292" s="5">
        <f>IF(A292="","",N(INDEX(Projects[Est Misc],291)))</f>
        <v/>
      </c>
      <c r="CT292" s="5">
        <f>IF(A292="","",SUM(CF292:CS292))</f>
        <v/>
      </c>
      <c r="CU292" s="5">
        <f>INDEX(Projects[Est Cost (M)],291)</f>
        <v/>
      </c>
      <c r="CV292" s="5">
        <f>INDEX(Projects[Act Cost (M)],291)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IF(A293="","",N(INDEX(Projects[Act Mech Inst],292)))</f>
        <v/>
      </c>
      <c r="BK293" s="5">
        <f>IF(A293="","",N(INDEX(Projects[Act Elec Inst],292)))</f>
        <v/>
      </c>
      <c r="BL293" s="5">
        <f>IF(A293="","",N(INDEX(Projects[Act Project Management],292)))</f>
        <v/>
      </c>
      <c r="BM293" s="5">
        <f>IF(A293="","",N(INDEX(Projects[Act Systems Eng],292)))</f>
        <v/>
      </c>
      <c r="BN293" s="5">
        <f>IF(A293="","",N(INDEX(Projects[Act Mechanical Eng],292)))</f>
        <v/>
      </c>
      <c r="BO293" s="5">
        <f>IF(A293="","",N(INDEX(Projects[Act Structural Engineering],292)))</f>
        <v/>
      </c>
      <c r="BP293" s="5">
        <f>IF(A293="","",N(INDEX(Projects[Act Site Sup],292)))</f>
        <v/>
      </c>
      <c r="BQ293" s="5">
        <f>IF(A293="","",N(INDEX(Projects[Act Controls Commissioning],292)))</f>
        <v/>
      </c>
      <c r="BR293" s="5">
        <f>IF(A293="","",N(INDEX(Projects[Act Systems Commissioning],292)))</f>
        <v/>
      </c>
      <c r="BS293" s="5">
        <f>IF(A293="","",N(INDEX(Projects[Act Service Commissioning],292)))</f>
        <v/>
      </c>
      <c r="BT293" s="5">
        <f>IF(A293="","",N(INDEX(Projects[Act Controls Eng],292)))</f>
        <v/>
      </c>
      <c r="BU293" s="5">
        <f>IF(A293="","",N(INDEX(Projects[Act Controls Purchase],292)))</f>
        <v/>
      </c>
      <c r="BV293" s="5">
        <f>IF(A293="","",N(INDEX(Projects[Act Software Eng],292)))</f>
        <v/>
      </c>
      <c r="BW293" s="5">
        <f>IF(A293="","",N(INDEX(Projects[Act 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  <c r="CE293" s="5">
        <f>INDEX(Projects[Act Data Status],292)&amp;""</f>
        <v/>
      </c>
      <c r="CF293" s="5">
        <f>IF(A293="","",N(INDEX(Projects[Est Mech Inst],292)))</f>
        <v/>
      </c>
      <c r="CG293" s="5">
        <f>IF(A293="","",N(INDEX(Projects[Est Elec Inst],292)))</f>
        <v/>
      </c>
      <c r="CH293" s="5">
        <f>IF(A293="","",N(INDEX(Projects[Est Project Management],292)))</f>
        <v/>
      </c>
      <c r="CI293" s="5">
        <f>IF(A293="","",N(INDEX(Projects[Est Systems Eng],292)))</f>
        <v/>
      </c>
      <c r="CJ293" s="5">
        <f>IF(A293="","",N(INDEX(Projects[Est Mechanical Eng],292)))</f>
        <v/>
      </c>
      <c r="CK293" s="5">
        <f>IF(A293="","",N(INDEX(Projects[Est Structural Engineering],292)))</f>
        <v/>
      </c>
      <c r="CL293" s="5">
        <f>IF(A293="","",N(INDEX(Projects[Est Site Sup],292)))</f>
        <v/>
      </c>
      <c r="CM293" s="5">
        <f>IF(A293="","",N(INDEX(Projects[Est Controls Commissioning],292)))</f>
        <v/>
      </c>
      <c r="CN293" s="5">
        <f>IF(A293="","",N(INDEX(Projects[Est Systems Commissioning],292)))</f>
        <v/>
      </c>
      <c r="CO293" s="5">
        <f>IF(A293="","",N(INDEX(Projects[Est Service Commissioning],292)))</f>
        <v/>
      </c>
      <c r="CP293" s="5">
        <f>IF(A293="","",N(INDEX(Projects[Est Controls Eng],292)))</f>
        <v/>
      </c>
      <c r="CQ293" s="5">
        <f>IF(A293="","",N(INDEX(Projects[Est Controls Purchase],292)))</f>
        <v/>
      </c>
      <c r="CR293" s="5">
        <f>IF(A293="","",N(INDEX(Projects[Est Software Eng],292)))</f>
        <v/>
      </c>
      <c r="CS293" s="5">
        <f>IF(A293="","",N(INDEX(Projects[Est Misc],292)))</f>
        <v/>
      </c>
      <c r="CT293" s="5">
        <f>IF(A293="","",SUM(CF293:CS293))</f>
        <v/>
      </c>
      <c r="CU293" s="5">
        <f>INDEX(Projects[Est Cost (M)],292)</f>
        <v/>
      </c>
      <c r="CV293" s="5">
        <f>INDEX(Projects[Act Cost (M)],292)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IF(A294="","",N(INDEX(Projects[Act Mech Inst],293)))</f>
        <v/>
      </c>
      <c r="BK294" s="5">
        <f>IF(A294="","",N(INDEX(Projects[Act Elec Inst],293)))</f>
        <v/>
      </c>
      <c r="BL294" s="5">
        <f>IF(A294="","",N(INDEX(Projects[Act Project Management],293)))</f>
        <v/>
      </c>
      <c r="BM294" s="5">
        <f>IF(A294="","",N(INDEX(Projects[Act Systems Eng],293)))</f>
        <v/>
      </c>
      <c r="BN294" s="5">
        <f>IF(A294="","",N(INDEX(Projects[Act Mechanical Eng],293)))</f>
        <v/>
      </c>
      <c r="BO294" s="5">
        <f>IF(A294="","",N(INDEX(Projects[Act Structural Engineering],293)))</f>
        <v/>
      </c>
      <c r="BP294" s="5">
        <f>IF(A294="","",N(INDEX(Projects[Act Site Sup],293)))</f>
        <v/>
      </c>
      <c r="BQ294" s="5">
        <f>IF(A294="","",N(INDEX(Projects[Act Controls Commissioning],293)))</f>
        <v/>
      </c>
      <c r="BR294" s="5">
        <f>IF(A294="","",N(INDEX(Projects[Act Systems Commissioning],293)))</f>
        <v/>
      </c>
      <c r="BS294" s="5">
        <f>IF(A294="","",N(INDEX(Projects[Act Service Commissioning],293)))</f>
        <v/>
      </c>
      <c r="BT294" s="5">
        <f>IF(A294="","",N(INDEX(Projects[Act Controls Eng],293)))</f>
        <v/>
      </c>
      <c r="BU294" s="5">
        <f>IF(A294="","",N(INDEX(Projects[Act Controls Purchase],293)))</f>
        <v/>
      </c>
      <c r="BV294" s="5">
        <f>IF(A294="","",N(INDEX(Projects[Act Software Eng],293)))</f>
        <v/>
      </c>
      <c r="BW294" s="5">
        <f>IF(A294="","",N(INDEX(Projects[Act 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  <c r="CE294" s="5">
        <f>INDEX(Projects[Act Data Status],293)&amp;""</f>
        <v/>
      </c>
      <c r="CF294" s="5">
        <f>IF(A294="","",N(INDEX(Projects[Est Mech Inst],293)))</f>
        <v/>
      </c>
      <c r="CG294" s="5">
        <f>IF(A294="","",N(INDEX(Projects[Est Elec Inst],293)))</f>
        <v/>
      </c>
      <c r="CH294" s="5">
        <f>IF(A294="","",N(INDEX(Projects[Est Project Management],293)))</f>
        <v/>
      </c>
      <c r="CI294" s="5">
        <f>IF(A294="","",N(INDEX(Projects[Est Systems Eng],293)))</f>
        <v/>
      </c>
      <c r="CJ294" s="5">
        <f>IF(A294="","",N(INDEX(Projects[Est Mechanical Eng],293)))</f>
        <v/>
      </c>
      <c r="CK294" s="5">
        <f>IF(A294="","",N(INDEX(Projects[Est Structural Engineering],293)))</f>
        <v/>
      </c>
      <c r="CL294" s="5">
        <f>IF(A294="","",N(INDEX(Projects[Est Site Sup],293)))</f>
        <v/>
      </c>
      <c r="CM294" s="5">
        <f>IF(A294="","",N(INDEX(Projects[Est Controls Commissioning],293)))</f>
        <v/>
      </c>
      <c r="CN294" s="5">
        <f>IF(A294="","",N(INDEX(Projects[Est Systems Commissioning],293)))</f>
        <v/>
      </c>
      <c r="CO294" s="5">
        <f>IF(A294="","",N(INDEX(Projects[Est Service Commissioning],293)))</f>
        <v/>
      </c>
      <c r="CP294" s="5">
        <f>IF(A294="","",N(INDEX(Projects[Est Controls Eng],293)))</f>
        <v/>
      </c>
      <c r="CQ294" s="5">
        <f>IF(A294="","",N(INDEX(Projects[Est Controls Purchase],293)))</f>
        <v/>
      </c>
      <c r="CR294" s="5">
        <f>IF(A294="","",N(INDEX(Projects[Est Software Eng],293)))</f>
        <v/>
      </c>
      <c r="CS294" s="5">
        <f>IF(A294="","",N(INDEX(Projects[Est Misc],293)))</f>
        <v/>
      </c>
      <c r="CT294" s="5">
        <f>IF(A294="","",SUM(CF294:CS294))</f>
        <v/>
      </c>
      <c r="CU294" s="5">
        <f>INDEX(Projects[Est Cost (M)],293)</f>
        <v/>
      </c>
      <c r="CV294" s="5">
        <f>INDEX(Projects[Act Cost (M)],293)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IF(A295="","",N(INDEX(Projects[Act Mech Inst],294)))</f>
        <v/>
      </c>
      <c r="BK295" s="5">
        <f>IF(A295="","",N(INDEX(Projects[Act Elec Inst],294)))</f>
        <v/>
      </c>
      <c r="BL295" s="5">
        <f>IF(A295="","",N(INDEX(Projects[Act Project Management],294)))</f>
        <v/>
      </c>
      <c r="BM295" s="5">
        <f>IF(A295="","",N(INDEX(Projects[Act Systems Eng],294)))</f>
        <v/>
      </c>
      <c r="BN295" s="5">
        <f>IF(A295="","",N(INDEX(Projects[Act Mechanical Eng],294)))</f>
        <v/>
      </c>
      <c r="BO295" s="5">
        <f>IF(A295="","",N(INDEX(Projects[Act Structural Engineering],294)))</f>
        <v/>
      </c>
      <c r="BP295" s="5">
        <f>IF(A295="","",N(INDEX(Projects[Act Site Sup],294)))</f>
        <v/>
      </c>
      <c r="BQ295" s="5">
        <f>IF(A295="","",N(INDEX(Projects[Act Controls Commissioning],294)))</f>
        <v/>
      </c>
      <c r="BR295" s="5">
        <f>IF(A295="","",N(INDEX(Projects[Act Systems Commissioning],294)))</f>
        <v/>
      </c>
      <c r="BS295" s="5">
        <f>IF(A295="","",N(INDEX(Projects[Act Service Commissioning],294)))</f>
        <v/>
      </c>
      <c r="BT295" s="5">
        <f>IF(A295="","",N(INDEX(Projects[Act Controls Eng],294)))</f>
        <v/>
      </c>
      <c r="BU295" s="5">
        <f>IF(A295="","",N(INDEX(Projects[Act Controls Purchase],294)))</f>
        <v/>
      </c>
      <c r="BV295" s="5">
        <f>IF(A295="","",N(INDEX(Projects[Act Software Eng],294)))</f>
        <v/>
      </c>
      <c r="BW295" s="5">
        <f>IF(A295="","",N(INDEX(Projects[Act 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  <c r="CE295" s="5">
        <f>INDEX(Projects[Act Data Status],294)&amp;""</f>
        <v/>
      </c>
      <c r="CF295" s="5">
        <f>IF(A295="","",N(INDEX(Projects[Est Mech Inst],294)))</f>
        <v/>
      </c>
      <c r="CG295" s="5">
        <f>IF(A295="","",N(INDEX(Projects[Est Elec Inst],294)))</f>
        <v/>
      </c>
      <c r="CH295" s="5">
        <f>IF(A295="","",N(INDEX(Projects[Est Project Management],294)))</f>
        <v/>
      </c>
      <c r="CI295" s="5">
        <f>IF(A295="","",N(INDEX(Projects[Est Systems Eng],294)))</f>
        <v/>
      </c>
      <c r="CJ295" s="5">
        <f>IF(A295="","",N(INDEX(Projects[Est Mechanical Eng],294)))</f>
        <v/>
      </c>
      <c r="CK295" s="5">
        <f>IF(A295="","",N(INDEX(Projects[Est Structural Engineering],294)))</f>
        <v/>
      </c>
      <c r="CL295" s="5">
        <f>IF(A295="","",N(INDEX(Projects[Est Site Sup],294)))</f>
        <v/>
      </c>
      <c r="CM295" s="5">
        <f>IF(A295="","",N(INDEX(Projects[Est Controls Commissioning],294)))</f>
        <v/>
      </c>
      <c r="CN295" s="5">
        <f>IF(A295="","",N(INDEX(Projects[Est Systems Commissioning],294)))</f>
        <v/>
      </c>
      <c r="CO295" s="5">
        <f>IF(A295="","",N(INDEX(Projects[Est Service Commissioning],294)))</f>
        <v/>
      </c>
      <c r="CP295" s="5">
        <f>IF(A295="","",N(INDEX(Projects[Est Controls Eng],294)))</f>
        <v/>
      </c>
      <c r="CQ295" s="5">
        <f>IF(A295="","",N(INDEX(Projects[Est Controls Purchase],294)))</f>
        <v/>
      </c>
      <c r="CR295" s="5">
        <f>IF(A295="","",N(INDEX(Projects[Est Software Eng],294)))</f>
        <v/>
      </c>
      <c r="CS295" s="5">
        <f>IF(A295="","",N(INDEX(Projects[Est Misc],294)))</f>
        <v/>
      </c>
      <c r="CT295" s="5">
        <f>IF(A295="","",SUM(CF295:CS295))</f>
        <v/>
      </c>
      <c r="CU295" s="5">
        <f>INDEX(Projects[Est Cost (M)],294)</f>
        <v/>
      </c>
      <c r="CV295" s="5">
        <f>INDEX(Projects[Act Cost (M)],294)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IF(A296="","",N(INDEX(Projects[Act Mech Inst],295)))</f>
        <v/>
      </c>
      <c r="BK296" s="5">
        <f>IF(A296="","",N(INDEX(Projects[Act Elec Inst],295)))</f>
        <v/>
      </c>
      <c r="BL296" s="5">
        <f>IF(A296="","",N(INDEX(Projects[Act Project Management],295)))</f>
        <v/>
      </c>
      <c r="BM296" s="5">
        <f>IF(A296="","",N(INDEX(Projects[Act Systems Eng],295)))</f>
        <v/>
      </c>
      <c r="BN296" s="5">
        <f>IF(A296="","",N(INDEX(Projects[Act Mechanical Eng],295)))</f>
        <v/>
      </c>
      <c r="BO296" s="5">
        <f>IF(A296="","",N(INDEX(Projects[Act Structural Engineering],295)))</f>
        <v/>
      </c>
      <c r="BP296" s="5">
        <f>IF(A296="","",N(INDEX(Projects[Act Site Sup],295)))</f>
        <v/>
      </c>
      <c r="BQ296" s="5">
        <f>IF(A296="","",N(INDEX(Projects[Act Controls Commissioning],295)))</f>
        <v/>
      </c>
      <c r="BR296" s="5">
        <f>IF(A296="","",N(INDEX(Projects[Act Systems Commissioning],295)))</f>
        <v/>
      </c>
      <c r="BS296" s="5">
        <f>IF(A296="","",N(INDEX(Projects[Act Service Commissioning],295)))</f>
        <v/>
      </c>
      <c r="BT296" s="5">
        <f>IF(A296="","",N(INDEX(Projects[Act Controls Eng],295)))</f>
        <v/>
      </c>
      <c r="BU296" s="5">
        <f>IF(A296="","",N(INDEX(Projects[Act Controls Purchase],295)))</f>
        <v/>
      </c>
      <c r="BV296" s="5">
        <f>IF(A296="","",N(INDEX(Projects[Act Software Eng],295)))</f>
        <v/>
      </c>
      <c r="BW296" s="5">
        <f>IF(A296="","",N(INDEX(Projects[Act 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  <c r="CE296" s="5">
        <f>INDEX(Projects[Act Data Status],295)&amp;""</f>
        <v/>
      </c>
      <c r="CF296" s="5">
        <f>IF(A296="","",N(INDEX(Projects[Est Mech Inst],295)))</f>
        <v/>
      </c>
      <c r="CG296" s="5">
        <f>IF(A296="","",N(INDEX(Projects[Est Elec Inst],295)))</f>
        <v/>
      </c>
      <c r="CH296" s="5">
        <f>IF(A296="","",N(INDEX(Projects[Est Project Management],295)))</f>
        <v/>
      </c>
      <c r="CI296" s="5">
        <f>IF(A296="","",N(INDEX(Projects[Est Systems Eng],295)))</f>
        <v/>
      </c>
      <c r="CJ296" s="5">
        <f>IF(A296="","",N(INDEX(Projects[Est Mechanical Eng],295)))</f>
        <v/>
      </c>
      <c r="CK296" s="5">
        <f>IF(A296="","",N(INDEX(Projects[Est Structural Engineering],295)))</f>
        <v/>
      </c>
      <c r="CL296" s="5">
        <f>IF(A296="","",N(INDEX(Projects[Est Site Sup],295)))</f>
        <v/>
      </c>
      <c r="CM296" s="5">
        <f>IF(A296="","",N(INDEX(Projects[Est Controls Commissioning],295)))</f>
        <v/>
      </c>
      <c r="CN296" s="5">
        <f>IF(A296="","",N(INDEX(Projects[Est Systems Commissioning],295)))</f>
        <v/>
      </c>
      <c r="CO296" s="5">
        <f>IF(A296="","",N(INDEX(Projects[Est Service Commissioning],295)))</f>
        <v/>
      </c>
      <c r="CP296" s="5">
        <f>IF(A296="","",N(INDEX(Projects[Est Controls Eng],295)))</f>
        <v/>
      </c>
      <c r="CQ296" s="5">
        <f>IF(A296="","",N(INDEX(Projects[Est Controls Purchase],295)))</f>
        <v/>
      </c>
      <c r="CR296" s="5">
        <f>IF(A296="","",N(INDEX(Projects[Est Software Eng],295)))</f>
        <v/>
      </c>
      <c r="CS296" s="5">
        <f>IF(A296="","",N(INDEX(Projects[Est Misc],295)))</f>
        <v/>
      </c>
      <c r="CT296" s="5">
        <f>IF(A296="","",SUM(CF296:CS296))</f>
        <v/>
      </c>
      <c r="CU296" s="5">
        <f>INDEX(Projects[Est Cost (M)],295)</f>
        <v/>
      </c>
      <c r="CV296" s="5">
        <f>INDEX(Projects[Act Cost (M)],295)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IF(A297="","",N(INDEX(Projects[Act Mech Inst],296)))</f>
        <v/>
      </c>
      <c r="BK297" s="5">
        <f>IF(A297="","",N(INDEX(Projects[Act Elec Inst],296)))</f>
        <v/>
      </c>
      <c r="BL297" s="5">
        <f>IF(A297="","",N(INDEX(Projects[Act Project Management],296)))</f>
        <v/>
      </c>
      <c r="BM297" s="5">
        <f>IF(A297="","",N(INDEX(Projects[Act Systems Eng],296)))</f>
        <v/>
      </c>
      <c r="BN297" s="5">
        <f>IF(A297="","",N(INDEX(Projects[Act Mechanical Eng],296)))</f>
        <v/>
      </c>
      <c r="BO297" s="5">
        <f>IF(A297="","",N(INDEX(Projects[Act Structural Engineering],296)))</f>
        <v/>
      </c>
      <c r="BP297" s="5">
        <f>IF(A297="","",N(INDEX(Projects[Act Site Sup],296)))</f>
        <v/>
      </c>
      <c r="BQ297" s="5">
        <f>IF(A297="","",N(INDEX(Projects[Act Controls Commissioning],296)))</f>
        <v/>
      </c>
      <c r="BR297" s="5">
        <f>IF(A297="","",N(INDEX(Projects[Act Systems Commissioning],296)))</f>
        <v/>
      </c>
      <c r="BS297" s="5">
        <f>IF(A297="","",N(INDEX(Projects[Act Service Commissioning],296)))</f>
        <v/>
      </c>
      <c r="BT297" s="5">
        <f>IF(A297="","",N(INDEX(Projects[Act Controls Eng],296)))</f>
        <v/>
      </c>
      <c r="BU297" s="5">
        <f>IF(A297="","",N(INDEX(Projects[Act Controls Purchase],296)))</f>
        <v/>
      </c>
      <c r="BV297" s="5">
        <f>IF(A297="","",N(INDEX(Projects[Act Software Eng],296)))</f>
        <v/>
      </c>
      <c r="BW297" s="5">
        <f>IF(A297="","",N(INDEX(Projects[Act 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  <c r="CE297" s="5">
        <f>INDEX(Projects[Act Data Status],296)&amp;""</f>
        <v/>
      </c>
      <c r="CF297" s="5">
        <f>IF(A297="","",N(INDEX(Projects[Est Mech Inst],296)))</f>
        <v/>
      </c>
      <c r="CG297" s="5">
        <f>IF(A297="","",N(INDEX(Projects[Est Elec Inst],296)))</f>
        <v/>
      </c>
      <c r="CH297" s="5">
        <f>IF(A297="","",N(INDEX(Projects[Est Project Management],296)))</f>
        <v/>
      </c>
      <c r="CI297" s="5">
        <f>IF(A297="","",N(INDEX(Projects[Est Systems Eng],296)))</f>
        <v/>
      </c>
      <c r="CJ297" s="5">
        <f>IF(A297="","",N(INDEX(Projects[Est Mechanical Eng],296)))</f>
        <v/>
      </c>
      <c r="CK297" s="5">
        <f>IF(A297="","",N(INDEX(Projects[Est Structural Engineering],296)))</f>
        <v/>
      </c>
      <c r="CL297" s="5">
        <f>IF(A297="","",N(INDEX(Projects[Est Site Sup],296)))</f>
        <v/>
      </c>
      <c r="CM297" s="5">
        <f>IF(A297="","",N(INDEX(Projects[Est Controls Commissioning],296)))</f>
        <v/>
      </c>
      <c r="CN297" s="5">
        <f>IF(A297="","",N(INDEX(Projects[Est Systems Commissioning],296)))</f>
        <v/>
      </c>
      <c r="CO297" s="5">
        <f>IF(A297="","",N(INDEX(Projects[Est Service Commissioning],296)))</f>
        <v/>
      </c>
      <c r="CP297" s="5">
        <f>IF(A297="","",N(INDEX(Projects[Est Controls Eng],296)))</f>
        <v/>
      </c>
      <c r="CQ297" s="5">
        <f>IF(A297="","",N(INDEX(Projects[Est Controls Purchase],296)))</f>
        <v/>
      </c>
      <c r="CR297" s="5">
        <f>IF(A297="","",N(INDEX(Projects[Est Software Eng],296)))</f>
        <v/>
      </c>
      <c r="CS297" s="5">
        <f>IF(A297="","",N(INDEX(Projects[Est Misc],296)))</f>
        <v/>
      </c>
      <c r="CT297" s="5">
        <f>IF(A297="","",SUM(CF297:CS297))</f>
        <v/>
      </c>
      <c r="CU297" s="5">
        <f>INDEX(Projects[Est Cost (M)],296)</f>
        <v/>
      </c>
      <c r="CV297" s="5">
        <f>INDEX(Projects[Act Cost (M)],296)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IF(A298="","",N(INDEX(Projects[Act Mech Inst],297)))</f>
        <v/>
      </c>
      <c r="BK298" s="5">
        <f>IF(A298="","",N(INDEX(Projects[Act Elec Inst],297)))</f>
        <v/>
      </c>
      <c r="BL298" s="5">
        <f>IF(A298="","",N(INDEX(Projects[Act Project Management],297)))</f>
        <v/>
      </c>
      <c r="BM298" s="5">
        <f>IF(A298="","",N(INDEX(Projects[Act Systems Eng],297)))</f>
        <v/>
      </c>
      <c r="BN298" s="5">
        <f>IF(A298="","",N(INDEX(Projects[Act Mechanical Eng],297)))</f>
        <v/>
      </c>
      <c r="BO298" s="5">
        <f>IF(A298="","",N(INDEX(Projects[Act Structural Engineering],297)))</f>
        <v/>
      </c>
      <c r="BP298" s="5">
        <f>IF(A298="","",N(INDEX(Projects[Act Site Sup],297)))</f>
        <v/>
      </c>
      <c r="BQ298" s="5">
        <f>IF(A298="","",N(INDEX(Projects[Act Controls Commissioning],297)))</f>
        <v/>
      </c>
      <c r="BR298" s="5">
        <f>IF(A298="","",N(INDEX(Projects[Act Systems Commissioning],297)))</f>
        <v/>
      </c>
      <c r="BS298" s="5">
        <f>IF(A298="","",N(INDEX(Projects[Act Service Commissioning],297)))</f>
        <v/>
      </c>
      <c r="BT298" s="5">
        <f>IF(A298="","",N(INDEX(Projects[Act Controls Eng],297)))</f>
        <v/>
      </c>
      <c r="BU298" s="5">
        <f>IF(A298="","",N(INDEX(Projects[Act Controls Purchase],297)))</f>
        <v/>
      </c>
      <c r="BV298" s="5">
        <f>IF(A298="","",N(INDEX(Projects[Act Software Eng],297)))</f>
        <v/>
      </c>
      <c r="BW298" s="5">
        <f>IF(A298="","",N(INDEX(Projects[Act 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  <c r="CE298" s="5">
        <f>INDEX(Projects[Act Data Status],297)&amp;""</f>
        <v/>
      </c>
      <c r="CF298" s="5">
        <f>IF(A298="","",N(INDEX(Projects[Est Mech Inst],297)))</f>
        <v/>
      </c>
      <c r="CG298" s="5">
        <f>IF(A298="","",N(INDEX(Projects[Est Elec Inst],297)))</f>
        <v/>
      </c>
      <c r="CH298" s="5">
        <f>IF(A298="","",N(INDEX(Projects[Est Project Management],297)))</f>
        <v/>
      </c>
      <c r="CI298" s="5">
        <f>IF(A298="","",N(INDEX(Projects[Est Systems Eng],297)))</f>
        <v/>
      </c>
      <c r="CJ298" s="5">
        <f>IF(A298="","",N(INDEX(Projects[Est Mechanical Eng],297)))</f>
        <v/>
      </c>
      <c r="CK298" s="5">
        <f>IF(A298="","",N(INDEX(Projects[Est Structural Engineering],297)))</f>
        <v/>
      </c>
      <c r="CL298" s="5">
        <f>IF(A298="","",N(INDEX(Projects[Est Site Sup],297)))</f>
        <v/>
      </c>
      <c r="CM298" s="5">
        <f>IF(A298="","",N(INDEX(Projects[Est Controls Commissioning],297)))</f>
        <v/>
      </c>
      <c r="CN298" s="5">
        <f>IF(A298="","",N(INDEX(Projects[Est Systems Commissioning],297)))</f>
        <v/>
      </c>
      <c r="CO298" s="5">
        <f>IF(A298="","",N(INDEX(Projects[Est Service Commissioning],297)))</f>
        <v/>
      </c>
      <c r="CP298" s="5">
        <f>IF(A298="","",N(INDEX(Projects[Est Controls Eng],297)))</f>
        <v/>
      </c>
      <c r="CQ298" s="5">
        <f>IF(A298="","",N(INDEX(Projects[Est Controls Purchase],297)))</f>
        <v/>
      </c>
      <c r="CR298" s="5">
        <f>IF(A298="","",N(INDEX(Projects[Est Software Eng],297)))</f>
        <v/>
      </c>
      <c r="CS298" s="5">
        <f>IF(A298="","",N(INDEX(Projects[Est Misc],297)))</f>
        <v/>
      </c>
      <c r="CT298" s="5">
        <f>IF(A298="","",SUM(CF298:CS298))</f>
        <v/>
      </c>
      <c r="CU298" s="5">
        <f>INDEX(Projects[Est Cost (M)],297)</f>
        <v/>
      </c>
      <c r="CV298" s="5">
        <f>INDEX(Projects[Act Cost (M)],297)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IF(A299="","",N(INDEX(Projects[Act Mech Inst],298)))</f>
        <v/>
      </c>
      <c r="BK299" s="5">
        <f>IF(A299="","",N(INDEX(Projects[Act Elec Inst],298)))</f>
        <v/>
      </c>
      <c r="BL299" s="5">
        <f>IF(A299="","",N(INDEX(Projects[Act Project Management],298)))</f>
        <v/>
      </c>
      <c r="BM299" s="5">
        <f>IF(A299="","",N(INDEX(Projects[Act Systems Eng],298)))</f>
        <v/>
      </c>
      <c r="BN299" s="5">
        <f>IF(A299="","",N(INDEX(Projects[Act Mechanical Eng],298)))</f>
        <v/>
      </c>
      <c r="BO299" s="5">
        <f>IF(A299="","",N(INDEX(Projects[Act Structural Engineering],298)))</f>
        <v/>
      </c>
      <c r="BP299" s="5">
        <f>IF(A299="","",N(INDEX(Projects[Act Site Sup],298)))</f>
        <v/>
      </c>
      <c r="BQ299" s="5">
        <f>IF(A299="","",N(INDEX(Projects[Act Controls Commissioning],298)))</f>
        <v/>
      </c>
      <c r="BR299" s="5">
        <f>IF(A299="","",N(INDEX(Projects[Act Systems Commissioning],298)))</f>
        <v/>
      </c>
      <c r="BS299" s="5">
        <f>IF(A299="","",N(INDEX(Projects[Act Service Commissioning],298)))</f>
        <v/>
      </c>
      <c r="BT299" s="5">
        <f>IF(A299="","",N(INDEX(Projects[Act Controls Eng],298)))</f>
        <v/>
      </c>
      <c r="BU299" s="5">
        <f>IF(A299="","",N(INDEX(Projects[Act Controls Purchase],298)))</f>
        <v/>
      </c>
      <c r="BV299" s="5">
        <f>IF(A299="","",N(INDEX(Projects[Act Software Eng],298)))</f>
        <v/>
      </c>
      <c r="BW299" s="5">
        <f>IF(A299="","",N(INDEX(Projects[Act 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  <c r="CE299" s="5">
        <f>INDEX(Projects[Act Data Status],298)&amp;""</f>
        <v/>
      </c>
      <c r="CF299" s="5">
        <f>IF(A299="","",N(INDEX(Projects[Est Mech Inst],298)))</f>
        <v/>
      </c>
      <c r="CG299" s="5">
        <f>IF(A299="","",N(INDEX(Projects[Est Elec Inst],298)))</f>
        <v/>
      </c>
      <c r="CH299" s="5">
        <f>IF(A299="","",N(INDEX(Projects[Est Project Management],298)))</f>
        <v/>
      </c>
      <c r="CI299" s="5">
        <f>IF(A299="","",N(INDEX(Projects[Est Systems Eng],298)))</f>
        <v/>
      </c>
      <c r="CJ299" s="5">
        <f>IF(A299="","",N(INDEX(Projects[Est Mechanical Eng],298)))</f>
        <v/>
      </c>
      <c r="CK299" s="5">
        <f>IF(A299="","",N(INDEX(Projects[Est Structural Engineering],298)))</f>
        <v/>
      </c>
      <c r="CL299" s="5">
        <f>IF(A299="","",N(INDEX(Projects[Est Site Sup],298)))</f>
        <v/>
      </c>
      <c r="CM299" s="5">
        <f>IF(A299="","",N(INDEX(Projects[Est Controls Commissioning],298)))</f>
        <v/>
      </c>
      <c r="CN299" s="5">
        <f>IF(A299="","",N(INDEX(Projects[Est Systems Commissioning],298)))</f>
        <v/>
      </c>
      <c r="CO299" s="5">
        <f>IF(A299="","",N(INDEX(Projects[Est Service Commissioning],298)))</f>
        <v/>
      </c>
      <c r="CP299" s="5">
        <f>IF(A299="","",N(INDEX(Projects[Est Controls Eng],298)))</f>
        <v/>
      </c>
      <c r="CQ299" s="5">
        <f>IF(A299="","",N(INDEX(Projects[Est Controls Purchase],298)))</f>
        <v/>
      </c>
      <c r="CR299" s="5">
        <f>IF(A299="","",N(INDEX(Projects[Est Software Eng],298)))</f>
        <v/>
      </c>
      <c r="CS299" s="5">
        <f>IF(A299="","",N(INDEX(Projects[Est Misc],298)))</f>
        <v/>
      </c>
      <c r="CT299" s="5">
        <f>IF(A299="","",SUM(CF299:CS299))</f>
        <v/>
      </c>
      <c r="CU299" s="5">
        <f>INDEX(Projects[Est Cost (M)],298)</f>
        <v/>
      </c>
      <c r="CV299" s="5">
        <f>INDEX(Projects[Act Cost (M)],298)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IF(A300="","",N(INDEX(Projects[Act Mech Inst],299)))</f>
        <v/>
      </c>
      <c r="BK300" s="5">
        <f>IF(A300="","",N(INDEX(Projects[Act Elec Inst],299)))</f>
        <v/>
      </c>
      <c r="BL300" s="5">
        <f>IF(A300="","",N(INDEX(Projects[Act Project Management],299)))</f>
        <v/>
      </c>
      <c r="BM300" s="5">
        <f>IF(A300="","",N(INDEX(Projects[Act Systems Eng],299)))</f>
        <v/>
      </c>
      <c r="BN300" s="5">
        <f>IF(A300="","",N(INDEX(Projects[Act Mechanical Eng],299)))</f>
        <v/>
      </c>
      <c r="BO300" s="5">
        <f>IF(A300="","",N(INDEX(Projects[Act Structural Engineering],299)))</f>
        <v/>
      </c>
      <c r="BP300" s="5">
        <f>IF(A300="","",N(INDEX(Projects[Act Site Sup],299)))</f>
        <v/>
      </c>
      <c r="BQ300" s="5">
        <f>IF(A300="","",N(INDEX(Projects[Act Controls Commissioning],299)))</f>
        <v/>
      </c>
      <c r="BR300" s="5">
        <f>IF(A300="","",N(INDEX(Projects[Act Systems Commissioning],299)))</f>
        <v/>
      </c>
      <c r="BS300" s="5">
        <f>IF(A300="","",N(INDEX(Projects[Act Service Commissioning],299)))</f>
        <v/>
      </c>
      <c r="BT300" s="5">
        <f>IF(A300="","",N(INDEX(Projects[Act Controls Eng],299)))</f>
        <v/>
      </c>
      <c r="BU300" s="5">
        <f>IF(A300="","",N(INDEX(Projects[Act Controls Purchase],299)))</f>
        <v/>
      </c>
      <c r="BV300" s="5">
        <f>IF(A300="","",N(INDEX(Projects[Act Software Eng],299)))</f>
        <v/>
      </c>
      <c r="BW300" s="5">
        <f>IF(A300="","",N(INDEX(Projects[Act 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  <c r="CE300" s="5">
        <f>INDEX(Projects[Act Data Status],299)&amp;""</f>
        <v/>
      </c>
      <c r="CF300" s="5">
        <f>IF(A300="","",N(INDEX(Projects[Est Mech Inst],299)))</f>
        <v/>
      </c>
      <c r="CG300" s="5">
        <f>IF(A300="","",N(INDEX(Projects[Est Elec Inst],299)))</f>
        <v/>
      </c>
      <c r="CH300" s="5">
        <f>IF(A300="","",N(INDEX(Projects[Est Project Management],299)))</f>
        <v/>
      </c>
      <c r="CI300" s="5">
        <f>IF(A300="","",N(INDEX(Projects[Est Systems Eng],299)))</f>
        <v/>
      </c>
      <c r="CJ300" s="5">
        <f>IF(A300="","",N(INDEX(Projects[Est Mechanical Eng],299)))</f>
        <v/>
      </c>
      <c r="CK300" s="5">
        <f>IF(A300="","",N(INDEX(Projects[Est Structural Engineering],299)))</f>
        <v/>
      </c>
      <c r="CL300" s="5">
        <f>IF(A300="","",N(INDEX(Projects[Est Site Sup],299)))</f>
        <v/>
      </c>
      <c r="CM300" s="5">
        <f>IF(A300="","",N(INDEX(Projects[Est Controls Commissioning],299)))</f>
        <v/>
      </c>
      <c r="CN300" s="5">
        <f>IF(A300="","",N(INDEX(Projects[Est Systems Commissioning],299)))</f>
        <v/>
      </c>
      <c r="CO300" s="5">
        <f>IF(A300="","",N(INDEX(Projects[Est Service Commissioning],299)))</f>
        <v/>
      </c>
      <c r="CP300" s="5">
        <f>IF(A300="","",N(INDEX(Projects[Est Controls Eng],299)))</f>
        <v/>
      </c>
      <c r="CQ300" s="5">
        <f>IF(A300="","",N(INDEX(Projects[Est Controls Purchase],299)))</f>
        <v/>
      </c>
      <c r="CR300" s="5">
        <f>IF(A300="","",N(INDEX(Projects[Est Software Eng],299)))</f>
        <v/>
      </c>
      <c r="CS300" s="5">
        <f>IF(A300="","",N(INDEX(Projects[Est Misc],299)))</f>
        <v/>
      </c>
      <c r="CT300" s="5">
        <f>IF(A300="","",SUM(CF300:CS300))</f>
        <v/>
      </c>
      <c r="CU300" s="5">
        <f>INDEX(Projects[Est Cost (M)],299)</f>
        <v/>
      </c>
      <c r="CV300" s="5">
        <f>INDEX(Projects[Act Cost (M)],299)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IF(A301="","",N(INDEX(Projects[Act Mech Inst],300)))</f>
        <v/>
      </c>
      <c r="BK301" s="5">
        <f>IF(A301="","",N(INDEX(Projects[Act Elec Inst],300)))</f>
        <v/>
      </c>
      <c r="BL301" s="5">
        <f>IF(A301="","",N(INDEX(Projects[Act Project Management],300)))</f>
        <v/>
      </c>
      <c r="BM301" s="5">
        <f>IF(A301="","",N(INDEX(Projects[Act Systems Eng],300)))</f>
        <v/>
      </c>
      <c r="BN301" s="5">
        <f>IF(A301="","",N(INDEX(Projects[Act Mechanical Eng],300)))</f>
        <v/>
      </c>
      <c r="BO301" s="5">
        <f>IF(A301="","",N(INDEX(Projects[Act Structural Engineering],300)))</f>
        <v/>
      </c>
      <c r="BP301" s="5">
        <f>IF(A301="","",N(INDEX(Projects[Act Site Sup],300)))</f>
        <v/>
      </c>
      <c r="BQ301" s="5">
        <f>IF(A301="","",N(INDEX(Projects[Act Controls Commissioning],300)))</f>
        <v/>
      </c>
      <c r="BR301" s="5">
        <f>IF(A301="","",N(INDEX(Projects[Act Systems Commissioning],300)))</f>
        <v/>
      </c>
      <c r="BS301" s="5">
        <f>IF(A301="","",N(INDEX(Projects[Act Service Commissioning],300)))</f>
        <v/>
      </c>
      <c r="BT301" s="5">
        <f>IF(A301="","",N(INDEX(Projects[Act Controls Eng],300)))</f>
        <v/>
      </c>
      <c r="BU301" s="5">
        <f>IF(A301="","",N(INDEX(Projects[Act Controls Purchase],300)))</f>
        <v/>
      </c>
      <c r="BV301" s="5">
        <f>IF(A301="","",N(INDEX(Projects[Act Software Eng],300)))</f>
        <v/>
      </c>
      <c r="BW301" s="5">
        <f>IF(A301="","",N(INDEX(Projects[Act 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  <c r="CE301" s="5">
        <f>INDEX(Projects[Act Data Status],300)&amp;""</f>
        <v/>
      </c>
      <c r="CF301" s="5">
        <f>IF(A301="","",N(INDEX(Projects[Est Mech Inst],300)))</f>
        <v/>
      </c>
      <c r="CG301" s="5">
        <f>IF(A301="","",N(INDEX(Projects[Est Elec Inst],300)))</f>
        <v/>
      </c>
      <c r="CH301" s="5">
        <f>IF(A301="","",N(INDEX(Projects[Est Project Management],300)))</f>
        <v/>
      </c>
      <c r="CI301" s="5">
        <f>IF(A301="","",N(INDEX(Projects[Est Systems Eng],300)))</f>
        <v/>
      </c>
      <c r="CJ301" s="5">
        <f>IF(A301="","",N(INDEX(Projects[Est Mechanical Eng],300)))</f>
        <v/>
      </c>
      <c r="CK301" s="5">
        <f>IF(A301="","",N(INDEX(Projects[Est Structural Engineering],300)))</f>
        <v/>
      </c>
      <c r="CL301" s="5">
        <f>IF(A301="","",N(INDEX(Projects[Est Site Sup],300)))</f>
        <v/>
      </c>
      <c r="CM301" s="5">
        <f>IF(A301="","",N(INDEX(Projects[Est Controls Commissioning],300)))</f>
        <v/>
      </c>
      <c r="CN301" s="5">
        <f>IF(A301="","",N(INDEX(Projects[Est Systems Commissioning],300)))</f>
        <v/>
      </c>
      <c r="CO301" s="5">
        <f>IF(A301="","",N(INDEX(Projects[Est Service Commissioning],300)))</f>
        <v/>
      </c>
      <c r="CP301" s="5">
        <f>IF(A301="","",N(INDEX(Projects[Est Controls Eng],300)))</f>
        <v/>
      </c>
      <c r="CQ301" s="5">
        <f>IF(A301="","",N(INDEX(Projects[Est Controls Purchase],300)))</f>
        <v/>
      </c>
      <c r="CR301" s="5">
        <f>IF(A301="","",N(INDEX(Projects[Est Software Eng],300)))</f>
        <v/>
      </c>
      <c r="CS301" s="5">
        <f>IF(A301="","",N(INDEX(Projects[Est Misc],300)))</f>
        <v/>
      </c>
      <c r="CT301" s="5">
        <f>IF(A301="","",SUM(CF301:CS301))</f>
        <v/>
      </c>
      <c r="CU301" s="5">
        <f>INDEX(Projects[Est Cost (M)],300)</f>
        <v/>
      </c>
      <c r="CV301" s="5">
        <f>INDEX(Projects[Act Cost (M)],300)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IF(A302="","",N(INDEX(Projects[Act Mech Inst],301)))</f>
        <v/>
      </c>
      <c r="BK302" s="5">
        <f>IF(A302="","",N(INDEX(Projects[Act Elec Inst],301)))</f>
        <v/>
      </c>
      <c r="BL302" s="5">
        <f>IF(A302="","",N(INDEX(Projects[Act Project Management],301)))</f>
        <v/>
      </c>
      <c r="BM302" s="5">
        <f>IF(A302="","",N(INDEX(Projects[Act Systems Eng],301)))</f>
        <v/>
      </c>
      <c r="BN302" s="5">
        <f>IF(A302="","",N(INDEX(Projects[Act Mechanical Eng],301)))</f>
        <v/>
      </c>
      <c r="BO302" s="5">
        <f>IF(A302="","",N(INDEX(Projects[Act Structural Engineering],301)))</f>
        <v/>
      </c>
      <c r="BP302" s="5">
        <f>IF(A302="","",N(INDEX(Projects[Act Site Sup],301)))</f>
        <v/>
      </c>
      <c r="BQ302" s="5">
        <f>IF(A302="","",N(INDEX(Projects[Act Controls Commissioning],301)))</f>
        <v/>
      </c>
      <c r="BR302" s="5">
        <f>IF(A302="","",N(INDEX(Projects[Act Systems Commissioning],301)))</f>
        <v/>
      </c>
      <c r="BS302" s="5">
        <f>IF(A302="","",N(INDEX(Projects[Act Service Commissioning],301)))</f>
        <v/>
      </c>
      <c r="BT302" s="5">
        <f>IF(A302="","",N(INDEX(Projects[Act Controls Eng],301)))</f>
        <v/>
      </c>
      <c r="BU302" s="5">
        <f>IF(A302="","",N(INDEX(Projects[Act Controls Purchase],301)))</f>
        <v/>
      </c>
      <c r="BV302" s="5">
        <f>IF(A302="","",N(INDEX(Projects[Act Software Eng],301)))</f>
        <v/>
      </c>
      <c r="BW302" s="5">
        <f>IF(A302="","",N(INDEX(Projects[Act 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  <c r="CE302" s="5">
        <f>INDEX(Projects[Act Data Status],301)&amp;""</f>
        <v/>
      </c>
      <c r="CF302" s="5">
        <f>IF(A302="","",N(INDEX(Projects[Est Mech Inst],301)))</f>
        <v/>
      </c>
      <c r="CG302" s="5">
        <f>IF(A302="","",N(INDEX(Projects[Est Elec Inst],301)))</f>
        <v/>
      </c>
      <c r="CH302" s="5">
        <f>IF(A302="","",N(INDEX(Projects[Est Project Management],301)))</f>
        <v/>
      </c>
      <c r="CI302" s="5">
        <f>IF(A302="","",N(INDEX(Projects[Est Systems Eng],301)))</f>
        <v/>
      </c>
      <c r="CJ302" s="5">
        <f>IF(A302="","",N(INDEX(Projects[Est Mechanical Eng],301)))</f>
        <v/>
      </c>
      <c r="CK302" s="5">
        <f>IF(A302="","",N(INDEX(Projects[Est Structural Engineering],301)))</f>
        <v/>
      </c>
      <c r="CL302" s="5">
        <f>IF(A302="","",N(INDEX(Projects[Est Site Sup],301)))</f>
        <v/>
      </c>
      <c r="CM302" s="5">
        <f>IF(A302="","",N(INDEX(Projects[Est Controls Commissioning],301)))</f>
        <v/>
      </c>
      <c r="CN302" s="5">
        <f>IF(A302="","",N(INDEX(Projects[Est Systems Commissioning],301)))</f>
        <v/>
      </c>
      <c r="CO302" s="5">
        <f>IF(A302="","",N(INDEX(Projects[Est Service Commissioning],301)))</f>
        <v/>
      </c>
      <c r="CP302" s="5">
        <f>IF(A302="","",N(INDEX(Projects[Est Controls Eng],301)))</f>
        <v/>
      </c>
      <c r="CQ302" s="5">
        <f>IF(A302="","",N(INDEX(Projects[Est Controls Purchase],301)))</f>
        <v/>
      </c>
      <c r="CR302" s="5">
        <f>IF(A302="","",N(INDEX(Projects[Est Software Eng],301)))</f>
        <v/>
      </c>
      <c r="CS302" s="5">
        <f>IF(A302="","",N(INDEX(Projects[Est Misc],301)))</f>
        <v/>
      </c>
      <c r="CT302" s="5">
        <f>IF(A302="","",SUM(CF302:CS302))</f>
        <v/>
      </c>
      <c r="CU302" s="5">
        <f>INDEX(Projects[Est Cost (M)],301)</f>
        <v/>
      </c>
      <c r="CV302" s="5">
        <f>INDEX(Projects[Act Cost (M)],301)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IF(A303="","",N(INDEX(Projects[Act Mech Inst],302)))</f>
        <v/>
      </c>
      <c r="BK303" s="5">
        <f>IF(A303="","",N(INDEX(Projects[Act Elec Inst],302)))</f>
        <v/>
      </c>
      <c r="BL303" s="5">
        <f>IF(A303="","",N(INDEX(Projects[Act Project Management],302)))</f>
        <v/>
      </c>
      <c r="BM303" s="5">
        <f>IF(A303="","",N(INDEX(Projects[Act Systems Eng],302)))</f>
        <v/>
      </c>
      <c r="BN303" s="5">
        <f>IF(A303="","",N(INDEX(Projects[Act Mechanical Eng],302)))</f>
        <v/>
      </c>
      <c r="BO303" s="5">
        <f>IF(A303="","",N(INDEX(Projects[Act Structural Engineering],302)))</f>
        <v/>
      </c>
      <c r="BP303" s="5">
        <f>IF(A303="","",N(INDEX(Projects[Act Site Sup],302)))</f>
        <v/>
      </c>
      <c r="BQ303" s="5">
        <f>IF(A303="","",N(INDEX(Projects[Act Controls Commissioning],302)))</f>
        <v/>
      </c>
      <c r="BR303" s="5">
        <f>IF(A303="","",N(INDEX(Projects[Act Systems Commissioning],302)))</f>
        <v/>
      </c>
      <c r="BS303" s="5">
        <f>IF(A303="","",N(INDEX(Projects[Act Service Commissioning],302)))</f>
        <v/>
      </c>
      <c r="BT303" s="5">
        <f>IF(A303="","",N(INDEX(Projects[Act Controls Eng],302)))</f>
        <v/>
      </c>
      <c r="BU303" s="5">
        <f>IF(A303="","",N(INDEX(Projects[Act Controls Purchase],302)))</f>
        <v/>
      </c>
      <c r="BV303" s="5">
        <f>IF(A303="","",N(INDEX(Projects[Act Software Eng],302)))</f>
        <v/>
      </c>
      <c r="BW303" s="5">
        <f>IF(A303="","",N(INDEX(Projects[Act 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  <c r="CE303" s="5">
        <f>INDEX(Projects[Act Data Status],302)&amp;""</f>
        <v/>
      </c>
      <c r="CF303" s="5">
        <f>IF(A303="","",N(INDEX(Projects[Est Mech Inst],302)))</f>
        <v/>
      </c>
      <c r="CG303" s="5">
        <f>IF(A303="","",N(INDEX(Projects[Est Elec Inst],302)))</f>
        <v/>
      </c>
      <c r="CH303" s="5">
        <f>IF(A303="","",N(INDEX(Projects[Est Project Management],302)))</f>
        <v/>
      </c>
      <c r="CI303" s="5">
        <f>IF(A303="","",N(INDEX(Projects[Est Systems Eng],302)))</f>
        <v/>
      </c>
      <c r="CJ303" s="5">
        <f>IF(A303="","",N(INDEX(Projects[Est Mechanical Eng],302)))</f>
        <v/>
      </c>
      <c r="CK303" s="5">
        <f>IF(A303="","",N(INDEX(Projects[Est Structural Engineering],302)))</f>
        <v/>
      </c>
      <c r="CL303" s="5">
        <f>IF(A303="","",N(INDEX(Projects[Est Site Sup],302)))</f>
        <v/>
      </c>
      <c r="CM303" s="5">
        <f>IF(A303="","",N(INDEX(Projects[Est Controls Commissioning],302)))</f>
        <v/>
      </c>
      <c r="CN303" s="5">
        <f>IF(A303="","",N(INDEX(Projects[Est Systems Commissioning],302)))</f>
        <v/>
      </c>
      <c r="CO303" s="5">
        <f>IF(A303="","",N(INDEX(Projects[Est Service Commissioning],302)))</f>
        <v/>
      </c>
      <c r="CP303" s="5">
        <f>IF(A303="","",N(INDEX(Projects[Est Controls Eng],302)))</f>
        <v/>
      </c>
      <c r="CQ303" s="5">
        <f>IF(A303="","",N(INDEX(Projects[Est Controls Purchase],302)))</f>
        <v/>
      </c>
      <c r="CR303" s="5">
        <f>IF(A303="","",N(INDEX(Projects[Est Software Eng],302)))</f>
        <v/>
      </c>
      <c r="CS303" s="5">
        <f>IF(A303="","",N(INDEX(Projects[Est Misc],302)))</f>
        <v/>
      </c>
      <c r="CT303" s="5">
        <f>IF(A303="","",SUM(CF303:CS303))</f>
        <v/>
      </c>
      <c r="CU303" s="5">
        <f>INDEX(Projects[Est Cost (M)],302)</f>
        <v/>
      </c>
      <c r="CV303" s="5">
        <f>INDEX(Projects[Act Cost (M)],302)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IF(A304="","",N(INDEX(Projects[Act Mech Inst],303)))</f>
        <v/>
      </c>
      <c r="BK304" s="5">
        <f>IF(A304="","",N(INDEX(Projects[Act Elec Inst],303)))</f>
        <v/>
      </c>
      <c r="BL304" s="5">
        <f>IF(A304="","",N(INDEX(Projects[Act Project Management],303)))</f>
        <v/>
      </c>
      <c r="BM304" s="5">
        <f>IF(A304="","",N(INDEX(Projects[Act Systems Eng],303)))</f>
        <v/>
      </c>
      <c r="BN304" s="5">
        <f>IF(A304="","",N(INDEX(Projects[Act Mechanical Eng],303)))</f>
        <v/>
      </c>
      <c r="BO304" s="5">
        <f>IF(A304="","",N(INDEX(Projects[Act Structural Engineering],303)))</f>
        <v/>
      </c>
      <c r="BP304" s="5">
        <f>IF(A304="","",N(INDEX(Projects[Act Site Sup],303)))</f>
        <v/>
      </c>
      <c r="BQ304" s="5">
        <f>IF(A304="","",N(INDEX(Projects[Act Controls Commissioning],303)))</f>
        <v/>
      </c>
      <c r="BR304" s="5">
        <f>IF(A304="","",N(INDEX(Projects[Act Systems Commissioning],303)))</f>
        <v/>
      </c>
      <c r="BS304" s="5">
        <f>IF(A304="","",N(INDEX(Projects[Act Service Commissioning],303)))</f>
        <v/>
      </c>
      <c r="BT304" s="5">
        <f>IF(A304="","",N(INDEX(Projects[Act Controls Eng],303)))</f>
        <v/>
      </c>
      <c r="BU304" s="5">
        <f>IF(A304="","",N(INDEX(Projects[Act Controls Purchase],303)))</f>
        <v/>
      </c>
      <c r="BV304" s="5">
        <f>IF(A304="","",N(INDEX(Projects[Act Software Eng],303)))</f>
        <v/>
      </c>
      <c r="BW304" s="5">
        <f>IF(A304="","",N(INDEX(Projects[Act 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  <c r="CE304" s="5">
        <f>INDEX(Projects[Act Data Status],303)&amp;""</f>
        <v/>
      </c>
      <c r="CF304" s="5">
        <f>IF(A304="","",N(INDEX(Projects[Est Mech Inst],303)))</f>
        <v/>
      </c>
      <c r="CG304" s="5">
        <f>IF(A304="","",N(INDEX(Projects[Est Elec Inst],303)))</f>
        <v/>
      </c>
      <c r="CH304" s="5">
        <f>IF(A304="","",N(INDEX(Projects[Est Project Management],303)))</f>
        <v/>
      </c>
      <c r="CI304" s="5">
        <f>IF(A304="","",N(INDEX(Projects[Est Systems Eng],303)))</f>
        <v/>
      </c>
      <c r="CJ304" s="5">
        <f>IF(A304="","",N(INDEX(Projects[Est Mechanical Eng],303)))</f>
        <v/>
      </c>
      <c r="CK304" s="5">
        <f>IF(A304="","",N(INDEX(Projects[Est Structural Engineering],303)))</f>
        <v/>
      </c>
      <c r="CL304" s="5">
        <f>IF(A304="","",N(INDEX(Projects[Est Site Sup],303)))</f>
        <v/>
      </c>
      <c r="CM304" s="5">
        <f>IF(A304="","",N(INDEX(Projects[Est Controls Commissioning],303)))</f>
        <v/>
      </c>
      <c r="CN304" s="5">
        <f>IF(A304="","",N(INDEX(Projects[Est Systems Commissioning],303)))</f>
        <v/>
      </c>
      <c r="CO304" s="5">
        <f>IF(A304="","",N(INDEX(Projects[Est Service Commissioning],303)))</f>
        <v/>
      </c>
      <c r="CP304" s="5">
        <f>IF(A304="","",N(INDEX(Projects[Est Controls Eng],303)))</f>
        <v/>
      </c>
      <c r="CQ304" s="5">
        <f>IF(A304="","",N(INDEX(Projects[Est Controls Purchase],303)))</f>
        <v/>
      </c>
      <c r="CR304" s="5">
        <f>IF(A304="","",N(INDEX(Projects[Est Software Eng],303)))</f>
        <v/>
      </c>
      <c r="CS304" s="5">
        <f>IF(A304="","",N(INDEX(Projects[Est Misc],303)))</f>
        <v/>
      </c>
      <c r="CT304" s="5">
        <f>IF(A304="","",SUM(CF304:CS304))</f>
        <v/>
      </c>
      <c r="CU304" s="5">
        <f>INDEX(Projects[Est Cost (M)],303)</f>
        <v/>
      </c>
      <c r="CV304" s="5">
        <f>INDEX(Projects[Act Cost (M)],303)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IF(A305="","",N(INDEX(Projects[Act Mech Inst],304)))</f>
        <v/>
      </c>
      <c r="BK305" s="5">
        <f>IF(A305="","",N(INDEX(Projects[Act Elec Inst],304)))</f>
        <v/>
      </c>
      <c r="BL305" s="5">
        <f>IF(A305="","",N(INDEX(Projects[Act Project Management],304)))</f>
        <v/>
      </c>
      <c r="BM305" s="5">
        <f>IF(A305="","",N(INDEX(Projects[Act Systems Eng],304)))</f>
        <v/>
      </c>
      <c r="BN305" s="5">
        <f>IF(A305="","",N(INDEX(Projects[Act Mechanical Eng],304)))</f>
        <v/>
      </c>
      <c r="BO305" s="5">
        <f>IF(A305="","",N(INDEX(Projects[Act Structural Engineering],304)))</f>
        <v/>
      </c>
      <c r="BP305" s="5">
        <f>IF(A305="","",N(INDEX(Projects[Act Site Sup],304)))</f>
        <v/>
      </c>
      <c r="BQ305" s="5">
        <f>IF(A305="","",N(INDEX(Projects[Act Controls Commissioning],304)))</f>
        <v/>
      </c>
      <c r="BR305" s="5">
        <f>IF(A305="","",N(INDEX(Projects[Act Systems Commissioning],304)))</f>
        <v/>
      </c>
      <c r="BS305" s="5">
        <f>IF(A305="","",N(INDEX(Projects[Act Service Commissioning],304)))</f>
        <v/>
      </c>
      <c r="BT305" s="5">
        <f>IF(A305="","",N(INDEX(Projects[Act Controls Eng],304)))</f>
        <v/>
      </c>
      <c r="BU305" s="5">
        <f>IF(A305="","",N(INDEX(Projects[Act Controls Purchase],304)))</f>
        <v/>
      </c>
      <c r="BV305" s="5">
        <f>IF(A305="","",N(INDEX(Projects[Act Software Eng],304)))</f>
        <v/>
      </c>
      <c r="BW305" s="5">
        <f>IF(A305="","",N(INDEX(Projects[Act 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  <c r="CE305" s="5">
        <f>INDEX(Projects[Act Data Status],304)&amp;""</f>
        <v/>
      </c>
      <c r="CF305" s="5">
        <f>IF(A305="","",N(INDEX(Projects[Est Mech Inst],304)))</f>
        <v/>
      </c>
      <c r="CG305" s="5">
        <f>IF(A305="","",N(INDEX(Projects[Est Elec Inst],304)))</f>
        <v/>
      </c>
      <c r="CH305" s="5">
        <f>IF(A305="","",N(INDEX(Projects[Est Project Management],304)))</f>
        <v/>
      </c>
      <c r="CI305" s="5">
        <f>IF(A305="","",N(INDEX(Projects[Est Systems Eng],304)))</f>
        <v/>
      </c>
      <c r="CJ305" s="5">
        <f>IF(A305="","",N(INDEX(Projects[Est Mechanical Eng],304)))</f>
        <v/>
      </c>
      <c r="CK305" s="5">
        <f>IF(A305="","",N(INDEX(Projects[Est Structural Engineering],304)))</f>
        <v/>
      </c>
      <c r="CL305" s="5">
        <f>IF(A305="","",N(INDEX(Projects[Est Site Sup],304)))</f>
        <v/>
      </c>
      <c r="CM305" s="5">
        <f>IF(A305="","",N(INDEX(Projects[Est Controls Commissioning],304)))</f>
        <v/>
      </c>
      <c r="CN305" s="5">
        <f>IF(A305="","",N(INDEX(Projects[Est Systems Commissioning],304)))</f>
        <v/>
      </c>
      <c r="CO305" s="5">
        <f>IF(A305="","",N(INDEX(Projects[Est Service Commissioning],304)))</f>
        <v/>
      </c>
      <c r="CP305" s="5">
        <f>IF(A305="","",N(INDEX(Projects[Est Controls Eng],304)))</f>
        <v/>
      </c>
      <c r="CQ305" s="5">
        <f>IF(A305="","",N(INDEX(Projects[Est Controls Purchase],304)))</f>
        <v/>
      </c>
      <c r="CR305" s="5">
        <f>IF(A305="","",N(INDEX(Projects[Est Software Eng],304)))</f>
        <v/>
      </c>
      <c r="CS305" s="5">
        <f>IF(A305="","",N(INDEX(Projects[Est Misc],304)))</f>
        <v/>
      </c>
      <c r="CT305" s="5">
        <f>IF(A305="","",SUM(CF305:CS305))</f>
        <v/>
      </c>
      <c r="CU305" s="5">
        <f>INDEX(Projects[Est Cost (M)],304)</f>
        <v/>
      </c>
      <c r="CV305" s="5">
        <f>INDEX(Projects[Act Cost (M)],304)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IF(A306="","",N(INDEX(Projects[Act Mech Inst],305)))</f>
        <v/>
      </c>
      <c r="BK306" s="5">
        <f>IF(A306="","",N(INDEX(Projects[Act Elec Inst],305)))</f>
        <v/>
      </c>
      <c r="BL306" s="5">
        <f>IF(A306="","",N(INDEX(Projects[Act Project Management],305)))</f>
        <v/>
      </c>
      <c r="BM306" s="5">
        <f>IF(A306="","",N(INDEX(Projects[Act Systems Eng],305)))</f>
        <v/>
      </c>
      <c r="BN306" s="5">
        <f>IF(A306="","",N(INDEX(Projects[Act Mechanical Eng],305)))</f>
        <v/>
      </c>
      <c r="BO306" s="5">
        <f>IF(A306="","",N(INDEX(Projects[Act Structural Engineering],305)))</f>
        <v/>
      </c>
      <c r="BP306" s="5">
        <f>IF(A306="","",N(INDEX(Projects[Act Site Sup],305)))</f>
        <v/>
      </c>
      <c r="BQ306" s="5">
        <f>IF(A306="","",N(INDEX(Projects[Act Controls Commissioning],305)))</f>
        <v/>
      </c>
      <c r="BR306" s="5">
        <f>IF(A306="","",N(INDEX(Projects[Act Systems Commissioning],305)))</f>
        <v/>
      </c>
      <c r="BS306" s="5">
        <f>IF(A306="","",N(INDEX(Projects[Act Service Commissioning],305)))</f>
        <v/>
      </c>
      <c r="BT306" s="5">
        <f>IF(A306="","",N(INDEX(Projects[Act Controls Eng],305)))</f>
        <v/>
      </c>
      <c r="BU306" s="5">
        <f>IF(A306="","",N(INDEX(Projects[Act Controls Purchase],305)))</f>
        <v/>
      </c>
      <c r="BV306" s="5">
        <f>IF(A306="","",N(INDEX(Projects[Act Software Eng],305)))</f>
        <v/>
      </c>
      <c r="BW306" s="5">
        <f>IF(A306="","",N(INDEX(Projects[Act 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  <c r="CE306" s="5">
        <f>INDEX(Projects[Act Data Status],305)&amp;""</f>
        <v/>
      </c>
      <c r="CF306" s="5">
        <f>IF(A306="","",N(INDEX(Projects[Est Mech Inst],305)))</f>
        <v/>
      </c>
      <c r="CG306" s="5">
        <f>IF(A306="","",N(INDEX(Projects[Est Elec Inst],305)))</f>
        <v/>
      </c>
      <c r="CH306" s="5">
        <f>IF(A306="","",N(INDEX(Projects[Est Project Management],305)))</f>
        <v/>
      </c>
      <c r="CI306" s="5">
        <f>IF(A306="","",N(INDEX(Projects[Est Systems Eng],305)))</f>
        <v/>
      </c>
      <c r="CJ306" s="5">
        <f>IF(A306="","",N(INDEX(Projects[Est Mechanical Eng],305)))</f>
        <v/>
      </c>
      <c r="CK306" s="5">
        <f>IF(A306="","",N(INDEX(Projects[Est Structural Engineering],305)))</f>
        <v/>
      </c>
      <c r="CL306" s="5">
        <f>IF(A306="","",N(INDEX(Projects[Est Site Sup],305)))</f>
        <v/>
      </c>
      <c r="CM306" s="5">
        <f>IF(A306="","",N(INDEX(Projects[Est Controls Commissioning],305)))</f>
        <v/>
      </c>
      <c r="CN306" s="5">
        <f>IF(A306="","",N(INDEX(Projects[Est Systems Commissioning],305)))</f>
        <v/>
      </c>
      <c r="CO306" s="5">
        <f>IF(A306="","",N(INDEX(Projects[Est Service Commissioning],305)))</f>
        <v/>
      </c>
      <c r="CP306" s="5">
        <f>IF(A306="","",N(INDEX(Projects[Est Controls Eng],305)))</f>
        <v/>
      </c>
      <c r="CQ306" s="5">
        <f>IF(A306="","",N(INDEX(Projects[Est Controls Purchase],305)))</f>
        <v/>
      </c>
      <c r="CR306" s="5">
        <f>IF(A306="","",N(INDEX(Projects[Est Software Eng],305)))</f>
        <v/>
      </c>
      <c r="CS306" s="5">
        <f>IF(A306="","",N(INDEX(Projects[Est Misc],305)))</f>
        <v/>
      </c>
      <c r="CT306" s="5">
        <f>IF(A306="","",SUM(CF306:CS306))</f>
        <v/>
      </c>
      <c r="CU306" s="5">
        <f>INDEX(Projects[Est Cost (M)],305)</f>
        <v/>
      </c>
      <c r="CV306" s="5">
        <f>INDEX(Projects[Act Cost (M)],305)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IF(A307="","",N(INDEX(Projects[Act Mech Inst],306)))</f>
        <v/>
      </c>
      <c r="BK307" s="5">
        <f>IF(A307="","",N(INDEX(Projects[Act Elec Inst],306)))</f>
        <v/>
      </c>
      <c r="BL307" s="5">
        <f>IF(A307="","",N(INDEX(Projects[Act Project Management],306)))</f>
        <v/>
      </c>
      <c r="BM307" s="5">
        <f>IF(A307="","",N(INDEX(Projects[Act Systems Eng],306)))</f>
        <v/>
      </c>
      <c r="BN307" s="5">
        <f>IF(A307="","",N(INDEX(Projects[Act Mechanical Eng],306)))</f>
        <v/>
      </c>
      <c r="BO307" s="5">
        <f>IF(A307="","",N(INDEX(Projects[Act Structural Engineering],306)))</f>
        <v/>
      </c>
      <c r="BP307" s="5">
        <f>IF(A307="","",N(INDEX(Projects[Act Site Sup],306)))</f>
        <v/>
      </c>
      <c r="BQ307" s="5">
        <f>IF(A307="","",N(INDEX(Projects[Act Controls Commissioning],306)))</f>
        <v/>
      </c>
      <c r="BR307" s="5">
        <f>IF(A307="","",N(INDEX(Projects[Act Systems Commissioning],306)))</f>
        <v/>
      </c>
      <c r="BS307" s="5">
        <f>IF(A307="","",N(INDEX(Projects[Act Service Commissioning],306)))</f>
        <v/>
      </c>
      <c r="BT307" s="5">
        <f>IF(A307="","",N(INDEX(Projects[Act Controls Eng],306)))</f>
        <v/>
      </c>
      <c r="BU307" s="5">
        <f>IF(A307="","",N(INDEX(Projects[Act Controls Purchase],306)))</f>
        <v/>
      </c>
      <c r="BV307" s="5">
        <f>IF(A307="","",N(INDEX(Projects[Act Software Eng],306)))</f>
        <v/>
      </c>
      <c r="BW307" s="5">
        <f>IF(A307="","",N(INDEX(Projects[Act 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  <c r="CE307" s="5">
        <f>INDEX(Projects[Act Data Status],306)&amp;""</f>
        <v/>
      </c>
      <c r="CF307" s="5">
        <f>IF(A307="","",N(INDEX(Projects[Est Mech Inst],306)))</f>
        <v/>
      </c>
      <c r="CG307" s="5">
        <f>IF(A307="","",N(INDEX(Projects[Est Elec Inst],306)))</f>
        <v/>
      </c>
      <c r="CH307" s="5">
        <f>IF(A307="","",N(INDEX(Projects[Est Project Management],306)))</f>
        <v/>
      </c>
      <c r="CI307" s="5">
        <f>IF(A307="","",N(INDEX(Projects[Est Systems Eng],306)))</f>
        <v/>
      </c>
      <c r="CJ307" s="5">
        <f>IF(A307="","",N(INDEX(Projects[Est Mechanical Eng],306)))</f>
        <v/>
      </c>
      <c r="CK307" s="5">
        <f>IF(A307="","",N(INDEX(Projects[Est Structural Engineering],306)))</f>
        <v/>
      </c>
      <c r="CL307" s="5">
        <f>IF(A307="","",N(INDEX(Projects[Est Site Sup],306)))</f>
        <v/>
      </c>
      <c r="CM307" s="5">
        <f>IF(A307="","",N(INDEX(Projects[Est Controls Commissioning],306)))</f>
        <v/>
      </c>
      <c r="CN307" s="5">
        <f>IF(A307="","",N(INDEX(Projects[Est Systems Commissioning],306)))</f>
        <v/>
      </c>
      <c r="CO307" s="5">
        <f>IF(A307="","",N(INDEX(Projects[Est Service Commissioning],306)))</f>
        <v/>
      </c>
      <c r="CP307" s="5">
        <f>IF(A307="","",N(INDEX(Projects[Est Controls Eng],306)))</f>
        <v/>
      </c>
      <c r="CQ307" s="5">
        <f>IF(A307="","",N(INDEX(Projects[Est Controls Purchase],306)))</f>
        <v/>
      </c>
      <c r="CR307" s="5">
        <f>IF(A307="","",N(INDEX(Projects[Est Software Eng],306)))</f>
        <v/>
      </c>
      <c r="CS307" s="5">
        <f>IF(A307="","",N(INDEX(Projects[Est Misc],306)))</f>
        <v/>
      </c>
      <c r="CT307" s="5">
        <f>IF(A307="","",SUM(CF307:CS307))</f>
        <v/>
      </c>
      <c r="CU307" s="5">
        <f>INDEX(Projects[Est Cost (M)],306)</f>
        <v/>
      </c>
      <c r="CV307" s="5">
        <f>INDEX(Projects[Act Cost (M)],306)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IF(A308="","",N(INDEX(Projects[Act Mech Inst],307)))</f>
        <v/>
      </c>
      <c r="BK308" s="5">
        <f>IF(A308="","",N(INDEX(Projects[Act Elec Inst],307)))</f>
        <v/>
      </c>
      <c r="BL308" s="5">
        <f>IF(A308="","",N(INDEX(Projects[Act Project Management],307)))</f>
        <v/>
      </c>
      <c r="BM308" s="5">
        <f>IF(A308="","",N(INDEX(Projects[Act Systems Eng],307)))</f>
        <v/>
      </c>
      <c r="BN308" s="5">
        <f>IF(A308="","",N(INDEX(Projects[Act Mechanical Eng],307)))</f>
        <v/>
      </c>
      <c r="BO308" s="5">
        <f>IF(A308="","",N(INDEX(Projects[Act Structural Engineering],307)))</f>
        <v/>
      </c>
      <c r="BP308" s="5">
        <f>IF(A308="","",N(INDEX(Projects[Act Site Sup],307)))</f>
        <v/>
      </c>
      <c r="BQ308" s="5">
        <f>IF(A308="","",N(INDEX(Projects[Act Controls Commissioning],307)))</f>
        <v/>
      </c>
      <c r="BR308" s="5">
        <f>IF(A308="","",N(INDEX(Projects[Act Systems Commissioning],307)))</f>
        <v/>
      </c>
      <c r="BS308" s="5">
        <f>IF(A308="","",N(INDEX(Projects[Act Service Commissioning],307)))</f>
        <v/>
      </c>
      <c r="BT308" s="5">
        <f>IF(A308="","",N(INDEX(Projects[Act Controls Eng],307)))</f>
        <v/>
      </c>
      <c r="BU308" s="5">
        <f>IF(A308="","",N(INDEX(Projects[Act Controls Purchase],307)))</f>
        <v/>
      </c>
      <c r="BV308" s="5">
        <f>IF(A308="","",N(INDEX(Projects[Act Software Eng],307)))</f>
        <v/>
      </c>
      <c r="BW308" s="5">
        <f>IF(A308="","",N(INDEX(Projects[Act 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  <c r="CE308" s="5">
        <f>INDEX(Projects[Act Data Status],307)&amp;""</f>
        <v/>
      </c>
      <c r="CF308" s="5">
        <f>IF(A308="","",N(INDEX(Projects[Est Mech Inst],307)))</f>
        <v/>
      </c>
      <c r="CG308" s="5">
        <f>IF(A308="","",N(INDEX(Projects[Est Elec Inst],307)))</f>
        <v/>
      </c>
      <c r="CH308" s="5">
        <f>IF(A308="","",N(INDEX(Projects[Est Project Management],307)))</f>
        <v/>
      </c>
      <c r="CI308" s="5">
        <f>IF(A308="","",N(INDEX(Projects[Est Systems Eng],307)))</f>
        <v/>
      </c>
      <c r="CJ308" s="5">
        <f>IF(A308="","",N(INDEX(Projects[Est Mechanical Eng],307)))</f>
        <v/>
      </c>
      <c r="CK308" s="5">
        <f>IF(A308="","",N(INDEX(Projects[Est Structural Engineering],307)))</f>
        <v/>
      </c>
      <c r="CL308" s="5">
        <f>IF(A308="","",N(INDEX(Projects[Est Site Sup],307)))</f>
        <v/>
      </c>
      <c r="CM308" s="5">
        <f>IF(A308="","",N(INDEX(Projects[Est Controls Commissioning],307)))</f>
        <v/>
      </c>
      <c r="CN308" s="5">
        <f>IF(A308="","",N(INDEX(Projects[Est Systems Commissioning],307)))</f>
        <v/>
      </c>
      <c r="CO308" s="5">
        <f>IF(A308="","",N(INDEX(Projects[Est Service Commissioning],307)))</f>
        <v/>
      </c>
      <c r="CP308" s="5">
        <f>IF(A308="","",N(INDEX(Projects[Est Controls Eng],307)))</f>
        <v/>
      </c>
      <c r="CQ308" s="5">
        <f>IF(A308="","",N(INDEX(Projects[Est Controls Purchase],307)))</f>
        <v/>
      </c>
      <c r="CR308" s="5">
        <f>IF(A308="","",N(INDEX(Projects[Est Software Eng],307)))</f>
        <v/>
      </c>
      <c r="CS308" s="5">
        <f>IF(A308="","",N(INDEX(Projects[Est Misc],307)))</f>
        <v/>
      </c>
      <c r="CT308" s="5">
        <f>IF(A308="","",SUM(CF308:CS308))</f>
        <v/>
      </c>
      <c r="CU308" s="5">
        <f>INDEX(Projects[Est Cost (M)],307)</f>
        <v/>
      </c>
      <c r="CV308" s="5">
        <f>INDEX(Projects[Act Cost (M)],307)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IF(A309="","",N(INDEX(Projects[Act Mech Inst],308)))</f>
        <v/>
      </c>
      <c r="BK309" s="5">
        <f>IF(A309="","",N(INDEX(Projects[Act Elec Inst],308)))</f>
        <v/>
      </c>
      <c r="BL309" s="5">
        <f>IF(A309="","",N(INDEX(Projects[Act Project Management],308)))</f>
        <v/>
      </c>
      <c r="BM309" s="5">
        <f>IF(A309="","",N(INDEX(Projects[Act Systems Eng],308)))</f>
        <v/>
      </c>
      <c r="BN309" s="5">
        <f>IF(A309="","",N(INDEX(Projects[Act Mechanical Eng],308)))</f>
        <v/>
      </c>
      <c r="BO309" s="5">
        <f>IF(A309="","",N(INDEX(Projects[Act Structural Engineering],308)))</f>
        <v/>
      </c>
      <c r="BP309" s="5">
        <f>IF(A309="","",N(INDEX(Projects[Act Site Sup],308)))</f>
        <v/>
      </c>
      <c r="BQ309" s="5">
        <f>IF(A309="","",N(INDEX(Projects[Act Controls Commissioning],308)))</f>
        <v/>
      </c>
      <c r="BR309" s="5">
        <f>IF(A309="","",N(INDEX(Projects[Act Systems Commissioning],308)))</f>
        <v/>
      </c>
      <c r="BS309" s="5">
        <f>IF(A309="","",N(INDEX(Projects[Act Service Commissioning],308)))</f>
        <v/>
      </c>
      <c r="BT309" s="5">
        <f>IF(A309="","",N(INDEX(Projects[Act Controls Eng],308)))</f>
        <v/>
      </c>
      <c r="BU309" s="5">
        <f>IF(A309="","",N(INDEX(Projects[Act Controls Purchase],308)))</f>
        <v/>
      </c>
      <c r="BV309" s="5">
        <f>IF(A309="","",N(INDEX(Projects[Act Software Eng],308)))</f>
        <v/>
      </c>
      <c r="BW309" s="5">
        <f>IF(A309="","",N(INDEX(Projects[Act 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  <c r="CE309" s="5">
        <f>INDEX(Projects[Act Data Status],308)&amp;""</f>
        <v/>
      </c>
      <c r="CF309" s="5">
        <f>IF(A309="","",N(INDEX(Projects[Est Mech Inst],308)))</f>
        <v/>
      </c>
      <c r="CG309" s="5">
        <f>IF(A309="","",N(INDEX(Projects[Est Elec Inst],308)))</f>
        <v/>
      </c>
      <c r="CH309" s="5">
        <f>IF(A309="","",N(INDEX(Projects[Est Project Management],308)))</f>
        <v/>
      </c>
      <c r="CI309" s="5">
        <f>IF(A309="","",N(INDEX(Projects[Est Systems Eng],308)))</f>
        <v/>
      </c>
      <c r="CJ309" s="5">
        <f>IF(A309="","",N(INDEX(Projects[Est Mechanical Eng],308)))</f>
        <v/>
      </c>
      <c r="CK309" s="5">
        <f>IF(A309="","",N(INDEX(Projects[Est Structural Engineering],308)))</f>
        <v/>
      </c>
      <c r="CL309" s="5">
        <f>IF(A309="","",N(INDEX(Projects[Est Site Sup],308)))</f>
        <v/>
      </c>
      <c r="CM309" s="5">
        <f>IF(A309="","",N(INDEX(Projects[Est Controls Commissioning],308)))</f>
        <v/>
      </c>
      <c r="CN309" s="5">
        <f>IF(A309="","",N(INDEX(Projects[Est Systems Commissioning],308)))</f>
        <v/>
      </c>
      <c r="CO309" s="5">
        <f>IF(A309="","",N(INDEX(Projects[Est Service Commissioning],308)))</f>
        <v/>
      </c>
      <c r="CP309" s="5">
        <f>IF(A309="","",N(INDEX(Projects[Est Controls Eng],308)))</f>
        <v/>
      </c>
      <c r="CQ309" s="5">
        <f>IF(A309="","",N(INDEX(Projects[Est Controls Purchase],308)))</f>
        <v/>
      </c>
      <c r="CR309" s="5">
        <f>IF(A309="","",N(INDEX(Projects[Est Software Eng],308)))</f>
        <v/>
      </c>
      <c r="CS309" s="5">
        <f>IF(A309="","",N(INDEX(Projects[Est Misc],308)))</f>
        <v/>
      </c>
      <c r="CT309" s="5">
        <f>IF(A309="","",SUM(CF309:CS309))</f>
        <v/>
      </c>
      <c r="CU309" s="5">
        <f>INDEX(Projects[Est Cost (M)],308)</f>
        <v/>
      </c>
      <c r="CV309" s="5">
        <f>INDEX(Projects[Act Cost (M)],308)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IF(A310="","",N(INDEX(Projects[Act Mech Inst],309)))</f>
        <v/>
      </c>
      <c r="BK310" s="5">
        <f>IF(A310="","",N(INDEX(Projects[Act Elec Inst],309)))</f>
        <v/>
      </c>
      <c r="BL310" s="5">
        <f>IF(A310="","",N(INDEX(Projects[Act Project Management],309)))</f>
        <v/>
      </c>
      <c r="BM310" s="5">
        <f>IF(A310="","",N(INDEX(Projects[Act Systems Eng],309)))</f>
        <v/>
      </c>
      <c r="BN310" s="5">
        <f>IF(A310="","",N(INDEX(Projects[Act Mechanical Eng],309)))</f>
        <v/>
      </c>
      <c r="BO310" s="5">
        <f>IF(A310="","",N(INDEX(Projects[Act Structural Engineering],309)))</f>
        <v/>
      </c>
      <c r="BP310" s="5">
        <f>IF(A310="","",N(INDEX(Projects[Act Site Sup],309)))</f>
        <v/>
      </c>
      <c r="BQ310" s="5">
        <f>IF(A310="","",N(INDEX(Projects[Act Controls Commissioning],309)))</f>
        <v/>
      </c>
      <c r="BR310" s="5">
        <f>IF(A310="","",N(INDEX(Projects[Act Systems Commissioning],309)))</f>
        <v/>
      </c>
      <c r="BS310" s="5">
        <f>IF(A310="","",N(INDEX(Projects[Act Service Commissioning],309)))</f>
        <v/>
      </c>
      <c r="BT310" s="5">
        <f>IF(A310="","",N(INDEX(Projects[Act Controls Eng],309)))</f>
        <v/>
      </c>
      <c r="BU310" s="5">
        <f>IF(A310="","",N(INDEX(Projects[Act Controls Purchase],309)))</f>
        <v/>
      </c>
      <c r="BV310" s="5">
        <f>IF(A310="","",N(INDEX(Projects[Act Software Eng],309)))</f>
        <v/>
      </c>
      <c r="BW310" s="5">
        <f>IF(A310="","",N(INDEX(Projects[Act 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  <c r="CE310" s="5">
        <f>INDEX(Projects[Act Data Status],309)&amp;""</f>
        <v/>
      </c>
      <c r="CF310" s="5">
        <f>IF(A310="","",N(INDEX(Projects[Est Mech Inst],309)))</f>
        <v/>
      </c>
      <c r="CG310" s="5">
        <f>IF(A310="","",N(INDEX(Projects[Est Elec Inst],309)))</f>
        <v/>
      </c>
      <c r="CH310" s="5">
        <f>IF(A310="","",N(INDEX(Projects[Est Project Management],309)))</f>
        <v/>
      </c>
      <c r="CI310" s="5">
        <f>IF(A310="","",N(INDEX(Projects[Est Systems Eng],309)))</f>
        <v/>
      </c>
      <c r="CJ310" s="5">
        <f>IF(A310="","",N(INDEX(Projects[Est Mechanical Eng],309)))</f>
        <v/>
      </c>
      <c r="CK310" s="5">
        <f>IF(A310="","",N(INDEX(Projects[Est Structural Engineering],309)))</f>
        <v/>
      </c>
      <c r="CL310" s="5">
        <f>IF(A310="","",N(INDEX(Projects[Est Site Sup],309)))</f>
        <v/>
      </c>
      <c r="CM310" s="5">
        <f>IF(A310="","",N(INDEX(Projects[Est Controls Commissioning],309)))</f>
        <v/>
      </c>
      <c r="CN310" s="5">
        <f>IF(A310="","",N(INDEX(Projects[Est Systems Commissioning],309)))</f>
        <v/>
      </c>
      <c r="CO310" s="5">
        <f>IF(A310="","",N(INDEX(Projects[Est Service Commissioning],309)))</f>
        <v/>
      </c>
      <c r="CP310" s="5">
        <f>IF(A310="","",N(INDEX(Projects[Est Controls Eng],309)))</f>
        <v/>
      </c>
      <c r="CQ310" s="5">
        <f>IF(A310="","",N(INDEX(Projects[Est Controls Purchase],309)))</f>
        <v/>
      </c>
      <c r="CR310" s="5">
        <f>IF(A310="","",N(INDEX(Projects[Est Software Eng],309)))</f>
        <v/>
      </c>
      <c r="CS310" s="5">
        <f>IF(A310="","",N(INDEX(Projects[Est Misc],309)))</f>
        <v/>
      </c>
      <c r="CT310" s="5">
        <f>IF(A310="","",SUM(CF310:CS310))</f>
        <v/>
      </c>
      <c r="CU310" s="5">
        <f>INDEX(Projects[Est Cost (M)],309)</f>
        <v/>
      </c>
      <c r="CV310" s="5">
        <f>INDEX(Projects[Act Cost (M)],309)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IF(A311="","",N(INDEX(Projects[Act Mech Inst],310)))</f>
        <v/>
      </c>
      <c r="BK311" s="5">
        <f>IF(A311="","",N(INDEX(Projects[Act Elec Inst],310)))</f>
        <v/>
      </c>
      <c r="BL311" s="5">
        <f>IF(A311="","",N(INDEX(Projects[Act Project Management],310)))</f>
        <v/>
      </c>
      <c r="BM311" s="5">
        <f>IF(A311="","",N(INDEX(Projects[Act Systems Eng],310)))</f>
        <v/>
      </c>
      <c r="BN311" s="5">
        <f>IF(A311="","",N(INDEX(Projects[Act Mechanical Eng],310)))</f>
        <v/>
      </c>
      <c r="BO311" s="5">
        <f>IF(A311="","",N(INDEX(Projects[Act Structural Engineering],310)))</f>
        <v/>
      </c>
      <c r="BP311" s="5">
        <f>IF(A311="","",N(INDEX(Projects[Act Site Sup],310)))</f>
        <v/>
      </c>
      <c r="BQ311" s="5">
        <f>IF(A311="","",N(INDEX(Projects[Act Controls Commissioning],310)))</f>
        <v/>
      </c>
      <c r="BR311" s="5">
        <f>IF(A311="","",N(INDEX(Projects[Act Systems Commissioning],310)))</f>
        <v/>
      </c>
      <c r="BS311" s="5">
        <f>IF(A311="","",N(INDEX(Projects[Act Service Commissioning],310)))</f>
        <v/>
      </c>
      <c r="BT311" s="5">
        <f>IF(A311="","",N(INDEX(Projects[Act Controls Eng],310)))</f>
        <v/>
      </c>
      <c r="BU311" s="5">
        <f>IF(A311="","",N(INDEX(Projects[Act Controls Purchase],310)))</f>
        <v/>
      </c>
      <c r="BV311" s="5">
        <f>IF(A311="","",N(INDEX(Projects[Act Software Eng],310)))</f>
        <v/>
      </c>
      <c r="BW311" s="5">
        <f>IF(A311="","",N(INDEX(Projects[Act 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  <c r="CE311" s="5">
        <f>INDEX(Projects[Act Data Status],310)&amp;""</f>
        <v/>
      </c>
      <c r="CF311" s="5">
        <f>IF(A311="","",N(INDEX(Projects[Est Mech Inst],310)))</f>
        <v/>
      </c>
      <c r="CG311" s="5">
        <f>IF(A311="","",N(INDEX(Projects[Est Elec Inst],310)))</f>
        <v/>
      </c>
      <c r="CH311" s="5">
        <f>IF(A311="","",N(INDEX(Projects[Est Project Management],310)))</f>
        <v/>
      </c>
      <c r="CI311" s="5">
        <f>IF(A311="","",N(INDEX(Projects[Est Systems Eng],310)))</f>
        <v/>
      </c>
      <c r="CJ311" s="5">
        <f>IF(A311="","",N(INDEX(Projects[Est Mechanical Eng],310)))</f>
        <v/>
      </c>
      <c r="CK311" s="5">
        <f>IF(A311="","",N(INDEX(Projects[Est Structural Engineering],310)))</f>
        <v/>
      </c>
      <c r="CL311" s="5">
        <f>IF(A311="","",N(INDEX(Projects[Est Site Sup],310)))</f>
        <v/>
      </c>
      <c r="CM311" s="5">
        <f>IF(A311="","",N(INDEX(Projects[Est Controls Commissioning],310)))</f>
        <v/>
      </c>
      <c r="CN311" s="5">
        <f>IF(A311="","",N(INDEX(Projects[Est Systems Commissioning],310)))</f>
        <v/>
      </c>
      <c r="CO311" s="5">
        <f>IF(A311="","",N(INDEX(Projects[Est Service Commissioning],310)))</f>
        <v/>
      </c>
      <c r="CP311" s="5">
        <f>IF(A311="","",N(INDEX(Projects[Est Controls Eng],310)))</f>
        <v/>
      </c>
      <c r="CQ311" s="5">
        <f>IF(A311="","",N(INDEX(Projects[Est Controls Purchase],310)))</f>
        <v/>
      </c>
      <c r="CR311" s="5">
        <f>IF(A311="","",N(INDEX(Projects[Est Software Eng],310)))</f>
        <v/>
      </c>
      <c r="CS311" s="5">
        <f>IF(A311="","",N(INDEX(Projects[Est Misc],310)))</f>
        <v/>
      </c>
      <c r="CT311" s="5">
        <f>IF(A311="","",SUM(CF311:CS311))</f>
        <v/>
      </c>
      <c r="CU311" s="5">
        <f>INDEX(Projects[Est Cost (M)],310)</f>
        <v/>
      </c>
      <c r="CV311" s="5">
        <f>INDEX(Projects[Act Cost (M)],310)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IF(A312="","",N(INDEX(Projects[Act Mech Inst],311)))</f>
        <v/>
      </c>
      <c r="BK312" s="5">
        <f>IF(A312="","",N(INDEX(Projects[Act Elec Inst],311)))</f>
        <v/>
      </c>
      <c r="BL312" s="5">
        <f>IF(A312="","",N(INDEX(Projects[Act Project Management],311)))</f>
        <v/>
      </c>
      <c r="BM312" s="5">
        <f>IF(A312="","",N(INDEX(Projects[Act Systems Eng],311)))</f>
        <v/>
      </c>
      <c r="BN312" s="5">
        <f>IF(A312="","",N(INDEX(Projects[Act Mechanical Eng],311)))</f>
        <v/>
      </c>
      <c r="BO312" s="5">
        <f>IF(A312="","",N(INDEX(Projects[Act Structural Engineering],311)))</f>
        <v/>
      </c>
      <c r="BP312" s="5">
        <f>IF(A312="","",N(INDEX(Projects[Act Site Sup],311)))</f>
        <v/>
      </c>
      <c r="BQ312" s="5">
        <f>IF(A312="","",N(INDEX(Projects[Act Controls Commissioning],311)))</f>
        <v/>
      </c>
      <c r="BR312" s="5">
        <f>IF(A312="","",N(INDEX(Projects[Act Systems Commissioning],311)))</f>
        <v/>
      </c>
      <c r="BS312" s="5">
        <f>IF(A312="","",N(INDEX(Projects[Act Service Commissioning],311)))</f>
        <v/>
      </c>
      <c r="BT312" s="5">
        <f>IF(A312="","",N(INDEX(Projects[Act Controls Eng],311)))</f>
        <v/>
      </c>
      <c r="BU312" s="5">
        <f>IF(A312="","",N(INDEX(Projects[Act Controls Purchase],311)))</f>
        <v/>
      </c>
      <c r="BV312" s="5">
        <f>IF(A312="","",N(INDEX(Projects[Act Software Eng],311)))</f>
        <v/>
      </c>
      <c r="BW312" s="5">
        <f>IF(A312="","",N(INDEX(Projects[Act 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  <c r="CE312" s="5">
        <f>INDEX(Projects[Act Data Status],311)&amp;""</f>
        <v/>
      </c>
      <c r="CF312" s="5">
        <f>IF(A312="","",N(INDEX(Projects[Est Mech Inst],311)))</f>
        <v/>
      </c>
      <c r="CG312" s="5">
        <f>IF(A312="","",N(INDEX(Projects[Est Elec Inst],311)))</f>
        <v/>
      </c>
      <c r="CH312" s="5">
        <f>IF(A312="","",N(INDEX(Projects[Est Project Management],311)))</f>
        <v/>
      </c>
      <c r="CI312" s="5">
        <f>IF(A312="","",N(INDEX(Projects[Est Systems Eng],311)))</f>
        <v/>
      </c>
      <c r="CJ312" s="5">
        <f>IF(A312="","",N(INDEX(Projects[Est Mechanical Eng],311)))</f>
        <v/>
      </c>
      <c r="CK312" s="5">
        <f>IF(A312="","",N(INDEX(Projects[Est Structural Engineering],311)))</f>
        <v/>
      </c>
      <c r="CL312" s="5">
        <f>IF(A312="","",N(INDEX(Projects[Est Site Sup],311)))</f>
        <v/>
      </c>
      <c r="CM312" s="5">
        <f>IF(A312="","",N(INDEX(Projects[Est Controls Commissioning],311)))</f>
        <v/>
      </c>
      <c r="CN312" s="5">
        <f>IF(A312="","",N(INDEX(Projects[Est Systems Commissioning],311)))</f>
        <v/>
      </c>
      <c r="CO312" s="5">
        <f>IF(A312="","",N(INDEX(Projects[Est Service Commissioning],311)))</f>
        <v/>
      </c>
      <c r="CP312" s="5">
        <f>IF(A312="","",N(INDEX(Projects[Est Controls Eng],311)))</f>
        <v/>
      </c>
      <c r="CQ312" s="5">
        <f>IF(A312="","",N(INDEX(Projects[Est Controls Purchase],311)))</f>
        <v/>
      </c>
      <c r="CR312" s="5">
        <f>IF(A312="","",N(INDEX(Projects[Est Software Eng],311)))</f>
        <v/>
      </c>
      <c r="CS312" s="5">
        <f>IF(A312="","",N(INDEX(Projects[Est Misc],311)))</f>
        <v/>
      </c>
      <c r="CT312" s="5">
        <f>IF(A312="","",SUM(CF312:CS312))</f>
        <v/>
      </c>
      <c r="CU312" s="5">
        <f>INDEX(Projects[Est Cost (M)],311)</f>
        <v/>
      </c>
      <c r="CV312" s="5">
        <f>INDEX(Projects[Act Cost (M)],311)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IF(A313="","",N(INDEX(Projects[Act Mech Inst],312)))</f>
        <v/>
      </c>
      <c r="BK313" s="5">
        <f>IF(A313="","",N(INDEX(Projects[Act Elec Inst],312)))</f>
        <v/>
      </c>
      <c r="BL313" s="5">
        <f>IF(A313="","",N(INDEX(Projects[Act Project Management],312)))</f>
        <v/>
      </c>
      <c r="BM313" s="5">
        <f>IF(A313="","",N(INDEX(Projects[Act Systems Eng],312)))</f>
        <v/>
      </c>
      <c r="BN313" s="5">
        <f>IF(A313="","",N(INDEX(Projects[Act Mechanical Eng],312)))</f>
        <v/>
      </c>
      <c r="BO313" s="5">
        <f>IF(A313="","",N(INDEX(Projects[Act Structural Engineering],312)))</f>
        <v/>
      </c>
      <c r="BP313" s="5">
        <f>IF(A313="","",N(INDEX(Projects[Act Site Sup],312)))</f>
        <v/>
      </c>
      <c r="BQ313" s="5">
        <f>IF(A313="","",N(INDEX(Projects[Act Controls Commissioning],312)))</f>
        <v/>
      </c>
      <c r="BR313" s="5">
        <f>IF(A313="","",N(INDEX(Projects[Act Systems Commissioning],312)))</f>
        <v/>
      </c>
      <c r="BS313" s="5">
        <f>IF(A313="","",N(INDEX(Projects[Act Service Commissioning],312)))</f>
        <v/>
      </c>
      <c r="BT313" s="5">
        <f>IF(A313="","",N(INDEX(Projects[Act Controls Eng],312)))</f>
        <v/>
      </c>
      <c r="BU313" s="5">
        <f>IF(A313="","",N(INDEX(Projects[Act Controls Purchase],312)))</f>
        <v/>
      </c>
      <c r="BV313" s="5">
        <f>IF(A313="","",N(INDEX(Projects[Act Software Eng],312)))</f>
        <v/>
      </c>
      <c r="BW313" s="5">
        <f>IF(A313="","",N(INDEX(Projects[Act 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  <c r="CE313" s="5">
        <f>INDEX(Projects[Act Data Status],312)&amp;""</f>
        <v/>
      </c>
      <c r="CF313" s="5">
        <f>IF(A313="","",N(INDEX(Projects[Est Mech Inst],312)))</f>
        <v/>
      </c>
      <c r="CG313" s="5">
        <f>IF(A313="","",N(INDEX(Projects[Est Elec Inst],312)))</f>
        <v/>
      </c>
      <c r="CH313" s="5">
        <f>IF(A313="","",N(INDEX(Projects[Est Project Management],312)))</f>
        <v/>
      </c>
      <c r="CI313" s="5">
        <f>IF(A313="","",N(INDEX(Projects[Est Systems Eng],312)))</f>
        <v/>
      </c>
      <c r="CJ313" s="5">
        <f>IF(A313="","",N(INDEX(Projects[Est Mechanical Eng],312)))</f>
        <v/>
      </c>
      <c r="CK313" s="5">
        <f>IF(A313="","",N(INDEX(Projects[Est Structural Engineering],312)))</f>
        <v/>
      </c>
      <c r="CL313" s="5">
        <f>IF(A313="","",N(INDEX(Projects[Est Site Sup],312)))</f>
        <v/>
      </c>
      <c r="CM313" s="5">
        <f>IF(A313="","",N(INDEX(Projects[Est Controls Commissioning],312)))</f>
        <v/>
      </c>
      <c r="CN313" s="5">
        <f>IF(A313="","",N(INDEX(Projects[Est Systems Commissioning],312)))</f>
        <v/>
      </c>
      <c r="CO313" s="5">
        <f>IF(A313="","",N(INDEX(Projects[Est Service Commissioning],312)))</f>
        <v/>
      </c>
      <c r="CP313" s="5">
        <f>IF(A313="","",N(INDEX(Projects[Est Controls Eng],312)))</f>
        <v/>
      </c>
      <c r="CQ313" s="5">
        <f>IF(A313="","",N(INDEX(Projects[Est Controls Purchase],312)))</f>
        <v/>
      </c>
      <c r="CR313" s="5">
        <f>IF(A313="","",N(INDEX(Projects[Est Software Eng],312)))</f>
        <v/>
      </c>
      <c r="CS313" s="5">
        <f>IF(A313="","",N(INDEX(Projects[Est Misc],312)))</f>
        <v/>
      </c>
      <c r="CT313" s="5">
        <f>IF(A313="","",SUM(CF313:CS313))</f>
        <v/>
      </c>
      <c r="CU313" s="5">
        <f>INDEX(Projects[Est Cost (M)],312)</f>
        <v/>
      </c>
      <c r="CV313" s="5">
        <f>INDEX(Projects[Act Cost (M)],312)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IF(A314="","",N(INDEX(Projects[Act Mech Inst],313)))</f>
        <v/>
      </c>
      <c r="BK314" s="5">
        <f>IF(A314="","",N(INDEX(Projects[Act Elec Inst],313)))</f>
        <v/>
      </c>
      <c r="BL314" s="5">
        <f>IF(A314="","",N(INDEX(Projects[Act Project Management],313)))</f>
        <v/>
      </c>
      <c r="BM314" s="5">
        <f>IF(A314="","",N(INDEX(Projects[Act Systems Eng],313)))</f>
        <v/>
      </c>
      <c r="BN314" s="5">
        <f>IF(A314="","",N(INDEX(Projects[Act Mechanical Eng],313)))</f>
        <v/>
      </c>
      <c r="BO314" s="5">
        <f>IF(A314="","",N(INDEX(Projects[Act Structural Engineering],313)))</f>
        <v/>
      </c>
      <c r="BP314" s="5">
        <f>IF(A314="","",N(INDEX(Projects[Act Site Sup],313)))</f>
        <v/>
      </c>
      <c r="BQ314" s="5">
        <f>IF(A314="","",N(INDEX(Projects[Act Controls Commissioning],313)))</f>
        <v/>
      </c>
      <c r="BR314" s="5">
        <f>IF(A314="","",N(INDEX(Projects[Act Systems Commissioning],313)))</f>
        <v/>
      </c>
      <c r="BS314" s="5">
        <f>IF(A314="","",N(INDEX(Projects[Act Service Commissioning],313)))</f>
        <v/>
      </c>
      <c r="BT314" s="5">
        <f>IF(A314="","",N(INDEX(Projects[Act Controls Eng],313)))</f>
        <v/>
      </c>
      <c r="BU314" s="5">
        <f>IF(A314="","",N(INDEX(Projects[Act Controls Purchase],313)))</f>
        <v/>
      </c>
      <c r="BV314" s="5">
        <f>IF(A314="","",N(INDEX(Projects[Act Software Eng],313)))</f>
        <v/>
      </c>
      <c r="BW314" s="5">
        <f>IF(A314="","",N(INDEX(Projects[Act 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  <c r="CE314" s="5">
        <f>INDEX(Projects[Act Data Status],313)&amp;""</f>
        <v/>
      </c>
      <c r="CF314" s="5">
        <f>IF(A314="","",N(INDEX(Projects[Est Mech Inst],313)))</f>
        <v/>
      </c>
      <c r="CG314" s="5">
        <f>IF(A314="","",N(INDEX(Projects[Est Elec Inst],313)))</f>
        <v/>
      </c>
      <c r="CH314" s="5">
        <f>IF(A314="","",N(INDEX(Projects[Est Project Management],313)))</f>
        <v/>
      </c>
      <c r="CI314" s="5">
        <f>IF(A314="","",N(INDEX(Projects[Est Systems Eng],313)))</f>
        <v/>
      </c>
      <c r="CJ314" s="5">
        <f>IF(A314="","",N(INDEX(Projects[Est Mechanical Eng],313)))</f>
        <v/>
      </c>
      <c r="CK314" s="5">
        <f>IF(A314="","",N(INDEX(Projects[Est Structural Engineering],313)))</f>
        <v/>
      </c>
      <c r="CL314" s="5">
        <f>IF(A314="","",N(INDEX(Projects[Est Site Sup],313)))</f>
        <v/>
      </c>
      <c r="CM314" s="5">
        <f>IF(A314="","",N(INDEX(Projects[Est Controls Commissioning],313)))</f>
        <v/>
      </c>
      <c r="CN314" s="5">
        <f>IF(A314="","",N(INDEX(Projects[Est Systems Commissioning],313)))</f>
        <v/>
      </c>
      <c r="CO314" s="5">
        <f>IF(A314="","",N(INDEX(Projects[Est Service Commissioning],313)))</f>
        <v/>
      </c>
      <c r="CP314" s="5">
        <f>IF(A314="","",N(INDEX(Projects[Est Controls Eng],313)))</f>
        <v/>
      </c>
      <c r="CQ314" s="5">
        <f>IF(A314="","",N(INDEX(Projects[Est Controls Purchase],313)))</f>
        <v/>
      </c>
      <c r="CR314" s="5">
        <f>IF(A314="","",N(INDEX(Projects[Est Software Eng],313)))</f>
        <v/>
      </c>
      <c r="CS314" s="5">
        <f>IF(A314="","",N(INDEX(Projects[Est Misc],313)))</f>
        <v/>
      </c>
      <c r="CT314" s="5">
        <f>IF(A314="","",SUM(CF314:CS314))</f>
        <v/>
      </c>
      <c r="CU314" s="5">
        <f>INDEX(Projects[Est Cost (M)],313)</f>
        <v/>
      </c>
      <c r="CV314" s="5">
        <f>INDEX(Projects[Act Cost (M)],313)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IF(A315="","",N(INDEX(Projects[Act Mech Inst],314)))</f>
        <v/>
      </c>
      <c r="BK315" s="5">
        <f>IF(A315="","",N(INDEX(Projects[Act Elec Inst],314)))</f>
        <v/>
      </c>
      <c r="BL315" s="5">
        <f>IF(A315="","",N(INDEX(Projects[Act Project Management],314)))</f>
        <v/>
      </c>
      <c r="BM315" s="5">
        <f>IF(A315="","",N(INDEX(Projects[Act Systems Eng],314)))</f>
        <v/>
      </c>
      <c r="BN315" s="5">
        <f>IF(A315="","",N(INDEX(Projects[Act Mechanical Eng],314)))</f>
        <v/>
      </c>
      <c r="BO315" s="5">
        <f>IF(A315="","",N(INDEX(Projects[Act Structural Engineering],314)))</f>
        <v/>
      </c>
      <c r="BP315" s="5">
        <f>IF(A315="","",N(INDEX(Projects[Act Site Sup],314)))</f>
        <v/>
      </c>
      <c r="BQ315" s="5">
        <f>IF(A315="","",N(INDEX(Projects[Act Controls Commissioning],314)))</f>
        <v/>
      </c>
      <c r="BR315" s="5">
        <f>IF(A315="","",N(INDEX(Projects[Act Systems Commissioning],314)))</f>
        <v/>
      </c>
      <c r="BS315" s="5">
        <f>IF(A315="","",N(INDEX(Projects[Act Service Commissioning],314)))</f>
        <v/>
      </c>
      <c r="BT315" s="5">
        <f>IF(A315="","",N(INDEX(Projects[Act Controls Eng],314)))</f>
        <v/>
      </c>
      <c r="BU315" s="5">
        <f>IF(A315="","",N(INDEX(Projects[Act Controls Purchase],314)))</f>
        <v/>
      </c>
      <c r="BV315" s="5">
        <f>IF(A315="","",N(INDEX(Projects[Act Software Eng],314)))</f>
        <v/>
      </c>
      <c r="BW315" s="5">
        <f>IF(A315="","",N(INDEX(Projects[Act 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  <c r="CE315" s="5">
        <f>INDEX(Projects[Act Data Status],314)&amp;""</f>
        <v/>
      </c>
      <c r="CF315" s="5">
        <f>IF(A315="","",N(INDEX(Projects[Est Mech Inst],314)))</f>
        <v/>
      </c>
      <c r="CG315" s="5">
        <f>IF(A315="","",N(INDEX(Projects[Est Elec Inst],314)))</f>
        <v/>
      </c>
      <c r="CH315" s="5">
        <f>IF(A315="","",N(INDEX(Projects[Est Project Management],314)))</f>
        <v/>
      </c>
      <c r="CI315" s="5">
        <f>IF(A315="","",N(INDEX(Projects[Est Systems Eng],314)))</f>
        <v/>
      </c>
      <c r="CJ315" s="5">
        <f>IF(A315="","",N(INDEX(Projects[Est Mechanical Eng],314)))</f>
        <v/>
      </c>
      <c r="CK315" s="5">
        <f>IF(A315="","",N(INDEX(Projects[Est Structural Engineering],314)))</f>
        <v/>
      </c>
      <c r="CL315" s="5">
        <f>IF(A315="","",N(INDEX(Projects[Est Site Sup],314)))</f>
        <v/>
      </c>
      <c r="CM315" s="5">
        <f>IF(A315="","",N(INDEX(Projects[Est Controls Commissioning],314)))</f>
        <v/>
      </c>
      <c r="CN315" s="5">
        <f>IF(A315="","",N(INDEX(Projects[Est Systems Commissioning],314)))</f>
        <v/>
      </c>
      <c r="CO315" s="5">
        <f>IF(A315="","",N(INDEX(Projects[Est Service Commissioning],314)))</f>
        <v/>
      </c>
      <c r="CP315" s="5">
        <f>IF(A315="","",N(INDEX(Projects[Est Controls Eng],314)))</f>
        <v/>
      </c>
      <c r="CQ315" s="5">
        <f>IF(A315="","",N(INDEX(Projects[Est Controls Purchase],314)))</f>
        <v/>
      </c>
      <c r="CR315" s="5">
        <f>IF(A315="","",N(INDEX(Projects[Est Software Eng],314)))</f>
        <v/>
      </c>
      <c r="CS315" s="5">
        <f>IF(A315="","",N(INDEX(Projects[Est Misc],314)))</f>
        <v/>
      </c>
      <c r="CT315" s="5">
        <f>IF(A315="","",SUM(CF315:CS315))</f>
        <v/>
      </c>
      <c r="CU315" s="5">
        <f>INDEX(Projects[Est Cost (M)],314)</f>
        <v/>
      </c>
      <c r="CV315" s="5">
        <f>INDEX(Projects[Act Cost (M)],314)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IF(A316="","",N(INDEX(Projects[Act Mech Inst],315)))</f>
        <v/>
      </c>
      <c r="BK316" s="5">
        <f>IF(A316="","",N(INDEX(Projects[Act Elec Inst],315)))</f>
        <v/>
      </c>
      <c r="BL316" s="5">
        <f>IF(A316="","",N(INDEX(Projects[Act Project Management],315)))</f>
        <v/>
      </c>
      <c r="BM316" s="5">
        <f>IF(A316="","",N(INDEX(Projects[Act Systems Eng],315)))</f>
        <v/>
      </c>
      <c r="BN316" s="5">
        <f>IF(A316="","",N(INDEX(Projects[Act Mechanical Eng],315)))</f>
        <v/>
      </c>
      <c r="BO316" s="5">
        <f>IF(A316="","",N(INDEX(Projects[Act Structural Engineering],315)))</f>
        <v/>
      </c>
      <c r="BP316" s="5">
        <f>IF(A316="","",N(INDEX(Projects[Act Site Sup],315)))</f>
        <v/>
      </c>
      <c r="BQ316" s="5">
        <f>IF(A316="","",N(INDEX(Projects[Act Controls Commissioning],315)))</f>
        <v/>
      </c>
      <c r="BR316" s="5">
        <f>IF(A316="","",N(INDEX(Projects[Act Systems Commissioning],315)))</f>
        <v/>
      </c>
      <c r="BS316" s="5">
        <f>IF(A316="","",N(INDEX(Projects[Act Service Commissioning],315)))</f>
        <v/>
      </c>
      <c r="BT316" s="5">
        <f>IF(A316="","",N(INDEX(Projects[Act Controls Eng],315)))</f>
        <v/>
      </c>
      <c r="BU316" s="5">
        <f>IF(A316="","",N(INDEX(Projects[Act Controls Purchase],315)))</f>
        <v/>
      </c>
      <c r="BV316" s="5">
        <f>IF(A316="","",N(INDEX(Projects[Act Software Eng],315)))</f>
        <v/>
      </c>
      <c r="BW316" s="5">
        <f>IF(A316="","",N(INDEX(Projects[Act 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  <c r="CE316" s="5">
        <f>INDEX(Projects[Act Data Status],315)&amp;""</f>
        <v/>
      </c>
      <c r="CF316" s="5">
        <f>IF(A316="","",N(INDEX(Projects[Est Mech Inst],315)))</f>
        <v/>
      </c>
      <c r="CG316" s="5">
        <f>IF(A316="","",N(INDEX(Projects[Est Elec Inst],315)))</f>
        <v/>
      </c>
      <c r="CH316" s="5">
        <f>IF(A316="","",N(INDEX(Projects[Est Project Management],315)))</f>
        <v/>
      </c>
      <c r="CI316" s="5">
        <f>IF(A316="","",N(INDEX(Projects[Est Systems Eng],315)))</f>
        <v/>
      </c>
      <c r="CJ316" s="5">
        <f>IF(A316="","",N(INDEX(Projects[Est Mechanical Eng],315)))</f>
        <v/>
      </c>
      <c r="CK316" s="5">
        <f>IF(A316="","",N(INDEX(Projects[Est Structural Engineering],315)))</f>
        <v/>
      </c>
      <c r="CL316" s="5">
        <f>IF(A316="","",N(INDEX(Projects[Est Site Sup],315)))</f>
        <v/>
      </c>
      <c r="CM316" s="5">
        <f>IF(A316="","",N(INDEX(Projects[Est Controls Commissioning],315)))</f>
        <v/>
      </c>
      <c r="CN316" s="5">
        <f>IF(A316="","",N(INDEX(Projects[Est Systems Commissioning],315)))</f>
        <v/>
      </c>
      <c r="CO316" s="5">
        <f>IF(A316="","",N(INDEX(Projects[Est Service Commissioning],315)))</f>
        <v/>
      </c>
      <c r="CP316" s="5">
        <f>IF(A316="","",N(INDEX(Projects[Est Controls Eng],315)))</f>
        <v/>
      </c>
      <c r="CQ316" s="5">
        <f>IF(A316="","",N(INDEX(Projects[Est Controls Purchase],315)))</f>
        <v/>
      </c>
      <c r="CR316" s="5">
        <f>IF(A316="","",N(INDEX(Projects[Est Software Eng],315)))</f>
        <v/>
      </c>
      <c r="CS316" s="5">
        <f>IF(A316="","",N(INDEX(Projects[Est Misc],315)))</f>
        <v/>
      </c>
      <c r="CT316" s="5">
        <f>IF(A316="","",SUM(CF316:CS316))</f>
        <v/>
      </c>
      <c r="CU316" s="5">
        <f>INDEX(Projects[Est Cost (M)],315)</f>
        <v/>
      </c>
      <c r="CV316" s="5">
        <f>INDEX(Projects[Act Cost (M)],315)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IF(A317="","",N(INDEX(Projects[Act Mech Inst],316)))</f>
        <v/>
      </c>
      <c r="BK317" s="5">
        <f>IF(A317="","",N(INDEX(Projects[Act Elec Inst],316)))</f>
        <v/>
      </c>
      <c r="BL317" s="5">
        <f>IF(A317="","",N(INDEX(Projects[Act Project Management],316)))</f>
        <v/>
      </c>
      <c r="BM317" s="5">
        <f>IF(A317="","",N(INDEX(Projects[Act Systems Eng],316)))</f>
        <v/>
      </c>
      <c r="BN317" s="5">
        <f>IF(A317="","",N(INDEX(Projects[Act Mechanical Eng],316)))</f>
        <v/>
      </c>
      <c r="BO317" s="5">
        <f>IF(A317="","",N(INDEX(Projects[Act Structural Engineering],316)))</f>
        <v/>
      </c>
      <c r="BP317" s="5">
        <f>IF(A317="","",N(INDEX(Projects[Act Site Sup],316)))</f>
        <v/>
      </c>
      <c r="BQ317" s="5">
        <f>IF(A317="","",N(INDEX(Projects[Act Controls Commissioning],316)))</f>
        <v/>
      </c>
      <c r="BR317" s="5">
        <f>IF(A317="","",N(INDEX(Projects[Act Systems Commissioning],316)))</f>
        <v/>
      </c>
      <c r="BS317" s="5">
        <f>IF(A317="","",N(INDEX(Projects[Act Service Commissioning],316)))</f>
        <v/>
      </c>
      <c r="BT317" s="5">
        <f>IF(A317="","",N(INDEX(Projects[Act Controls Eng],316)))</f>
        <v/>
      </c>
      <c r="BU317" s="5">
        <f>IF(A317="","",N(INDEX(Projects[Act Controls Purchase],316)))</f>
        <v/>
      </c>
      <c r="BV317" s="5">
        <f>IF(A317="","",N(INDEX(Projects[Act Software Eng],316)))</f>
        <v/>
      </c>
      <c r="BW317" s="5">
        <f>IF(A317="","",N(INDEX(Projects[Act 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  <c r="CE317" s="5">
        <f>INDEX(Projects[Act Data Status],316)&amp;""</f>
        <v/>
      </c>
      <c r="CF317" s="5">
        <f>IF(A317="","",N(INDEX(Projects[Est Mech Inst],316)))</f>
        <v/>
      </c>
      <c r="CG317" s="5">
        <f>IF(A317="","",N(INDEX(Projects[Est Elec Inst],316)))</f>
        <v/>
      </c>
      <c r="CH317" s="5">
        <f>IF(A317="","",N(INDEX(Projects[Est Project Management],316)))</f>
        <v/>
      </c>
      <c r="CI317" s="5">
        <f>IF(A317="","",N(INDEX(Projects[Est Systems Eng],316)))</f>
        <v/>
      </c>
      <c r="CJ317" s="5">
        <f>IF(A317="","",N(INDEX(Projects[Est Mechanical Eng],316)))</f>
        <v/>
      </c>
      <c r="CK317" s="5">
        <f>IF(A317="","",N(INDEX(Projects[Est Structural Engineering],316)))</f>
        <v/>
      </c>
      <c r="CL317" s="5">
        <f>IF(A317="","",N(INDEX(Projects[Est Site Sup],316)))</f>
        <v/>
      </c>
      <c r="CM317" s="5">
        <f>IF(A317="","",N(INDEX(Projects[Est Controls Commissioning],316)))</f>
        <v/>
      </c>
      <c r="CN317" s="5">
        <f>IF(A317="","",N(INDEX(Projects[Est Systems Commissioning],316)))</f>
        <v/>
      </c>
      <c r="CO317" s="5">
        <f>IF(A317="","",N(INDEX(Projects[Est Service Commissioning],316)))</f>
        <v/>
      </c>
      <c r="CP317" s="5">
        <f>IF(A317="","",N(INDEX(Projects[Est Controls Eng],316)))</f>
        <v/>
      </c>
      <c r="CQ317" s="5">
        <f>IF(A317="","",N(INDEX(Projects[Est Controls Purchase],316)))</f>
        <v/>
      </c>
      <c r="CR317" s="5">
        <f>IF(A317="","",N(INDEX(Projects[Est Software Eng],316)))</f>
        <v/>
      </c>
      <c r="CS317" s="5">
        <f>IF(A317="","",N(INDEX(Projects[Est Misc],316)))</f>
        <v/>
      </c>
      <c r="CT317" s="5">
        <f>IF(A317="","",SUM(CF317:CS317))</f>
        <v/>
      </c>
      <c r="CU317" s="5">
        <f>INDEX(Projects[Est Cost (M)],316)</f>
        <v/>
      </c>
      <c r="CV317" s="5">
        <f>INDEX(Projects[Act Cost (M)],316)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IF(A318="","",N(INDEX(Projects[Act Mech Inst],317)))</f>
        <v/>
      </c>
      <c r="BK318" s="5">
        <f>IF(A318="","",N(INDEX(Projects[Act Elec Inst],317)))</f>
        <v/>
      </c>
      <c r="BL318" s="5">
        <f>IF(A318="","",N(INDEX(Projects[Act Project Management],317)))</f>
        <v/>
      </c>
      <c r="BM318" s="5">
        <f>IF(A318="","",N(INDEX(Projects[Act Systems Eng],317)))</f>
        <v/>
      </c>
      <c r="BN318" s="5">
        <f>IF(A318="","",N(INDEX(Projects[Act Mechanical Eng],317)))</f>
        <v/>
      </c>
      <c r="BO318" s="5">
        <f>IF(A318="","",N(INDEX(Projects[Act Structural Engineering],317)))</f>
        <v/>
      </c>
      <c r="BP318" s="5">
        <f>IF(A318="","",N(INDEX(Projects[Act Site Sup],317)))</f>
        <v/>
      </c>
      <c r="BQ318" s="5">
        <f>IF(A318="","",N(INDEX(Projects[Act Controls Commissioning],317)))</f>
        <v/>
      </c>
      <c r="BR318" s="5">
        <f>IF(A318="","",N(INDEX(Projects[Act Systems Commissioning],317)))</f>
        <v/>
      </c>
      <c r="BS318" s="5">
        <f>IF(A318="","",N(INDEX(Projects[Act Service Commissioning],317)))</f>
        <v/>
      </c>
      <c r="BT318" s="5">
        <f>IF(A318="","",N(INDEX(Projects[Act Controls Eng],317)))</f>
        <v/>
      </c>
      <c r="BU318" s="5">
        <f>IF(A318="","",N(INDEX(Projects[Act Controls Purchase],317)))</f>
        <v/>
      </c>
      <c r="BV318" s="5">
        <f>IF(A318="","",N(INDEX(Projects[Act Software Eng],317)))</f>
        <v/>
      </c>
      <c r="BW318" s="5">
        <f>IF(A318="","",N(INDEX(Projects[Act 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  <c r="CE318" s="5">
        <f>INDEX(Projects[Act Data Status],317)&amp;""</f>
        <v/>
      </c>
      <c r="CF318" s="5">
        <f>IF(A318="","",N(INDEX(Projects[Est Mech Inst],317)))</f>
        <v/>
      </c>
      <c r="CG318" s="5">
        <f>IF(A318="","",N(INDEX(Projects[Est Elec Inst],317)))</f>
        <v/>
      </c>
      <c r="CH318" s="5">
        <f>IF(A318="","",N(INDEX(Projects[Est Project Management],317)))</f>
        <v/>
      </c>
      <c r="CI318" s="5">
        <f>IF(A318="","",N(INDEX(Projects[Est Systems Eng],317)))</f>
        <v/>
      </c>
      <c r="CJ318" s="5">
        <f>IF(A318="","",N(INDEX(Projects[Est Mechanical Eng],317)))</f>
        <v/>
      </c>
      <c r="CK318" s="5">
        <f>IF(A318="","",N(INDEX(Projects[Est Structural Engineering],317)))</f>
        <v/>
      </c>
      <c r="CL318" s="5">
        <f>IF(A318="","",N(INDEX(Projects[Est Site Sup],317)))</f>
        <v/>
      </c>
      <c r="CM318" s="5">
        <f>IF(A318="","",N(INDEX(Projects[Est Controls Commissioning],317)))</f>
        <v/>
      </c>
      <c r="CN318" s="5">
        <f>IF(A318="","",N(INDEX(Projects[Est Systems Commissioning],317)))</f>
        <v/>
      </c>
      <c r="CO318" s="5">
        <f>IF(A318="","",N(INDEX(Projects[Est Service Commissioning],317)))</f>
        <v/>
      </c>
      <c r="CP318" s="5">
        <f>IF(A318="","",N(INDEX(Projects[Est Controls Eng],317)))</f>
        <v/>
      </c>
      <c r="CQ318" s="5">
        <f>IF(A318="","",N(INDEX(Projects[Est Controls Purchase],317)))</f>
        <v/>
      </c>
      <c r="CR318" s="5">
        <f>IF(A318="","",N(INDEX(Projects[Est Software Eng],317)))</f>
        <v/>
      </c>
      <c r="CS318" s="5">
        <f>IF(A318="","",N(INDEX(Projects[Est Misc],317)))</f>
        <v/>
      </c>
      <c r="CT318" s="5">
        <f>IF(A318="","",SUM(CF318:CS318))</f>
        <v/>
      </c>
      <c r="CU318" s="5">
        <f>INDEX(Projects[Est Cost (M)],317)</f>
        <v/>
      </c>
      <c r="CV318" s="5">
        <f>INDEX(Projects[Act Cost (M)],317)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IF(A319="","",N(INDEX(Projects[Act Mech Inst],318)))</f>
        <v/>
      </c>
      <c r="BK319" s="5">
        <f>IF(A319="","",N(INDEX(Projects[Act Elec Inst],318)))</f>
        <v/>
      </c>
      <c r="BL319" s="5">
        <f>IF(A319="","",N(INDEX(Projects[Act Project Management],318)))</f>
        <v/>
      </c>
      <c r="BM319" s="5">
        <f>IF(A319="","",N(INDEX(Projects[Act Systems Eng],318)))</f>
        <v/>
      </c>
      <c r="BN319" s="5">
        <f>IF(A319="","",N(INDEX(Projects[Act Mechanical Eng],318)))</f>
        <v/>
      </c>
      <c r="BO319" s="5">
        <f>IF(A319="","",N(INDEX(Projects[Act Structural Engineering],318)))</f>
        <v/>
      </c>
      <c r="BP319" s="5">
        <f>IF(A319="","",N(INDEX(Projects[Act Site Sup],318)))</f>
        <v/>
      </c>
      <c r="BQ319" s="5">
        <f>IF(A319="","",N(INDEX(Projects[Act Controls Commissioning],318)))</f>
        <v/>
      </c>
      <c r="BR319" s="5">
        <f>IF(A319="","",N(INDEX(Projects[Act Systems Commissioning],318)))</f>
        <v/>
      </c>
      <c r="BS319" s="5">
        <f>IF(A319="","",N(INDEX(Projects[Act Service Commissioning],318)))</f>
        <v/>
      </c>
      <c r="BT319" s="5">
        <f>IF(A319="","",N(INDEX(Projects[Act Controls Eng],318)))</f>
        <v/>
      </c>
      <c r="BU319" s="5">
        <f>IF(A319="","",N(INDEX(Projects[Act Controls Purchase],318)))</f>
        <v/>
      </c>
      <c r="BV319" s="5">
        <f>IF(A319="","",N(INDEX(Projects[Act Software Eng],318)))</f>
        <v/>
      </c>
      <c r="BW319" s="5">
        <f>IF(A319="","",N(INDEX(Projects[Act 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  <c r="CE319" s="5">
        <f>INDEX(Projects[Act Data Status],318)&amp;""</f>
        <v/>
      </c>
      <c r="CF319" s="5">
        <f>IF(A319="","",N(INDEX(Projects[Est Mech Inst],318)))</f>
        <v/>
      </c>
      <c r="CG319" s="5">
        <f>IF(A319="","",N(INDEX(Projects[Est Elec Inst],318)))</f>
        <v/>
      </c>
      <c r="CH319" s="5">
        <f>IF(A319="","",N(INDEX(Projects[Est Project Management],318)))</f>
        <v/>
      </c>
      <c r="CI319" s="5">
        <f>IF(A319="","",N(INDEX(Projects[Est Systems Eng],318)))</f>
        <v/>
      </c>
      <c r="CJ319" s="5">
        <f>IF(A319="","",N(INDEX(Projects[Est Mechanical Eng],318)))</f>
        <v/>
      </c>
      <c r="CK319" s="5">
        <f>IF(A319="","",N(INDEX(Projects[Est Structural Engineering],318)))</f>
        <v/>
      </c>
      <c r="CL319" s="5">
        <f>IF(A319="","",N(INDEX(Projects[Est Site Sup],318)))</f>
        <v/>
      </c>
      <c r="CM319" s="5">
        <f>IF(A319="","",N(INDEX(Projects[Est Controls Commissioning],318)))</f>
        <v/>
      </c>
      <c r="CN319" s="5">
        <f>IF(A319="","",N(INDEX(Projects[Est Systems Commissioning],318)))</f>
        <v/>
      </c>
      <c r="CO319" s="5">
        <f>IF(A319="","",N(INDEX(Projects[Est Service Commissioning],318)))</f>
        <v/>
      </c>
      <c r="CP319" s="5">
        <f>IF(A319="","",N(INDEX(Projects[Est Controls Eng],318)))</f>
        <v/>
      </c>
      <c r="CQ319" s="5">
        <f>IF(A319="","",N(INDEX(Projects[Est Controls Purchase],318)))</f>
        <v/>
      </c>
      <c r="CR319" s="5">
        <f>IF(A319="","",N(INDEX(Projects[Est Software Eng],318)))</f>
        <v/>
      </c>
      <c r="CS319" s="5">
        <f>IF(A319="","",N(INDEX(Projects[Est Misc],318)))</f>
        <v/>
      </c>
      <c r="CT319" s="5">
        <f>IF(A319="","",SUM(CF319:CS319))</f>
        <v/>
      </c>
      <c r="CU319" s="5">
        <f>INDEX(Projects[Est Cost (M)],318)</f>
        <v/>
      </c>
      <c r="CV319" s="5">
        <f>INDEX(Projects[Act Cost (M)],318)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IF(A320="","",N(INDEX(Projects[Act Mech Inst],319)))</f>
        <v/>
      </c>
      <c r="BK320" s="5">
        <f>IF(A320="","",N(INDEX(Projects[Act Elec Inst],319)))</f>
        <v/>
      </c>
      <c r="BL320" s="5">
        <f>IF(A320="","",N(INDEX(Projects[Act Project Management],319)))</f>
        <v/>
      </c>
      <c r="BM320" s="5">
        <f>IF(A320="","",N(INDEX(Projects[Act Systems Eng],319)))</f>
        <v/>
      </c>
      <c r="BN320" s="5">
        <f>IF(A320="","",N(INDEX(Projects[Act Mechanical Eng],319)))</f>
        <v/>
      </c>
      <c r="BO320" s="5">
        <f>IF(A320="","",N(INDEX(Projects[Act Structural Engineering],319)))</f>
        <v/>
      </c>
      <c r="BP320" s="5">
        <f>IF(A320="","",N(INDEX(Projects[Act Site Sup],319)))</f>
        <v/>
      </c>
      <c r="BQ320" s="5">
        <f>IF(A320="","",N(INDEX(Projects[Act Controls Commissioning],319)))</f>
        <v/>
      </c>
      <c r="BR320" s="5">
        <f>IF(A320="","",N(INDEX(Projects[Act Systems Commissioning],319)))</f>
        <v/>
      </c>
      <c r="BS320" s="5">
        <f>IF(A320="","",N(INDEX(Projects[Act Service Commissioning],319)))</f>
        <v/>
      </c>
      <c r="BT320" s="5">
        <f>IF(A320="","",N(INDEX(Projects[Act Controls Eng],319)))</f>
        <v/>
      </c>
      <c r="BU320" s="5">
        <f>IF(A320="","",N(INDEX(Projects[Act Controls Purchase],319)))</f>
        <v/>
      </c>
      <c r="BV320" s="5">
        <f>IF(A320="","",N(INDEX(Projects[Act Software Eng],319)))</f>
        <v/>
      </c>
      <c r="BW320" s="5">
        <f>IF(A320="","",N(INDEX(Projects[Act 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  <c r="CE320" s="5">
        <f>INDEX(Projects[Act Data Status],319)&amp;""</f>
        <v/>
      </c>
      <c r="CF320" s="5">
        <f>IF(A320="","",N(INDEX(Projects[Est Mech Inst],319)))</f>
        <v/>
      </c>
      <c r="CG320" s="5">
        <f>IF(A320="","",N(INDEX(Projects[Est Elec Inst],319)))</f>
        <v/>
      </c>
      <c r="CH320" s="5">
        <f>IF(A320="","",N(INDEX(Projects[Est Project Management],319)))</f>
        <v/>
      </c>
      <c r="CI320" s="5">
        <f>IF(A320="","",N(INDEX(Projects[Est Systems Eng],319)))</f>
        <v/>
      </c>
      <c r="CJ320" s="5">
        <f>IF(A320="","",N(INDEX(Projects[Est Mechanical Eng],319)))</f>
        <v/>
      </c>
      <c r="CK320" s="5">
        <f>IF(A320="","",N(INDEX(Projects[Est Structural Engineering],319)))</f>
        <v/>
      </c>
      <c r="CL320" s="5">
        <f>IF(A320="","",N(INDEX(Projects[Est Site Sup],319)))</f>
        <v/>
      </c>
      <c r="CM320" s="5">
        <f>IF(A320="","",N(INDEX(Projects[Est Controls Commissioning],319)))</f>
        <v/>
      </c>
      <c r="CN320" s="5">
        <f>IF(A320="","",N(INDEX(Projects[Est Systems Commissioning],319)))</f>
        <v/>
      </c>
      <c r="CO320" s="5">
        <f>IF(A320="","",N(INDEX(Projects[Est Service Commissioning],319)))</f>
        <v/>
      </c>
      <c r="CP320" s="5">
        <f>IF(A320="","",N(INDEX(Projects[Est Controls Eng],319)))</f>
        <v/>
      </c>
      <c r="CQ320" s="5">
        <f>IF(A320="","",N(INDEX(Projects[Est Controls Purchase],319)))</f>
        <v/>
      </c>
      <c r="CR320" s="5">
        <f>IF(A320="","",N(INDEX(Projects[Est Software Eng],319)))</f>
        <v/>
      </c>
      <c r="CS320" s="5">
        <f>IF(A320="","",N(INDEX(Projects[Est Misc],319)))</f>
        <v/>
      </c>
      <c r="CT320" s="5">
        <f>IF(A320="","",SUM(CF320:CS320))</f>
        <v/>
      </c>
      <c r="CU320" s="5">
        <f>INDEX(Projects[Est Cost (M)],319)</f>
        <v/>
      </c>
      <c r="CV320" s="5">
        <f>INDEX(Projects[Act Cost (M)],319)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IF(A321="","",N(INDEX(Projects[Act Mech Inst],320)))</f>
        <v/>
      </c>
      <c r="BK321" s="5">
        <f>IF(A321="","",N(INDEX(Projects[Act Elec Inst],320)))</f>
        <v/>
      </c>
      <c r="BL321" s="5">
        <f>IF(A321="","",N(INDEX(Projects[Act Project Management],320)))</f>
        <v/>
      </c>
      <c r="BM321" s="5">
        <f>IF(A321="","",N(INDEX(Projects[Act Systems Eng],320)))</f>
        <v/>
      </c>
      <c r="BN321" s="5">
        <f>IF(A321="","",N(INDEX(Projects[Act Mechanical Eng],320)))</f>
        <v/>
      </c>
      <c r="BO321" s="5">
        <f>IF(A321="","",N(INDEX(Projects[Act Structural Engineering],320)))</f>
        <v/>
      </c>
      <c r="BP321" s="5">
        <f>IF(A321="","",N(INDEX(Projects[Act Site Sup],320)))</f>
        <v/>
      </c>
      <c r="BQ321" s="5">
        <f>IF(A321="","",N(INDEX(Projects[Act Controls Commissioning],320)))</f>
        <v/>
      </c>
      <c r="BR321" s="5">
        <f>IF(A321="","",N(INDEX(Projects[Act Systems Commissioning],320)))</f>
        <v/>
      </c>
      <c r="BS321" s="5">
        <f>IF(A321="","",N(INDEX(Projects[Act Service Commissioning],320)))</f>
        <v/>
      </c>
      <c r="BT321" s="5">
        <f>IF(A321="","",N(INDEX(Projects[Act Controls Eng],320)))</f>
        <v/>
      </c>
      <c r="BU321" s="5">
        <f>IF(A321="","",N(INDEX(Projects[Act Controls Purchase],320)))</f>
        <v/>
      </c>
      <c r="BV321" s="5">
        <f>IF(A321="","",N(INDEX(Projects[Act Software Eng],320)))</f>
        <v/>
      </c>
      <c r="BW321" s="5">
        <f>IF(A321="","",N(INDEX(Projects[Act 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  <c r="CE321" s="5">
        <f>INDEX(Projects[Act Data Status],320)&amp;""</f>
        <v/>
      </c>
      <c r="CF321" s="5">
        <f>IF(A321="","",N(INDEX(Projects[Est Mech Inst],320)))</f>
        <v/>
      </c>
      <c r="CG321" s="5">
        <f>IF(A321="","",N(INDEX(Projects[Est Elec Inst],320)))</f>
        <v/>
      </c>
      <c r="CH321" s="5">
        <f>IF(A321="","",N(INDEX(Projects[Est Project Management],320)))</f>
        <v/>
      </c>
      <c r="CI321" s="5">
        <f>IF(A321="","",N(INDEX(Projects[Est Systems Eng],320)))</f>
        <v/>
      </c>
      <c r="CJ321" s="5">
        <f>IF(A321="","",N(INDEX(Projects[Est Mechanical Eng],320)))</f>
        <v/>
      </c>
      <c r="CK321" s="5">
        <f>IF(A321="","",N(INDEX(Projects[Est Structural Engineering],320)))</f>
        <v/>
      </c>
      <c r="CL321" s="5">
        <f>IF(A321="","",N(INDEX(Projects[Est Site Sup],320)))</f>
        <v/>
      </c>
      <c r="CM321" s="5">
        <f>IF(A321="","",N(INDEX(Projects[Est Controls Commissioning],320)))</f>
        <v/>
      </c>
      <c r="CN321" s="5">
        <f>IF(A321="","",N(INDEX(Projects[Est Systems Commissioning],320)))</f>
        <v/>
      </c>
      <c r="CO321" s="5">
        <f>IF(A321="","",N(INDEX(Projects[Est Service Commissioning],320)))</f>
        <v/>
      </c>
      <c r="CP321" s="5">
        <f>IF(A321="","",N(INDEX(Projects[Est Controls Eng],320)))</f>
        <v/>
      </c>
      <c r="CQ321" s="5">
        <f>IF(A321="","",N(INDEX(Projects[Est Controls Purchase],320)))</f>
        <v/>
      </c>
      <c r="CR321" s="5">
        <f>IF(A321="","",N(INDEX(Projects[Est Software Eng],320)))</f>
        <v/>
      </c>
      <c r="CS321" s="5">
        <f>IF(A321="","",N(INDEX(Projects[Est Misc],320)))</f>
        <v/>
      </c>
      <c r="CT321" s="5">
        <f>IF(A321="","",SUM(CF321:CS321))</f>
        <v/>
      </c>
      <c r="CU321" s="5">
        <f>INDEX(Projects[Est Cost (M)],320)</f>
        <v/>
      </c>
      <c r="CV321" s="5">
        <f>INDEX(Projects[Act Cost (M)],320)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IF(A322="","",N(INDEX(Projects[Act Mech Inst],321)))</f>
        <v/>
      </c>
      <c r="BK322" s="5">
        <f>IF(A322="","",N(INDEX(Projects[Act Elec Inst],321)))</f>
        <v/>
      </c>
      <c r="BL322" s="5">
        <f>IF(A322="","",N(INDEX(Projects[Act Project Management],321)))</f>
        <v/>
      </c>
      <c r="BM322" s="5">
        <f>IF(A322="","",N(INDEX(Projects[Act Systems Eng],321)))</f>
        <v/>
      </c>
      <c r="BN322" s="5">
        <f>IF(A322="","",N(INDEX(Projects[Act Mechanical Eng],321)))</f>
        <v/>
      </c>
      <c r="BO322" s="5">
        <f>IF(A322="","",N(INDEX(Projects[Act Structural Engineering],321)))</f>
        <v/>
      </c>
      <c r="BP322" s="5">
        <f>IF(A322="","",N(INDEX(Projects[Act Site Sup],321)))</f>
        <v/>
      </c>
      <c r="BQ322" s="5">
        <f>IF(A322="","",N(INDEX(Projects[Act Controls Commissioning],321)))</f>
        <v/>
      </c>
      <c r="BR322" s="5">
        <f>IF(A322="","",N(INDEX(Projects[Act Systems Commissioning],321)))</f>
        <v/>
      </c>
      <c r="BS322" s="5">
        <f>IF(A322="","",N(INDEX(Projects[Act Service Commissioning],321)))</f>
        <v/>
      </c>
      <c r="BT322" s="5">
        <f>IF(A322="","",N(INDEX(Projects[Act Controls Eng],321)))</f>
        <v/>
      </c>
      <c r="BU322" s="5">
        <f>IF(A322="","",N(INDEX(Projects[Act Controls Purchase],321)))</f>
        <v/>
      </c>
      <c r="BV322" s="5">
        <f>IF(A322="","",N(INDEX(Projects[Act Software Eng],321)))</f>
        <v/>
      </c>
      <c r="BW322" s="5">
        <f>IF(A322="","",N(INDEX(Projects[Act 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  <c r="CE322" s="5">
        <f>INDEX(Projects[Act Data Status],321)&amp;""</f>
        <v/>
      </c>
      <c r="CF322" s="5">
        <f>IF(A322="","",N(INDEX(Projects[Est Mech Inst],321)))</f>
        <v/>
      </c>
      <c r="CG322" s="5">
        <f>IF(A322="","",N(INDEX(Projects[Est Elec Inst],321)))</f>
        <v/>
      </c>
      <c r="CH322" s="5">
        <f>IF(A322="","",N(INDEX(Projects[Est Project Management],321)))</f>
        <v/>
      </c>
      <c r="CI322" s="5">
        <f>IF(A322="","",N(INDEX(Projects[Est Systems Eng],321)))</f>
        <v/>
      </c>
      <c r="CJ322" s="5">
        <f>IF(A322="","",N(INDEX(Projects[Est Mechanical Eng],321)))</f>
        <v/>
      </c>
      <c r="CK322" s="5">
        <f>IF(A322="","",N(INDEX(Projects[Est Structural Engineering],321)))</f>
        <v/>
      </c>
      <c r="CL322" s="5">
        <f>IF(A322="","",N(INDEX(Projects[Est Site Sup],321)))</f>
        <v/>
      </c>
      <c r="CM322" s="5">
        <f>IF(A322="","",N(INDEX(Projects[Est Controls Commissioning],321)))</f>
        <v/>
      </c>
      <c r="CN322" s="5">
        <f>IF(A322="","",N(INDEX(Projects[Est Systems Commissioning],321)))</f>
        <v/>
      </c>
      <c r="CO322" s="5">
        <f>IF(A322="","",N(INDEX(Projects[Est Service Commissioning],321)))</f>
        <v/>
      </c>
      <c r="CP322" s="5">
        <f>IF(A322="","",N(INDEX(Projects[Est Controls Eng],321)))</f>
        <v/>
      </c>
      <c r="CQ322" s="5">
        <f>IF(A322="","",N(INDEX(Projects[Est Controls Purchase],321)))</f>
        <v/>
      </c>
      <c r="CR322" s="5">
        <f>IF(A322="","",N(INDEX(Projects[Est Software Eng],321)))</f>
        <v/>
      </c>
      <c r="CS322" s="5">
        <f>IF(A322="","",N(INDEX(Projects[Est Misc],321)))</f>
        <v/>
      </c>
      <c r="CT322" s="5">
        <f>IF(A322="","",SUM(CF322:CS322))</f>
        <v/>
      </c>
      <c r="CU322" s="5">
        <f>INDEX(Projects[Est Cost (M)],321)</f>
        <v/>
      </c>
      <c r="CV322" s="5">
        <f>INDEX(Projects[Act Cost (M)],321)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IF(A323="","",N(INDEX(Projects[Act Mech Inst],322)))</f>
        <v/>
      </c>
      <c r="BK323" s="5">
        <f>IF(A323="","",N(INDEX(Projects[Act Elec Inst],322)))</f>
        <v/>
      </c>
      <c r="BL323" s="5">
        <f>IF(A323="","",N(INDEX(Projects[Act Project Management],322)))</f>
        <v/>
      </c>
      <c r="BM323" s="5">
        <f>IF(A323="","",N(INDEX(Projects[Act Systems Eng],322)))</f>
        <v/>
      </c>
      <c r="BN323" s="5">
        <f>IF(A323="","",N(INDEX(Projects[Act Mechanical Eng],322)))</f>
        <v/>
      </c>
      <c r="BO323" s="5">
        <f>IF(A323="","",N(INDEX(Projects[Act Structural Engineering],322)))</f>
        <v/>
      </c>
      <c r="BP323" s="5">
        <f>IF(A323="","",N(INDEX(Projects[Act Site Sup],322)))</f>
        <v/>
      </c>
      <c r="BQ323" s="5">
        <f>IF(A323="","",N(INDEX(Projects[Act Controls Commissioning],322)))</f>
        <v/>
      </c>
      <c r="BR323" s="5">
        <f>IF(A323="","",N(INDEX(Projects[Act Systems Commissioning],322)))</f>
        <v/>
      </c>
      <c r="BS323" s="5">
        <f>IF(A323="","",N(INDEX(Projects[Act Service Commissioning],322)))</f>
        <v/>
      </c>
      <c r="BT323" s="5">
        <f>IF(A323="","",N(INDEX(Projects[Act Controls Eng],322)))</f>
        <v/>
      </c>
      <c r="BU323" s="5">
        <f>IF(A323="","",N(INDEX(Projects[Act Controls Purchase],322)))</f>
        <v/>
      </c>
      <c r="BV323" s="5">
        <f>IF(A323="","",N(INDEX(Projects[Act Software Eng],322)))</f>
        <v/>
      </c>
      <c r="BW323" s="5">
        <f>IF(A323="","",N(INDEX(Projects[Act 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  <c r="CE323" s="5">
        <f>INDEX(Projects[Act Data Status],322)&amp;""</f>
        <v/>
      </c>
      <c r="CF323" s="5">
        <f>IF(A323="","",N(INDEX(Projects[Est Mech Inst],322)))</f>
        <v/>
      </c>
      <c r="CG323" s="5">
        <f>IF(A323="","",N(INDEX(Projects[Est Elec Inst],322)))</f>
        <v/>
      </c>
      <c r="CH323" s="5">
        <f>IF(A323="","",N(INDEX(Projects[Est Project Management],322)))</f>
        <v/>
      </c>
      <c r="CI323" s="5">
        <f>IF(A323="","",N(INDEX(Projects[Est Systems Eng],322)))</f>
        <v/>
      </c>
      <c r="CJ323" s="5">
        <f>IF(A323="","",N(INDEX(Projects[Est Mechanical Eng],322)))</f>
        <v/>
      </c>
      <c r="CK323" s="5">
        <f>IF(A323="","",N(INDEX(Projects[Est Structural Engineering],322)))</f>
        <v/>
      </c>
      <c r="CL323" s="5">
        <f>IF(A323="","",N(INDEX(Projects[Est Site Sup],322)))</f>
        <v/>
      </c>
      <c r="CM323" s="5">
        <f>IF(A323="","",N(INDEX(Projects[Est Controls Commissioning],322)))</f>
        <v/>
      </c>
      <c r="CN323" s="5">
        <f>IF(A323="","",N(INDEX(Projects[Est Systems Commissioning],322)))</f>
        <v/>
      </c>
      <c r="CO323" s="5">
        <f>IF(A323="","",N(INDEX(Projects[Est Service Commissioning],322)))</f>
        <v/>
      </c>
      <c r="CP323" s="5">
        <f>IF(A323="","",N(INDEX(Projects[Est Controls Eng],322)))</f>
        <v/>
      </c>
      <c r="CQ323" s="5">
        <f>IF(A323="","",N(INDEX(Projects[Est Controls Purchase],322)))</f>
        <v/>
      </c>
      <c r="CR323" s="5">
        <f>IF(A323="","",N(INDEX(Projects[Est Software Eng],322)))</f>
        <v/>
      </c>
      <c r="CS323" s="5">
        <f>IF(A323="","",N(INDEX(Projects[Est Misc],322)))</f>
        <v/>
      </c>
      <c r="CT323" s="5">
        <f>IF(A323="","",SUM(CF323:CS323))</f>
        <v/>
      </c>
      <c r="CU323" s="5">
        <f>INDEX(Projects[Est Cost (M)],322)</f>
        <v/>
      </c>
      <c r="CV323" s="5">
        <f>INDEX(Projects[Act Cost (M)],322)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IF(A324="","",N(INDEX(Projects[Act Mech Inst],323)))</f>
        <v/>
      </c>
      <c r="BK324" s="5">
        <f>IF(A324="","",N(INDEX(Projects[Act Elec Inst],323)))</f>
        <v/>
      </c>
      <c r="BL324" s="5">
        <f>IF(A324="","",N(INDEX(Projects[Act Project Management],323)))</f>
        <v/>
      </c>
      <c r="BM324" s="5">
        <f>IF(A324="","",N(INDEX(Projects[Act Systems Eng],323)))</f>
        <v/>
      </c>
      <c r="BN324" s="5">
        <f>IF(A324="","",N(INDEX(Projects[Act Mechanical Eng],323)))</f>
        <v/>
      </c>
      <c r="BO324" s="5">
        <f>IF(A324="","",N(INDEX(Projects[Act Structural Engineering],323)))</f>
        <v/>
      </c>
      <c r="BP324" s="5">
        <f>IF(A324="","",N(INDEX(Projects[Act Site Sup],323)))</f>
        <v/>
      </c>
      <c r="BQ324" s="5">
        <f>IF(A324="","",N(INDEX(Projects[Act Controls Commissioning],323)))</f>
        <v/>
      </c>
      <c r="BR324" s="5">
        <f>IF(A324="","",N(INDEX(Projects[Act Systems Commissioning],323)))</f>
        <v/>
      </c>
      <c r="BS324" s="5">
        <f>IF(A324="","",N(INDEX(Projects[Act Service Commissioning],323)))</f>
        <v/>
      </c>
      <c r="BT324" s="5">
        <f>IF(A324="","",N(INDEX(Projects[Act Controls Eng],323)))</f>
        <v/>
      </c>
      <c r="BU324" s="5">
        <f>IF(A324="","",N(INDEX(Projects[Act Controls Purchase],323)))</f>
        <v/>
      </c>
      <c r="BV324" s="5">
        <f>IF(A324="","",N(INDEX(Projects[Act Software Eng],323)))</f>
        <v/>
      </c>
      <c r="BW324" s="5">
        <f>IF(A324="","",N(INDEX(Projects[Act 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  <c r="CE324" s="5">
        <f>INDEX(Projects[Act Data Status],323)&amp;""</f>
        <v/>
      </c>
      <c r="CF324" s="5">
        <f>IF(A324="","",N(INDEX(Projects[Est Mech Inst],323)))</f>
        <v/>
      </c>
      <c r="CG324" s="5">
        <f>IF(A324="","",N(INDEX(Projects[Est Elec Inst],323)))</f>
        <v/>
      </c>
      <c r="CH324" s="5">
        <f>IF(A324="","",N(INDEX(Projects[Est Project Management],323)))</f>
        <v/>
      </c>
      <c r="CI324" s="5">
        <f>IF(A324="","",N(INDEX(Projects[Est Systems Eng],323)))</f>
        <v/>
      </c>
      <c r="CJ324" s="5">
        <f>IF(A324="","",N(INDEX(Projects[Est Mechanical Eng],323)))</f>
        <v/>
      </c>
      <c r="CK324" s="5">
        <f>IF(A324="","",N(INDEX(Projects[Est Structural Engineering],323)))</f>
        <v/>
      </c>
      <c r="CL324" s="5">
        <f>IF(A324="","",N(INDEX(Projects[Est Site Sup],323)))</f>
        <v/>
      </c>
      <c r="CM324" s="5">
        <f>IF(A324="","",N(INDEX(Projects[Est Controls Commissioning],323)))</f>
        <v/>
      </c>
      <c r="CN324" s="5">
        <f>IF(A324="","",N(INDEX(Projects[Est Systems Commissioning],323)))</f>
        <v/>
      </c>
      <c r="CO324" s="5">
        <f>IF(A324="","",N(INDEX(Projects[Est Service Commissioning],323)))</f>
        <v/>
      </c>
      <c r="CP324" s="5">
        <f>IF(A324="","",N(INDEX(Projects[Est Controls Eng],323)))</f>
        <v/>
      </c>
      <c r="CQ324" s="5">
        <f>IF(A324="","",N(INDEX(Projects[Est Controls Purchase],323)))</f>
        <v/>
      </c>
      <c r="CR324" s="5">
        <f>IF(A324="","",N(INDEX(Projects[Est Software Eng],323)))</f>
        <v/>
      </c>
      <c r="CS324" s="5">
        <f>IF(A324="","",N(INDEX(Projects[Est Misc],323)))</f>
        <v/>
      </c>
      <c r="CT324" s="5">
        <f>IF(A324="","",SUM(CF324:CS324))</f>
        <v/>
      </c>
      <c r="CU324" s="5">
        <f>INDEX(Projects[Est Cost (M)],323)</f>
        <v/>
      </c>
      <c r="CV324" s="5">
        <f>INDEX(Projects[Act Cost (M)],323)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IF(A325="","",N(INDEX(Projects[Act Mech Inst],324)))</f>
        <v/>
      </c>
      <c r="BK325" s="5">
        <f>IF(A325="","",N(INDEX(Projects[Act Elec Inst],324)))</f>
        <v/>
      </c>
      <c r="BL325" s="5">
        <f>IF(A325="","",N(INDEX(Projects[Act Project Management],324)))</f>
        <v/>
      </c>
      <c r="BM325" s="5">
        <f>IF(A325="","",N(INDEX(Projects[Act Systems Eng],324)))</f>
        <v/>
      </c>
      <c r="BN325" s="5">
        <f>IF(A325="","",N(INDEX(Projects[Act Mechanical Eng],324)))</f>
        <v/>
      </c>
      <c r="BO325" s="5">
        <f>IF(A325="","",N(INDEX(Projects[Act Structural Engineering],324)))</f>
        <v/>
      </c>
      <c r="BP325" s="5">
        <f>IF(A325="","",N(INDEX(Projects[Act Site Sup],324)))</f>
        <v/>
      </c>
      <c r="BQ325" s="5">
        <f>IF(A325="","",N(INDEX(Projects[Act Controls Commissioning],324)))</f>
        <v/>
      </c>
      <c r="BR325" s="5">
        <f>IF(A325="","",N(INDEX(Projects[Act Systems Commissioning],324)))</f>
        <v/>
      </c>
      <c r="BS325" s="5">
        <f>IF(A325="","",N(INDEX(Projects[Act Service Commissioning],324)))</f>
        <v/>
      </c>
      <c r="BT325" s="5">
        <f>IF(A325="","",N(INDEX(Projects[Act Controls Eng],324)))</f>
        <v/>
      </c>
      <c r="BU325" s="5">
        <f>IF(A325="","",N(INDEX(Projects[Act Controls Purchase],324)))</f>
        <v/>
      </c>
      <c r="BV325" s="5">
        <f>IF(A325="","",N(INDEX(Projects[Act Software Eng],324)))</f>
        <v/>
      </c>
      <c r="BW325" s="5">
        <f>IF(A325="","",N(INDEX(Projects[Act 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  <c r="CE325" s="5">
        <f>INDEX(Projects[Act Data Status],324)&amp;""</f>
        <v/>
      </c>
      <c r="CF325" s="5">
        <f>IF(A325="","",N(INDEX(Projects[Est Mech Inst],324)))</f>
        <v/>
      </c>
      <c r="CG325" s="5">
        <f>IF(A325="","",N(INDEX(Projects[Est Elec Inst],324)))</f>
        <v/>
      </c>
      <c r="CH325" s="5">
        <f>IF(A325="","",N(INDEX(Projects[Est Project Management],324)))</f>
        <v/>
      </c>
      <c r="CI325" s="5">
        <f>IF(A325="","",N(INDEX(Projects[Est Systems Eng],324)))</f>
        <v/>
      </c>
      <c r="CJ325" s="5">
        <f>IF(A325="","",N(INDEX(Projects[Est Mechanical Eng],324)))</f>
        <v/>
      </c>
      <c r="CK325" s="5">
        <f>IF(A325="","",N(INDEX(Projects[Est Structural Engineering],324)))</f>
        <v/>
      </c>
      <c r="CL325" s="5">
        <f>IF(A325="","",N(INDEX(Projects[Est Site Sup],324)))</f>
        <v/>
      </c>
      <c r="CM325" s="5">
        <f>IF(A325="","",N(INDEX(Projects[Est Controls Commissioning],324)))</f>
        <v/>
      </c>
      <c r="CN325" s="5">
        <f>IF(A325="","",N(INDEX(Projects[Est Systems Commissioning],324)))</f>
        <v/>
      </c>
      <c r="CO325" s="5">
        <f>IF(A325="","",N(INDEX(Projects[Est Service Commissioning],324)))</f>
        <v/>
      </c>
      <c r="CP325" s="5">
        <f>IF(A325="","",N(INDEX(Projects[Est Controls Eng],324)))</f>
        <v/>
      </c>
      <c r="CQ325" s="5">
        <f>IF(A325="","",N(INDEX(Projects[Est Controls Purchase],324)))</f>
        <v/>
      </c>
      <c r="CR325" s="5">
        <f>IF(A325="","",N(INDEX(Projects[Est Software Eng],324)))</f>
        <v/>
      </c>
      <c r="CS325" s="5">
        <f>IF(A325="","",N(INDEX(Projects[Est Misc],324)))</f>
        <v/>
      </c>
      <c r="CT325" s="5">
        <f>IF(A325="","",SUM(CF325:CS325))</f>
        <v/>
      </c>
      <c r="CU325" s="5">
        <f>INDEX(Projects[Est Cost (M)],324)</f>
        <v/>
      </c>
      <c r="CV325" s="5">
        <f>INDEX(Projects[Act Cost (M)],324)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IF(A326="","",N(INDEX(Projects[Act Mech Inst],325)))</f>
        <v/>
      </c>
      <c r="BK326" s="5">
        <f>IF(A326="","",N(INDEX(Projects[Act Elec Inst],325)))</f>
        <v/>
      </c>
      <c r="BL326" s="5">
        <f>IF(A326="","",N(INDEX(Projects[Act Project Management],325)))</f>
        <v/>
      </c>
      <c r="BM326" s="5">
        <f>IF(A326="","",N(INDEX(Projects[Act Systems Eng],325)))</f>
        <v/>
      </c>
      <c r="BN326" s="5">
        <f>IF(A326="","",N(INDEX(Projects[Act Mechanical Eng],325)))</f>
        <v/>
      </c>
      <c r="BO326" s="5">
        <f>IF(A326="","",N(INDEX(Projects[Act Structural Engineering],325)))</f>
        <v/>
      </c>
      <c r="BP326" s="5">
        <f>IF(A326="","",N(INDEX(Projects[Act Site Sup],325)))</f>
        <v/>
      </c>
      <c r="BQ326" s="5">
        <f>IF(A326="","",N(INDEX(Projects[Act Controls Commissioning],325)))</f>
        <v/>
      </c>
      <c r="BR326" s="5">
        <f>IF(A326="","",N(INDEX(Projects[Act Systems Commissioning],325)))</f>
        <v/>
      </c>
      <c r="BS326" s="5">
        <f>IF(A326="","",N(INDEX(Projects[Act Service Commissioning],325)))</f>
        <v/>
      </c>
      <c r="BT326" s="5">
        <f>IF(A326="","",N(INDEX(Projects[Act Controls Eng],325)))</f>
        <v/>
      </c>
      <c r="BU326" s="5">
        <f>IF(A326="","",N(INDEX(Projects[Act Controls Purchase],325)))</f>
        <v/>
      </c>
      <c r="BV326" s="5">
        <f>IF(A326="","",N(INDEX(Projects[Act Software Eng],325)))</f>
        <v/>
      </c>
      <c r="BW326" s="5">
        <f>IF(A326="","",N(INDEX(Projects[Act 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  <c r="CE326" s="5">
        <f>INDEX(Projects[Act Data Status],325)&amp;""</f>
        <v/>
      </c>
      <c r="CF326" s="5">
        <f>IF(A326="","",N(INDEX(Projects[Est Mech Inst],325)))</f>
        <v/>
      </c>
      <c r="CG326" s="5">
        <f>IF(A326="","",N(INDEX(Projects[Est Elec Inst],325)))</f>
        <v/>
      </c>
      <c r="CH326" s="5">
        <f>IF(A326="","",N(INDEX(Projects[Est Project Management],325)))</f>
        <v/>
      </c>
      <c r="CI326" s="5">
        <f>IF(A326="","",N(INDEX(Projects[Est Systems Eng],325)))</f>
        <v/>
      </c>
      <c r="CJ326" s="5">
        <f>IF(A326="","",N(INDEX(Projects[Est Mechanical Eng],325)))</f>
        <v/>
      </c>
      <c r="CK326" s="5">
        <f>IF(A326="","",N(INDEX(Projects[Est Structural Engineering],325)))</f>
        <v/>
      </c>
      <c r="CL326" s="5">
        <f>IF(A326="","",N(INDEX(Projects[Est Site Sup],325)))</f>
        <v/>
      </c>
      <c r="CM326" s="5">
        <f>IF(A326="","",N(INDEX(Projects[Est Controls Commissioning],325)))</f>
        <v/>
      </c>
      <c r="CN326" s="5">
        <f>IF(A326="","",N(INDEX(Projects[Est Systems Commissioning],325)))</f>
        <v/>
      </c>
      <c r="CO326" s="5">
        <f>IF(A326="","",N(INDEX(Projects[Est Service Commissioning],325)))</f>
        <v/>
      </c>
      <c r="CP326" s="5">
        <f>IF(A326="","",N(INDEX(Projects[Est Controls Eng],325)))</f>
        <v/>
      </c>
      <c r="CQ326" s="5">
        <f>IF(A326="","",N(INDEX(Projects[Est Controls Purchase],325)))</f>
        <v/>
      </c>
      <c r="CR326" s="5">
        <f>IF(A326="","",N(INDEX(Projects[Est Software Eng],325)))</f>
        <v/>
      </c>
      <c r="CS326" s="5">
        <f>IF(A326="","",N(INDEX(Projects[Est Misc],325)))</f>
        <v/>
      </c>
      <c r="CT326" s="5">
        <f>IF(A326="","",SUM(CF326:CS326))</f>
        <v/>
      </c>
      <c r="CU326" s="5">
        <f>INDEX(Projects[Est Cost (M)],325)</f>
        <v/>
      </c>
      <c r="CV326" s="5">
        <f>INDEX(Projects[Act Cost (M)],325)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IF(A327="","",N(INDEX(Projects[Act Mech Inst],326)))</f>
        <v/>
      </c>
      <c r="BK327" s="5">
        <f>IF(A327="","",N(INDEX(Projects[Act Elec Inst],326)))</f>
        <v/>
      </c>
      <c r="BL327" s="5">
        <f>IF(A327="","",N(INDEX(Projects[Act Project Management],326)))</f>
        <v/>
      </c>
      <c r="BM327" s="5">
        <f>IF(A327="","",N(INDEX(Projects[Act Systems Eng],326)))</f>
        <v/>
      </c>
      <c r="BN327" s="5">
        <f>IF(A327="","",N(INDEX(Projects[Act Mechanical Eng],326)))</f>
        <v/>
      </c>
      <c r="BO327" s="5">
        <f>IF(A327="","",N(INDEX(Projects[Act Structural Engineering],326)))</f>
        <v/>
      </c>
      <c r="BP327" s="5">
        <f>IF(A327="","",N(INDEX(Projects[Act Site Sup],326)))</f>
        <v/>
      </c>
      <c r="BQ327" s="5">
        <f>IF(A327="","",N(INDEX(Projects[Act Controls Commissioning],326)))</f>
        <v/>
      </c>
      <c r="BR327" s="5">
        <f>IF(A327="","",N(INDEX(Projects[Act Systems Commissioning],326)))</f>
        <v/>
      </c>
      <c r="BS327" s="5">
        <f>IF(A327="","",N(INDEX(Projects[Act Service Commissioning],326)))</f>
        <v/>
      </c>
      <c r="BT327" s="5">
        <f>IF(A327="","",N(INDEX(Projects[Act Controls Eng],326)))</f>
        <v/>
      </c>
      <c r="BU327" s="5">
        <f>IF(A327="","",N(INDEX(Projects[Act Controls Purchase],326)))</f>
        <v/>
      </c>
      <c r="BV327" s="5">
        <f>IF(A327="","",N(INDEX(Projects[Act Software Eng],326)))</f>
        <v/>
      </c>
      <c r="BW327" s="5">
        <f>IF(A327="","",N(INDEX(Projects[Act 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  <c r="CE327" s="5">
        <f>INDEX(Projects[Act Data Status],326)&amp;""</f>
        <v/>
      </c>
      <c r="CF327" s="5">
        <f>IF(A327="","",N(INDEX(Projects[Est Mech Inst],326)))</f>
        <v/>
      </c>
      <c r="CG327" s="5">
        <f>IF(A327="","",N(INDEX(Projects[Est Elec Inst],326)))</f>
        <v/>
      </c>
      <c r="CH327" s="5">
        <f>IF(A327="","",N(INDEX(Projects[Est Project Management],326)))</f>
        <v/>
      </c>
      <c r="CI327" s="5">
        <f>IF(A327="","",N(INDEX(Projects[Est Systems Eng],326)))</f>
        <v/>
      </c>
      <c r="CJ327" s="5">
        <f>IF(A327="","",N(INDEX(Projects[Est Mechanical Eng],326)))</f>
        <v/>
      </c>
      <c r="CK327" s="5">
        <f>IF(A327="","",N(INDEX(Projects[Est Structural Engineering],326)))</f>
        <v/>
      </c>
      <c r="CL327" s="5">
        <f>IF(A327="","",N(INDEX(Projects[Est Site Sup],326)))</f>
        <v/>
      </c>
      <c r="CM327" s="5">
        <f>IF(A327="","",N(INDEX(Projects[Est Controls Commissioning],326)))</f>
        <v/>
      </c>
      <c r="CN327" s="5">
        <f>IF(A327="","",N(INDEX(Projects[Est Systems Commissioning],326)))</f>
        <v/>
      </c>
      <c r="CO327" s="5">
        <f>IF(A327="","",N(INDEX(Projects[Est Service Commissioning],326)))</f>
        <v/>
      </c>
      <c r="CP327" s="5">
        <f>IF(A327="","",N(INDEX(Projects[Est Controls Eng],326)))</f>
        <v/>
      </c>
      <c r="CQ327" s="5">
        <f>IF(A327="","",N(INDEX(Projects[Est Controls Purchase],326)))</f>
        <v/>
      </c>
      <c r="CR327" s="5">
        <f>IF(A327="","",N(INDEX(Projects[Est Software Eng],326)))</f>
        <v/>
      </c>
      <c r="CS327" s="5">
        <f>IF(A327="","",N(INDEX(Projects[Est Misc],326)))</f>
        <v/>
      </c>
      <c r="CT327" s="5">
        <f>IF(A327="","",SUM(CF327:CS327))</f>
        <v/>
      </c>
      <c r="CU327" s="5">
        <f>INDEX(Projects[Est Cost (M)],326)</f>
        <v/>
      </c>
      <c r="CV327" s="5">
        <f>INDEX(Projects[Act Cost (M)],326)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IF(A328="","",N(INDEX(Projects[Act Mech Inst],327)))</f>
        <v/>
      </c>
      <c r="BK328" s="5">
        <f>IF(A328="","",N(INDEX(Projects[Act Elec Inst],327)))</f>
        <v/>
      </c>
      <c r="BL328" s="5">
        <f>IF(A328="","",N(INDEX(Projects[Act Project Management],327)))</f>
        <v/>
      </c>
      <c r="BM328" s="5">
        <f>IF(A328="","",N(INDEX(Projects[Act Systems Eng],327)))</f>
        <v/>
      </c>
      <c r="BN328" s="5">
        <f>IF(A328="","",N(INDEX(Projects[Act Mechanical Eng],327)))</f>
        <v/>
      </c>
      <c r="BO328" s="5">
        <f>IF(A328="","",N(INDEX(Projects[Act Structural Engineering],327)))</f>
        <v/>
      </c>
      <c r="BP328" s="5">
        <f>IF(A328="","",N(INDEX(Projects[Act Site Sup],327)))</f>
        <v/>
      </c>
      <c r="BQ328" s="5">
        <f>IF(A328="","",N(INDEX(Projects[Act Controls Commissioning],327)))</f>
        <v/>
      </c>
      <c r="BR328" s="5">
        <f>IF(A328="","",N(INDEX(Projects[Act Systems Commissioning],327)))</f>
        <v/>
      </c>
      <c r="BS328" s="5">
        <f>IF(A328="","",N(INDEX(Projects[Act Service Commissioning],327)))</f>
        <v/>
      </c>
      <c r="BT328" s="5">
        <f>IF(A328="","",N(INDEX(Projects[Act Controls Eng],327)))</f>
        <v/>
      </c>
      <c r="BU328" s="5">
        <f>IF(A328="","",N(INDEX(Projects[Act Controls Purchase],327)))</f>
        <v/>
      </c>
      <c r="BV328" s="5">
        <f>IF(A328="","",N(INDEX(Projects[Act Software Eng],327)))</f>
        <v/>
      </c>
      <c r="BW328" s="5">
        <f>IF(A328="","",N(INDEX(Projects[Act 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  <c r="CE328" s="5">
        <f>INDEX(Projects[Act Data Status],327)&amp;""</f>
        <v/>
      </c>
      <c r="CF328" s="5">
        <f>IF(A328="","",N(INDEX(Projects[Est Mech Inst],327)))</f>
        <v/>
      </c>
      <c r="CG328" s="5">
        <f>IF(A328="","",N(INDEX(Projects[Est Elec Inst],327)))</f>
        <v/>
      </c>
      <c r="CH328" s="5">
        <f>IF(A328="","",N(INDEX(Projects[Est Project Management],327)))</f>
        <v/>
      </c>
      <c r="CI328" s="5">
        <f>IF(A328="","",N(INDEX(Projects[Est Systems Eng],327)))</f>
        <v/>
      </c>
      <c r="CJ328" s="5">
        <f>IF(A328="","",N(INDEX(Projects[Est Mechanical Eng],327)))</f>
        <v/>
      </c>
      <c r="CK328" s="5">
        <f>IF(A328="","",N(INDEX(Projects[Est Structural Engineering],327)))</f>
        <v/>
      </c>
      <c r="CL328" s="5">
        <f>IF(A328="","",N(INDEX(Projects[Est Site Sup],327)))</f>
        <v/>
      </c>
      <c r="CM328" s="5">
        <f>IF(A328="","",N(INDEX(Projects[Est Controls Commissioning],327)))</f>
        <v/>
      </c>
      <c r="CN328" s="5">
        <f>IF(A328="","",N(INDEX(Projects[Est Systems Commissioning],327)))</f>
        <v/>
      </c>
      <c r="CO328" s="5">
        <f>IF(A328="","",N(INDEX(Projects[Est Service Commissioning],327)))</f>
        <v/>
      </c>
      <c r="CP328" s="5">
        <f>IF(A328="","",N(INDEX(Projects[Est Controls Eng],327)))</f>
        <v/>
      </c>
      <c r="CQ328" s="5">
        <f>IF(A328="","",N(INDEX(Projects[Est Controls Purchase],327)))</f>
        <v/>
      </c>
      <c r="CR328" s="5">
        <f>IF(A328="","",N(INDEX(Projects[Est Software Eng],327)))</f>
        <v/>
      </c>
      <c r="CS328" s="5">
        <f>IF(A328="","",N(INDEX(Projects[Est Misc],327)))</f>
        <v/>
      </c>
      <c r="CT328" s="5">
        <f>IF(A328="","",SUM(CF328:CS328))</f>
        <v/>
      </c>
      <c r="CU328" s="5">
        <f>INDEX(Projects[Est Cost (M)],327)</f>
        <v/>
      </c>
      <c r="CV328" s="5">
        <f>INDEX(Projects[Act Cost (M)],327)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IF(A329="","",N(INDEX(Projects[Act Mech Inst],328)))</f>
        <v/>
      </c>
      <c r="BK329" s="5">
        <f>IF(A329="","",N(INDEX(Projects[Act Elec Inst],328)))</f>
        <v/>
      </c>
      <c r="BL329" s="5">
        <f>IF(A329="","",N(INDEX(Projects[Act Project Management],328)))</f>
        <v/>
      </c>
      <c r="BM329" s="5">
        <f>IF(A329="","",N(INDEX(Projects[Act Systems Eng],328)))</f>
        <v/>
      </c>
      <c r="BN329" s="5">
        <f>IF(A329="","",N(INDEX(Projects[Act Mechanical Eng],328)))</f>
        <v/>
      </c>
      <c r="BO329" s="5">
        <f>IF(A329="","",N(INDEX(Projects[Act Structural Engineering],328)))</f>
        <v/>
      </c>
      <c r="BP329" s="5">
        <f>IF(A329="","",N(INDEX(Projects[Act Site Sup],328)))</f>
        <v/>
      </c>
      <c r="BQ329" s="5">
        <f>IF(A329="","",N(INDEX(Projects[Act Controls Commissioning],328)))</f>
        <v/>
      </c>
      <c r="BR329" s="5">
        <f>IF(A329="","",N(INDEX(Projects[Act Systems Commissioning],328)))</f>
        <v/>
      </c>
      <c r="BS329" s="5">
        <f>IF(A329="","",N(INDEX(Projects[Act Service Commissioning],328)))</f>
        <v/>
      </c>
      <c r="BT329" s="5">
        <f>IF(A329="","",N(INDEX(Projects[Act Controls Eng],328)))</f>
        <v/>
      </c>
      <c r="BU329" s="5">
        <f>IF(A329="","",N(INDEX(Projects[Act Controls Purchase],328)))</f>
        <v/>
      </c>
      <c r="BV329" s="5">
        <f>IF(A329="","",N(INDEX(Projects[Act Software Eng],328)))</f>
        <v/>
      </c>
      <c r="BW329" s="5">
        <f>IF(A329="","",N(INDEX(Projects[Act 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  <c r="CE329" s="5">
        <f>INDEX(Projects[Act Data Status],328)&amp;""</f>
        <v/>
      </c>
      <c r="CF329" s="5">
        <f>IF(A329="","",N(INDEX(Projects[Est Mech Inst],328)))</f>
        <v/>
      </c>
      <c r="CG329" s="5">
        <f>IF(A329="","",N(INDEX(Projects[Est Elec Inst],328)))</f>
        <v/>
      </c>
      <c r="CH329" s="5">
        <f>IF(A329="","",N(INDEX(Projects[Est Project Management],328)))</f>
        <v/>
      </c>
      <c r="CI329" s="5">
        <f>IF(A329="","",N(INDEX(Projects[Est Systems Eng],328)))</f>
        <v/>
      </c>
      <c r="CJ329" s="5">
        <f>IF(A329="","",N(INDEX(Projects[Est Mechanical Eng],328)))</f>
        <v/>
      </c>
      <c r="CK329" s="5">
        <f>IF(A329="","",N(INDEX(Projects[Est Structural Engineering],328)))</f>
        <v/>
      </c>
      <c r="CL329" s="5">
        <f>IF(A329="","",N(INDEX(Projects[Est Site Sup],328)))</f>
        <v/>
      </c>
      <c r="CM329" s="5">
        <f>IF(A329="","",N(INDEX(Projects[Est Controls Commissioning],328)))</f>
        <v/>
      </c>
      <c r="CN329" s="5">
        <f>IF(A329="","",N(INDEX(Projects[Est Systems Commissioning],328)))</f>
        <v/>
      </c>
      <c r="CO329" s="5">
        <f>IF(A329="","",N(INDEX(Projects[Est Service Commissioning],328)))</f>
        <v/>
      </c>
      <c r="CP329" s="5">
        <f>IF(A329="","",N(INDEX(Projects[Est Controls Eng],328)))</f>
        <v/>
      </c>
      <c r="CQ329" s="5">
        <f>IF(A329="","",N(INDEX(Projects[Est Controls Purchase],328)))</f>
        <v/>
      </c>
      <c r="CR329" s="5">
        <f>IF(A329="","",N(INDEX(Projects[Est Software Eng],328)))</f>
        <v/>
      </c>
      <c r="CS329" s="5">
        <f>IF(A329="","",N(INDEX(Projects[Est Misc],328)))</f>
        <v/>
      </c>
      <c r="CT329" s="5">
        <f>IF(A329="","",SUM(CF329:CS329))</f>
        <v/>
      </c>
      <c r="CU329" s="5">
        <f>INDEX(Projects[Est Cost (M)],328)</f>
        <v/>
      </c>
      <c r="CV329" s="5">
        <f>INDEX(Projects[Act Cost (M)],328)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IF(A330="","",N(INDEX(Projects[Act Mech Inst],329)))</f>
        <v/>
      </c>
      <c r="BK330" s="5">
        <f>IF(A330="","",N(INDEX(Projects[Act Elec Inst],329)))</f>
        <v/>
      </c>
      <c r="BL330" s="5">
        <f>IF(A330="","",N(INDEX(Projects[Act Project Management],329)))</f>
        <v/>
      </c>
      <c r="BM330" s="5">
        <f>IF(A330="","",N(INDEX(Projects[Act Systems Eng],329)))</f>
        <v/>
      </c>
      <c r="BN330" s="5">
        <f>IF(A330="","",N(INDEX(Projects[Act Mechanical Eng],329)))</f>
        <v/>
      </c>
      <c r="BO330" s="5">
        <f>IF(A330="","",N(INDEX(Projects[Act Structural Engineering],329)))</f>
        <v/>
      </c>
      <c r="BP330" s="5">
        <f>IF(A330="","",N(INDEX(Projects[Act Site Sup],329)))</f>
        <v/>
      </c>
      <c r="BQ330" s="5">
        <f>IF(A330="","",N(INDEX(Projects[Act Controls Commissioning],329)))</f>
        <v/>
      </c>
      <c r="BR330" s="5">
        <f>IF(A330="","",N(INDEX(Projects[Act Systems Commissioning],329)))</f>
        <v/>
      </c>
      <c r="BS330" s="5">
        <f>IF(A330="","",N(INDEX(Projects[Act Service Commissioning],329)))</f>
        <v/>
      </c>
      <c r="BT330" s="5">
        <f>IF(A330="","",N(INDEX(Projects[Act Controls Eng],329)))</f>
        <v/>
      </c>
      <c r="BU330" s="5">
        <f>IF(A330="","",N(INDEX(Projects[Act Controls Purchase],329)))</f>
        <v/>
      </c>
      <c r="BV330" s="5">
        <f>IF(A330="","",N(INDEX(Projects[Act Software Eng],329)))</f>
        <v/>
      </c>
      <c r="BW330" s="5">
        <f>IF(A330="","",N(INDEX(Projects[Act 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  <c r="CE330" s="5">
        <f>INDEX(Projects[Act Data Status],329)&amp;""</f>
        <v/>
      </c>
      <c r="CF330" s="5">
        <f>IF(A330="","",N(INDEX(Projects[Est Mech Inst],329)))</f>
        <v/>
      </c>
      <c r="CG330" s="5">
        <f>IF(A330="","",N(INDEX(Projects[Est Elec Inst],329)))</f>
        <v/>
      </c>
      <c r="CH330" s="5">
        <f>IF(A330="","",N(INDEX(Projects[Est Project Management],329)))</f>
        <v/>
      </c>
      <c r="CI330" s="5">
        <f>IF(A330="","",N(INDEX(Projects[Est Systems Eng],329)))</f>
        <v/>
      </c>
      <c r="CJ330" s="5">
        <f>IF(A330="","",N(INDEX(Projects[Est Mechanical Eng],329)))</f>
        <v/>
      </c>
      <c r="CK330" s="5">
        <f>IF(A330="","",N(INDEX(Projects[Est Structural Engineering],329)))</f>
        <v/>
      </c>
      <c r="CL330" s="5">
        <f>IF(A330="","",N(INDEX(Projects[Est Site Sup],329)))</f>
        <v/>
      </c>
      <c r="CM330" s="5">
        <f>IF(A330="","",N(INDEX(Projects[Est Controls Commissioning],329)))</f>
        <v/>
      </c>
      <c r="CN330" s="5">
        <f>IF(A330="","",N(INDEX(Projects[Est Systems Commissioning],329)))</f>
        <v/>
      </c>
      <c r="CO330" s="5">
        <f>IF(A330="","",N(INDEX(Projects[Est Service Commissioning],329)))</f>
        <v/>
      </c>
      <c r="CP330" s="5">
        <f>IF(A330="","",N(INDEX(Projects[Est Controls Eng],329)))</f>
        <v/>
      </c>
      <c r="CQ330" s="5">
        <f>IF(A330="","",N(INDEX(Projects[Est Controls Purchase],329)))</f>
        <v/>
      </c>
      <c r="CR330" s="5">
        <f>IF(A330="","",N(INDEX(Projects[Est Software Eng],329)))</f>
        <v/>
      </c>
      <c r="CS330" s="5">
        <f>IF(A330="","",N(INDEX(Projects[Est Misc],329)))</f>
        <v/>
      </c>
      <c r="CT330" s="5">
        <f>IF(A330="","",SUM(CF330:CS330))</f>
        <v/>
      </c>
      <c r="CU330" s="5">
        <f>INDEX(Projects[Est Cost (M)],329)</f>
        <v/>
      </c>
      <c r="CV330" s="5">
        <f>INDEX(Projects[Act Cost (M)],329)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IF(A331="","",N(INDEX(Projects[Act Mech Inst],330)))</f>
        <v/>
      </c>
      <c r="BK331" s="5">
        <f>IF(A331="","",N(INDEX(Projects[Act Elec Inst],330)))</f>
        <v/>
      </c>
      <c r="BL331" s="5">
        <f>IF(A331="","",N(INDEX(Projects[Act Project Management],330)))</f>
        <v/>
      </c>
      <c r="BM331" s="5">
        <f>IF(A331="","",N(INDEX(Projects[Act Systems Eng],330)))</f>
        <v/>
      </c>
      <c r="BN331" s="5">
        <f>IF(A331="","",N(INDEX(Projects[Act Mechanical Eng],330)))</f>
        <v/>
      </c>
      <c r="BO331" s="5">
        <f>IF(A331="","",N(INDEX(Projects[Act Structural Engineering],330)))</f>
        <v/>
      </c>
      <c r="BP331" s="5">
        <f>IF(A331="","",N(INDEX(Projects[Act Site Sup],330)))</f>
        <v/>
      </c>
      <c r="BQ331" s="5">
        <f>IF(A331="","",N(INDEX(Projects[Act Controls Commissioning],330)))</f>
        <v/>
      </c>
      <c r="BR331" s="5">
        <f>IF(A331="","",N(INDEX(Projects[Act Systems Commissioning],330)))</f>
        <v/>
      </c>
      <c r="BS331" s="5">
        <f>IF(A331="","",N(INDEX(Projects[Act Service Commissioning],330)))</f>
        <v/>
      </c>
      <c r="BT331" s="5">
        <f>IF(A331="","",N(INDEX(Projects[Act Controls Eng],330)))</f>
        <v/>
      </c>
      <c r="BU331" s="5">
        <f>IF(A331="","",N(INDEX(Projects[Act Controls Purchase],330)))</f>
        <v/>
      </c>
      <c r="BV331" s="5">
        <f>IF(A331="","",N(INDEX(Projects[Act Software Eng],330)))</f>
        <v/>
      </c>
      <c r="BW331" s="5">
        <f>IF(A331="","",N(INDEX(Projects[Act 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  <c r="CE331" s="5">
        <f>INDEX(Projects[Act Data Status],330)&amp;""</f>
        <v/>
      </c>
      <c r="CF331" s="5">
        <f>IF(A331="","",N(INDEX(Projects[Est Mech Inst],330)))</f>
        <v/>
      </c>
      <c r="CG331" s="5">
        <f>IF(A331="","",N(INDEX(Projects[Est Elec Inst],330)))</f>
        <v/>
      </c>
      <c r="CH331" s="5">
        <f>IF(A331="","",N(INDEX(Projects[Est Project Management],330)))</f>
        <v/>
      </c>
      <c r="CI331" s="5">
        <f>IF(A331="","",N(INDEX(Projects[Est Systems Eng],330)))</f>
        <v/>
      </c>
      <c r="CJ331" s="5">
        <f>IF(A331="","",N(INDEX(Projects[Est Mechanical Eng],330)))</f>
        <v/>
      </c>
      <c r="CK331" s="5">
        <f>IF(A331="","",N(INDEX(Projects[Est Structural Engineering],330)))</f>
        <v/>
      </c>
      <c r="CL331" s="5">
        <f>IF(A331="","",N(INDEX(Projects[Est Site Sup],330)))</f>
        <v/>
      </c>
      <c r="CM331" s="5">
        <f>IF(A331="","",N(INDEX(Projects[Est Controls Commissioning],330)))</f>
        <v/>
      </c>
      <c r="CN331" s="5">
        <f>IF(A331="","",N(INDEX(Projects[Est Systems Commissioning],330)))</f>
        <v/>
      </c>
      <c r="CO331" s="5">
        <f>IF(A331="","",N(INDEX(Projects[Est Service Commissioning],330)))</f>
        <v/>
      </c>
      <c r="CP331" s="5">
        <f>IF(A331="","",N(INDEX(Projects[Est Controls Eng],330)))</f>
        <v/>
      </c>
      <c r="CQ331" s="5">
        <f>IF(A331="","",N(INDEX(Projects[Est Controls Purchase],330)))</f>
        <v/>
      </c>
      <c r="CR331" s="5">
        <f>IF(A331="","",N(INDEX(Projects[Est Software Eng],330)))</f>
        <v/>
      </c>
      <c r="CS331" s="5">
        <f>IF(A331="","",N(INDEX(Projects[Est Misc],330)))</f>
        <v/>
      </c>
      <c r="CT331" s="5">
        <f>IF(A331="","",SUM(CF331:CS331))</f>
        <v/>
      </c>
      <c r="CU331" s="5">
        <f>INDEX(Projects[Est Cost (M)],330)</f>
        <v/>
      </c>
      <c r="CV331" s="5">
        <f>INDEX(Projects[Act Cost (M)],330)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IF(A332="","",N(INDEX(Projects[Act Mech Inst],331)))</f>
        <v/>
      </c>
      <c r="BK332" s="5">
        <f>IF(A332="","",N(INDEX(Projects[Act Elec Inst],331)))</f>
        <v/>
      </c>
      <c r="BL332" s="5">
        <f>IF(A332="","",N(INDEX(Projects[Act Project Management],331)))</f>
        <v/>
      </c>
      <c r="BM332" s="5">
        <f>IF(A332="","",N(INDEX(Projects[Act Systems Eng],331)))</f>
        <v/>
      </c>
      <c r="BN332" s="5">
        <f>IF(A332="","",N(INDEX(Projects[Act Mechanical Eng],331)))</f>
        <v/>
      </c>
      <c r="BO332" s="5">
        <f>IF(A332="","",N(INDEX(Projects[Act Structural Engineering],331)))</f>
        <v/>
      </c>
      <c r="BP332" s="5">
        <f>IF(A332="","",N(INDEX(Projects[Act Site Sup],331)))</f>
        <v/>
      </c>
      <c r="BQ332" s="5">
        <f>IF(A332="","",N(INDEX(Projects[Act Controls Commissioning],331)))</f>
        <v/>
      </c>
      <c r="BR332" s="5">
        <f>IF(A332="","",N(INDEX(Projects[Act Systems Commissioning],331)))</f>
        <v/>
      </c>
      <c r="BS332" s="5">
        <f>IF(A332="","",N(INDEX(Projects[Act Service Commissioning],331)))</f>
        <v/>
      </c>
      <c r="BT332" s="5">
        <f>IF(A332="","",N(INDEX(Projects[Act Controls Eng],331)))</f>
        <v/>
      </c>
      <c r="BU332" s="5">
        <f>IF(A332="","",N(INDEX(Projects[Act Controls Purchase],331)))</f>
        <v/>
      </c>
      <c r="BV332" s="5">
        <f>IF(A332="","",N(INDEX(Projects[Act Software Eng],331)))</f>
        <v/>
      </c>
      <c r="BW332" s="5">
        <f>IF(A332="","",N(INDEX(Projects[Act 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  <c r="CE332" s="5">
        <f>INDEX(Projects[Act Data Status],331)&amp;""</f>
        <v/>
      </c>
      <c r="CF332" s="5">
        <f>IF(A332="","",N(INDEX(Projects[Est Mech Inst],331)))</f>
        <v/>
      </c>
      <c r="CG332" s="5">
        <f>IF(A332="","",N(INDEX(Projects[Est Elec Inst],331)))</f>
        <v/>
      </c>
      <c r="CH332" s="5">
        <f>IF(A332="","",N(INDEX(Projects[Est Project Management],331)))</f>
        <v/>
      </c>
      <c r="CI332" s="5">
        <f>IF(A332="","",N(INDEX(Projects[Est Systems Eng],331)))</f>
        <v/>
      </c>
      <c r="CJ332" s="5">
        <f>IF(A332="","",N(INDEX(Projects[Est Mechanical Eng],331)))</f>
        <v/>
      </c>
      <c r="CK332" s="5">
        <f>IF(A332="","",N(INDEX(Projects[Est Structural Engineering],331)))</f>
        <v/>
      </c>
      <c r="CL332" s="5">
        <f>IF(A332="","",N(INDEX(Projects[Est Site Sup],331)))</f>
        <v/>
      </c>
      <c r="CM332" s="5">
        <f>IF(A332="","",N(INDEX(Projects[Est Controls Commissioning],331)))</f>
        <v/>
      </c>
      <c r="CN332" s="5">
        <f>IF(A332="","",N(INDEX(Projects[Est Systems Commissioning],331)))</f>
        <v/>
      </c>
      <c r="CO332" s="5">
        <f>IF(A332="","",N(INDEX(Projects[Est Service Commissioning],331)))</f>
        <v/>
      </c>
      <c r="CP332" s="5">
        <f>IF(A332="","",N(INDEX(Projects[Est Controls Eng],331)))</f>
        <v/>
      </c>
      <c r="CQ332" s="5">
        <f>IF(A332="","",N(INDEX(Projects[Est Controls Purchase],331)))</f>
        <v/>
      </c>
      <c r="CR332" s="5">
        <f>IF(A332="","",N(INDEX(Projects[Est Software Eng],331)))</f>
        <v/>
      </c>
      <c r="CS332" s="5">
        <f>IF(A332="","",N(INDEX(Projects[Est Misc],331)))</f>
        <v/>
      </c>
      <c r="CT332" s="5">
        <f>IF(A332="","",SUM(CF332:CS332))</f>
        <v/>
      </c>
      <c r="CU332" s="5">
        <f>INDEX(Projects[Est Cost (M)],331)</f>
        <v/>
      </c>
      <c r="CV332" s="5">
        <f>INDEX(Projects[Act Cost (M)],331)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IF(A333="","",N(INDEX(Projects[Act Mech Inst],332)))</f>
        <v/>
      </c>
      <c r="BK333" s="5">
        <f>IF(A333="","",N(INDEX(Projects[Act Elec Inst],332)))</f>
        <v/>
      </c>
      <c r="BL333" s="5">
        <f>IF(A333="","",N(INDEX(Projects[Act Project Management],332)))</f>
        <v/>
      </c>
      <c r="BM333" s="5">
        <f>IF(A333="","",N(INDEX(Projects[Act Systems Eng],332)))</f>
        <v/>
      </c>
      <c r="BN333" s="5">
        <f>IF(A333="","",N(INDEX(Projects[Act Mechanical Eng],332)))</f>
        <v/>
      </c>
      <c r="BO333" s="5">
        <f>IF(A333="","",N(INDEX(Projects[Act Structural Engineering],332)))</f>
        <v/>
      </c>
      <c r="BP333" s="5">
        <f>IF(A333="","",N(INDEX(Projects[Act Site Sup],332)))</f>
        <v/>
      </c>
      <c r="BQ333" s="5">
        <f>IF(A333="","",N(INDEX(Projects[Act Controls Commissioning],332)))</f>
        <v/>
      </c>
      <c r="BR333" s="5">
        <f>IF(A333="","",N(INDEX(Projects[Act Systems Commissioning],332)))</f>
        <v/>
      </c>
      <c r="BS333" s="5">
        <f>IF(A333="","",N(INDEX(Projects[Act Service Commissioning],332)))</f>
        <v/>
      </c>
      <c r="BT333" s="5">
        <f>IF(A333="","",N(INDEX(Projects[Act Controls Eng],332)))</f>
        <v/>
      </c>
      <c r="BU333" s="5">
        <f>IF(A333="","",N(INDEX(Projects[Act Controls Purchase],332)))</f>
        <v/>
      </c>
      <c r="BV333" s="5">
        <f>IF(A333="","",N(INDEX(Projects[Act Software Eng],332)))</f>
        <v/>
      </c>
      <c r="BW333" s="5">
        <f>IF(A333="","",N(INDEX(Projects[Act 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  <c r="CE333" s="5">
        <f>INDEX(Projects[Act Data Status],332)&amp;""</f>
        <v/>
      </c>
      <c r="CF333" s="5">
        <f>IF(A333="","",N(INDEX(Projects[Est Mech Inst],332)))</f>
        <v/>
      </c>
      <c r="CG333" s="5">
        <f>IF(A333="","",N(INDEX(Projects[Est Elec Inst],332)))</f>
        <v/>
      </c>
      <c r="CH333" s="5">
        <f>IF(A333="","",N(INDEX(Projects[Est Project Management],332)))</f>
        <v/>
      </c>
      <c r="CI333" s="5">
        <f>IF(A333="","",N(INDEX(Projects[Est Systems Eng],332)))</f>
        <v/>
      </c>
      <c r="CJ333" s="5">
        <f>IF(A333="","",N(INDEX(Projects[Est Mechanical Eng],332)))</f>
        <v/>
      </c>
      <c r="CK333" s="5">
        <f>IF(A333="","",N(INDEX(Projects[Est Structural Engineering],332)))</f>
        <v/>
      </c>
      <c r="CL333" s="5">
        <f>IF(A333="","",N(INDEX(Projects[Est Site Sup],332)))</f>
        <v/>
      </c>
      <c r="CM333" s="5">
        <f>IF(A333="","",N(INDEX(Projects[Est Controls Commissioning],332)))</f>
        <v/>
      </c>
      <c r="CN333" s="5">
        <f>IF(A333="","",N(INDEX(Projects[Est Systems Commissioning],332)))</f>
        <v/>
      </c>
      <c r="CO333" s="5">
        <f>IF(A333="","",N(INDEX(Projects[Est Service Commissioning],332)))</f>
        <v/>
      </c>
      <c r="CP333" s="5">
        <f>IF(A333="","",N(INDEX(Projects[Est Controls Eng],332)))</f>
        <v/>
      </c>
      <c r="CQ333" s="5">
        <f>IF(A333="","",N(INDEX(Projects[Est Controls Purchase],332)))</f>
        <v/>
      </c>
      <c r="CR333" s="5">
        <f>IF(A333="","",N(INDEX(Projects[Est Software Eng],332)))</f>
        <v/>
      </c>
      <c r="CS333" s="5">
        <f>IF(A333="","",N(INDEX(Projects[Est Misc],332)))</f>
        <v/>
      </c>
      <c r="CT333" s="5">
        <f>IF(A333="","",SUM(CF333:CS333))</f>
        <v/>
      </c>
      <c r="CU333" s="5">
        <f>INDEX(Projects[Est Cost (M)],332)</f>
        <v/>
      </c>
      <c r="CV333" s="5">
        <f>INDEX(Projects[Act Cost (M)],332)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IF(A334="","",N(INDEX(Projects[Act Mech Inst],333)))</f>
        <v/>
      </c>
      <c r="BK334" s="5">
        <f>IF(A334="","",N(INDEX(Projects[Act Elec Inst],333)))</f>
        <v/>
      </c>
      <c r="BL334" s="5">
        <f>IF(A334="","",N(INDEX(Projects[Act Project Management],333)))</f>
        <v/>
      </c>
      <c r="BM334" s="5">
        <f>IF(A334="","",N(INDEX(Projects[Act Systems Eng],333)))</f>
        <v/>
      </c>
      <c r="BN334" s="5">
        <f>IF(A334="","",N(INDEX(Projects[Act Mechanical Eng],333)))</f>
        <v/>
      </c>
      <c r="BO334" s="5">
        <f>IF(A334="","",N(INDEX(Projects[Act Structural Engineering],333)))</f>
        <v/>
      </c>
      <c r="BP334" s="5">
        <f>IF(A334="","",N(INDEX(Projects[Act Site Sup],333)))</f>
        <v/>
      </c>
      <c r="BQ334" s="5">
        <f>IF(A334="","",N(INDEX(Projects[Act Controls Commissioning],333)))</f>
        <v/>
      </c>
      <c r="BR334" s="5">
        <f>IF(A334="","",N(INDEX(Projects[Act Systems Commissioning],333)))</f>
        <v/>
      </c>
      <c r="BS334" s="5">
        <f>IF(A334="","",N(INDEX(Projects[Act Service Commissioning],333)))</f>
        <v/>
      </c>
      <c r="BT334" s="5">
        <f>IF(A334="","",N(INDEX(Projects[Act Controls Eng],333)))</f>
        <v/>
      </c>
      <c r="BU334" s="5">
        <f>IF(A334="","",N(INDEX(Projects[Act Controls Purchase],333)))</f>
        <v/>
      </c>
      <c r="BV334" s="5">
        <f>IF(A334="","",N(INDEX(Projects[Act Software Eng],333)))</f>
        <v/>
      </c>
      <c r="BW334" s="5">
        <f>IF(A334="","",N(INDEX(Projects[Act 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  <c r="CE334" s="5">
        <f>INDEX(Projects[Act Data Status],333)&amp;""</f>
        <v/>
      </c>
      <c r="CF334" s="5">
        <f>IF(A334="","",N(INDEX(Projects[Est Mech Inst],333)))</f>
        <v/>
      </c>
      <c r="CG334" s="5">
        <f>IF(A334="","",N(INDEX(Projects[Est Elec Inst],333)))</f>
        <v/>
      </c>
      <c r="CH334" s="5">
        <f>IF(A334="","",N(INDEX(Projects[Est Project Management],333)))</f>
        <v/>
      </c>
      <c r="CI334" s="5">
        <f>IF(A334="","",N(INDEX(Projects[Est Systems Eng],333)))</f>
        <v/>
      </c>
      <c r="CJ334" s="5">
        <f>IF(A334="","",N(INDEX(Projects[Est Mechanical Eng],333)))</f>
        <v/>
      </c>
      <c r="CK334" s="5">
        <f>IF(A334="","",N(INDEX(Projects[Est Structural Engineering],333)))</f>
        <v/>
      </c>
      <c r="CL334" s="5">
        <f>IF(A334="","",N(INDEX(Projects[Est Site Sup],333)))</f>
        <v/>
      </c>
      <c r="CM334" s="5">
        <f>IF(A334="","",N(INDEX(Projects[Est Controls Commissioning],333)))</f>
        <v/>
      </c>
      <c r="CN334" s="5">
        <f>IF(A334="","",N(INDEX(Projects[Est Systems Commissioning],333)))</f>
        <v/>
      </c>
      <c r="CO334" s="5">
        <f>IF(A334="","",N(INDEX(Projects[Est Service Commissioning],333)))</f>
        <v/>
      </c>
      <c r="CP334" s="5">
        <f>IF(A334="","",N(INDEX(Projects[Est Controls Eng],333)))</f>
        <v/>
      </c>
      <c r="CQ334" s="5">
        <f>IF(A334="","",N(INDEX(Projects[Est Controls Purchase],333)))</f>
        <v/>
      </c>
      <c r="CR334" s="5">
        <f>IF(A334="","",N(INDEX(Projects[Est Software Eng],333)))</f>
        <v/>
      </c>
      <c r="CS334" s="5">
        <f>IF(A334="","",N(INDEX(Projects[Est Misc],333)))</f>
        <v/>
      </c>
      <c r="CT334" s="5">
        <f>IF(A334="","",SUM(CF334:CS334))</f>
        <v/>
      </c>
      <c r="CU334" s="5">
        <f>INDEX(Projects[Est Cost (M)],333)</f>
        <v/>
      </c>
      <c r="CV334" s="5">
        <f>INDEX(Projects[Act Cost (M)],333)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IF(A335="","",N(INDEX(Projects[Act Mech Inst],334)))</f>
        <v/>
      </c>
      <c r="BK335" s="5">
        <f>IF(A335="","",N(INDEX(Projects[Act Elec Inst],334)))</f>
        <v/>
      </c>
      <c r="BL335" s="5">
        <f>IF(A335="","",N(INDEX(Projects[Act Project Management],334)))</f>
        <v/>
      </c>
      <c r="BM335" s="5">
        <f>IF(A335="","",N(INDEX(Projects[Act Systems Eng],334)))</f>
        <v/>
      </c>
      <c r="BN335" s="5">
        <f>IF(A335="","",N(INDEX(Projects[Act Mechanical Eng],334)))</f>
        <v/>
      </c>
      <c r="BO335" s="5">
        <f>IF(A335="","",N(INDEX(Projects[Act Structural Engineering],334)))</f>
        <v/>
      </c>
      <c r="BP335" s="5">
        <f>IF(A335="","",N(INDEX(Projects[Act Site Sup],334)))</f>
        <v/>
      </c>
      <c r="BQ335" s="5">
        <f>IF(A335="","",N(INDEX(Projects[Act Controls Commissioning],334)))</f>
        <v/>
      </c>
      <c r="BR335" s="5">
        <f>IF(A335="","",N(INDEX(Projects[Act Systems Commissioning],334)))</f>
        <v/>
      </c>
      <c r="BS335" s="5">
        <f>IF(A335="","",N(INDEX(Projects[Act Service Commissioning],334)))</f>
        <v/>
      </c>
      <c r="BT335" s="5">
        <f>IF(A335="","",N(INDEX(Projects[Act Controls Eng],334)))</f>
        <v/>
      </c>
      <c r="BU335" s="5">
        <f>IF(A335="","",N(INDEX(Projects[Act Controls Purchase],334)))</f>
        <v/>
      </c>
      <c r="BV335" s="5">
        <f>IF(A335="","",N(INDEX(Projects[Act Software Eng],334)))</f>
        <v/>
      </c>
      <c r="BW335" s="5">
        <f>IF(A335="","",N(INDEX(Projects[Act 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  <c r="CE335" s="5">
        <f>INDEX(Projects[Act Data Status],334)&amp;""</f>
        <v/>
      </c>
      <c r="CF335" s="5">
        <f>IF(A335="","",N(INDEX(Projects[Est Mech Inst],334)))</f>
        <v/>
      </c>
      <c r="CG335" s="5">
        <f>IF(A335="","",N(INDEX(Projects[Est Elec Inst],334)))</f>
        <v/>
      </c>
      <c r="CH335" s="5">
        <f>IF(A335="","",N(INDEX(Projects[Est Project Management],334)))</f>
        <v/>
      </c>
      <c r="CI335" s="5">
        <f>IF(A335="","",N(INDEX(Projects[Est Systems Eng],334)))</f>
        <v/>
      </c>
      <c r="CJ335" s="5">
        <f>IF(A335="","",N(INDEX(Projects[Est Mechanical Eng],334)))</f>
        <v/>
      </c>
      <c r="CK335" s="5">
        <f>IF(A335="","",N(INDEX(Projects[Est Structural Engineering],334)))</f>
        <v/>
      </c>
      <c r="CL335" s="5">
        <f>IF(A335="","",N(INDEX(Projects[Est Site Sup],334)))</f>
        <v/>
      </c>
      <c r="CM335" s="5">
        <f>IF(A335="","",N(INDEX(Projects[Est Controls Commissioning],334)))</f>
        <v/>
      </c>
      <c r="CN335" s="5">
        <f>IF(A335="","",N(INDEX(Projects[Est Systems Commissioning],334)))</f>
        <v/>
      </c>
      <c r="CO335" s="5">
        <f>IF(A335="","",N(INDEX(Projects[Est Service Commissioning],334)))</f>
        <v/>
      </c>
      <c r="CP335" s="5">
        <f>IF(A335="","",N(INDEX(Projects[Est Controls Eng],334)))</f>
        <v/>
      </c>
      <c r="CQ335" s="5">
        <f>IF(A335="","",N(INDEX(Projects[Est Controls Purchase],334)))</f>
        <v/>
      </c>
      <c r="CR335" s="5">
        <f>IF(A335="","",N(INDEX(Projects[Est Software Eng],334)))</f>
        <v/>
      </c>
      <c r="CS335" s="5">
        <f>IF(A335="","",N(INDEX(Projects[Est Misc],334)))</f>
        <v/>
      </c>
      <c r="CT335" s="5">
        <f>IF(A335="","",SUM(CF335:CS335))</f>
        <v/>
      </c>
      <c r="CU335" s="5">
        <f>INDEX(Projects[Est Cost (M)],334)</f>
        <v/>
      </c>
      <c r="CV335" s="5">
        <f>INDEX(Projects[Act Cost (M)],334)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IF(A336="","",N(INDEX(Projects[Act Mech Inst],335)))</f>
        <v/>
      </c>
      <c r="BK336" s="5">
        <f>IF(A336="","",N(INDEX(Projects[Act Elec Inst],335)))</f>
        <v/>
      </c>
      <c r="BL336" s="5">
        <f>IF(A336="","",N(INDEX(Projects[Act Project Management],335)))</f>
        <v/>
      </c>
      <c r="BM336" s="5">
        <f>IF(A336="","",N(INDEX(Projects[Act Systems Eng],335)))</f>
        <v/>
      </c>
      <c r="BN336" s="5">
        <f>IF(A336="","",N(INDEX(Projects[Act Mechanical Eng],335)))</f>
        <v/>
      </c>
      <c r="BO336" s="5">
        <f>IF(A336="","",N(INDEX(Projects[Act Structural Engineering],335)))</f>
        <v/>
      </c>
      <c r="BP336" s="5">
        <f>IF(A336="","",N(INDEX(Projects[Act Site Sup],335)))</f>
        <v/>
      </c>
      <c r="BQ336" s="5">
        <f>IF(A336="","",N(INDEX(Projects[Act Controls Commissioning],335)))</f>
        <v/>
      </c>
      <c r="BR336" s="5">
        <f>IF(A336="","",N(INDEX(Projects[Act Systems Commissioning],335)))</f>
        <v/>
      </c>
      <c r="BS336" s="5">
        <f>IF(A336="","",N(INDEX(Projects[Act Service Commissioning],335)))</f>
        <v/>
      </c>
      <c r="BT336" s="5">
        <f>IF(A336="","",N(INDEX(Projects[Act Controls Eng],335)))</f>
        <v/>
      </c>
      <c r="BU336" s="5">
        <f>IF(A336="","",N(INDEX(Projects[Act Controls Purchase],335)))</f>
        <v/>
      </c>
      <c r="BV336" s="5">
        <f>IF(A336="","",N(INDEX(Projects[Act Software Eng],335)))</f>
        <v/>
      </c>
      <c r="BW336" s="5">
        <f>IF(A336="","",N(INDEX(Projects[Act 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  <c r="CE336" s="5">
        <f>INDEX(Projects[Act Data Status],335)&amp;""</f>
        <v/>
      </c>
      <c r="CF336" s="5">
        <f>IF(A336="","",N(INDEX(Projects[Est Mech Inst],335)))</f>
        <v/>
      </c>
      <c r="CG336" s="5">
        <f>IF(A336="","",N(INDEX(Projects[Est Elec Inst],335)))</f>
        <v/>
      </c>
      <c r="CH336" s="5">
        <f>IF(A336="","",N(INDEX(Projects[Est Project Management],335)))</f>
        <v/>
      </c>
      <c r="CI336" s="5">
        <f>IF(A336="","",N(INDEX(Projects[Est Systems Eng],335)))</f>
        <v/>
      </c>
      <c r="CJ336" s="5">
        <f>IF(A336="","",N(INDEX(Projects[Est Mechanical Eng],335)))</f>
        <v/>
      </c>
      <c r="CK336" s="5">
        <f>IF(A336="","",N(INDEX(Projects[Est Structural Engineering],335)))</f>
        <v/>
      </c>
      <c r="CL336" s="5">
        <f>IF(A336="","",N(INDEX(Projects[Est Site Sup],335)))</f>
        <v/>
      </c>
      <c r="CM336" s="5">
        <f>IF(A336="","",N(INDEX(Projects[Est Controls Commissioning],335)))</f>
        <v/>
      </c>
      <c r="CN336" s="5">
        <f>IF(A336="","",N(INDEX(Projects[Est Systems Commissioning],335)))</f>
        <v/>
      </c>
      <c r="CO336" s="5">
        <f>IF(A336="","",N(INDEX(Projects[Est Service Commissioning],335)))</f>
        <v/>
      </c>
      <c r="CP336" s="5">
        <f>IF(A336="","",N(INDEX(Projects[Est Controls Eng],335)))</f>
        <v/>
      </c>
      <c r="CQ336" s="5">
        <f>IF(A336="","",N(INDEX(Projects[Est Controls Purchase],335)))</f>
        <v/>
      </c>
      <c r="CR336" s="5">
        <f>IF(A336="","",N(INDEX(Projects[Est Software Eng],335)))</f>
        <v/>
      </c>
      <c r="CS336" s="5">
        <f>IF(A336="","",N(INDEX(Projects[Est Misc],335)))</f>
        <v/>
      </c>
      <c r="CT336" s="5">
        <f>IF(A336="","",SUM(CF336:CS336))</f>
        <v/>
      </c>
      <c r="CU336" s="5">
        <f>INDEX(Projects[Est Cost (M)],335)</f>
        <v/>
      </c>
      <c r="CV336" s="5">
        <f>INDEX(Projects[Act Cost (M)],335)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IF(A337="","",N(INDEX(Projects[Act Mech Inst],336)))</f>
        <v/>
      </c>
      <c r="BK337" s="5">
        <f>IF(A337="","",N(INDEX(Projects[Act Elec Inst],336)))</f>
        <v/>
      </c>
      <c r="BL337" s="5">
        <f>IF(A337="","",N(INDEX(Projects[Act Project Management],336)))</f>
        <v/>
      </c>
      <c r="BM337" s="5">
        <f>IF(A337="","",N(INDEX(Projects[Act Systems Eng],336)))</f>
        <v/>
      </c>
      <c r="BN337" s="5">
        <f>IF(A337="","",N(INDEX(Projects[Act Mechanical Eng],336)))</f>
        <v/>
      </c>
      <c r="BO337" s="5">
        <f>IF(A337="","",N(INDEX(Projects[Act Structural Engineering],336)))</f>
        <v/>
      </c>
      <c r="BP337" s="5">
        <f>IF(A337="","",N(INDEX(Projects[Act Site Sup],336)))</f>
        <v/>
      </c>
      <c r="BQ337" s="5">
        <f>IF(A337="","",N(INDEX(Projects[Act Controls Commissioning],336)))</f>
        <v/>
      </c>
      <c r="BR337" s="5">
        <f>IF(A337="","",N(INDEX(Projects[Act Systems Commissioning],336)))</f>
        <v/>
      </c>
      <c r="BS337" s="5">
        <f>IF(A337="","",N(INDEX(Projects[Act Service Commissioning],336)))</f>
        <v/>
      </c>
      <c r="BT337" s="5">
        <f>IF(A337="","",N(INDEX(Projects[Act Controls Eng],336)))</f>
        <v/>
      </c>
      <c r="BU337" s="5">
        <f>IF(A337="","",N(INDEX(Projects[Act Controls Purchase],336)))</f>
        <v/>
      </c>
      <c r="BV337" s="5">
        <f>IF(A337="","",N(INDEX(Projects[Act Software Eng],336)))</f>
        <v/>
      </c>
      <c r="BW337" s="5">
        <f>IF(A337="","",N(INDEX(Projects[Act 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  <c r="CE337" s="5">
        <f>INDEX(Projects[Act Data Status],336)&amp;""</f>
        <v/>
      </c>
      <c r="CF337" s="5">
        <f>IF(A337="","",N(INDEX(Projects[Est Mech Inst],336)))</f>
        <v/>
      </c>
      <c r="CG337" s="5">
        <f>IF(A337="","",N(INDEX(Projects[Est Elec Inst],336)))</f>
        <v/>
      </c>
      <c r="CH337" s="5">
        <f>IF(A337="","",N(INDEX(Projects[Est Project Management],336)))</f>
        <v/>
      </c>
      <c r="CI337" s="5">
        <f>IF(A337="","",N(INDEX(Projects[Est Systems Eng],336)))</f>
        <v/>
      </c>
      <c r="CJ337" s="5">
        <f>IF(A337="","",N(INDEX(Projects[Est Mechanical Eng],336)))</f>
        <v/>
      </c>
      <c r="CK337" s="5">
        <f>IF(A337="","",N(INDEX(Projects[Est Structural Engineering],336)))</f>
        <v/>
      </c>
      <c r="CL337" s="5">
        <f>IF(A337="","",N(INDEX(Projects[Est Site Sup],336)))</f>
        <v/>
      </c>
      <c r="CM337" s="5">
        <f>IF(A337="","",N(INDEX(Projects[Est Controls Commissioning],336)))</f>
        <v/>
      </c>
      <c r="CN337" s="5">
        <f>IF(A337="","",N(INDEX(Projects[Est Systems Commissioning],336)))</f>
        <v/>
      </c>
      <c r="CO337" s="5">
        <f>IF(A337="","",N(INDEX(Projects[Est Service Commissioning],336)))</f>
        <v/>
      </c>
      <c r="CP337" s="5">
        <f>IF(A337="","",N(INDEX(Projects[Est Controls Eng],336)))</f>
        <v/>
      </c>
      <c r="CQ337" s="5">
        <f>IF(A337="","",N(INDEX(Projects[Est Controls Purchase],336)))</f>
        <v/>
      </c>
      <c r="CR337" s="5">
        <f>IF(A337="","",N(INDEX(Projects[Est Software Eng],336)))</f>
        <v/>
      </c>
      <c r="CS337" s="5">
        <f>IF(A337="","",N(INDEX(Projects[Est Misc],336)))</f>
        <v/>
      </c>
      <c r="CT337" s="5">
        <f>IF(A337="","",SUM(CF337:CS337))</f>
        <v/>
      </c>
      <c r="CU337" s="5">
        <f>INDEX(Projects[Est Cost (M)],336)</f>
        <v/>
      </c>
      <c r="CV337" s="5">
        <f>INDEX(Projects[Act Cost (M)],336)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IF(A338="","",N(INDEX(Projects[Act Mech Inst],337)))</f>
        <v/>
      </c>
      <c r="BK338" s="5">
        <f>IF(A338="","",N(INDEX(Projects[Act Elec Inst],337)))</f>
        <v/>
      </c>
      <c r="BL338" s="5">
        <f>IF(A338="","",N(INDEX(Projects[Act Project Management],337)))</f>
        <v/>
      </c>
      <c r="BM338" s="5">
        <f>IF(A338="","",N(INDEX(Projects[Act Systems Eng],337)))</f>
        <v/>
      </c>
      <c r="BN338" s="5">
        <f>IF(A338="","",N(INDEX(Projects[Act Mechanical Eng],337)))</f>
        <v/>
      </c>
      <c r="BO338" s="5">
        <f>IF(A338="","",N(INDEX(Projects[Act Structural Engineering],337)))</f>
        <v/>
      </c>
      <c r="BP338" s="5">
        <f>IF(A338="","",N(INDEX(Projects[Act Site Sup],337)))</f>
        <v/>
      </c>
      <c r="BQ338" s="5">
        <f>IF(A338="","",N(INDEX(Projects[Act Controls Commissioning],337)))</f>
        <v/>
      </c>
      <c r="BR338" s="5">
        <f>IF(A338="","",N(INDEX(Projects[Act Systems Commissioning],337)))</f>
        <v/>
      </c>
      <c r="BS338" s="5">
        <f>IF(A338="","",N(INDEX(Projects[Act Service Commissioning],337)))</f>
        <v/>
      </c>
      <c r="BT338" s="5">
        <f>IF(A338="","",N(INDEX(Projects[Act Controls Eng],337)))</f>
        <v/>
      </c>
      <c r="BU338" s="5">
        <f>IF(A338="","",N(INDEX(Projects[Act Controls Purchase],337)))</f>
        <v/>
      </c>
      <c r="BV338" s="5">
        <f>IF(A338="","",N(INDEX(Projects[Act Software Eng],337)))</f>
        <v/>
      </c>
      <c r="BW338" s="5">
        <f>IF(A338="","",N(INDEX(Projects[Act 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  <c r="CE338" s="5">
        <f>INDEX(Projects[Act Data Status],337)&amp;""</f>
        <v/>
      </c>
      <c r="CF338" s="5">
        <f>IF(A338="","",N(INDEX(Projects[Est Mech Inst],337)))</f>
        <v/>
      </c>
      <c r="CG338" s="5">
        <f>IF(A338="","",N(INDEX(Projects[Est Elec Inst],337)))</f>
        <v/>
      </c>
      <c r="CH338" s="5">
        <f>IF(A338="","",N(INDEX(Projects[Est Project Management],337)))</f>
        <v/>
      </c>
      <c r="CI338" s="5">
        <f>IF(A338="","",N(INDEX(Projects[Est Systems Eng],337)))</f>
        <v/>
      </c>
      <c r="CJ338" s="5">
        <f>IF(A338="","",N(INDEX(Projects[Est Mechanical Eng],337)))</f>
        <v/>
      </c>
      <c r="CK338" s="5">
        <f>IF(A338="","",N(INDEX(Projects[Est Structural Engineering],337)))</f>
        <v/>
      </c>
      <c r="CL338" s="5">
        <f>IF(A338="","",N(INDEX(Projects[Est Site Sup],337)))</f>
        <v/>
      </c>
      <c r="CM338" s="5">
        <f>IF(A338="","",N(INDEX(Projects[Est Controls Commissioning],337)))</f>
        <v/>
      </c>
      <c r="CN338" s="5">
        <f>IF(A338="","",N(INDEX(Projects[Est Systems Commissioning],337)))</f>
        <v/>
      </c>
      <c r="CO338" s="5">
        <f>IF(A338="","",N(INDEX(Projects[Est Service Commissioning],337)))</f>
        <v/>
      </c>
      <c r="CP338" s="5">
        <f>IF(A338="","",N(INDEX(Projects[Est Controls Eng],337)))</f>
        <v/>
      </c>
      <c r="CQ338" s="5">
        <f>IF(A338="","",N(INDEX(Projects[Est Controls Purchase],337)))</f>
        <v/>
      </c>
      <c r="CR338" s="5">
        <f>IF(A338="","",N(INDEX(Projects[Est Software Eng],337)))</f>
        <v/>
      </c>
      <c r="CS338" s="5">
        <f>IF(A338="","",N(INDEX(Projects[Est Misc],337)))</f>
        <v/>
      </c>
      <c r="CT338" s="5">
        <f>IF(A338="","",SUM(CF338:CS338))</f>
        <v/>
      </c>
      <c r="CU338" s="5">
        <f>INDEX(Projects[Est Cost (M)],337)</f>
        <v/>
      </c>
      <c r="CV338" s="5">
        <f>INDEX(Projects[Act Cost (M)],337)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IF(A339="","",N(INDEX(Projects[Act Mech Inst],338)))</f>
        <v/>
      </c>
      <c r="BK339" s="5">
        <f>IF(A339="","",N(INDEX(Projects[Act Elec Inst],338)))</f>
        <v/>
      </c>
      <c r="BL339" s="5">
        <f>IF(A339="","",N(INDEX(Projects[Act Project Management],338)))</f>
        <v/>
      </c>
      <c r="BM339" s="5">
        <f>IF(A339="","",N(INDEX(Projects[Act Systems Eng],338)))</f>
        <v/>
      </c>
      <c r="BN339" s="5">
        <f>IF(A339="","",N(INDEX(Projects[Act Mechanical Eng],338)))</f>
        <v/>
      </c>
      <c r="BO339" s="5">
        <f>IF(A339="","",N(INDEX(Projects[Act Structural Engineering],338)))</f>
        <v/>
      </c>
      <c r="BP339" s="5">
        <f>IF(A339="","",N(INDEX(Projects[Act Site Sup],338)))</f>
        <v/>
      </c>
      <c r="BQ339" s="5">
        <f>IF(A339="","",N(INDEX(Projects[Act Controls Commissioning],338)))</f>
        <v/>
      </c>
      <c r="BR339" s="5">
        <f>IF(A339="","",N(INDEX(Projects[Act Systems Commissioning],338)))</f>
        <v/>
      </c>
      <c r="BS339" s="5">
        <f>IF(A339="","",N(INDEX(Projects[Act Service Commissioning],338)))</f>
        <v/>
      </c>
      <c r="BT339" s="5">
        <f>IF(A339="","",N(INDEX(Projects[Act Controls Eng],338)))</f>
        <v/>
      </c>
      <c r="BU339" s="5">
        <f>IF(A339="","",N(INDEX(Projects[Act Controls Purchase],338)))</f>
        <v/>
      </c>
      <c r="BV339" s="5">
        <f>IF(A339="","",N(INDEX(Projects[Act Software Eng],338)))</f>
        <v/>
      </c>
      <c r="BW339" s="5">
        <f>IF(A339="","",N(INDEX(Projects[Act 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  <c r="CE339" s="5">
        <f>INDEX(Projects[Act Data Status],338)&amp;""</f>
        <v/>
      </c>
      <c r="CF339" s="5">
        <f>IF(A339="","",N(INDEX(Projects[Est Mech Inst],338)))</f>
        <v/>
      </c>
      <c r="CG339" s="5">
        <f>IF(A339="","",N(INDEX(Projects[Est Elec Inst],338)))</f>
        <v/>
      </c>
      <c r="CH339" s="5">
        <f>IF(A339="","",N(INDEX(Projects[Est Project Management],338)))</f>
        <v/>
      </c>
      <c r="CI339" s="5">
        <f>IF(A339="","",N(INDEX(Projects[Est Systems Eng],338)))</f>
        <v/>
      </c>
      <c r="CJ339" s="5">
        <f>IF(A339="","",N(INDEX(Projects[Est Mechanical Eng],338)))</f>
        <v/>
      </c>
      <c r="CK339" s="5">
        <f>IF(A339="","",N(INDEX(Projects[Est Structural Engineering],338)))</f>
        <v/>
      </c>
      <c r="CL339" s="5">
        <f>IF(A339="","",N(INDEX(Projects[Est Site Sup],338)))</f>
        <v/>
      </c>
      <c r="CM339" s="5">
        <f>IF(A339="","",N(INDEX(Projects[Est Controls Commissioning],338)))</f>
        <v/>
      </c>
      <c r="CN339" s="5">
        <f>IF(A339="","",N(INDEX(Projects[Est Systems Commissioning],338)))</f>
        <v/>
      </c>
      <c r="CO339" s="5">
        <f>IF(A339="","",N(INDEX(Projects[Est Service Commissioning],338)))</f>
        <v/>
      </c>
      <c r="CP339" s="5">
        <f>IF(A339="","",N(INDEX(Projects[Est Controls Eng],338)))</f>
        <v/>
      </c>
      <c r="CQ339" s="5">
        <f>IF(A339="","",N(INDEX(Projects[Est Controls Purchase],338)))</f>
        <v/>
      </c>
      <c r="CR339" s="5">
        <f>IF(A339="","",N(INDEX(Projects[Est Software Eng],338)))</f>
        <v/>
      </c>
      <c r="CS339" s="5">
        <f>IF(A339="","",N(INDEX(Projects[Est Misc],338)))</f>
        <v/>
      </c>
      <c r="CT339" s="5">
        <f>IF(A339="","",SUM(CF339:CS339))</f>
        <v/>
      </c>
      <c r="CU339" s="5">
        <f>INDEX(Projects[Est Cost (M)],338)</f>
        <v/>
      </c>
      <c r="CV339" s="5">
        <f>INDEX(Projects[Act Cost (M)],338)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IF(A340="","",N(INDEX(Projects[Act Mech Inst],339)))</f>
        <v/>
      </c>
      <c r="BK340" s="5">
        <f>IF(A340="","",N(INDEX(Projects[Act Elec Inst],339)))</f>
        <v/>
      </c>
      <c r="BL340" s="5">
        <f>IF(A340="","",N(INDEX(Projects[Act Project Management],339)))</f>
        <v/>
      </c>
      <c r="BM340" s="5">
        <f>IF(A340="","",N(INDEX(Projects[Act Systems Eng],339)))</f>
        <v/>
      </c>
      <c r="BN340" s="5">
        <f>IF(A340="","",N(INDEX(Projects[Act Mechanical Eng],339)))</f>
        <v/>
      </c>
      <c r="BO340" s="5">
        <f>IF(A340="","",N(INDEX(Projects[Act Structural Engineering],339)))</f>
        <v/>
      </c>
      <c r="BP340" s="5">
        <f>IF(A340="","",N(INDEX(Projects[Act Site Sup],339)))</f>
        <v/>
      </c>
      <c r="BQ340" s="5">
        <f>IF(A340="","",N(INDEX(Projects[Act Controls Commissioning],339)))</f>
        <v/>
      </c>
      <c r="BR340" s="5">
        <f>IF(A340="","",N(INDEX(Projects[Act Systems Commissioning],339)))</f>
        <v/>
      </c>
      <c r="BS340" s="5">
        <f>IF(A340="","",N(INDEX(Projects[Act Service Commissioning],339)))</f>
        <v/>
      </c>
      <c r="BT340" s="5">
        <f>IF(A340="","",N(INDEX(Projects[Act Controls Eng],339)))</f>
        <v/>
      </c>
      <c r="BU340" s="5">
        <f>IF(A340="","",N(INDEX(Projects[Act Controls Purchase],339)))</f>
        <v/>
      </c>
      <c r="BV340" s="5">
        <f>IF(A340="","",N(INDEX(Projects[Act Software Eng],339)))</f>
        <v/>
      </c>
      <c r="BW340" s="5">
        <f>IF(A340="","",N(INDEX(Projects[Act 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  <c r="CE340" s="5">
        <f>INDEX(Projects[Act Data Status],339)&amp;""</f>
        <v/>
      </c>
      <c r="CF340" s="5">
        <f>IF(A340="","",N(INDEX(Projects[Est Mech Inst],339)))</f>
        <v/>
      </c>
      <c r="CG340" s="5">
        <f>IF(A340="","",N(INDEX(Projects[Est Elec Inst],339)))</f>
        <v/>
      </c>
      <c r="CH340" s="5">
        <f>IF(A340="","",N(INDEX(Projects[Est Project Management],339)))</f>
        <v/>
      </c>
      <c r="CI340" s="5">
        <f>IF(A340="","",N(INDEX(Projects[Est Systems Eng],339)))</f>
        <v/>
      </c>
      <c r="CJ340" s="5">
        <f>IF(A340="","",N(INDEX(Projects[Est Mechanical Eng],339)))</f>
        <v/>
      </c>
      <c r="CK340" s="5">
        <f>IF(A340="","",N(INDEX(Projects[Est Structural Engineering],339)))</f>
        <v/>
      </c>
      <c r="CL340" s="5">
        <f>IF(A340="","",N(INDEX(Projects[Est Site Sup],339)))</f>
        <v/>
      </c>
      <c r="CM340" s="5">
        <f>IF(A340="","",N(INDEX(Projects[Est Controls Commissioning],339)))</f>
        <v/>
      </c>
      <c r="CN340" s="5">
        <f>IF(A340="","",N(INDEX(Projects[Est Systems Commissioning],339)))</f>
        <v/>
      </c>
      <c r="CO340" s="5">
        <f>IF(A340="","",N(INDEX(Projects[Est Service Commissioning],339)))</f>
        <v/>
      </c>
      <c r="CP340" s="5">
        <f>IF(A340="","",N(INDEX(Projects[Est Controls Eng],339)))</f>
        <v/>
      </c>
      <c r="CQ340" s="5">
        <f>IF(A340="","",N(INDEX(Projects[Est Controls Purchase],339)))</f>
        <v/>
      </c>
      <c r="CR340" s="5">
        <f>IF(A340="","",N(INDEX(Projects[Est Software Eng],339)))</f>
        <v/>
      </c>
      <c r="CS340" s="5">
        <f>IF(A340="","",N(INDEX(Projects[Est Misc],339)))</f>
        <v/>
      </c>
      <c r="CT340" s="5">
        <f>IF(A340="","",SUM(CF340:CS340))</f>
        <v/>
      </c>
      <c r="CU340" s="5">
        <f>INDEX(Projects[Est Cost (M)],339)</f>
        <v/>
      </c>
      <c r="CV340" s="5">
        <f>INDEX(Projects[Act Cost (M)],339)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IF(A341="","",N(INDEX(Projects[Act Mech Inst],340)))</f>
        <v/>
      </c>
      <c r="BK341" s="5">
        <f>IF(A341="","",N(INDEX(Projects[Act Elec Inst],340)))</f>
        <v/>
      </c>
      <c r="BL341" s="5">
        <f>IF(A341="","",N(INDEX(Projects[Act Project Management],340)))</f>
        <v/>
      </c>
      <c r="BM341" s="5">
        <f>IF(A341="","",N(INDEX(Projects[Act Systems Eng],340)))</f>
        <v/>
      </c>
      <c r="BN341" s="5">
        <f>IF(A341="","",N(INDEX(Projects[Act Mechanical Eng],340)))</f>
        <v/>
      </c>
      <c r="BO341" s="5">
        <f>IF(A341="","",N(INDEX(Projects[Act Structural Engineering],340)))</f>
        <v/>
      </c>
      <c r="BP341" s="5">
        <f>IF(A341="","",N(INDEX(Projects[Act Site Sup],340)))</f>
        <v/>
      </c>
      <c r="BQ341" s="5">
        <f>IF(A341="","",N(INDEX(Projects[Act Controls Commissioning],340)))</f>
        <v/>
      </c>
      <c r="BR341" s="5">
        <f>IF(A341="","",N(INDEX(Projects[Act Systems Commissioning],340)))</f>
        <v/>
      </c>
      <c r="BS341" s="5">
        <f>IF(A341="","",N(INDEX(Projects[Act Service Commissioning],340)))</f>
        <v/>
      </c>
      <c r="BT341" s="5">
        <f>IF(A341="","",N(INDEX(Projects[Act Controls Eng],340)))</f>
        <v/>
      </c>
      <c r="BU341" s="5">
        <f>IF(A341="","",N(INDEX(Projects[Act Controls Purchase],340)))</f>
        <v/>
      </c>
      <c r="BV341" s="5">
        <f>IF(A341="","",N(INDEX(Projects[Act Software Eng],340)))</f>
        <v/>
      </c>
      <c r="BW341" s="5">
        <f>IF(A341="","",N(INDEX(Projects[Act 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  <c r="CE341" s="5">
        <f>INDEX(Projects[Act Data Status],340)&amp;""</f>
        <v/>
      </c>
      <c r="CF341" s="5">
        <f>IF(A341="","",N(INDEX(Projects[Est Mech Inst],340)))</f>
        <v/>
      </c>
      <c r="CG341" s="5">
        <f>IF(A341="","",N(INDEX(Projects[Est Elec Inst],340)))</f>
        <v/>
      </c>
      <c r="CH341" s="5">
        <f>IF(A341="","",N(INDEX(Projects[Est Project Management],340)))</f>
        <v/>
      </c>
      <c r="CI341" s="5">
        <f>IF(A341="","",N(INDEX(Projects[Est Systems Eng],340)))</f>
        <v/>
      </c>
      <c r="CJ341" s="5">
        <f>IF(A341="","",N(INDEX(Projects[Est Mechanical Eng],340)))</f>
        <v/>
      </c>
      <c r="CK341" s="5">
        <f>IF(A341="","",N(INDEX(Projects[Est Structural Engineering],340)))</f>
        <v/>
      </c>
      <c r="CL341" s="5">
        <f>IF(A341="","",N(INDEX(Projects[Est Site Sup],340)))</f>
        <v/>
      </c>
      <c r="CM341" s="5">
        <f>IF(A341="","",N(INDEX(Projects[Est Controls Commissioning],340)))</f>
        <v/>
      </c>
      <c r="CN341" s="5">
        <f>IF(A341="","",N(INDEX(Projects[Est Systems Commissioning],340)))</f>
        <v/>
      </c>
      <c r="CO341" s="5">
        <f>IF(A341="","",N(INDEX(Projects[Est Service Commissioning],340)))</f>
        <v/>
      </c>
      <c r="CP341" s="5">
        <f>IF(A341="","",N(INDEX(Projects[Est Controls Eng],340)))</f>
        <v/>
      </c>
      <c r="CQ341" s="5">
        <f>IF(A341="","",N(INDEX(Projects[Est Controls Purchase],340)))</f>
        <v/>
      </c>
      <c r="CR341" s="5">
        <f>IF(A341="","",N(INDEX(Projects[Est Software Eng],340)))</f>
        <v/>
      </c>
      <c r="CS341" s="5">
        <f>IF(A341="","",N(INDEX(Projects[Est Misc],340)))</f>
        <v/>
      </c>
      <c r="CT341" s="5">
        <f>IF(A341="","",SUM(CF341:CS341))</f>
        <v/>
      </c>
      <c r="CU341" s="5">
        <f>INDEX(Projects[Est Cost (M)],340)</f>
        <v/>
      </c>
      <c r="CV341" s="5">
        <f>INDEX(Projects[Act Cost (M)],340)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IF(A342="","",N(INDEX(Projects[Act Mech Inst],341)))</f>
        <v/>
      </c>
      <c r="BK342" s="5">
        <f>IF(A342="","",N(INDEX(Projects[Act Elec Inst],341)))</f>
        <v/>
      </c>
      <c r="BL342" s="5">
        <f>IF(A342="","",N(INDEX(Projects[Act Project Management],341)))</f>
        <v/>
      </c>
      <c r="BM342" s="5">
        <f>IF(A342="","",N(INDEX(Projects[Act Systems Eng],341)))</f>
        <v/>
      </c>
      <c r="BN342" s="5">
        <f>IF(A342="","",N(INDEX(Projects[Act Mechanical Eng],341)))</f>
        <v/>
      </c>
      <c r="BO342" s="5">
        <f>IF(A342="","",N(INDEX(Projects[Act Structural Engineering],341)))</f>
        <v/>
      </c>
      <c r="BP342" s="5">
        <f>IF(A342="","",N(INDEX(Projects[Act Site Sup],341)))</f>
        <v/>
      </c>
      <c r="BQ342" s="5">
        <f>IF(A342="","",N(INDEX(Projects[Act Controls Commissioning],341)))</f>
        <v/>
      </c>
      <c r="BR342" s="5">
        <f>IF(A342="","",N(INDEX(Projects[Act Systems Commissioning],341)))</f>
        <v/>
      </c>
      <c r="BS342" s="5">
        <f>IF(A342="","",N(INDEX(Projects[Act Service Commissioning],341)))</f>
        <v/>
      </c>
      <c r="BT342" s="5">
        <f>IF(A342="","",N(INDEX(Projects[Act Controls Eng],341)))</f>
        <v/>
      </c>
      <c r="BU342" s="5">
        <f>IF(A342="","",N(INDEX(Projects[Act Controls Purchase],341)))</f>
        <v/>
      </c>
      <c r="BV342" s="5">
        <f>IF(A342="","",N(INDEX(Projects[Act Software Eng],341)))</f>
        <v/>
      </c>
      <c r="BW342" s="5">
        <f>IF(A342="","",N(INDEX(Projects[Act 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  <c r="CE342" s="5">
        <f>INDEX(Projects[Act Data Status],341)&amp;""</f>
        <v/>
      </c>
      <c r="CF342" s="5">
        <f>IF(A342="","",N(INDEX(Projects[Est Mech Inst],341)))</f>
        <v/>
      </c>
      <c r="CG342" s="5">
        <f>IF(A342="","",N(INDEX(Projects[Est Elec Inst],341)))</f>
        <v/>
      </c>
      <c r="CH342" s="5">
        <f>IF(A342="","",N(INDEX(Projects[Est Project Management],341)))</f>
        <v/>
      </c>
      <c r="CI342" s="5">
        <f>IF(A342="","",N(INDEX(Projects[Est Systems Eng],341)))</f>
        <v/>
      </c>
      <c r="CJ342" s="5">
        <f>IF(A342="","",N(INDEX(Projects[Est Mechanical Eng],341)))</f>
        <v/>
      </c>
      <c r="CK342" s="5">
        <f>IF(A342="","",N(INDEX(Projects[Est Structural Engineering],341)))</f>
        <v/>
      </c>
      <c r="CL342" s="5">
        <f>IF(A342="","",N(INDEX(Projects[Est Site Sup],341)))</f>
        <v/>
      </c>
      <c r="CM342" s="5">
        <f>IF(A342="","",N(INDEX(Projects[Est Controls Commissioning],341)))</f>
        <v/>
      </c>
      <c r="CN342" s="5">
        <f>IF(A342="","",N(INDEX(Projects[Est Systems Commissioning],341)))</f>
        <v/>
      </c>
      <c r="CO342" s="5">
        <f>IF(A342="","",N(INDEX(Projects[Est Service Commissioning],341)))</f>
        <v/>
      </c>
      <c r="CP342" s="5">
        <f>IF(A342="","",N(INDEX(Projects[Est Controls Eng],341)))</f>
        <v/>
      </c>
      <c r="CQ342" s="5">
        <f>IF(A342="","",N(INDEX(Projects[Est Controls Purchase],341)))</f>
        <v/>
      </c>
      <c r="CR342" s="5">
        <f>IF(A342="","",N(INDEX(Projects[Est Software Eng],341)))</f>
        <v/>
      </c>
      <c r="CS342" s="5">
        <f>IF(A342="","",N(INDEX(Projects[Est Misc],341)))</f>
        <v/>
      </c>
      <c r="CT342" s="5">
        <f>IF(A342="","",SUM(CF342:CS342))</f>
        <v/>
      </c>
      <c r="CU342" s="5">
        <f>INDEX(Projects[Est Cost (M)],341)</f>
        <v/>
      </c>
      <c r="CV342" s="5">
        <f>INDEX(Projects[Act Cost (M)],341)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IF(A343="","",N(INDEX(Projects[Act Mech Inst],342)))</f>
        <v/>
      </c>
      <c r="BK343" s="5">
        <f>IF(A343="","",N(INDEX(Projects[Act Elec Inst],342)))</f>
        <v/>
      </c>
      <c r="BL343" s="5">
        <f>IF(A343="","",N(INDEX(Projects[Act Project Management],342)))</f>
        <v/>
      </c>
      <c r="BM343" s="5">
        <f>IF(A343="","",N(INDEX(Projects[Act Systems Eng],342)))</f>
        <v/>
      </c>
      <c r="BN343" s="5">
        <f>IF(A343="","",N(INDEX(Projects[Act Mechanical Eng],342)))</f>
        <v/>
      </c>
      <c r="BO343" s="5">
        <f>IF(A343="","",N(INDEX(Projects[Act Structural Engineering],342)))</f>
        <v/>
      </c>
      <c r="BP343" s="5">
        <f>IF(A343="","",N(INDEX(Projects[Act Site Sup],342)))</f>
        <v/>
      </c>
      <c r="BQ343" s="5">
        <f>IF(A343="","",N(INDEX(Projects[Act Controls Commissioning],342)))</f>
        <v/>
      </c>
      <c r="BR343" s="5">
        <f>IF(A343="","",N(INDEX(Projects[Act Systems Commissioning],342)))</f>
        <v/>
      </c>
      <c r="BS343" s="5">
        <f>IF(A343="","",N(INDEX(Projects[Act Service Commissioning],342)))</f>
        <v/>
      </c>
      <c r="BT343" s="5">
        <f>IF(A343="","",N(INDEX(Projects[Act Controls Eng],342)))</f>
        <v/>
      </c>
      <c r="BU343" s="5">
        <f>IF(A343="","",N(INDEX(Projects[Act Controls Purchase],342)))</f>
        <v/>
      </c>
      <c r="BV343" s="5">
        <f>IF(A343="","",N(INDEX(Projects[Act Software Eng],342)))</f>
        <v/>
      </c>
      <c r="BW343" s="5">
        <f>IF(A343="","",N(INDEX(Projects[Act 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  <c r="CE343" s="5">
        <f>INDEX(Projects[Act Data Status],342)&amp;""</f>
        <v/>
      </c>
      <c r="CF343" s="5">
        <f>IF(A343="","",N(INDEX(Projects[Est Mech Inst],342)))</f>
        <v/>
      </c>
      <c r="CG343" s="5">
        <f>IF(A343="","",N(INDEX(Projects[Est Elec Inst],342)))</f>
        <v/>
      </c>
      <c r="CH343" s="5">
        <f>IF(A343="","",N(INDEX(Projects[Est Project Management],342)))</f>
        <v/>
      </c>
      <c r="CI343" s="5">
        <f>IF(A343="","",N(INDEX(Projects[Est Systems Eng],342)))</f>
        <v/>
      </c>
      <c r="CJ343" s="5">
        <f>IF(A343="","",N(INDEX(Projects[Est Mechanical Eng],342)))</f>
        <v/>
      </c>
      <c r="CK343" s="5">
        <f>IF(A343="","",N(INDEX(Projects[Est Structural Engineering],342)))</f>
        <v/>
      </c>
      <c r="CL343" s="5">
        <f>IF(A343="","",N(INDEX(Projects[Est Site Sup],342)))</f>
        <v/>
      </c>
      <c r="CM343" s="5">
        <f>IF(A343="","",N(INDEX(Projects[Est Controls Commissioning],342)))</f>
        <v/>
      </c>
      <c r="CN343" s="5">
        <f>IF(A343="","",N(INDEX(Projects[Est Systems Commissioning],342)))</f>
        <v/>
      </c>
      <c r="CO343" s="5">
        <f>IF(A343="","",N(INDEX(Projects[Est Service Commissioning],342)))</f>
        <v/>
      </c>
      <c r="CP343" s="5">
        <f>IF(A343="","",N(INDEX(Projects[Est Controls Eng],342)))</f>
        <v/>
      </c>
      <c r="CQ343" s="5">
        <f>IF(A343="","",N(INDEX(Projects[Est Controls Purchase],342)))</f>
        <v/>
      </c>
      <c r="CR343" s="5">
        <f>IF(A343="","",N(INDEX(Projects[Est Software Eng],342)))</f>
        <v/>
      </c>
      <c r="CS343" s="5">
        <f>IF(A343="","",N(INDEX(Projects[Est Misc],342)))</f>
        <v/>
      </c>
      <c r="CT343" s="5">
        <f>IF(A343="","",SUM(CF343:CS343))</f>
        <v/>
      </c>
      <c r="CU343" s="5">
        <f>INDEX(Projects[Est Cost (M)],342)</f>
        <v/>
      </c>
      <c r="CV343" s="5">
        <f>INDEX(Projects[Act Cost (M)],342)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IF(A344="","",N(INDEX(Projects[Act Mech Inst],343)))</f>
        <v/>
      </c>
      <c r="BK344" s="5">
        <f>IF(A344="","",N(INDEX(Projects[Act Elec Inst],343)))</f>
        <v/>
      </c>
      <c r="BL344" s="5">
        <f>IF(A344="","",N(INDEX(Projects[Act Project Management],343)))</f>
        <v/>
      </c>
      <c r="BM344" s="5">
        <f>IF(A344="","",N(INDEX(Projects[Act Systems Eng],343)))</f>
        <v/>
      </c>
      <c r="BN344" s="5">
        <f>IF(A344="","",N(INDEX(Projects[Act Mechanical Eng],343)))</f>
        <v/>
      </c>
      <c r="BO344" s="5">
        <f>IF(A344="","",N(INDEX(Projects[Act Structural Engineering],343)))</f>
        <v/>
      </c>
      <c r="BP344" s="5">
        <f>IF(A344="","",N(INDEX(Projects[Act Site Sup],343)))</f>
        <v/>
      </c>
      <c r="BQ344" s="5">
        <f>IF(A344="","",N(INDEX(Projects[Act Controls Commissioning],343)))</f>
        <v/>
      </c>
      <c r="BR344" s="5">
        <f>IF(A344="","",N(INDEX(Projects[Act Systems Commissioning],343)))</f>
        <v/>
      </c>
      <c r="BS344" s="5">
        <f>IF(A344="","",N(INDEX(Projects[Act Service Commissioning],343)))</f>
        <v/>
      </c>
      <c r="BT344" s="5">
        <f>IF(A344="","",N(INDEX(Projects[Act Controls Eng],343)))</f>
        <v/>
      </c>
      <c r="BU344" s="5">
        <f>IF(A344="","",N(INDEX(Projects[Act Controls Purchase],343)))</f>
        <v/>
      </c>
      <c r="BV344" s="5">
        <f>IF(A344="","",N(INDEX(Projects[Act Software Eng],343)))</f>
        <v/>
      </c>
      <c r="BW344" s="5">
        <f>IF(A344="","",N(INDEX(Projects[Act 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  <c r="CE344" s="5">
        <f>INDEX(Projects[Act Data Status],343)&amp;""</f>
        <v/>
      </c>
      <c r="CF344" s="5">
        <f>IF(A344="","",N(INDEX(Projects[Est Mech Inst],343)))</f>
        <v/>
      </c>
      <c r="CG344" s="5">
        <f>IF(A344="","",N(INDEX(Projects[Est Elec Inst],343)))</f>
        <v/>
      </c>
      <c r="CH344" s="5">
        <f>IF(A344="","",N(INDEX(Projects[Est Project Management],343)))</f>
        <v/>
      </c>
      <c r="CI344" s="5">
        <f>IF(A344="","",N(INDEX(Projects[Est Systems Eng],343)))</f>
        <v/>
      </c>
      <c r="CJ344" s="5">
        <f>IF(A344="","",N(INDEX(Projects[Est Mechanical Eng],343)))</f>
        <v/>
      </c>
      <c r="CK344" s="5">
        <f>IF(A344="","",N(INDEX(Projects[Est Structural Engineering],343)))</f>
        <v/>
      </c>
      <c r="CL344" s="5">
        <f>IF(A344="","",N(INDEX(Projects[Est Site Sup],343)))</f>
        <v/>
      </c>
      <c r="CM344" s="5">
        <f>IF(A344="","",N(INDEX(Projects[Est Controls Commissioning],343)))</f>
        <v/>
      </c>
      <c r="CN344" s="5">
        <f>IF(A344="","",N(INDEX(Projects[Est Systems Commissioning],343)))</f>
        <v/>
      </c>
      <c r="CO344" s="5">
        <f>IF(A344="","",N(INDEX(Projects[Est Service Commissioning],343)))</f>
        <v/>
      </c>
      <c r="CP344" s="5">
        <f>IF(A344="","",N(INDEX(Projects[Est Controls Eng],343)))</f>
        <v/>
      </c>
      <c r="CQ344" s="5">
        <f>IF(A344="","",N(INDEX(Projects[Est Controls Purchase],343)))</f>
        <v/>
      </c>
      <c r="CR344" s="5">
        <f>IF(A344="","",N(INDEX(Projects[Est Software Eng],343)))</f>
        <v/>
      </c>
      <c r="CS344" s="5">
        <f>IF(A344="","",N(INDEX(Projects[Est Misc],343)))</f>
        <v/>
      </c>
      <c r="CT344" s="5">
        <f>IF(A344="","",SUM(CF344:CS344))</f>
        <v/>
      </c>
      <c r="CU344" s="5">
        <f>INDEX(Projects[Est Cost (M)],343)</f>
        <v/>
      </c>
      <c r="CV344" s="5">
        <f>INDEX(Projects[Act Cost (M)],343)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IF(A345="","",N(INDEX(Projects[Act Mech Inst],344)))</f>
        <v/>
      </c>
      <c r="BK345" s="5">
        <f>IF(A345="","",N(INDEX(Projects[Act Elec Inst],344)))</f>
        <v/>
      </c>
      <c r="BL345" s="5">
        <f>IF(A345="","",N(INDEX(Projects[Act Project Management],344)))</f>
        <v/>
      </c>
      <c r="BM345" s="5">
        <f>IF(A345="","",N(INDEX(Projects[Act Systems Eng],344)))</f>
        <v/>
      </c>
      <c r="BN345" s="5">
        <f>IF(A345="","",N(INDEX(Projects[Act Mechanical Eng],344)))</f>
        <v/>
      </c>
      <c r="BO345" s="5">
        <f>IF(A345="","",N(INDEX(Projects[Act Structural Engineering],344)))</f>
        <v/>
      </c>
      <c r="BP345" s="5">
        <f>IF(A345="","",N(INDEX(Projects[Act Site Sup],344)))</f>
        <v/>
      </c>
      <c r="BQ345" s="5">
        <f>IF(A345="","",N(INDEX(Projects[Act Controls Commissioning],344)))</f>
        <v/>
      </c>
      <c r="BR345" s="5">
        <f>IF(A345="","",N(INDEX(Projects[Act Systems Commissioning],344)))</f>
        <v/>
      </c>
      <c r="BS345" s="5">
        <f>IF(A345="","",N(INDEX(Projects[Act Service Commissioning],344)))</f>
        <v/>
      </c>
      <c r="BT345" s="5">
        <f>IF(A345="","",N(INDEX(Projects[Act Controls Eng],344)))</f>
        <v/>
      </c>
      <c r="BU345" s="5">
        <f>IF(A345="","",N(INDEX(Projects[Act Controls Purchase],344)))</f>
        <v/>
      </c>
      <c r="BV345" s="5">
        <f>IF(A345="","",N(INDEX(Projects[Act Software Eng],344)))</f>
        <v/>
      </c>
      <c r="BW345" s="5">
        <f>IF(A345="","",N(INDEX(Projects[Act 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  <c r="CE345" s="5">
        <f>INDEX(Projects[Act Data Status],344)&amp;""</f>
        <v/>
      </c>
      <c r="CF345" s="5">
        <f>IF(A345="","",N(INDEX(Projects[Est Mech Inst],344)))</f>
        <v/>
      </c>
      <c r="CG345" s="5">
        <f>IF(A345="","",N(INDEX(Projects[Est Elec Inst],344)))</f>
        <v/>
      </c>
      <c r="CH345" s="5">
        <f>IF(A345="","",N(INDEX(Projects[Est Project Management],344)))</f>
        <v/>
      </c>
      <c r="CI345" s="5">
        <f>IF(A345="","",N(INDEX(Projects[Est Systems Eng],344)))</f>
        <v/>
      </c>
      <c r="CJ345" s="5">
        <f>IF(A345="","",N(INDEX(Projects[Est Mechanical Eng],344)))</f>
        <v/>
      </c>
      <c r="CK345" s="5">
        <f>IF(A345="","",N(INDEX(Projects[Est Structural Engineering],344)))</f>
        <v/>
      </c>
      <c r="CL345" s="5">
        <f>IF(A345="","",N(INDEX(Projects[Est Site Sup],344)))</f>
        <v/>
      </c>
      <c r="CM345" s="5">
        <f>IF(A345="","",N(INDEX(Projects[Est Controls Commissioning],344)))</f>
        <v/>
      </c>
      <c r="CN345" s="5">
        <f>IF(A345="","",N(INDEX(Projects[Est Systems Commissioning],344)))</f>
        <v/>
      </c>
      <c r="CO345" s="5">
        <f>IF(A345="","",N(INDEX(Projects[Est Service Commissioning],344)))</f>
        <v/>
      </c>
      <c r="CP345" s="5">
        <f>IF(A345="","",N(INDEX(Projects[Est Controls Eng],344)))</f>
        <v/>
      </c>
      <c r="CQ345" s="5">
        <f>IF(A345="","",N(INDEX(Projects[Est Controls Purchase],344)))</f>
        <v/>
      </c>
      <c r="CR345" s="5">
        <f>IF(A345="","",N(INDEX(Projects[Est Software Eng],344)))</f>
        <v/>
      </c>
      <c r="CS345" s="5">
        <f>IF(A345="","",N(INDEX(Projects[Est Misc],344)))</f>
        <v/>
      </c>
      <c r="CT345" s="5">
        <f>IF(A345="","",SUM(CF345:CS345))</f>
        <v/>
      </c>
      <c r="CU345" s="5">
        <f>INDEX(Projects[Est Cost (M)],344)</f>
        <v/>
      </c>
      <c r="CV345" s="5">
        <f>INDEX(Projects[Act Cost (M)],344)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IF(A346="","",N(INDEX(Projects[Act Mech Inst],345)))</f>
        <v/>
      </c>
      <c r="BK346" s="5">
        <f>IF(A346="","",N(INDEX(Projects[Act Elec Inst],345)))</f>
        <v/>
      </c>
      <c r="BL346" s="5">
        <f>IF(A346="","",N(INDEX(Projects[Act Project Management],345)))</f>
        <v/>
      </c>
      <c r="BM346" s="5">
        <f>IF(A346="","",N(INDEX(Projects[Act Systems Eng],345)))</f>
        <v/>
      </c>
      <c r="BN346" s="5">
        <f>IF(A346="","",N(INDEX(Projects[Act Mechanical Eng],345)))</f>
        <v/>
      </c>
      <c r="BO346" s="5">
        <f>IF(A346="","",N(INDEX(Projects[Act Structural Engineering],345)))</f>
        <v/>
      </c>
      <c r="BP346" s="5">
        <f>IF(A346="","",N(INDEX(Projects[Act Site Sup],345)))</f>
        <v/>
      </c>
      <c r="BQ346" s="5">
        <f>IF(A346="","",N(INDEX(Projects[Act Controls Commissioning],345)))</f>
        <v/>
      </c>
      <c r="BR346" s="5">
        <f>IF(A346="","",N(INDEX(Projects[Act Systems Commissioning],345)))</f>
        <v/>
      </c>
      <c r="BS346" s="5">
        <f>IF(A346="","",N(INDEX(Projects[Act Service Commissioning],345)))</f>
        <v/>
      </c>
      <c r="BT346" s="5">
        <f>IF(A346="","",N(INDEX(Projects[Act Controls Eng],345)))</f>
        <v/>
      </c>
      <c r="BU346" s="5">
        <f>IF(A346="","",N(INDEX(Projects[Act Controls Purchase],345)))</f>
        <v/>
      </c>
      <c r="BV346" s="5">
        <f>IF(A346="","",N(INDEX(Projects[Act Software Eng],345)))</f>
        <v/>
      </c>
      <c r="BW346" s="5">
        <f>IF(A346="","",N(INDEX(Projects[Act 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  <c r="CE346" s="5">
        <f>INDEX(Projects[Act Data Status],345)&amp;""</f>
        <v/>
      </c>
      <c r="CF346" s="5">
        <f>IF(A346="","",N(INDEX(Projects[Est Mech Inst],345)))</f>
        <v/>
      </c>
      <c r="CG346" s="5">
        <f>IF(A346="","",N(INDEX(Projects[Est Elec Inst],345)))</f>
        <v/>
      </c>
      <c r="CH346" s="5">
        <f>IF(A346="","",N(INDEX(Projects[Est Project Management],345)))</f>
        <v/>
      </c>
      <c r="CI346" s="5">
        <f>IF(A346="","",N(INDEX(Projects[Est Systems Eng],345)))</f>
        <v/>
      </c>
      <c r="CJ346" s="5">
        <f>IF(A346="","",N(INDEX(Projects[Est Mechanical Eng],345)))</f>
        <v/>
      </c>
      <c r="CK346" s="5">
        <f>IF(A346="","",N(INDEX(Projects[Est Structural Engineering],345)))</f>
        <v/>
      </c>
      <c r="CL346" s="5">
        <f>IF(A346="","",N(INDEX(Projects[Est Site Sup],345)))</f>
        <v/>
      </c>
      <c r="CM346" s="5">
        <f>IF(A346="","",N(INDEX(Projects[Est Controls Commissioning],345)))</f>
        <v/>
      </c>
      <c r="CN346" s="5">
        <f>IF(A346="","",N(INDEX(Projects[Est Systems Commissioning],345)))</f>
        <v/>
      </c>
      <c r="CO346" s="5">
        <f>IF(A346="","",N(INDEX(Projects[Est Service Commissioning],345)))</f>
        <v/>
      </c>
      <c r="CP346" s="5">
        <f>IF(A346="","",N(INDEX(Projects[Est Controls Eng],345)))</f>
        <v/>
      </c>
      <c r="CQ346" s="5">
        <f>IF(A346="","",N(INDEX(Projects[Est Controls Purchase],345)))</f>
        <v/>
      </c>
      <c r="CR346" s="5">
        <f>IF(A346="","",N(INDEX(Projects[Est Software Eng],345)))</f>
        <v/>
      </c>
      <c r="CS346" s="5">
        <f>IF(A346="","",N(INDEX(Projects[Est Misc],345)))</f>
        <v/>
      </c>
      <c r="CT346" s="5">
        <f>IF(A346="","",SUM(CF346:CS346))</f>
        <v/>
      </c>
      <c r="CU346" s="5">
        <f>INDEX(Projects[Est Cost (M)],345)</f>
        <v/>
      </c>
      <c r="CV346" s="5">
        <f>INDEX(Projects[Act Cost (M)],345)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IF(A347="","",N(INDEX(Projects[Act Mech Inst],346)))</f>
        <v/>
      </c>
      <c r="BK347" s="5">
        <f>IF(A347="","",N(INDEX(Projects[Act Elec Inst],346)))</f>
        <v/>
      </c>
      <c r="BL347" s="5">
        <f>IF(A347="","",N(INDEX(Projects[Act Project Management],346)))</f>
        <v/>
      </c>
      <c r="BM347" s="5">
        <f>IF(A347="","",N(INDEX(Projects[Act Systems Eng],346)))</f>
        <v/>
      </c>
      <c r="BN347" s="5">
        <f>IF(A347="","",N(INDEX(Projects[Act Mechanical Eng],346)))</f>
        <v/>
      </c>
      <c r="BO347" s="5">
        <f>IF(A347="","",N(INDEX(Projects[Act Structural Engineering],346)))</f>
        <v/>
      </c>
      <c r="BP347" s="5">
        <f>IF(A347="","",N(INDEX(Projects[Act Site Sup],346)))</f>
        <v/>
      </c>
      <c r="BQ347" s="5">
        <f>IF(A347="","",N(INDEX(Projects[Act Controls Commissioning],346)))</f>
        <v/>
      </c>
      <c r="BR347" s="5">
        <f>IF(A347="","",N(INDEX(Projects[Act Systems Commissioning],346)))</f>
        <v/>
      </c>
      <c r="BS347" s="5">
        <f>IF(A347="","",N(INDEX(Projects[Act Service Commissioning],346)))</f>
        <v/>
      </c>
      <c r="BT347" s="5">
        <f>IF(A347="","",N(INDEX(Projects[Act Controls Eng],346)))</f>
        <v/>
      </c>
      <c r="BU347" s="5">
        <f>IF(A347="","",N(INDEX(Projects[Act Controls Purchase],346)))</f>
        <v/>
      </c>
      <c r="BV347" s="5">
        <f>IF(A347="","",N(INDEX(Projects[Act Software Eng],346)))</f>
        <v/>
      </c>
      <c r="BW347" s="5">
        <f>IF(A347="","",N(INDEX(Projects[Act 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  <c r="CE347" s="5">
        <f>INDEX(Projects[Act Data Status],346)&amp;""</f>
        <v/>
      </c>
      <c r="CF347" s="5">
        <f>IF(A347="","",N(INDEX(Projects[Est Mech Inst],346)))</f>
        <v/>
      </c>
      <c r="CG347" s="5">
        <f>IF(A347="","",N(INDEX(Projects[Est Elec Inst],346)))</f>
        <v/>
      </c>
      <c r="CH347" s="5">
        <f>IF(A347="","",N(INDEX(Projects[Est Project Management],346)))</f>
        <v/>
      </c>
      <c r="CI347" s="5">
        <f>IF(A347="","",N(INDEX(Projects[Est Systems Eng],346)))</f>
        <v/>
      </c>
      <c r="CJ347" s="5">
        <f>IF(A347="","",N(INDEX(Projects[Est Mechanical Eng],346)))</f>
        <v/>
      </c>
      <c r="CK347" s="5">
        <f>IF(A347="","",N(INDEX(Projects[Est Structural Engineering],346)))</f>
        <v/>
      </c>
      <c r="CL347" s="5">
        <f>IF(A347="","",N(INDEX(Projects[Est Site Sup],346)))</f>
        <v/>
      </c>
      <c r="CM347" s="5">
        <f>IF(A347="","",N(INDEX(Projects[Est Controls Commissioning],346)))</f>
        <v/>
      </c>
      <c r="CN347" s="5">
        <f>IF(A347="","",N(INDEX(Projects[Est Systems Commissioning],346)))</f>
        <v/>
      </c>
      <c r="CO347" s="5">
        <f>IF(A347="","",N(INDEX(Projects[Est Service Commissioning],346)))</f>
        <v/>
      </c>
      <c r="CP347" s="5">
        <f>IF(A347="","",N(INDEX(Projects[Est Controls Eng],346)))</f>
        <v/>
      </c>
      <c r="CQ347" s="5">
        <f>IF(A347="","",N(INDEX(Projects[Est Controls Purchase],346)))</f>
        <v/>
      </c>
      <c r="CR347" s="5">
        <f>IF(A347="","",N(INDEX(Projects[Est Software Eng],346)))</f>
        <v/>
      </c>
      <c r="CS347" s="5">
        <f>IF(A347="","",N(INDEX(Projects[Est Misc],346)))</f>
        <v/>
      </c>
      <c r="CT347" s="5">
        <f>IF(A347="","",SUM(CF347:CS347))</f>
        <v/>
      </c>
      <c r="CU347" s="5">
        <f>INDEX(Projects[Est Cost (M)],346)</f>
        <v/>
      </c>
      <c r="CV347" s="5">
        <f>INDEX(Projects[Act Cost (M)],346)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IF(A348="","",N(INDEX(Projects[Act Mech Inst],347)))</f>
        <v/>
      </c>
      <c r="BK348" s="5">
        <f>IF(A348="","",N(INDEX(Projects[Act Elec Inst],347)))</f>
        <v/>
      </c>
      <c r="BL348" s="5">
        <f>IF(A348="","",N(INDEX(Projects[Act Project Management],347)))</f>
        <v/>
      </c>
      <c r="BM348" s="5">
        <f>IF(A348="","",N(INDEX(Projects[Act Systems Eng],347)))</f>
        <v/>
      </c>
      <c r="BN348" s="5">
        <f>IF(A348="","",N(INDEX(Projects[Act Mechanical Eng],347)))</f>
        <v/>
      </c>
      <c r="BO348" s="5">
        <f>IF(A348="","",N(INDEX(Projects[Act Structural Engineering],347)))</f>
        <v/>
      </c>
      <c r="BP348" s="5">
        <f>IF(A348="","",N(INDEX(Projects[Act Site Sup],347)))</f>
        <v/>
      </c>
      <c r="BQ348" s="5">
        <f>IF(A348="","",N(INDEX(Projects[Act Controls Commissioning],347)))</f>
        <v/>
      </c>
      <c r="BR348" s="5">
        <f>IF(A348="","",N(INDEX(Projects[Act Systems Commissioning],347)))</f>
        <v/>
      </c>
      <c r="BS348" s="5">
        <f>IF(A348="","",N(INDEX(Projects[Act Service Commissioning],347)))</f>
        <v/>
      </c>
      <c r="BT348" s="5">
        <f>IF(A348="","",N(INDEX(Projects[Act Controls Eng],347)))</f>
        <v/>
      </c>
      <c r="BU348" s="5">
        <f>IF(A348="","",N(INDEX(Projects[Act Controls Purchase],347)))</f>
        <v/>
      </c>
      <c r="BV348" s="5">
        <f>IF(A348="","",N(INDEX(Projects[Act Software Eng],347)))</f>
        <v/>
      </c>
      <c r="BW348" s="5">
        <f>IF(A348="","",N(INDEX(Projects[Act 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  <c r="CE348" s="5">
        <f>INDEX(Projects[Act Data Status],347)&amp;""</f>
        <v/>
      </c>
      <c r="CF348" s="5">
        <f>IF(A348="","",N(INDEX(Projects[Est Mech Inst],347)))</f>
        <v/>
      </c>
      <c r="CG348" s="5">
        <f>IF(A348="","",N(INDEX(Projects[Est Elec Inst],347)))</f>
        <v/>
      </c>
      <c r="CH348" s="5">
        <f>IF(A348="","",N(INDEX(Projects[Est Project Management],347)))</f>
        <v/>
      </c>
      <c r="CI348" s="5">
        <f>IF(A348="","",N(INDEX(Projects[Est Systems Eng],347)))</f>
        <v/>
      </c>
      <c r="CJ348" s="5">
        <f>IF(A348="","",N(INDEX(Projects[Est Mechanical Eng],347)))</f>
        <v/>
      </c>
      <c r="CK348" s="5">
        <f>IF(A348="","",N(INDEX(Projects[Est Structural Engineering],347)))</f>
        <v/>
      </c>
      <c r="CL348" s="5">
        <f>IF(A348="","",N(INDEX(Projects[Est Site Sup],347)))</f>
        <v/>
      </c>
      <c r="CM348" s="5">
        <f>IF(A348="","",N(INDEX(Projects[Est Controls Commissioning],347)))</f>
        <v/>
      </c>
      <c r="CN348" s="5">
        <f>IF(A348="","",N(INDEX(Projects[Est Systems Commissioning],347)))</f>
        <v/>
      </c>
      <c r="CO348" s="5">
        <f>IF(A348="","",N(INDEX(Projects[Est Service Commissioning],347)))</f>
        <v/>
      </c>
      <c r="CP348" s="5">
        <f>IF(A348="","",N(INDEX(Projects[Est Controls Eng],347)))</f>
        <v/>
      </c>
      <c r="CQ348" s="5">
        <f>IF(A348="","",N(INDEX(Projects[Est Controls Purchase],347)))</f>
        <v/>
      </c>
      <c r="CR348" s="5">
        <f>IF(A348="","",N(INDEX(Projects[Est Software Eng],347)))</f>
        <v/>
      </c>
      <c r="CS348" s="5">
        <f>IF(A348="","",N(INDEX(Projects[Est Misc],347)))</f>
        <v/>
      </c>
      <c r="CT348" s="5">
        <f>IF(A348="","",SUM(CF348:CS348))</f>
        <v/>
      </c>
      <c r="CU348" s="5">
        <f>INDEX(Projects[Est Cost (M)],347)</f>
        <v/>
      </c>
      <c r="CV348" s="5">
        <f>INDEX(Projects[Act Cost (M)],347)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IF(A349="","",N(INDEX(Projects[Act Mech Inst],348)))</f>
        <v/>
      </c>
      <c r="BK349" s="5">
        <f>IF(A349="","",N(INDEX(Projects[Act Elec Inst],348)))</f>
        <v/>
      </c>
      <c r="BL349" s="5">
        <f>IF(A349="","",N(INDEX(Projects[Act Project Management],348)))</f>
        <v/>
      </c>
      <c r="BM349" s="5">
        <f>IF(A349="","",N(INDEX(Projects[Act Systems Eng],348)))</f>
        <v/>
      </c>
      <c r="BN349" s="5">
        <f>IF(A349="","",N(INDEX(Projects[Act Mechanical Eng],348)))</f>
        <v/>
      </c>
      <c r="BO349" s="5">
        <f>IF(A349="","",N(INDEX(Projects[Act Structural Engineering],348)))</f>
        <v/>
      </c>
      <c r="BP349" s="5">
        <f>IF(A349="","",N(INDEX(Projects[Act Site Sup],348)))</f>
        <v/>
      </c>
      <c r="BQ349" s="5">
        <f>IF(A349="","",N(INDEX(Projects[Act Controls Commissioning],348)))</f>
        <v/>
      </c>
      <c r="BR349" s="5">
        <f>IF(A349="","",N(INDEX(Projects[Act Systems Commissioning],348)))</f>
        <v/>
      </c>
      <c r="BS349" s="5">
        <f>IF(A349="","",N(INDEX(Projects[Act Service Commissioning],348)))</f>
        <v/>
      </c>
      <c r="BT349" s="5">
        <f>IF(A349="","",N(INDEX(Projects[Act Controls Eng],348)))</f>
        <v/>
      </c>
      <c r="BU349" s="5">
        <f>IF(A349="","",N(INDEX(Projects[Act Controls Purchase],348)))</f>
        <v/>
      </c>
      <c r="BV349" s="5">
        <f>IF(A349="","",N(INDEX(Projects[Act Software Eng],348)))</f>
        <v/>
      </c>
      <c r="BW349" s="5">
        <f>IF(A349="","",N(INDEX(Projects[Act 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  <c r="CE349" s="5">
        <f>INDEX(Projects[Act Data Status],348)&amp;""</f>
        <v/>
      </c>
      <c r="CF349" s="5">
        <f>IF(A349="","",N(INDEX(Projects[Est Mech Inst],348)))</f>
        <v/>
      </c>
      <c r="CG349" s="5">
        <f>IF(A349="","",N(INDEX(Projects[Est Elec Inst],348)))</f>
        <v/>
      </c>
      <c r="CH349" s="5">
        <f>IF(A349="","",N(INDEX(Projects[Est Project Management],348)))</f>
        <v/>
      </c>
      <c r="CI349" s="5">
        <f>IF(A349="","",N(INDEX(Projects[Est Systems Eng],348)))</f>
        <v/>
      </c>
      <c r="CJ349" s="5">
        <f>IF(A349="","",N(INDEX(Projects[Est Mechanical Eng],348)))</f>
        <v/>
      </c>
      <c r="CK349" s="5">
        <f>IF(A349="","",N(INDEX(Projects[Est Structural Engineering],348)))</f>
        <v/>
      </c>
      <c r="CL349" s="5">
        <f>IF(A349="","",N(INDEX(Projects[Est Site Sup],348)))</f>
        <v/>
      </c>
      <c r="CM349" s="5">
        <f>IF(A349="","",N(INDEX(Projects[Est Controls Commissioning],348)))</f>
        <v/>
      </c>
      <c r="CN349" s="5">
        <f>IF(A349="","",N(INDEX(Projects[Est Systems Commissioning],348)))</f>
        <v/>
      </c>
      <c r="CO349" s="5">
        <f>IF(A349="","",N(INDEX(Projects[Est Service Commissioning],348)))</f>
        <v/>
      </c>
      <c r="CP349" s="5">
        <f>IF(A349="","",N(INDEX(Projects[Est Controls Eng],348)))</f>
        <v/>
      </c>
      <c r="CQ349" s="5">
        <f>IF(A349="","",N(INDEX(Projects[Est Controls Purchase],348)))</f>
        <v/>
      </c>
      <c r="CR349" s="5">
        <f>IF(A349="","",N(INDEX(Projects[Est Software Eng],348)))</f>
        <v/>
      </c>
      <c r="CS349" s="5">
        <f>IF(A349="","",N(INDEX(Projects[Est Misc],348)))</f>
        <v/>
      </c>
      <c r="CT349" s="5">
        <f>IF(A349="","",SUM(CF349:CS349))</f>
        <v/>
      </c>
      <c r="CU349" s="5">
        <f>INDEX(Projects[Est Cost (M)],348)</f>
        <v/>
      </c>
      <c r="CV349" s="5">
        <f>INDEX(Projects[Act Cost (M)],348)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IF(A350="","",N(INDEX(Projects[Act Mech Inst],349)))</f>
        <v/>
      </c>
      <c r="BK350" s="5">
        <f>IF(A350="","",N(INDEX(Projects[Act Elec Inst],349)))</f>
        <v/>
      </c>
      <c r="BL350" s="5">
        <f>IF(A350="","",N(INDEX(Projects[Act Project Management],349)))</f>
        <v/>
      </c>
      <c r="BM350" s="5">
        <f>IF(A350="","",N(INDEX(Projects[Act Systems Eng],349)))</f>
        <v/>
      </c>
      <c r="BN350" s="5">
        <f>IF(A350="","",N(INDEX(Projects[Act Mechanical Eng],349)))</f>
        <v/>
      </c>
      <c r="BO350" s="5">
        <f>IF(A350="","",N(INDEX(Projects[Act Structural Engineering],349)))</f>
        <v/>
      </c>
      <c r="BP350" s="5">
        <f>IF(A350="","",N(INDEX(Projects[Act Site Sup],349)))</f>
        <v/>
      </c>
      <c r="BQ350" s="5">
        <f>IF(A350="","",N(INDEX(Projects[Act Controls Commissioning],349)))</f>
        <v/>
      </c>
      <c r="BR350" s="5">
        <f>IF(A350="","",N(INDEX(Projects[Act Systems Commissioning],349)))</f>
        <v/>
      </c>
      <c r="BS350" s="5">
        <f>IF(A350="","",N(INDEX(Projects[Act Service Commissioning],349)))</f>
        <v/>
      </c>
      <c r="BT350" s="5">
        <f>IF(A350="","",N(INDEX(Projects[Act Controls Eng],349)))</f>
        <v/>
      </c>
      <c r="BU350" s="5">
        <f>IF(A350="","",N(INDEX(Projects[Act Controls Purchase],349)))</f>
        <v/>
      </c>
      <c r="BV350" s="5">
        <f>IF(A350="","",N(INDEX(Projects[Act Software Eng],349)))</f>
        <v/>
      </c>
      <c r="BW350" s="5">
        <f>IF(A350="","",N(INDEX(Projects[Act 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  <c r="CE350" s="5">
        <f>INDEX(Projects[Act Data Status],349)&amp;""</f>
        <v/>
      </c>
      <c r="CF350" s="5">
        <f>IF(A350="","",N(INDEX(Projects[Est Mech Inst],349)))</f>
        <v/>
      </c>
      <c r="CG350" s="5">
        <f>IF(A350="","",N(INDEX(Projects[Est Elec Inst],349)))</f>
        <v/>
      </c>
      <c r="CH350" s="5">
        <f>IF(A350="","",N(INDEX(Projects[Est Project Management],349)))</f>
        <v/>
      </c>
      <c r="CI350" s="5">
        <f>IF(A350="","",N(INDEX(Projects[Est Systems Eng],349)))</f>
        <v/>
      </c>
      <c r="CJ350" s="5">
        <f>IF(A350="","",N(INDEX(Projects[Est Mechanical Eng],349)))</f>
        <v/>
      </c>
      <c r="CK350" s="5">
        <f>IF(A350="","",N(INDEX(Projects[Est Structural Engineering],349)))</f>
        <v/>
      </c>
      <c r="CL350" s="5">
        <f>IF(A350="","",N(INDEX(Projects[Est Site Sup],349)))</f>
        <v/>
      </c>
      <c r="CM350" s="5">
        <f>IF(A350="","",N(INDEX(Projects[Est Controls Commissioning],349)))</f>
        <v/>
      </c>
      <c r="CN350" s="5">
        <f>IF(A350="","",N(INDEX(Projects[Est Systems Commissioning],349)))</f>
        <v/>
      </c>
      <c r="CO350" s="5">
        <f>IF(A350="","",N(INDEX(Projects[Est Service Commissioning],349)))</f>
        <v/>
      </c>
      <c r="CP350" s="5">
        <f>IF(A350="","",N(INDEX(Projects[Est Controls Eng],349)))</f>
        <v/>
      </c>
      <c r="CQ350" s="5">
        <f>IF(A350="","",N(INDEX(Projects[Est Controls Purchase],349)))</f>
        <v/>
      </c>
      <c r="CR350" s="5">
        <f>IF(A350="","",N(INDEX(Projects[Est Software Eng],349)))</f>
        <v/>
      </c>
      <c r="CS350" s="5">
        <f>IF(A350="","",N(INDEX(Projects[Est Misc],349)))</f>
        <v/>
      </c>
      <c r="CT350" s="5">
        <f>IF(A350="","",SUM(CF350:CS350))</f>
        <v/>
      </c>
      <c r="CU350" s="5">
        <f>INDEX(Projects[Est Cost (M)],349)</f>
        <v/>
      </c>
      <c r="CV350" s="5">
        <f>INDEX(Projects[Act Cost (M)],349)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IF(A351="","",N(INDEX(Projects[Act Mech Inst],350)))</f>
        <v/>
      </c>
      <c r="BK351" s="5">
        <f>IF(A351="","",N(INDEX(Projects[Act Elec Inst],350)))</f>
        <v/>
      </c>
      <c r="BL351" s="5">
        <f>IF(A351="","",N(INDEX(Projects[Act Project Management],350)))</f>
        <v/>
      </c>
      <c r="BM351" s="5">
        <f>IF(A351="","",N(INDEX(Projects[Act Systems Eng],350)))</f>
        <v/>
      </c>
      <c r="BN351" s="5">
        <f>IF(A351="","",N(INDEX(Projects[Act Mechanical Eng],350)))</f>
        <v/>
      </c>
      <c r="BO351" s="5">
        <f>IF(A351="","",N(INDEX(Projects[Act Structural Engineering],350)))</f>
        <v/>
      </c>
      <c r="BP351" s="5">
        <f>IF(A351="","",N(INDEX(Projects[Act Site Sup],350)))</f>
        <v/>
      </c>
      <c r="BQ351" s="5">
        <f>IF(A351="","",N(INDEX(Projects[Act Controls Commissioning],350)))</f>
        <v/>
      </c>
      <c r="BR351" s="5">
        <f>IF(A351="","",N(INDEX(Projects[Act Systems Commissioning],350)))</f>
        <v/>
      </c>
      <c r="BS351" s="5">
        <f>IF(A351="","",N(INDEX(Projects[Act Service Commissioning],350)))</f>
        <v/>
      </c>
      <c r="BT351" s="5">
        <f>IF(A351="","",N(INDEX(Projects[Act Controls Eng],350)))</f>
        <v/>
      </c>
      <c r="BU351" s="5">
        <f>IF(A351="","",N(INDEX(Projects[Act Controls Purchase],350)))</f>
        <v/>
      </c>
      <c r="BV351" s="5">
        <f>IF(A351="","",N(INDEX(Projects[Act Software Eng],350)))</f>
        <v/>
      </c>
      <c r="BW351" s="5">
        <f>IF(A351="","",N(INDEX(Projects[Act 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  <c r="CE351" s="5">
        <f>INDEX(Projects[Act Data Status],350)&amp;""</f>
        <v/>
      </c>
      <c r="CF351" s="5">
        <f>IF(A351="","",N(INDEX(Projects[Est Mech Inst],350)))</f>
        <v/>
      </c>
      <c r="CG351" s="5">
        <f>IF(A351="","",N(INDEX(Projects[Est Elec Inst],350)))</f>
        <v/>
      </c>
      <c r="CH351" s="5">
        <f>IF(A351="","",N(INDEX(Projects[Est Project Management],350)))</f>
        <v/>
      </c>
      <c r="CI351" s="5">
        <f>IF(A351="","",N(INDEX(Projects[Est Systems Eng],350)))</f>
        <v/>
      </c>
      <c r="CJ351" s="5">
        <f>IF(A351="","",N(INDEX(Projects[Est Mechanical Eng],350)))</f>
        <v/>
      </c>
      <c r="CK351" s="5">
        <f>IF(A351="","",N(INDEX(Projects[Est Structural Engineering],350)))</f>
        <v/>
      </c>
      <c r="CL351" s="5">
        <f>IF(A351="","",N(INDEX(Projects[Est Site Sup],350)))</f>
        <v/>
      </c>
      <c r="CM351" s="5">
        <f>IF(A351="","",N(INDEX(Projects[Est Controls Commissioning],350)))</f>
        <v/>
      </c>
      <c r="CN351" s="5">
        <f>IF(A351="","",N(INDEX(Projects[Est Systems Commissioning],350)))</f>
        <v/>
      </c>
      <c r="CO351" s="5">
        <f>IF(A351="","",N(INDEX(Projects[Est Service Commissioning],350)))</f>
        <v/>
      </c>
      <c r="CP351" s="5">
        <f>IF(A351="","",N(INDEX(Projects[Est Controls Eng],350)))</f>
        <v/>
      </c>
      <c r="CQ351" s="5">
        <f>IF(A351="","",N(INDEX(Projects[Est Controls Purchase],350)))</f>
        <v/>
      </c>
      <c r="CR351" s="5">
        <f>IF(A351="","",N(INDEX(Projects[Est Software Eng],350)))</f>
        <v/>
      </c>
      <c r="CS351" s="5">
        <f>IF(A351="","",N(INDEX(Projects[Est Misc],350)))</f>
        <v/>
      </c>
      <c r="CT351" s="5">
        <f>IF(A351="","",SUM(CF351:CS351))</f>
        <v/>
      </c>
      <c r="CU351" s="5">
        <f>INDEX(Projects[Est Cost (M)],350)</f>
        <v/>
      </c>
      <c r="CV351" s="5">
        <f>INDEX(Projects[Act Cost (M)],350)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IF(A352="","",N(INDEX(Projects[Act Mech Inst],351)))</f>
        <v/>
      </c>
      <c r="BK352" s="5">
        <f>IF(A352="","",N(INDEX(Projects[Act Elec Inst],351)))</f>
        <v/>
      </c>
      <c r="BL352" s="5">
        <f>IF(A352="","",N(INDEX(Projects[Act Project Management],351)))</f>
        <v/>
      </c>
      <c r="BM352" s="5">
        <f>IF(A352="","",N(INDEX(Projects[Act Systems Eng],351)))</f>
        <v/>
      </c>
      <c r="BN352" s="5">
        <f>IF(A352="","",N(INDEX(Projects[Act Mechanical Eng],351)))</f>
        <v/>
      </c>
      <c r="BO352" s="5">
        <f>IF(A352="","",N(INDEX(Projects[Act Structural Engineering],351)))</f>
        <v/>
      </c>
      <c r="BP352" s="5">
        <f>IF(A352="","",N(INDEX(Projects[Act Site Sup],351)))</f>
        <v/>
      </c>
      <c r="BQ352" s="5">
        <f>IF(A352="","",N(INDEX(Projects[Act Controls Commissioning],351)))</f>
        <v/>
      </c>
      <c r="BR352" s="5">
        <f>IF(A352="","",N(INDEX(Projects[Act Systems Commissioning],351)))</f>
        <v/>
      </c>
      <c r="BS352" s="5">
        <f>IF(A352="","",N(INDEX(Projects[Act Service Commissioning],351)))</f>
        <v/>
      </c>
      <c r="BT352" s="5">
        <f>IF(A352="","",N(INDEX(Projects[Act Controls Eng],351)))</f>
        <v/>
      </c>
      <c r="BU352" s="5">
        <f>IF(A352="","",N(INDEX(Projects[Act Controls Purchase],351)))</f>
        <v/>
      </c>
      <c r="BV352" s="5">
        <f>IF(A352="","",N(INDEX(Projects[Act Software Eng],351)))</f>
        <v/>
      </c>
      <c r="BW352" s="5">
        <f>IF(A352="","",N(INDEX(Projects[Act 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  <c r="CE352" s="5">
        <f>INDEX(Projects[Act Data Status],351)&amp;""</f>
        <v/>
      </c>
      <c r="CF352" s="5">
        <f>IF(A352="","",N(INDEX(Projects[Est Mech Inst],351)))</f>
        <v/>
      </c>
      <c r="CG352" s="5">
        <f>IF(A352="","",N(INDEX(Projects[Est Elec Inst],351)))</f>
        <v/>
      </c>
      <c r="CH352" s="5">
        <f>IF(A352="","",N(INDEX(Projects[Est Project Management],351)))</f>
        <v/>
      </c>
      <c r="CI352" s="5">
        <f>IF(A352="","",N(INDEX(Projects[Est Systems Eng],351)))</f>
        <v/>
      </c>
      <c r="CJ352" s="5">
        <f>IF(A352="","",N(INDEX(Projects[Est Mechanical Eng],351)))</f>
        <v/>
      </c>
      <c r="CK352" s="5">
        <f>IF(A352="","",N(INDEX(Projects[Est Structural Engineering],351)))</f>
        <v/>
      </c>
      <c r="CL352" s="5">
        <f>IF(A352="","",N(INDEX(Projects[Est Site Sup],351)))</f>
        <v/>
      </c>
      <c r="CM352" s="5">
        <f>IF(A352="","",N(INDEX(Projects[Est Controls Commissioning],351)))</f>
        <v/>
      </c>
      <c r="CN352" s="5">
        <f>IF(A352="","",N(INDEX(Projects[Est Systems Commissioning],351)))</f>
        <v/>
      </c>
      <c r="CO352" s="5">
        <f>IF(A352="","",N(INDEX(Projects[Est Service Commissioning],351)))</f>
        <v/>
      </c>
      <c r="CP352" s="5">
        <f>IF(A352="","",N(INDEX(Projects[Est Controls Eng],351)))</f>
        <v/>
      </c>
      <c r="CQ352" s="5">
        <f>IF(A352="","",N(INDEX(Projects[Est Controls Purchase],351)))</f>
        <v/>
      </c>
      <c r="CR352" s="5">
        <f>IF(A352="","",N(INDEX(Projects[Est Software Eng],351)))</f>
        <v/>
      </c>
      <c r="CS352" s="5">
        <f>IF(A352="","",N(INDEX(Projects[Est Misc],351)))</f>
        <v/>
      </c>
      <c r="CT352" s="5">
        <f>IF(A352="","",SUM(CF352:CS352))</f>
        <v/>
      </c>
      <c r="CU352" s="5">
        <f>INDEX(Projects[Est Cost (M)],351)</f>
        <v/>
      </c>
      <c r="CV352" s="5">
        <f>INDEX(Projects[Act Cost (M)],351)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IF(A353="","",N(INDEX(Projects[Act Mech Inst],352)))</f>
        <v/>
      </c>
      <c r="BK353" s="5">
        <f>IF(A353="","",N(INDEX(Projects[Act Elec Inst],352)))</f>
        <v/>
      </c>
      <c r="BL353" s="5">
        <f>IF(A353="","",N(INDEX(Projects[Act Project Management],352)))</f>
        <v/>
      </c>
      <c r="BM353" s="5">
        <f>IF(A353="","",N(INDEX(Projects[Act Systems Eng],352)))</f>
        <v/>
      </c>
      <c r="BN353" s="5">
        <f>IF(A353="","",N(INDEX(Projects[Act Mechanical Eng],352)))</f>
        <v/>
      </c>
      <c r="BO353" s="5">
        <f>IF(A353="","",N(INDEX(Projects[Act Structural Engineering],352)))</f>
        <v/>
      </c>
      <c r="BP353" s="5">
        <f>IF(A353="","",N(INDEX(Projects[Act Site Sup],352)))</f>
        <v/>
      </c>
      <c r="BQ353" s="5">
        <f>IF(A353="","",N(INDEX(Projects[Act Controls Commissioning],352)))</f>
        <v/>
      </c>
      <c r="BR353" s="5">
        <f>IF(A353="","",N(INDEX(Projects[Act Systems Commissioning],352)))</f>
        <v/>
      </c>
      <c r="BS353" s="5">
        <f>IF(A353="","",N(INDEX(Projects[Act Service Commissioning],352)))</f>
        <v/>
      </c>
      <c r="BT353" s="5">
        <f>IF(A353="","",N(INDEX(Projects[Act Controls Eng],352)))</f>
        <v/>
      </c>
      <c r="BU353" s="5">
        <f>IF(A353="","",N(INDEX(Projects[Act Controls Purchase],352)))</f>
        <v/>
      </c>
      <c r="BV353" s="5">
        <f>IF(A353="","",N(INDEX(Projects[Act Software Eng],352)))</f>
        <v/>
      </c>
      <c r="BW353" s="5">
        <f>IF(A353="","",N(INDEX(Projects[Act 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  <c r="CE353" s="5">
        <f>INDEX(Projects[Act Data Status],352)&amp;""</f>
        <v/>
      </c>
      <c r="CF353" s="5">
        <f>IF(A353="","",N(INDEX(Projects[Est Mech Inst],352)))</f>
        <v/>
      </c>
      <c r="CG353" s="5">
        <f>IF(A353="","",N(INDEX(Projects[Est Elec Inst],352)))</f>
        <v/>
      </c>
      <c r="CH353" s="5">
        <f>IF(A353="","",N(INDEX(Projects[Est Project Management],352)))</f>
        <v/>
      </c>
      <c r="CI353" s="5">
        <f>IF(A353="","",N(INDEX(Projects[Est Systems Eng],352)))</f>
        <v/>
      </c>
      <c r="CJ353" s="5">
        <f>IF(A353="","",N(INDEX(Projects[Est Mechanical Eng],352)))</f>
        <v/>
      </c>
      <c r="CK353" s="5">
        <f>IF(A353="","",N(INDEX(Projects[Est Structural Engineering],352)))</f>
        <v/>
      </c>
      <c r="CL353" s="5">
        <f>IF(A353="","",N(INDEX(Projects[Est Site Sup],352)))</f>
        <v/>
      </c>
      <c r="CM353" s="5">
        <f>IF(A353="","",N(INDEX(Projects[Est Controls Commissioning],352)))</f>
        <v/>
      </c>
      <c r="CN353" s="5">
        <f>IF(A353="","",N(INDEX(Projects[Est Systems Commissioning],352)))</f>
        <v/>
      </c>
      <c r="CO353" s="5">
        <f>IF(A353="","",N(INDEX(Projects[Est Service Commissioning],352)))</f>
        <v/>
      </c>
      <c r="CP353" s="5">
        <f>IF(A353="","",N(INDEX(Projects[Est Controls Eng],352)))</f>
        <v/>
      </c>
      <c r="CQ353" s="5">
        <f>IF(A353="","",N(INDEX(Projects[Est Controls Purchase],352)))</f>
        <v/>
      </c>
      <c r="CR353" s="5">
        <f>IF(A353="","",N(INDEX(Projects[Est Software Eng],352)))</f>
        <v/>
      </c>
      <c r="CS353" s="5">
        <f>IF(A353="","",N(INDEX(Projects[Est Misc],352)))</f>
        <v/>
      </c>
      <c r="CT353" s="5">
        <f>IF(A353="","",SUM(CF353:CS353))</f>
        <v/>
      </c>
      <c r="CU353" s="5">
        <f>INDEX(Projects[Est Cost (M)],352)</f>
        <v/>
      </c>
      <c r="CV353" s="5">
        <f>INDEX(Projects[Act Cost (M)],352)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IF(A354="","",N(INDEX(Projects[Act Mech Inst],353)))</f>
        <v/>
      </c>
      <c r="BK354" s="5">
        <f>IF(A354="","",N(INDEX(Projects[Act Elec Inst],353)))</f>
        <v/>
      </c>
      <c r="BL354" s="5">
        <f>IF(A354="","",N(INDEX(Projects[Act Project Management],353)))</f>
        <v/>
      </c>
      <c r="BM354" s="5">
        <f>IF(A354="","",N(INDEX(Projects[Act Systems Eng],353)))</f>
        <v/>
      </c>
      <c r="BN354" s="5">
        <f>IF(A354="","",N(INDEX(Projects[Act Mechanical Eng],353)))</f>
        <v/>
      </c>
      <c r="BO354" s="5">
        <f>IF(A354="","",N(INDEX(Projects[Act Structural Engineering],353)))</f>
        <v/>
      </c>
      <c r="BP354" s="5">
        <f>IF(A354="","",N(INDEX(Projects[Act Site Sup],353)))</f>
        <v/>
      </c>
      <c r="BQ354" s="5">
        <f>IF(A354="","",N(INDEX(Projects[Act Controls Commissioning],353)))</f>
        <v/>
      </c>
      <c r="BR354" s="5">
        <f>IF(A354="","",N(INDEX(Projects[Act Systems Commissioning],353)))</f>
        <v/>
      </c>
      <c r="BS354" s="5">
        <f>IF(A354="","",N(INDEX(Projects[Act Service Commissioning],353)))</f>
        <v/>
      </c>
      <c r="BT354" s="5">
        <f>IF(A354="","",N(INDEX(Projects[Act Controls Eng],353)))</f>
        <v/>
      </c>
      <c r="BU354" s="5">
        <f>IF(A354="","",N(INDEX(Projects[Act Controls Purchase],353)))</f>
        <v/>
      </c>
      <c r="BV354" s="5">
        <f>IF(A354="","",N(INDEX(Projects[Act Software Eng],353)))</f>
        <v/>
      </c>
      <c r="BW354" s="5">
        <f>IF(A354="","",N(INDEX(Projects[Act 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  <c r="CE354" s="5">
        <f>INDEX(Projects[Act Data Status],353)&amp;""</f>
        <v/>
      </c>
      <c r="CF354" s="5">
        <f>IF(A354="","",N(INDEX(Projects[Est Mech Inst],353)))</f>
        <v/>
      </c>
      <c r="CG354" s="5">
        <f>IF(A354="","",N(INDEX(Projects[Est Elec Inst],353)))</f>
        <v/>
      </c>
      <c r="CH354" s="5">
        <f>IF(A354="","",N(INDEX(Projects[Est Project Management],353)))</f>
        <v/>
      </c>
      <c r="CI354" s="5">
        <f>IF(A354="","",N(INDEX(Projects[Est Systems Eng],353)))</f>
        <v/>
      </c>
      <c r="CJ354" s="5">
        <f>IF(A354="","",N(INDEX(Projects[Est Mechanical Eng],353)))</f>
        <v/>
      </c>
      <c r="CK354" s="5">
        <f>IF(A354="","",N(INDEX(Projects[Est Structural Engineering],353)))</f>
        <v/>
      </c>
      <c r="CL354" s="5">
        <f>IF(A354="","",N(INDEX(Projects[Est Site Sup],353)))</f>
        <v/>
      </c>
      <c r="CM354" s="5">
        <f>IF(A354="","",N(INDEX(Projects[Est Controls Commissioning],353)))</f>
        <v/>
      </c>
      <c r="CN354" s="5">
        <f>IF(A354="","",N(INDEX(Projects[Est Systems Commissioning],353)))</f>
        <v/>
      </c>
      <c r="CO354" s="5">
        <f>IF(A354="","",N(INDEX(Projects[Est Service Commissioning],353)))</f>
        <v/>
      </c>
      <c r="CP354" s="5">
        <f>IF(A354="","",N(INDEX(Projects[Est Controls Eng],353)))</f>
        <v/>
      </c>
      <c r="CQ354" s="5">
        <f>IF(A354="","",N(INDEX(Projects[Est Controls Purchase],353)))</f>
        <v/>
      </c>
      <c r="CR354" s="5">
        <f>IF(A354="","",N(INDEX(Projects[Est Software Eng],353)))</f>
        <v/>
      </c>
      <c r="CS354" s="5">
        <f>IF(A354="","",N(INDEX(Projects[Est Misc],353)))</f>
        <v/>
      </c>
      <c r="CT354" s="5">
        <f>IF(A354="","",SUM(CF354:CS354))</f>
        <v/>
      </c>
      <c r="CU354" s="5">
        <f>INDEX(Projects[Est Cost (M)],353)</f>
        <v/>
      </c>
      <c r="CV354" s="5">
        <f>INDEX(Projects[Act Cost (M)],353)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IF(A355="","",N(INDEX(Projects[Act Mech Inst],354)))</f>
        <v/>
      </c>
      <c r="BK355" s="5">
        <f>IF(A355="","",N(INDEX(Projects[Act Elec Inst],354)))</f>
        <v/>
      </c>
      <c r="BL355" s="5">
        <f>IF(A355="","",N(INDEX(Projects[Act Project Management],354)))</f>
        <v/>
      </c>
      <c r="BM355" s="5">
        <f>IF(A355="","",N(INDEX(Projects[Act Systems Eng],354)))</f>
        <v/>
      </c>
      <c r="BN355" s="5">
        <f>IF(A355="","",N(INDEX(Projects[Act Mechanical Eng],354)))</f>
        <v/>
      </c>
      <c r="BO355" s="5">
        <f>IF(A355="","",N(INDEX(Projects[Act Structural Engineering],354)))</f>
        <v/>
      </c>
      <c r="BP355" s="5">
        <f>IF(A355="","",N(INDEX(Projects[Act Site Sup],354)))</f>
        <v/>
      </c>
      <c r="BQ355" s="5">
        <f>IF(A355="","",N(INDEX(Projects[Act Controls Commissioning],354)))</f>
        <v/>
      </c>
      <c r="BR355" s="5">
        <f>IF(A355="","",N(INDEX(Projects[Act Systems Commissioning],354)))</f>
        <v/>
      </c>
      <c r="BS355" s="5">
        <f>IF(A355="","",N(INDEX(Projects[Act Service Commissioning],354)))</f>
        <v/>
      </c>
      <c r="BT355" s="5">
        <f>IF(A355="","",N(INDEX(Projects[Act Controls Eng],354)))</f>
        <v/>
      </c>
      <c r="BU355" s="5">
        <f>IF(A355="","",N(INDEX(Projects[Act Controls Purchase],354)))</f>
        <v/>
      </c>
      <c r="BV355" s="5">
        <f>IF(A355="","",N(INDEX(Projects[Act Software Eng],354)))</f>
        <v/>
      </c>
      <c r="BW355" s="5">
        <f>IF(A355="","",N(INDEX(Projects[Act 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  <c r="CE355" s="5">
        <f>INDEX(Projects[Act Data Status],354)&amp;""</f>
        <v/>
      </c>
      <c r="CF355" s="5">
        <f>IF(A355="","",N(INDEX(Projects[Est Mech Inst],354)))</f>
        <v/>
      </c>
      <c r="CG355" s="5">
        <f>IF(A355="","",N(INDEX(Projects[Est Elec Inst],354)))</f>
        <v/>
      </c>
      <c r="CH355" s="5">
        <f>IF(A355="","",N(INDEX(Projects[Est Project Management],354)))</f>
        <v/>
      </c>
      <c r="CI355" s="5">
        <f>IF(A355="","",N(INDEX(Projects[Est Systems Eng],354)))</f>
        <v/>
      </c>
      <c r="CJ355" s="5">
        <f>IF(A355="","",N(INDEX(Projects[Est Mechanical Eng],354)))</f>
        <v/>
      </c>
      <c r="CK355" s="5">
        <f>IF(A355="","",N(INDEX(Projects[Est Structural Engineering],354)))</f>
        <v/>
      </c>
      <c r="CL355" s="5">
        <f>IF(A355="","",N(INDEX(Projects[Est Site Sup],354)))</f>
        <v/>
      </c>
      <c r="CM355" s="5">
        <f>IF(A355="","",N(INDEX(Projects[Est Controls Commissioning],354)))</f>
        <v/>
      </c>
      <c r="CN355" s="5">
        <f>IF(A355="","",N(INDEX(Projects[Est Systems Commissioning],354)))</f>
        <v/>
      </c>
      <c r="CO355" s="5">
        <f>IF(A355="","",N(INDEX(Projects[Est Service Commissioning],354)))</f>
        <v/>
      </c>
      <c r="CP355" s="5">
        <f>IF(A355="","",N(INDEX(Projects[Est Controls Eng],354)))</f>
        <v/>
      </c>
      <c r="CQ355" s="5">
        <f>IF(A355="","",N(INDEX(Projects[Est Controls Purchase],354)))</f>
        <v/>
      </c>
      <c r="CR355" s="5">
        <f>IF(A355="","",N(INDEX(Projects[Est Software Eng],354)))</f>
        <v/>
      </c>
      <c r="CS355" s="5">
        <f>IF(A355="","",N(INDEX(Projects[Est Misc],354)))</f>
        <v/>
      </c>
      <c r="CT355" s="5">
        <f>IF(A355="","",SUM(CF355:CS355))</f>
        <v/>
      </c>
      <c r="CU355" s="5">
        <f>INDEX(Projects[Est Cost (M)],354)</f>
        <v/>
      </c>
      <c r="CV355" s="5">
        <f>INDEX(Projects[Act Cost (M)],354)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IF(A356="","",N(INDEX(Projects[Act Mech Inst],355)))</f>
        <v/>
      </c>
      <c r="BK356" s="5">
        <f>IF(A356="","",N(INDEX(Projects[Act Elec Inst],355)))</f>
        <v/>
      </c>
      <c r="BL356" s="5">
        <f>IF(A356="","",N(INDEX(Projects[Act Project Management],355)))</f>
        <v/>
      </c>
      <c r="BM356" s="5">
        <f>IF(A356="","",N(INDEX(Projects[Act Systems Eng],355)))</f>
        <v/>
      </c>
      <c r="BN356" s="5">
        <f>IF(A356="","",N(INDEX(Projects[Act Mechanical Eng],355)))</f>
        <v/>
      </c>
      <c r="BO356" s="5">
        <f>IF(A356="","",N(INDEX(Projects[Act Structural Engineering],355)))</f>
        <v/>
      </c>
      <c r="BP356" s="5">
        <f>IF(A356="","",N(INDEX(Projects[Act Site Sup],355)))</f>
        <v/>
      </c>
      <c r="BQ356" s="5">
        <f>IF(A356="","",N(INDEX(Projects[Act Controls Commissioning],355)))</f>
        <v/>
      </c>
      <c r="BR356" s="5">
        <f>IF(A356="","",N(INDEX(Projects[Act Systems Commissioning],355)))</f>
        <v/>
      </c>
      <c r="BS356" s="5">
        <f>IF(A356="","",N(INDEX(Projects[Act Service Commissioning],355)))</f>
        <v/>
      </c>
      <c r="BT356" s="5">
        <f>IF(A356="","",N(INDEX(Projects[Act Controls Eng],355)))</f>
        <v/>
      </c>
      <c r="BU356" s="5">
        <f>IF(A356="","",N(INDEX(Projects[Act Controls Purchase],355)))</f>
        <v/>
      </c>
      <c r="BV356" s="5">
        <f>IF(A356="","",N(INDEX(Projects[Act Software Eng],355)))</f>
        <v/>
      </c>
      <c r="BW356" s="5">
        <f>IF(A356="","",N(INDEX(Projects[Act 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  <c r="CE356" s="5">
        <f>INDEX(Projects[Act Data Status],355)&amp;""</f>
        <v/>
      </c>
      <c r="CF356" s="5">
        <f>IF(A356="","",N(INDEX(Projects[Est Mech Inst],355)))</f>
        <v/>
      </c>
      <c r="CG356" s="5">
        <f>IF(A356="","",N(INDEX(Projects[Est Elec Inst],355)))</f>
        <v/>
      </c>
      <c r="CH356" s="5">
        <f>IF(A356="","",N(INDEX(Projects[Est Project Management],355)))</f>
        <v/>
      </c>
      <c r="CI356" s="5">
        <f>IF(A356="","",N(INDEX(Projects[Est Systems Eng],355)))</f>
        <v/>
      </c>
      <c r="CJ356" s="5">
        <f>IF(A356="","",N(INDEX(Projects[Est Mechanical Eng],355)))</f>
        <v/>
      </c>
      <c r="CK356" s="5">
        <f>IF(A356="","",N(INDEX(Projects[Est Structural Engineering],355)))</f>
        <v/>
      </c>
      <c r="CL356" s="5">
        <f>IF(A356="","",N(INDEX(Projects[Est Site Sup],355)))</f>
        <v/>
      </c>
      <c r="CM356" s="5">
        <f>IF(A356="","",N(INDEX(Projects[Est Controls Commissioning],355)))</f>
        <v/>
      </c>
      <c r="CN356" s="5">
        <f>IF(A356="","",N(INDEX(Projects[Est Systems Commissioning],355)))</f>
        <v/>
      </c>
      <c r="CO356" s="5">
        <f>IF(A356="","",N(INDEX(Projects[Est Service Commissioning],355)))</f>
        <v/>
      </c>
      <c r="CP356" s="5">
        <f>IF(A356="","",N(INDEX(Projects[Est Controls Eng],355)))</f>
        <v/>
      </c>
      <c r="CQ356" s="5">
        <f>IF(A356="","",N(INDEX(Projects[Est Controls Purchase],355)))</f>
        <v/>
      </c>
      <c r="CR356" s="5">
        <f>IF(A356="","",N(INDEX(Projects[Est Software Eng],355)))</f>
        <v/>
      </c>
      <c r="CS356" s="5">
        <f>IF(A356="","",N(INDEX(Projects[Est Misc],355)))</f>
        <v/>
      </c>
      <c r="CT356" s="5">
        <f>IF(A356="","",SUM(CF356:CS356))</f>
        <v/>
      </c>
      <c r="CU356" s="5">
        <f>INDEX(Projects[Est Cost (M)],355)</f>
        <v/>
      </c>
      <c r="CV356" s="5">
        <f>INDEX(Projects[Act Cost (M)],355)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IF(A357="","",N(INDEX(Projects[Act Mech Inst],356)))</f>
        <v/>
      </c>
      <c r="BK357" s="5">
        <f>IF(A357="","",N(INDEX(Projects[Act Elec Inst],356)))</f>
        <v/>
      </c>
      <c r="BL357" s="5">
        <f>IF(A357="","",N(INDEX(Projects[Act Project Management],356)))</f>
        <v/>
      </c>
      <c r="BM357" s="5">
        <f>IF(A357="","",N(INDEX(Projects[Act Systems Eng],356)))</f>
        <v/>
      </c>
      <c r="BN357" s="5">
        <f>IF(A357="","",N(INDEX(Projects[Act Mechanical Eng],356)))</f>
        <v/>
      </c>
      <c r="BO357" s="5">
        <f>IF(A357="","",N(INDEX(Projects[Act Structural Engineering],356)))</f>
        <v/>
      </c>
      <c r="BP357" s="5">
        <f>IF(A357="","",N(INDEX(Projects[Act Site Sup],356)))</f>
        <v/>
      </c>
      <c r="BQ357" s="5">
        <f>IF(A357="","",N(INDEX(Projects[Act Controls Commissioning],356)))</f>
        <v/>
      </c>
      <c r="BR357" s="5">
        <f>IF(A357="","",N(INDEX(Projects[Act Systems Commissioning],356)))</f>
        <v/>
      </c>
      <c r="BS357" s="5">
        <f>IF(A357="","",N(INDEX(Projects[Act Service Commissioning],356)))</f>
        <v/>
      </c>
      <c r="BT357" s="5">
        <f>IF(A357="","",N(INDEX(Projects[Act Controls Eng],356)))</f>
        <v/>
      </c>
      <c r="BU357" s="5">
        <f>IF(A357="","",N(INDEX(Projects[Act Controls Purchase],356)))</f>
        <v/>
      </c>
      <c r="BV357" s="5">
        <f>IF(A357="","",N(INDEX(Projects[Act Software Eng],356)))</f>
        <v/>
      </c>
      <c r="BW357" s="5">
        <f>IF(A357="","",N(INDEX(Projects[Act 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  <c r="CE357" s="5">
        <f>INDEX(Projects[Act Data Status],356)&amp;""</f>
        <v/>
      </c>
      <c r="CF357" s="5">
        <f>IF(A357="","",N(INDEX(Projects[Est Mech Inst],356)))</f>
        <v/>
      </c>
      <c r="CG357" s="5">
        <f>IF(A357="","",N(INDEX(Projects[Est Elec Inst],356)))</f>
        <v/>
      </c>
      <c r="CH357" s="5">
        <f>IF(A357="","",N(INDEX(Projects[Est Project Management],356)))</f>
        <v/>
      </c>
      <c r="CI357" s="5">
        <f>IF(A357="","",N(INDEX(Projects[Est Systems Eng],356)))</f>
        <v/>
      </c>
      <c r="CJ357" s="5">
        <f>IF(A357="","",N(INDEX(Projects[Est Mechanical Eng],356)))</f>
        <v/>
      </c>
      <c r="CK357" s="5">
        <f>IF(A357="","",N(INDEX(Projects[Est Structural Engineering],356)))</f>
        <v/>
      </c>
      <c r="CL357" s="5">
        <f>IF(A357="","",N(INDEX(Projects[Est Site Sup],356)))</f>
        <v/>
      </c>
      <c r="CM357" s="5">
        <f>IF(A357="","",N(INDEX(Projects[Est Controls Commissioning],356)))</f>
        <v/>
      </c>
      <c r="CN357" s="5">
        <f>IF(A357="","",N(INDEX(Projects[Est Systems Commissioning],356)))</f>
        <v/>
      </c>
      <c r="CO357" s="5">
        <f>IF(A357="","",N(INDEX(Projects[Est Service Commissioning],356)))</f>
        <v/>
      </c>
      <c r="CP357" s="5">
        <f>IF(A357="","",N(INDEX(Projects[Est Controls Eng],356)))</f>
        <v/>
      </c>
      <c r="CQ357" s="5">
        <f>IF(A357="","",N(INDEX(Projects[Est Controls Purchase],356)))</f>
        <v/>
      </c>
      <c r="CR357" s="5">
        <f>IF(A357="","",N(INDEX(Projects[Est Software Eng],356)))</f>
        <v/>
      </c>
      <c r="CS357" s="5">
        <f>IF(A357="","",N(INDEX(Projects[Est Misc],356)))</f>
        <v/>
      </c>
      <c r="CT357" s="5">
        <f>IF(A357="","",SUM(CF357:CS357))</f>
        <v/>
      </c>
      <c r="CU357" s="5">
        <f>INDEX(Projects[Est Cost (M)],356)</f>
        <v/>
      </c>
      <c r="CV357" s="5">
        <f>INDEX(Projects[Act Cost (M)],356)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IF(A358="","",N(INDEX(Projects[Act Mech Inst],357)))</f>
        <v/>
      </c>
      <c r="BK358" s="5">
        <f>IF(A358="","",N(INDEX(Projects[Act Elec Inst],357)))</f>
        <v/>
      </c>
      <c r="BL358" s="5">
        <f>IF(A358="","",N(INDEX(Projects[Act Project Management],357)))</f>
        <v/>
      </c>
      <c r="BM358" s="5">
        <f>IF(A358="","",N(INDEX(Projects[Act Systems Eng],357)))</f>
        <v/>
      </c>
      <c r="BN358" s="5">
        <f>IF(A358="","",N(INDEX(Projects[Act Mechanical Eng],357)))</f>
        <v/>
      </c>
      <c r="BO358" s="5">
        <f>IF(A358="","",N(INDEX(Projects[Act Structural Engineering],357)))</f>
        <v/>
      </c>
      <c r="BP358" s="5">
        <f>IF(A358="","",N(INDEX(Projects[Act Site Sup],357)))</f>
        <v/>
      </c>
      <c r="BQ358" s="5">
        <f>IF(A358="","",N(INDEX(Projects[Act Controls Commissioning],357)))</f>
        <v/>
      </c>
      <c r="BR358" s="5">
        <f>IF(A358="","",N(INDEX(Projects[Act Systems Commissioning],357)))</f>
        <v/>
      </c>
      <c r="BS358" s="5">
        <f>IF(A358="","",N(INDEX(Projects[Act Service Commissioning],357)))</f>
        <v/>
      </c>
      <c r="BT358" s="5">
        <f>IF(A358="","",N(INDEX(Projects[Act Controls Eng],357)))</f>
        <v/>
      </c>
      <c r="BU358" s="5">
        <f>IF(A358="","",N(INDEX(Projects[Act Controls Purchase],357)))</f>
        <v/>
      </c>
      <c r="BV358" s="5">
        <f>IF(A358="","",N(INDEX(Projects[Act Software Eng],357)))</f>
        <v/>
      </c>
      <c r="BW358" s="5">
        <f>IF(A358="","",N(INDEX(Projects[Act 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  <c r="CE358" s="5">
        <f>INDEX(Projects[Act Data Status],357)&amp;""</f>
        <v/>
      </c>
      <c r="CF358" s="5">
        <f>IF(A358="","",N(INDEX(Projects[Est Mech Inst],357)))</f>
        <v/>
      </c>
      <c r="CG358" s="5">
        <f>IF(A358="","",N(INDEX(Projects[Est Elec Inst],357)))</f>
        <v/>
      </c>
      <c r="CH358" s="5">
        <f>IF(A358="","",N(INDEX(Projects[Est Project Management],357)))</f>
        <v/>
      </c>
      <c r="CI358" s="5">
        <f>IF(A358="","",N(INDEX(Projects[Est Systems Eng],357)))</f>
        <v/>
      </c>
      <c r="CJ358" s="5">
        <f>IF(A358="","",N(INDEX(Projects[Est Mechanical Eng],357)))</f>
        <v/>
      </c>
      <c r="CK358" s="5">
        <f>IF(A358="","",N(INDEX(Projects[Est Structural Engineering],357)))</f>
        <v/>
      </c>
      <c r="CL358" s="5">
        <f>IF(A358="","",N(INDEX(Projects[Est Site Sup],357)))</f>
        <v/>
      </c>
      <c r="CM358" s="5">
        <f>IF(A358="","",N(INDEX(Projects[Est Controls Commissioning],357)))</f>
        <v/>
      </c>
      <c r="CN358" s="5">
        <f>IF(A358="","",N(INDEX(Projects[Est Systems Commissioning],357)))</f>
        <v/>
      </c>
      <c r="CO358" s="5">
        <f>IF(A358="","",N(INDEX(Projects[Est Service Commissioning],357)))</f>
        <v/>
      </c>
      <c r="CP358" s="5">
        <f>IF(A358="","",N(INDEX(Projects[Est Controls Eng],357)))</f>
        <v/>
      </c>
      <c r="CQ358" s="5">
        <f>IF(A358="","",N(INDEX(Projects[Est Controls Purchase],357)))</f>
        <v/>
      </c>
      <c r="CR358" s="5">
        <f>IF(A358="","",N(INDEX(Projects[Est Software Eng],357)))</f>
        <v/>
      </c>
      <c r="CS358" s="5">
        <f>IF(A358="","",N(INDEX(Projects[Est Misc],357)))</f>
        <v/>
      </c>
      <c r="CT358" s="5">
        <f>IF(A358="","",SUM(CF358:CS358))</f>
        <v/>
      </c>
      <c r="CU358" s="5">
        <f>INDEX(Projects[Est Cost (M)],357)</f>
        <v/>
      </c>
      <c r="CV358" s="5">
        <f>INDEX(Projects[Act Cost (M)],357)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IF(A359="","",N(INDEX(Projects[Act Mech Inst],358)))</f>
        <v/>
      </c>
      <c r="BK359" s="5">
        <f>IF(A359="","",N(INDEX(Projects[Act Elec Inst],358)))</f>
        <v/>
      </c>
      <c r="BL359" s="5">
        <f>IF(A359="","",N(INDEX(Projects[Act Project Management],358)))</f>
        <v/>
      </c>
      <c r="BM359" s="5">
        <f>IF(A359="","",N(INDEX(Projects[Act Systems Eng],358)))</f>
        <v/>
      </c>
      <c r="BN359" s="5">
        <f>IF(A359="","",N(INDEX(Projects[Act Mechanical Eng],358)))</f>
        <v/>
      </c>
      <c r="BO359" s="5">
        <f>IF(A359="","",N(INDEX(Projects[Act Structural Engineering],358)))</f>
        <v/>
      </c>
      <c r="BP359" s="5">
        <f>IF(A359="","",N(INDEX(Projects[Act Site Sup],358)))</f>
        <v/>
      </c>
      <c r="BQ359" s="5">
        <f>IF(A359="","",N(INDEX(Projects[Act Controls Commissioning],358)))</f>
        <v/>
      </c>
      <c r="BR359" s="5">
        <f>IF(A359="","",N(INDEX(Projects[Act Systems Commissioning],358)))</f>
        <v/>
      </c>
      <c r="BS359" s="5">
        <f>IF(A359="","",N(INDEX(Projects[Act Service Commissioning],358)))</f>
        <v/>
      </c>
      <c r="BT359" s="5">
        <f>IF(A359="","",N(INDEX(Projects[Act Controls Eng],358)))</f>
        <v/>
      </c>
      <c r="BU359" s="5">
        <f>IF(A359="","",N(INDEX(Projects[Act Controls Purchase],358)))</f>
        <v/>
      </c>
      <c r="BV359" s="5">
        <f>IF(A359="","",N(INDEX(Projects[Act Software Eng],358)))</f>
        <v/>
      </c>
      <c r="BW359" s="5">
        <f>IF(A359="","",N(INDEX(Projects[Act 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  <c r="CE359" s="5">
        <f>INDEX(Projects[Act Data Status],358)&amp;""</f>
        <v/>
      </c>
      <c r="CF359" s="5">
        <f>IF(A359="","",N(INDEX(Projects[Est Mech Inst],358)))</f>
        <v/>
      </c>
      <c r="CG359" s="5">
        <f>IF(A359="","",N(INDEX(Projects[Est Elec Inst],358)))</f>
        <v/>
      </c>
      <c r="CH359" s="5">
        <f>IF(A359="","",N(INDEX(Projects[Est Project Management],358)))</f>
        <v/>
      </c>
      <c r="CI359" s="5">
        <f>IF(A359="","",N(INDEX(Projects[Est Systems Eng],358)))</f>
        <v/>
      </c>
      <c r="CJ359" s="5">
        <f>IF(A359="","",N(INDEX(Projects[Est Mechanical Eng],358)))</f>
        <v/>
      </c>
      <c r="CK359" s="5">
        <f>IF(A359="","",N(INDEX(Projects[Est Structural Engineering],358)))</f>
        <v/>
      </c>
      <c r="CL359" s="5">
        <f>IF(A359="","",N(INDEX(Projects[Est Site Sup],358)))</f>
        <v/>
      </c>
      <c r="CM359" s="5">
        <f>IF(A359="","",N(INDEX(Projects[Est Controls Commissioning],358)))</f>
        <v/>
      </c>
      <c r="CN359" s="5">
        <f>IF(A359="","",N(INDEX(Projects[Est Systems Commissioning],358)))</f>
        <v/>
      </c>
      <c r="CO359" s="5">
        <f>IF(A359="","",N(INDEX(Projects[Est Service Commissioning],358)))</f>
        <v/>
      </c>
      <c r="CP359" s="5">
        <f>IF(A359="","",N(INDEX(Projects[Est Controls Eng],358)))</f>
        <v/>
      </c>
      <c r="CQ359" s="5">
        <f>IF(A359="","",N(INDEX(Projects[Est Controls Purchase],358)))</f>
        <v/>
      </c>
      <c r="CR359" s="5">
        <f>IF(A359="","",N(INDEX(Projects[Est Software Eng],358)))</f>
        <v/>
      </c>
      <c r="CS359" s="5">
        <f>IF(A359="","",N(INDEX(Projects[Est Misc],358)))</f>
        <v/>
      </c>
      <c r="CT359" s="5">
        <f>IF(A359="","",SUM(CF359:CS359))</f>
        <v/>
      </c>
      <c r="CU359" s="5">
        <f>INDEX(Projects[Est Cost (M)],358)</f>
        <v/>
      </c>
      <c r="CV359" s="5">
        <f>INDEX(Projects[Act Cost (M)],358)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IF(A360="","",N(INDEX(Projects[Act Mech Inst],359)))</f>
        <v/>
      </c>
      <c r="BK360" s="5">
        <f>IF(A360="","",N(INDEX(Projects[Act Elec Inst],359)))</f>
        <v/>
      </c>
      <c r="BL360" s="5">
        <f>IF(A360="","",N(INDEX(Projects[Act Project Management],359)))</f>
        <v/>
      </c>
      <c r="BM360" s="5">
        <f>IF(A360="","",N(INDEX(Projects[Act Systems Eng],359)))</f>
        <v/>
      </c>
      <c r="BN360" s="5">
        <f>IF(A360="","",N(INDEX(Projects[Act Mechanical Eng],359)))</f>
        <v/>
      </c>
      <c r="BO360" s="5">
        <f>IF(A360="","",N(INDEX(Projects[Act Structural Engineering],359)))</f>
        <v/>
      </c>
      <c r="BP360" s="5">
        <f>IF(A360="","",N(INDEX(Projects[Act Site Sup],359)))</f>
        <v/>
      </c>
      <c r="BQ360" s="5">
        <f>IF(A360="","",N(INDEX(Projects[Act Controls Commissioning],359)))</f>
        <v/>
      </c>
      <c r="BR360" s="5">
        <f>IF(A360="","",N(INDEX(Projects[Act Systems Commissioning],359)))</f>
        <v/>
      </c>
      <c r="BS360" s="5">
        <f>IF(A360="","",N(INDEX(Projects[Act Service Commissioning],359)))</f>
        <v/>
      </c>
      <c r="BT360" s="5">
        <f>IF(A360="","",N(INDEX(Projects[Act Controls Eng],359)))</f>
        <v/>
      </c>
      <c r="BU360" s="5">
        <f>IF(A360="","",N(INDEX(Projects[Act Controls Purchase],359)))</f>
        <v/>
      </c>
      <c r="BV360" s="5">
        <f>IF(A360="","",N(INDEX(Projects[Act Software Eng],359)))</f>
        <v/>
      </c>
      <c r="BW360" s="5">
        <f>IF(A360="","",N(INDEX(Projects[Act 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  <c r="CE360" s="5">
        <f>INDEX(Projects[Act Data Status],359)&amp;""</f>
        <v/>
      </c>
      <c r="CF360" s="5">
        <f>IF(A360="","",N(INDEX(Projects[Est Mech Inst],359)))</f>
        <v/>
      </c>
      <c r="CG360" s="5">
        <f>IF(A360="","",N(INDEX(Projects[Est Elec Inst],359)))</f>
        <v/>
      </c>
      <c r="CH360" s="5">
        <f>IF(A360="","",N(INDEX(Projects[Est Project Management],359)))</f>
        <v/>
      </c>
      <c r="CI360" s="5">
        <f>IF(A360="","",N(INDEX(Projects[Est Systems Eng],359)))</f>
        <v/>
      </c>
      <c r="CJ360" s="5">
        <f>IF(A360="","",N(INDEX(Projects[Est Mechanical Eng],359)))</f>
        <v/>
      </c>
      <c r="CK360" s="5">
        <f>IF(A360="","",N(INDEX(Projects[Est Structural Engineering],359)))</f>
        <v/>
      </c>
      <c r="CL360" s="5">
        <f>IF(A360="","",N(INDEX(Projects[Est Site Sup],359)))</f>
        <v/>
      </c>
      <c r="CM360" s="5">
        <f>IF(A360="","",N(INDEX(Projects[Est Controls Commissioning],359)))</f>
        <v/>
      </c>
      <c r="CN360" s="5">
        <f>IF(A360="","",N(INDEX(Projects[Est Systems Commissioning],359)))</f>
        <v/>
      </c>
      <c r="CO360" s="5">
        <f>IF(A360="","",N(INDEX(Projects[Est Service Commissioning],359)))</f>
        <v/>
      </c>
      <c r="CP360" s="5">
        <f>IF(A360="","",N(INDEX(Projects[Est Controls Eng],359)))</f>
        <v/>
      </c>
      <c r="CQ360" s="5">
        <f>IF(A360="","",N(INDEX(Projects[Est Controls Purchase],359)))</f>
        <v/>
      </c>
      <c r="CR360" s="5">
        <f>IF(A360="","",N(INDEX(Projects[Est Software Eng],359)))</f>
        <v/>
      </c>
      <c r="CS360" s="5">
        <f>IF(A360="","",N(INDEX(Projects[Est Misc],359)))</f>
        <v/>
      </c>
      <c r="CT360" s="5">
        <f>IF(A360="","",SUM(CF360:CS360))</f>
        <v/>
      </c>
      <c r="CU360" s="5">
        <f>INDEX(Projects[Est Cost (M)],359)</f>
        <v/>
      </c>
      <c r="CV360" s="5">
        <f>INDEX(Projects[Act Cost (M)],359)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IF(A361="","",N(INDEX(Projects[Act Mech Inst],360)))</f>
        <v/>
      </c>
      <c r="BK361" s="5">
        <f>IF(A361="","",N(INDEX(Projects[Act Elec Inst],360)))</f>
        <v/>
      </c>
      <c r="BL361" s="5">
        <f>IF(A361="","",N(INDEX(Projects[Act Project Management],360)))</f>
        <v/>
      </c>
      <c r="BM361" s="5">
        <f>IF(A361="","",N(INDEX(Projects[Act Systems Eng],360)))</f>
        <v/>
      </c>
      <c r="BN361" s="5">
        <f>IF(A361="","",N(INDEX(Projects[Act Mechanical Eng],360)))</f>
        <v/>
      </c>
      <c r="BO361" s="5">
        <f>IF(A361="","",N(INDEX(Projects[Act Structural Engineering],360)))</f>
        <v/>
      </c>
      <c r="BP361" s="5">
        <f>IF(A361="","",N(INDEX(Projects[Act Site Sup],360)))</f>
        <v/>
      </c>
      <c r="BQ361" s="5">
        <f>IF(A361="","",N(INDEX(Projects[Act Controls Commissioning],360)))</f>
        <v/>
      </c>
      <c r="BR361" s="5">
        <f>IF(A361="","",N(INDEX(Projects[Act Systems Commissioning],360)))</f>
        <v/>
      </c>
      <c r="BS361" s="5">
        <f>IF(A361="","",N(INDEX(Projects[Act Service Commissioning],360)))</f>
        <v/>
      </c>
      <c r="BT361" s="5">
        <f>IF(A361="","",N(INDEX(Projects[Act Controls Eng],360)))</f>
        <v/>
      </c>
      <c r="BU361" s="5">
        <f>IF(A361="","",N(INDEX(Projects[Act Controls Purchase],360)))</f>
        <v/>
      </c>
      <c r="BV361" s="5">
        <f>IF(A361="","",N(INDEX(Projects[Act Software Eng],360)))</f>
        <v/>
      </c>
      <c r="BW361" s="5">
        <f>IF(A361="","",N(INDEX(Projects[Act 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  <c r="CE361" s="5">
        <f>INDEX(Projects[Act Data Status],360)&amp;""</f>
        <v/>
      </c>
      <c r="CF361" s="5">
        <f>IF(A361="","",N(INDEX(Projects[Est Mech Inst],360)))</f>
        <v/>
      </c>
      <c r="CG361" s="5">
        <f>IF(A361="","",N(INDEX(Projects[Est Elec Inst],360)))</f>
        <v/>
      </c>
      <c r="CH361" s="5">
        <f>IF(A361="","",N(INDEX(Projects[Est Project Management],360)))</f>
        <v/>
      </c>
      <c r="CI361" s="5">
        <f>IF(A361="","",N(INDEX(Projects[Est Systems Eng],360)))</f>
        <v/>
      </c>
      <c r="CJ361" s="5">
        <f>IF(A361="","",N(INDEX(Projects[Est Mechanical Eng],360)))</f>
        <v/>
      </c>
      <c r="CK361" s="5">
        <f>IF(A361="","",N(INDEX(Projects[Est Structural Engineering],360)))</f>
        <v/>
      </c>
      <c r="CL361" s="5">
        <f>IF(A361="","",N(INDEX(Projects[Est Site Sup],360)))</f>
        <v/>
      </c>
      <c r="CM361" s="5">
        <f>IF(A361="","",N(INDEX(Projects[Est Controls Commissioning],360)))</f>
        <v/>
      </c>
      <c r="CN361" s="5">
        <f>IF(A361="","",N(INDEX(Projects[Est Systems Commissioning],360)))</f>
        <v/>
      </c>
      <c r="CO361" s="5">
        <f>IF(A361="","",N(INDEX(Projects[Est Service Commissioning],360)))</f>
        <v/>
      </c>
      <c r="CP361" s="5">
        <f>IF(A361="","",N(INDEX(Projects[Est Controls Eng],360)))</f>
        <v/>
      </c>
      <c r="CQ361" s="5">
        <f>IF(A361="","",N(INDEX(Projects[Est Controls Purchase],360)))</f>
        <v/>
      </c>
      <c r="CR361" s="5">
        <f>IF(A361="","",N(INDEX(Projects[Est Software Eng],360)))</f>
        <v/>
      </c>
      <c r="CS361" s="5">
        <f>IF(A361="","",N(INDEX(Projects[Est Misc],360)))</f>
        <v/>
      </c>
      <c r="CT361" s="5">
        <f>IF(A361="","",SUM(CF361:CS361))</f>
        <v/>
      </c>
      <c r="CU361" s="5">
        <f>INDEX(Projects[Est Cost (M)],360)</f>
        <v/>
      </c>
      <c r="CV361" s="5">
        <f>INDEX(Projects[Act Cost (M)],360)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IF(A362="","",N(INDEX(Projects[Act Mech Inst],361)))</f>
        <v/>
      </c>
      <c r="BK362" s="5">
        <f>IF(A362="","",N(INDEX(Projects[Act Elec Inst],361)))</f>
        <v/>
      </c>
      <c r="BL362" s="5">
        <f>IF(A362="","",N(INDEX(Projects[Act Project Management],361)))</f>
        <v/>
      </c>
      <c r="BM362" s="5">
        <f>IF(A362="","",N(INDEX(Projects[Act Systems Eng],361)))</f>
        <v/>
      </c>
      <c r="BN362" s="5">
        <f>IF(A362="","",N(INDEX(Projects[Act Mechanical Eng],361)))</f>
        <v/>
      </c>
      <c r="BO362" s="5">
        <f>IF(A362="","",N(INDEX(Projects[Act Structural Engineering],361)))</f>
        <v/>
      </c>
      <c r="BP362" s="5">
        <f>IF(A362="","",N(INDEX(Projects[Act Site Sup],361)))</f>
        <v/>
      </c>
      <c r="BQ362" s="5">
        <f>IF(A362="","",N(INDEX(Projects[Act Controls Commissioning],361)))</f>
        <v/>
      </c>
      <c r="BR362" s="5">
        <f>IF(A362="","",N(INDEX(Projects[Act Systems Commissioning],361)))</f>
        <v/>
      </c>
      <c r="BS362" s="5">
        <f>IF(A362="","",N(INDEX(Projects[Act Service Commissioning],361)))</f>
        <v/>
      </c>
      <c r="BT362" s="5">
        <f>IF(A362="","",N(INDEX(Projects[Act Controls Eng],361)))</f>
        <v/>
      </c>
      <c r="BU362" s="5">
        <f>IF(A362="","",N(INDEX(Projects[Act Controls Purchase],361)))</f>
        <v/>
      </c>
      <c r="BV362" s="5">
        <f>IF(A362="","",N(INDEX(Projects[Act Software Eng],361)))</f>
        <v/>
      </c>
      <c r="BW362" s="5">
        <f>IF(A362="","",N(INDEX(Projects[Act 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  <c r="CE362" s="5">
        <f>INDEX(Projects[Act Data Status],361)&amp;""</f>
        <v/>
      </c>
      <c r="CF362" s="5">
        <f>IF(A362="","",N(INDEX(Projects[Est Mech Inst],361)))</f>
        <v/>
      </c>
      <c r="CG362" s="5">
        <f>IF(A362="","",N(INDEX(Projects[Est Elec Inst],361)))</f>
        <v/>
      </c>
      <c r="CH362" s="5">
        <f>IF(A362="","",N(INDEX(Projects[Est Project Management],361)))</f>
        <v/>
      </c>
      <c r="CI362" s="5">
        <f>IF(A362="","",N(INDEX(Projects[Est Systems Eng],361)))</f>
        <v/>
      </c>
      <c r="CJ362" s="5">
        <f>IF(A362="","",N(INDEX(Projects[Est Mechanical Eng],361)))</f>
        <v/>
      </c>
      <c r="CK362" s="5">
        <f>IF(A362="","",N(INDEX(Projects[Est Structural Engineering],361)))</f>
        <v/>
      </c>
      <c r="CL362" s="5">
        <f>IF(A362="","",N(INDEX(Projects[Est Site Sup],361)))</f>
        <v/>
      </c>
      <c r="CM362" s="5">
        <f>IF(A362="","",N(INDEX(Projects[Est Controls Commissioning],361)))</f>
        <v/>
      </c>
      <c r="CN362" s="5">
        <f>IF(A362="","",N(INDEX(Projects[Est Systems Commissioning],361)))</f>
        <v/>
      </c>
      <c r="CO362" s="5">
        <f>IF(A362="","",N(INDEX(Projects[Est Service Commissioning],361)))</f>
        <v/>
      </c>
      <c r="CP362" s="5">
        <f>IF(A362="","",N(INDEX(Projects[Est Controls Eng],361)))</f>
        <v/>
      </c>
      <c r="CQ362" s="5">
        <f>IF(A362="","",N(INDEX(Projects[Est Controls Purchase],361)))</f>
        <v/>
      </c>
      <c r="CR362" s="5">
        <f>IF(A362="","",N(INDEX(Projects[Est Software Eng],361)))</f>
        <v/>
      </c>
      <c r="CS362" s="5">
        <f>IF(A362="","",N(INDEX(Projects[Est Misc],361)))</f>
        <v/>
      </c>
      <c r="CT362" s="5">
        <f>IF(A362="","",SUM(CF362:CS362))</f>
        <v/>
      </c>
      <c r="CU362" s="5">
        <f>INDEX(Projects[Est Cost (M)],361)</f>
        <v/>
      </c>
      <c r="CV362" s="5">
        <f>INDEX(Projects[Act Cost (M)],361)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IF(A363="","",N(INDEX(Projects[Act Mech Inst],362)))</f>
        <v/>
      </c>
      <c r="BK363" s="5">
        <f>IF(A363="","",N(INDEX(Projects[Act Elec Inst],362)))</f>
        <v/>
      </c>
      <c r="BL363" s="5">
        <f>IF(A363="","",N(INDEX(Projects[Act Project Management],362)))</f>
        <v/>
      </c>
      <c r="BM363" s="5">
        <f>IF(A363="","",N(INDEX(Projects[Act Systems Eng],362)))</f>
        <v/>
      </c>
      <c r="BN363" s="5">
        <f>IF(A363="","",N(INDEX(Projects[Act Mechanical Eng],362)))</f>
        <v/>
      </c>
      <c r="BO363" s="5">
        <f>IF(A363="","",N(INDEX(Projects[Act Structural Engineering],362)))</f>
        <v/>
      </c>
      <c r="BP363" s="5">
        <f>IF(A363="","",N(INDEX(Projects[Act Site Sup],362)))</f>
        <v/>
      </c>
      <c r="BQ363" s="5">
        <f>IF(A363="","",N(INDEX(Projects[Act Controls Commissioning],362)))</f>
        <v/>
      </c>
      <c r="BR363" s="5">
        <f>IF(A363="","",N(INDEX(Projects[Act Systems Commissioning],362)))</f>
        <v/>
      </c>
      <c r="BS363" s="5">
        <f>IF(A363="","",N(INDEX(Projects[Act Service Commissioning],362)))</f>
        <v/>
      </c>
      <c r="BT363" s="5">
        <f>IF(A363="","",N(INDEX(Projects[Act Controls Eng],362)))</f>
        <v/>
      </c>
      <c r="BU363" s="5">
        <f>IF(A363="","",N(INDEX(Projects[Act Controls Purchase],362)))</f>
        <v/>
      </c>
      <c r="BV363" s="5">
        <f>IF(A363="","",N(INDEX(Projects[Act Software Eng],362)))</f>
        <v/>
      </c>
      <c r="BW363" s="5">
        <f>IF(A363="","",N(INDEX(Projects[Act 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  <c r="CE363" s="5">
        <f>INDEX(Projects[Act Data Status],362)&amp;""</f>
        <v/>
      </c>
      <c r="CF363" s="5">
        <f>IF(A363="","",N(INDEX(Projects[Est Mech Inst],362)))</f>
        <v/>
      </c>
      <c r="CG363" s="5">
        <f>IF(A363="","",N(INDEX(Projects[Est Elec Inst],362)))</f>
        <v/>
      </c>
      <c r="CH363" s="5">
        <f>IF(A363="","",N(INDEX(Projects[Est Project Management],362)))</f>
        <v/>
      </c>
      <c r="CI363" s="5">
        <f>IF(A363="","",N(INDEX(Projects[Est Systems Eng],362)))</f>
        <v/>
      </c>
      <c r="CJ363" s="5">
        <f>IF(A363="","",N(INDEX(Projects[Est Mechanical Eng],362)))</f>
        <v/>
      </c>
      <c r="CK363" s="5">
        <f>IF(A363="","",N(INDEX(Projects[Est Structural Engineering],362)))</f>
        <v/>
      </c>
      <c r="CL363" s="5">
        <f>IF(A363="","",N(INDEX(Projects[Est Site Sup],362)))</f>
        <v/>
      </c>
      <c r="CM363" s="5">
        <f>IF(A363="","",N(INDEX(Projects[Est Controls Commissioning],362)))</f>
        <v/>
      </c>
      <c r="CN363" s="5">
        <f>IF(A363="","",N(INDEX(Projects[Est Systems Commissioning],362)))</f>
        <v/>
      </c>
      <c r="CO363" s="5">
        <f>IF(A363="","",N(INDEX(Projects[Est Service Commissioning],362)))</f>
        <v/>
      </c>
      <c r="CP363" s="5">
        <f>IF(A363="","",N(INDEX(Projects[Est Controls Eng],362)))</f>
        <v/>
      </c>
      <c r="CQ363" s="5">
        <f>IF(A363="","",N(INDEX(Projects[Est Controls Purchase],362)))</f>
        <v/>
      </c>
      <c r="CR363" s="5">
        <f>IF(A363="","",N(INDEX(Projects[Est Software Eng],362)))</f>
        <v/>
      </c>
      <c r="CS363" s="5">
        <f>IF(A363="","",N(INDEX(Projects[Est Misc],362)))</f>
        <v/>
      </c>
      <c r="CT363" s="5">
        <f>IF(A363="","",SUM(CF363:CS363))</f>
        <v/>
      </c>
      <c r="CU363" s="5">
        <f>INDEX(Projects[Est Cost (M)],362)</f>
        <v/>
      </c>
      <c r="CV363" s="5">
        <f>INDEX(Projects[Act Cost (M)],362)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IF(A364="","",N(INDEX(Projects[Act Mech Inst],363)))</f>
        <v/>
      </c>
      <c r="BK364" s="5">
        <f>IF(A364="","",N(INDEX(Projects[Act Elec Inst],363)))</f>
        <v/>
      </c>
      <c r="BL364" s="5">
        <f>IF(A364="","",N(INDEX(Projects[Act Project Management],363)))</f>
        <v/>
      </c>
      <c r="BM364" s="5">
        <f>IF(A364="","",N(INDEX(Projects[Act Systems Eng],363)))</f>
        <v/>
      </c>
      <c r="BN364" s="5">
        <f>IF(A364="","",N(INDEX(Projects[Act Mechanical Eng],363)))</f>
        <v/>
      </c>
      <c r="BO364" s="5">
        <f>IF(A364="","",N(INDEX(Projects[Act Structural Engineering],363)))</f>
        <v/>
      </c>
      <c r="BP364" s="5">
        <f>IF(A364="","",N(INDEX(Projects[Act Site Sup],363)))</f>
        <v/>
      </c>
      <c r="BQ364" s="5">
        <f>IF(A364="","",N(INDEX(Projects[Act Controls Commissioning],363)))</f>
        <v/>
      </c>
      <c r="BR364" s="5">
        <f>IF(A364="","",N(INDEX(Projects[Act Systems Commissioning],363)))</f>
        <v/>
      </c>
      <c r="BS364" s="5">
        <f>IF(A364="","",N(INDEX(Projects[Act Service Commissioning],363)))</f>
        <v/>
      </c>
      <c r="BT364" s="5">
        <f>IF(A364="","",N(INDEX(Projects[Act Controls Eng],363)))</f>
        <v/>
      </c>
      <c r="BU364" s="5">
        <f>IF(A364="","",N(INDEX(Projects[Act Controls Purchase],363)))</f>
        <v/>
      </c>
      <c r="BV364" s="5">
        <f>IF(A364="","",N(INDEX(Projects[Act Software Eng],363)))</f>
        <v/>
      </c>
      <c r="BW364" s="5">
        <f>IF(A364="","",N(INDEX(Projects[Act 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  <c r="CE364" s="5">
        <f>INDEX(Projects[Act Data Status],363)&amp;""</f>
        <v/>
      </c>
      <c r="CF364" s="5">
        <f>IF(A364="","",N(INDEX(Projects[Est Mech Inst],363)))</f>
        <v/>
      </c>
      <c r="CG364" s="5">
        <f>IF(A364="","",N(INDEX(Projects[Est Elec Inst],363)))</f>
        <v/>
      </c>
      <c r="CH364" s="5">
        <f>IF(A364="","",N(INDEX(Projects[Est Project Management],363)))</f>
        <v/>
      </c>
      <c r="CI364" s="5">
        <f>IF(A364="","",N(INDEX(Projects[Est Systems Eng],363)))</f>
        <v/>
      </c>
      <c r="CJ364" s="5">
        <f>IF(A364="","",N(INDEX(Projects[Est Mechanical Eng],363)))</f>
        <v/>
      </c>
      <c r="CK364" s="5">
        <f>IF(A364="","",N(INDEX(Projects[Est Structural Engineering],363)))</f>
        <v/>
      </c>
      <c r="CL364" s="5">
        <f>IF(A364="","",N(INDEX(Projects[Est Site Sup],363)))</f>
        <v/>
      </c>
      <c r="CM364" s="5">
        <f>IF(A364="","",N(INDEX(Projects[Est Controls Commissioning],363)))</f>
        <v/>
      </c>
      <c r="CN364" s="5">
        <f>IF(A364="","",N(INDEX(Projects[Est Systems Commissioning],363)))</f>
        <v/>
      </c>
      <c r="CO364" s="5">
        <f>IF(A364="","",N(INDEX(Projects[Est Service Commissioning],363)))</f>
        <v/>
      </c>
      <c r="CP364" s="5">
        <f>IF(A364="","",N(INDEX(Projects[Est Controls Eng],363)))</f>
        <v/>
      </c>
      <c r="CQ364" s="5">
        <f>IF(A364="","",N(INDEX(Projects[Est Controls Purchase],363)))</f>
        <v/>
      </c>
      <c r="CR364" s="5">
        <f>IF(A364="","",N(INDEX(Projects[Est Software Eng],363)))</f>
        <v/>
      </c>
      <c r="CS364" s="5">
        <f>IF(A364="","",N(INDEX(Projects[Est Misc],363)))</f>
        <v/>
      </c>
      <c r="CT364" s="5">
        <f>IF(A364="","",SUM(CF364:CS364))</f>
        <v/>
      </c>
      <c r="CU364" s="5">
        <f>INDEX(Projects[Est Cost (M)],363)</f>
        <v/>
      </c>
      <c r="CV364" s="5">
        <f>INDEX(Projects[Act Cost (M)],363)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IF(A365="","",N(INDEX(Projects[Act Mech Inst],364)))</f>
        <v/>
      </c>
      <c r="BK365" s="5">
        <f>IF(A365="","",N(INDEX(Projects[Act Elec Inst],364)))</f>
        <v/>
      </c>
      <c r="BL365" s="5">
        <f>IF(A365="","",N(INDEX(Projects[Act Project Management],364)))</f>
        <v/>
      </c>
      <c r="BM365" s="5">
        <f>IF(A365="","",N(INDEX(Projects[Act Systems Eng],364)))</f>
        <v/>
      </c>
      <c r="BN365" s="5">
        <f>IF(A365="","",N(INDEX(Projects[Act Mechanical Eng],364)))</f>
        <v/>
      </c>
      <c r="BO365" s="5">
        <f>IF(A365="","",N(INDEX(Projects[Act Structural Engineering],364)))</f>
        <v/>
      </c>
      <c r="BP365" s="5">
        <f>IF(A365="","",N(INDEX(Projects[Act Site Sup],364)))</f>
        <v/>
      </c>
      <c r="BQ365" s="5">
        <f>IF(A365="","",N(INDEX(Projects[Act Controls Commissioning],364)))</f>
        <v/>
      </c>
      <c r="BR365" s="5">
        <f>IF(A365="","",N(INDEX(Projects[Act Systems Commissioning],364)))</f>
        <v/>
      </c>
      <c r="BS365" s="5">
        <f>IF(A365="","",N(INDEX(Projects[Act Service Commissioning],364)))</f>
        <v/>
      </c>
      <c r="BT365" s="5">
        <f>IF(A365="","",N(INDEX(Projects[Act Controls Eng],364)))</f>
        <v/>
      </c>
      <c r="BU365" s="5">
        <f>IF(A365="","",N(INDEX(Projects[Act Controls Purchase],364)))</f>
        <v/>
      </c>
      <c r="BV365" s="5">
        <f>IF(A365="","",N(INDEX(Projects[Act Software Eng],364)))</f>
        <v/>
      </c>
      <c r="BW365" s="5">
        <f>IF(A365="","",N(INDEX(Projects[Act 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  <c r="CE365" s="5">
        <f>INDEX(Projects[Act Data Status],364)&amp;""</f>
        <v/>
      </c>
      <c r="CF365" s="5">
        <f>IF(A365="","",N(INDEX(Projects[Est Mech Inst],364)))</f>
        <v/>
      </c>
      <c r="CG365" s="5">
        <f>IF(A365="","",N(INDEX(Projects[Est Elec Inst],364)))</f>
        <v/>
      </c>
      <c r="CH365" s="5">
        <f>IF(A365="","",N(INDEX(Projects[Est Project Management],364)))</f>
        <v/>
      </c>
      <c r="CI365" s="5">
        <f>IF(A365="","",N(INDEX(Projects[Est Systems Eng],364)))</f>
        <v/>
      </c>
      <c r="CJ365" s="5">
        <f>IF(A365="","",N(INDEX(Projects[Est Mechanical Eng],364)))</f>
        <v/>
      </c>
      <c r="CK365" s="5">
        <f>IF(A365="","",N(INDEX(Projects[Est Structural Engineering],364)))</f>
        <v/>
      </c>
      <c r="CL365" s="5">
        <f>IF(A365="","",N(INDEX(Projects[Est Site Sup],364)))</f>
        <v/>
      </c>
      <c r="CM365" s="5">
        <f>IF(A365="","",N(INDEX(Projects[Est Controls Commissioning],364)))</f>
        <v/>
      </c>
      <c r="CN365" s="5">
        <f>IF(A365="","",N(INDEX(Projects[Est Systems Commissioning],364)))</f>
        <v/>
      </c>
      <c r="CO365" s="5">
        <f>IF(A365="","",N(INDEX(Projects[Est Service Commissioning],364)))</f>
        <v/>
      </c>
      <c r="CP365" s="5">
        <f>IF(A365="","",N(INDEX(Projects[Est Controls Eng],364)))</f>
        <v/>
      </c>
      <c r="CQ365" s="5">
        <f>IF(A365="","",N(INDEX(Projects[Est Controls Purchase],364)))</f>
        <v/>
      </c>
      <c r="CR365" s="5">
        <f>IF(A365="","",N(INDEX(Projects[Est Software Eng],364)))</f>
        <v/>
      </c>
      <c r="CS365" s="5">
        <f>IF(A365="","",N(INDEX(Projects[Est Misc],364)))</f>
        <v/>
      </c>
      <c r="CT365" s="5">
        <f>IF(A365="","",SUM(CF365:CS365))</f>
        <v/>
      </c>
      <c r="CU365" s="5">
        <f>INDEX(Projects[Est Cost (M)],364)</f>
        <v/>
      </c>
      <c r="CV365" s="5">
        <f>INDEX(Projects[Act Cost (M)],364)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IF(A366="","",N(INDEX(Projects[Act Mech Inst],365)))</f>
        <v/>
      </c>
      <c r="BK366" s="5">
        <f>IF(A366="","",N(INDEX(Projects[Act Elec Inst],365)))</f>
        <v/>
      </c>
      <c r="BL366" s="5">
        <f>IF(A366="","",N(INDEX(Projects[Act Project Management],365)))</f>
        <v/>
      </c>
      <c r="BM366" s="5">
        <f>IF(A366="","",N(INDEX(Projects[Act Systems Eng],365)))</f>
        <v/>
      </c>
      <c r="BN366" s="5">
        <f>IF(A366="","",N(INDEX(Projects[Act Mechanical Eng],365)))</f>
        <v/>
      </c>
      <c r="BO366" s="5">
        <f>IF(A366="","",N(INDEX(Projects[Act Structural Engineering],365)))</f>
        <v/>
      </c>
      <c r="BP366" s="5">
        <f>IF(A366="","",N(INDEX(Projects[Act Site Sup],365)))</f>
        <v/>
      </c>
      <c r="BQ366" s="5">
        <f>IF(A366="","",N(INDEX(Projects[Act Controls Commissioning],365)))</f>
        <v/>
      </c>
      <c r="BR366" s="5">
        <f>IF(A366="","",N(INDEX(Projects[Act Systems Commissioning],365)))</f>
        <v/>
      </c>
      <c r="BS366" s="5">
        <f>IF(A366="","",N(INDEX(Projects[Act Service Commissioning],365)))</f>
        <v/>
      </c>
      <c r="BT366" s="5">
        <f>IF(A366="","",N(INDEX(Projects[Act Controls Eng],365)))</f>
        <v/>
      </c>
      <c r="BU366" s="5">
        <f>IF(A366="","",N(INDEX(Projects[Act Controls Purchase],365)))</f>
        <v/>
      </c>
      <c r="BV366" s="5">
        <f>IF(A366="","",N(INDEX(Projects[Act Software Eng],365)))</f>
        <v/>
      </c>
      <c r="BW366" s="5">
        <f>IF(A366="","",N(INDEX(Projects[Act 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  <c r="CE366" s="5">
        <f>INDEX(Projects[Act Data Status],365)&amp;""</f>
        <v/>
      </c>
      <c r="CF366" s="5">
        <f>IF(A366="","",N(INDEX(Projects[Est Mech Inst],365)))</f>
        <v/>
      </c>
      <c r="CG366" s="5">
        <f>IF(A366="","",N(INDEX(Projects[Est Elec Inst],365)))</f>
        <v/>
      </c>
      <c r="CH366" s="5">
        <f>IF(A366="","",N(INDEX(Projects[Est Project Management],365)))</f>
        <v/>
      </c>
      <c r="CI366" s="5">
        <f>IF(A366="","",N(INDEX(Projects[Est Systems Eng],365)))</f>
        <v/>
      </c>
      <c r="CJ366" s="5">
        <f>IF(A366="","",N(INDEX(Projects[Est Mechanical Eng],365)))</f>
        <v/>
      </c>
      <c r="CK366" s="5">
        <f>IF(A366="","",N(INDEX(Projects[Est Structural Engineering],365)))</f>
        <v/>
      </c>
      <c r="CL366" s="5">
        <f>IF(A366="","",N(INDEX(Projects[Est Site Sup],365)))</f>
        <v/>
      </c>
      <c r="CM366" s="5">
        <f>IF(A366="","",N(INDEX(Projects[Est Controls Commissioning],365)))</f>
        <v/>
      </c>
      <c r="CN366" s="5">
        <f>IF(A366="","",N(INDEX(Projects[Est Systems Commissioning],365)))</f>
        <v/>
      </c>
      <c r="CO366" s="5">
        <f>IF(A366="","",N(INDEX(Projects[Est Service Commissioning],365)))</f>
        <v/>
      </c>
      <c r="CP366" s="5">
        <f>IF(A366="","",N(INDEX(Projects[Est Controls Eng],365)))</f>
        <v/>
      </c>
      <c r="CQ366" s="5">
        <f>IF(A366="","",N(INDEX(Projects[Est Controls Purchase],365)))</f>
        <v/>
      </c>
      <c r="CR366" s="5">
        <f>IF(A366="","",N(INDEX(Projects[Est Software Eng],365)))</f>
        <v/>
      </c>
      <c r="CS366" s="5">
        <f>IF(A366="","",N(INDEX(Projects[Est Misc],365)))</f>
        <v/>
      </c>
      <c r="CT366" s="5">
        <f>IF(A366="","",SUM(CF366:CS366))</f>
        <v/>
      </c>
      <c r="CU366" s="5">
        <f>INDEX(Projects[Est Cost (M)],365)</f>
        <v/>
      </c>
      <c r="CV366" s="5">
        <f>INDEX(Projects[Act Cost (M)],365)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IF(A367="","",N(INDEX(Projects[Act Mech Inst],366)))</f>
        <v/>
      </c>
      <c r="BK367" s="5">
        <f>IF(A367="","",N(INDEX(Projects[Act Elec Inst],366)))</f>
        <v/>
      </c>
      <c r="BL367" s="5">
        <f>IF(A367="","",N(INDEX(Projects[Act Project Management],366)))</f>
        <v/>
      </c>
      <c r="BM367" s="5">
        <f>IF(A367="","",N(INDEX(Projects[Act Systems Eng],366)))</f>
        <v/>
      </c>
      <c r="BN367" s="5">
        <f>IF(A367="","",N(INDEX(Projects[Act Mechanical Eng],366)))</f>
        <v/>
      </c>
      <c r="BO367" s="5">
        <f>IF(A367="","",N(INDEX(Projects[Act Structural Engineering],366)))</f>
        <v/>
      </c>
      <c r="BP367" s="5">
        <f>IF(A367="","",N(INDEX(Projects[Act Site Sup],366)))</f>
        <v/>
      </c>
      <c r="BQ367" s="5">
        <f>IF(A367="","",N(INDEX(Projects[Act Controls Commissioning],366)))</f>
        <v/>
      </c>
      <c r="BR367" s="5">
        <f>IF(A367="","",N(INDEX(Projects[Act Systems Commissioning],366)))</f>
        <v/>
      </c>
      <c r="BS367" s="5">
        <f>IF(A367="","",N(INDEX(Projects[Act Service Commissioning],366)))</f>
        <v/>
      </c>
      <c r="BT367" s="5">
        <f>IF(A367="","",N(INDEX(Projects[Act Controls Eng],366)))</f>
        <v/>
      </c>
      <c r="BU367" s="5">
        <f>IF(A367="","",N(INDEX(Projects[Act Controls Purchase],366)))</f>
        <v/>
      </c>
      <c r="BV367" s="5">
        <f>IF(A367="","",N(INDEX(Projects[Act Software Eng],366)))</f>
        <v/>
      </c>
      <c r="BW367" s="5">
        <f>IF(A367="","",N(INDEX(Projects[Act 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  <c r="CE367" s="5">
        <f>INDEX(Projects[Act Data Status],366)&amp;""</f>
        <v/>
      </c>
      <c r="CF367" s="5">
        <f>IF(A367="","",N(INDEX(Projects[Est Mech Inst],366)))</f>
        <v/>
      </c>
      <c r="CG367" s="5">
        <f>IF(A367="","",N(INDEX(Projects[Est Elec Inst],366)))</f>
        <v/>
      </c>
      <c r="CH367" s="5">
        <f>IF(A367="","",N(INDEX(Projects[Est Project Management],366)))</f>
        <v/>
      </c>
      <c r="CI367" s="5">
        <f>IF(A367="","",N(INDEX(Projects[Est Systems Eng],366)))</f>
        <v/>
      </c>
      <c r="CJ367" s="5">
        <f>IF(A367="","",N(INDEX(Projects[Est Mechanical Eng],366)))</f>
        <v/>
      </c>
      <c r="CK367" s="5">
        <f>IF(A367="","",N(INDEX(Projects[Est Structural Engineering],366)))</f>
        <v/>
      </c>
      <c r="CL367" s="5">
        <f>IF(A367="","",N(INDEX(Projects[Est Site Sup],366)))</f>
        <v/>
      </c>
      <c r="CM367" s="5">
        <f>IF(A367="","",N(INDEX(Projects[Est Controls Commissioning],366)))</f>
        <v/>
      </c>
      <c r="CN367" s="5">
        <f>IF(A367="","",N(INDEX(Projects[Est Systems Commissioning],366)))</f>
        <v/>
      </c>
      <c r="CO367" s="5">
        <f>IF(A367="","",N(INDEX(Projects[Est Service Commissioning],366)))</f>
        <v/>
      </c>
      <c r="CP367" s="5">
        <f>IF(A367="","",N(INDEX(Projects[Est Controls Eng],366)))</f>
        <v/>
      </c>
      <c r="CQ367" s="5">
        <f>IF(A367="","",N(INDEX(Projects[Est Controls Purchase],366)))</f>
        <v/>
      </c>
      <c r="CR367" s="5">
        <f>IF(A367="","",N(INDEX(Projects[Est Software Eng],366)))</f>
        <v/>
      </c>
      <c r="CS367" s="5">
        <f>IF(A367="","",N(INDEX(Projects[Est Misc],366)))</f>
        <v/>
      </c>
      <c r="CT367" s="5">
        <f>IF(A367="","",SUM(CF367:CS367))</f>
        <v/>
      </c>
      <c r="CU367" s="5">
        <f>INDEX(Projects[Est Cost (M)],366)</f>
        <v/>
      </c>
      <c r="CV367" s="5">
        <f>INDEX(Projects[Act Cost (M)],366)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IF(A368="","",N(INDEX(Projects[Act Mech Inst],367)))</f>
        <v/>
      </c>
      <c r="BK368" s="5">
        <f>IF(A368="","",N(INDEX(Projects[Act Elec Inst],367)))</f>
        <v/>
      </c>
      <c r="BL368" s="5">
        <f>IF(A368="","",N(INDEX(Projects[Act Project Management],367)))</f>
        <v/>
      </c>
      <c r="BM368" s="5">
        <f>IF(A368="","",N(INDEX(Projects[Act Systems Eng],367)))</f>
        <v/>
      </c>
      <c r="BN368" s="5">
        <f>IF(A368="","",N(INDEX(Projects[Act Mechanical Eng],367)))</f>
        <v/>
      </c>
      <c r="BO368" s="5">
        <f>IF(A368="","",N(INDEX(Projects[Act Structural Engineering],367)))</f>
        <v/>
      </c>
      <c r="BP368" s="5">
        <f>IF(A368="","",N(INDEX(Projects[Act Site Sup],367)))</f>
        <v/>
      </c>
      <c r="BQ368" s="5">
        <f>IF(A368="","",N(INDEX(Projects[Act Controls Commissioning],367)))</f>
        <v/>
      </c>
      <c r="BR368" s="5">
        <f>IF(A368="","",N(INDEX(Projects[Act Systems Commissioning],367)))</f>
        <v/>
      </c>
      <c r="BS368" s="5">
        <f>IF(A368="","",N(INDEX(Projects[Act Service Commissioning],367)))</f>
        <v/>
      </c>
      <c r="BT368" s="5">
        <f>IF(A368="","",N(INDEX(Projects[Act Controls Eng],367)))</f>
        <v/>
      </c>
      <c r="BU368" s="5">
        <f>IF(A368="","",N(INDEX(Projects[Act Controls Purchase],367)))</f>
        <v/>
      </c>
      <c r="BV368" s="5">
        <f>IF(A368="","",N(INDEX(Projects[Act Software Eng],367)))</f>
        <v/>
      </c>
      <c r="BW368" s="5">
        <f>IF(A368="","",N(INDEX(Projects[Act 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  <c r="CE368" s="5">
        <f>INDEX(Projects[Act Data Status],367)&amp;""</f>
        <v/>
      </c>
      <c r="CF368" s="5">
        <f>IF(A368="","",N(INDEX(Projects[Est Mech Inst],367)))</f>
        <v/>
      </c>
      <c r="CG368" s="5">
        <f>IF(A368="","",N(INDEX(Projects[Est Elec Inst],367)))</f>
        <v/>
      </c>
      <c r="CH368" s="5">
        <f>IF(A368="","",N(INDEX(Projects[Est Project Management],367)))</f>
        <v/>
      </c>
      <c r="CI368" s="5">
        <f>IF(A368="","",N(INDEX(Projects[Est Systems Eng],367)))</f>
        <v/>
      </c>
      <c r="CJ368" s="5">
        <f>IF(A368="","",N(INDEX(Projects[Est Mechanical Eng],367)))</f>
        <v/>
      </c>
      <c r="CK368" s="5">
        <f>IF(A368="","",N(INDEX(Projects[Est Structural Engineering],367)))</f>
        <v/>
      </c>
      <c r="CL368" s="5">
        <f>IF(A368="","",N(INDEX(Projects[Est Site Sup],367)))</f>
        <v/>
      </c>
      <c r="CM368" s="5">
        <f>IF(A368="","",N(INDEX(Projects[Est Controls Commissioning],367)))</f>
        <v/>
      </c>
      <c r="CN368" s="5">
        <f>IF(A368="","",N(INDEX(Projects[Est Systems Commissioning],367)))</f>
        <v/>
      </c>
      <c r="CO368" s="5">
        <f>IF(A368="","",N(INDEX(Projects[Est Service Commissioning],367)))</f>
        <v/>
      </c>
      <c r="CP368" s="5">
        <f>IF(A368="","",N(INDEX(Projects[Est Controls Eng],367)))</f>
        <v/>
      </c>
      <c r="CQ368" s="5">
        <f>IF(A368="","",N(INDEX(Projects[Est Controls Purchase],367)))</f>
        <v/>
      </c>
      <c r="CR368" s="5">
        <f>IF(A368="","",N(INDEX(Projects[Est Software Eng],367)))</f>
        <v/>
      </c>
      <c r="CS368" s="5">
        <f>IF(A368="","",N(INDEX(Projects[Est Misc],367)))</f>
        <v/>
      </c>
      <c r="CT368" s="5">
        <f>IF(A368="","",SUM(CF368:CS368))</f>
        <v/>
      </c>
      <c r="CU368" s="5">
        <f>INDEX(Projects[Est Cost (M)],367)</f>
        <v/>
      </c>
      <c r="CV368" s="5">
        <f>INDEX(Projects[Act Cost (M)],367)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IF(A369="","",N(INDEX(Projects[Act Mech Inst],368)))</f>
        <v/>
      </c>
      <c r="BK369" s="5">
        <f>IF(A369="","",N(INDEX(Projects[Act Elec Inst],368)))</f>
        <v/>
      </c>
      <c r="BL369" s="5">
        <f>IF(A369="","",N(INDEX(Projects[Act Project Management],368)))</f>
        <v/>
      </c>
      <c r="BM369" s="5">
        <f>IF(A369="","",N(INDEX(Projects[Act Systems Eng],368)))</f>
        <v/>
      </c>
      <c r="BN369" s="5">
        <f>IF(A369="","",N(INDEX(Projects[Act Mechanical Eng],368)))</f>
        <v/>
      </c>
      <c r="BO369" s="5">
        <f>IF(A369="","",N(INDEX(Projects[Act Structural Engineering],368)))</f>
        <v/>
      </c>
      <c r="BP369" s="5">
        <f>IF(A369="","",N(INDEX(Projects[Act Site Sup],368)))</f>
        <v/>
      </c>
      <c r="BQ369" s="5">
        <f>IF(A369="","",N(INDEX(Projects[Act Controls Commissioning],368)))</f>
        <v/>
      </c>
      <c r="BR369" s="5">
        <f>IF(A369="","",N(INDEX(Projects[Act Systems Commissioning],368)))</f>
        <v/>
      </c>
      <c r="BS369" s="5">
        <f>IF(A369="","",N(INDEX(Projects[Act Service Commissioning],368)))</f>
        <v/>
      </c>
      <c r="BT369" s="5">
        <f>IF(A369="","",N(INDEX(Projects[Act Controls Eng],368)))</f>
        <v/>
      </c>
      <c r="BU369" s="5">
        <f>IF(A369="","",N(INDEX(Projects[Act Controls Purchase],368)))</f>
        <v/>
      </c>
      <c r="BV369" s="5">
        <f>IF(A369="","",N(INDEX(Projects[Act Software Eng],368)))</f>
        <v/>
      </c>
      <c r="BW369" s="5">
        <f>IF(A369="","",N(INDEX(Projects[Act 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  <c r="CE369" s="5">
        <f>INDEX(Projects[Act Data Status],368)&amp;""</f>
        <v/>
      </c>
      <c r="CF369" s="5">
        <f>IF(A369="","",N(INDEX(Projects[Est Mech Inst],368)))</f>
        <v/>
      </c>
      <c r="CG369" s="5">
        <f>IF(A369="","",N(INDEX(Projects[Est Elec Inst],368)))</f>
        <v/>
      </c>
      <c r="CH369" s="5">
        <f>IF(A369="","",N(INDEX(Projects[Est Project Management],368)))</f>
        <v/>
      </c>
      <c r="CI369" s="5">
        <f>IF(A369="","",N(INDEX(Projects[Est Systems Eng],368)))</f>
        <v/>
      </c>
      <c r="CJ369" s="5">
        <f>IF(A369="","",N(INDEX(Projects[Est Mechanical Eng],368)))</f>
        <v/>
      </c>
      <c r="CK369" s="5">
        <f>IF(A369="","",N(INDEX(Projects[Est Structural Engineering],368)))</f>
        <v/>
      </c>
      <c r="CL369" s="5">
        <f>IF(A369="","",N(INDEX(Projects[Est Site Sup],368)))</f>
        <v/>
      </c>
      <c r="CM369" s="5">
        <f>IF(A369="","",N(INDEX(Projects[Est Controls Commissioning],368)))</f>
        <v/>
      </c>
      <c r="CN369" s="5">
        <f>IF(A369="","",N(INDEX(Projects[Est Systems Commissioning],368)))</f>
        <v/>
      </c>
      <c r="CO369" s="5">
        <f>IF(A369="","",N(INDEX(Projects[Est Service Commissioning],368)))</f>
        <v/>
      </c>
      <c r="CP369" s="5">
        <f>IF(A369="","",N(INDEX(Projects[Est Controls Eng],368)))</f>
        <v/>
      </c>
      <c r="CQ369" s="5">
        <f>IF(A369="","",N(INDEX(Projects[Est Controls Purchase],368)))</f>
        <v/>
      </c>
      <c r="CR369" s="5">
        <f>IF(A369="","",N(INDEX(Projects[Est Software Eng],368)))</f>
        <v/>
      </c>
      <c r="CS369" s="5">
        <f>IF(A369="","",N(INDEX(Projects[Est Misc],368)))</f>
        <v/>
      </c>
      <c r="CT369" s="5">
        <f>IF(A369="","",SUM(CF369:CS369))</f>
        <v/>
      </c>
      <c r="CU369" s="5">
        <f>INDEX(Projects[Est Cost (M)],368)</f>
        <v/>
      </c>
      <c r="CV369" s="5">
        <f>INDEX(Projects[Act Cost (M)],368)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IF(A370="","",N(INDEX(Projects[Act Mech Inst],369)))</f>
        <v/>
      </c>
      <c r="BK370" s="5">
        <f>IF(A370="","",N(INDEX(Projects[Act Elec Inst],369)))</f>
        <v/>
      </c>
      <c r="BL370" s="5">
        <f>IF(A370="","",N(INDEX(Projects[Act Project Management],369)))</f>
        <v/>
      </c>
      <c r="BM370" s="5">
        <f>IF(A370="","",N(INDEX(Projects[Act Systems Eng],369)))</f>
        <v/>
      </c>
      <c r="BN370" s="5">
        <f>IF(A370="","",N(INDEX(Projects[Act Mechanical Eng],369)))</f>
        <v/>
      </c>
      <c r="BO370" s="5">
        <f>IF(A370="","",N(INDEX(Projects[Act Structural Engineering],369)))</f>
        <v/>
      </c>
      <c r="BP370" s="5">
        <f>IF(A370="","",N(INDEX(Projects[Act Site Sup],369)))</f>
        <v/>
      </c>
      <c r="BQ370" s="5">
        <f>IF(A370="","",N(INDEX(Projects[Act Controls Commissioning],369)))</f>
        <v/>
      </c>
      <c r="BR370" s="5">
        <f>IF(A370="","",N(INDEX(Projects[Act Systems Commissioning],369)))</f>
        <v/>
      </c>
      <c r="BS370" s="5">
        <f>IF(A370="","",N(INDEX(Projects[Act Service Commissioning],369)))</f>
        <v/>
      </c>
      <c r="BT370" s="5">
        <f>IF(A370="","",N(INDEX(Projects[Act Controls Eng],369)))</f>
        <v/>
      </c>
      <c r="BU370" s="5">
        <f>IF(A370="","",N(INDEX(Projects[Act Controls Purchase],369)))</f>
        <v/>
      </c>
      <c r="BV370" s="5">
        <f>IF(A370="","",N(INDEX(Projects[Act Software Eng],369)))</f>
        <v/>
      </c>
      <c r="BW370" s="5">
        <f>IF(A370="","",N(INDEX(Projects[Act 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  <c r="CE370" s="5">
        <f>INDEX(Projects[Act Data Status],369)&amp;""</f>
        <v/>
      </c>
      <c r="CF370" s="5">
        <f>IF(A370="","",N(INDEX(Projects[Est Mech Inst],369)))</f>
        <v/>
      </c>
      <c r="CG370" s="5">
        <f>IF(A370="","",N(INDEX(Projects[Est Elec Inst],369)))</f>
        <v/>
      </c>
      <c r="CH370" s="5">
        <f>IF(A370="","",N(INDEX(Projects[Est Project Management],369)))</f>
        <v/>
      </c>
      <c r="CI370" s="5">
        <f>IF(A370="","",N(INDEX(Projects[Est Systems Eng],369)))</f>
        <v/>
      </c>
      <c r="CJ370" s="5">
        <f>IF(A370="","",N(INDEX(Projects[Est Mechanical Eng],369)))</f>
        <v/>
      </c>
      <c r="CK370" s="5">
        <f>IF(A370="","",N(INDEX(Projects[Est Structural Engineering],369)))</f>
        <v/>
      </c>
      <c r="CL370" s="5">
        <f>IF(A370="","",N(INDEX(Projects[Est Site Sup],369)))</f>
        <v/>
      </c>
      <c r="CM370" s="5">
        <f>IF(A370="","",N(INDEX(Projects[Est Controls Commissioning],369)))</f>
        <v/>
      </c>
      <c r="CN370" s="5">
        <f>IF(A370="","",N(INDEX(Projects[Est Systems Commissioning],369)))</f>
        <v/>
      </c>
      <c r="CO370" s="5">
        <f>IF(A370="","",N(INDEX(Projects[Est Service Commissioning],369)))</f>
        <v/>
      </c>
      <c r="CP370" s="5">
        <f>IF(A370="","",N(INDEX(Projects[Est Controls Eng],369)))</f>
        <v/>
      </c>
      <c r="CQ370" s="5">
        <f>IF(A370="","",N(INDEX(Projects[Est Controls Purchase],369)))</f>
        <v/>
      </c>
      <c r="CR370" s="5">
        <f>IF(A370="","",N(INDEX(Projects[Est Software Eng],369)))</f>
        <v/>
      </c>
      <c r="CS370" s="5">
        <f>IF(A370="","",N(INDEX(Projects[Est Misc],369)))</f>
        <v/>
      </c>
      <c r="CT370" s="5">
        <f>IF(A370="","",SUM(CF370:CS370))</f>
        <v/>
      </c>
      <c r="CU370" s="5">
        <f>INDEX(Projects[Est Cost (M)],369)</f>
        <v/>
      </c>
      <c r="CV370" s="5">
        <f>INDEX(Projects[Act Cost (M)],369)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IF(A371="","",N(INDEX(Projects[Act Mech Inst],370)))</f>
        <v/>
      </c>
      <c r="BK371" s="5">
        <f>IF(A371="","",N(INDEX(Projects[Act Elec Inst],370)))</f>
        <v/>
      </c>
      <c r="BL371" s="5">
        <f>IF(A371="","",N(INDEX(Projects[Act Project Management],370)))</f>
        <v/>
      </c>
      <c r="BM371" s="5">
        <f>IF(A371="","",N(INDEX(Projects[Act Systems Eng],370)))</f>
        <v/>
      </c>
      <c r="BN371" s="5">
        <f>IF(A371="","",N(INDEX(Projects[Act Mechanical Eng],370)))</f>
        <v/>
      </c>
      <c r="BO371" s="5">
        <f>IF(A371="","",N(INDEX(Projects[Act Structural Engineering],370)))</f>
        <v/>
      </c>
      <c r="BP371" s="5">
        <f>IF(A371="","",N(INDEX(Projects[Act Site Sup],370)))</f>
        <v/>
      </c>
      <c r="BQ371" s="5">
        <f>IF(A371="","",N(INDEX(Projects[Act Controls Commissioning],370)))</f>
        <v/>
      </c>
      <c r="BR371" s="5">
        <f>IF(A371="","",N(INDEX(Projects[Act Systems Commissioning],370)))</f>
        <v/>
      </c>
      <c r="BS371" s="5">
        <f>IF(A371="","",N(INDEX(Projects[Act Service Commissioning],370)))</f>
        <v/>
      </c>
      <c r="BT371" s="5">
        <f>IF(A371="","",N(INDEX(Projects[Act Controls Eng],370)))</f>
        <v/>
      </c>
      <c r="BU371" s="5">
        <f>IF(A371="","",N(INDEX(Projects[Act Controls Purchase],370)))</f>
        <v/>
      </c>
      <c r="BV371" s="5">
        <f>IF(A371="","",N(INDEX(Projects[Act Software Eng],370)))</f>
        <v/>
      </c>
      <c r="BW371" s="5">
        <f>IF(A371="","",N(INDEX(Projects[Act 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  <c r="CE371" s="5">
        <f>INDEX(Projects[Act Data Status],370)&amp;""</f>
        <v/>
      </c>
      <c r="CF371" s="5">
        <f>IF(A371="","",N(INDEX(Projects[Est Mech Inst],370)))</f>
        <v/>
      </c>
      <c r="CG371" s="5">
        <f>IF(A371="","",N(INDEX(Projects[Est Elec Inst],370)))</f>
        <v/>
      </c>
      <c r="CH371" s="5">
        <f>IF(A371="","",N(INDEX(Projects[Est Project Management],370)))</f>
        <v/>
      </c>
      <c r="CI371" s="5">
        <f>IF(A371="","",N(INDEX(Projects[Est Systems Eng],370)))</f>
        <v/>
      </c>
      <c r="CJ371" s="5">
        <f>IF(A371="","",N(INDEX(Projects[Est Mechanical Eng],370)))</f>
        <v/>
      </c>
      <c r="CK371" s="5">
        <f>IF(A371="","",N(INDEX(Projects[Est Structural Engineering],370)))</f>
        <v/>
      </c>
      <c r="CL371" s="5">
        <f>IF(A371="","",N(INDEX(Projects[Est Site Sup],370)))</f>
        <v/>
      </c>
      <c r="CM371" s="5">
        <f>IF(A371="","",N(INDEX(Projects[Est Controls Commissioning],370)))</f>
        <v/>
      </c>
      <c r="CN371" s="5">
        <f>IF(A371="","",N(INDEX(Projects[Est Systems Commissioning],370)))</f>
        <v/>
      </c>
      <c r="CO371" s="5">
        <f>IF(A371="","",N(INDEX(Projects[Est Service Commissioning],370)))</f>
        <v/>
      </c>
      <c r="CP371" s="5">
        <f>IF(A371="","",N(INDEX(Projects[Est Controls Eng],370)))</f>
        <v/>
      </c>
      <c r="CQ371" s="5">
        <f>IF(A371="","",N(INDEX(Projects[Est Controls Purchase],370)))</f>
        <v/>
      </c>
      <c r="CR371" s="5">
        <f>IF(A371="","",N(INDEX(Projects[Est Software Eng],370)))</f>
        <v/>
      </c>
      <c r="CS371" s="5">
        <f>IF(A371="","",N(INDEX(Projects[Est Misc],370)))</f>
        <v/>
      </c>
      <c r="CT371" s="5">
        <f>IF(A371="","",SUM(CF371:CS371))</f>
        <v/>
      </c>
      <c r="CU371" s="5">
        <f>INDEX(Projects[Est Cost (M)],370)</f>
        <v/>
      </c>
      <c r="CV371" s="5">
        <f>INDEX(Projects[Act Cost (M)],370)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IF(A372="","",N(INDEX(Projects[Act Mech Inst],371)))</f>
        <v/>
      </c>
      <c r="BK372" s="5">
        <f>IF(A372="","",N(INDEX(Projects[Act Elec Inst],371)))</f>
        <v/>
      </c>
      <c r="BL372" s="5">
        <f>IF(A372="","",N(INDEX(Projects[Act Project Management],371)))</f>
        <v/>
      </c>
      <c r="BM372" s="5">
        <f>IF(A372="","",N(INDEX(Projects[Act Systems Eng],371)))</f>
        <v/>
      </c>
      <c r="BN372" s="5">
        <f>IF(A372="","",N(INDEX(Projects[Act Mechanical Eng],371)))</f>
        <v/>
      </c>
      <c r="BO372" s="5">
        <f>IF(A372="","",N(INDEX(Projects[Act Structural Engineering],371)))</f>
        <v/>
      </c>
      <c r="BP372" s="5">
        <f>IF(A372="","",N(INDEX(Projects[Act Site Sup],371)))</f>
        <v/>
      </c>
      <c r="BQ372" s="5">
        <f>IF(A372="","",N(INDEX(Projects[Act Controls Commissioning],371)))</f>
        <v/>
      </c>
      <c r="BR372" s="5">
        <f>IF(A372="","",N(INDEX(Projects[Act Systems Commissioning],371)))</f>
        <v/>
      </c>
      <c r="BS372" s="5">
        <f>IF(A372="","",N(INDEX(Projects[Act Service Commissioning],371)))</f>
        <v/>
      </c>
      <c r="BT372" s="5">
        <f>IF(A372="","",N(INDEX(Projects[Act Controls Eng],371)))</f>
        <v/>
      </c>
      <c r="BU372" s="5">
        <f>IF(A372="","",N(INDEX(Projects[Act Controls Purchase],371)))</f>
        <v/>
      </c>
      <c r="BV372" s="5">
        <f>IF(A372="","",N(INDEX(Projects[Act Software Eng],371)))</f>
        <v/>
      </c>
      <c r="BW372" s="5">
        <f>IF(A372="","",N(INDEX(Projects[Act 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  <c r="CE372" s="5">
        <f>INDEX(Projects[Act Data Status],371)&amp;""</f>
        <v/>
      </c>
      <c r="CF372" s="5">
        <f>IF(A372="","",N(INDEX(Projects[Est Mech Inst],371)))</f>
        <v/>
      </c>
      <c r="CG372" s="5">
        <f>IF(A372="","",N(INDEX(Projects[Est Elec Inst],371)))</f>
        <v/>
      </c>
      <c r="CH372" s="5">
        <f>IF(A372="","",N(INDEX(Projects[Est Project Management],371)))</f>
        <v/>
      </c>
      <c r="CI372" s="5">
        <f>IF(A372="","",N(INDEX(Projects[Est Systems Eng],371)))</f>
        <v/>
      </c>
      <c r="CJ372" s="5">
        <f>IF(A372="","",N(INDEX(Projects[Est Mechanical Eng],371)))</f>
        <v/>
      </c>
      <c r="CK372" s="5">
        <f>IF(A372="","",N(INDEX(Projects[Est Structural Engineering],371)))</f>
        <v/>
      </c>
      <c r="CL372" s="5">
        <f>IF(A372="","",N(INDEX(Projects[Est Site Sup],371)))</f>
        <v/>
      </c>
      <c r="CM372" s="5">
        <f>IF(A372="","",N(INDEX(Projects[Est Controls Commissioning],371)))</f>
        <v/>
      </c>
      <c r="CN372" s="5">
        <f>IF(A372="","",N(INDEX(Projects[Est Systems Commissioning],371)))</f>
        <v/>
      </c>
      <c r="CO372" s="5">
        <f>IF(A372="","",N(INDEX(Projects[Est Service Commissioning],371)))</f>
        <v/>
      </c>
      <c r="CP372" s="5">
        <f>IF(A372="","",N(INDEX(Projects[Est Controls Eng],371)))</f>
        <v/>
      </c>
      <c r="CQ372" s="5">
        <f>IF(A372="","",N(INDEX(Projects[Est Controls Purchase],371)))</f>
        <v/>
      </c>
      <c r="CR372" s="5">
        <f>IF(A372="","",N(INDEX(Projects[Est Software Eng],371)))</f>
        <v/>
      </c>
      <c r="CS372" s="5">
        <f>IF(A372="","",N(INDEX(Projects[Est Misc],371)))</f>
        <v/>
      </c>
      <c r="CT372" s="5">
        <f>IF(A372="","",SUM(CF372:CS372))</f>
        <v/>
      </c>
      <c r="CU372" s="5">
        <f>INDEX(Projects[Est Cost (M)],371)</f>
        <v/>
      </c>
      <c r="CV372" s="5">
        <f>INDEX(Projects[Act Cost (M)],371)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IF(A373="","",N(INDEX(Projects[Act Mech Inst],372)))</f>
        <v/>
      </c>
      <c r="BK373" s="5">
        <f>IF(A373="","",N(INDEX(Projects[Act Elec Inst],372)))</f>
        <v/>
      </c>
      <c r="BL373" s="5">
        <f>IF(A373="","",N(INDEX(Projects[Act Project Management],372)))</f>
        <v/>
      </c>
      <c r="BM373" s="5">
        <f>IF(A373="","",N(INDEX(Projects[Act Systems Eng],372)))</f>
        <v/>
      </c>
      <c r="BN373" s="5">
        <f>IF(A373="","",N(INDEX(Projects[Act Mechanical Eng],372)))</f>
        <v/>
      </c>
      <c r="BO373" s="5">
        <f>IF(A373="","",N(INDEX(Projects[Act Structural Engineering],372)))</f>
        <v/>
      </c>
      <c r="BP373" s="5">
        <f>IF(A373="","",N(INDEX(Projects[Act Site Sup],372)))</f>
        <v/>
      </c>
      <c r="BQ373" s="5">
        <f>IF(A373="","",N(INDEX(Projects[Act Controls Commissioning],372)))</f>
        <v/>
      </c>
      <c r="BR373" s="5">
        <f>IF(A373="","",N(INDEX(Projects[Act Systems Commissioning],372)))</f>
        <v/>
      </c>
      <c r="BS373" s="5">
        <f>IF(A373="","",N(INDEX(Projects[Act Service Commissioning],372)))</f>
        <v/>
      </c>
      <c r="BT373" s="5">
        <f>IF(A373="","",N(INDEX(Projects[Act Controls Eng],372)))</f>
        <v/>
      </c>
      <c r="BU373" s="5">
        <f>IF(A373="","",N(INDEX(Projects[Act Controls Purchase],372)))</f>
        <v/>
      </c>
      <c r="BV373" s="5">
        <f>IF(A373="","",N(INDEX(Projects[Act Software Eng],372)))</f>
        <v/>
      </c>
      <c r="BW373" s="5">
        <f>IF(A373="","",N(INDEX(Projects[Act 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  <c r="CE373" s="5">
        <f>INDEX(Projects[Act Data Status],372)&amp;""</f>
        <v/>
      </c>
      <c r="CF373" s="5">
        <f>IF(A373="","",N(INDEX(Projects[Est Mech Inst],372)))</f>
        <v/>
      </c>
      <c r="CG373" s="5">
        <f>IF(A373="","",N(INDEX(Projects[Est Elec Inst],372)))</f>
        <v/>
      </c>
      <c r="CH373" s="5">
        <f>IF(A373="","",N(INDEX(Projects[Est Project Management],372)))</f>
        <v/>
      </c>
      <c r="CI373" s="5">
        <f>IF(A373="","",N(INDEX(Projects[Est Systems Eng],372)))</f>
        <v/>
      </c>
      <c r="CJ373" s="5">
        <f>IF(A373="","",N(INDEX(Projects[Est Mechanical Eng],372)))</f>
        <v/>
      </c>
      <c r="CK373" s="5">
        <f>IF(A373="","",N(INDEX(Projects[Est Structural Engineering],372)))</f>
        <v/>
      </c>
      <c r="CL373" s="5">
        <f>IF(A373="","",N(INDEX(Projects[Est Site Sup],372)))</f>
        <v/>
      </c>
      <c r="CM373" s="5">
        <f>IF(A373="","",N(INDEX(Projects[Est Controls Commissioning],372)))</f>
        <v/>
      </c>
      <c r="CN373" s="5">
        <f>IF(A373="","",N(INDEX(Projects[Est Systems Commissioning],372)))</f>
        <v/>
      </c>
      <c r="CO373" s="5">
        <f>IF(A373="","",N(INDEX(Projects[Est Service Commissioning],372)))</f>
        <v/>
      </c>
      <c r="CP373" s="5">
        <f>IF(A373="","",N(INDEX(Projects[Est Controls Eng],372)))</f>
        <v/>
      </c>
      <c r="CQ373" s="5">
        <f>IF(A373="","",N(INDEX(Projects[Est Controls Purchase],372)))</f>
        <v/>
      </c>
      <c r="CR373" s="5">
        <f>IF(A373="","",N(INDEX(Projects[Est Software Eng],372)))</f>
        <v/>
      </c>
      <c r="CS373" s="5">
        <f>IF(A373="","",N(INDEX(Projects[Est Misc],372)))</f>
        <v/>
      </c>
      <c r="CT373" s="5">
        <f>IF(A373="","",SUM(CF373:CS373))</f>
        <v/>
      </c>
      <c r="CU373" s="5">
        <f>INDEX(Projects[Est Cost (M)],372)</f>
        <v/>
      </c>
      <c r="CV373" s="5">
        <f>INDEX(Projects[Act Cost (M)],372)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IF(A374="","",N(INDEX(Projects[Act Mech Inst],373)))</f>
        <v/>
      </c>
      <c r="BK374" s="5">
        <f>IF(A374="","",N(INDEX(Projects[Act Elec Inst],373)))</f>
        <v/>
      </c>
      <c r="BL374" s="5">
        <f>IF(A374="","",N(INDEX(Projects[Act Project Management],373)))</f>
        <v/>
      </c>
      <c r="BM374" s="5">
        <f>IF(A374="","",N(INDEX(Projects[Act Systems Eng],373)))</f>
        <v/>
      </c>
      <c r="BN374" s="5">
        <f>IF(A374="","",N(INDEX(Projects[Act Mechanical Eng],373)))</f>
        <v/>
      </c>
      <c r="BO374" s="5">
        <f>IF(A374="","",N(INDEX(Projects[Act Structural Engineering],373)))</f>
        <v/>
      </c>
      <c r="BP374" s="5">
        <f>IF(A374="","",N(INDEX(Projects[Act Site Sup],373)))</f>
        <v/>
      </c>
      <c r="BQ374" s="5">
        <f>IF(A374="","",N(INDEX(Projects[Act Controls Commissioning],373)))</f>
        <v/>
      </c>
      <c r="BR374" s="5">
        <f>IF(A374="","",N(INDEX(Projects[Act Systems Commissioning],373)))</f>
        <v/>
      </c>
      <c r="BS374" s="5">
        <f>IF(A374="","",N(INDEX(Projects[Act Service Commissioning],373)))</f>
        <v/>
      </c>
      <c r="BT374" s="5">
        <f>IF(A374="","",N(INDEX(Projects[Act Controls Eng],373)))</f>
        <v/>
      </c>
      <c r="BU374" s="5">
        <f>IF(A374="","",N(INDEX(Projects[Act Controls Purchase],373)))</f>
        <v/>
      </c>
      <c r="BV374" s="5">
        <f>IF(A374="","",N(INDEX(Projects[Act Software Eng],373)))</f>
        <v/>
      </c>
      <c r="BW374" s="5">
        <f>IF(A374="","",N(INDEX(Projects[Act 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  <c r="CE374" s="5">
        <f>INDEX(Projects[Act Data Status],373)&amp;""</f>
        <v/>
      </c>
      <c r="CF374" s="5">
        <f>IF(A374="","",N(INDEX(Projects[Est Mech Inst],373)))</f>
        <v/>
      </c>
      <c r="CG374" s="5">
        <f>IF(A374="","",N(INDEX(Projects[Est Elec Inst],373)))</f>
        <v/>
      </c>
      <c r="CH374" s="5">
        <f>IF(A374="","",N(INDEX(Projects[Est Project Management],373)))</f>
        <v/>
      </c>
      <c r="CI374" s="5">
        <f>IF(A374="","",N(INDEX(Projects[Est Systems Eng],373)))</f>
        <v/>
      </c>
      <c r="CJ374" s="5">
        <f>IF(A374="","",N(INDEX(Projects[Est Mechanical Eng],373)))</f>
        <v/>
      </c>
      <c r="CK374" s="5">
        <f>IF(A374="","",N(INDEX(Projects[Est Structural Engineering],373)))</f>
        <v/>
      </c>
      <c r="CL374" s="5">
        <f>IF(A374="","",N(INDEX(Projects[Est Site Sup],373)))</f>
        <v/>
      </c>
      <c r="CM374" s="5">
        <f>IF(A374="","",N(INDEX(Projects[Est Controls Commissioning],373)))</f>
        <v/>
      </c>
      <c r="CN374" s="5">
        <f>IF(A374="","",N(INDEX(Projects[Est Systems Commissioning],373)))</f>
        <v/>
      </c>
      <c r="CO374" s="5">
        <f>IF(A374="","",N(INDEX(Projects[Est Service Commissioning],373)))</f>
        <v/>
      </c>
      <c r="CP374" s="5">
        <f>IF(A374="","",N(INDEX(Projects[Est Controls Eng],373)))</f>
        <v/>
      </c>
      <c r="CQ374" s="5">
        <f>IF(A374="","",N(INDEX(Projects[Est Controls Purchase],373)))</f>
        <v/>
      </c>
      <c r="CR374" s="5">
        <f>IF(A374="","",N(INDEX(Projects[Est Software Eng],373)))</f>
        <v/>
      </c>
      <c r="CS374" s="5">
        <f>IF(A374="","",N(INDEX(Projects[Est Misc],373)))</f>
        <v/>
      </c>
      <c r="CT374" s="5">
        <f>IF(A374="","",SUM(CF374:CS374))</f>
        <v/>
      </c>
      <c r="CU374" s="5">
        <f>INDEX(Projects[Est Cost (M)],373)</f>
        <v/>
      </c>
      <c r="CV374" s="5">
        <f>INDEX(Projects[Act Cost (M)],373)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IF(A375="","",N(INDEX(Projects[Act Mech Inst],374)))</f>
        <v/>
      </c>
      <c r="BK375" s="5">
        <f>IF(A375="","",N(INDEX(Projects[Act Elec Inst],374)))</f>
        <v/>
      </c>
      <c r="BL375" s="5">
        <f>IF(A375="","",N(INDEX(Projects[Act Project Management],374)))</f>
        <v/>
      </c>
      <c r="BM375" s="5">
        <f>IF(A375="","",N(INDEX(Projects[Act Systems Eng],374)))</f>
        <v/>
      </c>
      <c r="BN375" s="5">
        <f>IF(A375="","",N(INDEX(Projects[Act Mechanical Eng],374)))</f>
        <v/>
      </c>
      <c r="BO375" s="5">
        <f>IF(A375="","",N(INDEX(Projects[Act Structural Engineering],374)))</f>
        <v/>
      </c>
      <c r="BP375" s="5">
        <f>IF(A375="","",N(INDEX(Projects[Act Site Sup],374)))</f>
        <v/>
      </c>
      <c r="BQ375" s="5">
        <f>IF(A375="","",N(INDEX(Projects[Act Controls Commissioning],374)))</f>
        <v/>
      </c>
      <c r="BR375" s="5">
        <f>IF(A375="","",N(INDEX(Projects[Act Systems Commissioning],374)))</f>
        <v/>
      </c>
      <c r="BS375" s="5">
        <f>IF(A375="","",N(INDEX(Projects[Act Service Commissioning],374)))</f>
        <v/>
      </c>
      <c r="BT375" s="5">
        <f>IF(A375="","",N(INDEX(Projects[Act Controls Eng],374)))</f>
        <v/>
      </c>
      <c r="BU375" s="5">
        <f>IF(A375="","",N(INDEX(Projects[Act Controls Purchase],374)))</f>
        <v/>
      </c>
      <c r="BV375" s="5">
        <f>IF(A375="","",N(INDEX(Projects[Act Software Eng],374)))</f>
        <v/>
      </c>
      <c r="BW375" s="5">
        <f>IF(A375="","",N(INDEX(Projects[Act 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  <c r="CE375" s="5">
        <f>INDEX(Projects[Act Data Status],374)&amp;""</f>
        <v/>
      </c>
      <c r="CF375" s="5">
        <f>IF(A375="","",N(INDEX(Projects[Est Mech Inst],374)))</f>
        <v/>
      </c>
      <c r="CG375" s="5">
        <f>IF(A375="","",N(INDEX(Projects[Est Elec Inst],374)))</f>
        <v/>
      </c>
      <c r="CH375" s="5">
        <f>IF(A375="","",N(INDEX(Projects[Est Project Management],374)))</f>
        <v/>
      </c>
      <c r="CI375" s="5">
        <f>IF(A375="","",N(INDEX(Projects[Est Systems Eng],374)))</f>
        <v/>
      </c>
      <c r="CJ375" s="5">
        <f>IF(A375="","",N(INDEX(Projects[Est Mechanical Eng],374)))</f>
        <v/>
      </c>
      <c r="CK375" s="5">
        <f>IF(A375="","",N(INDEX(Projects[Est Structural Engineering],374)))</f>
        <v/>
      </c>
      <c r="CL375" s="5">
        <f>IF(A375="","",N(INDEX(Projects[Est Site Sup],374)))</f>
        <v/>
      </c>
      <c r="CM375" s="5">
        <f>IF(A375="","",N(INDEX(Projects[Est Controls Commissioning],374)))</f>
        <v/>
      </c>
      <c r="CN375" s="5">
        <f>IF(A375="","",N(INDEX(Projects[Est Systems Commissioning],374)))</f>
        <v/>
      </c>
      <c r="CO375" s="5">
        <f>IF(A375="","",N(INDEX(Projects[Est Service Commissioning],374)))</f>
        <v/>
      </c>
      <c r="CP375" s="5">
        <f>IF(A375="","",N(INDEX(Projects[Est Controls Eng],374)))</f>
        <v/>
      </c>
      <c r="CQ375" s="5">
        <f>IF(A375="","",N(INDEX(Projects[Est Controls Purchase],374)))</f>
        <v/>
      </c>
      <c r="CR375" s="5">
        <f>IF(A375="","",N(INDEX(Projects[Est Software Eng],374)))</f>
        <v/>
      </c>
      <c r="CS375" s="5">
        <f>IF(A375="","",N(INDEX(Projects[Est Misc],374)))</f>
        <v/>
      </c>
      <c r="CT375" s="5">
        <f>IF(A375="","",SUM(CF375:CS375))</f>
        <v/>
      </c>
      <c r="CU375" s="5">
        <f>INDEX(Projects[Est Cost (M)],374)</f>
        <v/>
      </c>
      <c r="CV375" s="5">
        <f>INDEX(Projects[Act Cost (M)],374)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IF(A376="","",N(INDEX(Projects[Act Mech Inst],375)))</f>
        <v/>
      </c>
      <c r="BK376" s="5">
        <f>IF(A376="","",N(INDEX(Projects[Act Elec Inst],375)))</f>
        <v/>
      </c>
      <c r="BL376" s="5">
        <f>IF(A376="","",N(INDEX(Projects[Act Project Management],375)))</f>
        <v/>
      </c>
      <c r="BM376" s="5">
        <f>IF(A376="","",N(INDEX(Projects[Act Systems Eng],375)))</f>
        <v/>
      </c>
      <c r="BN376" s="5">
        <f>IF(A376="","",N(INDEX(Projects[Act Mechanical Eng],375)))</f>
        <v/>
      </c>
      <c r="BO376" s="5">
        <f>IF(A376="","",N(INDEX(Projects[Act Structural Engineering],375)))</f>
        <v/>
      </c>
      <c r="BP376" s="5">
        <f>IF(A376="","",N(INDEX(Projects[Act Site Sup],375)))</f>
        <v/>
      </c>
      <c r="BQ376" s="5">
        <f>IF(A376="","",N(INDEX(Projects[Act Controls Commissioning],375)))</f>
        <v/>
      </c>
      <c r="BR376" s="5">
        <f>IF(A376="","",N(INDEX(Projects[Act Systems Commissioning],375)))</f>
        <v/>
      </c>
      <c r="BS376" s="5">
        <f>IF(A376="","",N(INDEX(Projects[Act Service Commissioning],375)))</f>
        <v/>
      </c>
      <c r="BT376" s="5">
        <f>IF(A376="","",N(INDEX(Projects[Act Controls Eng],375)))</f>
        <v/>
      </c>
      <c r="BU376" s="5">
        <f>IF(A376="","",N(INDEX(Projects[Act Controls Purchase],375)))</f>
        <v/>
      </c>
      <c r="BV376" s="5">
        <f>IF(A376="","",N(INDEX(Projects[Act Software Eng],375)))</f>
        <v/>
      </c>
      <c r="BW376" s="5">
        <f>IF(A376="","",N(INDEX(Projects[Act 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  <c r="CE376" s="5">
        <f>INDEX(Projects[Act Data Status],375)&amp;""</f>
        <v/>
      </c>
      <c r="CF376" s="5">
        <f>IF(A376="","",N(INDEX(Projects[Est Mech Inst],375)))</f>
        <v/>
      </c>
      <c r="CG376" s="5">
        <f>IF(A376="","",N(INDEX(Projects[Est Elec Inst],375)))</f>
        <v/>
      </c>
      <c r="CH376" s="5">
        <f>IF(A376="","",N(INDEX(Projects[Est Project Management],375)))</f>
        <v/>
      </c>
      <c r="CI376" s="5">
        <f>IF(A376="","",N(INDEX(Projects[Est Systems Eng],375)))</f>
        <v/>
      </c>
      <c r="CJ376" s="5">
        <f>IF(A376="","",N(INDEX(Projects[Est Mechanical Eng],375)))</f>
        <v/>
      </c>
      <c r="CK376" s="5">
        <f>IF(A376="","",N(INDEX(Projects[Est Structural Engineering],375)))</f>
        <v/>
      </c>
      <c r="CL376" s="5">
        <f>IF(A376="","",N(INDEX(Projects[Est Site Sup],375)))</f>
        <v/>
      </c>
      <c r="CM376" s="5">
        <f>IF(A376="","",N(INDEX(Projects[Est Controls Commissioning],375)))</f>
        <v/>
      </c>
      <c r="CN376" s="5">
        <f>IF(A376="","",N(INDEX(Projects[Est Systems Commissioning],375)))</f>
        <v/>
      </c>
      <c r="CO376" s="5">
        <f>IF(A376="","",N(INDEX(Projects[Est Service Commissioning],375)))</f>
        <v/>
      </c>
      <c r="CP376" s="5">
        <f>IF(A376="","",N(INDEX(Projects[Est Controls Eng],375)))</f>
        <v/>
      </c>
      <c r="CQ376" s="5">
        <f>IF(A376="","",N(INDEX(Projects[Est Controls Purchase],375)))</f>
        <v/>
      </c>
      <c r="CR376" s="5">
        <f>IF(A376="","",N(INDEX(Projects[Est Software Eng],375)))</f>
        <v/>
      </c>
      <c r="CS376" s="5">
        <f>IF(A376="","",N(INDEX(Projects[Est Misc],375)))</f>
        <v/>
      </c>
      <c r="CT376" s="5">
        <f>IF(A376="","",SUM(CF376:CS376))</f>
        <v/>
      </c>
      <c r="CU376" s="5">
        <f>INDEX(Projects[Est Cost (M)],375)</f>
        <v/>
      </c>
      <c r="CV376" s="5">
        <f>INDEX(Projects[Act Cost (M)],375)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IF(A377="","",N(INDEX(Projects[Act Mech Inst],376)))</f>
        <v/>
      </c>
      <c r="BK377" s="5">
        <f>IF(A377="","",N(INDEX(Projects[Act Elec Inst],376)))</f>
        <v/>
      </c>
      <c r="BL377" s="5">
        <f>IF(A377="","",N(INDEX(Projects[Act Project Management],376)))</f>
        <v/>
      </c>
      <c r="BM377" s="5">
        <f>IF(A377="","",N(INDEX(Projects[Act Systems Eng],376)))</f>
        <v/>
      </c>
      <c r="BN377" s="5">
        <f>IF(A377="","",N(INDEX(Projects[Act Mechanical Eng],376)))</f>
        <v/>
      </c>
      <c r="BO377" s="5">
        <f>IF(A377="","",N(INDEX(Projects[Act Structural Engineering],376)))</f>
        <v/>
      </c>
      <c r="BP377" s="5">
        <f>IF(A377="","",N(INDEX(Projects[Act Site Sup],376)))</f>
        <v/>
      </c>
      <c r="BQ377" s="5">
        <f>IF(A377="","",N(INDEX(Projects[Act Controls Commissioning],376)))</f>
        <v/>
      </c>
      <c r="BR377" s="5">
        <f>IF(A377="","",N(INDEX(Projects[Act Systems Commissioning],376)))</f>
        <v/>
      </c>
      <c r="BS377" s="5">
        <f>IF(A377="","",N(INDEX(Projects[Act Service Commissioning],376)))</f>
        <v/>
      </c>
      <c r="BT377" s="5">
        <f>IF(A377="","",N(INDEX(Projects[Act Controls Eng],376)))</f>
        <v/>
      </c>
      <c r="BU377" s="5">
        <f>IF(A377="","",N(INDEX(Projects[Act Controls Purchase],376)))</f>
        <v/>
      </c>
      <c r="BV377" s="5">
        <f>IF(A377="","",N(INDEX(Projects[Act Software Eng],376)))</f>
        <v/>
      </c>
      <c r="BW377" s="5">
        <f>IF(A377="","",N(INDEX(Projects[Act 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  <c r="CE377" s="5">
        <f>INDEX(Projects[Act Data Status],376)&amp;""</f>
        <v/>
      </c>
      <c r="CF377" s="5">
        <f>IF(A377="","",N(INDEX(Projects[Est Mech Inst],376)))</f>
        <v/>
      </c>
      <c r="CG377" s="5">
        <f>IF(A377="","",N(INDEX(Projects[Est Elec Inst],376)))</f>
        <v/>
      </c>
      <c r="CH377" s="5">
        <f>IF(A377="","",N(INDEX(Projects[Est Project Management],376)))</f>
        <v/>
      </c>
      <c r="CI377" s="5">
        <f>IF(A377="","",N(INDEX(Projects[Est Systems Eng],376)))</f>
        <v/>
      </c>
      <c r="CJ377" s="5">
        <f>IF(A377="","",N(INDEX(Projects[Est Mechanical Eng],376)))</f>
        <v/>
      </c>
      <c r="CK377" s="5">
        <f>IF(A377="","",N(INDEX(Projects[Est Structural Engineering],376)))</f>
        <v/>
      </c>
      <c r="CL377" s="5">
        <f>IF(A377="","",N(INDEX(Projects[Est Site Sup],376)))</f>
        <v/>
      </c>
      <c r="CM377" s="5">
        <f>IF(A377="","",N(INDEX(Projects[Est Controls Commissioning],376)))</f>
        <v/>
      </c>
      <c r="CN377" s="5">
        <f>IF(A377="","",N(INDEX(Projects[Est Systems Commissioning],376)))</f>
        <v/>
      </c>
      <c r="CO377" s="5">
        <f>IF(A377="","",N(INDEX(Projects[Est Service Commissioning],376)))</f>
        <v/>
      </c>
      <c r="CP377" s="5">
        <f>IF(A377="","",N(INDEX(Projects[Est Controls Eng],376)))</f>
        <v/>
      </c>
      <c r="CQ377" s="5">
        <f>IF(A377="","",N(INDEX(Projects[Est Controls Purchase],376)))</f>
        <v/>
      </c>
      <c r="CR377" s="5">
        <f>IF(A377="","",N(INDEX(Projects[Est Software Eng],376)))</f>
        <v/>
      </c>
      <c r="CS377" s="5">
        <f>IF(A377="","",N(INDEX(Projects[Est Misc],376)))</f>
        <v/>
      </c>
      <c r="CT377" s="5">
        <f>IF(A377="","",SUM(CF377:CS377))</f>
        <v/>
      </c>
      <c r="CU377" s="5">
        <f>INDEX(Projects[Est Cost (M)],376)</f>
        <v/>
      </c>
      <c r="CV377" s="5">
        <f>INDEX(Projects[Act Cost (M)],376)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IF(A378="","",N(INDEX(Projects[Act Mech Inst],377)))</f>
        <v/>
      </c>
      <c r="BK378" s="5">
        <f>IF(A378="","",N(INDEX(Projects[Act Elec Inst],377)))</f>
        <v/>
      </c>
      <c r="BL378" s="5">
        <f>IF(A378="","",N(INDEX(Projects[Act Project Management],377)))</f>
        <v/>
      </c>
      <c r="BM378" s="5">
        <f>IF(A378="","",N(INDEX(Projects[Act Systems Eng],377)))</f>
        <v/>
      </c>
      <c r="BN378" s="5">
        <f>IF(A378="","",N(INDEX(Projects[Act Mechanical Eng],377)))</f>
        <v/>
      </c>
      <c r="BO378" s="5">
        <f>IF(A378="","",N(INDEX(Projects[Act Structural Engineering],377)))</f>
        <v/>
      </c>
      <c r="BP378" s="5">
        <f>IF(A378="","",N(INDEX(Projects[Act Site Sup],377)))</f>
        <v/>
      </c>
      <c r="BQ378" s="5">
        <f>IF(A378="","",N(INDEX(Projects[Act Controls Commissioning],377)))</f>
        <v/>
      </c>
      <c r="BR378" s="5">
        <f>IF(A378="","",N(INDEX(Projects[Act Systems Commissioning],377)))</f>
        <v/>
      </c>
      <c r="BS378" s="5">
        <f>IF(A378="","",N(INDEX(Projects[Act Service Commissioning],377)))</f>
        <v/>
      </c>
      <c r="BT378" s="5">
        <f>IF(A378="","",N(INDEX(Projects[Act Controls Eng],377)))</f>
        <v/>
      </c>
      <c r="BU378" s="5">
        <f>IF(A378="","",N(INDEX(Projects[Act Controls Purchase],377)))</f>
        <v/>
      </c>
      <c r="BV378" s="5">
        <f>IF(A378="","",N(INDEX(Projects[Act Software Eng],377)))</f>
        <v/>
      </c>
      <c r="BW378" s="5">
        <f>IF(A378="","",N(INDEX(Projects[Act 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  <c r="CE378" s="5">
        <f>INDEX(Projects[Act Data Status],377)&amp;""</f>
        <v/>
      </c>
      <c r="CF378" s="5">
        <f>IF(A378="","",N(INDEX(Projects[Est Mech Inst],377)))</f>
        <v/>
      </c>
      <c r="CG378" s="5">
        <f>IF(A378="","",N(INDEX(Projects[Est Elec Inst],377)))</f>
        <v/>
      </c>
      <c r="CH378" s="5">
        <f>IF(A378="","",N(INDEX(Projects[Est Project Management],377)))</f>
        <v/>
      </c>
      <c r="CI378" s="5">
        <f>IF(A378="","",N(INDEX(Projects[Est Systems Eng],377)))</f>
        <v/>
      </c>
      <c r="CJ378" s="5">
        <f>IF(A378="","",N(INDEX(Projects[Est Mechanical Eng],377)))</f>
        <v/>
      </c>
      <c r="CK378" s="5">
        <f>IF(A378="","",N(INDEX(Projects[Est Structural Engineering],377)))</f>
        <v/>
      </c>
      <c r="CL378" s="5">
        <f>IF(A378="","",N(INDEX(Projects[Est Site Sup],377)))</f>
        <v/>
      </c>
      <c r="CM378" s="5">
        <f>IF(A378="","",N(INDEX(Projects[Est Controls Commissioning],377)))</f>
        <v/>
      </c>
      <c r="CN378" s="5">
        <f>IF(A378="","",N(INDEX(Projects[Est Systems Commissioning],377)))</f>
        <v/>
      </c>
      <c r="CO378" s="5">
        <f>IF(A378="","",N(INDEX(Projects[Est Service Commissioning],377)))</f>
        <v/>
      </c>
      <c r="CP378" s="5">
        <f>IF(A378="","",N(INDEX(Projects[Est Controls Eng],377)))</f>
        <v/>
      </c>
      <c r="CQ378" s="5">
        <f>IF(A378="","",N(INDEX(Projects[Est Controls Purchase],377)))</f>
        <v/>
      </c>
      <c r="CR378" s="5">
        <f>IF(A378="","",N(INDEX(Projects[Est Software Eng],377)))</f>
        <v/>
      </c>
      <c r="CS378" s="5">
        <f>IF(A378="","",N(INDEX(Projects[Est Misc],377)))</f>
        <v/>
      </c>
      <c r="CT378" s="5">
        <f>IF(A378="","",SUM(CF378:CS378))</f>
        <v/>
      </c>
      <c r="CU378" s="5">
        <f>INDEX(Projects[Est Cost (M)],377)</f>
        <v/>
      </c>
      <c r="CV378" s="5">
        <f>INDEX(Projects[Act Cost (M)],377)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IF(A379="","",N(INDEX(Projects[Act Mech Inst],378)))</f>
        <v/>
      </c>
      <c r="BK379" s="5">
        <f>IF(A379="","",N(INDEX(Projects[Act Elec Inst],378)))</f>
        <v/>
      </c>
      <c r="BL379" s="5">
        <f>IF(A379="","",N(INDEX(Projects[Act Project Management],378)))</f>
        <v/>
      </c>
      <c r="BM379" s="5">
        <f>IF(A379="","",N(INDEX(Projects[Act Systems Eng],378)))</f>
        <v/>
      </c>
      <c r="BN379" s="5">
        <f>IF(A379="","",N(INDEX(Projects[Act Mechanical Eng],378)))</f>
        <v/>
      </c>
      <c r="BO379" s="5">
        <f>IF(A379="","",N(INDEX(Projects[Act Structural Engineering],378)))</f>
        <v/>
      </c>
      <c r="BP379" s="5">
        <f>IF(A379="","",N(INDEX(Projects[Act Site Sup],378)))</f>
        <v/>
      </c>
      <c r="BQ379" s="5">
        <f>IF(A379="","",N(INDEX(Projects[Act Controls Commissioning],378)))</f>
        <v/>
      </c>
      <c r="BR379" s="5">
        <f>IF(A379="","",N(INDEX(Projects[Act Systems Commissioning],378)))</f>
        <v/>
      </c>
      <c r="BS379" s="5">
        <f>IF(A379="","",N(INDEX(Projects[Act Service Commissioning],378)))</f>
        <v/>
      </c>
      <c r="BT379" s="5">
        <f>IF(A379="","",N(INDEX(Projects[Act Controls Eng],378)))</f>
        <v/>
      </c>
      <c r="BU379" s="5">
        <f>IF(A379="","",N(INDEX(Projects[Act Controls Purchase],378)))</f>
        <v/>
      </c>
      <c r="BV379" s="5">
        <f>IF(A379="","",N(INDEX(Projects[Act Software Eng],378)))</f>
        <v/>
      </c>
      <c r="BW379" s="5">
        <f>IF(A379="","",N(INDEX(Projects[Act 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  <c r="CE379" s="5">
        <f>INDEX(Projects[Act Data Status],378)&amp;""</f>
        <v/>
      </c>
      <c r="CF379" s="5">
        <f>IF(A379="","",N(INDEX(Projects[Est Mech Inst],378)))</f>
        <v/>
      </c>
      <c r="CG379" s="5">
        <f>IF(A379="","",N(INDEX(Projects[Est Elec Inst],378)))</f>
        <v/>
      </c>
      <c r="CH379" s="5">
        <f>IF(A379="","",N(INDEX(Projects[Est Project Management],378)))</f>
        <v/>
      </c>
      <c r="CI379" s="5">
        <f>IF(A379="","",N(INDEX(Projects[Est Systems Eng],378)))</f>
        <v/>
      </c>
      <c r="CJ379" s="5">
        <f>IF(A379="","",N(INDEX(Projects[Est Mechanical Eng],378)))</f>
        <v/>
      </c>
      <c r="CK379" s="5">
        <f>IF(A379="","",N(INDEX(Projects[Est Structural Engineering],378)))</f>
        <v/>
      </c>
      <c r="CL379" s="5">
        <f>IF(A379="","",N(INDEX(Projects[Est Site Sup],378)))</f>
        <v/>
      </c>
      <c r="CM379" s="5">
        <f>IF(A379="","",N(INDEX(Projects[Est Controls Commissioning],378)))</f>
        <v/>
      </c>
      <c r="CN379" s="5">
        <f>IF(A379="","",N(INDEX(Projects[Est Systems Commissioning],378)))</f>
        <v/>
      </c>
      <c r="CO379" s="5">
        <f>IF(A379="","",N(INDEX(Projects[Est Service Commissioning],378)))</f>
        <v/>
      </c>
      <c r="CP379" s="5">
        <f>IF(A379="","",N(INDEX(Projects[Est Controls Eng],378)))</f>
        <v/>
      </c>
      <c r="CQ379" s="5">
        <f>IF(A379="","",N(INDEX(Projects[Est Controls Purchase],378)))</f>
        <v/>
      </c>
      <c r="CR379" s="5">
        <f>IF(A379="","",N(INDEX(Projects[Est Software Eng],378)))</f>
        <v/>
      </c>
      <c r="CS379" s="5">
        <f>IF(A379="","",N(INDEX(Projects[Est Misc],378)))</f>
        <v/>
      </c>
      <c r="CT379" s="5">
        <f>IF(A379="","",SUM(CF379:CS379))</f>
        <v/>
      </c>
      <c r="CU379" s="5">
        <f>INDEX(Projects[Est Cost (M)],378)</f>
        <v/>
      </c>
      <c r="CV379" s="5">
        <f>INDEX(Projects[Act Cost (M)],378)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IF(A380="","",N(INDEX(Projects[Act Mech Inst],379)))</f>
        <v/>
      </c>
      <c r="BK380" s="5">
        <f>IF(A380="","",N(INDEX(Projects[Act Elec Inst],379)))</f>
        <v/>
      </c>
      <c r="BL380" s="5">
        <f>IF(A380="","",N(INDEX(Projects[Act Project Management],379)))</f>
        <v/>
      </c>
      <c r="BM380" s="5">
        <f>IF(A380="","",N(INDEX(Projects[Act Systems Eng],379)))</f>
        <v/>
      </c>
      <c r="BN380" s="5">
        <f>IF(A380="","",N(INDEX(Projects[Act Mechanical Eng],379)))</f>
        <v/>
      </c>
      <c r="BO380" s="5">
        <f>IF(A380="","",N(INDEX(Projects[Act Structural Engineering],379)))</f>
        <v/>
      </c>
      <c r="BP380" s="5">
        <f>IF(A380="","",N(INDEX(Projects[Act Site Sup],379)))</f>
        <v/>
      </c>
      <c r="BQ380" s="5">
        <f>IF(A380="","",N(INDEX(Projects[Act Controls Commissioning],379)))</f>
        <v/>
      </c>
      <c r="BR380" s="5">
        <f>IF(A380="","",N(INDEX(Projects[Act Systems Commissioning],379)))</f>
        <v/>
      </c>
      <c r="BS380" s="5">
        <f>IF(A380="","",N(INDEX(Projects[Act Service Commissioning],379)))</f>
        <v/>
      </c>
      <c r="BT380" s="5">
        <f>IF(A380="","",N(INDEX(Projects[Act Controls Eng],379)))</f>
        <v/>
      </c>
      <c r="BU380" s="5">
        <f>IF(A380="","",N(INDEX(Projects[Act Controls Purchase],379)))</f>
        <v/>
      </c>
      <c r="BV380" s="5">
        <f>IF(A380="","",N(INDEX(Projects[Act Software Eng],379)))</f>
        <v/>
      </c>
      <c r="BW380" s="5">
        <f>IF(A380="","",N(INDEX(Projects[Act 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  <c r="CE380" s="5">
        <f>INDEX(Projects[Act Data Status],379)&amp;""</f>
        <v/>
      </c>
      <c r="CF380" s="5">
        <f>IF(A380="","",N(INDEX(Projects[Est Mech Inst],379)))</f>
        <v/>
      </c>
      <c r="CG380" s="5">
        <f>IF(A380="","",N(INDEX(Projects[Est Elec Inst],379)))</f>
        <v/>
      </c>
      <c r="CH380" s="5">
        <f>IF(A380="","",N(INDEX(Projects[Est Project Management],379)))</f>
        <v/>
      </c>
      <c r="CI380" s="5">
        <f>IF(A380="","",N(INDEX(Projects[Est Systems Eng],379)))</f>
        <v/>
      </c>
      <c r="CJ380" s="5">
        <f>IF(A380="","",N(INDEX(Projects[Est Mechanical Eng],379)))</f>
        <v/>
      </c>
      <c r="CK380" s="5">
        <f>IF(A380="","",N(INDEX(Projects[Est Structural Engineering],379)))</f>
        <v/>
      </c>
      <c r="CL380" s="5">
        <f>IF(A380="","",N(INDEX(Projects[Est Site Sup],379)))</f>
        <v/>
      </c>
      <c r="CM380" s="5">
        <f>IF(A380="","",N(INDEX(Projects[Est Controls Commissioning],379)))</f>
        <v/>
      </c>
      <c r="CN380" s="5">
        <f>IF(A380="","",N(INDEX(Projects[Est Systems Commissioning],379)))</f>
        <v/>
      </c>
      <c r="CO380" s="5">
        <f>IF(A380="","",N(INDEX(Projects[Est Service Commissioning],379)))</f>
        <v/>
      </c>
      <c r="CP380" s="5">
        <f>IF(A380="","",N(INDEX(Projects[Est Controls Eng],379)))</f>
        <v/>
      </c>
      <c r="CQ380" s="5">
        <f>IF(A380="","",N(INDEX(Projects[Est Controls Purchase],379)))</f>
        <v/>
      </c>
      <c r="CR380" s="5">
        <f>IF(A380="","",N(INDEX(Projects[Est Software Eng],379)))</f>
        <v/>
      </c>
      <c r="CS380" s="5">
        <f>IF(A380="","",N(INDEX(Projects[Est Misc],379)))</f>
        <v/>
      </c>
      <c r="CT380" s="5">
        <f>IF(A380="","",SUM(CF380:CS380))</f>
        <v/>
      </c>
      <c r="CU380" s="5">
        <f>INDEX(Projects[Est Cost (M)],379)</f>
        <v/>
      </c>
      <c r="CV380" s="5">
        <f>INDEX(Projects[Act Cost (M)],379)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IF(A381="","",N(INDEX(Projects[Act Mech Inst],380)))</f>
        <v/>
      </c>
      <c r="BK381" s="5">
        <f>IF(A381="","",N(INDEX(Projects[Act Elec Inst],380)))</f>
        <v/>
      </c>
      <c r="BL381" s="5">
        <f>IF(A381="","",N(INDEX(Projects[Act Project Management],380)))</f>
        <v/>
      </c>
      <c r="BM381" s="5">
        <f>IF(A381="","",N(INDEX(Projects[Act Systems Eng],380)))</f>
        <v/>
      </c>
      <c r="BN381" s="5">
        <f>IF(A381="","",N(INDEX(Projects[Act Mechanical Eng],380)))</f>
        <v/>
      </c>
      <c r="BO381" s="5">
        <f>IF(A381="","",N(INDEX(Projects[Act Structural Engineering],380)))</f>
        <v/>
      </c>
      <c r="BP381" s="5">
        <f>IF(A381="","",N(INDEX(Projects[Act Site Sup],380)))</f>
        <v/>
      </c>
      <c r="BQ381" s="5">
        <f>IF(A381="","",N(INDEX(Projects[Act Controls Commissioning],380)))</f>
        <v/>
      </c>
      <c r="BR381" s="5">
        <f>IF(A381="","",N(INDEX(Projects[Act Systems Commissioning],380)))</f>
        <v/>
      </c>
      <c r="BS381" s="5">
        <f>IF(A381="","",N(INDEX(Projects[Act Service Commissioning],380)))</f>
        <v/>
      </c>
      <c r="BT381" s="5">
        <f>IF(A381="","",N(INDEX(Projects[Act Controls Eng],380)))</f>
        <v/>
      </c>
      <c r="BU381" s="5">
        <f>IF(A381="","",N(INDEX(Projects[Act Controls Purchase],380)))</f>
        <v/>
      </c>
      <c r="BV381" s="5">
        <f>IF(A381="","",N(INDEX(Projects[Act Software Eng],380)))</f>
        <v/>
      </c>
      <c r="BW381" s="5">
        <f>IF(A381="","",N(INDEX(Projects[Act 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  <c r="CE381" s="5">
        <f>INDEX(Projects[Act Data Status],380)&amp;""</f>
        <v/>
      </c>
      <c r="CF381" s="5">
        <f>IF(A381="","",N(INDEX(Projects[Est Mech Inst],380)))</f>
        <v/>
      </c>
      <c r="CG381" s="5">
        <f>IF(A381="","",N(INDEX(Projects[Est Elec Inst],380)))</f>
        <v/>
      </c>
      <c r="CH381" s="5">
        <f>IF(A381="","",N(INDEX(Projects[Est Project Management],380)))</f>
        <v/>
      </c>
      <c r="CI381" s="5">
        <f>IF(A381="","",N(INDEX(Projects[Est Systems Eng],380)))</f>
        <v/>
      </c>
      <c r="CJ381" s="5">
        <f>IF(A381="","",N(INDEX(Projects[Est Mechanical Eng],380)))</f>
        <v/>
      </c>
      <c r="CK381" s="5">
        <f>IF(A381="","",N(INDEX(Projects[Est Structural Engineering],380)))</f>
        <v/>
      </c>
      <c r="CL381" s="5">
        <f>IF(A381="","",N(INDEX(Projects[Est Site Sup],380)))</f>
        <v/>
      </c>
      <c r="CM381" s="5">
        <f>IF(A381="","",N(INDEX(Projects[Est Controls Commissioning],380)))</f>
        <v/>
      </c>
      <c r="CN381" s="5">
        <f>IF(A381="","",N(INDEX(Projects[Est Systems Commissioning],380)))</f>
        <v/>
      </c>
      <c r="CO381" s="5">
        <f>IF(A381="","",N(INDEX(Projects[Est Service Commissioning],380)))</f>
        <v/>
      </c>
      <c r="CP381" s="5">
        <f>IF(A381="","",N(INDEX(Projects[Est Controls Eng],380)))</f>
        <v/>
      </c>
      <c r="CQ381" s="5">
        <f>IF(A381="","",N(INDEX(Projects[Est Controls Purchase],380)))</f>
        <v/>
      </c>
      <c r="CR381" s="5">
        <f>IF(A381="","",N(INDEX(Projects[Est Software Eng],380)))</f>
        <v/>
      </c>
      <c r="CS381" s="5">
        <f>IF(A381="","",N(INDEX(Projects[Est Misc],380)))</f>
        <v/>
      </c>
      <c r="CT381" s="5">
        <f>IF(A381="","",SUM(CF381:CS381))</f>
        <v/>
      </c>
      <c r="CU381" s="5">
        <f>INDEX(Projects[Est Cost (M)],380)</f>
        <v/>
      </c>
      <c r="CV381" s="5">
        <f>INDEX(Projects[Act Cost (M)],380)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IF(A382="","",N(INDEX(Projects[Act Mech Inst],381)))</f>
        <v/>
      </c>
      <c r="BK382" s="5">
        <f>IF(A382="","",N(INDEX(Projects[Act Elec Inst],381)))</f>
        <v/>
      </c>
      <c r="BL382" s="5">
        <f>IF(A382="","",N(INDEX(Projects[Act Project Management],381)))</f>
        <v/>
      </c>
      <c r="BM382" s="5">
        <f>IF(A382="","",N(INDEX(Projects[Act Systems Eng],381)))</f>
        <v/>
      </c>
      <c r="BN382" s="5">
        <f>IF(A382="","",N(INDEX(Projects[Act Mechanical Eng],381)))</f>
        <v/>
      </c>
      <c r="BO382" s="5">
        <f>IF(A382="","",N(INDEX(Projects[Act Structural Engineering],381)))</f>
        <v/>
      </c>
      <c r="BP382" s="5">
        <f>IF(A382="","",N(INDEX(Projects[Act Site Sup],381)))</f>
        <v/>
      </c>
      <c r="BQ382" s="5">
        <f>IF(A382="","",N(INDEX(Projects[Act Controls Commissioning],381)))</f>
        <v/>
      </c>
      <c r="BR382" s="5">
        <f>IF(A382="","",N(INDEX(Projects[Act Systems Commissioning],381)))</f>
        <v/>
      </c>
      <c r="BS382" s="5">
        <f>IF(A382="","",N(INDEX(Projects[Act Service Commissioning],381)))</f>
        <v/>
      </c>
      <c r="BT382" s="5">
        <f>IF(A382="","",N(INDEX(Projects[Act Controls Eng],381)))</f>
        <v/>
      </c>
      <c r="BU382" s="5">
        <f>IF(A382="","",N(INDEX(Projects[Act Controls Purchase],381)))</f>
        <v/>
      </c>
      <c r="BV382" s="5">
        <f>IF(A382="","",N(INDEX(Projects[Act Software Eng],381)))</f>
        <v/>
      </c>
      <c r="BW382" s="5">
        <f>IF(A382="","",N(INDEX(Projects[Act 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  <c r="CE382" s="5">
        <f>INDEX(Projects[Act Data Status],381)&amp;""</f>
        <v/>
      </c>
      <c r="CF382" s="5">
        <f>IF(A382="","",N(INDEX(Projects[Est Mech Inst],381)))</f>
        <v/>
      </c>
      <c r="CG382" s="5">
        <f>IF(A382="","",N(INDEX(Projects[Est Elec Inst],381)))</f>
        <v/>
      </c>
      <c r="CH382" s="5">
        <f>IF(A382="","",N(INDEX(Projects[Est Project Management],381)))</f>
        <v/>
      </c>
      <c r="CI382" s="5">
        <f>IF(A382="","",N(INDEX(Projects[Est Systems Eng],381)))</f>
        <v/>
      </c>
      <c r="CJ382" s="5">
        <f>IF(A382="","",N(INDEX(Projects[Est Mechanical Eng],381)))</f>
        <v/>
      </c>
      <c r="CK382" s="5">
        <f>IF(A382="","",N(INDEX(Projects[Est Structural Engineering],381)))</f>
        <v/>
      </c>
      <c r="CL382" s="5">
        <f>IF(A382="","",N(INDEX(Projects[Est Site Sup],381)))</f>
        <v/>
      </c>
      <c r="CM382" s="5">
        <f>IF(A382="","",N(INDEX(Projects[Est Controls Commissioning],381)))</f>
        <v/>
      </c>
      <c r="CN382" s="5">
        <f>IF(A382="","",N(INDEX(Projects[Est Systems Commissioning],381)))</f>
        <v/>
      </c>
      <c r="CO382" s="5">
        <f>IF(A382="","",N(INDEX(Projects[Est Service Commissioning],381)))</f>
        <v/>
      </c>
      <c r="CP382" s="5">
        <f>IF(A382="","",N(INDEX(Projects[Est Controls Eng],381)))</f>
        <v/>
      </c>
      <c r="CQ382" s="5">
        <f>IF(A382="","",N(INDEX(Projects[Est Controls Purchase],381)))</f>
        <v/>
      </c>
      <c r="CR382" s="5">
        <f>IF(A382="","",N(INDEX(Projects[Est Software Eng],381)))</f>
        <v/>
      </c>
      <c r="CS382" s="5">
        <f>IF(A382="","",N(INDEX(Projects[Est Misc],381)))</f>
        <v/>
      </c>
      <c r="CT382" s="5">
        <f>IF(A382="","",SUM(CF382:CS382))</f>
        <v/>
      </c>
      <c r="CU382" s="5">
        <f>INDEX(Projects[Est Cost (M)],381)</f>
        <v/>
      </c>
      <c r="CV382" s="5">
        <f>INDEX(Projects[Act Cost (M)],381)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IF(A383="","",N(INDEX(Projects[Act Mech Inst],382)))</f>
        <v/>
      </c>
      <c r="BK383" s="5">
        <f>IF(A383="","",N(INDEX(Projects[Act Elec Inst],382)))</f>
        <v/>
      </c>
      <c r="BL383" s="5">
        <f>IF(A383="","",N(INDEX(Projects[Act Project Management],382)))</f>
        <v/>
      </c>
      <c r="BM383" s="5">
        <f>IF(A383="","",N(INDEX(Projects[Act Systems Eng],382)))</f>
        <v/>
      </c>
      <c r="BN383" s="5">
        <f>IF(A383="","",N(INDEX(Projects[Act Mechanical Eng],382)))</f>
        <v/>
      </c>
      <c r="BO383" s="5">
        <f>IF(A383="","",N(INDEX(Projects[Act Structural Engineering],382)))</f>
        <v/>
      </c>
      <c r="BP383" s="5">
        <f>IF(A383="","",N(INDEX(Projects[Act Site Sup],382)))</f>
        <v/>
      </c>
      <c r="BQ383" s="5">
        <f>IF(A383="","",N(INDEX(Projects[Act Controls Commissioning],382)))</f>
        <v/>
      </c>
      <c r="BR383" s="5">
        <f>IF(A383="","",N(INDEX(Projects[Act Systems Commissioning],382)))</f>
        <v/>
      </c>
      <c r="BS383" s="5">
        <f>IF(A383="","",N(INDEX(Projects[Act Service Commissioning],382)))</f>
        <v/>
      </c>
      <c r="BT383" s="5">
        <f>IF(A383="","",N(INDEX(Projects[Act Controls Eng],382)))</f>
        <v/>
      </c>
      <c r="BU383" s="5">
        <f>IF(A383="","",N(INDEX(Projects[Act Controls Purchase],382)))</f>
        <v/>
      </c>
      <c r="BV383" s="5">
        <f>IF(A383="","",N(INDEX(Projects[Act Software Eng],382)))</f>
        <v/>
      </c>
      <c r="BW383" s="5">
        <f>IF(A383="","",N(INDEX(Projects[Act 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  <c r="CE383" s="5">
        <f>INDEX(Projects[Act Data Status],382)&amp;""</f>
        <v/>
      </c>
      <c r="CF383" s="5">
        <f>IF(A383="","",N(INDEX(Projects[Est Mech Inst],382)))</f>
        <v/>
      </c>
      <c r="CG383" s="5">
        <f>IF(A383="","",N(INDEX(Projects[Est Elec Inst],382)))</f>
        <v/>
      </c>
      <c r="CH383" s="5">
        <f>IF(A383="","",N(INDEX(Projects[Est Project Management],382)))</f>
        <v/>
      </c>
      <c r="CI383" s="5">
        <f>IF(A383="","",N(INDEX(Projects[Est Systems Eng],382)))</f>
        <v/>
      </c>
      <c r="CJ383" s="5">
        <f>IF(A383="","",N(INDEX(Projects[Est Mechanical Eng],382)))</f>
        <v/>
      </c>
      <c r="CK383" s="5">
        <f>IF(A383="","",N(INDEX(Projects[Est Structural Engineering],382)))</f>
        <v/>
      </c>
      <c r="CL383" s="5">
        <f>IF(A383="","",N(INDEX(Projects[Est Site Sup],382)))</f>
        <v/>
      </c>
      <c r="CM383" s="5">
        <f>IF(A383="","",N(INDEX(Projects[Est Controls Commissioning],382)))</f>
        <v/>
      </c>
      <c r="CN383" s="5">
        <f>IF(A383="","",N(INDEX(Projects[Est Systems Commissioning],382)))</f>
        <v/>
      </c>
      <c r="CO383" s="5">
        <f>IF(A383="","",N(INDEX(Projects[Est Service Commissioning],382)))</f>
        <v/>
      </c>
      <c r="CP383" s="5">
        <f>IF(A383="","",N(INDEX(Projects[Est Controls Eng],382)))</f>
        <v/>
      </c>
      <c r="CQ383" s="5">
        <f>IF(A383="","",N(INDEX(Projects[Est Controls Purchase],382)))</f>
        <v/>
      </c>
      <c r="CR383" s="5">
        <f>IF(A383="","",N(INDEX(Projects[Est Software Eng],382)))</f>
        <v/>
      </c>
      <c r="CS383" s="5">
        <f>IF(A383="","",N(INDEX(Projects[Est Misc],382)))</f>
        <v/>
      </c>
      <c r="CT383" s="5">
        <f>IF(A383="","",SUM(CF383:CS383))</f>
        <v/>
      </c>
      <c r="CU383" s="5">
        <f>INDEX(Projects[Est Cost (M)],382)</f>
        <v/>
      </c>
      <c r="CV383" s="5">
        <f>INDEX(Projects[Act Cost (M)],382)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IF(A384="","",N(INDEX(Projects[Act Mech Inst],383)))</f>
        <v/>
      </c>
      <c r="BK384" s="5">
        <f>IF(A384="","",N(INDEX(Projects[Act Elec Inst],383)))</f>
        <v/>
      </c>
      <c r="BL384" s="5">
        <f>IF(A384="","",N(INDEX(Projects[Act Project Management],383)))</f>
        <v/>
      </c>
      <c r="BM384" s="5">
        <f>IF(A384="","",N(INDEX(Projects[Act Systems Eng],383)))</f>
        <v/>
      </c>
      <c r="BN384" s="5">
        <f>IF(A384="","",N(INDEX(Projects[Act Mechanical Eng],383)))</f>
        <v/>
      </c>
      <c r="BO384" s="5">
        <f>IF(A384="","",N(INDEX(Projects[Act Structural Engineering],383)))</f>
        <v/>
      </c>
      <c r="BP384" s="5">
        <f>IF(A384="","",N(INDEX(Projects[Act Site Sup],383)))</f>
        <v/>
      </c>
      <c r="BQ384" s="5">
        <f>IF(A384="","",N(INDEX(Projects[Act Controls Commissioning],383)))</f>
        <v/>
      </c>
      <c r="BR384" s="5">
        <f>IF(A384="","",N(INDEX(Projects[Act Systems Commissioning],383)))</f>
        <v/>
      </c>
      <c r="BS384" s="5">
        <f>IF(A384="","",N(INDEX(Projects[Act Service Commissioning],383)))</f>
        <v/>
      </c>
      <c r="BT384" s="5">
        <f>IF(A384="","",N(INDEX(Projects[Act Controls Eng],383)))</f>
        <v/>
      </c>
      <c r="BU384" s="5">
        <f>IF(A384="","",N(INDEX(Projects[Act Controls Purchase],383)))</f>
        <v/>
      </c>
      <c r="BV384" s="5">
        <f>IF(A384="","",N(INDEX(Projects[Act Software Eng],383)))</f>
        <v/>
      </c>
      <c r="BW384" s="5">
        <f>IF(A384="","",N(INDEX(Projects[Act 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  <c r="CE384" s="5">
        <f>INDEX(Projects[Act Data Status],383)&amp;""</f>
        <v/>
      </c>
      <c r="CF384" s="5">
        <f>IF(A384="","",N(INDEX(Projects[Est Mech Inst],383)))</f>
        <v/>
      </c>
      <c r="CG384" s="5">
        <f>IF(A384="","",N(INDEX(Projects[Est Elec Inst],383)))</f>
        <v/>
      </c>
      <c r="CH384" s="5">
        <f>IF(A384="","",N(INDEX(Projects[Est Project Management],383)))</f>
        <v/>
      </c>
      <c r="CI384" s="5">
        <f>IF(A384="","",N(INDEX(Projects[Est Systems Eng],383)))</f>
        <v/>
      </c>
      <c r="CJ384" s="5">
        <f>IF(A384="","",N(INDEX(Projects[Est Mechanical Eng],383)))</f>
        <v/>
      </c>
      <c r="CK384" s="5">
        <f>IF(A384="","",N(INDEX(Projects[Est Structural Engineering],383)))</f>
        <v/>
      </c>
      <c r="CL384" s="5">
        <f>IF(A384="","",N(INDEX(Projects[Est Site Sup],383)))</f>
        <v/>
      </c>
      <c r="CM384" s="5">
        <f>IF(A384="","",N(INDEX(Projects[Est Controls Commissioning],383)))</f>
        <v/>
      </c>
      <c r="CN384" s="5">
        <f>IF(A384="","",N(INDEX(Projects[Est Systems Commissioning],383)))</f>
        <v/>
      </c>
      <c r="CO384" s="5">
        <f>IF(A384="","",N(INDEX(Projects[Est Service Commissioning],383)))</f>
        <v/>
      </c>
      <c r="CP384" s="5">
        <f>IF(A384="","",N(INDEX(Projects[Est Controls Eng],383)))</f>
        <v/>
      </c>
      <c r="CQ384" s="5">
        <f>IF(A384="","",N(INDEX(Projects[Est Controls Purchase],383)))</f>
        <v/>
      </c>
      <c r="CR384" s="5">
        <f>IF(A384="","",N(INDEX(Projects[Est Software Eng],383)))</f>
        <v/>
      </c>
      <c r="CS384" s="5">
        <f>IF(A384="","",N(INDEX(Projects[Est Misc],383)))</f>
        <v/>
      </c>
      <c r="CT384" s="5">
        <f>IF(A384="","",SUM(CF384:CS384))</f>
        <v/>
      </c>
      <c r="CU384" s="5">
        <f>INDEX(Projects[Est Cost (M)],383)</f>
        <v/>
      </c>
      <c r="CV384" s="5">
        <f>INDEX(Projects[Act Cost (M)],383)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IF(A385="","",N(INDEX(Projects[Act Mech Inst],384)))</f>
        <v/>
      </c>
      <c r="BK385" s="5">
        <f>IF(A385="","",N(INDEX(Projects[Act Elec Inst],384)))</f>
        <v/>
      </c>
      <c r="BL385" s="5">
        <f>IF(A385="","",N(INDEX(Projects[Act Project Management],384)))</f>
        <v/>
      </c>
      <c r="BM385" s="5">
        <f>IF(A385="","",N(INDEX(Projects[Act Systems Eng],384)))</f>
        <v/>
      </c>
      <c r="BN385" s="5">
        <f>IF(A385="","",N(INDEX(Projects[Act Mechanical Eng],384)))</f>
        <v/>
      </c>
      <c r="BO385" s="5">
        <f>IF(A385="","",N(INDEX(Projects[Act Structural Engineering],384)))</f>
        <v/>
      </c>
      <c r="BP385" s="5">
        <f>IF(A385="","",N(INDEX(Projects[Act Site Sup],384)))</f>
        <v/>
      </c>
      <c r="BQ385" s="5">
        <f>IF(A385="","",N(INDEX(Projects[Act Controls Commissioning],384)))</f>
        <v/>
      </c>
      <c r="BR385" s="5">
        <f>IF(A385="","",N(INDEX(Projects[Act Systems Commissioning],384)))</f>
        <v/>
      </c>
      <c r="BS385" s="5">
        <f>IF(A385="","",N(INDEX(Projects[Act Service Commissioning],384)))</f>
        <v/>
      </c>
      <c r="BT385" s="5">
        <f>IF(A385="","",N(INDEX(Projects[Act Controls Eng],384)))</f>
        <v/>
      </c>
      <c r="BU385" s="5">
        <f>IF(A385="","",N(INDEX(Projects[Act Controls Purchase],384)))</f>
        <v/>
      </c>
      <c r="BV385" s="5">
        <f>IF(A385="","",N(INDEX(Projects[Act Software Eng],384)))</f>
        <v/>
      </c>
      <c r="BW385" s="5">
        <f>IF(A385="","",N(INDEX(Projects[Act 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  <c r="CE385" s="5">
        <f>INDEX(Projects[Act Data Status],384)&amp;""</f>
        <v/>
      </c>
      <c r="CF385" s="5">
        <f>IF(A385="","",N(INDEX(Projects[Est Mech Inst],384)))</f>
        <v/>
      </c>
      <c r="CG385" s="5">
        <f>IF(A385="","",N(INDEX(Projects[Est Elec Inst],384)))</f>
        <v/>
      </c>
      <c r="CH385" s="5">
        <f>IF(A385="","",N(INDEX(Projects[Est Project Management],384)))</f>
        <v/>
      </c>
      <c r="CI385" s="5">
        <f>IF(A385="","",N(INDEX(Projects[Est Systems Eng],384)))</f>
        <v/>
      </c>
      <c r="CJ385" s="5">
        <f>IF(A385="","",N(INDEX(Projects[Est Mechanical Eng],384)))</f>
        <v/>
      </c>
      <c r="CK385" s="5">
        <f>IF(A385="","",N(INDEX(Projects[Est Structural Engineering],384)))</f>
        <v/>
      </c>
      <c r="CL385" s="5">
        <f>IF(A385="","",N(INDEX(Projects[Est Site Sup],384)))</f>
        <v/>
      </c>
      <c r="CM385" s="5">
        <f>IF(A385="","",N(INDEX(Projects[Est Controls Commissioning],384)))</f>
        <v/>
      </c>
      <c r="CN385" s="5">
        <f>IF(A385="","",N(INDEX(Projects[Est Systems Commissioning],384)))</f>
        <v/>
      </c>
      <c r="CO385" s="5">
        <f>IF(A385="","",N(INDEX(Projects[Est Service Commissioning],384)))</f>
        <v/>
      </c>
      <c r="CP385" s="5">
        <f>IF(A385="","",N(INDEX(Projects[Est Controls Eng],384)))</f>
        <v/>
      </c>
      <c r="CQ385" s="5">
        <f>IF(A385="","",N(INDEX(Projects[Est Controls Purchase],384)))</f>
        <v/>
      </c>
      <c r="CR385" s="5">
        <f>IF(A385="","",N(INDEX(Projects[Est Software Eng],384)))</f>
        <v/>
      </c>
      <c r="CS385" s="5">
        <f>IF(A385="","",N(INDEX(Projects[Est Misc],384)))</f>
        <v/>
      </c>
      <c r="CT385" s="5">
        <f>IF(A385="","",SUM(CF385:CS385))</f>
        <v/>
      </c>
      <c r="CU385" s="5">
        <f>INDEX(Projects[Est Cost (M)],384)</f>
        <v/>
      </c>
      <c r="CV385" s="5">
        <f>INDEX(Projects[Act Cost (M)],384)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IF(A386="","",N(INDEX(Projects[Act Mech Inst],385)))</f>
        <v/>
      </c>
      <c r="BK386" s="5">
        <f>IF(A386="","",N(INDEX(Projects[Act Elec Inst],385)))</f>
        <v/>
      </c>
      <c r="BL386" s="5">
        <f>IF(A386="","",N(INDEX(Projects[Act Project Management],385)))</f>
        <v/>
      </c>
      <c r="BM386" s="5">
        <f>IF(A386="","",N(INDEX(Projects[Act Systems Eng],385)))</f>
        <v/>
      </c>
      <c r="BN386" s="5">
        <f>IF(A386="","",N(INDEX(Projects[Act Mechanical Eng],385)))</f>
        <v/>
      </c>
      <c r="BO386" s="5">
        <f>IF(A386="","",N(INDEX(Projects[Act Structural Engineering],385)))</f>
        <v/>
      </c>
      <c r="BP386" s="5">
        <f>IF(A386="","",N(INDEX(Projects[Act Site Sup],385)))</f>
        <v/>
      </c>
      <c r="BQ386" s="5">
        <f>IF(A386="","",N(INDEX(Projects[Act Controls Commissioning],385)))</f>
        <v/>
      </c>
      <c r="BR386" s="5">
        <f>IF(A386="","",N(INDEX(Projects[Act Systems Commissioning],385)))</f>
        <v/>
      </c>
      <c r="BS386" s="5">
        <f>IF(A386="","",N(INDEX(Projects[Act Service Commissioning],385)))</f>
        <v/>
      </c>
      <c r="BT386" s="5">
        <f>IF(A386="","",N(INDEX(Projects[Act Controls Eng],385)))</f>
        <v/>
      </c>
      <c r="BU386" s="5">
        <f>IF(A386="","",N(INDEX(Projects[Act Controls Purchase],385)))</f>
        <v/>
      </c>
      <c r="BV386" s="5">
        <f>IF(A386="","",N(INDEX(Projects[Act Software Eng],385)))</f>
        <v/>
      </c>
      <c r="BW386" s="5">
        <f>IF(A386="","",N(INDEX(Projects[Act 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  <c r="CE386" s="5">
        <f>INDEX(Projects[Act Data Status],385)&amp;""</f>
        <v/>
      </c>
      <c r="CF386" s="5">
        <f>IF(A386="","",N(INDEX(Projects[Est Mech Inst],385)))</f>
        <v/>
      </c>
      <c r="CG386" s="5">
        <f>IF(A386="","",N(INDEX(Projects[Est Elec Inst],385)))</f>
        <v/>
      </c>
      <c r="CH386" s="5">
        <f>IF(A386="","",N(INDEX(Projects[Est Project Management],385)))</f>
        <v/>
      </c>
      <c r="CI386" s="5">
        <f>IF(A386="","",N(INDEX(Projects[Est Systems Eng],385)))</f>
        <v/>
      </c>
      <c r="CJ386" s="5">
        <f>IF(A386="","",N(INDEX(Projects[Est Mechanical Eng],385)))</f>
        <v/>
      </c>
      <c r="CK386" s="5">
        <f>IF(A386="","",N(INDEX(Projects[Est Structural Engineering],385)))</f>
        <v/>
      </c>
      <c r="CL386" s="5">
        <f>IF(A386="","",N(INDEX(Projects[Est Site Sup],385)))</f>
        <v/>
      </c>
      <c r="CM386" s="5">
        <f>IF(A386="","",N(INDEX(Projects[Est Controls Commissioning],385)))</f>
        <v/>
      </c>
      <c r="CN386" s="5">
        <f>IF(A386="","",N(INDEX(Projects[Est Systems Commissioning],385)))</f>
        <v/>
      </c>
      <c r="CO386" s="5">
        <f>IF(A386="","",N(INDEX(Projects[Est Service Commissioning],385)))</f>
        <v/>
      </c>
      <c r="CP386" s="5">
        <f>IF(A386="","",N(INDEX(Projects[Est Controls Eng],385)))</f>
        <v/>
      </c>
      <c r="CQ386" s="5">
        <f>IF(A386="","",N(INDEX(Projects[Est Controls Purchase],385)))</f>
        <v/>
      </c>
      <c r="CR386" s="5">
        <f>IF(A386="","",N(INDEX(Projects[Est Software Eng],385)))</f>
        <v/>
      </c>
      <c r="CS386" s="5">
        <f>IF(A386="","",N(INDEX(Projects[Est Misc],385)))</f>
        <v/>
      </c>
      <c r="CT386" s="5">
        <f>IF(A386="","",SUM(CF386:CS386))</f>
        <v/>
      </c>
      <c r="CU386" s="5">
        <f>INDEX(Projects[Est Cost (M)],385)</f>
        <v/>
      </c>
      <c r="CV386" s="5">
        <f>INDEX(Projects[Act Cost (M)],385)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IF(A387="","",N(INDEX(Projects[Act Mech Inst],386)))</f>
        <v/>
      </c>
      <c r="BK387" s="5">
        <f>IF(A387="","",N(INDEX(Projects[Act Elec Inst],386)))</f>
        <v/>
      </c>
      <c r="BL387" s="5">
        <f>IF(A387="","",N(INDEX(Projects[Act Project Management],386)))</f>
        <v/>
      </c>
      <c r="BM387" s="5">
        <f>IF(A387="","",N(INDEX(Projects[Act Systems Eng],386)))</f>
        <v/>
      </c>
      <c r="BN387" s="5">
        <f>IF(A387="","",N(INDEX(Projects[Act Mechanical Eng],386)))</f>
        <v/>
      </c>
      <c r="BO387" s="5">
        <f>IF(A387="","",N(INDEX(Projects[Act Structural Engineering],386)))</f>
        <v/>
      </c>
      <c r="BP387" s="5">
        <f>IF(A387="","",N(INDEX(Projects[Act Site Sup],386)))</f>
        <v/>
      </c>
      <c r="BQ387" s="5">
        <f>IF(A387="","",N(INDEX(Projects[Act Controls Commissioning],386)))</f>
        <v/>
      </c>
      <c r="BR387" s="5">
        <f>IF(A387="","",N(INDEX(Projects[Act Systems Commissioning],386)))</f>
        <v/>
      </c>
      <c r="BS387" s="5">
        <f>IF(A387="","",N(INDEX(Projects[Act Service Commissioning],386)))</f>
        <v/>
      </c>
      <c r="BT387" s="5">
        <f>IF(A387="","",N(INDEX(Projects[Act Controls Eng],386)))</f>
        <v/>
      </c>
      <c r="BU387" s="5">
        <f>IF(A387="","",N(INDEX(Projects[Act Controls Purchase],386)))</f>
        <v/>
      </c>
      <c r="BV387" s="5">
        <f>IF(A387="","",N(INDEX(Projects[Act Software Eng],386)))</f>
        <v/>
      </c>
      <c r="BW387" s="5">
        <f>IF(A387="","",N(INDEX(Projects[Act 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  <c r="CE387" s="5">
        <f>INDEX(Projects[Act Data Status],386)&amp;""</f>
        <v/>
      </c>
      <c r="CF387" s="5">
        <f>IF(A387="","",N(INDEX(Projects[Est Mech Inst],386)))</f>
        <v/>
      </c>
      <c r="CG387" s="5">
        <f>IF(A387="","",N(INDEX(Projects[Est Elec Inst],386)))</f>
        <v/>
      </c>
      <c r="CH387" s="5">
        <f>IF(A387="","",N(INDEX(Projects[Est Project Management],386)))</f>
        <v/>
      </c>
      <c r="CI387" s="5">
        <f>IF(A387="","",N(INDEX(Projects[Est Systems Eng],386)))</f>
        <v/>
      </c>
      <c r="CJ387" s="5">
        <f>IF(A387="","",N(INDEX(Projects[Est Mechanical Eng],386)))</f>
        <v/>
      </c>
      <c r="CK387" s="5">
        <f>IF(A387="","",N(INDEX(Projects[Est Structural Engineering],386)))</f>
        <v/>
      </c>
      <c r="CL387" s="5">
        <f>IF(A387="","",N(INDEX(Projects[Est Site Sup],386)))</f>
        <v/>
      </c>
      <c r="CM387" s="5">
        <f>IF(A387="","",N(INDEX(Projects[Est Controls Commissioning],386)))</f>
        <v/>
      </c>
      <c r="CN387" s="5">
        <f>IF(A387="","",N(INDEX(Projects[Est Systems Commissioning],386)))</f>
        <v/>
      </c>
      <c r="CO387" s="5">
        <f>IF(A387="","",N(INDEX(Projects[Est Service Commissioning],386)))</f>
        <v/>
      </c>
      <c r="CP387" s="5">
        <f>IF(A387="","",N(INDEX(Projects[Est Controls Eng],386)))</f>
        <v/>
      </c>
      <c r="CQ387" s="5">
        <f>IF(A387="","",N(INDEX(Projects[Est Controls Purchase],386)))</f>
        <v/>
      </c>
      <c r="CR387" s="5">
        <f>IF(A387="","",N(INDEX(Projects[Est Software Eng],386)))</f>
        <v/>
      </c>
      <c r="CS387" s="5">
        <f>IF(A387="","",N(INDEX(Projects[Est Misc],386)))</f>
        <v/>
      </c>
      <c r="CT387" s="5">
        <f>IF(A387="","",SUM(CF387:CS387))</f>
        <v/>
      </c>
      <c r="CU387" s="5">
        <f>INDEX(Projects[Est Cost (M)],386)</f>
        <v/>
      </c>
      <c r="CV387" s="5">
        <f>INDEX(Projects[Act Cost (M)],386)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IF(A388="","",N(INDEX(Projects[Act Mech Inst],387)))</f>
        <v/>
      </c>
      <c r="BK388" s="5">
        <f>IF(A388="","",N(INDEX(Projects[Act Elec Inst],387)))</f>
        <v/>
      </c>
      <c r="BL388" s="5">
        <f>IF(A388="","",N(INDEX(Projects[Act Project Management],387)))</f>
        <v/>
      </c>
      <c r="BM388" s="5">
        <f>IF(A388="","",N(INDEX(Projects[Act Systems Eng],387)))</f>
        <v/>
      </c>
      <c r="BN388" s="5">
        <f>IF(A388="","",N(INDEX(Projects[Act Mechanical Eng],387)))</f>
        <v/>
      </c>
      <c r="BO388" s="5">
        <f>IF(A388="","",N(INDEX(Projects[Act Structural Engineering],387)))</f>
        <v/>
      </c>
      <c r="BP388" s="5">
        <f>IF(A388="","",N(INDEX(Projects[Act Site Sup],387)))</f>
        <v/>
      </c>
      <c r="BQ388" s="5">
        <f>IF(A388="","",N(INDEX(Projects[Act Controls Commissioning],387)))</f>
        <v/>
      </c>
      <c r="BR388" s="5">
        <f>IF(A388="","",N(INDEX(Projects[Act Systems Commissioning],387)))</f>
        <v/>
      </c>
      <c r="BS388" s="5">
        <f>IF(A388="","",N(INDEX(Projects[Act Service Commissioning],387)))</f>
        <v/>
      </c>
      <c r="BT388" s="5">
        <f>IF(A388="","",N(INDEX(Projects[Act Controls Eng],387)))</f>
        <v/>
      </c>
      <c r="BU388" s="5">
        <f>IF(A388="","",N(INDEX(Projects[Act Controls Purchase],387)))</f>
        <v/>
      </c>
      <c r="BV388" s="5">
        <f>IF(A388="","",N(INDEX(Projects[Act Software Eng],387)))</f>
        <v/>
      </c>
      <c r="BW388" s="5">
        <f>IF(A388="","",N(INDEX(Projects[Act 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  <c r="CE388" s="5">
        <f>INDEX(Projects[Act Data Status],387)&amp;""</f>
        <v/>
      </c>
      <c r="CF388" s="5">
        <f>IF(A388="","",N(INDEX(Projects[Est Mech Inst],387)))</f>
        <v/>
      </c>
      <c r="CG388" s="5">
        <f>IF(A388="","",N(INDEX(Projects[Est Elec Inst],387)))</f>
        <v/>
      </c>
      <c r="CH388" s="5">
        <f>IF(A388="","",N(INDEX(Projects[Est Project Management],387)))</f>
        <v/>
      </c>
      <c r="CI388" s="5">
        <f>IF(A388="","",N(INDEX(Projects[Est Systems Eng],387)))</f>
        <v/>
      </c>
      <c r="CJ388" s="5">
        <f>IF(A388="","",N(INDEX(Projects[Est Mechanical Eng],387)))</f>
        <v/>
      </c>
      <c r="CK388" s="5">
        <f>IF(A388="","",N(INDEX(Projects[Est Structural Engineering],387)))</f>
        <v/>
      </c>
      <c r="CL388" s="5">
        <f>IF(A388="","",N(INDEX(Projects[Est Site Sup],387)))</f>
        <v/>
      </c>
      <c r="CM388" s="5">
        <f>IF(A388="","",N(INDEX(Projects[Est Controls Commissioning],387)))</f>
        <v/>
      </c>
      <c r="CN388" s="5">
        <f>IF(A388="","",N(INDEX(Projects[Est Systems Commissioning],387)))</f>
        <v/>
      </c>
      <c r="CO388" s="5">
        <f>IF(A388="","",N(INDEX(Projects[Est Service Commissioning],387)))</f>
        <v/>
      </c>
      <c r="CP388" s="5">
        <f>IF(A388="","",N(INDEX(Projects[Est Controls Eng],387)))</f>
        <v/>
      </c>
      <c r="CQ388" s="5">
        <f>IF(A388="","",N(INDEX(Projects[Est Controls Purchase],387)))</f>
        <v/>
      </c>
      <c r="CR388" s="5">
        <f>IF(A388="","",N(INDEX(Projects[Est Software Eng],387)))</f>
        <v/>
      </c>
      <c r="CS388" s="5">
        <f>IF(A388="","",N(INDEX(Projects[Est Misc],387)))</f>
        <v/>
      </c>
      <c r="CT388" s="5">
        <f>IF(A388="","",SUM(CF388:CS388))</f>
        <v/>
      </c>
      <c r="CU388" s="5">
        <f>INDEX(Projects[Est Cost (M)],387)</f>
        <v/>
      </c>
      <c r="CV388" s="5">
        <f>INDEX(Projects[Act Cost (M)],387)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IF(A389="","",N(INDEX(Projects[Act Mech Inst],388)))</f>
        <v/>
      </c>
      <c r="BK389" s="5">
        <f>IF(A389="","",N(INDEX(Projects[Act Elec Inst],388)))</f>
        <v/>
      </c>
      <c r="BL389" s="5">
        <f>IF(A389="","",N(INDEX(Projects[Act Project Management],388)))</f>
        <v/>
      </c>
      <c r="BM389" s="5">
        <f>IF(A389="","",N(INDEX(Projects[Act Systems Eng],388)))</f>
        <v/>
      </c>
      <c r="BN389" s="5">
        <f>IF(A389="","",N(INDEX(Projects[Act Mechanical Eng],388)))</f>
        <v/>
      </c>
      <c r="BO389" s="5">
        <f>IF(A389="","",N(INDEX(Projects[Act Structural Engineering],388)))</f>
        <v/>
      </c>
      <c r="BP389" s="5">
        <f>IF(A389="","",N(INDEX(Projects[Act Site Sup],388)))</f>
        <v/>
      </c>
      <c r="BQ389" s="5">
        <f>IF(A389="","",N(INDEX(Projects[Act Controls Commissioning],388)))</f>
        <v/>
      </c>
      <c r="BR389" s="5">
        <f>IF(A389="","",N(INDEX(Projects[Act Systems Commissioning],388)))</f>
        <v/>
      </c>
      <c r="BS389" s="5">
        <f>IF(A389="","",N(INDEX(Projects[Act Service Commissioning],388)))</f>
        <v/>
      </c>
      <c r="BT389" s="5">
        <f>IF(A389="","",N(INDEX(Projects[Act Controls Eng],388)))</f>
        <v/>
      </c>
      <c r="BU389" s="5">
        <f>IF(A389="","",N(INDEX(Projects[Act Controls Purchase],388)))</f>
        <v/>
      </c>
      <c r="BV389" s="5">
        <f>IF(A389="","",N(INDEX(Projects[Act Software Eng],388)))</f>
        <v/>
      </c>
      <c r="BW389" s="5">
        <f>IF(A389="","",N(INDEX(Projects[Act 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  <c r="CE389" s="5">
        <f>INDEX(Projects[Act Data Status],388)&amp;""</f>
        <v/>
      </c>
      <c r="CF389" s="5">
        <f>IF(A389="","",N(INDEX(Projects[Est Mech Inst],388)))</f>
        <v/>
      </c>
      <c r="CG389" s="5">
        <f>IF(A389="","",N(INDEX(Projects[Est Elec Inst],388)))</f>
        <v/>
      </c>
      <c r="CH389" s="5">
        <f>IF(A389="","",N(INDEX(Projects[Est Project Management],388)))</f>
        <v/>
      </c>
      <c r="CI389" s="5">
        <f>IF(A389="","",N(INDEX(Projects[Est Systems Eng],388)))</f>
        <v/>
      </c>
      <c r="CJ389" s="5">
        <f>IF(A389="","",N(INDEX(Projects[Est Mechanical Eng],388)))</f>
        <v/>
      </c>
      <c r="CK389" s="5">
        <f>IF(A389="","",N(INDEX(Projects[Est Structural Engineering],388)))</f>
        <v/>
      </c>
      <c r="CL389" s="5">
        <f>IF(A389="","",N(INDEX(Projects[Est Site Sup],388)))</f>
        <v/>
      </c>
      <c r="CM389" s="5">
        <f>IF(A389="","",N(INDEX(Projects[Est Controls Commissioning],388)))</f>
        <v/>
      </c>
      <c r="CN389" s="5">
        <f>IF(A389="","",N(INDEX(Projects[Est Systems Commissioning],388)))</f>
        <v/>
      </c>
      <c r="CO389" s="5">
        <f>IF(A389="","",N(INDEX(Projects[Est Service Commissioning],388)))</f>
        <v/>
      </c>
      <c r="CP389" s="5">
        <f>IF(A389="","",N(INDEX(Projects[Est Controls Eng],388)))</f>
        <v/>
      </c>
      <c r="CQ389" s="5">
        <f>IF(A389="","",N(INDEX(Projects[Est Controls Purchase],388)))</f>
        <v/>
      </c>
      <c r="CR389" s="5">
        <f>IF(A389="","",N(INDEX(Projects[Est Software Eng],388)))</f>
        <v/>
      </c>
      <c r="CS389" s="5">
        <f>IF(A389="","",N(INDEX(Projects[Est Misc],388)))</f>
        <v/>
      </c>
      <c r="CT389" s="5">
        <f>IF(A389="","",SUM(CF389:CS389))</f>
        <v/>
      </c>
      <c r="CU389" s="5">
        <f>INDEX(Projects[Est Cost (M)],388)</f>
        <v/>
      </c>
      <c r="CV389" s="5">
        <f>INDEX(Projects[Act Cost (M)],388)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IF(A390="","",N(INDEX(Projects[Act Mech Inst],389)))</f>
        <v/>
      </c>
      <c r="BK390" s="5">
        <f>IF(A390="","",N(INDEX(Projects[Act Elec Inst],389)))</f>
        <v/>
      </c>
      <c r="BL390" s="5">
        <f>IF(A390="","",N(INDEX(Projects[Act Project Management],389)))</f>
        <v/>
      </c>
      <c r="BM390" s="5">
        <f>IF(A390="","",N(INDEX(Projects[Act Systems Eng],389)))</f>
        <v/>
      </c>
      <c r="BN390" s="5">
        <f>IF(A390="","",N(INDEX(Projects[Act Mechanical Eng],389)))</f>
        <v/>
      </c>
      <c r="BO390" s="5">
        <f>IF(A390="","",N(INDEX(Projects[Act Structural Engineering],389)))</f>
        <v/>
      </c>
      <c r="BP390" s="5">
        <f>IF(A390="","",N(INDEX(Projects[Act Site Sup],389)))</f>
        <v/>
      </c>
      <c r="BQ390" s="5">
        <f>IF(A390="","",N(INDEX(Projects[Act Controls Commissioning],389)))</f>
        <v/>
      </c>
      <c r="BR390" s="5">
        <f>IF(A390="","",N(INDEX(Projects[Act Systems Commissioning],389)))</f>
        <v/>
      </c>
      <c r="BS390" s="5">
        <f>IF(A390="","",N(INDEX(Projects[Act Service Commissioning],389)))</f>
        <v/>
      </c>
      <c r="BT390" s="5">
        <f>IF(A390="","",N(INDEX(Projects[Act Controls Eng],389)))</f>
        <v/>
      </c>
      <c r="BU390" s="5">
        <f>IF(A390="","",N(INDEX(Projects[Act Controls Purchase],389)))</f>
        <v/>
      </c>
      <c r="BV390" s="5">
        <f>IF(A390="","",N(INDEX(Projects[Act Software Eng],389)))</f>
        <v/>
      </c>
      <c r="BW390" s="5">
        <f>IF(A390="","",N(INDEX(Projects[Act 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  <c r="CE390" s="5">
        <f>INDEX(Projects[Act Data Status],389)&amp;""</f>
        <v/>
      </c>
      <c r="CF390" s="5">
        <f>IF(A390="","",N(INDEX(Projects[Est Mech Inst],389)))</f>
        <v/>
      </c>
      <c r="CG390" s="5">
        <f>IF(A390="","",N(INDEX(Projects[Est Elec Inst],389)))</f>
        <v/>
      </c>
      <c r="CH390" s="5">
        <f>IF(A390="","",N(INDEX(Projects[Est Project Management],389)))</f>
        <v/>
      </c>
      <c r="CI390" s="5">
        <f>IF(A390="","",N(INDEX(Projects[Est Systems Eng],389)))</f>
        <v/>
      </c>
      <c r="CJ390" s="5">
        <f>IF(A390="","",N(INDEX(Projects[Est Mechanical Eng],389)))</f>
        <v/>
      </c>
      <c r="CK390" s="5">
        <f>IF(A390="","",N(INDEX(Projects[Est Structural Engineering],389)))</f>
        <v/>
      </c>
      <c r="CL390" s="5">
        <f>IF(A390="","",N(INDEX(Projects[Est Site Sup],389)))</f>
        <v/>
      </c>
      <c r="CM390" s="5">
        <f>IF(A390="","",N(INDEX(Projects[Est Controls Commissioning],389)))</f>
        <v/>
      </c>
      <c r="CN390" s="5">
        <f>IF(A390="","",N(INDEX(Projects[Est Systems Commissioning],389)))</f>
        <v/>
      </c>
      <c r="CO390" s="5">
        <f>IF(A390="","",N(INDEX(Projects[Est Service Commissioning],389)))</f>
        <v/>
      </c>
      <c r="CP390" s="5">
        <f>IF(A390="","",N(INDEX(Projects[Est Controls Eng],389)))</f>
        <v/>
      </c>
      <c r="CQ390" s="5">
        <f>IF(A390="","",N(INDEX(Projects[Est Controls Purchase],389)))</f>
        <v/>
      </c>
      <c r="CR390" s="5">
        <f>IF(A390="","",N(INDEX(Projects[Est Software Eng],389)))</f>
        <v/>
      </c>
      <c r="CS390" s="5">
        <f>IF(A390="","",N(INDEX(Projects[Est Misc],389)))</f>
        <v/>
      </c>
      <c r="CT390" s="5">
        <f>IF(A390="","",SUM(CF390:CS390))</f>
        <v/>
      </c>
      <c r="CU390" s="5">
        <f>INDEX(Projects[Est Cost (M)],389)</f>
        <v/>
      </c>
      <c r="CV390" s="5">
        <f>INDEX(Projects[Act Cost (M)],389)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IF(A391="","",N(INDEX(Projects[Act Mech Inst],390)))</f>
        <v/>
      </c>
      <c r="BK391" s="5">
        <f>IF(A391="","",N(INDEX(Projects[Act Elec Inst],390)))</f>
        <v/>
      </c>
      <c r="BL391" s="5">
        <f>IF(A391="","",N(INDEX(Projects[Act Project Management],390)))</f>
        <v/>
      </c>
      <c r="BM391" s="5">
        <f>IF(A391="","",N(INDEX(Projects[Act Systems Eng],390)))</f>
        <v/>
      </c>
      <c r="BN391" s="5">
        <f>IF(A391="","",N(INDEX(Projects[Act Mechanical Eng],390)))</f>
        <v/>
      </c>
      <c r="BO391" s="5">
        <f>IF(A391="","",N(INDEX(Projects[Act Structural Engineering],390)))</f>
        <v/>
      </c>
      <c r="BP391" s="5">
        <f>IF(A391="","",N(INDEX(Projects[Act Site Sup],390)))</f>
        <v/>
      </c>
      <c r="BQ391" s="5">
        <f>IF(A391="","",N(INDEX(Projects[Act Controls Commissioning],390)))</f>
        <v/>
      </c>
      <c r="BR391" s="5">
        <f>IF(A391="","",N(INDEX(Projects[Act Systems Commissioning],390)))</f>
        <v/>
      </c>
      <c r="BS391" s="5">
        <f>IF(A391="","",N(INDEX(Projects[Act Service Commissioning],390)))</f>
        <v/>
      </c>
      <c r="BT391" s="5">
        <f>IF(A391="","",N(INDEX(Projects[Act Controls Eng],390)))</f>
        <v/>
      </c>
      <c r="BU391" s="5">
        <f>IF(A391="","",N(INDEX(Projects[Act Controls Purchase],390)))</f>
        <v/>
      </c>
      <c r="BV391" s="5">
        <f>IF(A391="","",N(INDEX(Projects[Act Software Eng],390)))</f>
        <v/>
      </c>
      <c r="BW391" s="5">
        <f>IF(A391="","",N(INDEX(Projects[Act 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  <c r="CE391" s="5">
        <f>INDEX(Projects[Act Data Status],390)&amp;""</f>
        <v/>
      </c>
      <c r="CF391" s="5">
        <f>IF(A391="","",N(INDEX(Projects[Est Mech Inst],390)))</f>
        <v/>
      </c>
      <c r="CG391" s="5">
        <f>IF(A391="","",N(INDEX(Projects[Est Elec Inst],390)))</f>
        <v/>
      </c>
      <c r="CH391" s="5">
        <f>IF(A391="","",N(INDEX(Projects[Est Project Management],390)))</f>
        <v/>
      </c>
      <c r="CI391" s="5">
        <f>IF(A391="","",N(INDEX(Projects[Est Systems Eng],390)))</f>
        <v/>
      </c>
      <c r="CJ391" s="5">
        <f>IF(A391="","",N(INDEX(Projects[Est Mechanical Eng],390)))</f>
        <v/>
      </c>
      <c r="CK391" s="5">
        <f>IF(A391="","",N(INDEX(Projects[Est Structural Engineering],390)))</f>
        <v/>
      </c>
      <c r="CL391" s="5">
        <f>IF(A391="","",N(INDEX(Projects[Est Site Sup],390)))</f>
        <v/>
      </c>
      <c r="CM391" s="5">
        <f>IF(A391="","",N(INDEX(Projects[Est Controls Commissioning],390)))</f>
        <v/>
      </c>
      <c r="CN391" s="5">
        <f>IF(A391="","",N(INDEX(Projects[Est Systems Commissioning],390)))</f>
        <v/>
      </c>
      <c r="CO391" s="5">
        <f>IF(A391="","",N(INDEX(Projects[Est Service Commissioning],390)))</f>
        <v/>
      </c>
      <c r="CP391" s="5">
        <f>IF(A391="","",N(INDEX(Projects[Est Controls Eng],390)))</f>
        <v/>
      </c>
      <c r="CQ391" s="5">
        <f>IF(A391="","",N(INDEX(Projects[Est Controls Purchase],390)))</f>
        <v/>
      </c>
      <c r="CR391" s="5">
        <f>IF(A391="","",N(INDEX(Projects[Est Software Eng],390)))</f>
        <v/>
      </c>
      <c r="CS391" s="5">
        <f>IF(A391="","",N(INDEX(Projects[Est Misc],390)))</f>
        <v/>
      </c>
      <c r="CT391" s="5">
        <f>IF(A391="","",SUM(CF391:CS391))</f>
        <v/>
      </c>
      <c r="CU391" s="5">
        <f>INDEX(Projects[Est Cost (M)],390)</f>
        <v/>
      </c>
      <c r="CV391" s="5">
        <f>INDEX(Projects[Act Cost (M)],390)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IF(A392="","",N(INDEX(Projects[Act Mech Inst],391)))</f>
        <v/>
      </c>
      <c r="BK392" s="5">
        <f>IF(A392="","",N(INDEX(Projects[Act Elec Inst],391)))</f>
        <v/>
      </c>
      <c r="BL392" s="5">
        <f>IF(A392="","",N(INDEX(Projects[Act Project Management],391)))</f>
        <v/>
      </c>
      <c r="BM392" s="5">
        <f>IF(A392="","",N(INDEX(Projects[Act Systems Eng],391)))</f>
        <v/>
      </c>
      <c r="BN392" s="5">
        <f>IF(A392="","",N(INDEX(Projects[Act Mechanical Eng],391)))</f>
        <v/>
      </c>
      <c r="BO392" s="5">
        <f>IF(A392="","",N(INDEX(Projects[Act Structural Engineering],391)))</f>
        <v/>
      </c>
      <c r="BP392" s="5">
        <f>IF(A392="","",N(INDEX(Projects[Act Site Sup],391)))</f>
        <v/>
      </c>
      <c r="BQ392" s="5">
        <f>IF(A392="","",N(INDEX(Projects[Act Controls Commissioning],391)))</f>
        <v/>
      </c>
      <c r="BR392" s="5">
        <f>IF(A392="","",N(INDEX(Projects[Act Systems Commissioning],391)))</f>
        <v/>
      </c>
      <c r="BS392" s="5">
        <f>IF(A392="","",N(INDEX(Projects[Act Service Commissioning],391)))</f>
        <v/>
      </c>
      <c r="BT392" s="5">
        <f>IF(A392="","",N(INDEX(Projects[Act Controls Eng],391)))</f>
        <v/>
      </c>
      <c r="BU392" s="5">
        <f>IF(A392="","",N(INDEX(Projects[Act Controls Purchase],391)))</f>
        <v/>
      </c>
      <c r="BV392" s="5">
        <f>IF(A392="","",N(INDEX(Projects[Act Software Eng],391)))</f>
        <v/>
      </c>
      <c r="BW392" s="5">
        <f>IF(A392="","",N(INDEX(Projects[Act 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  <c r="CE392" s="5">
        <f>INDEX(Projects[Act Data Status],391)&amp;""</f>
        <v/>
      </c>
      <c r="CF392" s="5">
        <f>IF(A392="","",N(INDEX(Projects[Est Mech Inst],391)))</f>
        <v/>
      </c>
      <c r="CG392" s="5">
        <f>IF(A392="","",N(INDEX(Projects[Est Elec Inst],391)))</f>
        <v/>
      </c>
      <c r="CH392" s="5">
        <f>IF(A392="","",N(INDEX(Projects[Est Project Management],391)))</f>
        <v/>
      </c>
      <c r="CI392" s="5">
        <f>IF(A392="","",N(INDEX(Projects[Est Systems Eng],391)))</f>
        <v/>
      </c>
      <c r="CJ392" s="5">
        <f>IF(A392="","",N(INDEX(Projects[Est Mechanical Eng],391)))</f>
        <v/>
      </c>
      <c r="CK392" s="5">
        <f>IF(A392="","",N(INDEX(Projects[Est Structural Engineering],391)))</f>
        <v/>
      </c>
      <c r="CL392" s="5">
        <f>IF(A392="","",N(INDEX(Projects[Est Site Sup],391)))</f>
        <v/>
      </c>
      <c r="CM392" s="5">
        <f>IF(A392="","",N(INDEX(Projects[Est Controls Commissioning],391)))</f>
        <v/>
      </c>
      <c r="CN392" s="5">
        <f>IF(A392="","",N(INDEX(Projects[Est Systems Commissioning],391)))</f>
        <v/>
      </c>
      <c r="CO392" s="5">
        <f>IF(A392="","",N(INDEX(Projects[Est Service Commissioning],391)))</f>
        <v/>
      </c>
      <c r="CP392" s="5">
        <f>IF(A392="","",N(INDEX(Projects[Est Controls Eng],391)))</f>
        <v/>
      </c>
      <c r="CQ392" s="5">
        <f>IF(A392="","",N(INDEX(Projects[Est Controls Purchase],391)))</f>
        <v/>
      </c>
      <c r="CR392" s="5">
        <f>IF(A392="","",N(INDEX(Projects[Est Software Eng],391)))</f>
        <v/>
      </c>
      <c r="CS392" s="5">
        <f>IF(A392="","",N(INDEX(Projects[Est Misc],391)))</f>
        <v/>
      </c>
      <c r="CT392" s="5">
        <f>IF(A392="","",SUM(CF392:CS392))</f>
        <v/>
      </c>
      <c r="CU392" s="5">
        <f>INDEX(Projects[Est Cost (M)],391)</f>
        <v/>
      </c>
      <c r="CV392" s="5">
        <f>INDEX(Projects[Act Cost (M)],391)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IF(A393="","",N(INDEX(Projects[Act Mech Inst],392)))</f>
        <v/>
      </c>
      <c r="BK393" s="5">
        <f>IF(A393="","",N(INDEX(Projects[Act Elec Inst],392)))</f>
        <v/>
      </c>
      <c r="BL393" s="5">
        <f>IF(A393="","",N(INDEX(Projects[Act Project Management],392)))</f>
        <v/>
      </c>
      <c r="BM393" s="5">
        <f>IF(A393="","",N(INDEX(Projects[Act Systems Eng],392)))</f>
        <v/>
      </c>
      <c r="BN393" s="5">
        <f>IF(A393="","",N(INDEX(Projects[Act Mechanical Eng],392)))</f>
        <v/>
      </c>
      <c r="BO393" s="5">
        <f>IF(A393="","",N(INDEX(Projects[Act Structural Engineering],392)))</f>
        <v/>
      </c>
      <c r="BP393" s="5">
        <f>IF(A393="","",N(INDEX(Projects[Act Site Sup],392)))</f>
        <v/>
      </c>
      <c r="BQ393" s="5">
        <f>IF(A393="","",N(INDEX(Projects[Act Controls Commissioning],392)))</f>
        <v/>
      </c>
      <c r="BR393" s="5">
        <f>IF(A393="","",N(INDEX(Projects[Act Systems Commissioning],392)))</f>
        <v/>
      </c>
      <c r="BS393" s="5">
        <f>IF(A393="","",N(INDEX(Projects[Act Service Commissioning],392)))</f>
        <v/>
      </c>
      <c r="BT393" s="5">
        <f>IF(A393="","",N(INDEX(Projects[Act Controls Eng],392)))</f>
        <v/>
      </c>
      <c r="BU393" s="5">
        <f>IF(A393="","",N(INDEX(Projects[Act Controls Purchase],392)))</f>
        <v/>
      </c>
      <c r="BV393" s="5">
        <f>IF(A393="","",N(INDEX(Projects[Act Software Eng],392)))</f>
        <v/>
      </c>
      <c r="BW393" s="5">
        <f>IF(A393="","",N(INDEX(Projects[Act 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  <c r="CE393" s="5">
        <f>INDEX(Projects[Act Data Status],392)&amp;""</f>
        <v/>
      </c>
      <c r="CF393" s="5">
        <f>IF(A393="","",N(INDEX(Projects[Est Mech Inst],392)))</f>
        <v/>
      </c>
      <c r="CG393" s="5">
        <f>IF(A393="","",N(INDEX(Projects[Est Elec Inst],392)))</f>
        <v/>
      </c>
      <c r="CH393" s="5">
        <f>IF(A393="","",N(INDEX(Projects[Est Project Management],392)))</f>
        <v/>
      </c>
      <c r="CI393" s="5">
        <f>IF(A393="","",N(INDEX(Projects[Est Systems Eng],392)))</f>
        <v/>
      </c>
      <c r="CJ393" s="5">
        <f>IF(A393="","",N(INDEX(Projects[Est Mechanical Eng],392)))</f>
        <v/>
      </c>
      <c r="CK393" s="5">
        <f>IF(A393="","",N(INDEX(Projects[Est Structural Engineering],392)))</f>
        <v/>
      </c>
      <c r="CL393" s="5">
        <f>IF(A393="","",N(INDEX(Projects[Est Site Sup],392)))</f>
        <v/>
      </c>
      <c r="CM393" s="5">
        <f>IF(A393="","",N(INDEX(Projects[Est Controls Commissioning],392)))</f>
        <v/>
      </c>
      <c r="CN393" s="5">
        <f>IF(A393="","",N(INDEX(Projects[Est Systems Commissioning],392)))</f>
        <v/>
      </c>
      <c r="CO393" s="5">
        <f>IF(A393="","",N(INDEX(Projects[Est Service Commissioning],392)))</f>
        <v/>
      </c>
      <c r="CP393" s="5">
        <f>IF(A393="","",N(INDEX(Projects[Est Controls Eng],392)))</f>
        <v/>
      </c>
      <c r="CQ393" s="5">
        <f>IF(A393="","",N(INDEX(Projects[Est Controls Purchase],392)))</f>
        <v/>
      </c>
      <c r="CR393" s="5">
        <f>IF(A393="","",N(INDEX(Projects[Est Software Eng],392)))</f>
        <v/>
      </c>
      <c r="CS393" s="5">
        <f>IF(A393="","",N(INDEX(Projects[Est Misc],392)))</f>
        <v/>
      </c>
      <c r="CT393" s="5">
        <f>IF(A393="","",SUM(CF393:CS393))</f>
        <v/>
      </c>
      <c r="CU393" s="5">
        <f>INDEX(Projects[Est Cost (M)],392)</f>
        <v/>
      </c>
      <c r="CV393" s="5">
        <f>INDEX(Projects[Act Cost (M)],392)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IF(A394="","",N(INDEX(Projects[Act Mech Inst],393)))</f>
        <v/>
      </c>
      <c r="BK394" s="5">
        <f>IF(A394="","",N(INDEX(Projects[Act Elec Inst],393)))</f>
        <v/>
      </c>
      <c r="BL394" s="5">
        <f>IF(A394="","",N(INDEX(Projects[Act Project Management],393)))</f>
        <v/>
      </c>
      <c r="BM394" s="5">
        <f>IF(A394="","",N(INDEX(Projects[Act Systems Eng],393)))</f>
        <v/>
      </c>
      <c r="BN394" s="5">
        <f>IF(A394="","",N(INDEX(Projects[Act Mechanical Eng],393)))</f>
        <v/>
      </c>
      <c r="BO394" s="5">
        <f>IF(A394="","",N(INDEX(Projects[Act Structural Engineering],393)))</f>
        <v/>
      </c>
      <c r="BP394" s="5">
        <f>IF(A394="","",N(INDEX(Projects[Act Site Sup],393)))</f>
        <v/>
      </c>
      <c r="BQ394" s="5">
        <f>IF(A394="","",N(INDEX(Projects[Act Controls Commissioning],393)))</f>
        <v/>
      </c>
      <c r="BR394" s="5">
        <f>IF(A394="","",N(INDEX(Projects[Act Systems Commissioning],393)))</f>
        <v/>
      </c>
      <c r="BS394" s="5">
        <f>IF(A394="","",N(INDEX(Projects[Act Service Commissioning],393)))</f>
        <v/>
      </c>
      <c r="BT394" s="5">
        <f>IF(A394="","",N(INDEX(Projects[Act Controls Eng],393)))</f>
        <v/>
      </c>
      <c r="BU394" s="5">
        <f>IF(A394="","",N(INDEX(Projects[Act Controls Purchase],393)))</f>
        <v/>
      </c>
      <c r="BV394" s="5">
        <f>IF(A394="","",N(INDEX(Projects[Act Software Eng],393)))</f>
        <v/>
      </c>
      <c r="BW394" s="5">
        <f>IF(A394="","",N(INDEX(Projects[Act 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  <c r="CE394" s="5">
        <f>INDEX(Projects[Act Data Status],393)&amp;""</f>
        <v/>
      </c>
      <c r="CF394" s="5">
        <f>IF(A394="","",N(INDEX(Projects[Est Mech Inst],393)))</f>
        <v/>
      </c>
      <c r="CG394" s="5">
        <f>IF(A394="","",N(INDEX(Projects[Est Elec Inst],393)))</f>
        <v/>
      </c>
      <c r="CH394" s="5">
        <f>IF(A394="","",N(INDEX(Projects[Est Project Management],393)))</f>
        <v/>
      </c>
      <c r="CI394" s="5">
        <f>IF(A394="","",N(INDEX(Projects[Est Systems Eng],393)))</f>
        <v/>
      </c>
      <c r="CJ394" s="5">
        <f>IF(A394="","",N(INDEX(Projects[Est Mechanical Eng],393)))</f>
        <v/>
      </c>
      <c r="CK394" s="5">
        <f>IF(A394="","",N(INDEX(Projects[Est Structural Engineering],393)))</f>
        <v/>
      </c>
      <c r="CL394" s="5">
        <f>IF(A394="","",N(INDEX(Projects[Est Site Sup],393)))</f>
        <v/>
      </c>
      <c r="CM394" s="5">
        <f>IF(A394="","",N(INDEX(Projects[Est Controls Commissioning],393)))</f>
        <v/>
      </c>
      <c r="CN394" s="5">
        <f>IF(A394="","",N(INDEX(Projects[Est Systems Commissioning],393)))</f>
        <v/>
      </c>
      <c r="CO394" s="5">
        <f>IF(A394="","",N(INDEX(Projects[Est Service Commissioning],393)))</f>
        <v/>
      </c>
      <c r="CP394" s="5">
        <f>IF(A394="","",N(INDEX(Projects[Est Controls Eng],393)))</f>
        <v/>
      </c>
      <c r="CQ394" s="5">
        <f>IF(A394="","",N(INDEX(Projects[Est Controls Purchase],393)))</f>
        <v/>
      </c>
      <c r="CR394" s="5">
        <f>IF(A394="","",N(INDEX(Projects[Est Software Eng],393)))</f>
        <v/>
      </c>
      <c r="CS394" s="5">
        <f>IF(A394="","",N(INDEX(Projects[Est Misc],393)))</f>
        <v/>
      </c>
      <c r="CT394" s="5">
        <f>IF(A394="","",SUM(CF394:CS394))</f>
        <v/>
      </c>
      <c r="CU394" s="5">
        <f>INDEX(Projects[Est Cost (M)],393)</f>
        <v/>
      </c>
      <c r="CV394" s="5">
        <f>INDEX(Projects[Act Cost (M)],393)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IF(A395="","",N(INDEX(Projects[Act Mech Inst],394)))</f>
        <v/>
      </c>
      <c r="BK395" s="5">
        <f>IF(A395="","",N(INDEX(Projects[Act Elec Inst],394)))</f>
        <v/>
      </c>
      <c r="BL395" s="5">
        <f>IF(A395="","",N(INDEX(Projects[Act Project Management],394)))</f>
        <v/>
      </c>
      <c r="BM395" s="5">
        <f>IF(A395="","",N(INDEX(Projects[Act Systems Eng],394)))</f>
        <v/>
      </c>
      <c r="BN395" s="5">
        <f>IF(A395="","",N(INDEX(Projects[Act Mechanical Eng],394)))</f>
        <v/>
      </c>
      <c r="BO395" s="5">
        <f>IF(A395="","",N(INDEX(Projects[Act Structural Engineering],394)))</f>
        <v/>
      </c>
      <c r="BP395" s="5">
        <f>IF(A395="","",N(INDEX(Projects[Act Site Sup],394)))</f>
        <v/>
      </c>
      <c r="BQ395" s="5">
        <f>IF(A395="","",N(INDEX(Projects[Act Controls Commissioning],394)))</f>
        <v/>
      </c>
      <c r="BR395" s="5">
        <f>IF(A395="","",N(INDEX(Projects[Act Systems Commissioning],394)))</f>
        <v/>
      </c>
      <c r="BS395" s="5">
        <f>IF(A395="","",N(INDEX(Projects[Act Service Commissioning],394)))</f>
        <v/>
      </c>
      <c r="BT395" s="5">
        <f>IF(A395="","",N(INDEX(Projects[Act Controls Eng],394)))</f>
        <v/>
      </c>
      <c r="BU395" s="5">
        <f>IF(A395="","",N(INDEX(Projects[Act Controls Purchase],394)))</f>
        <v/>
      </c>
      <c r="BV395" s="5">
        <f>IF(A395="","",N(INDEX(Projects[Act Software Eng],394)))</f>
        <v/>
      </c>
      <c r="BW395" s="5">
        <f>IF(A395="","",N(INDEX(Projects[Act 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  <c r="CE395" s="5">
        <f>INDEX(Projects[Act Data Status],394)&amp;""</f>
        <v/>
      </c>
      <c r="CF395" s="5">
        <f>IF(A395="","",N(INDEX(Projects[Est Mech Inst],394)))</f>
        <v/>
      </c>
      <c r="CG395" s="5">
        <f>IF(A395="","",N(INDEX(Projects[Est Elec Inst],394)))</f>
        <v/>
      </c>
      <c r="CH395" s="5">
        <f>IF(A395="","",N(INDEX(Projects[Est Project Management],394)))</f>
        <v/>
      </c>
      <c r="CI395" s="5">
        <f>IF(A395="","",N(INDEX(Projects[Est Systems Eng],394)))</f>
        <v/>
      </c>
      <c r="CJ395" s="5">
        <f>IF(A395="","",N(INDEX(Projects[Est Mechanical Eng],394)))</f>
        <v/>
      </c>
      <c r="CK395" s="5">
        <f>IF(A395="","",N(INDEX(Projects[Est Structural Engineering],394)))</f>
        <v/>
      </c>
      <c r="CL395" s="5">
        <f>IF(A395="","",N(INDEX(Projects[Est Site Sup],394)))</f>
        <v/>
      </c>
      <c r="CM395" s="5">
        <f>IF(A395="","",N(INDEX(Projects[Est Controls Commissioning],394)))</f>
        <v/>
      </c>
      <c r="CN395" s="5">
        <f>IF(A395="","",N(INDEX(Projects[Est Systems Commissioning],394)))</f>
        <v/>
      </c>
      <c r="CO395" s="5">
        <f>IF(A395="","",N(INDEX(Projects[Est Service Commissioning],394)))</f>
        <v/>
      </c>
      <c r="CP395" s="5">
        <f>IF(A395="","",N(INDEX(Projects[Est Controls Eng],394)))</f>
        <v/>
      </c>
      <c r="CQ395" s="5">
        <f>IF(A395="","",N(INDEX(Projects[Est Controls Purchase],394)))</f>
        <v/>
      </c>
      <c r="CR395" s="5">
        <f>IF(A395="","",N(INDEX(Projects[Est Software Eng],394)))</f>
        <v/>
      </c>
      <c r="CS395" s="5">
        <f>IF(A395="","",N(INDEX(Projects[Est Misc],394)))</f>
        <v/>
      </c>
      <c r="CT395" s="5">
        <f>IF(A395="","",SUM(CF395:CS395))</f>
        <v/>
      </c>
      <c r="CU395" s="5">
        <f>INDEX(Projects[Est Cost (M)],394)</f>
        <v/>
      </c>
      <c r="CV395" s="5">
        <f>INDEX(Projects[Act Cost (M)],394)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IF(A396="","",N(INDEX(Projects[Act Mech Inst],395)))</f>
        <v/>
      </c>
      <c r="BK396" s="5">
        <f>IF(A396="","",N(INDEX(Projects[Act Elec Inst],395)))</f>
        <v/>
      </c>
      <c r="BL396" s="5">
        <f>IF(A396="","",N(INDEX(Projects[Act Project Management],395)))</f>
        <v/>
      </c>
      <c r="BM396" s="5">
        <f>IF(A396="","",N(INDEX(Projects[Act Systems Eng],395)))</f>
        <v/>
      </c>
      <c r="BN396" s="5">
        <f>IF(A396="","",N(INDEX(Projects[Act Mechanical Eng],395)))</f>
        <v/>
      </c>
      <c r="BO396" s="5">
        <f>IF(A396="","",N(INDEX(Projects[Act Structural Engineering],395)))</f>
        <v/>
      </c>
      <c r="BP396" s="5">
        <f>IF(A396="","",N(INDEX(Projects[Act Site Sup],395)))</f>
        <v/>
      </c>
      <c r="BQ396" s="5">
        <f>IF(A396="","",N(INDEX(Projects[Act Controls Commissioning],395)))</f>
        <v/>
      </c>
      <c r="BR396" s="5">
        <f>IF(A396="","",N(INDEX(Projects[Act Systems Commissioning],395)))</f>
        <v/>
      </c>
      <c r="BS396" s="5">
        <f>IF(A396="","",N(INDEX(Projects[Act Service Commissioning],395)))</f>
        <v/>
      </c>
      <c r="BT396" s="5">
        <f>IF(A396="","",N(INDEX(Projects[Act Controls Eng],395)))</f>
        <v/>
      </c>
      <c r="BU396" s="5">
        <f>IF(A396="","",N(INDEX(Projects[Act Controls Purchase],395)))</f>
        <v/>
      </c>
      <c r="BV396" s="5">
        <f>IF(A396="","",N(INDEX(Projects[Act Software Eng],395)))</f>
        <v/>
      </c>
      <c r="BW396" s="5">
        <f>IF(A396="","",N(INDEX(Projects[Act 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  <c r="CE396" s="5">
        <f>INDEX(Projects[Act Data Status],395)&amp;""</f>
        <v/>
      </c>
      <c r="CF396" s="5">
        <f>IF(A396="","",N(INDEX(Projects[Est Mech Inst],395)))</f>
        <v/>
      </c>
      <c r="CG396" s="5">
        <f>IF(A396="","",N(INDEX(Projects[Est Elec Inst],395)))</f>
        <v/>
      </c>
      <c r="CH396" s="5">
        <f>IF(A396="","",N(INDEX(Projects[Est Project Management],395)))</f>
        <v/>
      </c>
      <c r="CI396" s="5">
        <f>IF(A396="","",N(INDEX(Projects[Est Systems Eng],395)))</f>
        <v/>
      </c>
      <c r="CJ396" s="5">
        <f>IF(A396="","",N(INDEX(Projects[Est Mechanical Eng],395)))</f>
        <v/>
      </c>
      <c r="CK396" s="5">
        <f>IF(A396="","",N(INDEX(Projects[Est Structural Engineering],395)))</f>
        <v/>
      </c>
      <c r="CL396" s="5">
        <f>IF(A396="","",N(INDEX(Projects[Est Site Sup],395)))</f>
        <v/>
      </c>
      <c r="CM396" s="5">
        <f>IF(A396="","",N(INDEX(Projects[Est Controls Commissioning],395)))</f>
        <v/>
      </c>
      <c r="CN396" s="5">
        <f>IF(A396="","",N(INDEX(Projects[Est Systems Commissioning],395)))</f>
        <v/>
      </c>
      <c r="CO396" s="5">
        <f>IF(A396="","",N(INDEX(Projects[Est Service Commissioning],395)))</f>
        <v/>
      </c>
      <c r="CP396" s="5">
        <f>IF(A396="","",N(INDEX(Projects[Est Controls Eng],395)))</f>
        <v/>
      </c>
      <c r="CQ396" s="5">
        <f>IF(A396="","",N(INDEX(Projects[Est Controls Purchase],395)))</f>
        <v/>
      </c>
      <c r="CR396" s="5">
        <f>IF(A396="","",N(INDEX(Projects[Est Software Eng],395)))</f>
        <v/>
      </c>
      <c r="CS396" s="5">
        <f>IF(A396="","",N(INDEX(Projects[Est Misc],395)))</f>
        <v/>
      </c>
      <c r="CT396" s="5">
        <f>IF(A396="","",SUM(CF396:CS396))</f>
        <v/>
      </c>
      <c r="CU396" s="5">
        <f>INDEX(Projects[Est Cost (M)],395)</f>
        <v/>
      </c>
      <c r="CV396" s="5">
        <f>INDEX(Projects[Act Cost (M)],395)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IF(A397="","",N(INDEX(Projects[Act Mech Inst],396)))</f>
        <v/>
      </c>
      <c r="BK397" s="5">
        <f>IF(A397="","",N(INDEX(Projects[Act Elec Inst],396)))</f>
        <v/>
      </c>
      <c r="BL397" s="5">
        <f>IF(A397="","",N(INDEX(Projects[Act Project Management],396)))</f>
        <v/>
      </c>
      <c r="BM397" s="5">
        <f>IF(A397="","",N(INDEX(Projects[Act Systems Eng],396)))</f>
        <v/>
      </c>
      <c r="BN397" s="5">
        <f>IF(A397="","",N(INDEX(Projects[Act Mechanical Eng],396)))</f>
        <v/>
      </c>
      <c r="BO397" s="5">
        <f>IF(A397="","",N(INDEX(Projects[Act Structural Engineering],396)))</f>
        <v/>
      </c>
      <c r="BP397" s="5">
        <f>IF(A397="","",N(INDEX(Projects[Act Site Sup],396)))</f>
        <v/>
      </c>
      <c r="BQ397" s="5">
        <f>IF(A397="","",N(INDEX(Projects[Act Controls Commissioning],396)))</f>
        <v/>
      </c>
      <c r="BR397" s="5">
        <f>IF(A397="","",N(INDEX(Projects[Act Systems Commissioning],396)))</f>
        <v/>
      </c>
      <c r="BS397" s="5">
        <f>IF(A397="","",N(INDEX(Projects[Act Service Commissioning],396)))</f>
        <v/>
      </c>
      <c r="BT397" s="5">
        <f>IF(A397="","",N(INDEX(Projects[Act Controls Eng],396)))</f>
        <v/>
      </c>
      <c r="BU397" s="5">
        <f>IF(A397="","",N(INDEX(Projects[Act Controls Purchase],396)))</f>
        <v/>
      </c>
      <c r="BV397" s="5">
        <f>IF(A397="","",N(INDEX(Projects[Act Software Eng],396)))</f>
        <v/>
      </c>
      <c r="BW397" s="5">
        <f>IF(A397="","",N(INDEX(Projects[Act 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  <c r="CE397" s="5">
        <f>INDEX(Projects[Act Data Status],396)&amp;""</f>
        <v/>
      </c>
      <c r="CF397" s="5">
        <f>IF(A397="","",N(INDEX(Projects[Est Mech Inst],396)))</f>
        <v/>
      </c>
      <c r="CG397" s="5">
        <f>IF(A397="","",N(INDEX(Projects[Est Elec Inst],396)))</f>
        <v/>
      </c>
      <c r="CH397" s="5">
        <f>IF(A397="","",N(INDEX(Projects[Est Project Management],396)))</f>
        <v/>
      </c>
      <c r="CI397" s="5">
        <f>IF(A397="","",N(INDEX(Projects[Est Systems Eng],396)))</f>
        <v/>
      </c>
      <c r="CJ397" s="5">
        <f>IF(A397="","",N(INDEX(Projects[Est Mechanical Eng],396)))</f>
        <v/>
      </c>
      <c r="CK397" s="5">
        <f>IF(A397="","",N(INDEX(Projects[Est Structural Engineering],396)))</f>
        <v/>
      </c>
      <c r="CL397" s="5">
        <f>IF(A397="","",N(INDEX(Projects[Est Site Sup],396)))</f>
        <v/>
      </c>
      <c r="CM397" s="5">
        <f>IF(A397="","",N(INDEX(Projects[Est Controls Commissioning],396)))</f>
        <v/>
      </c>
      <c r="CN397" s="5">
        <f>IF(A397="","",N(INDEX(Projects[Est Systems Commissioning],396)))</f>
        <v/>
      </c>
      <c r="CO397" s="5">
        <f>IF(A397="","",N(INDEX(Projects[Est Service Commissioning],396)))</f>
        <v/>
      </c>
      <c r="CP397" s="5">
        <f>IF(A397="","",N(INDEX(Projects[Est Controls Eng],396)))</f>
        <v/>
      </c>
      <c r="CQ397" s="5">
        <f>IF(A397="","",N(INDEX(Projects[Est Controls Purchase],396)))</f>
        <v/>
      </c>
      <c r="CR397" s="5">
        <f>IF(A397="","",N(INDEX(Projects[Est Software Eng],396)))</f>
        <v/>
      </c>
      <c r="CS397" s="5">
        <f>IF(A397="","",N(INDEX(Projects[Est Misc],396)))</f>
        <v/>
      </c>
      <c r="CT397" s="5">
        <f>IF(A397="","",SUM(CF397:CS397))</f>
        <v/>
      </c>
      <c r="CU397" s="5">
        <f>INDEX(Projects[Est Cost (M)],396)</f>
        <v/>
      </c>
      <c r="CV397" s="5">
        <f>INDEX(Projects[Act Cost (M)],396)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IF(A398="","",N(INDEX(Projects[Act Mech Inst],397)))</f>
        <v/>
      </c>
      <c r="BK398" s="5">
        <f>IF(A398="","",N(INDEX(Projects[Act Elec Inst],397)))</f>
        <v/>
      </c>
      <c r="BL398" s="5">
        <f>IF(A398="","",N(INDEX(Projects[Act Project Management],397)))</f>
        <v/>
      </c>
      <c r="BM398" s="5">
        <f>IF(A398="","",N(INDEX(Projects[Act Systems Eng],397)))</f>
        <v/>
      </c>
      <c r="BN398" s="5">
        <f>IF(A398="","",N(INDEX(Projects[Act Mechanical Eng],397)))</f>
        <v/>
      </c>
      <c r="BO398" s="5">
        <f>IF(A398="","",N(INDEX(Projects[Act Structural Engineering],397)))</f>
        <v/>
      </c>
      <c r="BP398" s="5">
        <f>IF(A398="","",N(INDEX(Projects[Act Site Sup],397)))</f>
        <v/>
      </c>
      <c r="BQ398" s="5">
        <f>IF(A398="","",N(INDEX(Projects[Act Controls Commissioning],397)))</f>
        <v/>
      </c>
      <c r="BR398" s="5">
        <f>IF(A398="","",N(INDEX(Projects[Act Systems Commissioning],397)))</f>
        <v/>
      </c>
      <c r="BS398" s="5">
        <f>IF(A398="","",N(INDEX(Projects[Act Service Commissioning],397)))</f>
        <v/>
      </c>
      <c r="BT398" s="5">
        <f>IF(A398="","",N(INDEX(Projects[Act Controls Eng],397)))</f>
        <v/>
      </c>
      <c r="BU398" s="5">
        <f>IF(A398="","",N(INDEX(Projects[Act Controls Purchase],397)))</f>
        <v/>
      </c>
      <c r="BV398" s="5">
        <f>IF(A398="","",N(INDEX(Projects[Act Software Eng],397)))</f>
        <v/>
      </c>
      <c r="BW398" s="5">
        <f>IF(A398="","",N(INDEX(Projects[Act 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  <c r="CE398" s="5">
        <f>INDEX(Projects[Act Data Status],397)&amp;""</f>
        <v/>
      </c>
      <c r="CF398" s="5">
        <f>IF(A398="","",N(INDEX(Projects[Est Mech Inst],397)))</f>
        <v/>
      </c>
      <c r="CG398" s="5">
        <f>IF(A398="","",N(INDEX(Projects[Est Elec Inst],397)))</f>
        <v/>
      </c>
      <c r="CH398" s="5">
        <f>IF(A398="","",N(INDEX(Projects[Est Project Management],397)))</f>
        <v/>
      </c>
      <c r="CI398" s="5">
        <f>IF(A398="","",N(INDEX(Projects[Est Systems Eng],397)))</f>
        <v/>
      </c>
      <c r="CJ398" s="5">
        <f>IF(A398="","",N(INDEX(Projects[Est Mechanical Eng],397)))</f>
        <v/>
      </c>
      <c r="CK398" s="5">
        <f>IF(A398="","",N(INDEX(Projects[Est Structural Engineering],397)))</f>
        <v/>
      </c>
      <c r="CL398" s="5">
        <f>IF(A398="","",N(INDEX(Projects[Est Site Sup],397)))</f>
        <v/>
      </c>
      <c r="CM398" s="5">
        <f>IF(A398="","",N(INDEX(Projects[Est Controls Commissioning],397)))</f>
        <v/>
      </c>
      <c r="CN398" s="5">
        <f>IF(A398="","",N(INDEX(Projects[Est Systems Commissioning],397)))</f>
        <v/>
      </c>
      <c r="CO398" s="5">
        <f>IF(A398="","",N(INDEX(Projects[Est Service Commissioning],397)))</f>
        <v/>
      </c>
      <c r="CP398" s="5">
        <f>IF(A398="","",N(INDEX(Projects[Est Controls Eng],397)))</f>
        <v/>
      </c>
      <c r="CQ398" s="5">
        <f>IF(A398="","",N(INDEX(Projects[Est Controls Purchase],397)))</f>
        <v/>
      </c>
      <c r="CR398" s="5">
        <f>IF(A398="","",N(INDEX(Projects[Est Software Eng],397)))</f>
        <v/>
      </c>
      <c r="CS398" s="5">
        <f>IF(A398="","",N(INDEX(Projects[Est Misc],397)))</f>
        <v/>
      </c>
      <c r="CT398" s="5">
        <f>IF(A398="","",SUM(CF398:CS398))</f>
        <v/>
      </c>
      <c r="CU398" s="5">
        <f>INDEX(Projects[Est Cost (M)],397)</f>
        <v/>
      </c>
      <c r="CV398" s="5">
        <f>INDEX(Projects[Act Cost (M)],397)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IF(A399="","",N(INDEX(Projects[Act Mech Inst],398)))</f>
        <v/>
      </c>
      <c r="BK399" s="5">
        <f>IF(A399="","",N(INDEX(Projects[Act Elec Inst],398)))</f>
        <v/>
      </c>
      <c r="BL399" s="5">
        <f>IF(A399="","",N(INDEX(Projects[Act Project Management],398)))</f>
        <v/>
      </c>
      <c r="BM399" s="5">
        <f>IF(A399="","",N(INDEX(Projects[Act Systems Eng],398)))</f>
        <v/>
      </c>
      <c r="BN399" s="5">
        <f>IF(A399="","",N(INDEX(Projects[Act Mechanical Eng],398)))</f>
        <v/>
      </c>
      <c r="BO399" s="5">
        <f>IF(A399="","",N(INDEX(Projects[Act Structural Engineering],398)))</f>
        <v/>
      </c>
      <c r="BP399" s="5">
        <f>IF(A399="","",N(INDEX(Projects[Act Site Sup],398)))</f>
        <v/>
      </c>
      <c r="BQ399" s="5">
        <f>IF(A399="","",N(INDEX(Projects[Act Controls Commissioning],398)))</f>
        <v/>
      </c>
      <c r="BR399" s="5">
        <f>IF(A399="","",N(INDEX(Projects[Act Systems Commissioning],398)))</f>
        <v/>
      </c>
      <c r="BS399" s="5">
        <f>IF(A399="","",N(INDEX(Projects[Act Service Commissioning],398)))</f>
        <v/>
      </c>
      <c r="BT399" s="5">
        <f>IF(A399="","",N(INDEX(Projects[Act Controls Eng],398)))</f>
        <v/>
      </c>
      <c r="BU399" s="5">
        <f>IF(A399="","",N(INDEX(Projects[Act Controls Purchase],398)))</f>
        <v/>
      </c>
      <c r="BV399" s="5">
        <f>IF(A399="","",N(INDEX(Projects[Act Software Eng],398)))</f>
        <v/>
      </c>
      <c r="BW399" s="5">
        <f>IF(A399="","",N(INDEX(Projects[Act 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  <c r="CE399" s="5">
        <f>INDEX(Projects[Act Data Status],398)&amp;""</f>
        <v/>
      </c>
      <c r="CF399" s="5">
        <f>IF(A399="","",N(INDEX(Projects[Est Mech Inst],398)))</f>
        <v/>
      </c>
      <c r="CG399" s="5">
        <f>IF(A399="","",N(INDEX(Projects[Est Elec Inst],398)))</f>
        <v/>
      </c>
      <c r="CH399" s="5">
        <f>IF(A399="","",N(INDEX(Projects[Est Project Management],398)))</f>
        <v/>
      </c>
      <c r="CI399" s="5">
        <f>IF(A399="","",N(INDEX(Projects[Est Systems Eng],398)))</f>
        <v/>
      </c>
      <c r="CJ399" s="5">
        <f>IF(A399="","",N(INDEX(Projects[Est Mechanical Eng],398)))</f>
        <v/>
      </c>
      <c r="CK399" s="5">
        <f>IF(A399="","",N(INDEX(Projects[Est Structural Engineering],398)))</f>
        <v/>
      </c>
      <c r="CL399" s="5">
        <f>IF(A399="","",N(INDEX(Projects[Est Site Sup],398)))</f>
        <v/>
      </c>
      <c r="CM399" s="5">
        <f>IF(A399="","",N(INDEX(Projects[Est Controls Commissioning],398)))</f>
        <v/>
      </c>
      <c r="CN399" s="5">
        <f>IF(A399="","",N(INDEX(Projects[Est Systems Commissioning],398)))</f>
        <v/>
      </c>
      <c r="CO399" s="5">
        <f>IF(A399="","",N(INDEX(Projects[Est Service Commissioning],398)))</f>
        <v/>
      </c>
      <c r="CP399" s="5">
        <f>IF(A399="","",N(INDEX(Projects[Est Controls Eng],398)))</f>
        <v/>
      </c>
      <c r="CQ399" s="5">
        <f>IF(A399="","",N(INDEX(Projects[Est Controls Purchase],398)))</f>
        <v/>
      </c>
      <c r="CR399" s="5">
        <f>IF(A399="","",N(INDEX(Projects[Est Software Eng],398)))</f>
        <v/>
      </c>
      <c r="CS399" s="5">
        <f>IF(A399="","",N(INDEX(Projects[Est Misc],398)))</f>
        <v/>
      </c>
      <c r="CT399" s="5">
        <f>IF(A399="","",SUM(CF399:CS399))</f>
        <v/>
      </c>
      <c r="CU399" s="5">
        <f>INDEX(Projects[Est Cost (M)],398)</f>
        <v/>
      </c>
      <c r="CV399" s="5">
        <f>INDEX(Projects[Act Cost (M)],398)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IF(A400="","",N(INDEX(Projects[Act Mech Inst],399)))</f>
        <v/>
      </c>
      <c r="BK400" s="5">
        <f>IF(A400="","",N(INDEX(Projects[Act Elec Inst],399)))</f>
        <v/>
      </c>
      <c r="BL400" s="5">
        <f>IF(A400="","",N(INDEX(Projects[Act Project Management],399)))</f>
        <v/>
      </c>
      <c r="BM400" s="5">
        <f>IF(A400="","",N(INDEX(Projects[Act Systems Eng],399)))</f>
        <v/>
      </c>
      <c r="BN400" s="5">
        <f>IF(A400="","",N(INDEX(Projects[Act Mechanical Eng],399)))</f>
        <v/>
      </c>
      <c r="BO400" s="5">
        <f>IF(A400="","",N(INDEX(Projects[Act Structural Engineering],399)))</f>
        <v/>
      </c>
      <c r="BP400" s="5">
        <f>IF(A400="","",N(INDEX(Projects[Act Site Sup],399)))</f>
        <v/>
      </c>
      <c r="BQ400" s="5">
        <f>IF(A400="","",N(INDEX(Projects[Act Controls Commissioning],399)))</f>
        <v/>
      </c>
      <c r="BR400" s="5">
        <f>IF(A400="","",N(INDEX(Projects[Act Systems Commissioning],399)))</f>
        <v/>
      </c>
      <c r="BS400" s="5">
        <f>IF(A400="","",N(INDEX(Projects[Act Service Commissioning],399)))</f>
        <v/>
      </c>
      <c r="BT400" s="5">
        <f>IF(A400="","",N(INDEX(Projects[Act Controls Eng],399)))</f>
        <v/>
      </c>
      <c r="BU400" s="5">
        <f>IF(A400="","",N(INDEX(Projects[Act Controls Purchase],399)))</f>
        <v/>
      </c>
      <c r="BV400" s="5">
        <f>IF(A400="","",N(INDEX(Projects[Act Software Eng],399)))</f>
        <v/>
      </c>
      <c r="BW400" s="5">
        <f>IF(A400="","",N(INDEX(Projects[Act 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  <c r="CE400" s="5">
        <f>INDEX(Projects[Act Data Status],399)&amp;""</f>
        <v/>
      </c>
      <c r="CF400" s="5">
        <f>IF(A400="","",N(INDEX(Projects[Est Mech Inst],399)))</f>
        <v/>
      </c>
      <c r="CG400" s="5">
        <f>IF(A400="","",N(INDEX(Projects[Est Elec Inst],399)))</f>
        <v/>
      </c>
      <c r="CH400" s="5">
        <f>IF(A400="","",N(INDEX(Projects[Est Project Management],399)))</f>
        <v/>
      </c>
      <c r="CI400" s="5">
        <f>IF(A400="","",N(INDEX(Projects[Est Systems Eng],399)))</f>
        <v/>
      </c>
      <c r="CJ400" s="5">
        <f>IF(A400="","",N(INDEX(Projects[Est Mechanical Eng],399)))</f>
        <v/>
      </c>
      <c r="CK400" s="5">
        <f>IF(A400="","",N(INDEX(Projects[Est Structural Engineering],399)))</f>
        <v/>
      </c>
      <c r="CL400" s="5">
        <f>IF(A400="","",N(INDEX(Projects[Est Site Sup],399)))</f>
        <v/>
      </c>
      <c r="CM400" s="5">
        <f>IF(A400="","",N(INDEX(Projects[Est Controls Commissioning],399)))</f>
        <v/>
      </c>
      <c r="CN400" s="5">
        <f>IF(A400="","",N(INDEX(Projects[Est Systems Commissioning],399)))</f>
        <v/>
      </c>
      <c r="CO400" s="5">
        <f>IF(A400="","",N(INDEX(Projects[Est Service Commissioning],399)))</f>
        <v/>
      </c>
      <c r="CP400" s="5">
        <f>IF(A400="","",N(INDEX(Projects[Est Controls Eng],399)))</f>
        <v/>
      </c>
      <c r="CQ400" s="5">
        <f>IF(A400="","",N(INDEX(Projects[Est Controls Purchase],399)))</f>
        <v/>
      </c>
      <c r="CR400" s="5">
        <f>IF(A400="","",N(INDEX(Projects[Est Software Eng],399)))</f>
        <v/>
      </c>
      <c r="CS400" s="5">
        <f>IF(A400="","",N(INDEX(Projects[Est Misc],399)))</f>
        <v/>
      </c>
      <c r="CT400" s="5">
        <f>IF(A400="","",SUM(CF400:CS400))</f>
        <v/>
      </c>
      <c r="CU400" s="5">
        <f>INDEX(Projects[Est Cost (M)],399)</f>
        <v/>
      </c>
      <c r="CV400" s="5">
        <f>INDEX(Projects[Act Cost (M)],399)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IF(A401="","",N(INDEX(Projects[Act Mech Inst],400)))</f>
        <v/>
      </c>
      <c r="BK401" s="5">
        <f>IF(A401="","",N(INDEX(Projects[Act Elec Inst],400)))</f>
        <v/>
      </c>
      <c r="BL401" s="5">
        <f>IF(A401="","",N(INDEX(Projects[Act Project Management],400)))</f>
        <v/>
      </c>
      <c r="BM401" s="5">
        <f>IF(A401="","",N(INDEX(Projects[Act Systems Eng],400)))</f>
        <v/>
      </c>
      <c r="BN401" s="5">
        <f>IF(A401="","",N(INDEX(Projects[Act Mechanical Eng],400)))</f>
        <v/>
      </c>
      <c r="BO401" s="5">
        <f>IF(A401="","",N(INDEX(Projects[Act Structural Engineering],400)))</f>
        <v/>
      </c>
      <c r="BP401" s="5">
        <f>IF(A401="","",N(INDEX(Projects[Act Site Sup],400)))</f>
        <v/>
      </c>
      <c r="BQ401" s="5">
        <f>IF(A401="","",N(INDEX(Projects[Act Controls Commissioning],400)))</f>
        <v/>
      </c>
      <c r="BR401" s="5">
        <f>IF(A401="","",N(INDEX(Projects[Act Systems Commissioning],400)))</f>
        <v/>
      </c>
      <c r="BS401" s="5">
        <f>IF(A401="","",N(INDEX(Projects[Act Service Commissioning],400)))</f>
        <v/>
      </c>
      <c r="BT401" s="5">
        <f>IF(A401="","",N(INDEX(Projects[Act Controls Eng],400)))</f>
        <v/>
      </c>
      <c r="BU401" s="5">
        <f>IF(A401="","",N(INDEX(Projects[Act Controls Purchase],400)))</f>
        <v/>
      </c>
      <c r="BV401" s="5">
        <f>IF(A401="","",N(INDEX(Projects[Act Software Eng],400)))</f>
        <v/>
      </c>
      <c r="BW401" s="5">
        <f>IF(A401="","",N(INDEX(Projects[Act 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  <c r="CE401" s="5">
        <f>INDEX(Projects[Act Data Status],400)&amp;""</f>
        <v/>
      </c>
      <c r="CF401" s="5">
        <f>IF(A401="","",N(INDEX(Projects[Est Mech Inst],400)))</f>
        <v/>
      </c>
      <c r="CG401" s="5">
        <f>IF(A401="","",N(INDEX(Projects[Est Elec Inst],400)))</f>
        <v/>
      </c>
      <c r="CH401" s="5">
        <f>IF(A401="","",N(INDEX(Projects[Est Project Management],400)))</f>
        <v/>
      </c>
      <c r="CI401" s="5">
        <f>IF(A401="","",N(INDEX(Projects[Est Systems Eng],400)))</f>
        <v/>
      </c>
      <c r="CJ401" s="5">
        <f>IF(A401="","",N(INDEX(Projects[Est Mechanical Eng],400)))</f>
        <v/>
      </c>
      <c r="CK401" s="5">
        <f>IF(A401="","",N(INDEX(Projects[Est Structural Engineering],400)))</f>
        <v/>
      </c>
      <c r="CL401" s="5">
        <f>IF(A401="","",N(INDEX(Projects[Est Site Sup],400)))</f>
        <v/>
      </c>
      <c r="CM401" s="5">
        <f>IF(A401="","",N(INDEX(Projects[Est Controls Commissioning],400)))</f>
        <v/>
      </c>
      <c r="CN401" s="5">
        <f>IF(A401="","",N(INDEX(Projects[Est Systems Commissioning],400)))</f>
        <v/>
      </c>
      <c r="CO401" s="5">
        <f>IF(A401="","",N(INDEX(Projects[Est Service Commissioning],400)))</f>
        <v/>
      </c>
      <c r="CP401" s="5">
        <f>IF(A401="","",N(INDEX(Projects[Est Controls Eng],400)))</f>
        <v/>
      </c>
      <c r="CQ401" s="5">
        <f>IF(A401="","",N(INDEX(Projects[Est Controls Purchase],400)))</f>
        <v/>
      </c>
      <c r="CR401" s="5">
        <f>IF(A401="","",N(INDEX(Projects[Est Software Eng],400)))</f>
        <v/>
      </c>
      <c r="CS401" s="5">
        <f>IF(A401="","",N(INDEX(Projects[Est Misc],400)))</f>
        <v/>
      </c>
      <c r="CT401" s="5">
        <f>IF(A401="","",SUM(CF401:CS401))</f>
        <v/>
      </c>
      <c r="CU401" s="5">
        <f>INDEX(Projects[Est Cost (M)],400)</f>
        <v/>
      </c>
      <c r="CV401" s="5">
        <f>INDEX(Projects[Act Cost (M)],400)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IF(A402="","",N(INDEX(Projects[Act Mech Inst],401)))</f>
        <v/>
      </c>
      <c r="BK402" s="5">
        <f>IF(A402="","",N(INDEX(Projects[Act Elec Inst],401)))</f>
        <v/>
      </c>
      <c r="BL402" s="5">
        <f>IF(A402="","",N(INDEX(Projects[Act Project Management],401)))</f>
        <v/>
      </c>
      <c r="BM402" s="5">
        <f>IF(A402="","",N(INDEX(Projects[Act Systems Eng],401)))</f>
        <v/>
      </c>
      <c r="BN402" s="5">
        <f>IF(A402="","",N(INDEX(Projects[Act Mechanical Eng],401)))</f>
        <v/>
      </c>
      <c r="BO402" s="5">
        <f>IF(A402="","",N(INDEX(Projects[Act Structural Engineering],401)))</f>
        <v/>
      </c>
      <c r="BP402" s="5">
        <f>IF(A402="","",N(INDEX(Projects[Act Site Sup],401)))</f>
        <v/>
      </c>
      <c r="BQ402" s="5">
        <f>IF(A402="","",N(INDEX(Projects[Act Controls Commissioning],401)))</f>
        <v/>
      </c>
      <c r="BR402" s="5">
        <f>IF(A402="","",N(INDEX(Projects[Act Systems Commissioning],401)))</f>
        <v/>
      </c>
      <c r="BS402" s="5">
        <f>IF(A402="","",N(INDEX(Projects[Act Service Commissioning],401)))</f>
        <v/>
      </c>
      <c r="BT402" s="5">
        <f>IF(A402="","",N(INDEX(Projects[Act Controls Eng],401)))</f>
        <v/>
      </c>
      <c r="BU402" s="5">
        <f>IF(A402="","",N(INDEX(Projects[Act Controls Purchase],401)))</f>
        <v/>
      </c>
      <c r="BV402" s="5">
        <f>IF(A402="","",N(INDEX(Projects[Act Software Eng],401)))</f>
        <v/>
      </c>
      <c r="BW402" s="5">
        <f>IF(A402="","",N(INDEX(Projects[Act 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  <c r="CE402" s="5">
        <f>INDEX(Projects[Act Data Status],401)&amp;""</f>
        <v/>
      </c>
      <c r="CF402" s="5">
        <f>IF(A402="","",N(INDEX(Projects[Est Mech Inst],401)))</f>
        <v/>
      </c>
      <c r="CG402" s="5">
        <f>IF(A402="","",N(INDEX(Projects[Est Elec Inst],401)))</f>
        <v/>
      </c>
      <c r="CH402" s="5">
        <f>IF(A402="","",N(INDEX(Projects[Est Project Management],401)))</f>
        <v/>
      </c>
      <c r="CI402" s="5">
        <f>IF(A402="","",N(INDEX(Projects[Est Systems Eng],401)))</f>
        <v/>
      </c>
      <c r="CJ402" s="5">
        <f>IF(A402="","",N(INDEX(Projects[Est Mechanical Eng],401)))</f>
        <v/>
      </c>
      <c r="CK402" s="5">
        <f>IF(A402="","",N(INDEX(Projects[Est Structural Engineering],401)))</f>
        <v/>
      </c>
      <c r="CL402" s="5">
        <f>IF(A402="","",N(INDEX(Projects[Est Site Sup],401)))</f>
        <v/>
      </c>
      <c r="CM402" s="5">
        <f>IF(A402="","",N(INDEX(Projects[Est Controls Commissioning],401)))</f>
        <v/>
      </c>
      <c r="CN402" s="5">
        <f>IF(A402="","",N(INDEX(Projects[Est Systems Commissioning],401)))</f>
        <v/>
      </c>
      <c r="CO402" s="5">
        <f>IF(A402="","",N(INDEX(Projects[Est Service Commissioning],401)))</f>
        <v/>
      </c>
      <c r="CP402" s="5">
        <f>IF(A402="","",N(INDEX(Projects[Est Controls Eng],401)))</f>
        <v/>
      </c>
      <c r="CQ402" s="5">
        <f>IF(A402="","",N(INDEX(Projects[Est Controls Purchase],401)))</f>
        <v/>
      </c>
      <c r="CR402" s="5">
        <f>IF(A402="","",N(INDEX(Projects[Est Software Eng],401)))</f>
        <v/>
      </c>
      <c r="CS402" s="5">
        <f>IF(A402="","",N(INDEX(Projects[Est Misc],401)))</f>
        <v/>
      </c>
      <c r="CT402" s="5">
        <f>IF(A402="","",SUM(CF402:CS402))</f>
        <v/>
      </c>
      <c r="CU402" s="5">
        <f>INDEX(Projects[Est Cost (M)],401)</f>
        <v/>
      </c>
      <c r="CV402" s="5">
        <f>INDEX(Projects[Act Cost (M)],401)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IF(A403="","",N(INDEX(Projects[Act Mech Inst],402)))</f>
        <v/>
      </c>
      <c r="BK403" s="5">
        <f>IF(A403="","",N(INDEX(Projects[Act Elec Inst],402)))</f>
        <v/>
      </c>
      <c r="BL403" s="5">
        <f>IF(A403="","",N(INDEX(Projects[Act Project Management],402)))</f>
        <v/>
      </c>
      <c r="BM403" s="5">
        <f>IF(A403="","",N(INDEX(Projects[Act Systems Eng],402)))</f>
        <v/>
      </c>
      <c r="BN403" s="5">
        <f>IF(A403="","",N(INDEX(Projects[Act Mechanical Eng],402)))</f>
        <v/>
      </c>
      <c r="BO403" s="5">
        <f>IF(A403="","",N(INDEX(Projects[Act Structural Engineering],402)))</f>
        <v/>
      </c>
      <c r="BP403" s="5">
        <f>IF(A403="","",N(INDEX(Projects[Act Site Sup],402)))</f>
        <v/>
      </c>
      <c r="BQ403" s="5">
        <f>IF(A403="","",N(INDEX(Projects[Act Controls Commissioning],402)))</f>
        <v/>
      </c>
      <c r="BR403" s="5">
        <f>IF(A403="","",N(INDEX(Projects[Act Systems Commissioning],402)))</f>
        <v/>
      </c>
      <c r="BS403" s="5">
        <f>IF(A403="","",N(INDEX(Projects[Act Service Commissioning],402)))</f>
        <v/>
      </c>
      <c r="BT403" s="5">
        <f>IF(A403="","",N(INDEX(Projects[Act Controls Eng],402)))</f>
        <v/>
      </c>
      <c r="BU403" s="5">
        <f>IF(A403="","",N(INDEX(Projects[Act Controls Purchase],402)))</f>
        <v/>
      </c>
      <c r="BV403" s="5">
        <f>IF(A403="","",N(INDEX(Projects[Act Software Eng],402)))</f>
        <v/>
      </c>
      <c r="BW403" s="5">
        <f>IF(A403="","",N(INDEX(Projects[Act 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  <c r="CE403" s="5">
        <f>INDEX(Projects[Act Data Status],402)&amp;""</f>
        <v/>
      </c>
      <c r="CF403" s="5">
        <f>IF(A403="","",N(INDEX(Projects[Est Mech Inst],402)))</f>
        <v/>
      </c>
      <c r="CG403" s="5">
        <f>IF(A403="","",N(INDEX(Projects[Est Elec Inst],402)))</f>
        <v/>
      </c>
      <c r="CH403" s="5">
        <f>IF(A403="","",N(INDEX(Projects[Est Project Management],402)))</f>
        <v/>
      </c>
      <c r="CI403" s="5">
        <f>IF(A403="","",N(INDEX(Projects[Est Systems Eng],402)))</f>
        <v/>
      </c>
      <c r="CJ403" s="5">
        <f>IF(A403="","",N(INDEX(Projects[Est Mechanical Eng],402)))</f>
        <v/>
      </c>
      <c r="CK403" s="5">
        <f>IF(A403="","",N(INDEX(Projects[Est Structural Engineering],402)))</f>
        <v/>
      </c>
      <c r="CL403" s="5">
        <f>IF(A403="","",N(INDEX(Projects[Est Site Sup],402)))</f>
        <v/>
      </c>
      <c r="CM403" s="5">
        <f>IF(A403="","",N(INDEX(Projects[Est Controls Commissioning],402)))</f>
        <v/>
      </c>
      <c r="CN403" s="5">
        <f>IF(A403="","",N(INDEX(Projects[Est Systems Commissioning],402)))</f>
        <v/>
      </c>
      <c r="CO403" s="5">
        <f>IF(A403="","",N(INDEX(Projects[Est Service Commissioning],402)))</f>
        <v/>
      </c>
      <c r="CP403" s="5">
        <f>IF(A403="","",N(INDEX(Projects[Est Controls Eng],402)))</f>
        <v/>
      </c>
      <c r="CQ403" s="5">
        <f>IF(A403="","",N(INDEX(Projects[Est Controls Purchase],402)))</f>
        <v/>
      </c>
      <c r="CR403" s="5">
        <f>IF(A403="","",N(INDEX(Projects[Est Software Eng],402)))</f>
        <v/>
      </c>
      <c r="CS403" s="5">
        <f>IF(A403="","",N(INDEX(Projects[Est Misc],402)))</f>
        <v/>
      </c>
      <c r="CT403" s="5">
        <f>IF(A403="","",SUM(CF403:CS403))</f>
        <v/>
      </c>
      <c r="CU403" s="5">
        <f>INDEX(Projects[Est Cost (M)],402)</f>
        <v/>
      </c>
      <c r="CV403" s="5">
        <f>INDEX(Projects[Act Cost (M)],402)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IF(A404="","",N(INDEX(Projects[Act Mech Inst],403)))</f>
        <v/>
      </c>
      <c r="BK404" s="5">
        <f>IF(A404="","",N(INDEX(Projects[Act Elec Inst],403)))</f>
        <v/>
      </c>
      <c r="BL404" s="5">
        <f>IF(A404="","",N(INDEX(Projects[Act Project Management],403)))</f>
        <v/>
      </c>
      <c r="BM404" s="5">
        <f>IF(A404="","",N(INDEX(Projects[Act Systems Eng],403)))</f>
        <v/>
      </c>
      <c r="BN404" s="5">
        <f>IF(A404="","",N(INDEX(Projects[Act Mechanical Eng],403)))</f>
        <v/>
      </c>
      <c r="BO404" s="5">
        <f>IF(A404="","",N(INDEX(Projects[Act Structural Engineering],403)))</f>
        <v/>
      </c>
      <c r="BP404" s="5">
        <f>IF(A404="","",N(INDEX(Projects[Act Site Sup],403)))</f>
        <v/>
      </c>
      <c r="BQ404" s="5">
        <f>IF(A404="","",N(INDEX(Projects[Act Controls Commissioning],403)))</f>
        <v/>
      </c>
      <c r="BR404" s="5">
        <f>IF(A404="","",N(INDEX(Projects[Act Systems Commissioning],403)))</f>
        <v/>
      </c>
      <c r="BS404" s="5">
        <f>IF(A404="","",N(INDEX(Projects[Act Service Commissioning],403)))</f>
        <v/>
      </c>
      <c r="BT404" s="5">
        <f>IF(A404="","",N(INDEX(Projects[Act Controls Eng],403)))</f>
        <v/>
      </c>
      <c r="BU404" s="5">
        <f>IF(A404="","",N(INDEX(Projects[Act Controls Purchase],403)))</f>
        <v/>
      </c>
      <c r="BV404" s="5">
        <f>IF(A404="","",N(INDEX(Projects[Act Software Eng],403)))</f>
        <v/>
      </c>
      <c r="BW404" s="5">
        <f>IF(A404="","",N(INDEX(Projects[Act 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  <c r="CE404" s="5">
        <f>INDEX(Projects[Act Data Status],403)&amp;""</f>
        <v/>
      </c>
      <c r="CF404" s="5">
        <f>IF(A404="","",N(INDEX(Projects[Est Mech Inst],403)))</f>
        <v/>
      </c>
      <c r="CG404" s="5">
        <f>IF(A404="","",N(INDEX(Projects[Est Elec Inst],403)))</f>
        <v/>
      </c>
      <c r="CH404" s="5">
        <f>IF(A404="","",N(INDEX(Projects[Est Project Management],403)))</f>
        <v/>
      </c>
      <c r="CI404" s="5">
        <f>IF(A404="","",N(INDEX(Projects[Est Systems Eng],403)))</f>
        <v/>
      </c>
      <c r="CJ404" s="5">
        <f>IF(A404="","",N(INDEX(Projects[Est Mechanical Eng],403)))</f>
        <v/>
      </c>
      <c r="CK404" s="5">
        <f>IF(A404="","",N(INDEX(Projects[Est Structural Engineering],403)))</f>
        <v/>
      </c>
      <c r="CL404" s="5">
        <f>IF(A404="","",N(INDEX(Projects[Est Site Sup],403)))</f>
        <v/>
      </c>
      <c r="CM404" s="5">
        <f>IF(A404="","",N(INDEX(Projects[Est Controls Commissioning],403)))</f>
        <v/>
      </c>
      <c r="CN404" s="5">
        <f>IF(A404="","",N(INDEX(Projects[Est Systems Commissioning],403)))</f>
        <v/>
      </c>
      <c r="CO404" s="5">
        <f>IF(A404="","",N(INDEX(Projects[Est Service Commissioning],403)))</f>
        <v/>
      </c>
      <c r="CP404" s="5">
        <f>IF(A404="","",N(INDEX(Projects[Est Controls Eng],403)))</f>
        <v/>
      </c>
      <c r="CQ404" s="5">
        <f>IF(A404="","",N(INDEX(Projects[Est Controls Purchase],403)))</f>
        <v/>
      </c>
      <c r="CR404" s="5">
        <f>IF(A404="","",N(INDEX(Projects[Est Software Eng],403)))</f>
        <v/>
      </c>
      <c r="CS404" s="5">
        <f>IF(A404="","",N(INDEX(Projects[Est Misc],403)))</f>
        <v/>
      </c>
      <c r="CT404" s="5">
        <f>IF(A404="","",SUM(CF404:CS404))</f>
        <v/>
      </c>
      <c r="CU404" s="5">
        <f>INDEX(Projects[Est Cost (M)],403)</f>
        <v/>
      </c>
      <c r="CV404" s="5">
        <f>INDEX(Projects[Act Cost (M)],403)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IF(A405="","",N(INDEX(Projects[Act Mech Inst],404)))</f>
        <v/>
      </c>
      <c r="BK405" s="5">
        <f>IF(A405="","",N(INDEX(Projects[Act Elec Inst],404)))</f>
        <v/>
      </c>
      <c r="BL405" s="5">
        <f>IF(A405="","",N(INDEX(Projects[Act Project Management],404)))</f>
        <v/>
      </c>
      <c r="BM405" s="5">
        <f>IF(A405="","",N(INDEX(Projects[Act Systems Eng],404)))</f>
        <v/>
      </c>
      <c r="BN405" s="5">
        <f>IF(A405="","",N(INDEX(Projects[Act Mechanical Eng],404)))</f>
        <v/>
      </c>
      <c r="BO405" s="5">
        <f>IF(A405="","",N(INDEX(Projects[Act Structural Engineering],404)))</f>
        <v/>
      </c>
      <c r="BP405" s="5">
        <f>IF(A405="","",N(INDEX(Projects[Act Site Sup],404)))</f>
        <v/>
      </c>
      <c r="BQ405" s="5">
        <f>IF(A405="","",N(INDEX(Projects[Act Controls Commissioning],404)))</f>
        <v/>
      </c>
      <c r="BR405" s="5">
        <f>IF(A405="","",N(INDEX(Projects[Act Systems Commissioning],404)))</f>
        <v/>
      </c>
      <c r="BS405" s="5">
        <f>IF(A405="","",N(INDEX(Projects[Act Service Commissioning],404)))</f>
        <v/>
      </c>
      <c r="BT405" s="5">
        <f>IF(A405="","",N(INDEX(Projects[Act Controls Eng],404)))</f>
        <v/>
      </c>
      <c r="BU405" s="5">
        <f>IF(A405="","",N(INDEX(Projects[Act Controls Purchase],404)))</f>
        <v/>
      </c>
      <c r="BV405" s="5">
        <f>IF(A405="","",N(INDEX(Projects[Act Software Eng],404)))</f>
        <v/>
      </c>
      <c r="BW405" s="5">
        <f>IF(A405="","",N(INDEX(Projects[Act 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  <c r="CE405" s="5">
        <f>INDEX(Projects[Act Data Status],404)&amp;""</f>
        <v/>
      </c>
      <c r="CF405" s="5">
        <f>IF(A405="","",N(INDEX(Projects[Est Mech Inst],404)))</f>
        <v/>
      </c>
      <c r="CG405" s="5">
        <f>IF(A405="","",N(INDEX(Projects[Est Elec Inst],404)))</f>
        <v/>
      </c>
      <c r="CH405" s="5">
        <f>IF(A405="","",N(INDEX(Projects[Est Project Management],404)))</f>
        <v/>
      </c>
      <c r="CI405" s="5">
        <f>IF(A405="","",N(INDEX(Projects[Est Systems Eng],404)))</f>
        <v/>
      </c>
      <c r="CJ405" s="5">
        <f>IF(A405="","",N(INDEX(Projects[Est Mechanical Eng],404)))</f>
        <v/>
      </c>
      <c r="CK405" s="5">
        <f>IF(A405="","",N(INDEX(Projects[Est Structural Engineering],404)))</f>
        <v/>
      </c>
      <c r="CL405" s="5">
        <f>IF(A405="","",N(INDEX(Projects[Est Site Sup],404)))</f>
        <v/>
      </c>
      <c r="CM405" s="5">
        <f>IF(A405="","",N(INDEX(Projects[Est Controls Commissioning],404)))</f>
        <v/>
      </c>
      <c r="CN405" s="5">
        <f>IF(A405="","",N(INDEX(Projects[Est Systems Commissioning],404)))</f>
        <v/>
      </c>
      <c r="CO405" s="5">
        <f>IF(A405="","",N(INDEX(Projects[Est Service Commissioning],404)))</f>
        <v/>
      </c>
      <c r="CP405" s="5">
        <f>IF(A405="","",N(INDEX(Projects[Est Controls Eng],404)))</f>
        <v/>
      </c>
      <c r="CQ405" s="5">
        <f>IF(A405="","",N(INDEX(Projects[Est Controls Purchase],404)))</f>
        <v/>
      </c>
      <c r="CR405" s="5">
        <f>IF(A405="","",N(INDEX(Projects[Est Software Eng],404)))</f>
        <v/>
      </c>
      <c r="CS405" s="5">
        <f>IF(A405="","",N(INDEX(Projects[Est Misc],404)))</f>
        <v/>
      </c>
      <c r="CT405" s="5">
        <f>IF(A405="","",SUM(CF405:CS405))</f>
        <v/>
      </c>
      <c r="CU405" s="5">
        <f>INDEX(Projects[Est Cost (M)],404)</f>
        <v/>
      </c>
      <c r="CV405" s="5">
        <f>INDEX(Projects[Act Cost (M)],404)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IF(A406="","",N(INDEX(Projects[Act Mech Inst],405)))</f>
        <v/>
      </c>
      <c r="BK406" s="5">
        <f>IF(A406="","",N(INDEX(Projects[Act Elec Inst],405)))</f>
        <v/>
      </c>
      <c r="BL406" s="5">
        <f>IF(A406="","",N(INDEX(Projects[Act Project Management],405)))</f>
        <v/>
      </c>
      <c r="BM406" s="5">
        <f>IF(A406="","",N(INDEX(Projects[Act Systems Eng],405)))</f>
        <v/>
      </c>
      <c r="BN406" s="5">
        <f>IF(A406="","",N(INDEX(Projects[Act Mechanical Eng],405)))</f>
        <v/>
      </c>
      <c r="BO406" s="5">
        <f>IF(A406="","",N(INDEX(Projects[Act Structural Engineering],405)))</f>
        <v/>
      </c>
      <c r="BP406" s="5">
        <f>IF(A406="","",N(INDEX(Projects[Act Site Sup],405)))</f>
        <v/>
      </c>
      <c r="BQ406" s="5">
        <f>IF(A406="","",N(INDEX(Projects[Act Controls Commissioning],405)))</f>
        <v/>
      </c>
      <c r="BR406" s="5">
        <f>IF(A406="","",N(INDEX(Projects[Act Systems Commissioning],405)))</f>
        <v/>
      </c>
      <c r="BS406" s="5">
        <f>IF(A406="","",N(INDEX(Projects[Act Service Commissioning],405)))</f>
        <v/>
      </c>
      <c r="BT406" s="5">
        <f>IF(A406="","",N(INDEX(Projects[Act Controls Eng],405)))</f>
        <v/>
      </c>
      <c r="BU406" s="5">
        <f>IF(A406="","",N(INDEX(Projects[Act Controls Purchase],405)))</f>
        <v/>
      </c>
      <c r="BV406" s="5">
        <f>IF(A406="","",N(INDEX(Projects[Act Software Eng],405)))</f>
        <v/>
      </c>
      <c r="BW406" s="5">
        <f>IF(A406="","",N(INDEX(Projects[Act 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  <c r="CE406" s="5">
        <f>INDEX(Projects[Act Data Status],405)&amp;""</f>
        <v/>
      </c>
      <c r="CF406" s="5">
        <f>IF(A406="","",N(INDEX(Projects[Est Mech Inst],405)))</f>
        <v/>
      </c>
      <c r="CG406" s="5">
        <f>IF(A406="","",N(INDEX(Projects[Est Elec Inst],405)))</f>
        <v/>
      </c>
      <c r="CH406" s="5">
        <f>IF(A406="","",N(INDEX(Projects[Est Project Management],405)))</f>
        <v/>
      </c>
      <c r="CI406" s="5">
        <f>IF(A406="","",N(INDEX(Projects[Est Systems Eng],405)))</f>
        <v/>
      </c>
      <c r="CJ406" s="5">
        <f>IF(A406="","",N(INDEX(Projects[Est Mechanical Eng],405)))</f>
        <v/>
      </c>
      <c r="CK406" s="5">
        <f>IF(A406="","",N(INDEX(Projects[Est Structural Engineering],405)))</f>
        <v/>
      </c>
      <c r="CL406" s="5">
        <f>IF(A406="","",N(INDEX(Projects[Est Site Sup],405)))</f>
        <v/>
      </c>
      <c r="CM406" s="5">
        <f>IF(A406="","",N(INDEX(Projects[Est Controls Commissioning],405)))</f>
        <v/>
      </c>
      <c r="CN406" s="5">
        <f>IF(A406="","",N(INDEX(Projects[Est Systems Commissioning],405)))</f>
        <v/>
      </c>
      <c r="CO406" s="5">
        <f>IF(A406="","",N(INDEX(Projects[Est Service Commissioning],405)))</f>
        <v/>
      </c>
      <c r="CP406" s="5">
        <f>IF(A406="","",N(INDEX(Projects[Est Controls Eng],405)))</f>
        <v/>
      </c>
      <c r="CQ406" s="5">
        <f>IF(A406="","",N(INDEX(Projects[Est Controls Purchase],405)))</f>
        <v/>
      </c>
      <c r="CR406" s="5">
        <f>IF(A406="","",N(INDEX(Projects[Est Software Eng],405)))</f>
        <v/>
      </c>
      <c r="CS406" s="5">
        <f>IF(A406="","",N(INDEX(Projects[Est Misc],405)))</f>
        <v/>
      </c>
      <c r="CT406" s="5">
        <f>IF(A406="","",SUM(CF406:CS406))</f>
        <v/>
      </c>
      <c r="CU406" s="5">
        <f>INDEX(Projects[Est Cost (M)],405)</f>
        <v/>
      </c>
      <c r="CV406" s="5">
        <f>INDEX(Projects[Act Cost (M)],405)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IF(A407="","",N(INDEX(Projects[Act Mech Inst],406)))</f>
        <v/>
      </c>
      <c r="BK407" s="5">
        <f>IF(A407="","",N(INDEX(Projects[Act Elec Inst],406)))</f>
        <v/>
      </c>
      <c r="BL407" s="5">
        <f>IF(A407="","",N(INDEX(Projects[Act Project Management],406)))</f>
        <v/>
      </c>
      <c r="BM407" s="5">
        <f>IF(A407="","",N(INDEX(Projects[Act Systems Eng],406)))</f>
        <v/>
      </c>
      <c r="BN407" s="5">
        <f>IF(A407="","",N(INDEX(Projects[Act Mechanical Eng],406)))</f>
        <v/>
      </c>
      <c r="BO407" s="5">
        <f>IF(A407="","",N(INDEX(Projects[Act Structural Engineering],406)))</f>
        <v/>
      </c>
      <c r="BP407" s="5">
        <f>IF(A407="","",N(INDEX(Projects[Act Site Sup],406)))</f>
        <v/>
      </c>
      <c r="BQ407" s="5">
        <f>IF(A407="","",N(INDEX(Projects[Act Controls Commissioning],406)))</f>
        <v/>
      </c>
      <c r="BR407" s="5">
        <f>IF(A407="","",N(INDEX(Projects[Act Systems Commissioning],406)))</f>
        <v/>
      </c>
      <c r="BS407" s="5">
        <f>IF(A407="","",N(INDEX(Projects[Act Service Commissioning],406)))</f>
        <v/>
      </c>
      <c r="BT407" s="5">
        <f>IF(A407="","",N(INDEX(Projects[Act Controls Eng],406)))</f>
        <v/>
      </c>
      <c r="BU407" s="5">
        <f>IF(A407="","",N(INDEX(Projects[Act Controls Purchase],406)))</f>
        <v/>
      </c>
      <c r="BV407" s="5">
        <f>IF(A407="","",N(INDEX(Projects[Act Software Eng],406)))</f>
        <v/>
      </c>
      <c r="BW407" s="5">
        <f>IF(A407="","",N(INDEX(Projects[Act 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  <c r="CE407" s="5">
        <f>INDEX(Projects[Act Data Status],406)&amp;""</f>
        <v/>
      </c>
      <c r="CF407" s="5">
        <f>IF(A407="","",N(INDEX(Projects[Est Mech Inst],406)))</f>
        <v/>
      </c>
      <c r="CG407" s="5">
        <f>IF(A407="","",N(INDEX(Projects[Est Elec Inst],406)))</f>
        <v/>
      </c>
      <c r="CH407" s="5">
        <f>IF(A407="","",N(INDEX(Projects[Est Project Management],406)))</f>
        <v/>
      </c>
      <c r="CI407" s="5">
        <f>IF(A407="","",N(INDEX(Projects[Est Systems Eng],406)))</f>
        <v/>
      </c>
      <c r="CJ407" s="5">
        <f>IF(A407="","",N(INDEX(Projects[Est Mechanical Eng],406)))</f>
        <v/>
      </c>
      <c r="CK407" s="5">
        <f>IF(A407="","",N(INDEX(Projects[Est Structural Engineering],406)))</f>
        <v/>
      </c>
      <c r="CL407" s="5">
        <f>IF(A407="","",N(INDEX(Projects[Est Site Sup],406)))</f>
        <v/>
      </c>
      <c r="CM407" s="5">
        <f>IF(A407="","",N(INDEX(Projects[Est Controls Commissioning],406)))</f>
        <v/>
      </c>
      <c r="CN407" s="5">
        <f>IF(A407="","",N(INDEX(Projects[Est Systems Commissioning],406)))</f>
        <v/>
      </c>
      <c r="CO407" s="5">
        <f>IF(A407="","",N(INDEX(Projects[Est Service Commissioning],406)))</f>
        <v/>
      </c>
      <c r="CP407" s="5">
        <f>IF(A407="","",N(INDEX(Projects[Est Controls Eng],406)))</f>
        <v/>
      </c>
      <c r="CQ407" s="5">
        <f>IF(A407="","",N(INDEX(Projects[Est Controls Purchase],406)))</f>
        <v/>
      </c>
      <c r="CR407" s="5">
        <f>IF(A407="","",N(INDEX(Projects[Est Software Eng],406)))</f>
        <v/>
      </c>
      <c r="CS407" s="5">
        <f>IF(A407="","",N(INDEX(Projects[Est Misc],406)))</f>
        <v/>
      </c>
      <c r="CT407" s="5">
        <f>IF(A407="","",SUM(CF407:CS407))</f>
        <v/>
      </c>
      <c r="CU407" s="5">
        <f>INDEX(Projects[Est Cost (M)],406)</f>
        <v/>
      </c>
      <c r="CV407" s="5">
        <f>INDEX(Projects[Act Cost (M)],406)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IF(A408="","",N(INDEX(Projects[Act Mech Inst],407)))</f>
        <v/>
      </c>
      <c r="BK408" s="5">
        <f>IF(A408="","",N(INDEX(Projects[Act Elec Inst],407)))</f>
        <v/>
      </c>
      <c r="BL408" s="5">
        <f>IF(A408="","",N(INDEX(Projects[Act Project Management],407)))</f>
        <v/>
      </c>
      <c r="BM408" s="5">
        <f>IF(A408="","",N(INDEX(Projects[Act Systems Eng],407)))</f>
        <v/>
      </c>
      <c r="BN408" s="5">
        <f>IF(A408="","",N(INDEX(Projects[Act Mechanical Eng],407)))</f>
        <v/>
      </c>
      <c r="BO408" s="5">
        <f>IF(A408="","",N(INDEX(Projects[Act Structural Engineering],407)))</f>
        <v/>
      </c>
      <c r="BP408" s="5">
        <f>IF(A408="","",N(INDEX(Projects[Act Site Sup],407)))</f>
        <v/>
      </c>
      <c r="BQ408" s="5">
        <f>IF(A408="","",N(INDEX(Projects[Act Controls Commissioning],407)))</f>
        <v/>
      </c>
      <c r="BR408" s="5">
        <f>IF(A408="","",N(INDEX(Projects[Act Systems Commissioning],407)))</f>
        <v/>
      </c>
      <c r="BS408" s="5">
        <f>IF(A408="","",N(INDEX(Projects[Act Service Commissioning],407)))</f>
        <v/>
      </c>
      <c r="BT408" s="5">
        <f>IF(A408="","",N(INDEX(Projects[Act Controls Eng],407)))</f>
        <v/>
      </c>
      <c r="BU408" s="5">
        <f>IF(A408="","",N(INDEX(Projects[Act Controls Purchase],407)))</f>
        <v/>
      </c>
      <c r="BV408" s="5">
        <f>IF(A408="","",N(INDEX(Projects[Act Software Eng],407)))</f>
        <v/>
      </c>
      <c r="BW408" s="5">
        <f>IF(A408="","",N(INDEX(Projects[Act 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  <c r="CE408" s="5">
        <f>INDEX(Projects[Act Data Status],407)&amp;""</f>
        <v/>
      </c>
      <c r="CF408" s="5">
        <f>IF(A408="","",N(INDEX(Projects[Est Mech Inst],407)))</f>
        <v/>
      </c>
      <c r="CG408" s="5">
        <f>IF(A408="","",N(INDEX(Projects[Est Elec Inst],407)))</f>
        <v/>
      </c>
      <c r="CH408" s="5">
        <f>IF(A408="","",N(INDEX(Projects[Est Project Management],407)))</f>
        <v/>
      </c>
      <c r="CI408" s="5">
        <f>IF(A408="","",N(INDEX(Projects[Est Systems Eng],407)))</f>
        <v/>
      </c>
      <c r="CJ408" s="5">
        <f>IF(A408="","",N(INDEX(Projects[Est Mechanical Eng],407)))</f>
        <v/>
      </c>
      <c r="CK408" s="5">
        <f>IF(A408="","",N(INDEX(Projects[Est Structural Engineering],407)))</f>
        <v/>
      </c>
      <c r="CL408" s="5">
        <f>IF(A408="","",N(INDEX(Projects[Est Site Sup],407)))</f>
        <v/>
      </c>
      <c r="CM408" s="5">
        <f>IF(A408="","",N(INDEX(Projects[Est Controls Commissioning],407)))</f>
        <v/>
      </c>
      <c r="CN408" s="5">
        <f>IF(A408="","",N(INDEX(Projects[Est Systems Commissioning],407)))</f>
        <v/>
      </c>
      <c r="CO408" s="5">
        <f>IF(A408="","",N(INDEX(Projects[Est Service Commissioning],407)))</f>
        <v/>
      </c>
      <c r="CP408" s="5">
        <f>IF(A408="","",N(INDEX(Projects[Est Controls Eng],407)))</f>
        <v/>
      </c>
      <c r="CQ408" s="5">
        <f>IF(A408="","",N(INDEX(Projects[Est Controls Purchase],407)))</f>
        <v/>
      </c>
      <c r="CR408" s="5">
        <f>IF(A408="","",N(INDEX(Projects[Est Software Eng],407)))</f>
        <v/>
      </c>
      <c r="CS408" s="5">
        <f>IF(A408="","",N(INDEX(Projects[Est Misc],407)))</f>
        <v/>
      </c>
      <c r="CT408" s="5">
        <f>IF(A408="","",SUM(CF408:CS408))</f>
        <v/>
      </c>
      <c r="CU408" s="5">
        <f>INDEX(Projects[Est Cost (M)],407)</f>
        <v/>
      </c>
      <c r="CV408" s="5">
        <f>INDEX(Projects[Act Cost (M)],407)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IF(A409="","",N(INDEX(Projects[Act Mech Inst],408)))</f>
        <v/>
      </c>
      <c r="BK409" s="5">
        <f>IF(A409="","",N(INDEX(Projects[Act Elec Inst],408)))</f>
        <v/>
      </c>
      <c r="BL409" s="5">
        <f>IF(A409="","",N(INDEX(Projects[Act Project Management],408)))</f>
        <v/>
      </c>
      <c r="BM409" s="5">
        <f>IF(A409="","",N(INDEX(Projects[Act Systems Eng],408)))</f>
        <v/>
      </c>
      <c r="BN409" s="5">
        <f>IF(A409="","",N(INDEX(Projects[Act Mechanical Eng],408)))</f>
        <v/>
      </c>
      <c r="BO409" s="5">
        <f>IF(A409="","",N(INDEX(Projects[Act Structural Engineering],408)))</f>
        <v/>
      </c>
      <c r="BP409" s="5">
        <f>IF(A409="","",N(INDEX(Projects[Act Site Sup],408)))</f>
        <v/>
      </c>
      <c r="BQ409" s="5">
        <f>IF(A409="","",N(INDEX(Projects[Act Controls Commissioning],408)))</f>
        <v/>
      </c>
      <c r="BR409" s="5">
        <f>IF(A409="","",N(INDEX(Projects[Act Systems Commissioning],408)))</f>
        <v/>
      </c>
      <c r="BS409" s="5">
        <f>IF(A409="","",N(INDEX(Projects[Act Service Commissioning],408)))</f>
        <v/>
      </c>
      <c r="BT409" s="5">
        <f>IF(A409="","",N(INDEX(Projects[Act Controls Eng],408)))</f>
        <v/>
      </c>
      <c r="BU409" s="5">
        <f>IF(A409="","",N(INDEX(Projects[Act Controls Purchase],408)))</f>
        <v/>
      </c>
      <c r="BV409" s="5">
        <f>IF(A409="","",N(INDEX(Projects[Act Software Eng],408)))</f>
        <v/>
      </c>
      <c r="BW409" s="5">
        <f>IF(A409="","",N(INDEX(Projects[Act 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  <c r="CE409" s="5">
        <f>INDEX(Projects[Act Data Status],408)&amp;""</f>
        <v/>
      </c>
      <c r="CF409" s="5">
        <f>IF(A409="","",N(INDEX(Projects[Est Mech Inst],408)))</f>
        <v/>
      </c>
      <c r="CG409" s="5">
        <f>IF(A409="","",N(INDEX(Projects[Est Elec Inst],408)))</f>
        <v/>
      </c>
      <c r="CH409" s="5">
        <f>IF(A409="","",N(INDEX(Projects[Est Project Management],408)))</f>
        <v/>
      </c>
      <c r="CI409" s="5">
        <f>IF(A409="","",N(INDEX(Projects[Est Systems Eng],408)))</f>
        <v/>
      </c>
      <c r="CJ409" s="5">
        <f>IF(A409="","",N(INDEX(Projects[Est Mechanical Eng],408)))</f>
        <v/>
      </c>
      <c r="CK409" s="5">
        <f>IF(A409="","",N(INDEX(Projects[Est Structural Engineering],408)))</f>
        <v/>
      </c>
      <c r="CL409" s="5">
        <f>IF(A409="","",N(INDEX(Projects[Est Site Sup],408)))</f>
        <v/>
      </c>
      <c r="CM409" s="5">
        <f>IF(A409="","",N(INDEX(Projects[Est Controls Commissioning],408)))</f>
        <v/>
      </c>
      <c r="CN409" s="5">
        <f>IF(A409="","",N(INDEX(Projects[Est Systems Commissioning],408)))</f>
        <v/>
      </c>
      <c r="CO409" s="5">
        <f>IF(A409="","",N(INDEX(Projects[Est Service Commissioning],408)))</f>
        <v/>
      </c>
      <c r="CP409" s="5">
        <f>IF(A409="","",N(INDEX(Projects[Est Controls Eng],408)))</f>
        <v/>
      </c>
      <c r="CQ409" s="5">
        <f>IF(A409="","",N(INDEX(Projects[Est Controls Purchase],408)))</f>
        <v/>
      </c>
      <c r="CR409" s="5">
        <f>IF(A409="","",N(INDEX(Projects[Est Software Eng],408)))</f>
        <v/>
      </c>
      <c r="CS409" s="5">
        <f>IF(A409="","",N(INDEX(Projects[Est Misc],408)))</f>
        <v/>
      </c>
      <c r="CT409" s="5">
        <f>IF(A409="","",SUM(CF409:CS409))</f>
        <v/>
      </c>
      <c r="CU409" s="5">
        <f>INDEX(Projects[Est Cost (M)],408)</f>
        <v/>
      </c>
      <c r="CV409" s="5">
        <f>INDEX(Projects[Act Cost (M)],408)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IF(A410="","",N(INDEX(Projects[Act Mech Inst],409)))</f>
        <v/>
      </c>
      <c r="BK410" s="5">
        <f>IF(A410="","",N(INDEX(Projects[Act Elec Inst],409)))</f>
        <v/>
      </c>
      <c r="BL410" s="5">
        <f>IF(A410="","",N(INDEX(Projects[Act Project Management],409)))</f>
        <v/>
      </c>
      <c r="BM410" s="5">
        <f>IF(A410="","",N(INDEX(Projects[Act Systems Eng],409)))</f>
        <v/>
      </c>
      <c r="BN410" s="5">
        <f>IF(A410="","",N(INDEX(Projects[Act Mechanical Eng],409)))</f>
        <v/>
      </c>
      <c r="BO410" s="5">
        <f>IF(A410="","",N(INDEX(Projects[Act Structural Engineering],409)))</f>
        <v/>
      </c>
      <c r="BP410" s="5">
        <f>IF(A410="","",N(INDEX(Projects[Act Site Sup],409)))</f>
        <v/>
      </c>
      <c r="BQ410" s="5">
        <f>IF(A410="","",N(INDEX(Projects[Act Controls Commissioning],409)))</f>
        <v/>
      </c>
      <c r="BR410" s="5">
        <f>IF(A410="","",N(INDEX(Projects[Act Systems Commissioning],409)))</f>
        <v/>
      </c>
      <c r="BS410" s="5">
        <f>IF(A410="","",N(INDEX(Projects[Act Service Commissioning],409)))</f>
        <v/>
      </c>
      <c r="BT410" s="5">
        <f>IF(A410="","",N(INDEX(Projects[Act Controls Eng],409)))</f>
        <v/>
      </c>
      <c r="BU410" s="5">
        <f>IF(A410="","",N(INDEX(Projects[Act Controls Purchase],409)))</f>
        <v/>
      </c>
      <c r="BV410" s="5">
        <f>IF(A410="","",N(INDEX(Projects[Act Software Eng],409)))</f>
        <v/>
      </c>
      <c r="BW410" s="5">
        <f>IF(A410="","",N(INDEX(Projects[Act 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  <c r="CE410" s="5">
        <f>INDEX(Projects[Act Data Status],409)&amp;""</f>
        <v/>
      </c>
      <c r="CF410" s="5">
        <f>IF(A410="","",N(INDEX(Projects[Est Mech Inst],409)))</f>
        <v/>
      </c>
      <c r="CG410" s="5">
        <f>IF(A410="","",N(INDEX(Projects[Est Elec Inst],409)))</f>
        <v/>
      </c>
      <c r="CH410" s="5">
        <f>IF(A410="","",N(INDEX(Projects[Est Project Management],409)))</f>
        <v/>
      </c>
      <c r="CI410" s="5">
        <f>IF(A410="","",N(INDEX(Projects[Est Systems Eng],409)))</f>
        <v/>
      </c>
      <c r="CJ410" s="5">
        <f>IF(A410="","",N(INDEX(Projects[Est Mechanical Eng],409)))</f>
        <v/>
      </c>
      <c r="CK410" s="5">
        <f>IF(A410="","",N(INDEX(Projects[Est Structural Engineering],409)))</f>
        <v/>
      </c>
      <c r="CL410" s="5">
        <f>IF(A410="","",N(INDEX(Projects[Est Site Sup],409)))</f>
        <v/>
      </c>
      <c r="CM410" s="5">
        <f>IF(A410="","",N(INDEX(Projects[Est Controls Commissioning],409)))</f>
        <v/>
      </c>
      <c r="CN410" s="5">
        <f>IF(A410="","",N(INDEX(Projects[Est Systems Commissioning],409)))</f>
        <v/>
      </c>
      <c r="CO410" s="5">
        <f>IF(A410="","",N(INDEX(Projects[Est Service Commissioning],409)))</f>
        <v/>
      </c>
      <c r="CP410" s="5">
        <f>IF(A410="","",N(INDEX(Projects[Est Controls Eng],409)))</f>
        <v/>
      </c>
      <c r="CQ410" s="5">
        <f>IF(A410="","",N(INDEX(Projects[Est Controls Purchase],409)))</f>
        <v/>
      </c>
      <c r="CR410" s="5">
        <f>IF(A410="","",N(INDEX(Projects[Est Software Eng],409)))</f>
        <v/>
      </c>
      <c r="CS410" s="5">
        <f>IF(A410="","",N(INDEX(Projects[Est Misc],409)))</f>
        <v/>
      </c>
      <c r="CT410" s="5">
        <f>IF(A410="","",SUM(CF410:CS410))</f>
        <v/>
      </c>
      <c r="CU410" s="5">
        <f>INDEX(Projects[Est Cost (M)],409)</f>
        <v/>
      </c>
      <c r="CV410" s="5">
        <f>INDEX(Projects[Act Cost (M)],409)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IF(A411="","",N(INDEX(Projects[Act Mech Inst],410)))</f>
        <v/>
      </c>
      <c r="BK411" s="5">
        <f>IF(A411="","",N(INDEX(Projects[Act Elec Inst],410)))</f>
        <v/>
      </c>
      <c r="BL411" s="5">
        <f>IF(A411="","",N(INDEX(Projects[Act Project Management],410)))</f>
        <v/>
      </c>
      <c r="BM411" s="5">
        <f>IF(A411="","",N(INDEX(Projects[Act Systems Eng],410)))</f>
        <v/>
      </c>
      <c r="BN411" s="5">
        <f>IF(A411="","",N(INDEX(Projects[Act Mechanical Eng],410)))</f>
        <v/>
      </c>
      <c r="BO411" s="5">
        <f>IF(A411="","",N(INDEX(Projects[Act Structural Engineering],410)))</f>
        <v/>
      </c>
      <c r="BP411" s="5">
        <f>IF(A411="","",N(INDEX(Projects[Act Site Sup],410)))</f>
        <v/>
      </c>
      <c r="BQ411" s="5">
        <f>IF(A411="","",N(INDEX(Projects[Act Controls Commissioning],410)))</f>
        <v/>
      </c>
      <c r="BR411" s="5">
        <f>IF(A411="","",N(INDEX(Projects[Act Systems Commissioning],410)))</f>
        <v/>
      </c>
      <c r="BS411" s="5">
        <f>IF(A411="","",N(INDEX(Projects[Act Service Commissioning],410)))</f>
        <v/>
      </c>
      <c r="BT411" s="5">
        <f>IF(A411="","",N(INDEX(Projects[Act Controls Eng],410)))</f>
        <v/>
      </c>
      <c r="BU411" s="5">
        <f>IF(A411="","",N(INDEX(Projects[Act Controls Purchase],410)))</f>
        <v/>
      </c>
      <c r="BV411" s="5">
        <f>IF(A411="","",N(INDEX(Projects[Act Software Eng],410)))</f>
        <v/>
      </c>
      <c r="BW411" s="5">
        <f>IF(A411="","",N(INDEX(Projects[Act 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  <c r="CE411" s="5">
        <f>INDEX(Projects[Act Data Status],410)&amp;""</f>
        <v/>
      </c>
      <c r="CF411" s="5">
        <f>IF(A411="","",N(INDEX(Projects[Est Mech Inst],410)))</f>
        <v/>
      </c>
      <c r="CG411" s="5">
        <f>IF(A411="","",N(INDEX(Projects[Est Elec Inst],410)))</f>
        <v/>
      </c>
      <c r="CH411" s="5">
        <f>IF(A411="","",N(INDEX(Projects[Est Project Management],410)))</f>
        <v/>
      </c>
      <c r="CI411" s="5">
        <f>IF(A411="","",N(INDEX(Projects[Est Systems Eng],410)))</f>
        <v/>
      </c>
      <c r="CJ411" s="5">
        <f>IF(A411="","",N(INDEX(Projects[Est Mechanical Eng],410)))</f>
        <v/>
      </c>
      <c r="CK411" s="5">
        <f>IF(A411="","",N(INDEX(Projects[Est Structural Engineering],410)))</f>
        <v/>
      </c>
      <c r="CL411" s="5">
        <f>IF(A411="","",N(INDEX(Projects[Est Site Sup],410)))</f>
        <v/>
      </c>
      <c r="CM411" s="5">
        <f>IF(A411="","",N(INDEX(Projects[Est Controls Commissioning],410)))</f>
        <v/>
      </c>
      <c r="CN411" s="5">
        <f>IF(A411="","",N(INDEX(Projects[Est Systems Commissioning],410)))</f>
        <v/>
      </c>
      <c r="CO411" s="5">
        <f>IF(A411="","",N(INDEX(Projects[Est Service Commissioning],410)))</f>
        <v/>
      </c>
      <c r="CP411" s="5">
        <f>IF(A411="","",N(INDEX(Projects[Est Controls Eng],410)))</f>
        <v/>
      </c>
      <c r="CQ411" s="5">
        <f>IF(A411="","",N(INDEX(Projects[Est Controls Purchase],410)))</f>
        <v/>
      </c>
      <c r="CR411" s="5">
        <f>IF(A411="","",N(INDEX(Projects[Est Software Eng],410)))</f>
        <v/>
      </c>
      <c r="CS411" s="5">
        <f>IF(A411="","",N(INDEX(Projects[Est Misc],410)))</f>
        <v/>
      </c>
      <c r="CT411" s="5">
        <f>IF(A411="","",SUM(CF411:CS411))</f>
        <v/>
      </c>
      <c r="CU411" s="5">
        <f>INDEX(Projects[Est Cost (M)],410)</f>
        <v/>
      </c>
      <c r="CV411" s="5">
        <f>INDEX(Projects[Act Cost (M)],410)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IF(A412="","",N(INDEX(Projects[Act Mech Inst],411)))</f>
        <v/>
      </c>
      <c r="BK412" s="5">
        <f>IF(A412="","",N(INDEX(Projects[Act Elec Inst],411)))</f>
        <v/>
      </c>
      <c r="BL412" s="5">
        <f>IF(A412="","",N(INDEX(Projects[Act Project Management],411)))</f>
        <v/>
      </c>
      <c r="BM412" s="5">
        <f>IF(A412="","",N(INDEX(Projects[Act Systems Eng],411)))</f>
        <v/>
      </c>
      <c r="BN412" s="5">
        <f>IF(A412="","",N(INDEX(Projects[Act Mechanical Eng],411)))</f>
        <v/>
      </c>
      <c r="BO412" s="5">
        <f>IF(A412="","",N(INDEX(Projects[Act Structural Engineering],411)))</f>
        <v/>
      </c>
      <c r="BP412" s="5">
        <f>IF(A412="","",N(INDEX(Projects[Act Site Sup],411)))</f>
        <v/>
      </c>
      <c r="BQ412" s="5">
        <f>IF(A412="","",N(INDEX(Projects[Act Controls Commissioning],411)))</f>
        <v/>
      </c>
      <c r="BR412" s="5">
        <f>IF(A412="","",N(INDEX(Projects[Act Systems Commissioning],411)))</f>
        <v/>
      </c>
      <c r="BS412" s="5">
        <f>IF(A412="","",N(INDEX(Projects[Act Service Commissioning],411)))</f>
        <v/>
      </c>
      <c r="BT412" s="5">
        <f>IF(A412="","",N(INDEX(Projects[Act Controls Eng],411)))</f>
        <v/>
      </c>
      <c r="BU412" s="5">
        <f>IF(A412="","",N(INDEX(Projects[Act Controls Purchase],411)))</f>
        <v/>
      </c>
      <c r="BV412" s="5">
        <f>IF(A412="","",N(INDEX(Projects[Act Software Eng],411)))</f>
        <v/>
      </c>
      <c r="BW412" s="5">
        <f>IF(A412="","",N(INDEX(Projects[Act 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  <c r="CE412" s="5">
        <f>INDEX(Projects[Act Data Status],411)&amp;""</f>
        <v/>
      </c>
      <c r="CF412" s="5">
        <f>IF(A412="","",N(INDEX(Projects[Est Mech Inst],411)))</f>
        <v/>
      </c>
      <c r="CG412" s="5">
        <f>IF(A412="","",N(INDEX(Projects[Est Elec Inst],411)))</f>
        <v/>
      </c>
      <c r="CH412" s="5">
        <f>IF(A412="","",N(INDEX(Projects[Est Project Management],411)))</f>
        <v/>
      </c>
      <c r="CI412" s="5">
        <f>IF(A412="","",N(INDEX(Projects[Est Systems Eng],411)))</f>
        <v/>
      </c>
      <c r="CJ412" s="5">
        <f>IF(A412="","",N(INDEX(Projects[Est Mechanical Eng],411)))</f>
        <v/>
      </c>
      <c r="CK412" s="5">
        <f>IF(A412="","",N(INDEX(Projects[Est Structural Engineering],411)))</f>
        <v/>
      </c>
      <c r="CL412" s="5">
        <f>IF(A412="","",N(INDEX(Projects[Est Site Sup],411)))</f>
        <v/>
      </c>
      <c r="CM412" s="5">
        <f>IF(A412="","",N(INDEX(Projects[Est Controls Commissioning],411)))</f>
        <v/>
      </c>
      <c r="CN412" s="5">
        <f>IF(A412="","",N(INDEX(Projects[Est Systems Commissioning],411)))</f>
        <v/>
      </c>
      <c r="CO412" s="5">
        <f>IF(A412="","",N(INDEX(Projects[Est Service Commissioning],411)))</f>
        <v/>
      </c>
      <c r="CP412" s="5">
        <f>IF(A412="","",N(INDEX(Projects[Est Controls Eng],411)))</f>
        <v/>
      </c>
      <c r="CQ412" s="5">
        <f>IF(A412="","",N(INDEX(Projects[Est Controls Purchase],411)))</f>
        <v/>
      </c>
      <c r="CR412" s="5">
        <f>IF(A412="","",N(INDEX(Projects[Est Software Eng],411)))</f>
        <v/>
      </c>
      <c r="CS412" s="5">
        <f>IF(A412="","",N(INDEX(Projects[Est Misc],411)))</f>
        <v/>
      </c>
      <c r="CT412" s="5">
        <f>IF(A412="","",SUM(CF412:CS412))</f>
        <v/>
      </c>
      <c r="CU412" s="5">
        <f>INDEX(Projects[Est Cost (M)],411)</f>
        <v/>
      </c>
      <c r="CV412" s="5">
        <f>INDEX(Projects[Act Cost (M)],411)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IF(A413="","",N(INDEX(Projects[Act Mech Inst],412)))</f>
        <v/>
      </c>
      <c r="BK413" s="5">
        <f>IF(A413="","",N(INDEX(Projects[Act Elec Inst],412)))</f>
        <v/>
      </c>
      <c r="BL413" s="5">
        <f>IF(A413="","",N(INDEX(Projects[Act Project Management],412)))</f>
        <v/>
      </c>
      <c r="BM413" s="5">
        <f>IF(A413="","",N(INDEX(Projects[Act Systems Eng],412)))</f>
        <v/>
      </c>
      <c r="BN413" s="5">
        <f>IF(A413="","",N(INDEX(Projects[Act Mechanical Eng],412)))</f>
        <v/>
      </c>
      <c r="BO413" s="5">
        <f>IF(A413="","",N(INDEX(Projects[Act Structural Engineering],412)))</f>
        <v/>
      </c>
      <c r="BP413" s="5">
        <f>IF(A413="","",N(INDEX(Projects[Act Site Sup],412)))</f>
        <v/>
      </c>
      <c r="BQ413" s="5">
        <f>IF(A413="","",N(INDEX(Projects[Act Controls Commissioning],412)))</f>
        <v/>
      </c>
      <c r="BR413" s="5">
        <f>IF(A413="","",N(INDEX(Projects[Act Systems Commissioning],412)))</f>
        <v/>
      </c>
      <c r="BS413" s="5">
        <f>IF(A413="","",N(INDEX(Projects[Act Service Commissioning],412)))</f>
        <v/>
      </c>
      <c r="BT413" s="5">
        <f>IF(A413="","",N(INDEX(Projects[Act Controls Eng],412)))</f>
        <v/>
      </c>
      <c r="BU413" s="5">
        <f>IF(A413="","",N(INDEX(Projects[Act Controls Purchase],412)))</f>
        <v/>
      </c>
      <c r="BV413" s="5">
        <f>IF(A413="","",N(INDEX(Projects[Act Software Eng],412)))</f>
        <v/>
      </c>
      <c r="BW413" s="5">
        <f>IF(A413="","",N(INDEX(Projects[Act 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  <c r="CE413" s="5">
        <f>INDEX(Projects[Act Data Status],412)&amp;""</f>
        <v/>
      </c>
      <c r="CF413" s="5">
        <f>IF(A413="","",N(INDEX(Projects[Est Mech Inst],412)))</f>
        <v/>
      </c>
      <c r="CG413" s="5">
        <f>IF(A413="","",N(INDEX(Projects[Est Elec Inst],412)))</f>
        <v/>
      </c>
      <c r="CH413" s="5">
        <f>IF(A413="","",N(INDEX(Projects[Est Project Management],412)))</f>
        <v/>
      </c>
      <c r="CI413" s="5">
        <f>IF(A413="","",N(INDEX(Projects[Est Systems Eng],412)))</f>
        <v/>
      </c>
      <c r="CJ413" s="5">
        <f>IF(A413="","",N(INDEX(Projects[Est Mechanical Eng],412)))</f>
        <v/>
      </c>
      <c r="CK413" s="5">
        <f>IF(A413="","",N(INDEX(Projects[Est Structural Engineering],412)))</f>
        <v/>
      </c>
      <c r="CL413" s="5">
        <f>IF(A413="","",N(INDEX(Projects[Est Site Sup],412)))</f>
        <v/>
      </c>
      <c r="CM413" s="5">
        <f>IF(A413="","",N(INDEX(Projects[Est Controls Commissioning],412)))</f>
        <v/>
      </c>
      <c r="CN413" s="5">
        <f>IF(A413="","",N(INDEX(Projects[Est Systems Commissioning],412)))</f>
        <v/>
      </c>
      <c r="CO413" s="5">
        <f>IF(A413="","",N(INDEX(Projects[Est Service Commissioning],412)))</f>
        <v/>
      </c>
      <c r="CP413" s="5">
        <f>IF(A413="","",N(INDEX(Projects[Est Controls Eng],412)))</f>
        <v/>
      </c>
      <c r="CQ413" s="5">
        <f>IF(A413="","",N(INDEX(Projects[Est Controls Purchase],412)))</f>
        <v/>
      </c>
      <c r="CR413" s="5">
        <f>IF(A413="","",N(INDEX(Projects[Est Software Eng],412)))</f>
        <v/>
      </c>
      <c r="CS413" s="5">
        <f>IF(A413="","",N(INDEX(Projects[Est Misc],412)))</f>
        <v/>
      </c>
      <c r="CT413" s="5">
        <f>IF(A413="","",SUM(CF413:CS413))</f>
        <v/>
      </c>
      <c r="CU413" s="5">
        <f>INDEX(Projects[Est Cost (M)],412)</f>
        <v/>
      </c>
      <c r="CV413" s="5">
        <f>INDEX(Projects[Act Cost (M)],412)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IF(A414="","",N(INDEX(Projects[Act Mech Inst],413)))</f>
        <v/>
      </c>
      <c r="BK414" s="5">
        <f>IF(A414="","",N(INDEX(Projects[Act Elec Inst],413)))</f>
        <v/>
      </c>
      <c r="BL414" s="5">
        <f>IF(A414="","",N(INDEX(Projects[Act Project Management],413)))</f>
        <v/>
      </c>
      <c r="BM414" s="5">
        <f>IF(A414="","",N(INDEX(Projects[Act Systems Eng],413)))</f>
        <v/>
      </c>
      <c r="BN414" s="5">
        <f>IF(A414="","",N(INDEX(Projects[Act Mechanical Eng],413)))</f>
        <v/>
      </c>
      <c r="BO414" s="5">
        <f>IF(A414="","",N(INDEX(Projects[Act Structural Engineering],413)))</f>
        <v/>
      </c>
      <c r="BP414" s="5">
        <f>IF(A414="","",N(INDEX(Projects[Act Site Sup],413)))</f>
        <v/>
      </c>
      <c r="BQ414" s="5">
        <f>IF(A414="","",N(INDEX(Projects[Act Controls Commissioning],413)))</f>
        <v/>
      </c>
      <c r="BR414" s="5">
        <f>IF(A414="","",N(INDEX(Projects[Act Systems Commissioning],413)))</f>
        <v/>
      </c>
      <c r="BS414" s="5">
        <f>IF(A414="","",N(INDEX(Projects[Act Service Commissioning],413)))</f>
        <v/>
      </c>
      <c r="BT414" s="5">
        <f>IF(A414="","",N(INDEX(Projects[Act Controls Eng],413)))</f>
        <v/>
      </c>
      <c r="BU414" s="5">
        <f>IF(A414="","",N(INDEX(Projects[Act Controls Purchase],413)))</f>
        <v/>
      </c>
      <c r="BV414" s="5">
        <f>IF(A414="","",N(INDEX(Projects[Act Software Eng],413)))</f>
        <v/>
      </c>
      <c r="BW414" s="5">
        <f>IF(A414="","",N(INDEX(Projects[Act 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  <c r="CE414" s="5">
        <f>INDEX(Projects[Act Data Status],413)&amp;""</f>
        <v/>
      </c>
      <c r="CF414" s="5">
        <f>IF(A414="","",N(INDEX(Projects[Est Mech Inst],413)))</f>
        <v/>
      </c>
      <c r="CG414" s="5">
        <f>IF(A414="","",N(INDEX(Projects[Est Elec Inst],413)))</f>
        <v/>
      </c>
      <c r="CH414" s="5">
        <f>IF(A414="","",N(INDEX(Projects[Est Project Management],413)))</f>
        <v/>
      </c>
      <c r="CI414" s="5">
        <f>IF(A414="","",N(INDEX(Projects[Est Systems Eng],413)))</f>
        <v/>
      </c>
      <c r="CJ414" s="5">
        <f>IF(A414="","",N(INDEX(Projects[Est Mechanical Eng],413)))</f>
        <v/>
      </c>
      <c r="CK414" s="5">
        <f>IF(A414="","",N(INDEX(Projects[Est Structural Engineering],413)))</f>
        <v/>
      </c>
      <c r="CL414" s="5">
        <f>IF(A414="","",N(INDEX(Projects[Est Site Sup],413)))</f>
        <v/>
      </c>
      <c r="CM414" s="5">
        <f>IF(A414="","",N(INDEX(Projects[Est Controls Commissioning],413)))</f>
        <v/>
      </c>
      <c r="CN414" s="5">
        <f>IF(A414="","",N(INDEX(Projects[Est Systems Commissioning],413)))</f>
        <v/>
      </c>
      <c r="CO414" s="5">
        <f>IF(A414="","",N(INDEX(Projects[Est Service Commissioning],413)))</f>
        <v/>
      </c>
      <c r="CP414" s="5">
        <f>IF(A414="","",N(INDEX(Projects[Est Controls Eng],413)))</f>
        <v/>
      </c>
      <c r="CQ414" s="5">
        <f>IF(A414="","",N(INDEX(Projects[Est Controls Purchase],413)))</f>
        <v/>
      </c>
      <c r="CR414" s="5">
        <f>IF(A414="","",N(INDEX(Projects[Est Software Eng],413)))</f>
        <v/>
      </c>
      <c r="CS414" s="5">
        <f>IF(A414="","",N(INDEX(Projects[Est Misc],413)))</f>
        <v/>
      </c>
      <c r="CT414" s="5">
        <f>IF(A414="","",SUM(CF414:CS414))</f>
        <v/>
      </c>
      <c r="CU414" s="5">
        <f>INDEX(Projects[Est Cost (M)],413)</f>
        <v/>
      </c>
      <c r="CV414" s="5">
        <f>INDEX(Projects[Act Cost (M)],413)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IF(A415="","",N(INDEX(Projects[Act Mech Inst],414)))</f>
        <v/>
      </c>
      <c r="BK415" s="5">
        <f>IF(A415="","",N(INDEX(Projects[Act Elec Inst],414)))</f>
        <v/>
      </c>
      <c r="BL415" s="5">
        <f>IF(A415="","",N(INDEX(Projects[Act Project Management],414)))</f>
        <v/>
      </c>
      <c r="BM415" s="5">
        <f>IF(A415="","",N(INDEX(Projects[Act Systems Eng],414)))</f>
        <v/>
      </c>
      <c r="BN415" s="5">
        <f>IF(A415="","",N(INDEX(Projects[Act Mechanical Eng],414)))</f>
        <v/>
      </c>
      <c r="BO415" s="5">
        <f>IF(A415="","",N(INDEX(Projects[Act Structural Engineering],414)))</f>
        <v/>
      </c>
      <c r="BP415" s="5">
        <f>IF(A415="","",N(INDEX(Projects[Act Site Sup],414)))</f>
        <v/>
      </c>
      <c r="BQ415" s="5">
        <f>IF(A415="","",N(INDEX(Projects[Act Controls Commissioning],414)))</f>
        <v/>
      </c>
      <c r="BR415" s="5">
        <f>IF(A415="","",N(INDEX(Projects[Act Systems Commissioning],414)))</f>
        <v/>
      </c>
      <c r="BS415" s="5">
        <f>IF(A415="","",N(INDEX(Projects[Act Service Commissioning],414)))</f>
        <v/>
      </c>
      <c r="BT415" s="5">
        <f>IF(A415="","",N(INDEX(Projects[Act Controls Eng],414)))</f>
        <v/>
      </c>
      <c r="BU415" s="5">
        <f>IF(A415="","",N(INDEX(Projects[Act Controls Purchase],414)))</f>
        <v/>
      </c>
      <c r="BV415" s="5">
        <f>IF(A415="","",N(INDEX(Projects[Act Software Eng],414)))</f>
        <v/>
      </c>
      <c r="BW415" s="5">
        <f>IF(A415="","",N(INDEX(Projects[Act 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  <c r="CE415" s="5">
        <f>INDEX(Projects[Act Data Status],414)&amp;""</f>
        <v/>
      </c>
      <c r="CF415" s="5">
        <f>IF(A415="","",N(INDEX(Projects[Est Mech Inst],414)))</f>
        <v/>
      </c>
      <c r="CG415" s="5">
        <f>IF(A415="","",N(INDEX(Projects[Est Elec Inst],414)))</f>
        <v/>
      </c>
      <c r="CH415" s="5">
        <f>IF(A415="","",N(INDEX(Projects[Est Project Management],414)))</f>
        <v/>
      </c>
      <c r="CI415" s="5">
        <f>IF(A415="","",N(INDEX(Projects[Est Systems Eng],414)))</f>
        <v/>
      </c>
      <c r="CJ415" s="5">
        <f>IF(A415="","",N(INDEX(Projects[Est Mechanical Eng],414)))</f>
        <v/>
      </c>
      <c r="CK415" s="5">
        <f>IF(A415="","",N(INDEX(Projects[Est Structural Engineering],414)))</f>
        <v/>
      </c>
      <c r="CL415" s="5">
        <f>IF(A415="","",N(INDEX(Projects[Est Site Sup],414)))</f>
        <v/>
      </c>
      <c r="CM415" s="5">
        <f>IF(A415="","",N(INDEX(Projects[Est Controls Commissioning],414)))</f>
        <v/>
      </c>
      <c r="CN415" s="5">
        <f>IF(A415="","",N(INDEX(Projects[Est Systems Commissioning],414)))</f>
        <v/>
      </c>
      <c r="CO415" s="5">
        <f>IF(A415="","",N(INDEX(Projects[Est Service Commissioning],414)))</f>
        <v/>
      </c>
      <c r="CP415" s="5">
        <f>IF(A415="","",N(INDEX(Projects[Est Controls Eng],414)))</f>
        <v/>
      </c>
      <c r="CQ415" s="5">
        <f>IF(A415="","",N(INDEX(Projects[Est Controls Purchase],414)))</f>
        <v/>
      </c>
      <c r="CR415" s="5">
        <f>IF(A415="","",N(INDEX(Projects[Est Software Eng],414)))</f>
        <v/>
      </c>
      <c r="CS415" s="5">
        <f>IF(A415="","",N(INDEX(Projects[Est Misc],414)))</f>
        <v/>
      </c>
      <c r="CT415" s="5">
        <f>IF(A415="","",SUM(CF415:CS415))</f>
        <v/>
      </c>
      <c r="CU415" s="5">
        <f>INDEX(Projects[Est Cost (M)],414)</f>
        <v/>
      </c>
      <c r="CV415" s="5">
        <f>INDEX(Projects[Act Cost (M)],414)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IF(A416="","",N(INDEX(Projects[Act Mech Inst],415)))</f>
        <v/>
      </c>
      <c r="BK416" s="5">
        <f>IF(A416="","",N(INDEX(Projects[Act Elec Inst],415)))</f>
        <v/>
      </c>
      <c r="BL416" s="5">
        <f>IF(A416="","",N(INDEX(Projects[Act Project Management],415)))</f>
        <v/>
      </c>
      <c r="BM416" s="5">
        <f>IF(A416="","",N(INDEX(Projects[Act Systems Eng],415)))</f>
        <v/>
      </c>
      <c r="BN416" s="5">
        <f>IF(A416="","",N(INDEX(Projects[Act Mechanical Eng],415)))</f>
        <v/>
      </c>
      <c r="BO416" s="5">
        <f>IF(A416="","",N(INDEX(Projects[Act Structural Engineering],415)))</f>
        <v/>
      </c>
      <c r="BP416" s="5">
        <f>IF(A416="","",N(INDEX(Projects[Act Site Sup],415)))</f>
        <v/>
      </c>
      <c r="BQ416" s="5">
        <f>IF(A416="","",N(INDEX(Projects[Act Controls Commissioning],415)))</f>
        <v/>
      </c>
      <c r="BR416" s="5">
        <f>IF(A416="","",N(INDEX(Projects[Act Systems Commissioning],415)))</f>
        <v/>
      </c>
      <c r="BS416" s="5">
        <f>IF(A416="","",N(INDEX(Projects[Act Service Commissioning],415)))</f>
        <v/>
      </c>
      <c r="BT416" s="5">
        <f>IF(A416="","",N(INDEX(Projects[Act Controls Eng],415)))</f>
        <v/>
      </c>
      <c r="BU416" s="5">
        <f>IF(A416="","",N(INDEX(Projects[Act Controls Purchase],415)))</f>
        <v/>
      </c>
      <c r="BV416" s="5">
        <f>IF(A416="","",N(INDEX(Projects[Act Software Eng],415)))</f>
        <v/>
      </c>
      <c r="BW416" s="5">
        <f>IF(A416="","",N(INDEX(Projects[Act 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  <c r="CE416" s="5">
        <f>INDEX(Projects[Act Data Status],415)&amp;""</f>
        <v/>
      </c>
      <c r="CF416" s="5">
        <f>IF(A416="","",N(INDEX(Projects[Est Mech Inst],415)))</f>
        <v/>
      </c>
      <c r="CG416" s="5">
        <f>IF(A416="","",N(INDEX(Projects[Est Elec Inst],415)))</f>
        <v/>
      </c>
      <c r="CH416" s="5">
        <f>IF(A416="","",N(INDEX(Projects[Est Project Management],415)))</f>
        <v/>
      </c>
      <c r="CI416" s="5">
        <f>IF(A416="","",N(INDEX(Projects[Est Systems Eng],415)))</f>
        <v/>
      </c>
      <c r="CJ416" s="5">
        <f>IF(A416="","",N(INDEX(Projects[Est Mechanical Eng],415)))</f>
        <v/>
      </c>
      <c r="CK416" s="5">
        <f>IF(A416="","",N(INDEX(Projects[Est Structural Engineering],415)))</f>
        <v/>
      </c>
      <c r="CL416" s="5">
        <f>IF(A416="","",N(INDEX(Projects[Est Site Sup],415)))</f>
        <v/>
      </c>
      <c r="CM416" s="5">
        <f>IF(A416="","",N(INDEX(Projects[Est Controls Commissioning],415)))</f>
        <v/>
      </c>
      <c r="CN416" s="5">
        <f>IF(A416="","",N(INDEX(Projects[Est Systems Commissioning],415)))</f>
        <v/>
      </c>
      <c r="CO416" s="5">
        <f>IF(A416="","",N(INDEX(Projects[Est Service Commissioning],415)))</f>
        <v/>
      </c>
      <c r="CP416" s="5">
        <f>IF(A416="","",N(INDEX(Projects[Est Controls Eng],415)))</f>
        <v/>
      </c>
      <c r="CQ416" s="5">
        <f>IF(A416="","",N(INDEX(Projects[Est Controls Purchase],415)))</f>
        <v/>
      </c>
      <c r="CR416" s="5">
        <f>IF(A416="","",N(INDEX(Projects[Est Software Eng],415)))</f>
        <v/>
      </c>
      <c r="CS416" s="5">
        <f>IF(A416="","",N(INDEX(Projects[Est Misc],415)))</f>
        <v/>
      </c>
      <c r="CT416" s="5">
        <f>IF(A416="","",SUM(CF416:CS416))</f>
        <v/>
      </c>
      <c r="CU416" s="5">
        <f>INDEX(Projects[Est Cost (M)],415)</f>
        <v/>
      </c>
      <c r="CV416" s="5">
        <f>INDEX(Projects[Act Cost (M)],415)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IF(A417="","",N(INDEX(Projects[Act Mech Inst],416)))</f>
        <v/>
      </c>
      <c r="BK417" s="5">
        <f>IF(A417="","",N(INDEX(Projects[Act Elec Inst],416)))</f>
        <v/>
      </c>
      <c r="BL417" s="5">
        <f>IF(A417="","",N(INDEX(Projects[Act Project Management],416)))</f>
        <v/>
      </c>
      <c r="BM417" s="5">
        <f>IF(A417="","",N(INDEX(Projects[Act Systems Eng],416)))</f>
        <v/>
      </c>
      <c r="BN417" s="5">
        <f>IF(A417="","",N(INDEX(Projects[Act Mechanical Eng],416)))</f>
        <v/>
      </c>
      <c r="BO417" s="5">
        <f>IF(A417="","",N(INDEX(Projects[Act Structural Engineering],416)))</f>
        <v/>
      </c>
      <c r="BP417" s="5">
        <f>IF(A417="","",N(INDEX(Projects[Act Site Sup],416)))</f>
        <v/>
      </c>
      <c r="BQ417" s="5">
        <f>IF(A417="","",N(INDEX(Projects[Act Controls Commissioning],416)))</f>
        <v/>
      </c>
      <c r="BR417" s="5">
        <f>IF(A417="","",N(INDEX(Projects[Act Systems Commissioning],416)))</f>
        <v/>
      </c>
      <c r="BS417" s="5">
        <f>IF(A417="","",N(INDEX(Projects[Act Service Commissioning],416)))</f>
        <v/>
      </c>
      <c r="BT417" s="5">
        <f>IF(A417="","",N(INDEX(Projects[Act Controls Eng],416)))</f>
        <v/>
      </c>
      <c r="BU417" s="5">
        <f>IF(A417="","",N(INDEX(Projects[Act Controls Purchase],416)))</f>
        <v/>
      </c>
      <c r="BV417" s="5">
        <f>IF(A417="","",N(INDEX(Projects[Act Software Eng],416)))</f>
        <v/>
      </c>
      <c r="BW417" s="5">
        <f>IF(A417="","",N(INDEX(Projects[Act 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  <c r="CE417" s="5">
        <f>INDEX(Projects[Act Data Status],416)&amp;""</f>
        <v/>
      </c>
      <c r="CF417" s="5">
        <f>IF(A417="","",N(INDEX(Projects[Est Mech Inst],416)))</f>
        <v/>
      </c>
      <c r="CG417" s="5">
        <f>IF(A417="","",N(INDEX(Projects[Est Elec Inst],416)))</f>
        <v/>
      </c>
      <c r="CH417" s="5">
        <f>IF(A417="","",N(INDEX(Projects[Est Project Management],416)))</f>
        <v/>
      </c>
      <c r="CI417" s="5">
        <f>IF(A417="","",N(INDEX(Projects[Est Systems Eng],416)))</f>
        <v/>
      </c>
      <c r="CJ417" s="5">
        <f>IF(A417="","",N(INDEX(Projects[Est Mechanical Eng],416)))</f>
        <v/>
      </c>
      <c r="CK417" s="5">
        <f>IF(A417="","",N(INDEX(Projects[Est Structural Engineering],416)))</f>
        <v/>
      </c>
      <c r="CL417" s="5">
        <f>IF(A417="","",N(INDEX(Projects[Est Site Sup],416)))</f>
        <v/>
      </c>
      <c r="CM417" s="5">
        <f>IF(A417="","",N(INDEX(Projects[Est Controls Commissioning],416)))</f>
        <v/>
      </c>
      <c r="CN417" s="5">
        <f>IF(A417="","",N(INDEX(Projects[Est Systems Commissioning],416)))</f>
        <v/>
      </c>
      <c r="CO417" s="5">
        <f>IF(A417="","",N(INDEX(Projects[Est Service Commissioning],416)))</f>
        <v/>
      </c>
      <c r="CP417" s="5">
        <f>IF(A417="","",N(INDEX(Projects[Est Controls Eng],416)))</f>
        <v/>
      </c>
      <c r="CQ417" s="5">
        <f>IF(A417="","",N(INDEX(Projects[Est Controls Purchase],416)))</f>
        <v/>
      </c>
      <c r="CR417" s="5">
        <f>IF(A417="","",N(INDEX(Projects[Est Software Eng],416)))</f>
        <v/>
      </c>
      <c r="CS417" s="5">
        <f>IF(A417="","",N(INDEX(Projects[Est Misc],416)))</f>
        <v/>
      </c>
      <c r="CT417" s="5">
        <f>IF(A417="","",SUM(CF417:CS417))</f>
        <v/>
      </c>
      <c r="CU417" s="5">
        <f>INDEX(Projects[Est Cost (M)],416)</f>
        <v/>
      </c>
      <c r="CV417" s="5">
        <f>INDEX(Projects[Act Cost (M)],416)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IF(A418="","",N(INDEX(Projects[Act Mech Inst],417)))</f>
        <v/>
      </c>
      <c r="BK418" s="5">
        <f>IF(A418="","",N(INDEX(Projects[Act Elec Inst],417)))</f>
        <v/>
      </c>
      <c r="BL418" s="5">
        <f>IF(A418="","",N(INDEX(Projects[Act Project Management],417)))</f>
        <v/>
      </c>
      <c r="BM418" s="5">
        <f>IF(A418="","",N(INDEX(Projects[Act Systems Eng],417)))</f>
        <v/>
      </c>
      <c r="BN418" s="5">
        <f>IF(A418="","",N(INDEX(Projects[Act Mechanical Eng],417)))</f>
        <v/>
      </c>
      <c r="BO418" s="5">
        <f>IF(A418="","",N(INDEX(Projects[Act Structural Engineering],417)))</f>
        <v/>
      </c>
      <c r="BP418" s="5">
        <f>IF(A418="","",N(INDEX(Projects[Act Site Sup],417)))</f>
        <v/>
      </c>
      <c r="BQ418" s="5">
        <f>IF(A418="","",N(INDEX(Projects[Act Controls Commissioning],417)))</f>
        <v/>
      </c>
      <c r="BR418" s="5">
        <f>IF(A418="","",N(INDEX(Projects[Act Systems Commissioning],417)))</f>
        <v/>
      </c>
      <c r="BS418" s="5">
        <f>IF(A418="","",N(INDEX(Projects[Act Service Commissioning],417)))</f>
        <v/>
      </c>
      <c r="BT418" s="5">
        <f>IF(A418="","",N(INDEX(Projects[Act Controls Eng],417)))</f>
        <v/>
      </c>
      <c r="BU418" s="5">
        <f>IF(A418="","",N(INDEX(Projects[Act Controls Purchase],417)))</f>
        <v/>
      </c>
      <c r="BV418" s="5">
        <f>IF(A418="","",N(INDEX(Projects[Act Software Eng],417)))</f>
        <v/>
      </c>
      <c r="BW418" s="5">
        <f>IF(A418="","",N(INDEX(Projects[Act 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  <c r="CE418" s="5">
        <f>INDEX(Projects[Act Data Status],417)&amp;""</f>
        <v/>
      </c>
      <c r="CF418" s="5">
        <f>IF(A418="","",N(INDEX(Projects[Est Mech Inst],417)))</f>
        <v/>
      </c>
      <c r="CG418" s="5">
        <f>IF(A418="","",N(INDEX(Projects[Est Elec Inst],417)))</f>
        <v/>
      </c>
      <c r="CH418" s="5">
        <f>IF(A418="","",N(INDEX(Projects[Est Project Management],417)))</f>
        <v/>
      </c>
      <c r="CI418" s="5">
        <f>IF(A418="","",N(INDEX(Projects[Est Systems Eng],417)))</f>
        <v/>
      </c>
      <c r="CJ418" s="5">
        <f>IF(A418="","",N(INDEX(Projects[Est Mechanical Eng],417)))</f>
        <v/>
      </c>
      <c r="CK418" s="5">
        <f>IF(A418="","",N(INDEX(Projects[Est Structural Engineering],417)))</f>
        <v/>
      </c>
      <c r="CL418" s="5">
        <f>IF(A418="","",N(INDEX(Projects[Est Site Sup],417)))</f>
        <v/>
      </c>
      <c r="CM418" s="5">
        <f>IF(A418="","",N(INDEX(Projects[Est Controls Commissioning],417)))</f>
        <v/>
      </c>
      <c r="CN418" s="5">
        <f>IF(A418="","",N(INDEX(Projects[Est Systems Commissioning],417)))</f>
        <v/>
      </c>
      <c r="CO418" s="5">
        <f>IF(A418="","",N(INDEX(Projects[Est Service Commissioning],417)))</f>
        <v/>
      </c>
      <c r="CP418" s="5">
        <f>IF(A418="","",N(INDEX(Projects[Est Controls Eng],417)))</f>
        <v/>
      </c>
      <c r="CQ418" s="5">
        <f>IF(A418="","",N(INDEX(Projects[Est Controls Purchase],417)))</f>
        <v/>
      </c>
      <c r="CR418" s="5">
        <f>IF(A418="","",N(INDEX(Projects[Est Software Eng],417)))</f>
        <v/>
      </c>
      <c r="CS418" s="5">
        <f>IF(A418="","",N(INDEX(Projects[Est Misc],417)))</f>
        <v/>
      </c>
      <c r="CT418" s="5">
        <f>IF(A418="","",SUM(CF418:CS418))</f>
        <v/>
      </c>
      <c r="CU418" s="5">
        <f>INDEX(Projects[Est Cost (M)],417)</f>
        <v/>
      </c>
      <c r="CV418" s="5">
        <f>INDEX(Projects[Act Cost (M)],417)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IF(A419="","",N(INDEX(Projects[Act Mech Inst],418)))</f>
        <v/>
      </c>
      <c r="BK419" s="5">
        <f>IF(A419="","",N(INDEX(Projects[Act Elec Inst],418)))</f>
        <v/>
      </c>
      <c r="BL419" s="5">
        <f>IF(A419="","",N(INDEX(Projects[Act Project Management],418)))</f>
        <v/>
      </c>
      <c r="BM419" s="5">
        <f>IF(A419="","",N(INDEX(Projects[Act Systems Eng],418)))</f>
        <v/>
      </c>
      <c r="BN419" s="5">
        <f>IF(A419="","",N(INDEX(Projects[Act Mechanical Eng],418)))</f>
        <v/>
      </c>
      <c r="BO419" s="5">
        <f>IF(A419="","",N(INDEX(Projects[Act Structural Engineering],418)))</f>
        <v/>
      </c>
      <c r="BP419" s="5">
        <f>IF(A419="","",N(INDEX(Projects[Act Site Sup],418)))</f>
        <v/>
      </c>
      <c r="BQ419" s="5">
        <f>IF(A419="","",N(INDEX(Projects[Act Controls Commissioning],418)))</f>
        <v/>
      </c>
      <c r="BR419" s="5">
        <f>IF(A419="","",N(INDEX(Projects[Act Systems Commissioning],418)))</f>
        <v/>
      </c>
      <c r="BS419" s="5">
        <f>IF(A419="","",N(INDEX(Projects[Act Service Commissioning],418)))</f>
        <v/>
      </c>
      <c r="BT419" s="5">
        <f>IF(A419="","",N(INDEX(Projects[Act Controls Eng],418)))</f>
        <v/>
      </c>
      <c r="BU419" s="5">
        <f>IF(A419="","",N(INDEX(Projects[Act Controls Purchase],418)))</f>
        <v/>
      </c>
      <c r="BV419" s="5">
        <f>IF(A419="","",N(INDEX(Projects[Act Software Eng],418)))</f>
        <v/>
      </c>
      <c r="BW419" s="5">
        <f>IF(A419="","",N(INDEX(Projects[Act 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  <c r="CE419" s="5">
        <f>INDEX(Projects[Act Data Status],418)&amp;""</f>
        <v/>
      </c>
      <c r="CF419" s="5">
        <f>IF(A419="","",N(INDEX(Projects[Est Mech Inst],418)))</f>
        <v/>
      </c>
      <c r="CG419" s="5">
        <f>IF(A419="","",N(INDEX(Projects[Est Elec Inst],418)))</f>
        <v/>
      </c>
      <c r="CH419" s="5">
        <f>IF(A419="","",N(INDEX(Projects[Est Project Management],418)))</f>
        <v/>
      </c>
      <c r="CI419" s="5">
        <f>IF(A419="","",N(INDEX(Projects[Est Systems Eng],418)))</f>
        <v/>
      </c>
      <c r="CJ419" s="5">
        <f>IF(A419="","",N(INDEX(Projects[Est Mechanical Eng],418)))</f>
        <v/>
      </c>
      <c r="CK419" s="5">
        <f>IF(A419="","",N(INDEX(Projects[Est Structural Engineering],418)))</f>
        <v/>
      </c>
      <c r="CL419" s="5">
        <f>IF(A419="","",N(INDEX(Projects[Est Site Sup],418)))</f>
        <v/>
      </c>
      <c r="CM419" s="5">
        <f>IF(A419="","",N(INDEX(Projects[Est Controls Commissioning],418)))</f>
        <v/>
      </c>
      <c r="CN419" s="5">
        <f>IF(A419="","",N(INDEX(Projects[Est Systems Commissioning],418)))</f>
        <v/>
      </c>
      <c r="CO419" s="5">
        <f>IF(A419="","",N(INDEX(Projects[Est Service Commissioning],418)))</f>
        <v/>
      </c>
      <c r="CP419" s="5">
        <f>IF(A419="","",N(INDEX(Projects[Est Controls Eng],418)))</f>
        <v/>
      </c>
      <c r="CQ419" s="5">
        <f>IF(A419="","",N(INDEX(Projects[Est Controls Purchase],418)))</f>
        <v/>
      </c>
      <c r="CR419" s="5">
        <f>IF(A419="","",N(INDEX(Projects[Est Software Eng],418)))</f>
        <v/>
      </c>
      <c r="CS419" s="5">
        <f>IF(A419="","",N(INDEX(Projects[Est Misc],418)))</f>
        <v/>
      </c>
      <c r="CT419" s="5">
        <f>IF(A419="","",SUM(CF419:CS419))</f>
        <v/>
      </c>
      <c r="CU419" s="5">
        <f>INDEX(Projects[Est Cost (M)],418)</f>
        <v/>
      </c>
      <c r="CV419" s="5">
        <f>INDEX(Projects[Act Cost (M)],418)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IF(A420="","",N(INDEX(Projects[Act Mech Inst],419)))</f>
        <v/>
      </c>
      <c r="BK420" s="5">
        <f>IF(A420="","",N(INDEX(Projects[Act Elec Inst],419)))</f>
        <v/>
      </c>
      <c r="BL420" s="5">
        <f>IF(A420="","",N(INDEX(Projects[Act Project Management],419)))</f>
        <v/>
      </c>
      <c r="BM420" s="5">
        <f>IF(A420="","",N(INDEX(Projects[Act Systems Eng],419)))</f>
        <v/>
      </c>
      <c r="BN420" s="5">
        <f>IF(A420="","",N(INDEX(Projects[Act Mechanical Eng],419)))</f>
        <v/>
      </c>
      <c r="BO420" s="5">
        <f>IF(A420="","",N(INDEX(Projects[Act Structural Engineering],419)))</f>
        <v/>
      </c>
      <c r="BP420" s="5">
        <f>IF(A420="","",N(INDEX(Projects[Act Site Sup],419)))</f>
        <v/>
      </c>
      <c r="BQ420" s="5">
        <f>IF(A420="","",N(INDEX(Projects[Act Controls Commissioning],419)))</f>
        <v/>
      </c>
      <c r="BR420" s="5">
        <f>IF(A420="","",N(INDEX(Projects[Act Systems Commissioning],419)))</f>
        <v/>
      </c>
      <c r="BS420" s="5">
        <f>IF(A420="","",N(INDEX(Projects[Act Service Commissioning],419)))</f>
        <v/>
      </c>
      <c r="BT420" s="5">
        <f>IF(A420="","",N(INDEX(Projects[Act Controls Eng],419)))</f>
        <v/>
      </c>
      <c r="BU420" s="5">
        <f>IF(A420="","",N(INDEX(Projects[Act Controls Purchase],419)))</f>
        <v/>
      </c>
      <c r="BV420" s="5">
        <f>IF(A420="","",N(INDEX(Projects[Act Software Eng],419)))</f>
        <v/>
      </c>
      <c r="BW420" s="5">
        <f>IF(A420="","",N(INDEX(Projects[Act 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  <c r="CE420" s="5">
        <f>INDEX(Projects[Act Data Status],419)&amp;""</f>
        <v/>
      </c>
      <c r="CF420" s="5">
        <f>IF(A420="","",N(INDEX(Projects[Est Mech Inst],419)))</f>
        <v/>
      </c>
      <c r="CG420" s="5">
        <f>IF(A420="","",N(INDEX(Projects[Est Elec Inst],419)))</f>
        <v/>
      </c>
      <c r="CH420" s="5">
        <f>IF(A420="","",N(INDEX(Projects[Est Project Management],419)))</f>
        <v/>
      </c>
      <c r="CI420" s="5">
        <f>IF(A420="","",N(INDEX(Projects[Est Systems Eng],419)))</f>
        <v/>
      </c>
      <c r="CJ420" s="5">
        <f>IF(A420="","",N(INDEX(Projects[Est Mechanical Eng],419)))</f>
        <v/>
      </c>
      <c r="CK420" s="5">
        <f>IF(A420="","",N(INDEX(Projects[Est Structural Engineering],419)))</f>
        <v/>
      </c>
      <c r="CL420" s="5">
        <f>IF(A420="","",N(INDEX(Projects[Est Site Sup],419)))</f>
        <v/>
      </c>
      <c r="CM420" s="5">
        <f>IF(A420="","",N(INDEX(Projects[Est Controls Commissioning],419)))</f>
        <v/>
      </c>
      <c r="CN420" s="5">
        <f>IF(A420="","",N(INDEX(Projects[Est Systems Commissioning],419)))</f>
        <v/>
      </c>
      <c r="CO420" s="5">
        <f>IF(A420="","",N(INDEX(Projects[Est Service Commissioning],419)))</f>
        <v/>
      </c>
      <c r="CP420" s="5">
        <f>IF(A420="","",N(INDEX(Projects[Est Controls Eng],419)))</f>
        <v/>
      </c>
      <c r="CQ420" s="5">
        <f>IF(A420="","",N(INDEX(Projects[Est Controls Purchase],419)))</f>
        <v/>
      </c>
      <c r="CR420" s="5">
        <f>IF(A420="","",N(INDEX(Projects[Est Software Eng],419)))</f>
        <v/>
      </c>
      <c r="CS420" s="5">
        <f>IF(A420="","",N(INDEX(Projects[Est Misc],419)))</f>
        <v/>
      </c>
      <c r="CT420" s="5">
        <f>IF(A420="","",SUM(CF420:CS420))</f>
        <v/>
      </c>
      <c r="CU420" s="5">
        <f>INDEX(Projects[Est Cost (M)],419)</f>
        <v/>
      </c>
      <c r="CV420" s="5">
        <f>INDEX(Projects[Act Cost (M)],419)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IF(A421="","",N(INDEX(Projects[Act Mech Inst],420)))</f>
        <v/>
      </c>
      <c r="BK421" s="5">
        <f>IF(A421="","",N(INDEX(Projects[Act Elec Inst],420)))</f>
        <v/>
      </c>
      <c r="BL421" s="5">
        <f>IF(A421="","",N(INDEX(Projects[Act Project Management],420)))</f>
        <v/>
      </c>
      <c r="BM421" s="5">
        <f>IF(A421="","",N(INDEX(Projects[Act Systems Eng],420)))</f>
        <v/>
      </c>
      <c r="BN421" s="5">
        <f>IF(A421="","",N(INDEX(Projects[Act Mechanical Eng],420)))</f>
        <v/>
      </c>
      <c r="BO421" s="5">
        <f>IF(A421="","",N(INDEX(Projects[Act Structural Engineering],420)))</f>
        <v/>
      </c>
      <c r="BP421" s="5">
        <f>IF(A421="","",N(INDEX(Projects[Act Site Sup],420)))</f>
        <v/>
      </c>
      <c r="BQ421" s="5">
        <f>IF(A421="","",N(INDEX(Projects[Act Controls Commissioning],420)))</f>
        <v/>
      </c>
      <c r="BR421" s="5">
        <f>IF(A421="","",N(INDEX(Projects[Act Systems Commissioning],420)))</f>
        <v/>
      </c>
      <c r="BS421" s="5">
        <f>IF(A421="","",N(INDEX(Projects[Act Service Commissioning],420)))</f>
        <v/>
      </c>
      <c r="BT421" s="5">
        <f>IF(A421="","",N(INDEX(Projects[Act Controls Eng],420)))</f>
        <v/>
      </c>
      <c r="BU421" s="5">
        <f>IF(A421="","",N(INDEX(Projects[Act Controls Purchase],420)))</f>
        <v/>
      </c>
      <c r="BV421" s="5">
        <f>IF(A421="","",N(INDEX(Projects[Act Software Eng],420)))</f>
        <v/>
      </c>
      <c r="BW421" s="5">
        <f>IF(A421="","",N(INDEX(Projects[Act 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  <c r="CE421" s="5">
        <f>INDEX(Projects[Act Data Status],420)&amp;""</f>
        <v/>
      </c>
      <c r="CF421" s="5">
        <f>IF(A421="","",N(INDEX(Projects[Est Mech Inst],420)))</f>
        <v/>
      </c>
      <c r="CG421" s="5">
        <f>IF(A421="","",N(INDEX(Projects[Est Elec Inst],420)))</f>
        <v/>
      </c>
      <c r="CH421" s="5">
        <f>IF(A421="","",N(INDEX(Projects[Est Project Management],420)))</f>
        <v/>
      </c>
      <c r="CI421" s="5">
        <f>IF(A421="","",N(INDEX(Projects[Est Systems Eng],420)))</f>
        <v/>
      </c>
      <c r="CJ421" s="5">
        <f>IF(A421="","",N(INDEX(Projects[Est Mechanical Eng],420)))</f>
        <v/>
      </c>
      <c r="CK421" s="5">
        <f>IF(A421="","",N(INDEX(Projects[Est Structural Engineering],420)))</f>
        <v/>
      </c>
      <c r="CL421" s="5">
        <f>IF(A421="","",N(INDEX(Projects[Est Site Sup],420)))</f>
        <v/>
      </c>
      <c r="CM421" s="5">
        <f>IF(A421="","",N(INDEX(Projects[Est Controls Commissioning],420)))</f>
        <v/>
      </c>
      <c r="CN421" s="5">
        <f>IF(A421="","",N(INDEX(Projects[Est Systems Commissioning],420)))</f>
        <v/>
      </c>
      <c r="CO421" s="5">
        <f>IF(A421="","",N(INDEX(Projects[Est Service Commissioning],420)))</f>
        <v/>
      </c>
      <c r="CP421" s="5">
        <f>IF(A421="","",N(INDEX(Projects[Est Controls Eng],420)))</f>
        <v/>
      </c>
      <c r="CQ421" s="5">
        <f>IF(A421="","",N(INDEX(Projects[Est Controls Purchase],420)))</f>
        <v/>
      </c>
      <c r="CR421" s="5">
        <f>IF(A421="","",N(INDEX(Projects[Est Software Eng],420)))</f>
        <v/>
      </c>
      <c r="CS421" s="5">
        <f>IF(A421="","",N(INDEX(Projects[Est Misc],420)))</f>
        <v/>
      </c>
      <c r="CT421" s="5">
        <f>IF(A421="","",SUM(CF421:CS421))</f>
        <v/>
      </c>
      <c r="CU421" s="5">
        <f>INDEX(Projects[Est Cost (M)],420)</f>
        <v/>
      </c>
      <c r="CV421" s="5">
        <f>INDEX(Projects[Act Cost (M)],420)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IF(A422="","",N(INDEX(Projects[Act Mech Inst],421)))</f>
        <v/>
      </c>
      <c r="BK422" s="5">
        <f>IF(A422="","",N(INDEX(Projects[Act Elec Inst],421)))</f>
        <v/>
      </c>
      <c r="BL422" s="5">
        <f>IF(A422="","",N(INDEX(Projects[Act Project Management],421)))</f>
        <v/>
      </c>
      <c r="BM422" s="5">
        <f>IF(A422="","",N(INDEX(Projects[Act Systems Eng],421)))</f>
        <v/>
      </c>
      <c r="BN422" s="5">
        <f>IF(A422="","",N(INDEX(Projects[Act Mechanical Eng],421)))</f>
        <v/>
      </c>
      <c r="BO422" s="5">
        <f>IF(A422="","",N(INDEX(Projects[Act Structural Engineering],421)))</f>
        <v/>
      </c>
      <c r="BP422" s="5">
        <f>IF(A422="","",N(INDEX(Projects[Act Site Sup],421)))</f>
        <v/>
      </c>
      <c r="BQ422" s="5">
        <f>IF(A422="","",N(INDEX(Projects[Act Controls Commissioning],421)))</f>
        <v/>
      </c>
      <c r="BR422" s="5">
        <f>IF(A422="","",N(INDEX(Projects[Act Systems Commissioning],421)))</f>
        <v/>
      </c>
      <c r="BS422" s="5">
        <f>IF(A422="","",N(INDEX(Projects[Act Service Commissioning],421)))</f>
        <v/>
      </c>
      <c r="BT422" s="5">
        <f>IF(A422="","",N(INDEX(Projects[Act Controls Eng],421)))</f>
        <v/>
      </c>
      <c r="BU422" s="5">
        <f>IF(A422="","",N(INDEX(Projects[Act Controls Purchase],421)))</f>
        <v/>
      </c>
      <c r="BV422" s="5">
        <f>IF(A422="","",N(INDEX(Projects[Act Software Eng],421)))</f>
        <v/>
      </c>
      <c r="BW422" s="5">
        <f>IF(A422="","",N(INDEX(Projects[Act 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  <c r="CE422" s="5">
        <f>INDEX(Projects[Act Data Status],421)&amp;""</f>
        <v/>
      </c>
      <c r="CF422" s="5">
        <f>IF(A422="","",N(INDEX(Projects[Est Mech Inst],421)))</f>
        <v/>
      </c>
      <c r="CG422" s="5">
        <f>IF(A422="","",N(INDEX(Projects[Est Elec Inst],421)))</f>
        <v/>
      </c>
      <c r="CH422" s="5">
        <f>IF(A422="","",N(INDEX(Projects[Est Project Management],421)))</f>
        <v/>
      </c>
      <c r="CI422" s="5">
        <f>IF(A422="","",N(INDEX(Projects[Est Systems Eng],421)))</f>
        <v/>
      </c>
      <c r="CJ422" s="5">
        <f>IF(A422="","",N(INDEX(Projects[Est Mechanical Eng],421)))</f>
        <v/>
      </c>
      <c r="CK422" s="5">
        <f>IF(A422="","",N(INDEX(Projects[Est Structural Engineering],421)))</f>
        <v/>
      </c>
      <c r="CL422" s="5">
        <f>IF(A422="","",N(INDEX(Projects[Est Site Sup],421)))</f>
        <v/>
      </c>
      <c r="CM422" s="5">
        <f>IF(A422="","",N(INDEX(Projects[Est Controls Commissioning],421)))</f>
        <v/>
      </c>
      <c r="CN422" s="5">
        <f>IF(A422="","",N(INDEX(Projects[Est Systems Commissioning],421)))</f>
        <v/>
      </c>
      <c r="CO422" s="5">
        <f>IF(A422="","",N(INDEX(Projects[Est Service Commissioning],421)))</f>
        <v/>
      </c>
      <c r="CP422" s="5">
        <f>IF(A422="","",N(INDEX(Projects[Est Controls Eng],421)))</f>
        <v/>
      </c>
      <c r="CQ422" s="5">
        <f>IF(A422="","",N(INDEX(Projects[Est Controls Purchase],421)))</f>
        <v/>
      </c>
      <c r="CR422" s="5">
        <f>IF(A422="","",N(INDEX(Projects[Est Software Eng],421)))</f>
        <v/>
      </c>
      <c r="CS422" s="5">
        <f>IF(A422="","",N(INDEX(Projects[Est Misc],421)))</f>
        <v/>
      </c>
      <c r="CT422" s="5">
        <f>IF(A422="","",SUM(CF422:CS422))</f>
        <v/>
      </c>
      <c r="CU422" s="5">
        <f>INDEX(Projects[Est Cost (M)],421)</f>
        <v/>
      </c>
      <c r="CV422" s="5">
        <f>INDEX(Projects[Act Cost (M)],421)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IF(A423="","",N(INDEX(Projects[Act Mech Inst],422)))</f>
        <v/>
      </c>
      <c r="BK423" s="5">
        <f>IF(A423="","",N(INDEX(Projects[Act Elec Inst],422)))</f>
        <v/>
      </c>
      <c r="BL423" s="5">
        <f>IF(A423="","",N(INDEX(Projects[Act Project Management],422)))</f>
        <v/>
      </c>
      <c r="BM423" s="5">
        <f>IF(A423="","",N(INDEX(Projects[Act Systems Eng],422)))</f>
        <v/>
      </c>
      <c r="BN423" s="5">
        <f>IF(A423="","",N(INDEX(Projects[Act Mechanical Eng],422)))</f>
        <v/>
      </c>
      <c r="BO423" s="5">
        <f>IF(A423="","",N(INDEX(Projects[Act Structural Engineering],422)))</f>
        <v/>
      </c>
      <c r="BP423" s="5">
        <f>IF(A423="","",N(INDEX(Projects[Act Site Sup],422)))</f>
        <v/>
      </c>
      <c r="BQ423" s="5">
        <f>IF(A423="","",N(INDEX(Projects[Act Controls Commissioning],422)))</f>
        <v/>
      </c>
      <c r="BR423" s="5">
        <f>IF(A423="","",N(INDEX(Projects[Act Systems Commissioning],422)))</f>
        <v/>
      </c>
      <c r="BS423" s="5">
        <f>IF(A423="","",N(INDEX(Projects[Act Service Commissioning],422)))</f>
        <v/>
      </c>
      <c r="BT423" s="5">
        <f>IF(A423="","",N(INDEX(Projects[Act Controls Eng],422)))</f>
        <v/>
      </c>
      <c r="BU423" s="5">
        <f>IF(A423="","",N(INDEX(Projects[Act Controls Purchase],422)))</f>
        <v/>
      </c>
      <c r="BV423" s="5">
        <f>IF(A423="","",N(INDEX(Projects[Act Software Eng],422)))</f>
        <v/>
      </c>
      <c r="BW423" s="5">
        <f>IF(A423="","",N(INDEX(Projects[Act 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  <c r="CE423" s="5">
        <f>INDEX(Projects[Act Data Status],422)&amp;""</f>
        <v/>
      </c>
      <c r="CF423" s="5">
        <f>IF(A423="","",N(INDEX(Projects[Est Mech Inst],422)))</f>
        <v/>
      </c>
      <c r="CG423" s="5">
        <f>IF(A423="","",N(INDEX(Projects[Est Elec Inst],422)))</f>
        <v/>
      </c>
      <c r="CH423" s="5">
        <f>IF(A423="","",N(INDEX(Projects[Est Project Management],422)))</f>
        <v/>
      </c>
      <c r="CI423" s="5">
        <f>IF(A423="","",N(INDEX(Projects[Est Systems Eng],422)))</f>
        <v/>
      </c>
      <c r="CJ423" s="5">
        <f>IF(A423="","",N(INDEX(Projects[Est Mechanical Eng],422)))</f>
        <v/>
      </c>
      <c r="CK423" s="5">
        <f>IF(A423="","",N(INDEX(Projects[Est Structural Engineering],422)))</f>
        <v/>
      </c>
      <c r="CL423" s="5">
        <f>IF(A423="","",N(INDEX(Projects[Est Site Sup],422)))</f>
        <v/>
      </c>
      <c r="CM423" s="5">
        <f>IF(A423="","",N(INDEX(Projects[Est Controls Commissioning],422)))</f>
        <v/>
      </c>
      <c r="CN423" s="5">
        <f>IF(A423="","",N(INDEX(Projects[Est Systems Commissioning],422)))</f>
        <v/>
      </c>
      <c r="CO423" s="5">
        <f>IF(A423="","",N(INDEX(Projects[Est Service Commissioning],422)))</f>
        <v/>
      </c>
      <c r="CP423" s="5">
        <f>IF(A423="","",N(INDEX(Projects[Est Controls Eng],422)))</f>
        <v/>
      </c>
      <c r="CQ423" s="5">
        <f>IF(A423="","",N(INDEX(Projects[Est Controls Purchase],422)))</f>
        <v/>
      </c>
      <c r="CR423" s="5">
        <f>IF(A423="","",N(INDEX(Projects[Est Software Eng],422)))</f>
        <v/>
      </c>
      <c r="CS423" s="5">
        <f>IF(A423="","",N(INDEX(Projects[Est Misc],422)))</f>
        <v/>
      </c>
      <c r="CT423" s="5">
        <f>IF(A423="","",SUM(CF423:CS423))</f>
        <v/>
      </c>
      <c r="CU423" s="5">
        <f>INDEX(Projects[Est Cost (M)],422)</f>
        <v/>
      </c>
      <c r="CV423" s="5">
        <f>INDEX(Projects[Act Cost (M)],422)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IF(A424="","",N(INDEX(Projects[Act Mech Inst],423)))</f>
        <v/>
      </c>
      <c r="BK424" s="5">
        <f>IF(A424="","",N(INDEX(Projects[Act Elec Inst],423)))</f>
        <v/>
      </c>
      <c r="BL424" s="5">
        <f>IF(A424="","",N(INDEX(Projects[Act Project Management],423)))</f>
        <v/>
      </c>
      <c r="BM424" s="5">
        <f>IF(A424="","",N(INDEX(Projects[Act Systems Eng],423)))</f>
        <v/>
      </c>
      <c r="BN424" s="5">
        <f>IF(A424="","",N(INDEX(Projects[Act Mechanical Eng],423)))</f>
        <v/>
      </c>
      <c r="BO424" s="5">
        <f>IF(A424="","",N(INDEX(Projects[Act Structural Engineering],423)))</f>
        <v/>
      </c>
      <c r="BP424" s="5">
        <f>IF(A424="","",N(INDEX(Projects[Act Site Sup],423)))</f>
        <v/>
      </c>
      <c r="BQ424" s="5">
        <f>IF(A424="","",N(INDEX(Projects[Act Controls Commissioning],423)))</f>
        <v/>
      </c>
      <c r="BR424" s="5">
        <f>IF(A424="","",N(INDEX(Projects[Act Systems Commissioning],423)))</f>
        <v/>
      </c>
      <c r="BS424" s="5">
        <f>IF(A424="","",N(INDEX(Projects[Act Service Commissioning],423)))</f>
        <v/>
      </c>
      <c r="BT424" s="5">
        <f>IF(A424="","",N(INDEX(Projects[Act Controls Eng],423)))</f>
        <v/>
      </c>
      <c r="BU424" s="5">
        <f>IF(A424="","",N(INDEX(Projects[Act Controls Purchase],423)))</f>
        <v/>
      </c>
      <c r="BV424" s="5">
        <f>IF(A424="","",N(INDEX(Projects[Act Software Eng],423)))</f>
        <v/>
      </c>
      <c r="BW424" s="5">
        <f>IF(A424="","",N(INDEX(Projects[Act 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  <c r="CE424" s="5">
        <f>INDEX(Projects[Act Data Status],423)&amp;""</f>
        <v/>
      </c>
      <c r="CF424" s="5">
        <f>IF(A424="","",N(INDEX(Projects[Est Mech Inst],423)))</f>
        <v/>
      </c>
      <c r="CG424" s="5">
        <f>IF(A424="","",N(INDEX(Projects[Est Elec Inst],423)))</f>
        <v/>
      </c>
      <c r="CH424" s="5">
        <f>IF(A424="","",N(INDEX(Projects[Est Project Management],423)))</f>
        <v/>
      </c>
      <c r="CI424" s="5">
        <f>IF(A424="","",N(INDEX(Projects[Est Systems Eng],423)))</f>
        <v/>
      </c>
      <c r="CJ424" s="5">
        <f>IF(A424="","",N(INDEX(Projects[Est Mechanical Eng],423)))</f>
        <v/>
      </c>
      <c r="CK424" s="5">
        <f>IF(A424="","",N(INDEX(Projects[Est Structural Engineering],423)))</f>
        <v/>
      </c>
      <c r="CL424" s="5">
        <f>IF(A424="","",N(INDEX(Projects[Est Site Sup],423)))</f>
        <v/>
      </c>
      <c r="CM424" s="5">
        <f>IF(A424="","",N(INDEX(Projects[Est Controls Commissioning],423)))</f>
        <v/>
      </c>
      <c r="CN424" s="5">
        <f>IF(A424="","",N(INDEX(Projects[Est Systems Commissioning],423)))</f>
        <v/>
      </c>
      <c r="CO424" s="5">
        <f>IF(A424="","",N(INDEX(Projects[Est Service Commissioning],423)))</f>
        <v/>
      </c>
      <c r="CP424" s="5">
        <f>IF(A424="","",N(INDEX(Projects[Est Controls Eng],423)))</f>
        <v/>
      </c>
      <c r="CQ424" s="5">
        <f>IF(A424="","",N(INDEX(Projects[Est Controls Purchase],423)))</f>
        <v/>
      </c>
      <c r="CR424" s="5">
        <f>IF(A424="","",N(INDEX(Projects[Est Software Eng],423)))</f>
        <v/>
      </c>
      <c r="CS424" s="5">
        <f>IF(A424="","",N(INDEX(Projects[Est Misc],423)))</f>
        <v/>
      </c>
      <c r="CT424" s="5">
        <f>IF(A424="","",SUM(CF424:CS424))</f>
        <v/>
      </c>
      <c r="CU424" s="5">
        <f>INDEX(Projects[Est Cost (M)],423)</f>
        <v/>
      </c>
      <c r="CV424" s="5">
        <f>INDEX(Projects[Act Cost (M)],423)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IF(A425="","",N(INDEX(Projects[Act Mech Inst],424)))</f>
        <v/>
      </c>
      <c r="BK425" s="5">
        <f>IF(A425="","",N(INDEX(Projects[Act Elec Inst],424)))</f>
        <v/>
      </c>
      <c r="BL425" s="5">
        <f>IF(A425="","",N(INDEX(Projects[Act Project Management],424)))</f>
        <v/>
      </c>
      <c r="BM425" s="5">
        <f>IF(A425="","",N(INDEX(Projects[Act Systems Eng],424)))</f>
        <v/>
      </c>
      <c r="BN425" s="5">
        <f>IF(A425="","",N(INDEX(Projects[Act Mechanical Eng],424)))</f>
        <v/>
      </c>
      <c r="BO425" s="5">
        <f>IF(A425="","",N(INDEX(Projects[Act Structural Engineering],424)))</f>
        <v/>
      </c>
      <c r="BP425" s="5">
        <f>IF(A425="","",N(INDEX(Projects[Act Site Sup],424)))</f>
        <v/>
      </c>
      <c r="BQ425" s="5">
        <f>IF(A425="","",N(INDEX(Projects[Act Controls Commissioning],424)))</f>
        <v/>
      </c>
      <c r="BR425" s="5">
        <f>IF(A425="","",N(INDEX(Projects[Act Systems Commissioning],424)))</f>
        <v/>
      </c>
      <c r="BS425" s="5">
        <f>IF(A425="","",N(INDEX(Projects[Act Service Commissioning],424)))</f>
        <v/>
      </c>
      <c r="BT425" s="5">
        <f>IF(A425="","",N(INDEX(Projects[Act Controls Eng],424)))</f>
        <v/>
      </c>
      <c r="BU425" s="5">
        <f>IF(A425="","",N(INDEX(Projects[Act Controls Purchase],424)))</f>
        <v/>
      </c>
      <c r="BV425" s="5">
        <f>IF(A425="","",N(INDEX(Projects[Act Software Eng],424)))</f>
        <v/>
      </c>
      <c r="BW425" s="5">
        <f>IF(A425="","",N(INDEX(Projects[Act 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  <c r="CE425" s="5">
        <f>INDEX(Projects[Act Data Status],424)&amp;""</f>
        <v/>
      </c>
      <c r="CF425" s="5">
        <f>IF(A425="","",N(INDEX(Projects[Est Mech Inst],424)))</f>
        <v/>
      </c>
      <c r="CG425" s="5">
        <f>IF(A425="","",N(INDEX(Projects[Est Elec Inst],424)))</f>
        <v/>
      </c>
      <c r="CH425" s="5">
        <f>IF(A425="","",N(INDEX(Projects[Est Project Management],424)))</f>
        <v/>
      </c>
      <c r="CI425" s="5">
        <f>IF(A425="","",N(INDEX(Projects[Est Systems Eng],424)))</f>
        <v/>
      </c>
      <c r="CJ425" s="5">
        <f>IF(A425="","",N(INDEX(Projects[Est Mechanical Eng],424)))</f>
        <v/>
      </c>
      <c r="CK425" s="5">
        <f>IF(A425="","",N(INDEX(Projects[Est Structural Engineering],424)))</f>
        <v/>
      </c>
      <c r="CL425" s="5">
        <f>IF(A425="","",N(INDEX(Projects[Est Site Sup],424)))</f>
        <v/>
      </c>
      <c r="CM425" s="5">
        <f>IF(A425="","",N(INDEX(Projects[Est Controls Commissioning],424)))</f>
        <v/>
      </c>
      <c r="CN425" s="5">
        <f>IF(A425="","",N(INDEX(Projects[Est Systems Commissioning],424)))</f>
        <v/>
      </c>
      <c r="CO425" s="5">
        <f>IF(A425="","",N(INDEX(Projects[Est Service Commissioning],424)))</f>
        <v/>
      </c>
      <c r="CP425" s="5">
        <f>IF(A425="","",N(INDEX(Projects[Est Controls Eng],424)))</f>
        <v/>
      </c>
      <c r="CQ425" s="5">
        <f>IF(A425="","",N(INDEX(Projects[Est Controls Purchase],424)))</f>
        <v/>
      </c>
      <c r="CR425" s="5">
        <f>IF(A425="","",N(INDEX(Projects[Est Software Eng],424)))</f>
        <v/>
      </c>
      <c r="CS425" s="5">
        <f>IF(A425="","",N(INDEX(Projects[Est Misc],424)))</f>
        <v/>
      </c>
      <c r="CT425" s="5">
        <f>IF(A425="","",SUM(CF425:CS425))</f>
        <v/>
      </c>
      <c r="CU425" s="5">
        <f>INDEX(Projects[Est Cost (M)],424)</f>
        <v/>
      </c>
      <c r="CV425" s="5">
        <f>INDEX(Projects[Act Cost (M)],424)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IF(A426="","",N(INDEX(Projects[Act Mech Inst],425)))</f>
        <v/>
      </c>
      <c r="BK426" s="5">
        <f>IF(A426="","",N(INDEX(Projects[Act Elec Inst],425)))</f>
        <v/>
      </c>
      <c r="BL426" s="5">
        <f>IF(A426="","",N(INDEX(Projects[Act Project Management],425)))</f>
        <v/>
      </c>
      <c r="BM426" s="5">
        <f>IF(A426="","",N(INDEX(Projects[Act Systems Eng],425)))</f>
        <v/>
      </c>
      <c r="BN426" s="5">
        <f>IF(A426="","",N(INDEX(Projects[Act Mechanical Eng],425)))</f>
        <v/>
      </c>
      <c r="BO426" s="5">
        <f>IF(A426="","",N(INDEX(Projects[Act Structural Engineering],425)))</f>
        <v/>
      </c>
      <c r="BP426" s="5">
        <f>IF(A426="","",N(INDEX(Projects[Act Site Sup],425)))</f>
        <v/>
      </c>
      <c r="BQ426" s="5">
        <f>IF(A426="","",N(INDEX(Projects[Act Controls Commissioning],425)))</f>
        <v/>
      </c>
      <c r="BR426" s="5">
        <f>IF(A426="","",N(INDEX(Projects[Act Systems Commissioning],425)))</f>
        <v/>
      </c>
      <c r="BS426" s="5">
        <f>IF(A426="","",N(INDEX(Projects[Act Service Commissioning],425)))</f>
        <v/>
      </c>
      <c r="BT426" s="5">
        <f>IF(A426="","",N(INDEX(Projects[Act Controls Eng],425)))</f>
        <v/>
      </c>
      <c r="BU426" s="5">
        <f>IF(A426="","",N(INDEX(Projects[Act Controls Purchase],425)))</f>
        <v/>
      </c>
      <c r="BV426" s="5">
        <f>IF(A426="","",N(INDEX(Projects[Act Software Eng],425)))</f>
        <v/>
      </c>
      <c r="BW426" s="5">
        <f>IF(A426="","",N(INDEX(Projects[Act 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  <c r="CE426" s="5">
        <f>INDEX(Projects[Act Data Status],425)&amp;""</f>
        <v/>
      </c>
      <c r="CF426" s="5">
        <f>IF(A426="","",N(INDEX(Projects[Est Mech Inst],425)))</f>
        <v/>
      </c>
      <c r="CG426" s="5">
        <f>IF(A426="","",N(INDEX(Projects[Est Elec Inst],425)))</f>
        <v/>
      </c>
      <c r="CH426" s="5">
        <f>IF(A426="","",N(INDEX(Projects[Est Project Management],425)))</f>
        <v/>
      </c>
      <c r="CI426" s="5">
        <f>IF(A426="","",N(INDEX(Projects[Est Systems Eng],425)))</f>
        <v/>
      </c>
      <c r="CJ426" s="5">
        <f>IF(A426="","",N(INDEX(Projects[Est Mechanical Eng],425)))</f>
        <v/>
      </c>
      <c r="CK426" s="5">
        <f>IF(A426="","",N(INDEX(Projects[Est Structural Engineering],425)))</f>
        <v/>
      </c>
      <c r="CL426" s="5">
        <f>IF(A426="","",N(INDEX(Projects[Est Site Sup],425)))</f>
        <v/>
      </c>
      <c r="CM426" s="5">
        <f>IF(A426="","",N(INDEX(Projects[Est Controls Commissioning],425)))</f>
        <v/>
      </c>
      <c r="CN426" s="5">
        <f>IF(A426="","",N(INDEX(Projects[Est Systems Commissioning],425)))</f>
        <v/>
      </c>
      <c r="CO426" s="5">
        <f>IF(A426="","",N(INDEX(Projects[Est Service Commissioning],425)))</f>
        <v/>
      </c>
      <c r="CP426" s="5">
        <f>IF(A426="","",N(INDEX(Projects[Est Controls Eng],425)))</f>
        <v/>
      </c>
      <c r="CQ426" s="5">
        <f>IF(A426="","",N(INDEX(Projects[Est Controls Purchase],425)))</f>
        <v/>
      </c>
      <c r="CR426" s="5">
        <f>IF(A426="","",N(INDEX(Projects[Est Software Eng],425)))</f>
        <v/>
      </c>
      <c r="CS426" s="5">
        <f>IF(A426="","",N(INDEX(Projects[Est Misc],425)))</f>
        <v/>
      </c>
      <c r="CT426" s="5">
        <f>IF(A426="","",SUM(CF426:CS426))</f>
        <v/>
      </c>
      <c r="CU426" s="5">
        <f>INDEX(Projects[Est Cost (M)],425)</f>
        <v/>
      </c>
      <c r="CV426" s="5">
        <f>INDEX(Projects[Act Cost (M)],425)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IF(A427="","",N(INDEX(Projects[Act Mech Inst],426)))</f>
        <v/>
      </c>
      <c r="BK427" s="5">
        <f>IF(A427="","",N(INDEX(Projects[Act Elec Inst],426)))</f>
        <v/>
      </c>
      <c r="BL427" s="5">
        <f>IF(A427="","",N(INDEX(Projects[Act Project Management],426)))</f>
        <v/>
      </c>
      <c r="BM427" s="5">
        <f>IF(A427="","",N(INDEX(Projects[Act Systems Eng],426)))</f>
        <v/>
      </c>
      <c r="BN427" s="5">
        <f>IF(A427="","",N(INDEX(Projects[Act Mechanical Eng],426)))</f>
        <v/>
      </c>
      <c r="BO427" s="5">
        <f>IF(A427="","",N(INDEX(Projects[Act Structural Engineering],426)))</f>
        <v/>
      </c>
      <c r="BP427" s="5">
        <f>IF(A427="","",N(INDEX(Projects[Act Site Sup],426)))</f>
        <v/>
      </c>
      <c r="BQ427" s="5">
        <f>IF(A427="","",N(INDEX(Projects[Act Controls Commissioning],426)))</f>
        <v/>
      </c>
      <c r="BR427" s="5">
        <f>IF(A427="","",N(INDEX(Projects[Act Systems Commissioning],426)))</f>
        <v/>
      </c>
      <c r="BS427" s="5">
        <f>IF(A427="","",N(INDEX(Projects[Act Service Commissioning],426)))</f>
        <v/>
      </c>
      <c r="BT427" s="5">
        <f>IF(A427="","",N(INDEX(Projects[Act Controls Eng],426)))</f>
        <v/>
      </c>
      <c r="BU427" s="5">
        <f>IF(A427="","",N(INDEX(Projects[Act Controls Purchase],426)))</f>
        <v/>
      </c>
      <c r="BV427" s="5">
        <f>IF(A427="","",N(INDEX(Projects[Act Software Eng],426)))</f>
        <v/>
      </c>
      <c r="BW427" s="5">
        <f>IF(A427="","",N(INDEX(Projects[Act 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  <c r="CE427" s="5">
        <f>INDEX(Projects[Act Data Status],426)&amp;""</f>
        <v/>
      </c>
      <c r="CF427" s="5">
        <f>IF(A427="","",N(INDEX(Projects[Est Mech Inst],426)))</f>
        <v/>
      </c>
      <c r="CG427" s="5">
        <f>IF(A427="","",N(INDEX(Projects[Est Elec Inst],426)))</f>
        <v/>
      </c>
      <c r="CH427" s="5">
        <f>IF(A427="","",N(INDEX(Projects[Est Project Management],426)))</f>
        <v/>
      </c>
      <c r="CI427" s="5">
        <f>IF(A427="","",N(INDEX(Projects[Est Systems Eng],426)))</f>
        <v/>
      </c>
      <c r="CJ427" s="5">
        <f>IF(A427="","",N(INDEX(Projects[Est Mechanical Eng],426)))</f>
        <v/>
      </c>
      <c r="CK427" s="5">
        <f>IF(A427="","",N(INDEX(Projects[Est Structural Engineering],426)))</f>
        <v/>
      </c>
      <c r="CL427" s="5">
        <f>IF(A427="","",N(INDEX(Projects[Est Site Sup],426)))</f>
        <v/>
      </c>
      <c r="CM427" s="5">
        <f>IF(A427="","",N(INDEX(Projects[Est Controls Commissioning],426)))</f>
        <v/>
      </c>
      <c r="CN427" s="5">
        <f>IF(A427="","",N(INDEX(Projects[Est Systems Commissioning],426)))</f>
        <v/>
      </c>
      <c r="CO427" s="5">
        <f>IF(A427="","",N(INDEX(Projects[Est Service Commissioning],426)))</f>
        <v/>
      </c>
      <c r="CP427" s="5">
        <f>IF(A427="","",N(INDEX(Projects[Est Controls Eng],426)))</f>
        <v/>
      </c>
      <c r="CQ427" s="5">
        <f>IF(A427="","",N(INDEX(Projects[Est Controls Purchase],426)))</f>
        <v/>
      </c>
      <c r="CR427" s="5">
        <f>IF(A427="","",N(INDEX(Projects[Est Software Eng],426)))</f>
        <v/>
      </c>
      <c r="CS427" s="5">
        <f>IF(A427="","",N(INDEX(Projects[Est Misc],426)))</f>
        <v/>
      </c>
      <c r="CT427" s="5">
        <f>IF(A427="","",SUM(CF427:CS427))</f>
        <v/>
      </c>
      <c r="CU427" s="5">
        <f>INDEX(Projects[Est Cost (M)],426)</f>
        <v/>
      </c>
      <c r="CV427" s="5">
        <f>INDEX(Projects[Act Cost (M)],426)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IF(A428="","",N(INDEX(Projects[Act Mech Inst],427)))</f>
        <v/>
      </c>
      <c r="BK428" s="5">
        <f>IF(A428="","",N(INDEX(Projects[Act Elec Inst],427)))</f>
        <v/>
      </c>
      <c r="BL428" s="5">
        <f>IF(A428="","",N(INDEX(Projects[Act Project Management],427)))</f>
        <v/>
      </c>
      <c r="BM428" s="5">
        <f>IF(A428="","",N(INDEX(Projects[Act Systems Eng],427)))</f>
        <v/>
      </c>
      <c r="BN428" s="5">
        <f>IF(A428="","",N(INDEX(Projects[Act Mechanical Eng],427)))</f>
        <v/>
      </c>
      <c r="BO428" s="5">
        <f>IF(A428="","",N(INDEX(Projects[Act Structural Engineering],427)))</f>
        <v/>
      </c>
      <c r="BP428" s="5">
        <f>IF(A428="","",N(INDEX(Projects[Act Site Sup],427)))</f>
        <v/>
      </c>
      <c r="BQ428" s="5">
        <f>IF(A428="","",N(INDEX(Projects[Act Controls Commissioning],427)))</f>
        <v/>
      </c>
      <c r="BR428" s="5">
        <f>IF(A428="","",N(INDEX(Projects[Act Systems Commissioning],427)))</f>
        <v/>
      </c>
      <c r="BS428" s="5">
        <f>IF(A428="","",N(INDEX(Projects[Act Service Commissioning],427)))</f>
        <v/>
      </c>
      <c r="BT428" s="5">
        <f>IF(A428="","",N(INDEX(Projects[Act Controls Eng],427)))</f>
        <v/>
      </c>
      <c r="BU428" s="5">
        <f>IF(A428="","",N(INDEX(Projects[Act Controls Purchase],427)))</f>
        <v/>
      </c>
      <c r="BV428" s="5">
        <f>IF(A428="","",N(INDEX(Projects[Act Software Eng],427)))</f>
        <v/>
      </c>
      <c r="BW428" s="5">
        <f>IF(A428="","",N(INDEX(Projects[Act 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  <c r="CE428" s="5">
        <f>INDEX(Projects[Act Data Status],427)&amp;""</f>
        <v/>
      </c>
      <c r="CF428" s="5">
        <f>IF(A428="","",N(INDEX(Projects[Est Mech Inst],427)))</f>
        <v/>
      </c>
      <c r="CG428" s="5">
        <f>IF(A428="","",N(INDEX(Projects[Est Elec Inst],427)))</f>
        <v/>
      </c>
      <c r="CH428" s="5">
        <f>IF(A428="","",N(INDEX(Projects[Est Project Management],427)))</f>
        <v/>
      </c>
      <c r="CI428" s="5">
        <f>IF(A428="","",N(INDEX(Projects[Est Systems Eng],427)))</f>
        <v/>
      </c>
      <c r="CJ428" s="5">
        <f>IF(A428="","",N(INDEX(Projects[Est Mechanical Eng],427)))</f>
        <v/>
      </c>
      <c r="CK428" s="5">
        <f>IF(A428="","",N(INDEX(Projects[Est Structural Engineering],427)))</f>
        <v/>
      </c>
      <c r="CL428" s="5">
        <f>IF(A428="","",N(INDEX(Projects[Est Site Sup],427)))</f>
        <v/>
      </c>
      <c r="CM428" s="5">
        <f>IF(A428="","",N(INDEX(Projects[Est Controls Commissioning],427)))</f>
        <v/>
      </c>
      <c r="CN428" s="5">
        <f>IF(A428="","",N(INDEX(Projects[Est Systems Commissioning],427)))</f>
        <v/>
      </c>
      <c r="CO428" s="5">
        <f>IF(A428="","",N(INDEX(Projects[Est Service Commissioning],427)))</f>
        <v/>
      </c>
      <c r="CP428" s="5">
        <f>IF(A428="","",N(INDEX(Projects[Est Controls Eng],427)))</f>
        <v/>
      </c>
      <c r="CQ428" s="5">
        <f>IF(A428="","",N(INDEX(Projects[Est Controls Purchase],427)))</f>
        <v/>
      </c>
      <c r="CR428" s="5">
        <f>IF(A428="","",N(INDEX(Projects[Est Software Eng],427)))</f>
        <v/>
      </c>
      <c r="CS428" s="5">
        <f>IF(A428="","",N(INDEX(Projects[Est Misc],427)))</f>
        <v/>
      </c>
      <c r="CT428" s="5">
        <f>IF(A428="","",SUM(CF428:CS428))</f>
        <v/>
      </c>
      <c r="CU428" s="5">
        <f>INDEX(Projects[Est Cost (M)],427)</f>
        <v/>
      </c>
      <c r="CV428" s="5">
        <f>INDEX(Projects[Act Cost (M)],427)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IF(A429="","",N(INDEX(Projects[Act Mech Inst],428)))</f>
        <v/>
      </c>
      <c r="BK429" s="5">
        <f>IF(A429="","",N(INDEX(Projects[Act Elec Inst],428)))</f>
        <v/>
      </c>
      <c r="BL429" s="5">
        <f>IF(A429="","",N(INDEX(Projects[Act Project Management],428)))</f>
        <v/>
      </c>
      <c r="BM429" s="5">
        <f>IF(A429="","",N(INDEX(Projects[Act Systems Eng],428)))</f>
        <v/>
      </c>
      <c r="BN429" s="5">
        <f>IF(A429="","",N(INDEX(Projects[Act Mechanical Eng],428)))</f>
        <v/>
      </c>
      <c r="BO429" s="5">
        <f>IF(A429="","",N(INDEX(Projects[Act Structural Engineering],428)))</f>
        <v/>
      </c>
      <c r="BP429" s="5">
        <f>IF(A429="","",N(INDEX(Projects[Act Site Sup],428)))</f>
        <v/>
      </c>
      <c r="BQ429" s="5">
        <f>IF(A429="","",N(INDEX(Projects[Act Controls Commissioning],428)))</f>
        <v/>
      </c>
      <c r="BR429" s="5">
        <f>IF(A429="","",N(INDEX(Projects[Act Systems Commissioning],428)))</f>
        <v/>
      </c>
      <c r="BS429" s="5">
        <f>IF(A429="","",N(INDEX(Projects[Act Service Commissioning],428)))</f>
        <v/>
      </c>
      <c r="BT429" s="5">
        <f>IF(A429="","",N(INDEX(Projects[Act Controls Eng],428)))</f>
        <v/>
      </c>
      <c r="BU429" s="5">
        <f>IF(A429="","",N(INDEX(Projects[Act Controls Purchase],428)))</f>
        <v/>
      </c>
      <c r="BV429" s="5">
        <f>IF(A429="","",N(INDEX(Projects[Act Software Eng],428)))</f>
        <v/>
      </c>
      <c r="BW429" s="5">
        <f>IF(A429="","",N(INDEX(Projects[Act 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  <c r="CE429" s="5">
        <f>INDEX(Projects[Act Data Status],428)&amp;""</f>
        <v/>
      </c>
      <c r="CF429" s="5">
        <f>IF(A429="","",N(INDEX(Projects[Est Mech Inst],428)))</f>
        <v/>
      </c>
      <c r="CG429" s="5">
        <f>IF(A429="","",N(INDEX(Projects[Est Elec Inst],428)))</f>
        <v/>
      </c>
      <c r="CH429" s="5">
        <f>IF(A429="","",N(INDEX(Projects[Est Project Management],428)))</f>
        <v/>
      </c>
      <c r="CI429" s="5">
        <f>IF(A429="","",N(INDEX(Projects[Est Systems Eng],428)))</f>
        <v/>
      </c>
      <c r="CJ429" s="5">
        <f>IF(A429="","",N(INDEX(Projects[Est Mechanical Eng],428)))</f>
        <v/>
      </c>
      <c r="CK429" s="5">
        <f>IF(A429="","",N(INDEX(Projects[Est Structural Engineering],428)))</f>
        <v/>
      </c>
      <c r="CL429" s="5">
        <f>IF(A429="","",N(INDEX(Projects[Est Site Sup],428)))</f>
        <v/>
      </c>
      <c r="CM429" s="5">
        <f>IF(A429="","",N(INDEX(Projects[Est Controls Commissioning],428)))</f>
        <v/>
      </c>
      <c r="CN429" s="5">
        <f>IF(A429="","",N(INDEX(Projects[Est Systems Commissioning],428)))</f>
        <v/>
      </c>
      <c r="CO429" s="5">
        <f>IF(A429="","",N(INDEX(Projects[Est Service Commissioning],428)))</f>
        <v/>
      </c>
      <c r="CP429" s="5">
        <f>IF(A429="","",N(INDEX(Projects[Est Controls Eng],428)))</f>
        <v/>
      </c>
      <c r="CQ429" s="5">
        <f>IF(A429="","",N(INDEX(Projects[Est Controls Purchase],428)))</f>
        <v/>
      </c>
      <c r="CR429" s="5">
        <f>IF(A429="","",N(INDEX(Projects[Est Software Eng],428)))</f>
        <v/>
      </c>
      <c r="CS429" s="5">
        <f>IF(A429="","",N(INDEX(Projects[Est Misc],428)))</f>
        <v/>
      </c>
      <c r="CT429" s="5">
        <f>IF(A429="","",SUM(CF429:CS429))</f>
        <v/>
      </c>
      <c r="CU429" s="5">
        <f>INDEX(Projects[Est Cost (M)],428)</f>
        <v/>
      </c>
      <c r="CV429" s="5">
        <f>INDEX(Projects[Act Cost (M)],428)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IF(A430="","",N(INDEX(Projects[Act Mech Inst],429)))</f>
        <v/>
      </c>
      <c r="BK430" s="5">
        <f>IF(A430="","",N(INDEX(Projects[Act Elec Inst],429)))</f>
        <v/>
      </c>
      <c r="BL430" s="5">
        <f>IF(A430="","",N(INDEX(Projects[Act Project Management],429)))</f>
        <v/>
      </c>
      <c r="BM430" s="5">
        <f>IF(A430="","",N(INDEX(Projects[Act Systems Eng],429)))</f>
        <v/>
      </c>
      <c r="BN430" s="5">
        <f>IF(A430="","",N(INDEX(Projects[Act Mechanical Eng],429)))</f>
        <v/>
      </c>
      <c r="BO430" s="5">
        <f>IF(A430="","",N(INDEX(Projects[Act Structural Engineering],429)))</f>
        <v/>
      </c>
      <c r="BP430" s="5">
        <f>IF(A430="","",N(INDEX(Projects[Act Site Sup],429)))</f>
        <v/>
      </c>
      <c r="BQ430" s="5">
        <f>IF(A430="","",N(INDEX(Projects[Act Controls Commissioning],429)))</f>
        <v/>
      </c>
      <c r="BR430" s="5">
        <f>IF(A430="","",N(INDEX(Projects[Act Systems Commissioning],429)))</f>
        <v/>
      </c>
      <c r="BS430" s="5">
        <f>IF(A430="","",N(INDEX(Projects[Act Service Commissioning],429)))</f>
        <v/>
      </c>
      <c r="BT430" s="5">
        <f>IF(A430="","",N(INDEX(Projects[Act Controls Eng],429)))</f>
        <v/>
      </c>
      <c r="BU430" s="5">
        <f>IF(A430="","",N(INDEX(Projects[Act Controls Purchase],429)))</f>
        <v/>
      </c>
      <c r="BV430" s="5">
        <f>IF(A430="","",N(INDEX(Projects[Act Software Eng],429)))</f>
        <v/>
      </c>
      <c r="BW430" s="5">
        <f>IF(A430="","",N(INDEX(Projects[Act 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  <c r="CE430" s="5">
        <f>INDEX(Projects[Act Data Status],429)&amp;""</f>
        <v/>
      </c>
      <c r="CF430" s="5">
        <f>IF(A430="","",N(INDEX(Projects[Est Mech Inst],429)))</f>
        <v/>
      </c>
      <c r="CG430" s="5">
        <f>IF(A430="","",N(INDEX(Projects[Est Elec Inst],429)))</f>
        <v/>
      </c>
      <c r="CH430" s="5">
        <f>IF(A430="","",N(INDEX(Projects[Est Project Management],429)))</f>
        <v/>
      </c>
      <c r="CI430" s="5">
        <f>IF(A430="","",N(INDEX(Projects[Est Systems Eng],429)))</f>
        <v/>
      </c>
      <c r="CJ430" s="5">
        <f>IF(A430="","",N(INDEX(Projects[Est Mechanical Eng],429)))</f>
        <v/>
      </c>
      <c r="CK430" s="5">
        <f>IF(A430="","",N(INDEX(Projects[Est Structural Engineering],429)))</f>
        <v/>
      </c>
      <c r="CL430" s="5">
        <f>IF(A430="","",N(INDEX(Projects[Est Site Sup],429)))</f>
        <v/>
      </c>
      <c r="CM430" s="5">
        <f>IF(A430="","",N(INDEX(Projects[Est Controls Commissioning],429)))</f>
        <v/>
      </c>
      <c r="CN430" s="5">
        <f>IF(A430="","",N(INDEX(Projects[Est Systems Commissioning],429)))</f>
        <v/>
      </c>
      <c r="CO430" s="5">
        <f>IF(A430="","",N(INDEX(Projects[Est Service Commissioning],429)))</f>
        <v/>
      </c>
      <c r="CP430" s="5">
        <f>IF(A430="","",N(INDEX(Projects[Est Controls Eng],429)))</f>
        <v/>
      </c>
      <c r="CQ430" s="5">
        <f>IF(A430="","",N(INDEX(Projects[Est Controls Purchase],429)))</f>
        <v/>
      </c>
      <c r="CR430" s="5">
        <f>IF(A430="","",N(INDEX(Projects[Est Software Eng],429)))</f>
        <v/>
      </c>
      <c r="CS430" s="5">
        <f>IF(A430="","",N(INDEX(Projects[Est Misc],429)))</f>
        <v/>
      </c>
      <c r="CT430" s="5">
        <f>IF(A430="","",SUM(CF430:CS430))</f>
        <v/>
      </c>
      <c r="CU430" s="5">
        <f>INDEX(Projects[Est Cost (M)],429)</f>
        <v/>
      </c>
      <c r="CV430" s="5">
        <f>INDEX(Projects[Act Cost (M)],429)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IF(A431="","",N(INDEX(Projects[Act Mech Inst],430)))</f>
        <v/>
      </c>
      <c r="BK431" s="5">
        <f>IF(A431="","",N(INDEX(Projects[Act Elec Inst],430)))</f>
        <v/>
      </c>
      <c r="BL431" s="5">
        <f>IF(A431="","",N(INDEX(Projects[Act Project Management],430)))</f>
        <v/>
      </c>
      <c r="BM431" s="5">
        <f>IF(A431="","",N(INDEX(Projects[Act Systems Eng],430)))</f>
        <v/>
      </c>
      <c r="BN431" s="5">
        <f>IF(A431="","",N(INDEX(Projects[Act Mechanical Eng],430)))</f>
        <v/>
      </c>
      <c r="BO431" s="5">
        <f>IF(A431="","",N(INDEX(Projects[Act Structural Engineering],430)))</f>
        <v/>
      </c>
      <c r="BP431" s="5">
        <f>IF(A431="","",N(INDEX(Projects[Act Site Sup],430)))</f>
        <v/>
      </c>
      <c r="BQ431" s="5">
        <f>IF(A431="","",N(INDEX(Projects[Act Controls Commissioning],430)))</f>
        <v/>
      </c>
      <c r="BR431" s="5">
        <f>IF(A431="","",N(INDEX(Projects[Act Systems Commissioning],430)))</f>
        <v/>
      </c>
      <c r="BS431" s="5">
        <f>IF(A431="","",N(INDEX(Projects[Act Service Commissioning],430)))</f>
        <v/>
      </c>
      <c r="BT431" s="5">
        <f>IF(A431="","",N(INDEX(Projects[Act Controls Eng],430)))</f>
        <v/>
      </c>
      <c r="BU431" s="5">
        <f>IF(A431="","",N(INDEX(Projects[Act Controls Purchase],430)))</f>
        <v/>
      </c>
      <c r="BV431" s="5">
        <f>IF(A431="","",N(INDEX(Projects[Act Software Eng],430)))</f>
        <v/>
      </c>
      <c r="BW431" s="5">
        <f>IF(A431="","",N(INDEX(Projects[Act 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  <c r="CE431" s="5">
        <f>INDEX(Projects[Act Data Status],430)&amp;""</f>
        <v/>
      </c>
      <c r="CF431" s="5">
        <f>IF(A431="","",N(INDEX(Projects[Est Mech Inst],430)))</f>
        <v/>
      </c>
      <c r="CG431" s="5">
        <f>IF(A431="","",N(INDEX(Projects[Est Elec Inst],430)))</f>
        <v/>
      </c>
      <c r="CH431" s="5">
        <f>IF(A431="","",N(INDEX(Projects[Est Project Management],430)))</f>
        <v/>
      </c>
      <c r="CI431" s="5">
        <f>IF(A431="","",N(INDEX(Projects[Est Systems Eng],430)))</f>
        <v/>
      </c>
      <c r="CJ431" s="5">
        <f>IF(A431="","",N(INDEX(Projects[Est Mechanical Eng],430)))</f>
        <v/>
      </c>
      <c r="CK431" s="5">
        <f>IF(A431="","",N(INDEX(Projects[Est Structural Engineering],430)))</f>
        <v/>
      </c>
      <c r="CL431" s="5">
        <f>IF(A431="","",N(INDEX(Projects[Est Site Sup],430)))</f>
        <v/>
      </c>
      <c r="CM431" s="5">
        <f>IF(A431="","",N(INDEX(Projects[Est Controls Commissioning],430)))</f>
        <v/>
      </c>
      <c r="CN431" s="5">
        <f>IF(A431="","",N(INDEX(Projects[Est Systems Commissioning],430)))</f>
        <v/>
      </c>
      <c r="CO431" s="5">
        <f>IF(A431="","",N(INDEX(Projects[Est Service Commissioning],430)))</f>
        <v/>
      </c>
      <c r="CP431" s="5">
        <f>IF(A431="","",N(INDEX(Projects[Est Controls Eng],430)))</f>
        <v/>
      </c>
      <c r="CQ431" s="5">
        <f>IF(A431="","",N(INDEX(Projects[Est Controls Purchase],430)))</f>
        <v/>
      </c>
      <c r="CR431" s="5">
        <f>IF(A431="","",N(INDEX(Projects[Est Software Eng],430)))</f>
        <v/>
      </c>
      <c r="CS431" s="5">
        <f>IF(A431="","",N(INDEX(Projects[Est Misc],430)))</f>
        <v/>
      </c>
      <c r="CT431" s="5">
        <f>IF(A431="","",SUM(CF431:CS431))</f>
        <v/>
      </c>
      <c r="CU431" s="5">
        <f>INDEX(Projects[Est Cost (M)],430)</f>
        <v/>
      </c>
      <c r="CV431" s="5">
        <f>INDEX(Projects[Act Cost (M)],430)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IF(A432="","",N(INDEX(Projects[Act Mech Inst],431)))</f>
        <v/>
      </c>
      <c r="BK432" s="5">
        <f>IF(A432="","",N(INDEX(Projects[Act Elec Inst],431)))</f>
        <v/>
      </c>
      <c r="BL432" s="5">
        <f>IF(A432="","",N(INDEX(Projects[Act Project Management],431)))</f>
        <v/>
      </c>
      <c r="BM432" s="5">
        <f>IF(A432="","",N(INDEX(Projects[Act Systems Eng],431)))</f>
        <v/>
      </c>
      <c r="BN432" s="5">
        <f>IF(A432="","",N(INDEX(Projects[Act Mechanical Eng],431)))</f>
        <v/>
      </c>
      <c r="BO432" s="5">
        <f>IF(A432="","",N(INDEX(Projects[Act Structural Engineering],431)))</f>
        <v/>
      </c>
      <c r="BP432" s="5">
        <f>IF(A432="","",N(INDEX(Projects[Act Site Sup],431)))</f>
        <v/>
      </c>
      <c r="BQ432" s="5">
        <f>IF(A432="","",N(INDEX(Projects[Act Controls Commissioning],431)))</f>
        <v/>
      </c>
      <c r="BR432" s="5">
        <f>IF(A432="","",N(INDEX(Projects[Act Systems Commissioning],431)))</f>
        <v/>
      </c>
      <c r="BS432" s="5">
        <f>IF(A432="","",N(INDEX(Projects[Act Service Commissioning],431)))</f>
        <v/>
      </c>
      <c r="BT432" s="5">
        <f>IF(A432="","",N(INDEX(Projects[Act Controls Eng],431)))</f>
        <v/>
      </c>
      <c r="BU432" s="5">
        <f>IF(A432="","",N(INDEX(Projects[Act Controls Purchase],431)))</f>
        <v/>
      </c>
      <c r="BV432" s="5">
        <f>IF(A432="","",N(INDEX(Projects[Act Software Eng],431)))</f>
        <v/>
      </c>
      <c r="BW432" s="5">
        <f>IF(A432="","",N(INDEX(Projects[Act 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  <c r="CE432" s="5">
        <f>INDEX(Projects[Act Data Status],431)&amp;""</f>
        <v/>
      </c>
      <c r="CF432" s="5">
        <f>IF(A432="","",N(INDEX(Projects[Est Mech Inst],431)))</f>
        <v/>
      </c>
      <c r="CG432" s="5">
        <f>IF(A432="","",N(INDEX(Projects[Est Elec Inst],431)))</f>
        <v/>
      </c>
      <c r="CH432" s="5">
        <f>IF(A432="","",N(INDEX(Projects[Est Project Management],431)))</f>
        <v/>
      </c>
      <c r="CI432" s="5">
        <f>IF(A432="","",N(INDEX(Projects[Est Systems Eng],431)))</f>
        <v/>
      </c>
      <c r="CJ432" s="5">
        <f>IF(A432="","",N(INDEX(Projects[Est Mechanical Eng],431)))</f>
        <v/>
      </c>
      <c r="CK432" s="5">
        <f>IF(A432="","",N(INDEX(Projects[Est Structural Engineering],431)))</f>
        <v/>
      </c>
      <c r="CL432" s="5">
        <f>IF(A432="","",N(INDEX(Projects[Est Site Sup],431)))</f>
        <v/>
      </c>
      <c r="CM432" s="5">
        <f>IF(A432="","",N(INDEX(Projects[Est Controls Commissioning],431)))</f>
        <v/>
      </c>
      <c r="CN432" s="5">
        <f>IF(A432="","",N(INDEX(Projects[Est Systems Commissioning],431)))</f>
        <v/>
      </c>
      <c r="CO432" s="5">
        <f>IF(A432="","",N(INDEX(Projects[Est Service Commissioning],431)))</f>
        <v/>
      </c>
      <c r="CP432" s="5">
        <f>IF(A432="","",N(INDEX(Projects[Est Controls Eng],431)))</f>
        <v/>
      </c>
      <c r="CQ432" s="5">
        <f>IF(A432="","",N(INDEX(Projects[Est Controls Purchase],431)))</f>
        <v/>
      </c>
      <c r="CR432" s="5">
        <f>IF(A432="","",N(INDEX(Projects[Est Software Eng],431)))</f>
        <v/>
      </c>
      <c r="CS432" s="5">
        <f>IF(A432="","",N(INDEX(Projects[Est Misc],431)))</f>
        <v/>
      </c>
      <c r="CT432" s="5">
        <f>IF(A432="","",SUM(CF432:CS432))</f>
        <v/>
      </c>
      <c r="CU432" s="5">
        <f>INDEX(Projects[Est Cost (M)],431)</f>
        <v/>
      </c>
      <c r="CV432" s="5">
        <f>INDEX(Projects[Act Cost (M)],431)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IF(A433="","",N(INDEX(Projects[Act Mech Inst],432)))</f>
        <v/>
      </c>
      <c r="BK433" s="5">
        <f>IF(A433="","",N(INDEX(Projects[Act Elec Inst],432)))</f>
        <v/>
      </c>
      <c r="BL433" s="5">
        <f>IF(A433="","",N(INDEX(Projects[Act Project Management],432)))</f>
        <v/>
      </c>
      <c r="BM433" s="5">
        <f>IF(A433="","",N(INDEX(Projects[Act Systems Eng],432)))</f>
        <v/>
      </c>
      <c r="BN433" s="5">
        <f>IF(A433="","",N(INDEX(Projects[Act Mechanical Eng],432)))</f>
        <v/>
      </c>
      <c r="BO433" s="5">
        <f>IF(A433="","",N(INDEX(Projects[Act Structural Engineering],432)))</f>
        <v/>
      </c>
      <c r="BP433" s="5">
        <f>IF(A433="","",N(INDEX(Projects[Act Site Sup],432)))</f>
        <v/>
      </c>
      <c r="BQ433" s="5">
        <f>IF(A433="","",N(INDEX(Projects[Act Controls Commissioning],432)))</f>
        <v/>
      </c>
      <c r="BR433" s="5">
        <f>IF(A433="","",N(INDEX(Projects[Act Systems Commissioning],432)))</f>
        <v/>
      </c>
      <c r="BS433" s="5">
        <f>IF(A433="","",N(INDEX(Projects[Act Service Commissioning],432)))</f>
        <v/>
      </c>
      <c r="BT433" s="5">
        <f>IF(A433="","",N(INDEX(Projects[Act Controls Eng],432)))</f>
        <v/>
      </c>
      <c r="BU433" s="5">
        <f>IF(A433="","",N(INDEX(Projects[Act Controls Purchase],432)))</f>
        <v/>
      </c>
      <c r="BV433" s="5">
        <f>IF(A433="","",N(INDEX(Projects[Act Software Eng],432)))</f>
        <v/>
      </c>
      <c r="BW433" s="5">
        <f>IF(A433="","",N(INDEX(Projects[Act 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  <c r="CE433" s="5">
        <f>INDEX(Projects[Act Data Status],432)&amp;""</f>
        <v/>
      </c>
      <c r="CF433" s="5">
        <f>IF(A433="","",N(INDEX(Projects[Est Mech Inst],432)))</f>
        <v/>
      </c>
      <c r="CG433" s="5">
        <f>IF(A433="","",N(INDEX(Projects[Est Elec Inst],432)))</f>
        <v/>
      </c>
      <c r="CH433" s="5">
        <f>IF(A433="","",N(INDEX(Projects[Est Project Management],432)))</f>
        <v/>
      </c>
      <c r="CI433" s="5">
        <f>IF(A433="","",N(INDEX(Projects[Est Systems Eng],432)))</f>
        <v/>
      </c>
      <c r="CJ433" s="5">
        <f>IF(A433="","",N(INDEX(Projects[Est Mechanical Eng],432)))</f>
        <v/>
      </c>
      <c r="CK433" s="5">
        <f>IF(A433="","",N(INDEX(Projects[Est Structural Engineering],432)))</f>
        <v/>
      </c>
      <c r="CL433" s="5">
        <f>IF(A433="","",N(INDEX(Projects[Est Site Sup],432)))</f>
        <v/>
      </c>
      <c r="CM433" s="5">
        <f>IF(A433="","",N(INDEX(Projects[Est Controls Commissioning],432)))</f>
        <v/>
      </c>
      <c r="CN433" s="5">
        <f>IF(A433="","",N(INDEX(Projects[Est Systems Commissioning],432)))</f>
        <v/>
      </c>
      <c r="CO433" s="5">
        <f>IF(A433="","",N(INDEX(Projects[Est Service Commissioning],432)))</f>
        <v/>
      </c>
      <c r="CP433" s="5">
        <f>IF(A433="","",N(INDEX(Projects[Est Controls Eng],432)))</f>
        <v/>
      </c>
      <c r="CQ433" s="5">
        <f>IF(A433="","",N(INDEX(Projects[Est Controls Purchase],432)))</f>
        <v/>
      </c>
      <c r="CR433" s="5">
        <f>IF(A433="","",N(INDEX(Projects[Est Software Eng],432)))</f>
        <v/>
      </c>
      <c r="CS433" s="5">
        <f>IF(A433="","",N(INDEX(Projects[Est Misc],432)))</f>
        <v/>
      </c>
      <c r="CT433" s="5">
        <f>IF(A433="","",SUM(CF433:CS433))</f>
        <v/>
      </c>
      <c r="CU433" s="5">
        <f>INDEX(Projects[Est Cost (M)],432)</f>
        <v/>
      </c>
      <c r="CV433" s="5">
        <f>INDEX(Projects[Act Cost (M)],432)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IF(A434="","",N(INDEX(Projects[Act Mech Inst],433)))</f>
        <v/>
      </c>
      <c r="BK434" s="5">
        <f>IF(A434="","",N(INDEX(Projects[Act Elec Inst],433)))</f>
        <v/>
      </c>
      <c r="BL434" s="5">
        <f>IF(A434="","",N(INDEX(Projects[Act Project Management],433)))</f>
        <v/>
      </c>
      <c r="BM434" s="5">
        <f>IF(A434="","",N(INDEX(Projects[Act Systems Eng],433)))</f>
        <v/>
      </c>
      <c r="BN434" s="5">
        <f>IF(A434="","",N(INDEX(Projects[Act Mechanical Eng],433)))</f>
        <v/>
      </c>
      <c r="BO434" s="5">
        <f>IF(A434="","",N(INDEX(Projects[Act Structural Engineering],433)))</f>
        <v/>
      </c>
      <c r="BP434" s="5">
        <f>IF(A434="","",N(INDEX(Projects[Act Site Sup],433)))</f>
        <v/>
      </c>
      <c r="BQ434" s="5">
        <f>IF(A434="","",N(INDEX(Projects[Act Controls Commissioning],433)))</f>
        <v/>
      </c>
      <c r="BR434" s="5">
        <f>IF(A434="","",N(INDEX(Projects[Act Systems Commissioning],433)))</f>
        <v/>
      </c>
      <c r="BS434" s="5">
        <f>IF(A434="","",N(INDEX(Projects[Act Service Commissioning],433)))</f>
        <v/>
      </c>
      <c r="BT434" s="5">
        <f>IF(A434="","",N(INDEX(Projects[Act Controls Eng],433)))</f>
        <v/>
      </c>
      <c r="BU434" s="5">
        <f>IF(A434="","",N(INDEX(Projects[Act Controls Purchase],433)))</f>
        <v/>
      </c>
      <c r="BV434" s="5">
        <f>IF(A434="","",N(INDEX(Projects[Act Software Eng],433)))</f>
        <v/>
      </c>
      <c r="BW434" s="5">
        <f>IF(A434="","",N(INDEX(Projects[Act 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  <c r="CE434" s="5">
        <f>INDEX(Projects[Act Data Status],433)&amp;""</f>
        <v/>
      </c>
      <c r="CF434" s="5">
        <f>IF(A434="","",N(INDEX(Projects[Est Mech Inst],433)))</f>
        <v/>
      </c>
      <c r="CG434" s="5">
        <f>IF(A434="","",N(INDEX(Projects[Est Elec Inst],433)))</f>
        <v/>
      </c>
      <c r="CH434" s="5">
        <f>IF(A434="","",N(INDEX(Projects[Est Project Management],433)))</f>
        <v/>
      </c>
      <c r="CI434" s="5">
        <f>IF(A434="","",N(INDEX(Projects[Est Systems Eng],433)))</f>
        <v/>
      </c>
      <c r="CJ434" s="5">
        <f>IF(A434="","",N(INDEX(Projects[Est Mechanical Eng],433)))</f>
        <v/>
      </c>
      <c r="CK434" s="5">
        <f>IF(A434="","",N(INDEX(Projects[Est Structural Engineering],433)))</f>
        <v/>
      </c>
      <c r="CL434" s="5">
        <f>IF(A434="","",N(INDEX(Projects[Est Site Sup],433)))</f>
        <v/>
      </c>
      <c r="CM434" s="5">
        <f>IF(A434="","",N(INDEX(Projects[Est Controls Commissioning],433)))</f>
        <v/>
      </c>
      <c r="CN434" s="5">
        <f>IF(A434="","",N(INDEX(Projects[Est Systems Commissioning],433)))</f>
        <v/>
      </c>
      <c r="CO434" s="5">
        <f>IF(A434="","",N(INDEX(Projects[Est Service Commissioning],433)))</f>
        <v/>
      </c>
      <c r="CP434" s="5">
        <f>IF(A434="","",N(INDEX(Projects[Est Controls Eng],433)))</f>
        <v/>
      </c>
      <c r="CQ434" s="5">
        <f>IF(A434="","",N(INDEX(Projects[Est Controls Purchase],433)))</f>
        <v/>
      </c>
      <c r="CR434" s="5">
        <f>IF(A434="","",N(INDEX(Projects[Est Software Eng],433)))</f>
        <v/>
      </c>
      <c r="CS434" s="5">
        <f>IF(A434="","",N(INDEX(Projects[Est Misc],433)))</f>
        <v/>
      </c>
      <c r="CT434" s="5">
        <f>IF(A434="","",SUM(CF434:CS434))</f>
        <v/>
      </c>
      <c r="CU434" s="5">
        <f>INDEX(Projects[Est Cost (M)],433)</f>
        <v/>
      </c>
      <c r="CV434" s="5">
        <f>INDEX(Projects[Act Cost (M)],433)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IF(A435="","",N(INDEX(Projects[Act Mech Inst],434)))</f>
        <v/>
      </c>
      <c r="BK435" s="5">
        <f>IF(A435="","",N(INDEX(Projects[Act Elec Inst],434)))</f>
        <v/>
      </c>
      <c r="BL435" s="5">
        <f>IF(A435="","",N(INDEX(Projects[Act Project Management],434)))</f>
        <v/>
      </c>
      <c r="BM435" s="5">
        <f>IF(A435="","",N(INDEX(Projects[Act Systems Eng],434)))</f>
        <v/>
      </c>
      <c r="BN435" s="5">
        <f>IF(A435="","",N(INDEX(Projects[Act Mechanical Eng],434)))</f>
        <v/>
      </c>
      <c r="BO435" s="5">
        <f>IF(A435="","",N(INDEX(Projects[Act Structural Engineering],434)))</f>
        <v/>
      </c>
      <c r="BP435" s="5">
        <f>IF(A435="","",N(INDEX(Projects[Act Site Sup],434)))</f>
        <v/>
      </c>
      <c r="BQ435" s="5">
        <f>IF(A435="","",N(INDEX(Projects[Act Controls Commissioning],434)))</f>
        <v/>
      </c>
      <c r="BR435" s="5">
        <f>IF(A435="","",N(INDEX(Projects[Act Systems Commissioning],434)))</f>
        <v/>
      </c>
      <c r="BS435" s="5">
        <f>IF(A435="","",N(INDEX(Projects[Act Service Commissioning],434)))</f>
        <v/>
      </c>
      <c r="BT435" s="5">
        <f>IF(A435="","",N(INDEX(Projects[Act Controls Eng],434)))</f>
        <v/>
      </c>
      <c r="BU435" s="5">
        <f>IF(A435="","",N(INDEX(Projects[Act Controls Purchase],434)))</f>
        <v/>
      </c>
      <c r="BV435" s="5">
        <f>IF(A435="","",N(INDEX(Projects[Act Software Eng],434)))</f>
        <v/>
      </c>
      <c r="BW435" s="5">
        <f>IF(A435="","",N(INDEX(Projects[Act 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  <c r="CE435" s="5">
        <f>INDEX(Projects[Act Data Status],434)&amp;""</f>
        <v/>
      </c>
      <c r="CF435" s="5">
        <f>IF(A435="","",N(INDEX(Projects[Est Mech Inst],434)))</f>
        <v/>
      </c>
      <c r="CG435" s="5">
        <f>IF(A435="","",N(INDEX(Projects[Est Elec Inst],434)))</f>
        <v/>
      </c>
      <c r="CH435" s="5">
        <f>IF(A435="","",N(INDEX(Projects[Est Project Management],434)))</f>
        <v/>
      </c>
      <c r="CI435" s="5">
        <f>IF(A435="","",N(INDEX(Projects[Est Systems Eng],434)))</f>
        <v/>
      </c>
      <c r="CJ435" s="5">
        <f>IF(A435="","",N(INDEX(Projects[Est Mechanical Eng],434)))</f>
        <v/>
      </c>
      <c r="CK435" s="5">
        <f>IF(A435="","",N(INDEX(Projects[Est Structural Engineering],434)))</f>
        <v/>
      </c>
      <c r="CL435" s="5">
        <f>IF(A435="","",N(INDEX(Projects[Est Site Sup],434)))</f>
        <v/>
      </c>
      <c r="CM435" s="5">
        <f>IF(A435="","",N(INDEX(Projects[Est Controls Commissioning],434)))</f>
        <v/>
      </c>
      <c r="CN435" s="5">
        <f>IF(A435="","",N(INDEX(Projects[Est Systems Commissioning],434)))</f>
        <v/>
      </c>
      <c r="CO435" s="5">
        <f>IF(A435="","",N(INDEX(Projects[Est Service Commissioning],434)))</f>
        <v/>
      </c>
      <c r="CP435" s="5">
        <f>IF(A435="","",N(INDEX(Projects[Est Controls Eng],434)))</f>
        <v/>
      </c>
      <c r="CQ435" s="5">
        <f>IF(A435="","",N(INDEX(Projects[Est Controls Purchase],434)))</f>
        <v/>
      </c>
      <c r="CR435" s="5">
        <f>IF(A435="","",N(INDEX(Projects[Est Software Eng],434)))</f>
        <v/>
      </c>
      <c r="CS435" s="5">
        <f>IF(A435="","",N(INDEX(Projects[Est Misc],434)))</f>
        <v/>
      </c>
      <c r="CT435" s="5">
        <f>IF(A435="","",SUM(CF435:CS435))</f>
        <v/>
      </c>
      <c r="CU435" s="5">
        <f>INDEX(Projects[Est Cost (M)],434)</f>
        <v/>
      </c>
      <c r="CV435" s="5">
        <f>INDEX(Projects[Act Cost (M)],434)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IF(A436="","",N(INDEX(Projects[Act Mech Inst],435)))</f>
        <v/>
      </c>
      <c r="BK436" s="5">
        <f>IF(A436="","",N(INDEX(Projects[Act Elec Inst],435)))</f>
        <v/>
      </c>
      <c r="BL436" s="5">
        <f>IF(A436="","",N(INDEX(Projects[Act Project Management],435)))</f>
        <v/>
      </c>
      <c r="BM436" s="5">
        <f>IF(A436="","",N(INDEX(Projects[Act Systems Eng],435)))</f>
        <v/>
      </c>
      <c r="BN436" s="5">
        <f>IF(A436="","",N(INDEX(Projects[Act Mechanical Eng],435)))</f>
        <v/>
      </c>
      <c r="BO436" s="5">
        <f>IF(A436="","",N(INDEX(Projects[Act Structural Engineering],435)))</f>
        <v/>
      </c>
      <c r="BP436" s="5">
        <f>IF(A436="","",N(INDEX(Projects[Act Site Sup],435)))</f>
        <v/>
      </c>
      <c r="BQ436" s="5">
        <f>IF(A436="","",N(INDEX(Projects[Act Controls Commissioning],435)))</f>
        <v/>
      </c>
      <c r="BR436" s="5">
        <f>IF(A436="","",N(INDEX(Projects[Act Systems Commissioning],435)))</f>
        <v/>
      </c>
      <c r="BS436" s="5">
        <f>IF(A436="","",N(INDEX(Projects[Act Service Commissioning],435)))</f>
        <v/>
      </c>
      <c r="BT436" s="5">
        <f>IF(A436="","",N(INDEX(Projects[Act Controls Eng],435)))</f>
        <v/>
      </c>
      <c r="BU436" s="5">
        <f>IF(A436="","",N(INDEX(Projects[Act Controls Purchase],435)))</f>
        <v/>
      </c>
      <c r="BV436" s="5">
        <f>IF(A436="","",N(INDEX(Projects[Act Software Eng],435)))</f>
        <v/>
      </c>
      <c r="BW436" s="5">
        <f>IF(A436="","",N(INDEX(Projects[Act 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  <c r="CE436" s="5">
        <f>INDEX(Projects[Act Data Status],435)&amp;""</f>
        <v/>
      </c>
      <c r="CF436" s="5">
        <f>IF(A436="","",N(INDEX(Projects[Est Mech Inst],435)))</f>
        <v/>
      </c>
      <c r="CG436" s="5">
        <f>IF(A436="","",N(INDEX(Projects[Est Elec Inst],435)))</f>
        <v/>
      </c>
      <c r="CH436" s="5">
        <f>IF(A436="","",N(INDEX(Projects[Est Project Management],435)))</f>
        <v/>
      </c>
      <c r="CI436" s="5">
        <f>IF(A436="","",N(INDEX(Projects[Est Systems Eng],435)))</f>
        <v/>
      </c>
      <c r="CJ436" s="5">
        <f>IF(A436="","",N(INDEX(Projects[Est Mechanical Eng],435)))</f>
        <v/>
      </c>
      <c r="CK436" s="5">
        <f>IF(A436="","",N(INDEX(Projects[Est Structural Engineering],435)))</f>
        <v/>
      </c>
      <c r="CL436" s="5">
        <f>IF(A436="","",N(INDEX(Projects[Est Site Sup],435)))</f>
        <v/>
      </c>
      <c r="CM436" s="5">
        <f>IF(A436="","",N(INDEX(Projects[Est Controls Commissioning],435)))</f>
        <v/>
      </c>
      <c r="CN436" s="5">
        <f>IF(A436="","",N(INDEX(Projects[Est Systems Commissioning],435)))</f>
        <v/>
      </c>
      <c r="CO436" s="5">
        <f>IF(A436="","",N(INDEX(Projects[Est Service Commissioning],435)))</f>
        <v/>
      </c>
      <c r="CP436" s="5">
        <f>IF(A436="","",N(INDEX(Projects[Est Controls Eng],435)))</f>
        <v/>
      </c>
      <c r="CQ436" s="5">
        <f>IF(A436="","",N(INDEX(Projects[Est Controls Purchase],435)))</f>
        <v/>
      </c>
      <c r="CR436" s="5">
        <f>IF(A436="","",N(INDEX(Projects[Est Software Eng],435)))</f>
        <v/>
      </c>
      <c r="CS436" s="5">
        <f>IF(A436="","",N(INDEX(Projects[Est Misc],435)))</f>
        <v/>
      </c>
      <c r="CT436" s="5">
        <f>IF(A436="","",SUM(CF436:CS436))</f>
        <v/>
      </c>
      <c r="CU436" s="5">
        <f>INDEX(Projects[Est Cost (M)],435)</f>
        <v/>
      </c>
      <c r="CV436" s="5">
        <f>INDEX(Projects[Act Cost (M)],435)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IF(A437="","",N(INDEX(Projects[Act Mech Inst],436)))</f>
        <v/>
      </c>
      <c r="BK437" s="5">
        <f>IF(A437="","",N(INDEX(Projects[Act Elec Inst],436)))</f>
        <v/>
      </c>
      <c r="BL437" s="5">
        <f>IF(A437="","",N(INDEX(Projects[Act Project Management],436)))</f>
        <v/>
      </c>
      <c r="BM437" s="5">
        <f>IF(A437="","",N(INDEX(Projects[Act Systems Eng],436)))</f>
        <v/>
      </c>
      <c r="BN437" s="5">
        <f>IF(A437="","",N(INDEX(Projects[Act Mechanical Eng],436)))</f>
        <v/>
      </c>
      <c r="BO437" s="5">
        <f>IF(A437="","",N(INDEX(Projects[Act Structural Engineering],436)))</f>
        <v/>
      </c>
      <c r="BP437" s="5">
        <f>IF(A437="","",N(INDEX(Projects[Act Site Sup],436)))</f>
        <v/>
      </c>
      <c r="BQ437" s="5">
        <f>IF(A437="","",N(INDEX(Projects[Act Controls Commissioning],436)))</f>
        <v/>
      </c>
      <c r="BR437" s="5">
        <f>IF(A437="","",N(INDEX(Projects[Act Systems Commissioning],436)))</f>
        <v/>
      </c>
      <c r="BS437" s="5">
        <f>IF(A437="","",N(INDEX(Projects[Act Service Commissioning],436)))</f>
        <v/>
      </c>
      <c r="BT437" s="5">
        <f>IF(A437="","",N(INDEX(Projects[Act Controls Eng],436)))</f>
        <v/>
      </c>
      <c r="BU437" s="5">
        <f>IF(A437="","",N(INDEX(Projects[Act Controls Purchase],436)))</f>
        <v/>
      </c>
      <c r="BV437" s="5">
        <f>IF(A437="","",N(INDEX(Projects[Act Software Eng],436)))</f>
        <v/>
      </c>
      <c r="BW437" s="5">
        <f>IF(A437="","",N(INDEX(Projects[Act 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  <c r="CE437" s="5">
        <f>INDEX(Projects[Act Data Status],436)&amp;""</f>
        <v/>
      </c>
      <c r="CF437" s="5">
        <f>IF(A437="","",N(INDEX(Projects[Est Mech Inst],436)))</f>
        <v/>
      </c>
      <c r="CG437" s="5">
        <f>IF(A437="","",N(INDEX(Projects[Est Elec Inst],436)))</f>
        <v/>
      </c>
      <c r="CH437" s="5">
        <f>IF(A437="","",N(INDEX(Projects[Est Project Management],436)))</f>
        <v/>
      </c>
      <c r="CI437" s="5">
        <f>IF(A437="","",N(INDEX(Projects[Est Systems Eng],436)))</f>
        <v/>
      </c>
      <c r="CJ437" s="5">
        <f>IF(A437="","",N(INDEX(Projects[Est Mechanical Eng],436)))</f>
        <v/>
      </c>
      <c r="CK437" s="5">
        <f>IF(A437="","",N(INDEX(Projects[Est Structural Engineering],436)))</f>
        <v/>
      </c>
      <c r="CL437" s="5">
        <f>IF(A437="","",N(INDEX(Projects[Est Site Sup],436)))</f>
        <v/>
      </c>
      <c r="CM437" s="5">
        <f>IF(A437="","",N(INDEX(Projects[Est Controls Commissioning],436)))</f>
        <v/>
      </c>
      <c r="CN437" s="5">
        <f>IF(A437="","",N(INDEX(Projects[Est Systems Commissioning],436)))</f>
        <v/>
      </c>
      <c r="CO437" s="5">
        <f>IF(A437="","",N(INDEX(Projects[Est Service Commissioning],436)))</f>
        <v/>
      </c>
      <c r="CP437" s="5">
        <f>IF(A437="","",N(INDEX(Projects[Est Controls Eng],436)))</f>
        <v/>
      </c>
      <c r="CQ437" s="5">
        <f>IF(A437="","",N(INDEX(Projects[Est Controls Purchase],436)))</f>
        <v/>
      </c>
      <c r="CR437" s="5">
        <f>IF(A437="","",N(INDEX(Projects[Est Software Eng],436)))</f>
        <v/>
      </c>
      <c r="CS437" s="5">
        <f>IF(A437="","",N(INDEX(Projects[Est Misc],436)))</f>
        <v/>
      </c>
      <c r="CT437" s="5">
        <f>IF(A437="","",SUM(CF437:CS437))</f>
        <v/>
      </c>
      <c r="CU437" s="5">
        <f>INDEX(Projects[Est Cost (M)],436)</f>
        <v/>
      </c>
      <c r="CV437" s="5">
        <f>INDEX(Projects[Act Cost (M)],436)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IF(A438="","",N(INDEX(Projects[Act Mech Inst],437)))</f>
        <v/>
      </c>
      <c r="BK438" s="5">
        <f>IF(A438="","",N(INDEX(Projects[Act Elec Inst],437)))</f>
        <v/>
      </c>
      <c r="BL438" s="5">
        <f>IF(A438="","",N(INDEX(Projects[Act Project Management],437)))</f>
        <v/>
      </c>
      <c r="BM438" s="5">
        <f>IF(A438="","",N(INDEX(Projects[Act Systems Eng],437)))</f>
        <v/>
      </c>
      <c r="BN438" s="5">
        <f>IF(A438="","",N(INDEX(Projects[Act Mechanical Eng],437)))</f>
        <v/>
      </c>
      <c r="BO438" s="5">
        <f>IF(A438="","",N(INDEX(Projects[Act Structural Engineering],437)))</f>
        <v/>
      </c>
      <c r="BP438" s="5">
        <f>IF(A438="","",N(INDEX(Projects[Act Site Sup],437)))</f>
        <v/>
      </c>
      <c r="BQ438" s="5">
        <f>IF(A438="","",N(INDEX(Projects[Act Controls Commissioning],437)))</f>
        <v/>
      </c>
      <c r="BR438" s="5">
        <f>IF(A438="","",N(INDEX(Projects[Act Systems Commissioning],437)))</f>
        <v/>
      </c>
      <c r="BS438" s="5">
        <f>IF(A438="","",N(INDEX(Projects[Act Service Commissioning],437)))</f>
        <v/>
      </c>
      <c r="BT438" s="5">
        <f>IF(A438="","",N(INDEX(Projects[Act Controls Eng],437)))</f>
        <v/>
      </c>
      <c r="BU438" s="5">
        <f>IF(A438="","",N(INDEX(Projects[Act Controls Purchase],437)))</f>
        <v/>
      </c>
      <c r="BV438" s="5">
        <f>IF(A438="","",N(INDEX(Projects[Act Software Eng],437)))</f>
        <v/>
      </c>
      <c r="BW438" s="5">
        <f>IF(A438="","",N(INDEX(Projects[Act 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  <c r="CE438" s="5">
        <f>INDEX(Projects[Act Data Status],437)&amp;""</f>
        <v/>
      </c>
      <c r="CF438" s="5">
        <f>IF(A438="","",N(INDEX(Projects[Est Mech Inst],437)))</f>
        <v/>
      </c>
      <c r="CG438" s="5">
        <f>IF(A438="","",N(INDEX(Projects[Est Elec Inst],437)))</f>
        <v/>
      </c>
      <c r="CH438" s="5">
        <f>IF(A438="","",N(INDEX(Projects[Est Project Management],437)))</f>
        <v/>
      </c>
      <c r="CI438" s="5">
        <f>IF(A438="","",N(INDEX(Projects[Est Systems Eng],437)))</f>
        <v/>
      </c>
      <c r="CJ438" s="5">
        <f>IF(A438="","",N(INDEX(Projects[Est Mechanical Eng],437)))</f>
        <v/>
      </c>
      <c r="CK438" s="5">
        <f>IF(A438="","",N(INDEX(Projects[Est Structural Engineering],437)))</f>
        <v/>
      </c>
      <c r="CL438" s="5">
        <f>IF(A438="","",N(INDEX(Projects[Est Site Sup],437)))</f>
        <v/>
      </c>
      <c r="CM438" s="5">
        <f>IF(A438="","",N(INDEX(Projects[Est Controls Commissioning],437)))</f>
        <v/>
      </c>
      <c r="CN438" s="5">
        <f>IF(A438="","",N(INDEX(Projects[Est Systems Commissioning],437)))</f>
        <v/>
      </c>
      <c r="CO438" s="5">
        <f>IF(A438="","",N(INDEX(Projects[Est Service Commissioning],437)))</f>
        <v/>
      </c>
      <c r="CP438" s="5">
        <f>IF(A438="","",N(INDEX(Projects[Est Controls Eng],437)))</f>
        <v/>
      </c>
      <c r="CQ438" s="5">
        <f>IF(A438="","",N(INDEX(Projects[Est Controls Purchase],437)))</f>
        <v/>
      </c>
      <c r="CR438" s="5">
        <f>IF(A438="","",N(INDEX(Projects[Est Software Eng],437)))</f>
        <v/>
      </c>
      <c r="CS438" s="5">
        <f>IF(A438="","",N(INDEX(Projects[Est Misc],437)))</f>
        <v/>
      </c>
      <c r="CT438" s="5">
        <f>IF(A438="","",SUM(CF438:CS438))</f>
        <v/>
      </c>
      <c r="CU438" s="5">
        <f>INDEX(Projects[Est Cost (M)],437)</f>
        <v/>
      </c>
      <c r="CV438" s="5">
        <f>INDEX(Projects[Act Cost (M)],437)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IF(A439="","",N(INDEX(Projects[Act Mech Inst],438)))</f>
        <v/>
      </c>
      <c r="BK439" s="5">
        <f>IF(A439="","",N(INDEX(Projects[Act Elec Inst],438)))</f>
        <v/>
      </c>
      <c r="BL439" s="5">
        <f>IF(A439="","",N(INDEX(Projects[Act Project Management],438)))</f>
        <v/>
      </c>
      <c r="BM439" s="5">
        <f>IF(A439="","",N(INDEX(Projects[Act Systems Eng],438)))</f>
        <v/>
      </c>
      <c r="BN439" s="5">
        <f>IF(A439="","",N(INDEX(Projects[Act Mechanical Eng],438)))</f>
        <v/>
      </c>
      <c r="BO439" s="5">
        <f>IF(A439="","",N(INDEX(Projects[Act Structural Engineering],438)))</f>
        <v/>
      </c>
      <c r="BP439" s="5">
        <f>IF(A439="","",N(INDEX(Projects[Act Site Sup],438)))</f>
        <v/>
      </c>
      <c r="BQ439" s="5">
        <f>IF(A439="","",N(INDEX(Projects[Act Controls Commissioning],438)))</f>
        <v/>
      </c>
      <c r="BR439" s="5">
        <f>IF(A439="","",N(INDEX(Projects[Act Systems Commissioning],438)))</f>
        <v/>
      </c>
      <c r="BS439" s="5">
        <f>IF(A439="","",N(INDEX(Projects[Act Service Commissioning],438)))</f>
        <v/>
      </c>
      <c r="BT439" s="5">
        <f>IF(A439="","",N(INDEX(Projects[Act Controls Eng],438)))</f>
        <v/>
      </c>
      <c r="BU439" s="5">
        <f>IF(A439="","",N(INDEX(Projects[Act Controls Purchase],438)))</f>
        <v/>
      </c>
      <c r="BV439" s="5">
        <f>IF(A439="","",N(INDEX(Projects[Act Software Eng],438)))</f>
        <v/>
      </c>
      <c r="BW439" s="5">
        <f>IF(A439="","",N(INDEX(Projects[Act 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  <c r="CE439" s="5">
        <f>INDEX(Projects[Act Data Status],438)&amp;""</f>
        <v/>
      </c>
      <c r="CF439" s="5">
        <f>IF(A439="","",N(INDEX(Projects[Est Mech Inst],438)))</f>
        <v/>
      </c>
      <c r="CG439" s="5">
        <f>IF(A439="","",N(INDEX(Projects[Est Elec Inst],438)))</f>
        <v/>
      </c>
      <c r="CH439" s="5">
        <f>IF(A439="","",N(INDEX(Projects[Est Project Management],438)))</f>
        <v/>
      </c>
      <c r="CI439" s="5">
        <f>IF(A439="","",N(INDEX(Projects[Est Systems Eng],438)))</f>
        <v/>
      </c>
      <c r="CJ439" s="5">
        <f>IF(A439="","",N(INDEX(Projects[Est Mechanical Eng],438)))</f>
        <v/>
      </c>
      <c r="CK439" s="5">
        <f>IF(A439="","",N(INDEX(Projects[Est Structural Engineering],438)))</f>
        <v/>
      </c>
      <c r="CL439" s="5">
        <f>IF(A439="","",N(INDEX(Projects[Est Site Sup],438)))</f>
        <v/>
      </c>
      <c r="CM439" s="5">
        <f>IF(A439="","",N(INDEX(Projects[Est Controls Commissioning],438)))</f>
        <v/>
      </c>
      <c r="CN439" s="5">
        <f>IF(A439="","",N(INDEX(Projects[Est Systems Commissioning],438)))</f>
        <v/>
      </c>
      <c r="CO439" s="5">
        <f>IF(A439="","",N(INDEX(Projects[Est Service Commissioning],438)))</f>
        <v/>
      </c>
      <c r="CP439" s="5">
        <f>IF(A439="","",N(INDEX(Projects[Est Controls Eng],438)))</f>
        <v/>
      </c>
      <c r="CQ439" s="5">
        <f>IF(A439="","",N(INDEX(Projects[Est Controls Purchase],438)))</f>
        <v/>
      </c>
      <c r="CR439" s="5">
        <f>IF(A439="","",N(INDEX(Projects[Est Software Eng],438)))</f>
        <v/>
      </c>
      <c r="CS439" s="5">
        <f>IF(A439="","",N(INDEX(Projects[Est Misc],438)))</f>
        <v/>
      </c>
      <c r="CT439" s="5">
        <f>IF(A439="","",SUM(CF439:CS439))</f>
        <v/>
      </c>
      <c r="CU439" s="5">
        <f>INDEX(Projects[Est Cost (M)],438)</f>
        <v/>
      </c>
      <c r="CV439" s="5">
        <f>INDEX(Projects[Act Cost (M)],438)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IF(A440="","",N(INDEX(Projects[Act Mech Inst],439)))</f>
        <v/>
      </c>
      <c r="BK440" s="5">
        <f>IF(A440="","",N(INDEX(Projects[Act Elec Inst],439)))</f>
        <v/>
      </c>
      <c r="BL440" s="5">
        <f>IF(A440="","",N(INDEX(Projects[Act Project Management],439)))</f>
        <v/>
      </c>
      <c r="BM440" s="5">
        <f>IF(A440="","",N(INDEX(Projects[Act Systems Eng],439)))</f>
        <v/>
      </c>
      <c r="BN440" s="5">
        <f>IF(A440="","",N(INDEX(Projects[Act Mechanical Eng],439)))</f>
        <v/>
      </c>
      <c r="BO440" s="5">
        <f>IF(A440="","",N(INDEX(Projects[Act Structural Engineering],439)))</f>
        <v/>
      </c>
      <c r="BP440" s="5">
        <f>IF(A440="","",N(INDEX(Projects[Act Site Sup],439)))</f>
        <v/>
      </c>
      <c r="BQ440" s="5">
        <f>IF(A440="","",N(INDEX(Projects[Act Controls Commissioning],439)))</f>
        <v/>
      </c>
      <c r="BR440" s="5">
        <f>IF(A440="","",N(INDEX(Projects[Act Systems Commissioning],439)))</f>
        <v/>
      </c>
      <c r="BS440" s="5">
        <f>IF(A440="","",N(INDEX(Projects[Act Service Commissioning],439)))</f>
        <v/>
      </c>
      <c r="BT440" s="5">
        <f>IF(A440="","",N(INDEX(Projects[Act Controls Eng],439)))</f>
        <v/>
      </c>
      <c r="BU440" s="5">
        <f>IF(A440="","",N(INDEX(Projects[Act Controls Purchase],439)))</f>
        <v/>
      </c>
      <c r="BV440" s="5">
        <f>IF(A440="","",N(INDEX(Projects[Act Software Eng],439)))</f>
        <v/>
      </c>
      <c r="BW440" s="5">
        <f>IF(A440="","",N(INDEX(Projects[Act 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  <c r="CE440" s="5">
        <f>INDEX(Projects[Act Data Status],439)&amp;""</f>
        <v/>
      </c>
      <c r="CF440" s="5">
        <f>IF(A440="","",N(INDEX(Projects[Est Mech Inst],439)))</f>
        <v/>
      </c>
      <c r="CG440" s="5">
        <f>IF(A440="","",N(INDEX(Projects[Est Elec Inst],439)))</f>
        <v/>
      </c>
      <c r="CH440" s="5">
        <f>IF(A440="","",N(INDEX(Projects[Est Project Management],439)))</f>
        <v/>
      </c>
      <c r="CI440" s="5">
        <f>IF(A440="","",N(INDEX(Projects[Est Systems Eng],439)))</f>
        <v/>
      </c>
      <c r="CJ440" s="5">
        <f>IF(A440="","",N(INDEX(Projects[Est Mechanical Eng],439)))</f>
        <v/>
      </c>
      <c r="CK440" s="5">
        <f>IF(A440="","",N(INDEX(Projects[Est Structural Engineering],439)))</f>
        <v/>
      </c>
      <c r="CL440" s="5">
        <f>IF(A440="","",N(INDEX(Projects[Est Site Sup],439)))</f>
        <v/>
      </c>
      <c r="CM440" s="5">
        <f>IF(A440="","",N(INDEX(Projects[Est Controls Commissioning],439)))</f>
        <v/>
      </c>
      <c r="CN440" s="5">
        <f>IF(A440="","",N(INDEX(Projects[Est Systems Commissioning],439)))</f>
        <v/>
      </c>
      <c r="CO440" s="5">
        <f>IF(A440="","",N(INDEX(Projects[Est Service Commissioning],439)))</f>
        <v/>
      </c>
      <c r="CP440" s="5">
        <f>IF(A440="","",N(INDEX(Projects[Est Controls Eng],439)))</f>
        <v/>
      </c>
      <c r="CQ440" s="5">
        <f>IF(A440="","",N(INDEX(Projects[Est Controls Purchase],439)))</f>
        <v/>
      </c>
      <c r="CR440" s="5">
        <f>IF(A440="","",N(INDEX(Projects[Est Software Eng],439)))</f>
        <v/>
      </c>
      <c r="CS440" s="5">
        <f>IF(A440="","",N(INDEX(Projects[Est Misc],439)))</f>
        <v/>
      </c>
      <c r="CT440" s="5">
        <f>IF(A440="","",SUM(CF440:CS440))</f>
        <v/>
      </c>
      <c r="CU440" s="5">
        <f>INDEX(Projects[Est Cost (M)],439)</f>
        <v/>
      </c>
      <c r="CV440" s="5">
        <f>INDEX(Projects[Act Cost (M)],439)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IF(A441="","",N(INDEX(Projects[Act Mech Inst],440)))</f>
        <v/>
      </c>
      <c r="BK441" s="5">
        <f>IF(A441="","",N(INDEX(Projects[Act Elec Inst],440)))</f>
        <v/>
      </c>
      <c r="BL441" s="5">
        <f>IF(A441="","",N(INDEX(Projects[Act Project Management],440)))</f>
        <v/>
      </c>
      <c r="BM441" s="5">
        <f>IF(A441="","",N(INDEX(Projects[Act Systems Eng],440)))</f>
        <v/>
      </c>
      <c r="BN441" s="5">
        <f>IF(A441="","",N(INDEX(Projects[Act Mechanical Eng],440)))</f>
        <v/>
      </c>
      <c r="BO441" s="5">
        <f>IF(A441="","",N(INDEX(Projects[Act Structural Engineering],440)))</f>
        <v/>
      </c>
      <c r="BP441" s="5">
        <f>IF(A441="","",N(INDEX(Projects[Act Site Sup],440)))</f>
        <v/>
      </c>
      <c r="BQ441" s="5">
        <f>IF(A441="","",N(INDEX(Projects[Act Controls Commissioning],440)))</f>
        <v/>
      </c>
      <c r="BR441" s="5">
        <f>IF(A441="","",N(INDEX(Projects[Act Systems Commissioning],440)))</f>
        <v/>
      </c>
      <c r="BS441" s="5">
        <f>IF(A441="","",N(INDEX(Projects[Act Service Commissioning],440)))</f>
        <v/>
      </c>
      <c r="BT441" s="5">
        <f>IF(A441="","",N(INDEX(Projects[Act Controls Eng],440)))</f>
        <v/>
      </c>
      <c r="BU441" s="5">
        <f>IF(A441="","",N(INDEX(Projects[Act Controls Purchase],440)))</f>
        <v/>
      </c>
      <c r="BV441" s="5">
        <f>IF(A441="","",N(INDEX(Projects[Act Software Eng],440)))</f>
        <v/>
      </c>
      <c r="BW441" s="5">
        <f>IF(A441="","",N(INDEX(Projects[Act 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  <c r="CE441" s="5">
        <f>INDEX(Projects[Act Data Status],440)&amp;""</f>
        <v/>
      </c>
      <c r="CF441" s="5">
        <f>IF(A441="","",N(INDEX(Projects[Est Mech Inst],440)))</f>
        <v/>
      </c>
      <c r="CG441" s="5">
        <f>IF(A441="","",N(INDEX(Projects[Est Elec Inst],440)))</f>
        <v/>
      </c>
      <c r="CH441" s="5">
        <f>IF(A441="","",N(INDEX(Projects[Est Project Management],440)))</f>
        <v/>
      </c>
      <c r="CI441" s="5">
        <f>IF(A441="","",N(INDEX(Projects[Est Systems Eng],440)))</f>
        <v/>
      </c>
      <c r="CJ441" s="5">
        <f>IF(A441="","",N(INDEX(Projects[Est Mechanical Eng],440)))</f>
        <v/>
      </c>
      <c r="CK441" s="5">
        <f>IF(A441="","",N(INDEX(Projects[Est Structural Engineering],440)))</f>
        <v/>
      </c>
      <c r="CL441" s="5">
        <f>IF(A441="","",N(INDEX(Projects[Est Site Sup],440)))</f>
        <v/>
      </c>
      <c r="CM441" s="5">
        <f>IF(A441="","",N(INDEX(Projects[Est Controls Commissioning],440)))</f>
        <v/>
      </c>
      <c r="CN441" s="5">
        <f>IF(A441="","",N(INDEX(Projects[Est Systems Commissioning],440)))</f>
        <v/>
      </c>
      <c r="CO441" s="5">
        <f>IF(A441="","",N(INDEX(Projects[Est Service Commissioning],440)))</f>
        <v/>
      </c>
      <c r="CP441" s="5">
        <f>IF(A441="","",N(INDEX(Projects[Est Controls Eng],440)))</f>
        <v/>
      </c>
      <c r="CQ441" s="5">
        <f>IF(A441="","",N(INDEX(Projects[Est Controls Purchase],440)))</f>
        <v/>
      </c>
      <c r="CR441" s="5">
        <f>IF(A441="","",N(INDEX(Projects[Est Software Eng],440)))</f>
        <v/>
      </c>
      <c r="CS441" s="5">
        <f>IF(A441="","",N(INDEX(Projects[Est Misc],440)))</f>
        <v/>
      </c>
      <c r="CT441" s="5">
        <f>IF(A441="","",SUM(CF441:CS441))</f>
        <v/>
      </c>
      <c r="CU441" s="5">
        <f>INDEX(Projects[Est Cost (M)],440)</f>
        <v/>
      </c>
      <c r="CV441" s="5">
        <f>INDEX(Projects[Act Cost (M)],440)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IF(A442="","",N(INDEX(Projects[Act Mech Inst],441)))</f>
        <v/>
      </c>
      <c r="BK442" s="5">
        <f>IF(A442="","",N(INDEX(Projects[Act Elec Inst],441)))</f>
        <v/>
      </c>
      <c r="BL442" s="5">
        <f>IF(A442="","",N(INDEX(Projects[Act Project Management],441)))</f>
        <v/>
      </c>
      <c r="BM442" s="5">
        <f>IF(A442="","",N(INDEX(Projects[Act Systems Eng],441)))</f>
        <v/>
      </c>
      <c r="BN442" s="5">
        <f>IF(A442="","",N(INDEX(Projects[Act Mechanical Eng],441)))</f>
        <v/>
      </c>
      <c r="BO442" s="5">
        <f>IF(A442="","",N(INDEX(Projects[Act Structural Engineering],441)))</f>
        <v/>
      </c>
      <c r="BP442" s="5">
        <f>IF(A442="","",N(INDEX(Projects[Act Site Sup],441)))</f>
        <v/>
      </c>
      <c r="BQ442" s="5">
        <f>IF(A442="","",N(INDEX(Projects[Act Controls Commissioning],441)))</f>
        <v/>
      </c>
      <c r="BR442" s="5">
        <f>IF(A442="","",N(INDEX(Projects[Act Systems Commissioning],441)))</f>
        <v/>
      </c>
      <c r="BS442" s="5">
        <f>IF(A442="","",N(INDEX(Projects[Act Service Commissioning],441)))</f>
        <v/>
      </c>
      <c r="BT442" s="5">
        <f>IF(A442="","",N(INDEX(Projects[Act Controls Eng],441)))</f>
        <v/>
      </c>
      <c r="BU442" s="5">
        <f>IF(A442="","",N(INDEX(Projects[Act Controls Purchase],441)))</f>
        <v/>
      </c>
      <c r="BV442" s="5">
        <f>IF(A442="","",N(INDEX(Projects[Act Software Eng],441)))</f>
        <v/>
      </c>
      <c r="BW442" s="5">
        <f>IF(A442="","",N(INDEX(Projects[Act 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  <c r="CE442" s="5">
        <f>INDEX(Projects[Act Data Status],441)&amp;""</f>
        <v/>
      </c>
      <c r="CF442" s="5">
        <f>IF(A442="","",N(INDEX(Projects[Est Mech Inst],441)))</f>
        <v/>
      </c>
      <c r="CG442" s="5">
        <f>IF(A442="","",N(INDEX(Projects[Est Elec Inst],441)))</f>
        <v/>
      </c>
      <c r="CH442" s="5">
        <f>IF(A442="","",N(INDEX(Projects[Est Project Management],441)))</f>
        <v/>
      </c>
      <c r="CI442" s="5">
        <f>IF(A442="","",N(INDEX(Projects[Est Systems Eng],441)))</f>
        <v/>
      </c>
      <c r="CJ442" s="5">
        <f>IF(A442="","",N(INDEX(Projects[Est Mechanical Eng],441)))</f>
        <v/>
      </c>
      <c r="CK442" s="5">
        <f>IF(A442="","",N(INDEX(Projects[Est Structural Engineering],441)))</f>
        <v/>
      </c>
      <c r="CL442" s="5">
        <f>IF(A442="","",N(INDEX(Projects[Est Site Sup],441)))</f>
        <v/>
      </c>
      <c r="CM442" s="5">
        <f>IF(A442="","",N(INDEX(Projects[Est Controls Commissioning],441)))</f>
        <v/>
      </c>
      <c r="CN442" s="5">
        <f>IF(A442="","",N(INDEX(Projects[Est Systems Commissioning],441)))</f>
        <v/>
      </c>
      <c r="CO442" s="5">
        <f>IF(A442="","",N(INDEX(Projects[Est Service Commissioning],441)))</f>
        <v/>
      </c>
      <c r="CP442" s="5">
        <f>IF(A442="","",N(INDEX(Projects[Est Controls Eng],441)))</f>
        <v/>
      </c>
      <c r="CQ442" s="5">
        <f>IF(A442="","",N(INDEX(Projects[Est Controls Purchase],441)))</f>
        <v/>
      </c>
      <c r="CR442" s="5">
        <f>IF(A442="","",N(INDEX(Projects[Est Software Eng],441)))</f>
        <v/>
      </c>
      <c r="CS442" s="5">
        <f>IF(A442="","",N(INDEX(Projects[Est Misc],441)))</f>
        <v/>
      </c>
      <c r="CT442" s="5">
        <f>IF(A442="","",SUM(CF442:CS442))</f>
        <v/>
      </c>
      <c r="CU442" s="5">
        <f>INDEX(Projects[Est Cost (M)],441)</f>
        <v/>
      </c>
      <c r="CV442" s="5">
        <f>INDEX(Projects[Act Cost (M)],441)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IF(A443="","",N(INDEX(Projects[Act Mech Inst],442)))</f>
        <v/>
      </c>
      <c r="BK443" s="5">
        <f>IF(A443="","",N(INDEX(Projects[Act Elec Inst],442)))</f>
        <v/>
      </c>
      <c r="BL443" s="5">
        <f>IF(A443="","",N(INDEX(Projects[Act Project Management],442)))</f>
        <v/>
      </c>
      <c r="BM443" s="5">
        <f>IF(A443="","",N(INDEX(Projects[Act Systems Eng],442)))</f>
        <v/>
      </c>
      <c r="BN443" s="5">
        <f>IF(A443="","",N(INDEX(Projects[Act Mechanical Eng],442)))</f>
        <v/>
      </c>
      <c r="BO443" s="5">
        <f>IF(A443="","",N(INDEX(Projects[Act Structural Engineering],442)))</f>
        <v/>
      </c>
      <c r="BP443" s="5">
        <f>IF(A443="","",N(INDEX(Projects[Act Site Sup],442)))</f>
        <v/>
      </c>
      <c r="BQ443" s="5">
        <f>IF(A443="","",N(INDEX(Projects[Act Controls Commissioning],442)))</f>
        <v/>
      </c>
      <c r="BR443" s="5">
        <f>IF(A443="","",N(INDEX(Projects[Act Systems Commissioning],442)))</f>
        <v/>
      </c>
      <c r="BS443" s="5">
        <f>IF(A443="","",N(INDEX(Projects[Act Service Commissioning],442)))</f>
        <v/>
      </c>
      <c r="BT443" s="5">
        <f>IF(A443="","",N(INDEX(Projects[Act Controls Eng],442)))</f>
        <v/>
      </c>
      <c r="BU443" s="5">
        <f>IF(A443="","",N(INDEX(Projects[Act Controls Purchase],442)))</f>
        <v/>
      </c>
      <c r="BV443" s="5">
        <f>IF(A443="","",N(INDEX(Projects[Act Software Eng],442)))</f>
        <v/>
      </c>
      <c r="BW443" s="5">
        <f>IF(A443="","",N(INDEX(Projects[Act 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  <c r="CE443" s="5">
        <f>INDEX(Projects[Act Data Status],442)&amp;""</f>
        <v/>
      </c>
      <c r="CF443" s="5">
        <f>IF(A443="","",N(INDEX(Projects[Est Mech Inst],442)))</f>
        <v/>
      </c>
      <c r="CG443" s="5">
        <f>IF(A443="","",N(INDEX(Projects[Est Elec Inst],442)))</f>
        <v/>
      </c>
      <c r="CH443" s="5">
        <f>IF(A443="","",N(INDEX(Projects[Est Project Management],442)))</f>
        <v/>
      </c>
      <c r="CI443" s="5">
        <f>IF(A443="","",N(INDEX(Projects[Est Systems Eng],442)))</f>
        <v/>
      </c>
      <c r="CJ443" s="5">
        <f>IF(A443="","",N(INDEX(Projects[Est Mechanical Eng],442)))</f>
        <v/>
      </c>
      <c r="CK443" s="5">
        <f>IF(A443="","",N(INDEX(Projects[Est Structural Engineering],442)))</f>
        <v/>
      </c>
      <c r="CL443" s="5">
        <f>IF(A443="","",N(INDEX(Projects[Est Site Sup],442)))</f>
        <v/>
      </c>
      <c r="CM443" s="5">
        <f>IF(A443="","",N(INDEX(Projects[Est Controls Commissioning],442)))</f>
        <v/>
      </c>
      <c r="CN443" s="5">
        <f>IF(A443="","",N(INDEX(Projects[Est Systems Commissioning],442)))</f>
        <v/>
      </c>
      <c r="CO443" s="5">
        <f>IF(A443="","",N(INDEX(Projects[Est Service Commissioning],442)))</f>
        <v/>
      </c>
      <c r="CP443" s="5">
        <f>IF(A443="","",N(INDEX(Projects[Est Controls Eng],442)))</f>
        <v/>
      </c>
      <c r="CQ443" s="5">
        <f>IF(A443="","",N(INDEX(Projects[Est Controls Purchase],442)))</f>
        <v/>
      </c>
      <c r="CR443" s="5">
        <f>IF(A443="","",N(INDEX(Projects[Est Software Eng],442)))</f>
        <v/>
      </c>
      <c r="CS443" s="5">
        <f>IF(A443="","",N(INDEX(Projects[Est Misc],442)))</f>
        <v/>
      </c>
      <c r="CT443" s="5">
        <f>IF(A443="","",SUM(CF443:CS443))</f>
        <v/>
      </c>
      <c r="CU443" s="5">
        <f>INDEX(Projects[Est Cost (M)],442)</f>
        <v/>
      </c>
      <c r="CV443" s="5">
        <f>INDEX(Projects[Act Cost (M)],442)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IF(A444="","",N(INDEX(Projects[Act Mech Inst],443)))</f>
        <v/>
      </c>
      <c r="BK444" s="5">
        <f>IF(A444="","",N(INDEX(Projects[Act Elec Inst],443)))</f>
        <v/>
      </c>
      <c r="BL444" s="5">
        <f>IF(A444="","",N(INDEX(Projects[Act Project Management],443)))</f>
        <v/>
      </c>
      <c r="BM444" s="5">
        <f>IF(A444="","",N(INDEX(Projects[Act Systems Eng],443)))</f>
        <v/>
      </c>
      <c r="BN444" s="5">
        <f>IF(A444="","",N(INDEX(Projects[Act Mechanical Eng],443)))</f>
        <v/>
      </c>
      <c r="BO444" s="5">
        <f>IF(A444="","",N(INDEX(Projects[Act Structural Engineering],443)))</f>
        <v/>
      </c>
      <c r="BP444" s="5">
        <f>IF(A444="","",N(INDEX(Projects[Act Site Sup],443)))</f>
        <v/>
      </c>
      <c r="BQ444" s="5">
        <f>IF(A444="","",N(INDEX(Projects[Act Controls Commissioning],443)))</f>
        <v/>
      </c>
      <c r="BR444" s="5">
        <f>IF(A444="","",N(INDEX(Projects[Act Systems Commissioning],443)))</f>
        <v/>
      </c>
      <c r="BS444" s="5">
        <f>IF(A444="","",N(INDEX(Projects[Act Service Commissioning],443)))</f>
        <v/>
      </c>
      <c r="BT444" s="5">
        <f>IF(A444="","",N(INDEX(Projects[Act Controls Eng],443)))</f>
        <v/>
      </c>
      <c r="BU444" s="5">
        <f>IF(A444="","",N(INDEX(Projects[Act Controls Purchase],443)))</f>
        <v/>
      </c>
      <c r="BV444" s="5">
        <f>IF(A444="","",N(INDEX(Projects[Act Software Eng],443)))</f>
        <v/>
      </c>
      <c r="BW444" s="5">
        <f>IF(A444="","",N(INDEX(Projects[Act 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  <c r="CE444" s="5">
        <f>INDEX(Projects[Act Data Status],443)&amp;""</f>
        <v/>
      </c>
      <c r="CF444" s="5">
        <f>IF(A444="","",N(INDEX(Projects[Est Mech Inst],443)))</f>
        <v/>
      </c>
      <c r="CG444" s="5">
        <f>IF(A444="","",N(INDEX(Projects[Est Elec Inst],443)))</f>
        <v/>
      </c>
      <c r="CH444" s="5">
        <f>IF(A444="","",N(INDEX(Projects[Est Project Management],443)))</f>
        <v/>
      </c>
      <c r="CI444" s="5">
        <f>IF(A444="","",N(INDEX(Projects[Est Systems Eng],443)))</f>
        <v/>
      </c>
      <c r="CJ444" s="5">
        <f>IF(A444="","",N(INDEX(Projects[Est Mechanical Eng],443)))</f>
        <v/>
      </c>
      <c r="CK444" s="5">
        <f>IF(A444="","",N(INDEX(Projects[Est Structural Engineering],443)))</f>
        <v/>
      </c>
      <c r="CL444" s="5">
        <f>IF(A444="","",N(INDEX(Projects[Est Site Sup],443)))</f>
        <v/>
      </c>
      <c r="CM444" s="5">
        <f>IF(A444="","",N(INDEX(Projects[Est Controls Commissioning],443)))</f>
        <v/>
      </c>
      <c r="CN444" s="5">
        <f>IF(A444="","",N(INDEX(Projects[Est Systems Commissioning],443)))</f>
        <v/>
      </c>
      <c r="CO444" s="5">
        <f>IF(A444="","",N(INDEX(Projects[Est Service Commissioning],443)))</f>
        <v/>
      </c>
      <c r="CP444" s="5">
        <f>IF(A444="","",N(INDEX(Projects[Est Controls Eng],443)))</f>
        <v/>
      </c>
      <c r="CQ444" s="5">
        <f>IF(A444="","",N(INDEX(Projects[Est Controls Purchase],443)))</f>
        <v/>
      </c>
      <c r="CR444" s="5">
        <f>IF(A444="","",N(INDEX(Projects[Est Software Eng],443)))</f>
        <v/>
      </c>
      <c r="CS444" s="5">
        <f>IF(A444="","",N(INDEX(Projects[Est Misc],443)))</f>
        <v/>
      </c>
      <c r="CT444" s="5">
        <f>IF(A444="","",SUM(CF444:CS444))</f>
        <v/>
      </c>
      <c r="CU444" s="5">
        <f>INDEX(Projects[Est Cost (M)],443)</f>
        <v/>
      </c>
      <c r="CV444" s="5">
        <f>INDEX(Projects[Act Cost (M)],443)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IF(A445="","",N(INDEX(Projects[Act Mech Inst],444)))</f>
        <v/>
      </c>
      <c r="BK445" s="5">
        <f>IF(A445="","",N(INDEX(Projects[Act Elec Inst],444)))</f>
        <v/>
      </c>
      <c r="BL445" s="5">
        <f>IF(A445="","",N(INDEX(Projects[Act Project Management],444)))</f>
        <v/>
      </c>
      <c r="BM445" s="5">
        <f>IF(A445="","",N(INDEX(Projects[Act Systems Eng],444)))</f>
        <v/>
      </c>
      <c r="BN445" s="5">
        <f>IF(A445="","",N(INDEX(Projects[Act Mechanical Eng],444)))</f>
        <v/>
      </c>
      <c r="BO445" s="5">
        <f>IF(A445="","",N(INDEX(Projects[Act Structural Engineering],444)))</f>
        <v/>
      </c>
      <c r="BP445" s="5">
        <f>IF(A445="","",N(INDEX(Projects[Act Site Sup],444)))</f>
        <v/>
      </c>
      <c r="BQ445" s="5">
        <f>IF(A445="","",N(INDEX(Projects[Act Controls Commissioning],444)))</f>
        <v/>
      </c>
      <c r="BR445" s="5">
        <f>IF(A445="","",N(INDEX(Projects[Act Systems Commissioning],444)))</f>
        <v/>
      </c>
      <c r="BS445" s="5">
        <f>IF(A445="","",N(INDEX(Projects[Act Service Commissioning],444)))</f>
        <v/>
      </c>
      <c r="BT445" s="5">
        <f>IF(A445="","",N(INDEX(Projects[Act Controls Eng],444)))</f>
        <v/>
      </c>
      <c r="BU445" s="5">
        <f>IF(A445="","",N(INDEX(Projects[Act Controls Purchase],444)))</f>
        <v/>
      </c>
      <c r="BV445" s="5">
        <f>IF(A445="","",N(INDEX(Projects[Act Software Eng],444)))</f>
        <v/>
      </c>
      <c r="BW445" s="5">
        <f>IF(A445="","",N(INDEX(Projects[Act 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  <c r="CE445" s="5">
        <f>INDEX(Projects[Act Data Status],444)&amp;""</f>
        <v/>
      </c>
      <c r="CF445" s="5">
        <f>IF(A445="","",N(INDEX(Projects[Est Mech Inst],444)))</f>
        <v/>
      </c>
      <c r="CG445" s="5">
        <f>IF(A445="","",N(INDEX(Projects[Est Elec Inst],444)))</f>
        <v/>
      </c>
      <c r="CH445" s="5">
        <f>IF(A445="","",N(INDEX(Projects[Est Project Management],444)))</f>
        <v/>
      </c>
      <c r="CI445" s="5">
        <f>IF(A445="","",N(INDEX(Projects[Est Systems Eng],444)))</f>
        <v/>
      </c>
      <c r="CJ445" s="5">
        <f>IF(A445="","",N(INDEX(Projects[Est Mechanical Eng],444)))</f>
        <v/>
      </c>
      <c r="CK445" s="5">
        <f>IF(A445="","",N(INDEX(Projects[Est Structural Engineering],444)))</f>
        <v/>
      </c>
      <c r="CL445" s="5">
        <f>IF(A445="","",N(INDEX(Projects[Est Site Sup],444)))</f>
        <v/>
      </c>
      <c r="CM445" s="5">
        <f>IF(A445="","",N(INDEX(Projects[Est Controls Commissioning],444)))</f>
        <v/>
      </c>
      <c r="CN445" s="5">
        <f>IF(A445="","",N(INDEX(Projects[Est Systems Commissioning],444)))</f>
        <v/>
      </c>
      <c r="CO445" s="5">
        <f>IF(A445="","",N(INDEX(Projects[Est Service Commissioning],444)))</f>
        <v/>
      </c>
      <c r="CP445" s="5">
        <f>IF(A445="","",N(INDEX(Projects[Est Controls Eng],444)))</f>
        <v/>
      </c>
      <c r="CQ445" s="5">
        <f>IF(A445="","",N(INDEX(Projects[Est Controls Purchase],444)))</f>
        <v/>
      </c>
      <c r="CR445" s="5">
        <f>IF(A445="","",N(INDEX(Projects[Est Software Eng],444)))</f>
        <v/>
      </c>
      <c r="CS445" s="5">
        <f>IF(A445="","",N(INDEX(Projects[Est Misc],444)))</f>
        <v/>
      </c>
      <c r="CT445" s="5">
        <f>IF(A445="","",SUM(CF445:CS445))</f>
        <v/>
      </c>
      <c r="CU445" s="5">
        <f>INDEX(Projects[Est Cost (M)],444)</f>
        <v/>
      </c>
      <c r="CV445" s="5">
        <f>INDEX(Projects[Act Cost (M)],444)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IF(A446="","",N(INDEX(Projects[Act Mech Inst],445)))</f>
        <v/>
      </c>
      <c r="BK446" s="5">
        <f>IF(A446="","",N(INDEX(Projects[Act Elec Inst],445)))</f>
        <v/>
      </c>
      <c r="BL446" s="5">
        <f>IF(A446="","",N(INDEX(Projects[Act Project Management],445)))</f>
        <v/>
      </c>
      <c r="BM446" s="5">
        <f>IF(A446="","",N(INDEX(Projects[Act Systems Eng],445)))</f>
        <v/>
      </c>
      <c r="BN446" s="5">
        <f>IF(A446="","",N(INDEX(Projects[Act Mechanical Eng],445)))</f>
        <v/>
      </c>
      <c r="BO446" s="5">
        <f>IF(A446="","",N(INDEX(Projects[Act Structural Engineering],445)))</f>
        <v/>
      </c>
      <c r="BP446" s="5">
        <f>IF(A446="","",N(INDEX(Projects[Act Site Sup],445)))</f>
        <v/>
      </c>
      <c r="BQ446" s="5">
        <f>IF(A446="","",N(INDEX(Projects[Act Controls Commissioning],445)))</f>
        <v/>
      </c>
      <c r="BR446" s="5">
        <f>IF(A446="","",N(INDEX(Projects[Act Systems Commissioning],445)))</f>
        <v/>
      </c>
      <c r="BS446" s="5">
        <f>IF(A446="","",N(INDEX(Projects[Act Service Commissioning],445)))</f>
        <v/>
      </c>
      <c r="BT446" s="5">
        <f>IF(A446="","",N(INDEX(Projects[Act Controls Eng],445)))</f>
        <v/>
      </c>
      <c r="BU446" s="5">
        <f>IF(A446="","",N(INDEX(Projects[Act Controls Purchase],445)))</f>
        <v/>
      </c>
      <c r="BV446" s="5">
        <f>IF(A446="","",N(INDEX(Projects[Act Software Eng],445)))</f>
        <v/>
      </c>
      <c r="BW446" s="5">
        <f>IF(A446="","",N(INDEX(Projects[Act 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  <c r="CE446" s="5">
        <f>INDEX(Projects[Act Data Status],445)&amp;""</f>
        <v/>
      </c>
      <c r="CF446" s="5">
        <f>IF(A446="","",N(INDEX(Projects[Est Mech Inst],445)))</f>
        <v/>
      </c>
      <c r="CG446" s="5">
        <f>IF(A446="","",N(INDEX(Projects[Est Elec Inst],445)))</f>
        <v/>
      </c>
      <c r="CH446" s="5">
        <f>IF(A446="","",N(INDEX(Projects[Est Project Management],445)))</f>
        <v/>
      </c>
      <c r="CI446" s="5">
        <f>IF(A446="","",N(INDEX(Projects[Est Systems Eng],445)))</f>
        <v/>
      </c>
      <c r="CJ446" s="5">
        <f>IF(A446="","",N(INDEX(Projects[Est Mechanical Eng],445)))</f>
        <v/>
      </c>
      <c r="CK446" s="5">
        <f>IF(A446="","",N(INDEX(Projects[Est Structural Engineering],445)))</f>
        <v/>
      </c>
      <c r="CL446" s="5">
        <f>IF(A446="","",N(INDEX(Projects[Est Site Sup],445)))</f>
        <v/>
      </c>
      <c r="CM446" s="5">
        <f>IF(A446="","",N(INDEX(Projects[Est Controls Commissioning],445)))</f>
        <v/>
      </c>
      <c r="CN446" s="5">
        <f>IF(A446="","",N(INDEX(Projects[Est Systems Commissioning],445)))</f>
        <v/>
      </c>
      <c r="CO446" s="5">
        <f>IF(A446="","",N(INDEX(Projects[Est Service Commissioning],445)))</f>
        <v/>
      </c>
      <c r="CP446" s="5">
        <f>IF(A446="","",N(INDEX(Projects[Est Controls Eng],445)))</f>
        <v/>
      </c>
      <c r="CQ446" s="5">
        <f>IF(A446="","",N(INDEX(Projects[Est Controls Purchase],445)))</f>
        <v/>
      </c>
      <c r="CR446" s="5">
        <f>IF(A446="","",N(INDEX(Projects[Est Software Eng],445)))</f>
        <v/>
      </c>
      <c r="CS446" s="5">
        <f>IF(A446="","",N(INDEX(Projects[Est Misc],445)))</f>
        <v/>
      </c>
      <c r="CT446" s="5">
        <f>IF(A446="","",SUM(CF446:CS446))</f>
        <v/>
      </c>
      <c r="CU446" s="5">
        <f>INDEX(Projects[Est Cost (M)],445)</f>
        <v/>
      </c>
      <c r="CV446" s="5">
        <f>INDEX(Projects[Act Cost (M)],445)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IF(A447="","",N(INDEX(Projects[Act Mech Inst],446)))</f>
        <v/>
      </c>
      <c r="BK447" s="5">
        <f>IF(A447="","",N(INDEX(Projects[Act Elec Inst],446)))</f>
        <v/>
      </c>
      <c r="BL447" s="5">
        <f>IF(A447="","",N(INDEX(Projects[Act Project Management],446)))</f>
        <v/>
      </c>
      <c r="BM447" s="5">
        <f>IF(A447="","",N(INDEX(Projects[Act Systems Eng],446)))</f>
        <v/>
      </c>
      <c r="BN447" s="5">
        <f>IF(A447="","",N(INDEX(Projects[Act Mechanical Eng],446)))</f>
        <v/>
      </c>
      <c r="BO447" s="5">
        <f>IF(A447="","",N(INDEX(Projects[Act Structural Engineering],446)))</f>
        <v/>
      </c>
      <c r="BP447" s="5">
        <f>IF(A447="","",N(INDEX(Projects[Act Site Sup],446)))</f>
        <v/>
      </c>
      <c r="BQ447" s="5">
        <f>IF(A447="","",N(INDEX(Projects[Act Controls Commissioning],446)))</f>
        <v/>
      </c>
      <c r="BR447" s="5">
        <f>IF(A447="","",N(INDEX(Projects[Act Systems Commissioning],446)))</f>
        <v/>
      </c>
      <c r="BS447" s="5">
        <f>IF(A447="","",N(INDEX(Projects[Act Service Commissioning],446)))</f>
        <v/>
      </c>
      <c r="BT447" s="5">
        <f>IF(A447="","",N(INDEX(Projects[Act Controls Eng],446)))</f>
        <v/>
      </c>
      <c r="BU447" s="5">
        <f>IF(A447="","",N(INDEX(Projects[Act Controls Purchase],446)))</f>
        <v/>
      </c>
      <c r="BV447" s="5">
        <f>IF(A447="","",N(INDEX(Projects[Act Software Eng],446)))</f>
        <v/>
      </c>
      <c r="BW447" s="5">
        <f>IF(A447="","",N(INDEX(Projects[Act 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  <c r="CE447" s="5">
        <f>INDEX(Projects[Act Data Status],446)&amp;""</f>
        <v/>
      </c>
      <c r="CF447" s="5">
        <f>IF(A447="","",N(INDEX(Projects[Est Mech Inst],446)))</f>
        <v/>
      </c>
      <c r="CG447" s="5">
        <f>IF(A447="","",N(INDEX(Projects[Est Elec Inst],446)))</f>
        <v/>
      </c>
      <c r="CH447" s="5">
        <f>IF(A447="","",N(INDEX(Projects[Est Project Management],446)))</f>
        <v/>
      </c>
      <c r="CI447" s="5">
        <f>IF(A447="","",N(INDEX(Projects[Est Systems Eng],446)))</f>
        <v/>
      </c>
      <c r="CJ447" s="5">
        <f>IF(A447="","",N(INDEX(Projects[Est Mechanical Eng],446)))</f>
        <v/>
      </c>
      <c r="CK447" s="5">
        <f>IF(A447="","",N(INDEX(Projects[Est Structural Engineering],446)))</f>
        <v/>
      </c>
      <c r="CL447" s="5">
        <f>IF(A447="","",N(INDEX(Projects[Est Site Sup],446)))</f>
        <v/>
      </c>
      <c r="CM447" s="5">
        <f>IF(A447="","",N(INDEX(Projects[Est Controls Commissioning],446)))</f>
        <v/>
      </c>
      <c r="CN447" s="5">
        <f>IF(A447="","",N(INDEX(Projects[Est Systems Commissioning],446)))</f>
        <v/>
      </c>
      <c r="CO447" s="5">
        <f>IF(A447="","",N(INDEX(Projects[Est Service Commissioning],446)))</f>
        <v/>
      </c>
      <c r="CP447" s="5">
        <f>IF(A447="","",N(INDEX(Projects[Est Controls Eng],446)))</f>
        <v/>
      </c>
      <c r="CQ447" s="5">
        <f>IF(A447="","",N(INDEX(Projects[Est Controls Purchase],446)))</f>
        <v/>
      </c>
      <c r="CR447" s="5">
        <f>IF(A447="","",N(INDEX(Projects[Est Software Eng],446)))</f>
        <v/>
      </c>
      <c r="CS447" s="5">
        <f>IF(A447="","",N(INDEX(Projects[Est Misc],446)))</f>
        <v/>
      </c>
      <c r="CT447" s="5">
        <f>IF(A447="","",SUM(CF447:CS447))</f>
        <v/>
      </c>
      <c r="CU447" s="5">
        <f>INDEX(Projects[Est Cost (M)],446)</f>
        <v/>
      </c>
      <c r="CV447" s="5">
        <f>INDEX(Projects[Act Cost (M)],446)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IF(A448="","",N(INDEX(Projects[Act Mech Inst],447)))</f>
        <v/>
      </c>
      <c r="BK448" s="5">
        <f>IF(A448="","",N(INDEX(Projects[Act Elec Inst],447)))</f>
        <v/>
      </c>
      <c r="BL448" s="5">
        <f>IF(A448="","",N(INDEX(Projects[Act Project Management],447)))</f>
        <v/>
      </c>
      <c r="BM448" s="5">
        <f>IF(A448="","",N(INDEX(Projects[Act Systems Eng],447)))</f>
        <v/>
      </c>
      <c r="BN448" s="5">
        <f>IF(A448="","",N(INDEX(Projects[Act Mechanical Eng],447)))</f>
        <v/>
      </c>
      <c r="BO448" s="5">
        <f>IF(A448="","",N(INDEX(Projects[Act Structural Engineering],447)))</f>
        <v/>
      </c>
      <c r="BP448" s="5">
        <f>IF(A448="","",N(INDEX(Projects[Act Site Sup],447)))</f>
        <v/>
      </c>
      <c r="BQ448" s="5">
        <f>IF(A448="","",N(INDEX(Projects[Act Controls Commissioning],447)))</f>
        <v/>
      </c>
      <c r="BR448" s="5">
        <f>IF(A448="","",N(INDEX(Projects[Act Systems Commissioning],447)))</f>
        <v/>
      </c>
      <c r="BS448" s="5">
        <f>IF(A448="","",N(INDEX(Projects[Act Service Commissioning],447)))</f>
        <v/>
      </c>
      <c r="BT448" s="5">
        <f>IF(A448="","",N(INDEX(Projects[Act Controls Eng],447)))</f>
        <v/>
      </c>
      <c r="BU448" s="5">
        <f>IF(A448="","",N(INDEX(Projects[Act Controls Purchase],447)))</f>
        <v/>
      </c>
      <c r="BV448" s="5">
        <f>IF(A448="","",N(INDEX(Projects[Act Software Eng],447)))</f>
        <v/>
      </c>
      <c r="BW448" s="5">
        <f>IF(A448="","",N(INDEX(Projects[Act 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  <c r="CE448" s="5">
        <f>INDEX(Projects[Act Data Status],447)&amp;""</f>
        <v/>
      </c>
      <c r="CF448" s="5">
        <f>IF(A448="","",N(INDEX(Projects[Est Mech Inst],447)))</f>
        <v/>
      </c>
      <c r="CG448" s="5">
        <f>IF(A448="","",N(INDEX(Projects[Est Elec Inst],447)))</f>
        <v/>
      </c>
      <c r="CH448" s="5">
        <f>IF(A448="","",N(INDEX(Projects[Est Project Management],447)))</f>
        <v/>
      </c>
      <c r="CI448" s="5">
        <f>IF(A448="","",N(INDEX(Projects[Est Systems Eng],447)))</f>
        <v/>
      </c>
      <c r="CJ448" s="5">
        <f>IF(A448="","",N(INDEX(Projects[Est Mechanical Eng],447)))</f>
        <v/>
      </c>
      <c r="CK448" s="5">
        <f>IF(A448="","",N(INDEX(Projects[Est Structural Engineering],447)))</f>
        <v/>
      </c>
      <c r="CL448" s="5">
        <f>IF(A448="","",N(INDEX(Projects[Est Site Sup],447)))</f>
        <v/>
      </c>
      <c r="CM448" s="5">
        <f>IF(A448="","",N(INDEX(Projects[Est Controls Commissioning],447)))</f>
        <v/>
      </c>
      <c r="CN448" s="5">
        <f>IF(A448="","",N(INDEX(Projects[Est Systems Commissioning],447)))</f>
        <v/>
      </c>
      <c r="CO448" s="5">
        <f>IF(A448="","",N(INDEX(Projects[Est Service Commissioning],447)))</f>
        <v/>
      </c>
      <c r="CP448" s="5">
        <f>IF(A448="","",N(INDEX(Projects[Est Controls Eng],447)))</f>
        <v/>
      </c>
      <c r="CQ448" s="5">
        <f>IF(A448="","",N(INDEX(Projects[Est Controls Purchase],447)))</f>
        <v/>
      </c>
      <c r="CR448" s="5">
        <f>IF(A448="","",N(INDEX(Projects[Est Software Eng],447)))</f>
        <v/>
      </c>
      <c r="CS448" s="5">
        <f>IF(A448="","",N(INDEX(Projects[Est Misc],447)))</f>
        <v/>
      </c>
      <c r="CT448" s="5">
        <f>IF(A448="","",SUM(CF448:CS448))</f>
        <v/>
      </c>
      <c r="CU448" s="5">
        <f>INDEX(Projects[Est Cost (M)],447)</f>
        <v/>
      </c>
      <c r="CV448" s="5">
        <f>INDEX(Projects[Act Cost (M)],447)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IF(A449="","",N(INDEX(Projects[Act Mech Inst],448)))</f>
        <v/>
      </c>
      <c r="BK449" s="5">
        <f>IF(A449="","",N(INDEX(Projects[Act Elec Inst],448)))</f>
        <v/>
      </c>
      <c r="BL449" s="5">
        <f>IF(A449="","",N(INDEX(Projects[Act Project Management],448)))</f>
        <v/>
      </c>
      <c r="BM449" s="5">
        <f>IF(A449="","",N(INDEX(Projects[Act Systems Eng],448)))</f>
        <v/>
      </c>
      <c r="BN449" s="5">
        <f>IF(A449="","",N(INDEX(Projects[Act Mechanical Eng],448)))</f>
        <v/>
      </c>
      <c r="BO449" s="5">
        <f>IF(A449="","",N(INDEX(Projects[Act Structural Engineering],448)))</f>
        <v/>
      </c>
      <c r="BP449" s="5">
        <f>IF(A449="","",N(INDEX(Projects[Act Site Sup],448)))</f>
        <v/>
      </c>
      <c r="BQ449" s="5">
        <f>IF(A449="","",N(INDEX(Projects[Act Controls Commissioning],448)))</f>
        <v/>
      </c>
      <c r="BR449" s="5">
        <f>IF(A449="","",N(INDEX(Projects[Act Systems Commissioning],448)))</f>
        <v/>
      </c>
      <c r="BS449" s="5">
        <f>IF(A449="","",N(INDEX(Projects[Act Service Commissioning],448)))</f>
        <v/>
      </c>
      <c r="BT449" s="5">
        <f>IF(A449="","",N(INDEX(Projects[Act Controls Eng],448)))</f>
        <v/>
      </c>
      <c r="BU449" s="5">
        <f>IF(A449="","",N(INDEX(Projects[Act Controls Purchase],448)))</f>
        <v/>
      </c>
      <c r="BV449" s="5">
        <f>IF(A449="","",N(INDEX(Projects[Act Software Eng],448)))</f>
        <v/>
      </c>
      <c r="BW449" s="5">
        <f>IF(A449="","",N(INDEX(Projects[Act 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  <c r="CE449" s="5">
        <f>INDEX(Projects[Act Data Status],448)&amp;""</f>
        <v/>
      </c>
      <c r="CF449" s="5">
        <f>IF(A449="","",N(INDEX(Projects[Est Mech Inst],448)))</f>
        <v/>
      </c>
      <c r="CG449" s="5">
        <f>IF(A449="","",N(INDEX(Projects[Est Elec Inst],448)))</f>
        <v/>
      </c>
      <c r="CH449" s="5">
        <f>IF(A449="","",N(INDEX(Projects[Est Project Management],448)))</f>
        <v/>
      </c>
      <c r="CI449" s="5">
        <f>IF(A449="","",N(INDEX(Projects[Est Systems Eng],448)))</f>
        <v/>
      </c>
      <c r="CJ449" s="5">
        <f>IF(A449="","",N(INDEX(Projects[Est Mechanical Eng],448)))</f>
        <v/>
      </c>
      <c r="CK449" s="5">
        <f>IF(A449="","",N(INDEX(Projects[Est Structural Engineering],448)))</f>
        <v/>
      </c>
      <c r="CL449" s="5">
        <f>IF(A449="","",N(INDEX(Projects[Est Site Sup],448)))</f>
        <v/>
      </c>
      <c r="CM449" s="5">
        <f>IF(A449="","",N(INDEX(Projects[Est Controls Commissioning],448)))</f>
        <v/>
      </c>
      <c r="CN449" s="5">
        <f>IF(A449="","",N(INDEX(Projects[Est Systems Commissioning],448)))</f>
        <v/>
      </c>
      <c r="CO449" s="5">
        <f>IF(A449="","",N(INDEX(Projects[Est Service Commissioning],448)))</f>
        <v/>
      </c>
      <c r="CP449" s="5">
        <f>IF(A449="","",N(INDEX(Projects[Est Controls Eng],448)))</f>
        <v/>
      </c>
      <c r="CQ449" s="5">
        <f>IF(A449="","",N(INDEX(Projects[Est Controls Purchase],448)))</f>
        <v/>
      </c>
      <c r="CR449" s="5">
        <f>IF(A449="","",N(INDEX(Projects[Est Software Eng],448)))</f>
        <v/>
      </c>
      <c r="CS449" s="5">
        <f>IF(A449="","",N(INDEX(Projects[Est Misc],448)))</f>
        <v/>
      </c>
      <c r="CT449" s="5">
        <f>IF(A449="","",SUM(CF449:CS449))</f>
        <v/>
      </c>
      <c r="CU449" s="5">
        <f>INDEX(Projects[Est Cost (M)],448)</f>
        <v/>
      </c>
      <c r="CV449" s="5">
        <f>INDEX(Projects[Act Cost (M)],448)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IF(A450="","",N(INDEX(Projects[Act Mech Inst],449)))</f>
        <v/>
      </c>
      <c r="BK450" s="5">
        <f>IF(A450="","",N(INDEX(Projects[Act Elec Inst],449)))</f>
        <v/>
      </c>
      <c r="BL450" s="5">
        <f>IF(A450="","",N(INDEX(Projects[Act Project Management],449)))</f>
        <v/>
      </c>
      <c r="BM450" s="5">
        <f>IF(A450="","",N(INDEX(Projects[Act Systems Eng],449)))</f>
        <v/>
      </c>
      <c r="BN450" s="5">
        <f>IF(A450="","",N(INDEX(Projects[Act Mechanical Eng],449)))</f>
        <v/>
      </c>
      <c r="BO450" s="5">
        <f>IF(A450="","",N(INDEX(Projects[Act Structural Engineering],449)))</f>
        <v/>
      </c>
      <c r="BP450" s="5">
        <f>IF(A450="","",N(INDEX(Projects[Act Site Sup],449)))</f>
        <v/>
      </c>
      <c r="BQ450" s="5">
        <f>IF(A450="","",N(INDEX(Projects[Act Controls Commissioning],449)))</f>
        <v/>
      </c>
      <c r="BR450" s="5">
        <f>IF(A450="","",N(INDEX(Projects[Act Systems Commissioning],449)))</f>
        <v/>
      </c>
      <c r="BS450" s="5">
        <f>IF(A450="","",N(INDEX(Projects[Act Service Commissioning],449)))</f>
        <v/>
      </c>
      <c r="BT450" s="5">
        <f>IF(A450="","",N(INDEX(Projects[Act Controls Eng],449)))</f>
        <v/>
      </c>
      <c r="BU450" s="5">
        <f>IF(A450="","",N(INDEX(Projects[Act Controls Purchase],449)))</f>
        <v/>
      </c>
      <c r="BV450" s="5">
        <f>IF(A450="","",N(INDEX(Projects[Act Software Eng],449)))</f>
        <v/>
      </c>
      <c r="BW450" s="5">
        <f>IF(A450="","",N(INDEX(Projects[Act 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  <c r="CE450" s="5">
        <f>INDEX(Projects[Act Data Status],449)&amp;""</f>
        <v/>
      </c>
      <c r="CF450" s="5">
        <f>IF(A450="","",N(INDEX(Projects[Est Mech Inst],449)))</f>
        <v/>
      </c>
      <c r="CG450" s="5">
        <f>IF(A450="","",N(INDEX(Projects[Est Elec Inst],449)))</f>
        <v/>
      </c>
      <c r="CH450" s="5">
        <f>IF(A450="","",N(INDEX(Projects[Est Project Management],449)))</f>
        <v/>
      </c>
      <c r="CI450" s="5">
        <f>IF(A450="","",N(INDEX(Projects[Est Systems Eng],449)))</f>
        <v/>
      </c>
      <c r="CJ450" s="5">
        <f>IF(A450="","",N(INDEX(Projects[Est Mechanical Eng],449)))</f>
        <v/>
      </c>
      <c r="CK450" s="5">
        <f>IF(A450="","",N(INDEX(Projects[Est Structural Engineering],449)))</f>
        <v/>
      </c>
      <c r="CL450" s="5">
        <f>IF(A450="","",N(INDEX(Projects[Est Site Sup],449)))</f>
        <v/>
      </c>
      <c r="CM450" s="5">
        <f>IF(A450="","",N(INDEX(Projects[Est Controls Commissioning],449)))</f>
        <v/>
      </c>
      <c r="CN450" s="5">
        <f>IF(A450="","",N(INDEX(Projects[Est Systems Commissioning],449)))</f>
        <v/>
      </c>
      <c r="CO450" s="5">
        <f>IF(A450="","",N(INDEX(Projects[Est Service Commissioning],449)))</f>
        <v/>
      </c>
      <c r="CP450" s="5">
        <f>IF(A450="","",N(INDEX(Projects[Est Controls Eng],449)))</f>
        <v/>
      </c>
      <c r="CQ450" s="5">
        <f>IF(A450="","",N(INDEX(Projects[Est Controls Purchase],449)))</f>
        <v/>
      </c>
      <c r="CR450" s="5">
        <f>IF(A450="","",N(INDEX(Projects[Est Software Eng],449)))</f>
        <v/>
      </c>
      <c r="CS450" s="5">
        <f>IF(A450="","",N(INDEX(Projects[Est Misc],449)))</f>
        <v/>
      </c>
      <c r="CT450" s="5">
        <f>IF(A450="","",SUM(CF450:CS450))</f>
        <v/>
      </c>
      <c r="CU450" s="5">
        <f>INDEX(Projects[Est Cost (M)],449)</f>
        <v/>
      </c>
      <c r="CV450" s="5">
        <f>INDEX(Projects[Act Cost (M)],449)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IF(A451="","",N(INDEX(Projects[Act Mech Inst],450)))</f>
        <v/>
      </c>
      <c r="BK451" s="5">
        <f>IF(A451="","",N(INDEX(Projects[Act Elec Inst],450)))</f>
        <v/>
      </c>
      <c r="BL451" s="5">
        <f>IF(A451="","",N(INDEX(Projects[Act Project Management],450)))</f>
        <v/>
      </c>
      <c r="BM451" s="5">
        <f>IF(A451="","",N(INDEX(Projects[Act Systems Eng],450)))</f>
        <v/>
      </c>
      <c r="BN451" s="5">
        <f>IF(A451="","",N(INDEX(Projects[Act Mechanical Eng],450)))</f>
        <v/>
      </c>
      <c r="BO451" s="5">
        <f>IF(A451="","",N(INDEX(Projects[Act Structural Engineering],450)))</f>
        <v/>
      </c>
      <c r="BP451" s="5">
        <f>IF(A451="","",N(INDEX(Projects[Act Site Sup],450)))</f>
        <v/>
      </c>
      <c r="BQ451" s="5">
        <f>IF(A451="","",N(INDEX(Projects[Act Controls Commissioning],450)))</f>
        <v/>
      </c>
      <c r="BR451" s="5">
        <f>IF(A451="","",N(INDEX(Projects[Act Systems Commissioning],450)))</f>
        <v/>
      </c>
      <c r="BS451" s="5">
        <f>IF(A451="","",N(INDEX(Projects[Act Service Commissioning],450)))</f>
        <v/>
      </c>
      <c r="BT451" s="5">
        <f>IF(A451="","",N(INDEX(Projects[Act Controls Eng],450)))</f>
        <v/>
      </c>
      <c r="BU451" s="5">
        <f>IF(A451="","",N(INDEX(Projects[Act Controls Purchase],450)))</f>
        <v/>
      </c>
      <c r="BV451" s="5">
        <f>IF(A451="","",N(INDEX(Projects[Act Software Eng],450)))</f>
        <v/>
      </c>
      <c r="BW451" s="5">
        <f>IF(A451="","",N(INDEX(Projects[Act 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  <c r="CE451" s="5">
        <f>INDEX(Projects[Act Data Status],450)&amp;""</f>
        <v/>
      </c>
      <c r="CF451" s="5">
        <f>IF(A451="","",N(INDEX(Projects[Est Mech Inst],450)))</f>
        <v/>
      </c>
      <c r="CG451" s="5">
        <f>IF(A451="","",N(INDEX(Projects[Est Elec Inst],450)))</f>
        <v/>
      </c>
      <c r="CH451" s="5">
        <f>IF(A451="","",N(INDEX(Projects[Est Project Management],450)))</f>
        <v/>
      </c>
      <c r="CI451" s="5">
        <f>IF(A451="","",N(INDEX(Projects[Est Systems Eng],450)))</f>
        <v/>
      </c>
      <c r="CJ451" s="5">
        <f>IF(A451="","",N(INDEX(Projects[Est Mechanical Eng],450)))</f>
        <v/>
      </c>
      <c r="CK451" s="5">
        <f>IF(A451="","",N(INDEX(Projects[Est Structural Engineering],450)))</f>
        <v/>
      </c>
      <c r="CL451" s="5">
        <f>IF(A451="","",N(INDEX(Projects[Est Site Sup],450)))</f>
        <v/>
      </c>
      <c r="CM451" s="5">
        <f>IF(A451="","",N(INDEX(Projects[Est Controls Commissioning],450)))</f>
        <v/>
      </c>
      <c r="CN451" s="5">
        <f>IF(A451="","",N(INDEX(Projects[Est Systems Commissioning],450)))</f>
        <v/>
      </c>
      <c r="CO451" s="5">
        <f>IF(A451="","",N(INDEX(Projects[Est Service Commissioning],450)))</f>
        <v/>
      </c>
      <c r="CP451" s="5">
        <f>IF(A451="","",N(INDEX(Projects[Est Controls Eng],450)))</f>
        <v/>
      </c>
      <c r="CQ451" s="5">
        <f>IF(A451="","",N(INDEX(Projects[Est Controls Purchase],450)))</f>
        <v/>
      </c>
      <c r="CR451" s="5">
        <f>IF(A451="","",N(INDEX(Projects[Est Software Eng],450)))</f>
        <v/>
      </c>
      <c r="CS451" s="5">
        <f>IF(A451="","",N(INDEX(Projects[Est Misc],450)))</f>
        <v/>
      </c>
      <c r="CT451" s="5">
        <f>IF(A451="","",SUM(CF451:CS451))</f>
        <v/>
      </c>
      <c r="CU451" s="5">
        <f>INDEX(Projects[Est Cost (M)],450)</f>
        <v/>
      </c>
      <c r="CV451" s="5">
        <f>INDEX(Projects[Act Cost (M)],450)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IF(A452="","",N(INDEX(Projects[Act Mech Inst],451)))</f>
        <v/>
      </c>
      <c r="BK452" s="5">
        <f>IF(A452="","",N(INDEX(Projects[Act Elec Inst],451)))</f>
        <v/>
      </c>
      <c r="BL452" s="5">
        <f>IF(A452="","",N(INDEX(Projects[Act Project Management],451)))</f>
        <v/>
      </c>
      <c r="BM452" s="5">
        <f>IF(A452="","",N(INDEX(Projects[Act Systems Eng],451)))</f>
        <v/>
      </c>
      <c r="BN452" s="5">
        <f>IF(A452="","",N(INDEX(Projects[Act Mechanical Eng],451)))</f>
        <v/>
      </c>
      <c r="BO452" s="5">
        <f>IF(A452="","",N(INDEX(Projects[Act Structural Engineering],451)))</f>
        <v/>
      </c>
      <c r="BP452" s="5">
        <f>IF(A452="","",N(INDEX(Projects[Act Site Sup],451)))</f>
        <v/>
      </c>
      <c r="BQ452" s="5">
        <f>IF(A452="","",N(INDEX(Projects[Act Controls Commissioning],451)))</f>
        <v/>
      </c>
      <c r="BR452" s="5">
        <f>IF(A452="","",N(INDEX(Projects[Act Systems Commissioning],451)))</f>
        <v/>
      </c>
      <c r="BS452" s="5">
        <f>IF(A452="","",N(INDEX(Projects[Act Service Commissioning],451)))</f>
        <v/>
      </c>
      <c r="BT452" s="5">
        <f>IF(A452="","",N(INDEX(Projects[Act Controls Eng],451)))</f>
        <v/>
      </c>
      <c r="BU452" s="5">
        <f>IF(A452="","",N(INDEX(Projects[Act Controls Purchase],451)))</f>
        <v/>
      </c>
      <c r="BV452" s="5">
        <f>IF(A452="","",N(INDEX(Projects[Act Software Eng],451)))</f>
        <v/>
      </c>
      <c r="BW452" s="5">
        <f>IF(A452="","",N(INDEX(Projects[Act 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  <c r="CE452" s="5">
        <f>INDEX(Projects[Act Data Status],451)&amp;""</f>
        <v/>
      </c>
      <c r="CF452" s="5">
        <f>IF(A452="","",N(INDEX(Projects[Est Mech Inst],451)))</f>
        <v/>
      </c>
      <c r="CG452" s="5">
        <f>IF(A452="","",N(INDEX(Projects[Est Elec Inst],451)))</f>
        <v/>
      </c>
      <c r="CH452" s="5">
        <f>IF(A452="","",N(INDEX(Projects[Est Project Management],451)))</f>
        <v/>
      </c>
      <c r="CI452" s="5">
        <f>IF(A452="","",N(INDEX(Projects[Est Systems Eng],451)))</f>
        <v/>
      </c>
      <c r="CJ452" s="5">
        <f>IF(A452="","",N(INDEX(Projects[Est Mechanical Eng],451)))</f>
        <v/>
      </c>
      <c r="CK452" s="5">
        <f>IF(A452="","",N(INDEX(Projects[Est Structural Engineering],451)))</f>
        <v/>
      </c>
      <c r="CL452" s="5">
        <f>IF(A452="","",N(INDEX(Projects[Est Site Sup],451)))</f>
        <v/>
      </c>
      <c r="CM452" s="5">
        <f>IF(A452="","",N(INDEX(Projects[Est Controls Commissioning],451)))</f>
        <v/>
      </c>
      <c r="CN452" s="5">
        <f>IF(A452="","",N(INDEX(Projects[Est Systems Commissioning],451)))</f>
        <v/>
      </c>
      <c r="CO452" s="5">
        <f>IF(A452="","",N(INDEX(Projects[Est Service Commissioning],451)))</f>
        <v/>
      </c>
      <c r="CP452" s="5">
        <f>IF(A452="","",N(INDEX(Projects[Est Controls Eng],451)))</f>
        <v/>
      </c>
      <c r="CQ452" s="5">
        <f>IF(A452="","",N(INDEX(Projects[Est Controls Purchase],451)))</f>
        <v/>
      </c>
      <c r="CR452" s="5">
        <f>IF(A452="","",N(INDEX(Projects[Est Software Eng],451)))</f>
        <v/>
      </c>
      <c r="CS452" s="5">
        <f>IF(A452="","",N(INDEX(Projects[Est Misc],451)))</f>
        <v/>
      </c>
      <c r="CT452" s="5">
        <f>IF(A452="","",SUM(CF452:CS452))</f>
        <v/>
      </c>
      <c r="CU452" s="5">
        <f>INDEX(Projects[Est Cost (M)],451)</f>
        <v/>
      </c>
      <c r="CV452" s="5">
        <f>INDEX(Projects[Act Cost (M)],451)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IF(A453="","",N(INDEX(Projects[Act Mech Inst],452)))</f>
        <v/>
      </c>
      <c r="BK453" s="5">
        <f>IF(A453="","",N(INDEX(Projects[Act Elec Inst],452)))</f>
        <v/>
      </c>
      <c r="BL453" s="5">
        <f>IF(A453="","",N(INDEX(Projects[Act Project Management],452)))</f>
        <v/>
      </c>
      <c r="BM453" s="5">
        <f>IF(A453="","",N(INDEX(Projects[Act Systems Eng],452)))</f>
        <v/>
      </c>
      <c r="BN453" s="5">
        <f>IF(A453="","",N(INDEX(Projects[Act Mechanical Eng],452)))</f>
        <v/>
      </c>
      <c r="BO453" s="5">
        <f>IF(A453="","",N(INDEX(Projects[Act Structural Engineering],452)))</f>
        <v/>
      </c>
      <c r="BP453" s="5">
        <f>IF(A453="","",N(INDEX(Projects[Act Site Sup],452)))</f>
        <v/>
      </c>
      <c r="BQ453" s="5">
        <f>IF(A453="","",N(INDEX(Projects[Act Controls Commissioning],452)))</f>
        <v/>
      </c>
      <c r="BR453" s="5">
        <f>IF(A453="","",N(INDEX(Projects[Act Systems Commissioning],452)))</f>
        <v/>
      </c>
      <c r="BS453" s="5">
        <f>IF(A453="","",N(INDEX(Projects[Act Service Commissioning],452)))</f>
        <v/>
      </c>
      <c r="BT453" s="5">
        <f>IF(A453="","",N(INDEX(Projects[Act Controls Eng],452)))</f>
        <v/>
      </c>
      <c r="BU453" s="5">
        <f>IF(A453="","",N(INDEX(Projects[Act Controls Purchase],452)))</f>
        <v/>
      </c>
      <c r="BV453" s="5">
        <f>IF(A453="","",N(INDEX(Projects[Act Software Eng],452)))</f>
        <v/>
      </c>
      <c r="BW453" s="5">
        <f>IF(A453="","",N(INDEX(Projects[Act 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  <c r="CE453" s="5">
        <f>INDEX(Projects[Act Data Status],452)&amp;""</f>
        <v/>
      </c>
      <c r="CF453" s="5">
        <f>IF(A453="","",N(INDEX(Projects[Est Mech Inst],452)))</f>
        <v/>
      </c>
      <c r="CG453" s="5">
        <f>IF(A453="","",N(INDEX(Projects[Est Elec Inst],452)))</f>
        <v/>
      </c>
      <c r="CH453" s="5">
        <f>IF(A453="","",N(INDEX(Projects[Est Project Management],452)))</f>
        <v/>
      </c>
      <c r="CI453" s="5">
        <f>IF(A453="","",N(INDEX(Projects[Est Systems Eng],452)))</f>
        <v/>
      </c>
      <c r="CJ453" s="5">
        <f>IF(A453="","",N(INDEX(Projects[Est Mechanical Eng],452)))</f>
        <v/>
      </c>
      <c r="CK453" s="5">
        <f>IF(A453="","",N(INDEX(Projects[Est Structural Engineering],452)))</f>
        <v/>
      </c>
      <c r="CL453" s="5">
        <f>IF(A453="","",N(INDEX(Projects[Est Site Sup],452)))</f>
        <v/>
      </c>
      <c r="CM453" s="5">
        <f>IF(A453="","",N(INDEX(Projects[Est Controls Commissioning],452)))</f>
        <v/>
      </c>
      <c r="CN453" s="5">
        <f>IF(A453="","",N(INDEX(Projects[Est Systems Commissioning],452)))</f>
        <v/>
      </c>
      <c r="CO453" s="5">
        <f>IF(A453="","",N(INDEX(Projects[Est Service Commissioning],452)))</f>
        <v/>
      </c>
      <c r="CP453" s="5">
        <f>IF(A453="","",N(INDEX(Projects[Est Controls Eng],452)))</f>
        <v/>
      </c>
      <c r="CQ453" s="5">
        <f>IF(A453="","",N(INDEX(Projects[Est Controls Purchase],452)))</f>
        <v/>
      </c>
      <c r="CR453" s="5">
        <f>IF(A453="","",N(INDEX(Projects[Est Software Eng],452)))</f>
        <v/>
      </c>
      <c r="CS453" s="5">
        <f>IF(A453="","",N(INDEX(Projects[Est Misc],452)))</f>
        <v/>
      </c>
      <c r="CT453" s="5">
        <f>IF(A453="","",SUM(CF453:CS453))</f>
        <v/>
      </c>
      <c r="CU453" s="5">
        <f>INDEX(Projects[Est Cost (M)],452)</f>
        <v/>
      </c>
      <c r="CV453" s="5">
        <f>INDEX(Projects[Act Cost (M)],452)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IF(A454="","",N(INDEX(Projects[Act Mech Inst],453)))</f>
        <v/>
      </c>
      <c r="BK454" s="5">
        <f>IF(A454="","",N(INDEX(Projects[Act Elec Inst],453)))</f>
        <v/>
      </c>
      <c r="BL454" s="5">
        <f>IF(A454="","",N(INDEX(Projects[Act Project Management],453)))</f>
        <v/>
      </c>
      <c r="BM454" s="5">
        <f>IF(A454="","",N(INDEX(Projects[Act Systems Eng],453)))</f>
        <v/>
      </c>
      <c r="BN454" s="5">
        <f>IF(A454="","",N(INDEX(Projects[Act Mechanical Eng],453)))</f>
        <v/>
      </c>
      <c r="BO454" s="5">
        <f>IF(A454="","",N(INDEX(Projects[Act Structural Engineering],453)))</f>
        <v/>
      </c>
      <c r="BP454" s="5">
        <f>IF(A454="","",N(INDEX(Projects[Act Site Sup],453)))</f>
        <v/>
      </c>
      <c r="BQ454" s="5">
        <f>IF(A454="","",N(INDEX(Projects[Act Controls Commissioning],453)))</f>
        <v/>
      </c>
      <c r="BR454" s="5">
        <f>IF(A454="","",N(INDEX(Projects[Act Systems Commissioning],453)))</f>
        <v/>
      </c>
      <c r="BS454" s="5">
        <f>IF(A454="","",N(INDEX(Projects[Act Service Commissioning],453)))</f>
        <v/>
      </c>
      <c r="BT454" s="5">
        <f>IF(A454="","",N(INDEX(Projects[Act Controls Eng],453)))</f>
        <v/>
      </c>
      <c r="BU454" s="5">
        <f>IF(A454="","",N(INDEX(Projects[Act Controls Purchase],453)))</f>
        <v/>
      </c>
      <c r="BV454" s="5">
        <f>IF(A454="","",N(INDEX(Projects[Act Software Eng],453)))</f>
        <v/>
      </c>
      <c r="BW454" s="5">
        <f>IF(A454="","",N(INDEX(Projects[Act 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  <c r="CE454" s="5">
        <f>INDEX(Projects[Act Data Status],453)&amp;""</f>
        <v/>
      </c>
      <c r="CF454" s="5">
        <f>IF(A454="","",N(INDEX(Projects[Est Mech Inst],453)))</f>
        <v/>
      </c>
      <c r="CG454" s="5">
        <f>IF(A454="","",N(INDEX(Projects[Est Elec Inst],453)))</f>
        <v/>
      </c>
      <c r="CH454" s="5">
        <f>IF(A454="","",N(INDEX(Projects[Est Project Management],453)))</f>
        <v/>
      </c>
      <c r="CI454" s="5">
        <f>IF(A454="","",N(INDEX(Projects[Est Systems Eng],453)))</f>
        <v/>
      </c>
      <c r="CJ454" s="5">
        <f>IF(A454="","",N(INDEX(Projects[Est Mechanical Eng],453)))</f>
        <v/>
      </c>
      <c r="CK454" s="5">
        <f>IF(A454="","",N(INDEX(Projects[Est Structural Engineering],453)))</f>
        <v/>
      </c>
      <c r="CL454" s="5">
        <f>IF(A454="","",N(INDEX(Projects[Est Site Sup],453)))</f>
        <v/>
      </c>
      <c r="CM454" s="5">
        <f>IF(A454="","",N(INDEX(Projects[Est Controls Commissioning],453)))</f>
        <v/>
      </c>
      <c r="CN454" s="5">
        <f>IF(A454="","",N(INDEX(Projects[Est Systems Commissioning],453)))</f>
        <v/>
      </c>
      <c r="CO454" s="5">
        <f>IF(A454="","",N(INDEX(Projects[Est Service Commissioning],453)))</f>
        <v/>
      </c>
      <c r="CP454" s="5">
        <f>IF(A454="","",N(INDEX(Projects[Est Controls Eng],453)))</f>
        <v/>
      </c>
      <c r="CQ454" s="5">
        <f>IF(A454="","",N(INDEX(Projects[Est Controls Purchase],453)))</f>
        <v/>
      </c>
      <c r="CR454" s="5">
        <f>IF(A454="","",N(INDEX(Projects[Est Software Eng],453)))</f>
        <v/>
      </c>
      <c r="CS454" s="5">
        <f>IF(A454="","",N(INDEX(Projects[Est Misc],453)))</f>
        <v/>
      </c>
      <c r="CT454" s="5">
        <f>IF(A454="","",SUM(CF454:CS454))</f>
        <v/>
      </c>
      <c r="CU454" s="5">
        <f>INDEX(Projects[Est Cost (M)],453)</f>
        <v/>
      </c>
      <c r="CV454" s="5">
        <f>INDEX(Projects[Act Cost (M)],453)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IF(A455="","",N(INDEX(Projects[Act Mech Inst],454)))</f>
        <v/>
      </c>
      <c r="BK455" s="5">
        <f>IF(A455="","",N(INDEX(Projects[Act Elec Inst],454)))</f>
        <v/>
      </c>
      <c r="BL455" s="5">
        <f>IF(A455="","",N(INDEX(Projects[Act Project Management],454)))</f>
        <v/>
      </c>
      <c r="BM455" s="5">
        <f>IF(A455="","",N(INDEX(Projects[Act Systems Eng],454)))</f>
        <v/>
      </c>
      <c r="BN455" s="5">
        <f>IF(A455="","",N(INDEX(Projects[Act Mechanical Eng],454)))</f>
        <v/>
      </c>
      <c r="BO455" s="5">
        <f>IF(A455="","",N(INDEX(Projects[Act Structural Engineering],454)))</f>
        <v/>
      </c>
      <c r="BP455" s="5">
        <f>IF(A455="","",N(INDEX(Projects[Act Site Sup],454)))</f>
        <v/>
      </c>
      <c r="BQ455" s="5">
        <f>IF(A455="","",N(INDEX(Projects[Act Controls Commissioning],454)))</f>
        <v/>
      </c>
      <c r="BR455" s="5">
        <f>IF(A455="","",N(INDEX(Projects[Act Systems Commissioning],454)))</f>
        <v/>
      </c>
      <c r="BS455" s="5">
        <f>IF(A455="","",N(INDEX(Projects[Act Service Commissioning],454)))</f>
        <v/>
      </c>
      <c r="BT455" s="5">
        <f>IF(A455="","",N(INDEX(Projects[Act Controls Eng],454)))</f>
        <v/>
      </c>
      <c r="BU455" s="5">
        <f>IF(A455="","",N(INDEX(Projects[Act Controls Purchase],454)))</f>
        <v/>
      </c>
      <c r="BV455" s="5">
        <f>IF(A455="","",N(INDEX(Projects[Act Software Eng],454)))</f>
        <v/>
      </c>
      <c r="BW455" s="5">
        <f>IF(A455="","",N(INDEX(Projects[Act 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  <c r="CE455" s="5">
        <f>INDEX(Projects[Act Data Status],454)&amp;""</f>
        <v/>
      </c>
      <c r="CF455" s="5">
        <f>IF(A455="","",N(INDEX(Projects[Est Mech Inst],454)))</f>
        <v/>
      </c>
      <c r="CG455" s="5">
        <f>IF(A455="","",N(INDEX(Projects[Est Elec Inst],454)))</f>
        <v/>
      </c>
      <c r="CH455" s="5">
        <f>IF(A455="","",N(INDEX(Projects[Est Project Management],454)))</f>
        <v/>
      </c>
      <c r="CI455" s="5">
        <f>IF(A455="","",N(INDEX(Projects[Est Systems Eng],454)))</f>
        <v/>
      </c>
      <c r="CJ455" s="5">
        <f>IF(A455="","",N(INDEX(Projects[Est Mechanical Eng],454)))</f>
        <v/>
      </c>
      <c r="CK455" s="5">
        <f>IF(A455="","",N(INDEX(Projects[Est Structural Engineering],454)))</f>
        <v/>
      </c>
      <c r="CL455" s="5">
        <f>IF(A455="","",N(INDEX(Projects[Est Site Sup],454)))</f>
        <v/>
      </c>
      <c r="CM455" s="5">
        <f>IF(A455="","",N(INDEX(Projects[Est Controls Commissioning],454)))</f>
        <v/>
      </c>
      <c r="CN455" s="5">
        <f>IF(A455="","",N(INDEX(Projects[Est Systems Commissioning],454)))</f>
        <v/>
      </c>
      <c r="CO455" s="5">
        <f>IF(A455="","",N(INDEX(Projects[Est Service Commissioning],454)))</f>
        <v/>
      </c>
      <c r="CP455" s="5">
        <f>IF(A455="","",N(INDEX(Projects[Est Controls Eng],454)))</f>
        <v/>
      </c>
      <c r="CQ455" s="5">
        <f>IF(A455="","",N(INDEX(Projects[Est Controls Purchase],454)))</f>
        <v/>
      </c>
      <c r="CR455" s="5">
        <f>IF(A455="","",N(INDEX(Projects[Est Software Eng],454)))</f>
        <v/>
      </c>
      <c r="CS455" s="5">
        <f>IF(A455="","",N(INDEX(Projects[Est Misc],454)))</f>
        <v/>
      </c>
      <c r="CT455" s="5">
        <f>IF(A455="","",SUM(CF455:CS455))</f>
        <v/>
      </c>
      <c r="CU455" s="5">
        <f>INDEX(Projects[Est Cost (M)],454)</f>
        <v/>
      </c>
      <c r="CV455" s="5">
        <f>INDEX(Projects[Act Cost (M)],454)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IF(A456="","",N(INDEX(Projects[Act Mech Inst],455)))</f>
        <v/>
      </c>
      <c r="BK456" s="5">
        <f>IF(A456="","",N(INDEX(Projects[Act Elec Inst],455)))</f>
        <v/>
      </c>
      <c r="BL456" s="5">
        <f>IF(A456="","",N(INDEX(Projects[Act Project Management],455)))</f>
        <v/>
      </c>
      <c r="BM456" s="5">
        <f>IF(A456="","",N(INDEX(Projects[Act Systems Eng],455)))</f>
        <v/>
      </c>
      <c r="BN456" s="5">
        <f>IF(A456="","",N(INDEX(Projects[Act Mechanical Eng],455)))</f>
        <v/>
      </c>
      <c r="BO456" s="5">
        <f>IF(A456="","",N(INDEX(Projects[Act Structural Engineering],455)))</f>
        <v/>
      </c>
      <c r="BP456" s="5">
        <f>IF(A456="","",N(INDEX(Projects[Act Site Sup],455)))</f>
        <v/>
      </c>
      <c r="BQ456" s="5">
        <f>IF(A456="","",N(INDEX(Projects[Act Controls Commissioning],455)))</f>
        <v/>
      </c>
      <c r="BR456" s="5">
        <f>IF(A456="","",N(INDEX(Projects[Act Systems Commissioning],455)))</f>
        <v/>
      </c>
      <c r="BS456" s="5">
        <f>IF(A456="","",N(INDEX(Projects[Act Service Commissioning],455)))</f>
        <v/>
      </c>
      <c r="BT456" s="5">
        <f>IF(A456="","",N(INDEX(Projects[Act Controls Eng],455)))</f>
        <v/>
      </c>
      <c r="BU456" s="5">
        <f>IF(A456="","",N(INDEX(Projects[Act Controls Purchase],455)))</f>
        <v/>
      </c>
      <c r="BV456" s="5">
        <f>IF(A456="","",N(INDEX(Projects[Act Software Eng],455)))</f>
        <v/>
      </c>
      <c r="BW456" s="5">
        <f>IF(A456="","",N(INDEX(Projects[Act 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  <c r="CE456" s="5">
        <f>INDEX(Projects[Act Data Status],455)&amp;""</f>
        <v/>
      </c>
      <c r="CF456" s="5">
        <f>IF(A456="","",N(INDEX(Projects[Est Mech Inst],455)))</f>
        <v/>
      </c>
      <c r="CG456" s="5">
        <f>IF(A456="","",N(INDEX(Projects[Est Elec Inst],455)))</f>
        <v/>
      </c>
      <c r="CH456" s="5">
        <f>IF(A456="","",N(INDEX(Projects[Est Project Management],455)))</f>
        <v/>
      </c>
      <c r="CI456" s="5">
        <f>IF(A456="","",N(INDEX(Projects[Est Systems Eng],455)))</f>
        <v/>
      </c>
      <c r="CJ456" s="5">
        <f>IF(A456="","",N(INDEX(Projects[Est Mechanical Eng],455)))</f>
        <v/>
      </c>
      <c r="CK456" s="5">
        <f>IF(A456="","",N(INDEX(Projects[Est Structural Engineering],455)))</f>
        <v/>
      </c>
      <c r="CL456" s="5">
        <f>IF(A456="","",N(INDEX(Projects[Est Site Sup],455)))</f>
        <v/>
      </c>
      <c r="CM456" s="5">
        <f>IF(A456="","",N(INDEX(Projects[Est Controls Commissioning],455)))</f>
        <v/>
      </c>
      <c r="CN456" s="5">
        <f>IF(A456="","",N(INDEX(Projects[Est Systems Commissioning],455)))</f>
        <v/>
      </c>
      <c r="CO456" s="5">
        <f>IF(A456="","",N(INDEX(Projects[Est Service Commissioning],455)))</f>
        <v/>
      </c>
      <c r="CP456" s="5">
        <f>IF(A456="","",N(INDEX(Projects[Est Controls Eng],455)))</f>
        <v/>
      </c>
      <c r="CQ456" s="5">
        <f>IF(A456="","",N(INDEX(Projects[Est Controls Purchase],455)))</f>
        <v/>
      </c>
      <c r="CR456" s="5">
        <f>IF(A456="","",N(INDEX(Projects[Est Software Eng],455)))</f>
        <v/>
      </c>
      <c r="CS456" s="5">
        <f>IF(A456="","",N(INDEX(Projects[Est Misc],455)))</f>
        <v/>
      </c>
      <c r="CT456" s="5">
        <f>IF(A456="","",SUM(CF456:CS456))</f>
        <v/>
      </c>
      <c r="CU456" s="5">
        <f>INDEX(Projects[Est Cost (M)],455)</f>
        <v/>
      </c>
      <c r="CV456" s="5">
        <f>INDEX(Projects[Act Cost (M)],455)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IF(A457="","",N(INDEX(Projects[Act Mech Inst],456)))</f>
        <v/>
      </c>
      <c r="BK457" s="5">
        <f>IF(A457="","",N(INDEX(Projects[Act Elec Inst],456)))</f>
        <v/>
      </c>
      <c r="BL457" s="5">
        <f>IF(A457="","",N(INDEX(Projects[Act Project Management],456)))</f>
        <v/>
      </c>
      <c r="BM457" s="5">
        <f>IF(A457="","",N(INDEX(Projects[Act Systems Eng],456)))</f>
        <v/>
      </c>
      <c r="BN457" s="5">
        <f>IF(A457="","",N(INDEX(Projects[Act Mechanical Eng],456)))</f>
        <v/>
      </c>
      <c r="BO457" s="5">
        <f>IF(A457="","",N(INDEX(Projects[Act Structural Engineering],456)))</f>
        <v/>
      </c>
      <c r="BP457" s="5">
        <f>IF(A457="","",N(INDEX(Projects[Act Site Sup],456)))</f>
        <v/>
      </c>
      <c r="BQ457" s="5">
        <f>IF(A457="","",N(INDEX(Projects[Act Controls Commissioning],456)))</f>
        <v/>
      </c>
      <c r="BR457" s="5">
        <f>IF(A457="","",N(INDEX(Projects[Act Systems Commissioning],456)))</f>
        <v/>
      </c>
      <c r="BS457" s="5">
        <f>IF(A457="","",N(INDEX(Projects[Act Service Commissioning],456)))</f>
        <v/>
      </c>
      <c r="BT457" s="5">
        <f>IF(A457="","",N(INDEX(Projects[Act Controls Eng],456)))</f>
        <v/>
      </c>
      <c r="BU457" s="5">
        <f>IF(A457="","",N(INDEX(Projects[Act Controls Purchase],456)))</f>
        <v/>
      </c>
      <c r="BV457" s="5">
        <f>IF(A457="","",N(INDEX(Projects[Act Software Eng],456)))</f>
        <v/>
      </c>
      <c r="BW457" s="5">
        <f>IF(A457="","",N(INDEX(Projects[Act 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  <c r="CE457" s="5">
        <f>INDEX(Projects[Act Data Status],456)&amp;""</f>
        <v/>
      </c>
      <c r="CF457" s="5">
        <f>IF(A457="","",N(INDEX(Projects[Est Mech Inst],456)))</f>
        <v/>
      </c>
      <c r="CG457" s="5">
        <f>IF(A457="","",N(INDEX(Projects[Est Elec Inst],456)))</f>
        <v/>
      </c>
      <c r="CH457" s="5">
        <f>IF(A457="","",N(INDEX(Projects[Est Project Management],456)))</f>
        <v/>
      </c>
      <c r="CI457" s="5">
        <f>IF(A457="","",N(INDEX(Projects[Est Systems Eng],456)))</f>
        <v/>
      </c>
      <c r="CJ457" s="5">
        <f>IF(A457="","",N(INDEX(Projects[Est Mechanical Eng],456)))</f>
        <v/>
      </c>
      <c r="CK457" s="5">
        <f>IF(A457="","",N(INDEX(Projects[Est Structural Engineering],456)))</f>
        <v/>
      </c>
      <c r="CL457" s="5">
        <f>IF(A457="","",N(INDEX(Projects[Est Site Sup],456)))</f>
        <v/>
      </c>
      <c r="CM457" s="5">
        <f>IF(A457="","",N(INDEX(Projects[Est Controls Commissioning],456)))</f>
        <v/>
      </c>
      <c r="CN457" s="5">
        <f>IF(A457="","",N(INDEX(Projects[Est Systems Commissioning],456)))</f>
        <v/>
      </c>
      <c r="CO457" s="5">
        <f>IF(A457="","",N(INDEX(Projects[Est Service Commissioning],456)))</f>
        <v/>
      </c>
      <c r="CP457" s="5">
        <f>IF(A457="","",N(INDEX(Projects[Est Controls Eng],456)))</f>
        <v/>
      </c>
      <c r="CQ457" s="5">
        <f>IF(A457="","",N(INDEX(Projects[Est Controls Purchase],456)))</f>
        <v/>
      </c>
      <c r="CR457" s="5">
        <f>IF(A457="","",N(INDEX(Projects[Est Software Eng],456)))</f>
        <v/>
      </c>
      <c r="CS457" s="5">
        <f>IF(A457="","",N(INDEX(Projects[Est Misc],456)))</f>
        <v/>
      </c>
      <c r="CT457" s="5">
        <f>IF(A457="","",SUM(CF457:CS457))</f>
        <v/>
      </c>
      <c r="CU457" s="5">
        <f>INDEX(Projects[Est Cost (M)],456)</f>
        <v/>
      </c>
      <c r="CV457" s="5">
        <f>INDEX(Projects[Act Cost (M)],456)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IF(A458="","",N(INDEX(Projects[Act Mech Inst],457)))</f>
        <v/>
      </c>
      <c r="BK458" s="5">
        <f>IF(A458="","",N(INDEX(Projects[Act Elec Inst],457)))</f>
        <v/>
      </c>
      <c r="BL458" s="5">
        <f>IF(A458="","",N(INDEX(Projects[Act Project Management],457)))</f>
        <v/>
      </c>
      <c r="BM458" s="5">
        <f>IF(A458="","",N(INDEX(Projects[Act Systems Eng],457)))</f>
        <v/>
      </c>
      <c r="BN458" s="5">
        <f>IF(A458="","",N(INDEX(Projects[Act Mechanical Eng],457)))</f>
        <v/>
      </c>
      <c r="BO458" s="5">
        <f>IF(A458="","",N(INDEX(Projects[Act Structural Engineering],457)))</f>
        <v/>
      </c>
      <c r="BP458" s="5">
        <f>IF(A458="","",N(INDEX(Projects[Act Site Sup],457)))</f>
        <v/>
      </c>
      <c r="BQ458" s="5">
        <f>IF(A458="","",N(INDEX(Projects[Act Controls Commissioning],457)))</f>
        <v/>
      </c>
      <c r="BR458" s="5">
        <f>IF(A458="","",N(INDEX(Projects[Act Systems Commissioning],457)))</f>
        <v/>
      </c>
      <c r="BS458" s="5">
        <f>IF(A458="","",N(INDEX(Projects[Act Service Commissioning],457)))</f>
        <v/>
      </c>
      <c r="BT458" s="5">
        <f>IF(A458="","",N(INDEX(Projects[Act Controls Eng],457)))</f>
        <v/>
      </c>
      <c r="BU458" s="5">
        <f>IF(A458="","",N(INDEX(Projects[Act Controls Purchase],457)))</f>
        <v/>
      </c>
      <c r="BV458" s="5">
        <f>IF(A458="","",N(INDEX(Projects[Act Software Eng],457)))</f>
        <v/>
      </c>
      <c r="BW458" s="5">
        <f>IF(A458="","",N(INDEX(Projects[Act 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  <c r="CE458" s="5">
        <f>INDEX(Projects[Act Data Status],457)&amp;""</f>
        <v/>
      </c>
      <c r="CF458" s="5">
        <f>IF(A458="","",N(INDEX(Projects[Est Mech Inst],457)))</f>
        <v/>
      </c>
      <c r="CG458" s="5">
        <f>IF(A458="","",N(INDEX(Projects[Est Elec Inst],457)))</f>
        <v/>
      </c>
      <c r="CH458" s="5">
        <f>IF(A458="","",N(INDEX(Projects[Est Project Management],457)))</f>
        <v/>
      </c>
      <c r="CI458" s="5">
        <f>IF(A458="","",N(INDEX(Projects[Est Systems Eng],457)))</f>
        <v/>
      </c>
      <c r="CJ458" s="5">
        <f>IF(A458="","",N(INDEX(Projects[Est Mechanical Eng],457)))</f>
        <v/>
      </c>
      <c r="CK458" s="5">
        <f>IF(A458="","",N(INDEX(Projects[Est Structural Engineering],457)))</f>
        <v/>
      </c>
      <c r="CL458" s="5">
        <f>IF(A458="","",N(INDEX(Projects[Est Site Sup],457)))</f>
        <v/>
      </c>
      <c r="CM458" s="5">
        <f>IF(A458="","",N(INDEX(Projects[Est Controls Commissioning],457)))</f>
        <v/>
      </c>
      <c r="CN458" s="5">
        <f>IF(A458="","",N(INDEX(Projects[Est Systems Commissioning],457)))</f>
        <v/>
      </c>
      <c r="CO458" s="5">
        <f>IF(A458="","",N(INDEX(Projects[Est Service Commissioning],457)))</f>
        <v/>
      </c>
      <c r="CP458" s="5">
        <f>IF(A458="","",N(INDEX(Projects[Est Controls Eng],457)))</f>
        <v/>
      </c>
      <c r="CQ458" s="5">
        <f>IF(A458="","",N(INDEX(Projects[Est Controls Purchase],457)))</f>
        <v/>
      </c>
      <c r="CR458" s="5">
        <f>IF(A458="","",N(INDEX(Projects[Est Software Eng],457)))</f>
        <v/>
      </c>
      <c r="CS458" s="5">
        <f>IF(A458="","",N(INDEX(Projects[Est Misc],457)))</f>
        <v/>
      </c>
      <c r="CT458" s="5">
        <f>IF(A458="","",SUM(CF458:CS458))</f>
        <v/>
      </c>
      <c r="CU458" s="5">
        <f>INDEX(Projects[Est Cost (M)],457)</f>
        <v/>
      </c>
      <c r="CV458" s="5">
        <f>INDEX(Projects[Act Cost (M)],457)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IF(A459="","",N(INDEX(Projects[Act Mech Inst],458)))</f>
        <v/>
      </c>
      <c r="BK459" s="5">
        <f>IF(A459="","",N(INDEX(Projects[Act Elec Inst],458)))</f>
        <v/>
      </c>
      <c r="BL459" s="5">
        <f>IF(A459="","",N(INDEX(Projects[Act Project Management],458)))</f>
        <v/>
      </c>
      <c r="BM459" s="5">
        <f>IF(A459="","",N(INDEX(Projects[Act Systems Eng],458)))</f>
        <v/>
      </c>
      <c r="BN459" s="5">
        <f>IF(A459="","",N(INDEX(Projects[Act Mechanical Eng],458)))</f>
        <v/>
      </c>
      <c r="BO459" s="5">
        <f>IF(A459="","",N(INDEX(Projects[Act Structural Engineering],458)))</f>
        <v/>
      </c>
      <c r="BP459" s="5">
        <f>IF(A459="","",N(INDEX(Projects[Act Site Sup],458)))</f>
        <v/>
      </c>
      <c r="BQ459" s="5">
        <f>IF(A459="","",N(INDEX(Projects[Act Controls Commissioning],458)))</f>
        <v/>
      </c>
      <c r="BR459" s="5">
        <f>IF(A459="","",N(INDEX(Projects[Act Systems Commissioning],458)))</f>
        <v/>
      </c>
      <c r="BS459" s="5">
        <f>IF(A459="","",N(INDEX(Projects[Act Service Commissioning],458)))</f>
        <v/>
      </c>
      <c r="BT459" s="5">
        <f>IF(A459="","",N(INDEX(Projects[Act Controls Eng],458)))</f>
        <v/>
      </c>
      <c r="BU459" s="5">
        <f>IF(A459="","",N(INDEX(Projects[Act Controls Purchase],458)))</f>
        <v/>
      </c>
      <c r="BV459" s="5">
        <f>IF(A459="","",N(INDEX(Projects[Act Software Eng],458)))</f>
        <v/>
      </c>
      <c r="BW459" s="5">
        <f>IF(A459="","",N(INDEX(Projects[Act 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  <c r="CE459" s="5">
        <f>INDEX(Projects[Act Data Status],458)&amp;""</f>
        <v/>
      </c>
      <c r="CF459" s="5">
        <f>IF(A459="","",N(INDEX(Projects[Est Mech Inst],458)))</f>
        <v/>
      </c>
      <c r="CG459" s="5">
        <f>IF(A459="","",N(INDEX(Projects[Est Elec Inst],458)))</f>
        <v/>
      </c>
      <c r="CH459" s="5">
        <f>IF(A459="","",N(INDEX(Projects[Est Project Management],458)))</f>
        <v/>
      </c>
      <c r="CI459" s="5">
        <f>IF(A459="","",N(INDEX(Projects[Est Systems Eng],458)))</f>
        <v/>
      </c>
      <c r="CJ459" s="5">
        <f>IF(A459="","",N(INDEX(Projects[Est Mechanical Eng],458)))</f>
        <v/>
      </c>
      <c r="CK459" s="5">
        <f>IF(A459="","",N(INDEX(Projects[Est Structural Engineering],458)))</f>
        <v/>
      </c>
      <c r="CL459" s="5">
        <f>IF(A459="","",N(INDEX(Projects[Est Site Sup],458)))</f>
        <v/>
      </c>
      <c r="CM459" s="5">
        <f>IF(A459="","",N(INDEX(Projects[Est Controls Commissioning],458)))</f>
        <v/>
      </c>
      <c r="CN459" s="5">
        <f>IF(A459="","",N(INDEX(Projects[Est Systems Commissioning],458)))</f>
        <v/>
      </c>
      <c r="CO459" s="5">
        <f>IF(A459="","",N(INDEX(Projects[Est Service Commissioning],458)))</f>
        <v/>
      </c>
      <c r="CP459" s="5">
        <f>IF(A459="","",N(INDEX(Projects[Est Controls Eng],458)))</f>
        <v/>
      </c>
      <c r="CQ459" s="5">
        <f>IF(A459="","",N(INDEX(Projects[Est Controls Purchase],458)))</f>
        <v/>
      </c>
      <c r="CR459" s="5">
        <f>IF(A459="","",N(INDEX(Projects[Est Software Eng],458)))</f>
        <v/>
      </c>
      <c r="CS459" s="5">
        <f>IF(A459="","",N(INDEX(Projects[Est Misc],458)))</f>
        <v/>
      </c>
      <c r="CT459" s="5">
        <f>IF(A459="","",SUM(CF459:CS459))</f>
        <v/>
      </c>
      <c r="CU459" s="5">
        <f>INDEX(Projects[Est Cost (M)],458)</f>
        <v/>
      </c>
      <c r="CV459" s="5">
        <f>INDEX(Projects[Act Cost (M)],458)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IF(A460="","",N(INDEX(Projects[Act Mech Inst],459)))</f>
        <v/>
      </c>
      <c r="BK460" s="5">
        <f>IF(A460="","",N(INDEX(Projects[Act Elec Inst],459)))</f>
        <v/>
      </c>
      <c r="BL460" s="5">
        <f>IF(A460="","",N(INDEX(Projects[Act Project Management],459)))</f>
        <v/>
      </c>
      <c r="BM460" s="5">
        <f>IF(A460="","",N(INDEX(Projects[Act Systems Eng],459)))</f>
        <v/>
      </c>
      <c r="BN460" s="5">
        <f>IF(A460="","",N(INDEX(Projects[Act Mechanical Eng],459)))</f>
        <v/>
      </c>
      <c r="BO460" s="5">
        <f>IF(A460="","",N(INDEX(Projects[Act Structural Engineering],459)))</f>
        <v/>
      </c>
      <c r="BP460" s="5">
        <f>IF(A460="","",N(INDEX(Projects[Act Site Sup],459)))</f>
        <v/>
      </c>
      <c r="BQ460" s="5">
        <f>IF(A460="","",N(INDEX(Projects[Act Controls Commissioning],459)))</f>
        <v/>
      </c>
      <c r="BR460" s="5">
        <f>IF(A460="","",N(INDEX(Projects[Act Systems Commissioning],459)))</f>
        <v/>
      </c>
      <c r="BS460" s="5">
        <f>IF(A460="","",N(INDEX(Projects[Act Service Commissioning],459)))</f>
        <v/>
      </c>
      <c r="BT460" s="5">
        <f>IF(A460="","",N(INDEX(Projects[Act Controls Eng],459)))</f>
        <v/>
      </c>
      <c r="BU460" s="5">
        <f>IF(A460="","",N(INDEX(Projects[Act Controls Purchase],459)))</f>
        <v/>
      </c>
      <c r="BV460" s="5">
        <f>IF(A460="","",N(INDEX(Projects[Act Software Eng],459)))</f>
        <v/>
      </c>
      <c r="BW460" s="5">
        <f>IF(A460="","",N(INDEX(Projects[Act 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  <c r="CE460" s="5">
        <f>INDEX(Projects[Act Data Status],459)&amp;""</f>
        <v/>
      </c>
      <c r="CF460" s="5">
        <f>IF(A460="","",N(INDEX(Projects[Est Mech Inst],459)))</f>
        <v/>
      </c>
      <c r="CG460" s="5">
        <f>IF(A460="","",N(INDEX(Projects[Est Elec Inst],459)))</f>
        <v/>
      </c>
      <c r="CH460" s="5">
        <f>IF(A460="","",N(INDEX(Projects[Est Project Management],459)))</f>
        <v/>
      </c>
      <c r="CI460" s="5">
        <f>IF(A460="","",N(INDEX(Projects[Est Systems Eng],459)))</f>
        <v/>
      </c>
      <c r="CJ460" s="5">
        <f>IF(A460="","",N(INDEX(Projects[Est Mechanical Eng],459)))</f>
        <v/>
      </c>
      <c r="CK460" s="5">
        <f>IF(A460="","",N(INDEX(Projects[Est Structural Engineering],459)))</f>
        <v/>
      </c>
      <c r="CL460" s="5">
        <f>IF(A460="","",N(INDEX(Projects[Est Site Sup],459)))</f>
        <v/>
      </c>
      <c r="CM460" s="5">
        <f>IF(A460="","",N(INDEX(Projects[Est Controls Commissioning],459)))</f>
        <v/>
      </c>
      <c r="CN460" s="5">
        <f>IF(A460="","",N(INDEX(Projects[Est Systems Commissioning],459)))</f>
        <v/>
      </c>
      <c r="CO460" s="5">
        <f>IF(A460="","",N(INDEX(Projects[Est Service Commissioning],459)))</f>
        <v/>
      </c>
      <c r="CP460" s="5">
        <f>IF(A460="","",N(INDEX(Projects[Est Controls Eng],459)))</f>
        <v/>
      </c>
      <c r="CQ460" s="5">
        <f>IF(A460="","",N(INDEX(Projects[Est Controls Purchase],459)))</f>
        <v/>
      </c>
      <c r="CR460" s="5">
        <f>IF(A460="","",N(INDEX(Projects[Est Software Eng],459)))</f>
        <v/>
      </c>
      <c r="CS460" s="5">
        <f>IF(A460="","",N(INDEX(Projects[Est Misc],459)))</f>
        <v/>
      </c>
      <c r="CT460" s="5">
        <f>IF(A460="","",SUM(CF460:CS460))</f>
        <v/>
      </c>
      <c r="CU460" s="5">
        <f>INDEX(Projects[Est Cost (M)],459)</f>
        <v/>
      </c>
      <c r="CV460" s="5">
        <f>INDEX(Projects[Act Cost (M)],459)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IF(A461="","",N(INDEX(Projects[Act Mech Inst],460)))</f>
        <v/>
      </c>
      <c r="BK461" s="5">
        <f>IF(A461="","",N(INDEX(Projects[Act Elec Inst],460)))</f>
        <v/>
      </c>
      <c r="BL461" s="5">
        <f>IF(A461="","",N(INDEX(Projects[Act Project Management],460)))</f>
        <v/>
      </c>
      <c r="BM461" s="5">
        <f>IF(A461="","",N(INDEX(Projects[Act Systems Eng],460)))</f>
        <v/>
      </c>
      <c r="BN461" s="5">
        <f>IF(A461="","",N(INDEX(Projects[Act Mechanical Eng],460)))</f>
        <v/>
      </c>
      <c r="BO461" s="5">
        <f>IF(A461="","",N(INDEX(Projects[Act Structural Engineering],460)))</f>
        <v/>
      </c>
      <c r="BP461" s="5">
        <f>IF(A461="","",N(INDEX(Projects[Act Site Sup],460)))</f>
        <v/>
      </c>
      <c r="BQ461" s="5">
        <f>IF(A461="","",N(INDEX(Projects[Act Controls Commissioning],460)))</f>
        <v/>
      </c>
      <c r="BR461" s="5">
        <f>IF(A461="","",N(INDEX(Projects[Act Systems Commissioning],460)))</f>
        <v/>
      </c>
      <c r="BS461" s="5">
        <f>IF(A461="","",N(INDEX(Projects[Act Service Commissioning],460)))</f>
        <v/>
      </c>
      <c r="BT461" s="5">
        <f>IF(A461="","",N(INDEX(Projects[Act Controls Eng],460)))</f>
        <v/>
      </c>
      <c r="BU461" s="5">
        <f>IF(A461="","",N(INDEX(Projects[Act Controls Purchase],460)))</f>
        <v/>
      </c>
      <c r="BV461" s="5">
        <f>IF(A461="","",N(INDEX(Projects[Act Software Eng],460)))</f>
        <v/>
      </c>
      <c r="BW461" s="5">
        <f>IF(A461="","",N(INDEX(Projects[Act 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  <c r="CE461" s="5">
        <f>INDEX(Projects[Act Data Status],460)&amp;""</f>
        <v/>
      </c>
      <c r="CF461" s="5">
        <f>IF(A461="","",N(INDEX(Projects[Est Mech Inst],460)))</f>
        <v/>
      </c>
      <c r="CG461" s="5">
        <f>IF(A461="","",N(INDEX(Projects[Est Elec Inst],460)))</f>
        <v/>
      </c>
      <c r="CH461" s="5">
        <f>IF(A461="","",N(INDEX(Projects[Est Project Management],460)))</f>
        <v/>
      </c>
      <c r="CI461" s="5">
        <f>IF(A461="","",N(INDEX(Projects[Est Systems Eng],460)))</f>
        <v/>
      </c>
      <c r="CJ461" s="5">
        <f>IF(A461="","",N(INDEX(Projects[Est Mechanical Eng],460)))</f>
        <v/>
      </c>
      <c r="CK461" s="5">
        <f>IF(A461="","",N(INDEX(Projects[Est Structural Engineering],460)))</f>
        <v/>
      </c>
      <c r="CL461" s="5">
        <f>IF(A461="","",N(INDEX(Projects[Est Site Sup],460)))</f>
        <v/>
      </c>
      <c r="CM461" s="5">
        <f>IF(A461="","",N(INDEX(Projects[Est Controls Commissioning],460)))</f>
        <v/>
      </c>
      <c r="CN461" s="5">
        <f>IF(A461="","",N(INDEX(Projects[Est Systems Commissioning],460)))</f>
        <v/>
      </c>
      <c r="CO461" s="5">
        <f>IF(A461="","",N(INDEX(Projects[Est Service Commissioning],460)))</f>
        <v/>
      </c>
      <c r="CP461" s="5">
        <f>IF(A461="","",N(INDEX(Projects[Est Controls Eng],460)))</f>
        <v/>
      </c>
      <c r="CQ461" s="5">
        <f>IF(A461="","",N(INDEX(Projects[Est Controls Purchase],460)))</f>
        <v/>
      </c>
      <c r="CR461" s="5">
        <f>IF(A461="","",N(INDEX(Projects[Est Software Eng],460)))</f>
        <v/>
      </c>
      <c r="CS461" s="5">
        <f>IF(A461="","",N(INDEX(Projects[Est Misc],460)))</f>
        <v/>
      </c>
      <c r="CT461" s="5">
        <f>IF(A461="","",SUM(CF461:CS461))</f>
        <v/>
      </c>
      <c r="CU461" s="5">
        <f>INDEX(Projects[Est Cost (M)],460)</f>
        <v/>
      </c>
      <c r="CV461" s="5">
        <f>INDEX(Projects[Act Cost (M)],460)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IF(A462="","",N(INDEX(Projects[Act Mech Inst],461)))</f>
        <v/>
      </c>
      <c r="BK462" s="5">
        <f>IF(A462="","",N(INDEX(Projects[Act Elec Inst],461)))</f>
        <v/>
      </c>
      <c r="BL462" s="5">
        <f>IF(A462="","",N(INDEX(Projects[Act Project Management],461)))</f>
        <v/>
      </c>
      <c r="BM462" s="5">
        <f>IF(A462="","",N(INDEX(Projects[Act Systems Eng],461)))</f>
        <v/>
      </c>
      <c r="BN462" s="5">
        <f>IF(A462="","",N(INDEX(Projects[Act Mechanical Eng],461)))</f>
        <v/>
      </c>
      <c r="BO462" s="5">
        <f>IF(A462="","",N(INDEX(Projects[Act Structural Engineering],461)))</f>
        <v/>
      </c>
      <c r="BP462" s="5">
        <f>IF(A462="","",N(INDEX(Projects[Act Site Sup],461)))</f>
        <v/>
      </c>
      <c r="BQ462" s="5">
        <f>IF(A462="","",N(INDEX(Projects[Act Controls Commissioning],461)))</f>
        <v/>
      </c>
      <c r="BR462" s="5">
        <f>IF(A462="","",N(INDEX(Projects[Act Systems Commissioning],461)))</f>
        <v/>
      </c>
      <c r="BS462" s="5">
        <f>IF(A462="","",N(INDEX(Projects[Act Service Commissioning],461)))</f>
        <v/>
      </c>
      <c r="BT462" s="5">
        <f>IF(A462="","",N(INDEX(Projects[Act Controls Eng],461)))</f>
        <v/>
      </c>
      <c r="BU462" s="5">
        <f>IF(A462="","",N(INDEX(Projects[Act Controls Purchase],461)))</f>
        <v/>
      </c>
      <c r="BV462" s="5">
        <f>IF(A462="","",N(INDEX(Projects[Act Software Eng],461)))</f>
        <v/>
      </c>
      <c r="BW462" s="5">
        <f>IF(A462="","",N(INDEX(Projects[Act 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  <c r="CE462" s="5">
        <f>INDEX(Projects[Act Data Status],461)&amp;""</f>
        <v/>
      </c>
      <c r="CF462" s="5">
        <f>IF(A462="","",N(INDEX(Projects[Est Mech Inst],461)))</f>
        <v/>
      </c>
      <c r="CG462" s="5">
        <f>IF(A462="","",N(INDEX(Projects[Est Elec Inst],461)))</f>
        <v/>
      </c>
      <c r="CH462" s="5">
        <f>IF(A462="","",N(INDEX(Projects[Est Project Management],461)))</f>
        <v/>
      </c>
      <c r="CI462" s="5">
        <f>IF(A462="","",N(INDEX(Projects[Est Systems Eng],461)))</f>
        <v/>
      </c>
      <c r="CJ462" s="5">
        <f>IF(A462="","",N(INDEX(Projects[Est Mechanical Eng],461)))</f>
        <v/>
      </c>
      <c r="CK462" s="5">
        <f>IF(A462="","",N(INDEX(Projects[Est Structural Engineering],461)))</f>
        <v/>
      </c>
      <c r="CL462" s="5">
        <f>IF(A462="","",N(INDEX(Projects[Est Site Sup],461)))</f>
        <v/>
      </c>
      <c r="CM462" s="5">
        <f>IF(A462="","",N(INDEX(Projects[Est Controls Commissioning],461)))</f>
        <v/>
      </c>
      <c r="CN462" s="5">
        <f>IF(A462="","",N(INDEX(Projects[Est Systems Commissioning],461)))</f>
        <v/>
      </c>
      <c r="CO462" s="5">
        <f>IF(A462="","",N(INDEX(Projects[Est Service Commissioning],461)))</f>
        <v/>
      </c>
      <c r="CP462" s="5">
        <f>IF(A462="","",N(INDEX(Projects[Est Controls Eng],461)))</f>
        <v/>
      </c>
      <c r="CQ462" s="5">
        <f>IF(A462="","",N(INDEX(Projects[Est Controls Purchase],461)))</f>
        <v/>
      </c>
      <c r="CR462" s="5">
        <f>IF(A462="","",N(INDEX(Projects[Est Software Eng],461)))</f>
        <v/>
      </c>
      <c r="CS462" s="5">
        <f>IF(A462="","",N(INDEX(Projects[Est Misc],461)))</f>
        <v/>
      </c>
      <c r="CT462" s="5">
        <f>IF(A462="","",SUM(CF462:CS462))</f>
        <v/>
      </c>
      <c r="CU462" s="5">
        <f>INDEX(Projects[Est Cost (M)],461)</f>
        <v/>
      </c>
      <c r="CV462" s="5">
        <f>INDEX(Projects[Act Cost (M)],461)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IF(A463="","",N(INDEX(Projects[Act Mech Inst],462)))</f>
        <v/>
      </c>
      <c r="BK463" s="5">
        <f>IF(A463="","",N(INDEX(Projects[Act Elec Inst],462)))</f>
        <v/>
      </c>
      <c r="BL463" s="5">
        <f>IF(A463="","",N(INDEX(Projects[Act Project Management],462)))</f>
        <v/>
      </c>
      <c r="BM463" s="5">
        <f>IF(A463="","",N(INDEX(Projects[Act Systems Eng],462)))</f>
        <v/>
      </c>
      <c r="BN463" s="5">
        <f>IF(A463="","",N(INDEX(Projects[Act Mechanical Eng],462)))</f>
        <v/>
      </c>
      <c r="BO463" s="5">
        <f>IF(A463="","",N(INDEX(Projects[Act Structural Engineering],462)))</f>
        <v/>
      </c>
      <c r="BP463" s="5">
        <f>IF(A463="","",N(INDEX(Projects[Act Site Sup],462)))</f>
        <v/>
      </c>
      <c r="BQ463" s="5">
        <f>IF(A463="","",N(INDEX(Projects[Act Controls Commissioning],462)))</f>
        <v/>
      </c>
      <c r="BR463" s="5">
        <f>IF(A463="","",N(INDEX(Projects[Act Systems Commissioning],462)))</f>
        <v/>
      </c>
      <c r="BS463" s="5">
        <f>IF(A463="","",N(INDEX(Projects[Act Service Commissioning],462)))</f>
        <v/>
      </c>
      <c r="BT463" s="5">
        <f>IF(A463="","",N(INDEX(Projects[Act Controls Eng],462)))</f>
        <v/>
      </c>
      <c r="BU463" s="5">
        <f>IF(A463="","",N(INDEX(Projects[Act Controls Purchase],462)))</f>
        <v/>
      </c>
      <c r="BV463" s="5">
        <f>IF(A463="","",N(INDEX(Projects[Act Software Eng],462)))</f>
        <v/>
      </c>
      <c r="BW463" s="5">
        <f>IF(A463="","",N(INDEX(Projects[Act 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  <c r="CE463" s="5">
        <f>INDEX(Projects[Act Data Status],462)&amp;""</f>
        <v/>
      </c>
      <c r="CF463" s="5">
        <f>IF(A463="","",N(INDEX(Projects[Est Mech Inst],462)))</f>
        <v/>
      </c>
      <c r="CG463" s="5">
        <f>IF(A463="","",N(INDEX(Projects[Est Elec Inst],462)))</f>
        <v/>
      </c>
      <c r="CH463" s="5">
        <f>IF(A463="","",N(INDEX(Projects[Est Project Management],462)))</f>
        <v/>
      </c>
      <c r="CI463" s="5">
        <f>IF(A463="","",N(INDEX(Projects[Est Systems Eng],462)))</f>
        <v/>
      </c>
      <c r="CJ463" s="5">
        <f>IF(A463="","",N(INDEX(Projects[Est Mechanical Eng],462)))</f>
        <v/>
      </c>
      <c r="CK463" s="5">
        <f>IF(A463="","",N(INDEX(Projects[Est Structural Engineering],462)))</f>
        <v/>
      </c>
      <c r="CL463" s="5">
        <f>IF(A463="","",N(INDEX(Projects[Est Site Sup],462)))</f>
        <v/>
      </c>
      <c r="CM463" s="5">
        <f>IF(A463="","",N(INDEX(Projects[Est Controls Commissioning],462)))</f>
        <v/>
      </c>
      <c r="CN463" s="5">
        <f>IF(A463="","",N(INDEX(Projects[Est Systems Commissioning],462)))</f>
        <v/>
      </c>
      <c r="CO463" s="5">
        <f>IF(A463="","",N(INDEX(Projects[Est Service Commissioning],462)))</f>
        <v/>
      </c>
      <c r="CP463" s="5">
        <f>IF(A463="","",N(INDEX(Projects[Est Controls Eng],462)))</f>
        <v/>
      </c>
      <c r="CQ463" s="5">
        <f>IF(A463="","",N(INDEX(Projects[Est Controls Purchase],462)))</f>
        <v/>
      </c>
      <c r="CR463" s="5">
        <f>IF(A463="","",N(INDEX(Projects[Est Software Eng],462)))</f>
        <v/>
      </c>
      <c r="CS463" s="5">
        <f>IF(A463="","",N(INDEX(Projects[Est Misc],462)))</f>
        <v/>
      </c>
      <c r="CT463" s="5">
        <f>IF(A463="","",SUM(CF463:CS463))</f>
        <v/>
      </c>
      <c r="CU463" s="5">
        <f>INDEX(Projects[Est Cost (M)],462)</f>
        <v/>
      </c>
      <c r="CV463" s="5">
        <f>INDEX(Projects[Act Cost (M)],462)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IF(A464="","",N(INDEX(Projects[Act Mech Inst],463)))</f>
        <v/>
      </c>
      <c r="BK464" s="5">
        <f>IF(A464="","",N(INDEX(Projects[Act Elec Inst],463)))</f>
        <v/>
      </c>
      <c r="BL464" s="5">
        <f>IF(A464="","",N(INDEX(Projects[Act Project Management],463)))</f>
        <v/>
      </c>
      <c r="BM464" s="5">
        <f>IF(A464="","",N(INDEX(Projects[Act Systems Eng],463)))</f>
        <v/>
      </c>
      <c r="BN464" s="5">
        <f>IF(A464="","",N(INDEX(Projects[Act Mechanical Eng],463)))</f>
        <v/>
      </c>
      <c r="BO464" s="5">
        <f>IF(A464="","",N(INDEX(Projects[Act Structural Engineering],463)))</f>
        <v/>
      </c>
      <c r="BP464" s="5">
        <f>IF(A464="","",N(INDEX(Projects[Act Site Sup],463)))</f>
        <v/>
      </c>
      <c r="BQ464" s="5">
        <f>IF(A464="","",N(INDEX(Projects[Act Controls Commissioning],463)))</f>
        <v/>
      </c>
      <c r="BR464" s="5">
        <f>IF(A464="","",N(INDEX(Projects[Act Systems Commissioning],463)))</f>
        <v/>
      </c>
      <c r="BS464" s="5">
        <f>IF(A464="","",N(INDEX(Projects[Act Service Commissioning],463)))</f>
        <v/>
      </c>
      <c r="BT464" s="5">
        <f>IF(A464="","",N(INDEX(Projects[Act Controls Eng],463)))</f>
        <v/>
      </c>
      <c r="BU464" s="5">
        <f>IF(A464="","",N(INDEX(Projects[Act Controls Purchase],463)))</f>
        <v/>
      </c>
      <c r="BV464" s="5">
        <f>IF(A464="","",N(INDEX(Projects[Act Software Eng],463)))</f>
        <v/>
      </c>
      <c r="BW464" s="5">
        <f>IF(A464="","",N(INDEX(Projects[Act 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  <c r="CE464" s="5">
        <f>INDEX(Projects[Act Data Status],463)&amp;""</f>
        <v/>
      </c>
      <c r="CF464" s="5">
        <f>IF(A464="","",N(INDEX(Projects[Est Mech Inst],463)))</f>
        <v/>
      </c>
      <c r="CG464" s="5">
        <f>IF(A464="","",N(INDEX(Projects[Est Elec Inst],463)))</f>
        <v/>
      </c>
      <c r="CH464" s="5">
        <f>IF(A464="","",N(INDEX(Projects[Est Project Management],463)))</f>
        <v/>
      </c>
      <c r="CI464" s="5">
        <f>IF(A464="","",N(INDEX(Projects[Est Systems Eng],463)))</f>
        <v/>
      </c>
      <c r="CJ464" s="5">
        <f>IF(A464="","",N(INDEX(Projects[Est Mechanical Eng],463)))</f>
        <v/>
      </c>
      <c r="CK464" s="5">
        <f>IF(A464="","",N(INDEX(Projects[Est Structural Engineering],463)))</f>
        <v/>
      </c>
      <c r="CL464" s="5">
        <f>IF(A464="","",N(INDEX(Projects[Est Site Sup],463)))</f>
        <v/>
      </c>
      <c r="CM464" s="5">
        <f>IF(A464="","",N(INDEX(Projects[Est Controls Commissioning],463)))</f>
        <v/>
      </c>
      <c r="CN464" s="5">
        <f>IF(A464="","",N(INDEX(Projects[Est Systems Commissioning],463)))</f>
        <v/>
      </c>
      <c r="CO464" s="5">
        <f>IF(A464="","",N(INDEX(Projects[Est Service Commissioning],463)))</f>
        <v/>
      </c>
      <c r="CP464" s="5">
        <f>IF(A464="","",N(INDEX(Projects[Est Controls Eng],463)))</f>
        <v/>
      </c>
      <c r="CQ464" s="5">
        <f>IF(A464="","",N(INDEX(Projects[Est Controls Purchase],463)))</f>
        <v/>
      </c>
      <c r="CR464" s="5">
        <f>IF(A464="","",N(INDEX(Projects[Est Software Eng],463)))</f>
        <v/>
      </c>
      <c r="CS464" s="5">
        <f>IF(A464="","",N(INDEX(Projects[Est Misc],463)))</f>
        <v/>
      </c>
      <c r="CT464" s="5">
        <f>IF(A464="","",SUM(CF464:CS464))</f>
        <v/>
      </c>
      <c r="CU464" s="5">
        <f>INDEX(Projects[Est Cost (M)],463)</f>
        <v/>
      </c>
      <c r="CV464" s="5">
        <f>INDEX(Projects[Act Cost (M)],463)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IF(A465="","",N(INDEX(Projects[Act Mech Inst],464)))</f>
        <v/>
      </c>
      <c r="BK465" s="5">
        <f>IF(A465="","",N(INDEX(Projects[Act Elec Inst],464)))</f>
        <v/>
      </c>
      <c r="BL465" s="5">
        <f>IF(A465="","",N(INDEX(Projects[Act Project Management],464)))</f>
        <v/>
      </c>
      <c r="BM465" s="5">
        <f>IF(A465="","",N(INDEX(Projects[Act Systems Eng],464)))</f>
        <v/>
      </c>
      <c r="BN465" s="5">
        <f>IF(A465="","",N(INDEX(Projects[Act Mechanical Eng],464)))</f>
        <v/>
      </c>
      <c r="BO465" s="5">
        <f>IF(A465="","",N(INDEX(Projects[Act Structural Engineering],464)))</f>
        <v/>
      </c>
      <c r="BP465" s="5">
        <f>IF(A465="","",N(INDEX(Projects[Act Site Sup],464)))</f>
        <v/>
      </c>
      <c r="BQ465" s="5">
        <f>IF(A465="","",N(INDEX(Projects[Act Controls Commissioning],464)))</f>
        <v/>
      </c>
      <c r="BR465" s="5">
        <f>IF(A465="","",N(INDEX(Projects[Act Systems Commissioning],464)))</f>
        <v/>
      </c>
      <c r="BS465" s="5">
        <f>IF(A465="","",N(INDEX(Projects[Act Service Commissioning],464)))</f>
        <v/>
      </c>
      <c r="BT465" s="5">
        <f>IF(A465="","",N(INDEX(Projects[Act Controls Eng],464)))</f>
        <v/>
      </c>
      <c r="BU465" s="5">
        <f>IF(A465="","",N(INDEX(Projects[Act Controls Purchase],464)))</f>
        <v/>
      </c>
      <c r="BV465" s="5">
        <f>IF(A465="","",N(INDEX(Projects[Act Software Eng],464)))</f>
        <v/>
      </c>
      <c r="BW465" s="5">
        <f>IF(A465="","",N(INDEX(Projects[Act 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  <c r="CE465" s="5">
        <f>INDEX(Projects[Act Data Status],464)&amp;""</f>
        <v/>
      </c>
      <c r="CF465" s="5">
        <f>IF(A465="","",N(INDEX(Projects[Est Mech Inst],464)))</f>
        <v/>
      </c>
      <c r="CG465" s="5">
        <f>IF(A465="","",N(INDEX(Projects[Est Elec Inst],464)))</f>
        <v/>
      </c>
      <c r="CH465" s="5">
        <f>IF(A465="","",N(INDEX(Projects[Est Project Management],464)))</f>
        <v/>
      </c>
      <c r="CI465" s="5">
        <f>IF(A465="","",N(INDEX(Projects[Est Systems Eng],464)))</f>
        <v/>
      </c>
      <c r="CJ465" s="5">
        <f>IF(A465="","",N(INDEX(Projects[Est Mechanical Eng],464)))</f>
        <v/>
      </c>
      <c r="CK465" s="5">
        <f>IF(A465="","",N(INDEX(Projects[Est Structural Engineering],464)))</f>
        <v/>
      </c>
      <c r="CL465" s="5">
        <f>IF(A465="","",N(INDEX(Projects[Est Site Sup],464)))</f>
        <v/>
      </c>
      <c r="CM465" s="5">
        <f>IF(A465="","",N(INDEX(Projects[Est Controls Commissioning],464)))</f>
        <v/>
      </c>
      <c r="CN465" s="5">
        <f>IF(A465="","",N(INDEX(Projects[Est Systems Commissioning],464)))</f>
        <v/>
      </c>
      <c r="CO465" s="5">
        <f>IF(A465="","",N(INDEX(Projects[Est Service Commissioning],464)))</f>
        <v/>
      </c>
      <c r="CP465" s="5">
        <f>IF(A465="","",N(INDEX(Projects[Est Controls Eng],464)))</f>
        <v/>
      </c>
      <c r="CQ465" s="5">
        <f>IF(A465="","",N(INDEX(Projects[Est Controls Purchase],464)))</f>
        <v/>
      </c>
      <c r="CR465" s="5">
        <f>IF(A465="","",N(INDEX(Projects[Est Software Eng],464)))</f>
        <v/>
      </c>
      <c r="CS465" s="5">
        <f>IF(A465="","",N(INDEX(Projects[Est Misc],464)))</f>
        <v/>
      </c>
      <c r="CT465" s="5">
        <f>IF(A465="","",SUM(CF465:CS465))</f>
        <v/>
      </c>
      <c r="CU465" s="5">
        <f>INDEX(Projects[Est Cost (M)],464)</f>
        <v/>
      </c>
      <c r="CV465" s="5">
        <f>INDEX(Projects[Act Cost (M)],464)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IF(A466="","",N(INDEX(Projects[Act Mech Inst],465)))</f>
        <v/>
      </c>
      <c r="BK466" s="5">
        <f>IF(A466="","",N(INDEX(Projects[Act Elec Inst],465)))</f>
        <v/>
      </c>
      <c r="BL466" s="5">
        <f>IF(A466="","",N(INDEX(Projects[Act Project Management],465)))</f>
        <v/>
      </c>
      <c r="BM466" s="5">
        <f>IF(A466="","",N(INDEX(Projects[Act Systems Eng],465)))</f>
        <v/>
      </c>
      <c r="BN466" s="5">
        <f>IF(A466="","",N(INDEX(Projects[Act Mechanical Eng],465)))</f>
        <v/>
      </c>
      <c r="BO466" s="5">
        <f>IF(A466="","",N(INDEX(Projects[Act Structural Engineering],465)))</f>
        <v/>
      </c>
      <c r="BP466" s="5">
        <f>IF(A466="","",N(INDEX(Projects[Act Site Sup],465)))</f>
        <v/>
      </c>
      <c r="BQ466" s="5">
        <f>IF(A466="","",N(INDEX(Projects[Act Controls Commissioning],465)))</f>
        <v/>
      </c>
      <c r="BR466" s="5">
        <f>IF(A466="","",N(INDEX(Projects[Act Systems Commissioning],465)))</f>
        <v/>
      </c>
      <c r="BS466" s="5">
        <f>IF(A466="","",N(INDEX(Projects[Act Service Commissioning],465)))</f>
        <v/>
      </c>
      <c r="BT466" s="5">
        <f>IF(A466="","",N(INDEX(Projects[Act Controls Eng],465)))</f>
        <v/>
      </c>
      <c r="BU466" s="5">
        <f>IF(A466="","",N(INDEX(Projects[Act Controls Purchase],465)))</f>
        <v/>
      </c>
      <c r="BV466" s="5">
        <f>IF(A466="","",N(INDEX(Projects[Act Software Eng],465)))</f>
        <v/>
      </c>
      <c r="BW466" s="5">
        <f>IF(A466="","",N(INDEX(Projects[Act 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  <c r="CE466" s="5">
        <f>INDEX(Projects[Act Data Status],465)&amp;""</f>
        <v/>
      </c>
      <c r="CF466" s="5">
        <f>IF(A466="","",N(INDEX(Projects[Est Mech Inst],465)))</f>
        <v/>
      </c>
      <c r="CG466" s="5">
        <f>IF(A466="","",N(INDEX(Projects[Est Elec Inst],465)))</f>
        <v/>
      </c>
      <c r="CH466" s="5">
        <f>IF(A466="","",N(INDEX(Projects[Est Project Management],465)))</f>
        <v/>
      </c>
      <c r="CI466" s="5">
        <f>IF(A466="","",N(INDEX(Projects[Est Systems Eng],465)))</f>
        <v/>
      </c>
      <c r="CJ466" s="5">
        <f>IF(A466="","",N(INDEX(Projects[Est Mechanical Eng],465)))</f>
        <v/>
      </c>
      <c r="CK466" s="5">
        <f>IF(A466="","",N(INDEX(Projects[Est Structural Engineering],465)))</f>
        <v/>
      </c>
      <c r="CL466" s="5">
        <f>IF(A466="","",N(INDEX(Projects[Est Site Sup],465)))</f>
        <v/>
      </c>
      <c r="CM466" s="5">
        <f>IF(A466="","",N(INDEX(Projects[Est Controls Commissioning],465)))</f>
        <v/>
      </c>
      <c r="CN466" s="5">
        <f>IF(A466="","",N(INDEX(Projects[Est Systems Commissioning],465)))</f>
        <v/>
      </c>
      <c r="CO466" s="5">
        <f>IF(A466="","",N(INDEX(Projects[Est Service Commissioning],465)))</f>
        <v/>
      </c>
      <c r="CP466" s="5">
        <f>IF(A466="","",N(INDEX(Projects[Est Controls Eng],465)))</f>
        <v/>
      </c>
      <c r="CQ466" s="5">
        <f>IF(A466="","",N(INDEX(Projects[Est Controls Purchase],465)))</f>
        <v/>
      </c>
      <c r="CR466" s="5">
        <f>IF(A466="","",N(INDEX(Projects[Est Software Eng],465)))</f>
        <v/>
      </c>
      <c r="CS466" s="5">
        <f>IF(A466="","",N(INDEX(Projects[Est Misc],465)))</f>
        <v/>
      </c>
      <c r="CT466" s="5">
        <f>IF(A466="","",SUM(CF466:CS466))</f>
        <v/>
      </c>
      <c r="CU466" s="5">
        <f>INDEX(Projects[Est Cost (M)],465)</f>
        <v/>
      </c>
      <c r="CV466" s="5">
        <f>INDEX(Projects[Act Cost (M)],465)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IF(A467="","",N(INDEX(Projects[Act Mech Inst],466)))</f>
        <v/>
      </c>
      <c r="BK467" s="5">
        <f>IF(A467="","",N(INDEX(Projects[Act Elec Inst],466)))</f>
        <v/>
      </c>
      <c r="BL467" s="5">
        <f>IF(A467="","",N(INDEX(Projects[Act Project Management],466)))</f>
        <v/>
      </c>
      <c r="BM467" s="5">
        <f>IF(A467="","",N(INDEX(Projects[Act Systems Eng],466)))</f>
        <v/>
      </c>
      <c r="BN467" s="5">
        <f>IF(A467="","",N(INDEX(Projects[Act Mechanical Eng],466)))</f>
        <v/>
      </c>
      <c r="BO467" s="5">
        <f>IF(A467="","",N(INDEX(Projects[Act Structural Engineering],466)))</f>
        <v/>
      </c>
      <c r="BP467" s="5">
        <f>IF(A467="","",N(INDEX(Projects[Act Site Sup],466)))</f>
        <v/>
      </c>
      <c r="BQ467" s="5">
        <f>IF(A467="","",N(INDEX(Projects[Act Controls Commissioning],466)))</f>
        <v/>
      </c>
      <c r="BR467" s="5">
        <f>IF(A467="","",N(INDEX(Projects[Act Systems Commissioning],466)))</f>
        <v/>
      </c>
      <c r="BS467" s="5">
        <f>IF(A467="","",N(INDEX(Projects[Act Service Commissioning],466)))</f>
        <v/>
      </c>
      <c r="BT467" s="5">
        <f>IF(A467="","",N(INDEX(Projects[Act Controls Eng],466)))</f>
        <v/>
      </c>
      <c r="BU467" s="5">
        <f>IF(A467="","",N(INDEX(Projects[Act Controls Purchase],466)))</f>
        <v/>
      </c>
      <c r="BV467" s="5">
        <f>IF(A467="","",N(INDEX(Projects[Act Software Eng],466)))</f>
        <v/>
      </c>
      <c r="BW467" s="5">
        <f>IF(A467="","",N(INDEX(Projects[Act 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  <c r="CE467" s="5">
        <f>INDEX(Projects[Act Data Status],466)&amp;""</f>
        <v/>
      </c>
      <c r="CF467" s="5">
        <f>IF(A467="","",N(INDEX(Projects[Est Mech Inst],466)))</f>
        <v/>
      </c>
      <c r="CG467" s="5">
        <f>IF(A467="","",N(INDEX(Projects[Est Elec Inst],466)))</f>
        <v/>
      </c>
      <c r="CH467" s="5">
        <f>IF(A467="","",N(INDEX(Projects[Est Project Management],466)))</f>
        <v/>
      </c>
      <c r="CI467" s="5">
        <f>IF(A467="","",N(INDEX(Projects[Est Systems Eng],466)))</f>
        <v/>
      </c>
      <c r="CJ467" s="5">
        <f>IF(A467="","",N(INDEX(Projects[Est Mechanical Eng],466)))</f>
        <v/>
      </c>
      <c r="CK467" s="5">
        <f>IF(A467="","",N(INDEX(Projects[Est Structural Engineering],466)))</f>
        <v/>
      </c>
      <c r="CL467" s="5">
        <f>IF(A467="","",N(INDEX(Projects[Est Site Sup],466)))</f>
        <v/>
      </c>
      <c r="CM467" s="5">
        <f>IF(A467="","",N(INDEX(Projects[Est Controls Commissioning],466)))</f>
        <v/>
      </c>
      <c r="CN467" s="5">
        <f>IF(A467="","",N(INDEX(Projects[Est Systems Commissioning],466)))</f>
        <v/>
      </c>
      <c r="CO467" s="5">
        <f>IF(A467="","",N(INDEX(Projects[Est Service Commissioning],466)))</f>
        <v/>
      </c>
      <c r="CP467" s="5">
        <f>IF(A467="","",N(INDEX(Projects[Est Controls Eng],466)))</f>
        <v/>
      </c>
      <c r="CQ467" s="5">
        <f>IF(A467="","",N(INDEX(Projects[Est Controls Purchase],466)))</f>
        <v/>
      </c>
      <c r="CR467" s="5">
        <f>IF(A467="","",N(INDEX(Projects[Est Software Eng],466)))</f>
        <v/>
      </c>
      <c r="CS467" s="5">
        <f>IF(A467="","",N(INDEX(Projects[Est Misc],466)))</f>
        <v/>
      </c>
      <c r="CT467" s="5">
        <f>IF(A467="","",SUM(CF467:CS467))</f>
        <v/>
      </c>
      <c r="CU467" s="5">
        <f>INDEX(Projects[Est Cost (M)],466)</f>
        <v/>
      </c>
      <c r="CV467" s="5">
        <f>INDEX(Projects[Act Cost (M)],466)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IF(A468="","",N(INDEX(Projects[Act Mech Inst],467)))</f>
        <v/>
      </c>
      <c r="BK468" s="5">
        <f>IF(A468="","",N(INDEX(Projects[Act Elec Inst],467)))</f>
        <v/>
      </c>
      <c r="BL468" s="5">
        <f>IF(A468="","",N(INDEX(Projects[Act Project Management],467)))</f>
        <v/>
      </c>
      <c r="BM468" s="5">
        <f>IF(A468="","",N(INDEX(Projects[Act Systems Eng],467)))</f>
        <v/>
      </c>
      <c r="BN468" s="5">
        <f>IF(A468="","",N(INDEX(Projects[Act Mechanical Eng],467)))</f>
        <v/>
      </c>
      <c r="BO468" s="5">
        <f>IF(A468="","",N(INDEX(Projects[Act Structural Engineering],467)))</f>
        <v/>
      </c>
      <c r="BP468" s="5">
        <f>IF(A468="","",N(INDEX(Projects[Act Site Sup],467)))</f>
        <v/>
      </c>
      <c r="BQ468" s="5">
        <f>IF(A468="","",N(INDEX(Projects[Act Controls Commissioning],467)))</f>
        <v/>
      </c>
      <c r="BR468" s="5">
        <f>IF(A468="","",N(INDEX(Projects[Act Systems Commissioning],467)))</f>
        <v/>
      </c>
      <c r="BS468" s="5">
        <f>IF(A468="","",N(INDEX(Projects[Act Service Commissioning],467)))</f>
        <v/>
      </c>
      <c r="BT468" s="5">
        <f>IF(A468="","",N(INDEX(Projects[Act Controls Eng],467)))</f>
        <v/>
      </c>
      <c r="BU468" s="5">
        <f>IF(A468="","",N(INDEX(Projects[Act Controls Purchase],467)))</f>
        <v/>
      </c>
      <c r="BV468" s="5">
        <f>IF(A468="","",N(INDEX(Projects[Act Software Eng],467)))</f>
        <v/>
      </c>
      <c r="BW468" s="5">
        <f>IF(A468="","",N(INDEX(Projects[Act 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  <c r="CE468" s="5">
        <f>INDEX(Projects[Act Data Status],467)&amp;""</f>
        <v/>
      </c>
      <c r="CF468" s="5">
        <f>IF(A468="","",N(INDEX(Projects[Est Mech Inst],467)))</f>
        <v/>
      </c>
      <c r="CG468" s="5">
        <f>IF(A468="","",N(INDEX(Projects[Est Elec Inst],467)))</f>
        <v/>
      </c>
      <c r="CH468" s="5">
        <f>IF(A468="","",N(INDEX(Projects[Est Project Management],467)))</f>
        <v/>
      </c>
      <c r="CI468" s="5">
        <f>IF(A468="","",N(INDEX(Projects[Est Systems Eng],467)))</f>
        <v/>
      </c>
      <c r="CJ468" s="5">
        <f>IF(A468="","",N(INDEX(Projects[Est Mechanical Eng],467)))</f>
        <v/>
      </c>
      <c r="CK468" s="5">
        <f>IF(A468="","",N(INDEX(Projects[Est Structural Engineering],467)))</f>
        <v/>
      </c>
      <c r="CL468" s="5">
        <f>IF(A468="","",N(INDEX(Projects[Est Site Sup],467)))</f>
        <v/>
      </c>
      <c r="CM468" s="5">
        <f>IF(A468="","",N(INDEX(Projects[Est Controls Commissioning],467)))</f>
        <v/>
      </c>
      <c r="CN468" s="5">
        <f>IF(A468="","",N(INDEX(Projects[Est Systems Commissioning],467)))</f>
        <v/>
      </c>
      <c r="CO468" s="5">
        <f>IF(A468="","",N(INDEX(Projects[Est Service Commissioning],467)))</f>
        <v/>
      </c>
      <c r="CP468" s="5">
        <f>IF(A468="","",N(INDEX(Projects[Est Controls Eng],467)))</f>
        <v/>
      </c>
      <c r="CQ468" s="5">
        <f>IF(A468="","",N(INDEX(Projects[Est Controls Purchase],467)))</f>
        <v/>
      </c>
      <c r="CR468" s="5">
        <f>IF(A468="","",N(INDEX(Projects[Est Software Eng],467)))</f>
        <v/>
      </c>
      <c r="CS468" s="5">
        <f>IF(A468="","",N(INDEX(Projects[Est Misc],467)))</f>
        <v/>
      </c>
      <c r="CT468" s="5">
        <f>IF(A468="","",SUM(CF468:CS468))</f>
        <v/>
      </c>
      <c r="CU468" s="5">
        <f>INDEX(Projects[Est Cost (M)],467)</f>
        <v/>
      </c>
      <c r="CV468" s="5">
        <f>INDEX(Projects[Act Cost (M)],467)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IF(A469="","",N(INDEX(Projects[Act Mech Inst],468)))</f>
        <v/>
      </c>
      <c r="BK469" s="5">
        <f>IF(A469="","",N(INDEX(Projects[Act Elec Inst],468)))</f>
        <v/>
      </c>
      <c r="BL469" s="5">
        <f>IF(A469="","",N(INDEX(Projects[Act Project Management],468)))</f>
        <v/>
      </c>
      <c r="BM469" s="5">
        <f>IF(A469="","",N(INDEX(Projects[Act Systems Eng],468)))</f>
        <v/>
      </c>
      <c r="BN469" s="5">
        <f>IF(A469="","",N(INDEX(Projects[Act Mechanical Eng],468)))</f>
        <v/>
      </c>
      <c r="BO469" s="5">
        <f>IF(A469="","",N(INDEX(Projects[Act Structural Engineering],468)))</f>
        <v/>
      </c>
      <c r="BP469" s="5">
        <f>IF(A469="","",N(INDEX(Projects[Act Site Sup],468)))</f>
        <v/>
      </c>
      <c r="BQ469" s="5">
        <f>IF(A469="","",N(INDEX(Projects[Act Controls Commissioning],468)))</f>
        <v/>
      </c>
      <c r="BR469" s="5">
        <f>IF(A469="","",N(INDEX(Projects[Act Systems Commissioning],468)))</f>
        <v/>
      </c>
      <c r="BS469" s="5">
        <f>IF(A469="","",N(INDEX(Projects[Act Service Commissioning],468)))</f>
        <v/>
      </c>
      <c r="BT469" s="5">
        <f>IF(A469="","",N(INDEX(Projects[Act Controls Eng],468)))</f>
        <v/>
      </c>
      <c r="BU469" s="5">
        <f>IF(A469="","",N(INDEX(Projects[Act Controls Purchase],468)))</f>
        <v/>
      </c>
      <c r="BV469" s="5">
        <f>IF(A469="","",N(INDEX(Projects[Act Software Eng],468)))</f>
        <v/>
      </c>
      <c r="BW469" s="5">
        <f>IF(A469="","",N(INDEX(Projects[Act 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  <c r="CE469" s="5">
        <f>INDEX(Projects[Act Data Status],468)&amp;""</f>
        <v/>
      </c>
      <c r="CF469" s="5">
        <f>IF(A469="","",N(INDEX(Projects[Est Mech Inst],468)))</f>
        <v/>
      </c>
      <c r="CG469" s="5">
        <f>IF(A469="","",N(INDEX(Projects[Est Elec Inst],468)))</f>
        <v/>
      </c>
      <c r="CH469" s="5">
        <f>IF(A469="","",N(INDEX(Projects[Est Project Management],468)))</f>
        <v/>
      </c>
      <c r="CI469" s="5">
        <f>IF(A469="","",N(INDEX(Projects[Est Systems Eng],468)))</f>
        <v/>
      </c>
      <c r="CJ469" s="5">
        <f>IF(A469="","",N(INDEX(Projects[Est Mechanical Eng],468)))</f>
        <v/>
      </c>
      <c r="CK469" s="5">
        <f>IF(A469="","",N(INDEX(Projects[Est Structural Engineering],468)))</f>
        <v/>
      </c>
      <c r="CL469" s="5">
        <f>IF(A469="","",N(INDEX(Projects[Est Site Sup],468)))</f>
        <v/>
      </c>
      <c r="CM469" s="5">
        <f>IF(A469="","",N(INDEX(Projects[Est Controls Commissioning],468)))</f>
        <v/>
      </c>
      <c r="CN469" s="5">
        <f>IF(A469="","",N(INDEX(Projects[Est Systems Commissioning],468)))</f>
        <v/>
      </c>
      <c r="CO469" s="5">
        <f>IF(A469="","",N(INDEX(Projects[Est Service Commissioning],468)))</f>
        <v/>
      </c>
      <c r="CP469" s="5">
        <f>IF(A469="","",N(INDEX(Projects[Est Controls Eng],468)))</f>
        <v/>
      </c>
      <c r="CQ469" s="5">
        <f>IF(A469="","",N(INDEX(Projects[Est Controls Purchase],468)))</f>
        <v/>
      </c>
      <c r="CR469" s="5">
        <f>IF(A469="","",N(INDEX(Projects[Est Software Eng],468)))</f>
        <v/>
      </c>
      <c r="CS469" s="5">
        <f>IF(A469="","",N(INDEX(Projects[Est Misc],468)))</f>
        <v/>
      </c>
      <c r="CT469" s="5">
        <f>IF(A469="","",SUM(CF469:CS469))</f>
        <v/>
      </c>
      <c r="CU469" s="5">
        <f>INDEX(Projects[Est Cost (M)],468)</f>
        <v/>
      </c>
      <c r="CV469" s="5">
        <f>INDEX(Projects[Act Cost (M)],468)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IF(A470="","",N(INDEX(Projects[Act Mech Inst],469)))</f>
        <v/>
      </c>
      <c r="BK470" s="5">
        <f>IF(A470="","",N(INDEX(Projects[Act Elec Inst],469)))</f>
        <v/>
      </c>
      <c r="BL470" s="5">
        <f>IF(A470="","",N(INDEX(Projects[Act Project Management],469)))</f>
        <v/>
      </c>
      <c r="BM470" s="5">
        <f>IF(A470="","",N(INDEX(Projects[Act Systems Eng],469)))</f>
        <v/>
      </c>
      <c r="BN470" s="5">
        <f>IF(A470="","",N(INDEX(Projects[Act Mechanical Eng],469)))</f>
        <v/>
      </c>
      <c r="BO470" s="5">
        <f>IF(A470="","",N(INDEX(Projects[Act Structural Engineering],469)))</f>
        <v/>
      </c>
      <c r="BP470" s="5">
        <f>IF(A470="","",N(INDEX(Projects[Act Site Sup],469)))</f>
        <v/>
      </c>
      <c r="BQ470" s="5">
        <f>IF(A470="","",N(INDEX(Projects[Act Controls Commissioning],469)))</f>
        <v/>
      </c>
      <c r="BR470" s="5">
        <f>IF(A470="","",N(INDEX(Projects[Act Systems Commissioning],469)))</f>
        <v/>
      </c>
      <c r="BS470" s="5">
        <f>IF(A470="","",N(INDEX(Projects[Act Service Commissioning],469)))</f>
        <v/>
      </c>
      <c r="BT470" s="5">
        <f>IF(A470="","",N(INDEX(Projects[Act Controls Eng],469)))</f>
        <v/>
      </c>
      <c r="BU470" s="5">
        <f>IF(A470="","",N(INDEX(Projects[Act Controls Purchase],469)))</f>
        <v/>
      </c>
      <c r="BV470" s="5">
        <f>IF(A470="","",N(INDEX(Projects[Act Software Eng],469)))</f>
        <v/>
      </c>
      <c r="BW470" s="5">
        <f>IF(A470="","",N(INDEX(Projects[Act 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  <c r="CE470" s="5">
        <f>INDEX(Projects[Act Data Status],469)&amp;""</f>
        <v/>
      </c>
      <c r="CF470" s="5">
        <f>IF(A470="","",N(INDEX(Projects[Est Mech Inst],469)))</f>
        <v/>
      </c>
      <c r="CG470" s="5">
        <f>IF(A470="","",N(INDEX(Projects[Est Elec Inst],469)))</f>
        <v/>
      </c>
      <c r="CH470" s="5">
        <f>IF(A470="","",N(INDEX(Projects[Est Project Management],469)))</f>
        <v/>
      </c>
      <c r="CI470" s="5">
        <f>IF(A470="","",N(INDEX(Projects[Est Systems Eng],469)))</f>
        <v/>
      </c>
      <c r="CJ470" s="5">
        <f>IF(A470="","",N(INDEX(Projects[Est Mechanical Eng],469)))</f>
        <v/>
      </c>
      <c r="CK470" s="5">
        <f>IF(A470="","",N(INDEX(Projects[Est Structural Engineering],469)))</f>
        <v/>
      </c>
      <c r="CL470" s="5">
        <f>IF(A470="","",N(INDEX(Projects[Est Site Sup],469)))</f>
        <v/>
      </c>
      <c r="CM470" s="5">
        <f>IF(A470="","",N(INDEX(Projects[Est Controls Commissioning],469)))</f>
        <v/>
      </c>
      <c r="CN470" s="5">
        <f>IF(A470="","",N(INDEX(Projects[Est Systems Commissioning],469)))</f>
        <v/>
      </c>
      <c r="CO470" s="5">
        <f>IF(A470="","",N(INDEX(Projects[Est Service Commissioning],469)))</f>
        <v/>
      </c>
      <c r="CP470" s="5">
        <f>IF(A470="","",N(INDEX(Projects[Est Controls Eng],469)))</f>
        <v/>
      </c>
      <c r="CQ470" s="5">
        <f>IF(A470="","",N(INDEX(Projects[Est Controls Purchase],469)))</f>
        <v/>
      </c>
      <c r="CR470" s="5">
        <f>IF(A470="","",N(INDEX(Projects[Est Software Eng],469)))</f>
        <v/>
      </c>
      <c r="CS470" s="5">
        <f>IF(A470="","",N(INDEX(Projects[Est Misc],469)))</f>
        <v/>
      </c>
      <c r="CT470" s="5">
        <f>IF(A470="","",SUM(CF470:CS470))</f>
        <v/>
      </c>
      <c r="CU470" s="5">
        <f>INDEX(Projects[Est Cost (M)],469)</f>
        <v/>
      </c>
      <c r="CV470" s="5">
        <f>INDEX(Projects[Act Cost (M)],469)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IF(A471="","",N(INDEX(Projects[Act Mech Inst],470)))</f>
        <v/>
      </c>
      <c r="BK471" s="5">
        <f>IF(A471="","",N(INDEX(Projects[Act Elec Inst],470)))</f>
        <v/>
      </c>
      <c r="BL471" s="5">
        <f>IF(A471="","",N(INDEX(Projects[Act Project Management],470)))</f>
        <v/>
      </c>
      <c r="BM471" s="5">
        <f>IF(A471="","",N(INDEX(Projects[Act Systems Eng],470)))</f>
        <v/>
      </c>
      <c r="BN471" s="5">
        <f>IF(A471="","",N(INDEX(Projects[Act Mechanical Eng],470)))</f>
        <v/>
      </c>
      <c r="BO471" s="5">
        <f>IF(A471="","",N(INDEX(Projects[Act Structural Engineering],470)))</f>
        <v/>
      </c>
      <c r="BP471" s="5">
        <f>IF(A471="","",N(INDEX(Projects[Act Site Sup],470)))</f>
        <v/>
      </c>
      <c r="BQ471" s="5">
        <f>IF(A471="","",N(INDEX(Projects[Act Controls Commissioning],470)))</f>
        <v/>
      </c>
      <c r="BR471" s="5">
        <f>IF(A471="","",N(INDEX(Projects[Act Systems Commissioning],470)))</f>
        <v/>
      </c>
      <c r="BS471" s="5">
        <f>IF(A471="","",N(INDEX(Projects[Act Service Commissioning],470)))</f>
        <v/>
      </c>
      <c r="BT471" s="5">
        <f>IF(A471="","",N(INDEX(Projects[Act Controls Eng],470)))</f>
        <v/>
      </c>
      <c r="BU471" s="5">
        <f>IF(A471="","",N(INDEX(Projects[Act Controls Purchase],470)))</f>
        <v/>
      </c>
      <c r="BV471" s="5">
        <f>IF(A471="","",N(INDEX(Projects[Act Software Eng],470)))</f>
        <v/>
      </c>
      <c r="BW471" s="5">
        <f>IF(A471="","",N(INDEX(Projects[Act 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  <c r="CE471" s="5">
        <f>INDEX(Projects[Act Data Status],470)&amp;""</f>
        <v/>
      </c>
      <c r="CF471" s="5">
        <f>IF(A471="","",N(INDEX(Projects[Est Mech Inst],470)))</f>
        <v/>
      </c>
      <c r="CG471" s="5">
        <f>IF(A471="","",N(INDEX(Projects[Est Elec Inst],470)))</f>
        <v/>
      </c>
      <c r="CH471" s="5">
        <f>IF(A471="","",N(INDEX(Projects[Est Project Management],470)))</f>
        <v/>
      </c>
      <c r="CI471" s="5">
        <f>IF(A471="","",N(INDEX(Projects[Est Systems Eng],470)))</f>
        <v/>
      </c>
      <c r="CJ471" s="5">
        <f>IF(A471="","",N(INDEX(Projects[Est Mechanical Eng],470)))</f>
        <v/>
      </c>
      <c r="CK471" s="5">
        <f>IF(A471="","",N(INDEX(Projects[Est Structural Engineering],470)))</f>
        <v/>
      </c>
      <c r="CL471" s="5">
        <f>IF(A471="","",N(INDEX(Projects[Est Site Sup],470)))</f>
        <v/>
      </c>
      <c r="CM471" s="5">
        <f>IF(A471="","",N(INDEX(Projects[Est Controls Commissioning],470)))</f>
        <v/>
      </c>
      <c r="CN471" s="5">
        <f>IF(A471="","",N(INDEX(Projects[Est Systems Commissioning],470)))</f>
        <v/>
      </c>
      <c r="CO471" s="5">
        <f>IF(A471="","",N(INDEX(Projects[Est Service Commissioning],470)))</f>
        <v/>
      </c>
      <c r="CP471" s="5">
        <f>IF(A471="","",N(INDEX(Projects[Est Controls Eng],470)))</f>
        <v/>
      </c>
      <c r="CQ471" s="5">
        <f>IF(A471="","",N(INDEX(Projects[Est Controls Purchase],470)))</f>
        <v/>
      </c>
      <c r="CR471" s="5">
        <f>IF(A471="","",N(INDEX(Projects[Est Software Eng],470)))</f>
        <v/>
      </c>
      <c r="CS471" s="5">
        <f>IF(A471="","",N(INDEX(Projects[Est Misc],470)))</f>
        <v/>
      </c>
      <c r="CT471" s="5">
        <f>IF(A471="","",SUM(CF471:CS471))</f>
        <v/>
      </c>
      <c r="CU471" s="5">
        <f>INDEX(Projects[Est Cost (M)],470)</f>
        <v/>
      </c>
      <c r="CV471" s="5">
        <f>INDEX(Projects[Act Cost (M)],470)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IF(A472="","",N(INDEX(Projects[Act Mech Inst],471)))</f>
        <v/>
      </c>
      <c r="BK472" s="5">
        <f>IF(A472="","",N(INDEX(Projects[Act Elec Inst],471)))</f>
        <v/>
      </c>
      <c r="BL472" s="5">
        <f>IF(A472="","",N(INDEX(Projects[Act Project Management],471)))</f>
        <v/>
      </c>
      <c r="BM472" s="5">
        <f>IF(A472="","",N(INDEX(Projects[Act Systems Eng],471)))</f>
        <v/>
      </c>
      <c r="BN472" s="5">
        <f>IF(A472="","",N(INDEX(Projects[Act Mechanical Eng],471)))</f>
        <v/>
      </c>
      <c r="BO472" s="5">
        <f>IF(A472="","",N(INDEX(Projects[Act Structural Engineering],471)))</f>
        <v/>
      </c>
      <c r="BP472" s="5">
        <f>IF(A472="","",N(INDEX(Projects[Act Site Sup],471)))</f>
        <v/>
      </c>
      <c r="BQ472" s="5">
        <f>IF(A472="","",N(INDEX(Projects[Act Controls Commissioning],471)))</f>
        <v/>
      </c>
      <c r="BR472" s="5">
        <f>IF(A472="","",N(INDEX(Projects[Act Systems Commissioning],471)))</f>
        <v/>
      </c>
      <c r="BS472" s="5">
        <f>IF(A472="","",N(INDEX(Projects[Act Service Commissioning],471)))</f>
        <v/>
      </c>
      <c r="BT472" s="5">
        <f>IF(A472="","",N(INDEX(Projects[Act Controls Eng],471)))</f>
        <v/>
      </c>
      <c r="BU472" s="5">
        <f>IF(A472="","",N(INDEX(Projects[Act Controls Purchase],471)))</f>
        <v/>
      </c>
      <c r="BV472" s="5">
        <f>IF(A472="","",N(INDEX(Projects[Act Software Eng],471)))</f>
        <v/>
      </c>
      <c r="BW472" s="5">
        <f>IF(A472="","",N(INDEX(Projects[Act 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  <c r="CE472" s="5">
        <f>INDEX(Projects[Act Data Status],471)&amp;""</f>
        <v/>
      </c>
      <c r="CF472" s="5">
        <f>IF(A472="","",N(INDEX(Projects[Est Mech Inst],471)))</f>
        <v/>
      </c>
      <c r="CG472" s="5">
        <f>IF(A472="","",N(INDEX(Projects[Est Elec Inst],471)))</f>
        <v/>
      </c>
      <c r="CH472" s="5">
        <f>IF(A472="","",N(INDEX(Projects[Est Project Management],471)))</f>
        <v/>
      </c>
      <c r="CI472" s="5">
        <f>IF(A472="","",N(INDEX(Projects[Est Systems Eng],471)))</f>
        <v/>
      </c>
      <c r="CJ472" s="5">
        <f>IF(A472="","",N(INDEX(Projects[Est Mechanical Eng],471)))</f>
        <v/>
      </c>
      <c r="CK472" s="5">
        <f>IF(A472="","",N(INDEX(Projects[Est Structural Engineering],471)))</f>
        <v/>
      </c>
      <c r="CL472" s="5">
        <f>IF(A472="","",N(INDEX(Projects[Est Site Sup],471)))</f>
        <v/>
      </c>
      <c r="CM472" s="5">
        <f>IF(A472="","",N(INDEX(Projects[Est Controls Commissioning],471)))</f>
        <v/>
      </c>
      <c r="CN472" s="5">
        <f>IF(A472="","",N(INDEX(Projects[Est Systems Commissioning],471)))</f>
        <v/>
      </c>
      <c r="CO472" s="5">
        <f>IF(A472="","",N(INDEX(Projects[Est Service Commissioning],471)))</f>
        <v/>
      </c>
      <c r="CP472" s="5">
        <f>IF(A472="","",N(INDEX(Projects[Est Controls Eng],471)))</f>
        <v/>
      </c>
      <c r="CQ472" s="5">
        <f>IF(A472="","",N(INDEX(Projects[Est Controls Purchase],471)))</f>
        <v/>
      </c>
      <c r="CR472" s="5">
        <f>IF(A472="","",N(INDEX(Projects[Est Software Eng],471)))</f>
        <v/>
      </c>
      <c r="CS472" s="5">
        <f>IF(A472="","",N(INDEX(Projects[Est Misc],471)))</f>
        <v/>
      </c>
      <c r="CT472" s="5">
        <f>IF(A472="","",SUM(CF472:CS472))</f>
        <v/>
      </c>
      <c r="CU472" s="5">
        <f>INDEX(Projects[Est Cost (M)],471)</f>
        <v/>
      </c>
      <c r="CV472" s="5">
        <f>INDEX(Projects[Act Cost (M)],471)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IF(A473="","",N(INDEX(Projects[Act Mech Inst],472)))</f>
        <v/>
      </c>
      <c r="BK473" s="5">
        <f>IF(A473="","",N(INDEX(Projects[Act Elec Inst],472)))</f>
        <v/>
      </c>
      <c r="BL473" s="5">
        <f>IF(A473="","",N(INDEX(Projects[Act Project Management],472)))</f>
        <v/>
      </c>
      <c r="BM473" s="5">
        <f>IF(A473="","",N(INDEX(Projects[Act Systems Eng],472)))</f>
        <v/>
      </c>
      <c r="BN473" s="5">
        <f>IF(A473="","",N(INDEX(Projects[Act Mechanical Eng],472)))</f>
        <v/>
      </c>
      <c r="BO473" s="5">
        <f>IF(A473="","",N(INDEX(Projects[Act Structural Engineering],472)))</f>
        <v/>
      </c>
      <c r="BP473" s="5">
        <f>IF(A473="","",N(INDEX(Projects[Act Site Sup],472)))</f>
        <v/>
      </c>
      <c r="BQ473" s="5">
        <f>IF(A473="","",N(INDEX(Projects[Act Controls Commissioning],472)))</f>
        <v/>
      </c>
      <c r="BR473" s="5">
        <f>IF(A473="","",N(INDEX(Projects[Act Systems Commissioning],472)))</f>
        <v/>
      </c>
      <c r="BS473" s="5">
        <f>IF(A473="","",N(INDEX(Projects[Act Service Commissioning],472)))</f>
        <v/>
      </c>
      <c r="BT473" s="5">
        <f>IF(A473="","",N(INDEX(Projects[Act Controls Eng],472)))</f>
        <v/>
      </c>
      <c r="BU473" s="5">
        <f>IF(A473="","",N(INDEX(Projects[Act Controls Purchase],472)))</f>
        <v/>
      </c>
      <c r="BV473" s="5">
        <f>IF(A473="","",N(INDEX(Projects[Act Software Eng],472)))</f>
        <v/>
      </c>
      <c r="BW473" s="5">
        <f>IF(A473="","",N(INDEX(Projects[Act 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  <c r="CE473" s="5">
        <f>INDEX(Projects[Act Data Status],472)&amp;""</f>
        <v/>
      </c>
      <c r="CF473" s="5">
        <f>IF(A473="","",N(INDEX(Projects[Est Mech Inst],472)))</f>
        <v/>
      </c>
      <c r="CG473" s="5">
        <f>IF(A473="","",N(INDEX(Projects[Est Elec Inst],472)))</f>
        <v/>
      </c>
      <c r="CH473" s="5">
        <f>IF(A473="","",N(INDEX(Projects[Est Project Management],472)))</f>
        <v/>
      </c>
      <c r="CI473" s="5">
        <f>IF(A473="","",N(INDEX(Projects[Est Systems Eng],472)))</f>
        <v/>
      </c>
      <c r="CJ473" s="5">
        <f>IF(A473="","",N(INDEX(Projects[Est Mechanical Eng],472)))</f>
        <v/>
      </c>
      <c r="CK473" s="5">
        <f>IF(A473="","",N(INDEX(Projects[Est Structural Engineering],472)))</f>
        <v/>
      </c>
      <c r="CL473" s="5">
        <f>IF(A473="","",N(INDEX(Projects[Est Site Sup],472)))</f>
        <v/>
      </c>
      <c r="CM473" s="5">
        <f>IF(A473="","",N(INDEX(Projects[Est Controls Commissioning],472)))</f>
        <v/>
      </c>
      <c r="CN473" s="5">
        <f>IF(A473="","",N(INDEX(Projects[Est Systems Commissioning],472)))</f>
        <v/>
      </c>
      <c r="CO473" s="5">
        <f>IF(A473="","",N(INDEX(Projects[Est Service Commissioning],472)))</f>
        <v/>
      </c>
      <c r="CP473" s="5">
        <f>IF(A473="","",N(INDEX(Projects[Est Controls Eng],472)))</f>
        <v/>
      </c>
      <c r="CQ473" s="5">
        <f>IF(A473="","",N(INDEX(Projects[Est Controls Purchase],472)))</f>
        <v/>
      </c>
      <c r="CR473" s="5">
        <f>IF(A473="","",N(INDEX(Projects[Est Software Eng],472)))</f>
        <v/>
      </c>
      <c r="CS473" s="5">
        <f>IF(A473="","",N(INDEX(Projects[Est Misc],472)))</f>
        <v/>
      </c>
      <c r="CT473" s="5">
        <f>IF(A473="","",SUM(CF473:CS473))</f>
        <v/>
      </c>
      <c r="CU473" s="5">
        <f>INDEX(Projects[Est Cost (M)],472)</f>
        <v/>
      </c>
      <c r="CV473" s="5">
        <f>INDEX(Projects[Act Cost (M)],472)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IF(A474="","",N(INDEX(Projects[Act Mech Inst],473)))</f>
        <v/>
      </c>
      <c r="BK474" s="5">
        <f>IF(A474="","",N(INDEX(Projects[Act Elec Inst],473)))</f>
        <v/>
      </c>
      <c r="BL474" s="5">
        <f>IF(A474="","",N(INDEX(Projects[Act Project Management],473)))</f>
        <v/>
      </c>
      <c r="BM474" s="5">
        <f>IF(A474="","",N(INDEX(Projects[Act Systems Eng],473)))</f>
        <v/>
      </c>
      <c r="BN474" s="5">
        <f>IF(A474="","",N(INDEX(Projects[Act Mechanical Eng],473)))</f>
        <v/>
      </c>
      <c r="BO474" s="5">
        <f>IF(A474="","",N(INDEX(Projects[Act Structural Engineering],473)))</f>
        <v/>
      </c>
      <c r="BP474" s="5">
        <f>IF(A474="","",N(INDEX(Projects[Act Site Sup],473)))</f>
        <v/>
      </c>
      <c r="BQ474" s="5">
        <f>IF(A474="","",N(INDEX(Projects[Act Controls Commissioning],473)))</f>
        <v/>
      </c>
      <c r="BR474" s="5">
        <f>IF(A474="","",N(INDEX(Projects[Act Systems Commissioning],473)))</f>
        <v/>
      </c>
      <c r="BS474" s="5">
        <f>IF(A474="","",N(INDEX(Projects[Act Service Commissioning],473)))</f>
        <v/>
      </c>
      <c r="BT474" s="5">
        <f>IF(A474="","",N(INDEX(Projects[Act Controls Eng],473)))</f>
        <v/>
      </c>
      <c r="BU474" s="5">
        <f>IF(A474="","",N(INDEX(Projects[Act Controls Purchase],473)))</f>
        <v/>
      </c>
      <c r="BV474" s="5">
        <f>IF(A474="","",N(INDEX(Projects[Act Software Eng],473)))</f>
        <v/>
      </c>
      <c r="BW474" s="5">
        <f>IF(A474="","",N(INDEX(Projects[Act 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  <c r="CE474" s="5">
        <f>INDEX(Projects[Act Data Status],473)&amp;""</f>
        <v/>
      </c>
      <c r="CF474" s="5">
        <f>IF(A474="","",N(INDEX(Projects[Est Mech Inst],473)))</f>
        <v/>
      </c>
      <c r="CG474" s="5">
        <f>IF(A474="","",N(INDEX(Projects[Est Elec Inst],473)))</f>
        <v/>
      </c>
      <c r="CH474" s="5">
        <f>IF(A474="","",N(INDEX(Projects[Est Project Management],473)))</f>
        <v/>
      </c>
      <c r="CI474" s="5">
        <f>IF(A474="","",N(INDEX(Projects[Est Systems Eng],473)))</f>
        <v/>
      </c>
      <c r="CJ474" s="5">
        <f>IF(A474="","",N(INDEX(Projects[Est Mechanical Eng],473)))</f>
        <v/>
      </c>
      <c r="CK474" s="5">
        <f>IF(A474="","",N(INDEX(Projects[Est Structural Engineering],473)))</f>
        <v/>
      </c>
      <c r="CL474" s="5">
        <f>IF(A474="","",N(INDEX(Projects[Est Site Sup],473)))</f>
        <v/>
      </c>
      <c r="CM474" s="5">
        <f>IF(A474="","",N(INDEX(Projects[Est Controls Commissioning],473)))</f>
        <v/>
      </c>
      <c r="CN474" s="5">
        <f>IF(A474="","",N(INDEX(Projects[Est Systems Commissioning],473)))</f>
        <v/>
      </c>
      <c r="CO474" s="5">
        <f>IF(A474="","",N(INDEX(Projects[Est Service Commissioning],473)))</f>
        <v/>
      </c>
      <c r="CP474" s="5">
        <f>IF(A474="","",N(INDEX(Projects[Est Controls Eng],473)))</f>
        <v/>
      </c>
      <c r="CQ474" s="5">
        <f>IF(A474="","",N(INDEX(Projects[Est Controls Purchase],473)))</f>
        <v/>
      </c>
      <c r="CR474" s="5">
        <f>IF(A474="","",N(INDEX(Projects[Est Software Eng],473)))</f>
        <v/>
      </c>
      <c r="CS474" s="5">
        <f>IF(A474="","",N(INDEX(Projects[Est Misc],473)))</f>
        <v/>
      </c>
      <c r="CT474" s="5">
        <f>IF(A474="","",SUM(CF474:CS474))</f>
        <v/>
      </c>
      <c r="CU474" s="5">
        <f>INDEX(Projects[Est Cost (M)],473)</f>
        <v/>
      </c>
      <c r="CV474" s="5">
        <f>INDEX(Projects[Act Cost (M)],473)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IF(A475="","",N(INDEX(Projects[Act Mech Inst],474)))</f>
        <v/>
      </c>
      <c r="BK475" s="5">
        <f>IF(A475="","",N(INDEX(Projects[Act Elec Inst],474)))</f>
        <v/>
      </c>
      <c r="BL475" s="5">
        <f>IF(A475="","",N(INDEX(Projects[Act Project Management],474)))</f>
        <v/>
      </c>
      <c r="BM475" s="5">
        <f>IF(A475="","",N(INDEX(Projects[Act Systems Eng],474)))</f>
        <v/>
      </c>
      <c r="BN475" s="5">
        <f>IF(A475="","",N(INDEX(Projects[Act Mechanical Eng],474)))</f>
        <v/>
      </c>
      <c r="BO475" s="5">
        <f>IF(A475="","",N(INDEX(Projects[Act Structural Engineering],474)))</f>
        <v/>
      </c>
      <c r="BP475" s="5">
        <f>IF(A475="","",N(INDEX(Projects[Act Site Sup],474)))</f>
        <v/>
      </c>
      <c r="BQ475" s="5">
        <f>IF(A475="","",N(INDEX(Projects[Act Controls Commissioning],474)))</f>
        <v/>
      </c>
      <c r="BR475" s="5">
        <f>IF(A475="","",N(INDEX(Projects[Act Systems Commissioning],474)))</f>
        <v/>
      </c>
      <c r="BS475" s="5">
        <f>IF(A475="","",N(INDEX(Projects[Act Service Commissioning],474)))</f>
        <v/>
      </c>
      <c r="BT475" s="5">
        <f>IF(A475="","",N(INDEX(Projects[Act Controls Eng],474)))</f>
        <v/>
      </c>
      <c r="BU475" s="5">
        <f>IF(A475="","",N(INDEX(Projects[Act Controls Purchase],474)))</f>
        <v/>
      </c>
      <c r="BV475" s="5">
        <f>IF(A475="","",N(INDEX(Projects[Act Software Eng],474)))</f>
        <v/>
      </c>
      <c r="BW475" s="5">
        <f>IF(A475="","",N(INDEX(Projects[Act 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  <c r="CE475" s="5">
        <f>INDEX(Projects[Act Data Status],474)&amp;""</f>
        <v/>
      </c>
      <c r="CF475" s="5">
        <f>IF(A475="","",N(INDEX(Projects[Est Mech Inst],474)))</f>
        <v/>
      </c>
      <c r="CG475" s="5">
        <f>IF(A475="","",N(INDEX(Projects[Est Elec Inst],474)))</f>
        <v/>
      </c>
      <c r="CH475" s="5">
        <f>IF(A475="","",N(INDEX(Projects[Est Project Management],474)))</f>
        <v/>
      </c>
      <c r="CI475" s="5">
        <f>IF(A475="","",N(INDEX(Projects[Est Systems Eng],474)))</f>
        <v/>
      </c>
      <c r="CJ475" s="5">
        <f>IF(A475="","",N(INDEX(Projects[Est Mechanical Eng],474)))</f>
        <v/>
      </c>
      <c r="CK475" s="5">
        <f>IF(A475="","",N(INDEX(Projects[Est Structural Engineering],474)))</f>
        <v/>
      </c>
      <c r="CL475" s="5">
        <f>IF(A475="","",N(INDEX(Projects[Est Site Sup],474)))</f>
        <v/>
      </c>
      <c r="CM475" s="5">
        <f>IF(A475="","",N(INDEX(Projects[Est Controls Commissioning],474)))</f>
        <v/>
      </c>
      <c r="CN475" s="5">
        <f>IF(A475="","",N(INDEX(Projects[Est Systems Commissioning],474)))</f>
        <v/>
      </c>
      <c r="CO475" s="5">
        <f>IF(A475="","",N(INDEX(Projects[Est Service Commissioning],474)))</f>
        <v/>
      </c>
      <c r="CP475" s="5">
        <f>IF(A475="","",N(INDEX(Projects[Est Controls Eng],474)))</f>
        <v/>
      </c>
      <c r="CQ475" s="5">
        <f>IF(A475="","",N(INDEX(Projects[Est Controls Purchase],474)))</f>
        <v/>
      </c>
      <c r="CR475" s="5">
        <f>IF(A475="","",N(INDEX(Projects[Est Software Eng],474)))</f>
        <v/>
      </c>
      <c r="CS475" s="5">
        <f>IF(A475="","",N(INDEX(Projects[Est Misc],474)))</f>
        <v/>
      </c>
      <c r="CT475" s="5">
        <f>IF(A475="","",SUM(CF475:CS475))</f>
        <v/>
      </c>
      <c r="CU475" s="5">
        <f>INDEX(Projects[Est Cost (M)],474)</f>
        <v/>
      </c>
      <c r="CV475" s="5">
        <f>INDEX(Projects[Act Cost (M)],474)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IF(A476="","",N(INDEX(Projects[Act Mech Inst],475)))</f>
        <v/>
      </c>
      <c r="BK476" s="5">
        <f>IF(A476="","",N(INDEX(Projects[Act Elec Inst],475)))</f>
        <v/>
      </c>
      <c r="BL476" s="5">
        <f>IF(A476="","",N(INDEX(Projects[Act Project Management],475)))</f>
        <v/>
      </c>
      <c r="BM476" s="5">
        <f>IF(A476="","",N(INDEX(Projects[Act Systems Eng],475)))</f>
        <v/>
      </c>
      <c r="BN476" s="5">
        <f>IF(A476="","",N(INDEX(Projects[Act Mechanical Eng],475)))</f>
        <v/>
      </c>
      <c r="BO476" s="5">
        <f>IF(A476="","",N(INDEX(Projects[Act Structural Engineering],475)))</f>
        <v/>
      </c>
      <c r="BP476" s="5">
        <f>IF(A476="","",N(INDEX(Projects[Act Site Sup],475)))</f>
        <v/>
      </c>
      <c r="BQ476" s="5">
        <f>IF(A476="","",N(INDEX(Projects[Act Controls Commissioning],475)))</f>
        <v/>
      </c>
      <c r="BR476" s="5">
        <f>IF(A476="","",N(INDEX(Projects[Act Systems Commissioning],475)))</f>
        <v/>
      </c>
      <c r="BS476" s="5">
        <f>IF(A476="","",N(INDEX(Projects[Act Service Commissioning],475)))</f>
        <v/>
      </c>
      <c r="BT476" s="5">
        <f>IF(A476="","",N(INDEX(Projects[Act Controls Eng],475)))</f>
        <v/>
      </c>
      <c r="BU476" s="5">
        <f>IF(A476="","",N(INDEX(Projects[Act Controls Purchase],475)))</f>
        <v/>
      </c>
      <c r="BV476" s="5">
        <f>IF(A476="","",N(INDEX(Projects[Act Software Eng],475)))</f>
        <v/>
      </c>
      <c r="BW476" s="5">
        <f>IF(A476="","",N(INDEX(Projects[Act 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  <c r="CE476" s="5">
        <f>INDEX(Projects[Act Data Status],475)&amp;""</f>
        <v/>
      </c>
      <c r="CF476" s="5">
        <f>IF(A476="","",N(INDEX(Projects[Est Mech Inst],475)))</f>
        <v/>
      </c>
      <c r="CG476" s="5">
        <f>IF(A476="","",N(INDEX(Projects[Est Elec Inst],475)))</f>
        <v/>
      </c>
      <c r="CH476" s="5">
        <f>IF(A476="","",N(INDEX(Projects[Est Project Management],475)))</f>
        <v/>
      </c>
      <c r="CI476" s="5">
        <f>IF(A476="","",N(INDEX(Projects[Est Systems Eng],475)))</f>
        <v/>
      </c>
      <c r="CJ476" s="5">
        <f>IF(A476="","",N(INDEX(Projects[Est Mechanical Eng],475)))</f>
        <v/>
      </c>
      <c r="CK476" s="5">
        <f>IF(A476="","",N(INDEX(Projects[Est Structural Engineering],475)))</f>
        <v/>
      </c>
      <c r="CL476" s="5">
        <f>IF(A476="","",N(INDEX(Projects[Est Site Sup],475)))</f>
        <v/>
      </c>
      <c r="CM476" s="5">
        <f>IF(A476="","",N(INDEX(Projects[Est Controls Commissioning],475)))</f>
        <v/>
      </c>
      <c r="CN476" s="5">
        <f>IF(A476="","",N(INDEX(Projects[Est Systems Commissioning],475)))</f>
        <v/>
      </c>
      <c r="CO476" s="5">
        <f>IF(A476="","",N(INDEX(Projects[Est Service Commissioning],475)))</f>
        <v/>
      </c>
      <c r="CP476" s="5">
        <f>IF(A476="","",N(INDEX(Projects[Est Controls Eng],475)))</f>
        <v/>
      </c>
      <c r="CQ476" s="5">
        <f>IF(A476="","",N(INDEX(Projects[Est Controls Purchase],475)))</f>
        <v/>
      </c>
      <c r="CR476" s="5">
        <f>IF(A476="","",N(INDEX(Projects[Est Software Eng],475)))</f>
        <v/>
      </c>
      <c r="CS476" s="5">
        <f>IF(A476="","",N(INDEX(Projects[Est Misc],475)))</f>
        <v/>
      </c>
      <c r="CT476" s="5">
        <f>IF(A476="","",SUM(CF476:CS476))</f>
        <v/>
      </c>
      <c r="CU476" s="5">
        <f>INDEX(Projects[Est Cost (M)],475)</f>
        <v/>
      </c>
      <c r="CV476" s="5">
        <f>INDEX(Projects[Act Cost (M)],475)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IF(A477="","",N(INDEX(Projects[Act Mech Inst],476)))</f>
        <v/>
      </c>
      <c r="BK477" s="5">
        <f>IF(A477="","",N(INDEX(Projects[Act Elec Inst],476)))</f>
        <v/>
      </c>
      <c r="BL477" s="5">
        <f>IF(A477="","",N(INDEX(Projects[Act Project Management],476)))</f>
        <v/>
      </c>
      <c r="BM477" s="5">
        <f>IF(A477="","",N(INDEX(Projects[Act Systems Eng],476)))</f>
        <v/>
      </c>
      <c r="BN477" s="5">
        <f>IF(A477="","",N(INDEX(Projects[Act Mechanical Eng],476)))</f>
        <v/>
      </c>
      <c r="BO477" s="5">
        <f>IF(A477="","",N(INDEX(Projects[Act Structural Engineering],476)))</f>
        <v/>
      </c>
      <c r="BP477" s="5">
        <f>IF(A477="","",N(INDEX(Projects[Act Site Sup],476)))</f>
        <v/>
      </c>
      <c r="BQ477" s="5">
        <f>IF(A477="","",N(INDEX(Projects[Act Controls Commissioning],476)))</f>
        <v/>
      </c>
      <c r="BR477" s="5">
        <f>IF(A477="","",N(INDEX(Projects[Act Systems Commissioning],476)))</f>
        <v/>
      </c>
      <c r="BS477" s="5">
        <f>IF(A477="","",N(INDEX(Projects[Act Service Commissioning],476)))</f>
        <v/>
      </c>
      <c r="BT477" s="5">
        <f>IF(A477="","",N(INDEX(Projects[Act Controls Eng],476)))</f>
        <v/>
      </c>
      <c r="BU477" s="5">
        <f>IF(A477="","",N(INDEX(Projects[Act Controls Purchase],476)))</f>
        <v/>
      </c>
      <c r="BV477" s="5">
        <f>IF(A477="","",N(INDEX(Projects[Act Software Eng],476)))</f>
        <v/>
      </c>
      <c r="BW477" s="5">
        <f>IF(A477="","",N(INDEX(Projects[Act 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  <c r="CE477" s="5">
        <f>INDEX(Projects[Act Data Status],476)&amp;""</f>
        <v/>
      </c>
      <c r="CF477" s="5">
        <f>IF(A477="","",N(INDEX(Projects[Est Mech Inst],476)))</f>
        <v/>
      </c>
      <c r="CG477" s="5">
        <f>IF(A477="","",N(INDEX(Projects[Est Elec Inst],476)))</f>
        <v/>
      </c>
      <c r="CH477" s="5">
        <f>IF(A477="","",N(INDEX(Projects[Est Project Management],476)))</f>
        <v/>
      </c>
      <c r="CI477" s="5">
        <f>IF(A477="","",N(INDEX(Projects[Est Systems Eng],476)))</f>
        <v/>
      </c>
      <c r="CJ477" s="5">
        <f>IF(A477="","",N(INDEX(Projects[Est Mechanical Eng],476)))</f>
        <v/>
      </c>
      <c r="CK477" s="5">
        <f>IF(A477="","",N(INDEX(Projects[Est Structural Engineering],476)))</f>
        <v/>
      </c>
      <c r="CL477" s="5">
        <f>IF(A477="","",N(INDEX(Projects[Est Site Sup],476)))</f>
        <v/>
      </c>
      <c r="CM477" s="5">
        <f>IF(A477="","",N(INDEX(Projects[Est Controls Commissioning],476)))</f>
        <v/>
      </c>
      <c r="CN477" s="5">
        <f>IF(A477="","",N(INDEX(Projects[Est Systems Commissioning],476)))</f>
        <v/>
      </c>
      <c r="CO477" s="5">
        <f>IF(A477="","",N(INDEX(Projects[Est Service Commissioning],476)))</f>
        <v/>
      </c>
      <c r="CP477" s="5">
        <f>IF(A477="","",N(INDEX(Projects[Est Controls Eng],476)))</f>
        <v/>
      </c>
      <c r="CQ477" s="5">
        <f>IF(A477="","",N(INDEX(Projects[Est Controls Purchase],476)))</f>
        <v/>
      </c>
      <c r="CR477" s="5">
        <f>IF(A477="","",N(INDEX(Projects[Est Software Eng],476)))</f>
        <v/>
      </c>
      <c r="CS477" s="5">
        <f>IF(A477="","",N(INDEX(Projects[Est Misc],476)))</f>
        <v/>
      </c>
      <c r="CT477" s="5">
        <f>IF(A477="","",SUM(CF477:CS477))</f>
        <v/>
      </c>
      <c r="CU477" s="5">
        <f>INDEX(Projects[Est Cost (M)],476)</f>
        <v/>
      </c>
      <c r="CV477" s="5">
        <f>INDEX(Projects[Act Cost (M)],476)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IF(A478="","",N(INDEX(Projects[Act Mech Inst],477)))</f>
        <v/>
      </c>
      <c r="BK478" s="5">
        <f>IF(A478="","",N(INDEX(Projects[Act Elec Inst],477)))</f>
        <v/>
      </c>
      <c r="BL478" s="5">
        <f>IF(A478="","",N(INDEX(Projects[Act Project Management],477)))</f>
        <v/>
      </c>
      <c r="BM478" s="5">
        <f>IF(A478="","",N(INDEX(Projects[Act Systems Eng],477)))</f>
        <v/>
      </c>
      <c r="BN478" s="5">
        <f>IF(A478="","",N(INDEX(Projects[Act Mechanical Eng],477)))</f>
        <v/>
      </c>
      <c r="BO478" s="5">
        <f>IF(A478="","",N(INDEX(Projects[Act Structural Engineering],477)))</f>
        <v/>
      </c>
      <c r="BP478" s="5">
        <f>IF(A478="","",N(INDEX(Projects[Act Site Sup],477)))</f>
        <v/>
      </c>
      <c r="BQ478" s="5">
        <f>IF(A478="","",N(INDEX(Projects[Act Controls Commissioning],477)))</f>
        <v/>
      </c>
      <c r="BR478" s="5">
        <f>IF(A478="","",N(INDEX(Projects[Act Systems Commissioning],477)))</f>
        <v/>
      </c>
      <c r="BS478" s="5">
        <f>IF(A478="","",N(INDEX(Projects[Act Service Commissioning],477)))</f>
        <v/>
      </c>
      <c r="BT478" s="5">
        <f>IF(A478="","",N(INDEX(Projects[Act Controls Eng],477)))</f>
        <v/>
      </c>
      <c r="BU478" s="5">
        <f>IF(A478="","",N(INDEX(Projects[Act Controls Purchase],477)))</f>
        <v/>
      </c>
      <c r="BV478" s="5">
        <f>IF(A478="","",N(INDEX(Projects[Act Software Eng],477)))</f>
        <v/>
      </c>
      <c r="BW478" s="5">
        <f>IF(A478="","",N(INDEX(Projects[Act 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  <c r="CE478" s="5">
        <f>INDEX(Projects[Act Data Status],477)&amp;""</f>
        <v/>
      </c>
      <c r="CF478" s="5">
        <f>IF(A478="","",N(INDEX(Projects[Est Mech Inst],477)))</f>
        <v/>
      </c>
      <c r="CG478" s="5">
        <f>IF(A478="","",N(INDEX(Projects[Est Elec Inst],477)))</f>
        <v/>
      </c>
      <c r="CH478" s="5">
        <f>IF(A478="","",N(INDEX(Projects[Est Project Management],477)))</f>
        <v/>
      </c>
      <c r="CI478" s="5">
        <f>IF(A478="","",N(INDEX(Projects[Est Systems Eng],477)))</f>
        <v/>
      </c>
      <c r="CJ478" s="5">
        <f>IF(A478="","",N(INDEX(Projects[Est Mechanical Eng],477)))</f>
        <v/>
      </c>
      <c r="CK478" s="5">
        <f>IF(A478="","",N(INDEX(Projects[Est Structural Engineering],477)))</f>
        <v/>
      </c>
      <c r="CL478" s="5">
        <f>IF(A478="","",N(INDEX(Projects[Est Site Sup],477)))</f>
        <v/>
      </c>
      <c r="CM478" s="5">
        <f>IF(A478="","",N(INDEX(Projects[Est Controls Commissioning],477)))</f>
        <v/>
      </c>
      <c r="CN478" s="5">
        <f>IF(A478="","",N(INDEX(Projects[Est Systems Commissioning],477)))</f>
        <v/>
      </c>
      <c r="CO478" s="5">
        <f>IF(A478="","",N(INDEX(Projects[Est Service Commissioning],477)))</f>
        <v/>
      </c>
      <c r="CP478" s="5">
        <f>IF(A478="","",N(INDEX(Projects[Est Controls Eng],477)))</f>
        <v/>
      </c>
      <c r="CQ478" s="5">
        <f>IF(A478="","",N(INDEX(Projects[Est Controls Purchase],477)))</f>
        <v/>
      </c>
      <c r="CR478" s="5">
        <f>IF(A478="","",N(INDEX(Projects[Est Software Eng],477)))</f>
        <v/>
      </c>
      <c r="CS478" s="5">
        <f>IF(A478="","",N(INDEX(Projects[Est Misc],477)))</f>
        <v/>
      </c>
      <c r="CT478" s="5">
        <f>IF(A478="","",SUM(CF478:CS478))</f>
        <v/>
      </c>
      <c r="CU478" s="5">
        <f>INDEX(Projects[Est Cost (M)],477)</f>
        <v/>
      </c>
      <c r="CV478" s="5">
        <f>INDEX(Projects[Act Cost (M)],477)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IF(A479="","",N(INDEX(Projects[Act Mech Inst],478)))</f>
        <v/>
      </c>
      <c r="BK479" s="5">
        <f>IF(A479="","",N(INDEX(Projects[Act Elec Inst],478)))</f>
        <v/>
      </c>
      <c r="BL479" s="5">
        <f>IF(A479="","",N(INDEX(Projects[Act Project Management],478)))</f>
        <v/>
      </c>
      <c r="BM479" s="5">
        <f>IF(A479="","",N(INDEX(Projects[Act Systems Eng],478)))</f>
        <v/>
      </c>
      <c r="BN479" s="5">
        <f>IF(A479="","",N(INDEX(Projects[Act Mechanical Eng],478)))</f>
        <v/>
      </c>
      <c r="BO479" s="5">
        <f>IF(A479="","",N(INDEX(Projects[Act Structural Engineering],478)))</f>
        <v/>
      </c>
      <c r="BP479" s="5">
        <f>IF(A479="","",N(INDEX(Projects[Act Site Sup],478)))</f>
        <v/>
      </c>
      <c r="BQ479" s="5">
        <f>IF(A479="","",N(INDEX(Projects[Act Controls Commissioning],478)))</f>
        <v/>
      </c>
      <c r="BR479" s="5">
        <f>IF(A479="","",N(INDEX(Projects[Act Systems Commissioning],478)))</f>
        <v/>
      </c>
      <c r="BS479" s="5">
        <f>IF(A479="","",N(INDEX(Projects[Act Service Commissioning],478)))</f>
        <v/>
      </c>
      <c r="BT479" s="5">
        <f>IF(A479="","",N(INDEX(Projects[Act Controls Eng],478)))</f>
        <v/>
      </c>
      <c r="BU479" s="5">
        <f>IF(A479="","",N(INDEX(Projects[Act Controls Purchase],478)))</f>
        <v/>
      </c>
      <c r="BV479" s="5">
        <f>IF(A479="","",N(INDEX(Projects[Act Software Eng],478)))</f>
        <v/>
      </c>
      <c r="BW479" s="5">
        <f>IF(A479="","",N(INDEX(Projects[Act 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  <c r="CE479" s="5">
        <f>INDEX(Projects[Act Data Status],478)&amp;""</f>
        <v/>
      </c>
      <c r="CF479" s="5">
        <f>IF(A479="","",N(INDEX(Projects[Est Mech Inst],478)))</f>
        <v/>
      </c>
      <c r="CG479" s="5">
        <f>IF(A479="","",N(INDEX(Projects[Est Elec Inst],478)))</f>
        <v/>
      </c>
      <c r="CH479" s="5">
        <f>IF(A479="","",N(INDEX(Projects[Est Project Management],478)))</f>
        <v/>
      </c>
      <c r="CI479" s="5">
        <f>IF(A479="","",N(INDEX(Projects[Est Systems Eng],478)))</f>
        <v/>
      </c>
      <c r="CJ479" s="5">
        <f>IF(A479="","",N(INDEX(Projects[Est Mechanical Eng],478)))</f>
        <v/>
      </c>
      <c r="CK479" s="5">
        <f>IF(A479="","",N(INDEX(Projects[Est Structural Engineering],478)))</f>
        <v/>
      </c>
      <c r="CL479" s="5">
        <f>IF(A479="","",N(INDEX(Projects[Est Site Sup],478)))</f>
        <v/>
      </c>
      <c r="CM479" s="5">
        <f>IF(A479="","",N(INDEX(Projects[Est Controls Commissioning],478)))</f>
        <v/>
      </c>
      <c r="CN479" s="5">
        <f>IF(A479="","",N(INDEX(Projects[Est Systems Commissioning],478)))</f>
        <v/>
      </c>
      <c r="CO479" s="5">
        <f>IF(A479="","",N(INDEX(Projects[Est Service Commissioning],478)))</f>
        <v/>
      </c>
      <c r="CP479" s="5">
        <f>IF(A479="","",N(INDEX(Projects[Est Controls Eng],478)))</f>
        <v/>
      </c>
      <c r="CQ479" s="5">
        <f>IF(A479="","",N(INDEX(Projects[Est Controls Purchase],478)))</f>
        <v/>
      </c>
      <c r="CR479" s="5">
        <f>IF(A479="","",N(INDEX(Projects[Est Software Eng],478)))</f>
        <v/>
      </c>
      <c r="CS479" s="5">
        <f>IF(A479="","",N(INDEX(Projects[Est Misc],478)))</f>
        <v/>
      </c>
      <c r="CT479" s="5">
        <f>IF(A479="","",SUM(CF479:CS479))</f>
        <v/>
      </c>
      <c r="CU479" s="5">
        <f>INDEX(Projects[Est Cost (M)],478)</f>
        <v/>
      </c>
      <c r="CV479" s="5">
        <f>INDEX(Projects[Act Cost (M)],478)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IF(A480="","",N(INDEX(Projects[Act Mech Inst],479)))</f>
        <v/>
      </c>
      <c r="BK480" s="5">
        <f>IF(A480="","",N(INDEX(Projects[Act Elec Inst],479)))</f>
        <v/>
      </c>
      <c r="BL480" s="5">
        <f>IF(A480="","",N(INDEX(Projects[Act Project Management],479)))</f>
        <v/>
      </c>
      <c r="BM480" s="5">
        <f>IF(A480="","",N(INDEX(Projects[Act Systems Eng],479)))</f>
        <v/>
      </c>
      <c r="BN480" s="5">
        <f>IF(A480="","",N(INDEX(Projects[Act Mechanical Eng],479)))</f>
        <v/>
      </c>
      <c r="BO480" s="5">
        <f>IF(A480="","",N(INDEX(Projects[Act Structural Engineering],479)))</f>
        <v/>
      </c>
      <c r="BP480" s="5">
        <f>IF(A480="","",N(INDEX(Projects[Act Site Sup],479)))</f>
        <v/>
      </c>
      <c r="BQ480" s="5">
        <f>IF(A480="","",N(INDEX(Projects[Act Controls Commissioning],479)))</f>
        <v/>
      </c>
      <c r="BR480" s="5">
        <f>IF(A480="","",N(INDEX(Projects[Act Systems Commissioning],479)))</f>
        <v/>
      </c>
      <c r="BS480" s="5">
        <f>IF(A480="","",N(INDEX(Projects[Act Service Commissioning],479)))</f>
        <v/>
      </c>
      <c r="BT480" s="5">
        <f>IF(A480="","",N(INDEX(Projects[Act Controls Eng],479)))</f>
        <v/>
      </c>
      <c r="BU480" s="5">
        <f>IF(A480="","",N(INDEX(Projects[Act Controls Purchase],479)))</f>
        <v/>
      </c>
      <c r="BV480" s="5">
        <f>IF(A480="","",N(INDEX(Projects[Act Software Eng],479)))</f>
        <v/>
      </c>
      <c r="BW480" s="5">
        <f>IF(A480="","",N(INDEX(Projects[Act 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  <c r="CE480" s="5">
        <f>INDEX(Projects[Act Data Status],479)&amp;""</f>
        <v/>
      </c>
      <c r="CF480" s="5">
        <f>IF(A480="","",N(INDEX(Projects[Est Mech Inst],479)))</f>
        <v/>
      </c>
      <c r="CG480" s="5">
        <f>IF(A480="","",N(INDEX(Projects[Est Elec Inst],479)))</f>
        <v/>
      </c>
      <c r="CH480" s="5">
        <f>IF(A480="","",N(INDEX(Projects[Est Project Management],479)))</f>
        <v/>
      </c>
      <c r="CI480" s="5">
        <f>IF(A480="","",N(INDEX(Projects[Est Systems Eng],479)))</f>
        <v/>
      </c>
      <c r="CJ480" s="5">
        <f>IF(A480="","",N(INDEX(Projects[Est Mechanical Eng],479)))</f>
        <v/>
      </c>
      <c r="CK480" s="5">
        <f>IF(A480="","",N(INDEX(Projects[Est Structural Engineering],479)))</f>
        <v/>
      </c>
      <c r="CL480" s="5">
        <f>IF(A480="","",N(INDEX(Projects[Est Site Sup],479)))</f>
        <v/>
      </c>
      <c r="CM480" s="5">
        <f>IF(A480="","",N(INDEX(Projects[Est Controls Commissioning],479)))</f>
        <v/>
      </c>
      <c r="CN480" s="5">
        <f>IF(A480="","",N(INDEX(Projects[Est Systems Commissioning],479)))</f>
        <v/>
      </c>
      <c r="CO480" s="5">
        <f>IF(A480="","",N(INDEX(Projects[Est Service Commissioning],479)))</f>
        <v/>
      </c>
      <c r="CP480" s="5">
        <f>IF(A480="","",N(INDEX(Projects[Est Controls Eng],479)))</f>
        <v/>
      </c>
      <c r="CQ480" s="5">
        <f>IF(A480="","",N(INDEX(Projects[Est Controls Purchase],479)))</f>
        <v/>
      </c>
      <c r="CR480" s="5">
        <f>IF(A480="","",N(INDEX(Projects[Est Software Eng],479)))</f>
        <v/>
      </c>
      <c r="CS480" s="5">
        <f>IF(A480="","",N(INDEX(Projects[Est Misc],479)))</f>
        <v/>
      </c>
      <c r="CT480" s="5">
        <f>IF(A480="","",SUM(CF480:CS480))</f>
        <v/>
      </c>
      <c r="CU480" s="5">
        <f>INDEX(Projects[Est Cost (M)],479)</f>
        <v/>
      </c>
      <c r="CV480" s="5">
        <f>INDEX(Projects[Act Cost (M)],479)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IF(A481="","",N(INDEX(Projects[Act Mech Inst],480)))</f>
        <v/>
      </c>
      <c r="BK481" s="5">
        <f>IF(A481="","",N(INDEX(Projects[Act Elec Inst],480)))</f>
        <v/>
      </c>
      <c r="BL481" s="5">
        <f>IF(A481="","",N(INDEX(Projects[Act Project Management],480)))</f>
        <v/>
      </c>
      <c r="BM481" s="5">
        <f>IF(A481="","",N(INDEX(Projects[Act Systems Eng],480)))</f>
        <v/>
      </c>
      <c r="BN481" s="5">
        <f>IF(A481="","",N(INDEX(Projects[Act Mechanical Eng],480)))</f>
        <v/>
      </c>
      <c r="BO481" s="5">
        <f>IF(A481="","",N(INDEX(Projects[Act Structural Engineering],480)))</f>
        <v/>
      </c>
      <c r="BP481" s="5">
        <f>IF(A481="","",N(INDEX(Projects[Act Site Sup],480)))</f>
        <v/>
      </c>
      <c r="BQ481" s="5">
        <f>IF(A481="","",N(INDEX(Projects[Act Controls Commissioning],480)))</f>
        <v/>
      </c>
      <c r="BR481" s="5">
        <f>IF(A481="","",N(INDEX(Projects[Act Systems Commissioning],480)))</f>
        <v/>
      </c>
      <c r="BS481" s="5">
        <f>IF(A481="","",N(INDEX(Projects[Act Service Commissioning],480)))</f>
        <v/>
      </c>
      <c r="BT481" s="5">
        <f>IF(A481="","",N(INDEX(Projects[Act Controls Eng],480)))</f>
        <v/>
      </c>
      <c r="BU481" s="5">
        <f>IF(A481="","",N(INDEX(Projects[Act Controls Purchase],480)))</f>
        <v/>
      </c>
      <c r="BV481" s="5">
        <f>IF(A481="","",N(INDEX(Projects[Act Software Eng],480)))</f>
        <v/>
      </c>
      <c r="BW481" s="5">
        <f>IF(A481="","",N(INDEX(Projects[Act 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  <c r="CE481" s="5">
        <f>INDEX(Projects[Act Data Status],480)&amp;""</f>
        <v/>
      </c>
      <c r="CF481" s="5">
        <f>IF(A481="","",N(INDEX(Projects[Est Mech Inst],480)))</f>
        <v/>
      </c>
      <c r="CG481" s="5">
        <f>IF(A481="","",N(INDEX(Projects[Est Elec Inst],480)))</f>
        <v/>
      </c>
      <c r="CH481" s="5">
        <f>IF(A481="","",N(INDEX(Projects[Est Project Management],480)))</f>
        <v/>
      </c>
      <c r="CI481" s="5">
        <f>IF(A481="","",N(INDEX(Projects[Est Systems Eng],480)))</f>
        <v/>
      </c>
      <c r="CJ481" s="5">
        <f>IF(A481="","",N(INDEX(Projects[Est Mechanical Eng],480)))</f>
        <v/>
      </c>
      <c r="CK481" s="5">
        <f>IF(A481="","",N(INDEX(Projects[Est Structural Engineering],480)))</f>
        <v/>
      </c>
      <c r="CL481" s="5">
        <f>IF(A481="","",N(INDEX(Projects[Est Site Sup],480)))</f>
        <v/>
      </c>
      <c r="CM481" s="5">
        <f>IF(A481="","",N(INDEX(Projects[Est Controls Commissioning],480)))</f>
        <v/>
      </c>
      <c r="CN481" s="5">
        <f>IF(A481="","",N(INDEX(Projects[Est Systems Commissioning],480)))</f>
        <v/>
      </c>
      <c r="CO481" s="5">
        <f>IF(A481="","",N(INDEX(Projects[Est Service Commissioning],480)))</f>
        <v/>
      </c>
      <c r="CP481" s="5">
        <f>IF(A481="","",N(INDEX(Projects[Est Controls Eng],480)))</f>
        <v/>
      </c>
      <c r="CQ481" s="5">
        <f>IF(A481="","",N(INDEX(Projects[Est Controls Purchase],480)))</f>
        <v/>
      </c>
      <c r="CR481" s="5">
        <f>IF(A481="","",N(INDEX(Projects[Est Software Eng],480)))</f>
        <v/>
      </c>
      <c r="CS481" s="5">
        <f>IF(A481="","",N(INDEX(Projects[Est Misc],480)))</f>
        <v/>
      </c>
      <c r="CT481" s="5">
        <f>IF(A481="","",SUM(CF481:CS481))</f>
        <v/>
      </c>
      <c r="CU481" s="5">
        <f>INDEX(Projects[Est Cost (M)],480)</f>
        <v/>
      </c>
      <c r="CV481" s="5">
        <f>INDEX(Projects[Act Cost (M)],480)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IF(A482="","",N(INDEX(Projects[Act Mech Inst],481)))</f>
        <v/>
      </c>
      <c r="BK482" s="5">
        <f>IF(A482="","",N(INDEX(Projects[Act Elec Inst],481)))</f>
        <v/>
      </c>
      <c r="BL482" s="5">
        <f>IF(A482="","",N(INDEX(Projects[Act Project Management],481)))</f>
        <v/>
      </c>
      <c r="BM482" s="5">
        <f>IF(A482="","",N(INDEX(Projects[Act Systems Eng],481)))</f>
        <v/>
      </c>
      <c r="BN482" s="5">
        <f>IF(A482="","",N(INDEX(Projects[Act Mechanical Eng],481)))</f>
        <v/>
      </c>
      <c r="BO482" s="5">
        <f>IF(A482="","",N(INDEX(Projects[Act Structural Engineering],481)))</f>
        <v/>
      </c>
      <c r="BP482" s="5">
        <f>IF(A482="","",N(INDEX(Projects[Act Site Sup],481)))</f>
        <v/>
      </c>
      <c r="BQ482" s="5">
        <f>IF(A482="","",N(INDEX(Projects[Act Controls Commissioning],481)))</f>
        <v/>
      </c>
      <c r="BR482" s="5">
        <f>IF(A482="","",N(INDEX(Projects[Act Systems Commissioning],481)))</f>
        <v/>
      </c>
      <c r="BS482" s="5">
        <f>IF(A482="","",N(INDEX(Projects[Act Service Commissioning],481)))</f>
        <v/>
      </c>
      <c r="BT482" s="5">
        <f>IF(A482="","",N(INDEX(Projects[Act Controls Eng],481)))</f>
        <v/>
      </c>
      <c r="BU482" s="5">
        <f>IF(A482="","",N(INDEX(Projects[Act Controls Purchase],481)))</f>
        <v/>
      </c>
      <c r="BV482" s="5">
        <f>IF(A482="","",N(INDEX(Projects[Act Software Eng],481)))</f>
        <v/>
      </c>
      <c r="BW482" s="5">
        <f>IF(A482="","",N(INDEX(Projects[Act 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  <c r="CE482" s="5">
        <f>INDEX(Projects[Act Data Status],481)&amp;""</f>
        <v/>
      </c>
      <c r="CF482" s="5">
        <f>IF(A482="","",N(INDEX(Projects[Est Mech Inst],481)))</f>
        <v/>
      </c>
      <c r="CG482" s="5">
        <f>IF(A482="","",N(INDEX(Projects[Est Elec Inst],481)))</f>
        <v/>
      </c>
      <c r="CH482" s="5">
        <f>IF(A482="","",N(INDEX(Projects[Est Project Management],481)))</f>
        <v/>
      </c>
      <c r="CI482" s="5">
        <f>IF(A482="","",N(INDEX(Projects[Est Systems Eng],481)))</f>
        <v/>
      </c>
      <c r="CJ482" s="5">
        <f>IF(A482="","",N(INDEX(Projects[Est Mechanical Eng],481)))</f>
        <v/>
      </c>
      <c r="CK482" s="5">
        <f>IF(A482="","",N(INDEX(Projects[Est Structural Engineering],481)))</f>
        <v/>
      </c>
      <c r="CL482" s="5">
        <f>IF(A482="","",N(INDEX(Projects[Est Site Sup],481)))</f>
        <v/>
      </c>
      <c r="CM482" s="5">
        <f>IF(A482="","",N(INDEX(Projects[Est Controls Commissioning],481)))</f>
        <v/>
      </c>
      <c r="CN482" s="5">
        <f>IF(A482="","",N(INDEX(Projects[Est Systems Commissioning],481)))</f>
        <v/>
      </c>
      <c r="CO482" s="5">
        <f>IF(A482="","",N(INDEX(Projects[Est Service Commissioning],481)))</f>
        <v/>
      </c>
      <c r="CP482" s="5">
        <f>IF(A482="","",N(INDEX(Projects[Est Controls Eng],481)))</f>
        <v/>
      </c>
      <c r="CQ482" s="5">
        <f>IF(A482="","",N(INDEX(Projects[Est Controls Purchase],481)))</f>
        <v/>
      </c>
      <c r="CR482" s="5">
        <f>IF(A482="","",N(INDEX(Projects[Est Software Eng],481)))</f>
        <v/>
      </c>
      <c r="CS482" s="5">
        <f>IF(A482="","",N(INDEX(Projects[Est Misc],481)))</f>
        <v/>
      </c>
      <c r="CT482" s="5">
        <f>IF(A482="","",SUM(CF482:CS482))</f>
        <v/>
      </c>
      <c r="CU482" s="5">
        <f>INDEX(Projects[Est Cost (M)],481)</f>
        <v/>
      </c>
      <c r="CV482" s="5">
        <f>INDEX(Projects[Act Cost (M)],481)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IF(A483="","",N(INDEX(Projects[Act Mech Inst],482)))</f>
        <v/>
      </c>
      <c r="BK483" s="5">
        <f>IF(A483="","",N(INDEX(Projects[Act Elec Inst],482)))</f>
        <v/>
      </c>
      <c r="BL483" s="5">
        <f>IF(A483="","",N(INDEX(Projects[Act Project Management],482)))</f>
        <v/>
      </c>
      <c r="BM483" s="5">
        <f>IF(A483="","",N(INDEX(Projects[Act Systems Eng],482)))</f>
        <v/>
      </c>
      <c r="BN483" s="5">
        <f>IF(A483="","",N(INDEX(Projects[Act Mechanical Eng],482)))</f>
        <v/>
      </c>
      <c r="BO483" s="5">
        <f>IF(A483="","",N(INDEX(Projects[Act Structural Engineering],482)))</f>
        <v/>
      </c>
      <c r="BP483" s="5">
        <f>IF(A483="","",N(INDEX(Projects[Act Site Sup],482)))</f>
        <v/>
      </c>
      <c r="BQ483" s="5">
        <f>IF(A483="","",N(INDEX(Projects[Act Controls Commissioning],482)))</f>
        <v/>
      </c>
      <c r="BR483" s="5">
        <f>IF(A483="","",N(INDEX(Projects[Act Systems Commissioning],482)))</f>
        <v/>
      </c>
      <c r="BS483" s="5">
        <f>IF(A483="","",N(INDEX(Projects[Act Service Commissioning],482)))</f>
        <v/>
      </c>
      <c r="BT483" s="5">
        <f>IF(A483="","",N(INDEX(Projects[Act Controls Eng],482)))</f>
        <v/>
      </c>
      <c r="BU483" s="5">
        <f>IF(A483="","",N(INDEX(Projects[Act Controls Purchase],482)))</f>
        <v/>
      </c>
      <c r="BV483" s="5">
        <f>IF(A483="","",N(INDEX(Projects[Act Software Eng],482)))</f>
        <v/>
      </c>
      <c r="BW483" s="5">
        <f>IF(A483="","",N(INDEX(Projects[Act 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  <c r="CE483" s="5">
        <f>INDEX(Projects[Act Data Status],482)&amp;""</f>
        <v/>
      </c>
      <c r="CF483" s="5">
        <f>IF(A483="","",N(INDEX(Projects[Est Mech Inst],482)))</f>
        <v/>
      </c>
      <c r="CG483" s="5">
        <f>IF(A483="","",N(INDEX(Projects[Est Elec Inst],482)))</f>
        <v/>
      </c>
      <c r="CH483" s="5">
        <f>IF(A483="","",N(INDEX(Projects[Est Project Management],482)))</f>
        <v/>
      </c>
      <c r="CI483" s="5">
        <f>IF(A483="","",N(INDEX(Projects[Est Systems Eng],482)))</f>
        <v/>
      </c>
      <c r="CJ483" s="5">
        <f>IF(A483="","",N(INDEX(Projects[Est Mechanical Eng],482)))</f>
        <v/>
      </c>
      <c r="CK483" s="5">
        <f>IF(A483="","",N(INDEX(Projects[Est Structural Engineering],482)))</f>
        <v/>
      </c>
      <c r="CL483" s="5">
        <f>IF(A483="","",N(INDEX(Projects[Est Site Sup],482)))</f>
        <v/>
      </c>
      <c r="CM483" s="5">
        <f>IF(A483="","",N(INDEX(Projects[Est Controls Commissioning],482)))</f>
        <v/>
      </c>
      <c r="CN483" s="5">
        <f>IF(A483="","",N(INDEX(Projects[Est Systems Commissioning],482)))</f>
        <v/>
      </c>
      <c r="CO483" s="5">
        <f>IF(A483="","",N(INDEX(Projects[Est Service Commissioning],482)))</f>
        <v/>
      </c>
      <c r="CP483" s="5">
        <f>IF(A483="","",N(INDEX(Projects[Est Controls Eng],482)))</f>
        <v/>
      </c>
      <c r="CQ483" s="5">
        <f>IF(A483="","",N(INDEX(Projects[Est Controls Purchase],482)))</f>
        <v/>
      </c>
      <c r="CR483" s="5">
        <f>IF(A483="","",N(INDEX(Projects[Est Software Eng],482)))</f>
        <v/>
      </c>
      <c r="CS483" s="5">
        <f>IF(A483="","",N(INDEX(Projects[Est Misc],482)))</f>
        <v/>
      </c>
      <c r="CT483" s="5">
        <f>IF(A483="","",SUM(CF483:CS483))</f>
        <v/>
      </c>
      <c r="CU483" s="5">
        <f>INDEX(Projects[Est Cost (M)],482)</f>
        <v/>
      </c>
      <c r="CV483" s="5">
        <f>INDEX(Projects[Act Cost (M)],482)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IF(A484="","",N(INDEX(Projects[Act Mech Inst],483)))</f>
        <v/>
      </c>
      <c r="BK484" s="5">
        <f>IF(A484="","",N(INDEX(Projects[Act Elec Inst],483)))</f>
        <v/>
      </c>
      <c r="BL484" s="5">
        <f>IF(A484="","",N(INDEX(Projects[Act Project Management],483)))</f>
        <v/>
      </c>
      <c r="BM484" s="5">
        <f>IF(A484="","",N(INDEX(Projects[Act Systems Eng],483)))</f>
        <v/>
      </c>
      <c r="BN484" s="5">
        <f>IF(A484="","",N(INDEX(Projects[Act Mechanical Eng],483)))</f>
        <v/>
      </c>
      <c r="BO484" s="5">
        <f>IF(A484="","",N(INDEX(Projects[Act Structural Engineering],483)))</f>
        <v/>
      </c>
      <c r="BP484" s="5">
        <f>IF(A484="","",N(INDEX(Projects[Act Site Sup],483)))</f>
        <v/>
      </c>
      <c r="BQ484" s="5">
        <f>IF(A484="","",N(INDEX(Projects[Act Controls Commissioning],483)))</f>
        <v/>
      </c>
      <c r="BR484" s="5">
        <f>IF(A484="","",N(INDEX(Projects[Act Systems Commissioning],483)))</f>
        <v/>
      </c>
      <c r="BS484" s="5">
        <f>IF(A484="","",N(INDEX(Projects[Act Service Commissioning],483)))</f>
        <v/>
      </c>
      <c r="BT484" s="5">
        <f>IF(A484="","",N(INDEX(Projects[Act Controls Eng],483)))</f>
        <v/>
      </c>
      <c r="BU484" s="5">
        <f>IF(A484="","",N(INDEX(Projects[Act Controls Purchase],483)))</f>
        <v/>
      </c>
      <c r="BV484" s="5">
        <f>IF(A484="","",N(INDEX(Projects[Act Software Eng],483)))</f>
        <v/>
      </c>
      <c r="BW484" s="5">
        <f>IF(A484="","",N(INDEX(Projects[Act 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  <c r="CE484" s="5">
        <f>INDEX(Projects[Act Data Status],483)&amp;""</f>
        <v/>
      </c>
      <c r="CF484" s="5">
        <f>IF(A484="","",N(INDEX(Projects[Est Mech Inst],483)))</f>
        <v/>
      </c>
      <c r="CG484" s="5">
        <f>IF(A484="","",N(INDEX(Projects[Est Elec Inst],483)))</f>
        <v/>
      </c>
      <c r="CH484" s="5">
        <f>IF(A484="","",N(INDEX(Projects[Est Project Management],483)))</f>
        <v/>
      </c>
      <c r="CI484" s="5">
        <f>IF(A484="","",N(INDEX(Projects[Est Systems Eng],483)))</f>
        <v/>
      </c>
      <c r="CJ484" s="5">
        <f>IF(A484="","",N(INDEX(Projects[Est Mechanical Eng],483)))</f>
        <v/>
      </c>
      <c r="CK484" s="5">
        <f>IF(A484="","",N(INDEX(Projects[Est Structural Engineering],483)))</f>
        <v/>
      </c>
      <c r="CL484" s="5">
        <f>IF(A484="","",N(INDEX(Projects[Est Site Sup],483)))</f>
        <v/>
      </c>
      <c r="CM484" s="5">
        <f>IF(A484="","",N(INDEX(Projects[Est Controls Commissioning],483)))</f>
        <v/>
      </c>
      <c r="CN484" s="5">
        <f>IF(A484="","",N(INDEX(Projects[Est Systems Commissioning],483)))</f>
        <v/>
      </c>
      <c r="CO484" s="5">
        <f>IF(A484="","",N(INDEX(Projects[Est Service Commissioning],483)))</f>
        <v/>
      </c>
      <c r="CP484" s="5">
        <f>IF(A484="","",N(INDEX(Projects[Est Controls Eng],483)))</f>
        <v/>
      </c>
      <c r="CQ484" s="5">
        <f>IF(A484="","",N(INDEX(Projects[Est Controls Purchase],483)))</f>
        <v/>
      </c>
      <c r="CR484" s="5">
        <f>IF(A484="","",N(INDEX(Projects[Est Software Eng],483)))</f>
        <v/>
      </c>
      <c r="CS484" s="5">
        <f>IF(A484="","",N(INDEX(Projects[Est Misc],483)))</f>
        <v/>
      </c>
      <c r="CT484" s="5">
        <f>IF(A484="","",SUM(CF484:CS484))</f>
        <v/>
      </c>
      <c r="CU484" s="5">
        <f>INDEX(Projects[Est Cost (M)],483)</f>
        <v/>
      </c>
      <c r="CV484" s="5">
        <f>INDEX(Projects[Act Cost (M)],483)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IF(A485="","",N(INDEX(Projects[Act Mech Inst],484)))</f>
        <v/>
      </c>
      <c r="BK485" s="5">
        <f>IF(A485="","",N(INDEX(Projects[Act Elec Inst],484)))</f>
        <v/>
      </c>
      <c r="BL485" s="5">
        <f>IF(A485="","",N(INDEX(Projects[Act Project Management],484)))</f>
        <v/>
      </c>
      <c r="BM485" s="5">
        <f>IF(A485="","",N(INDEX(Projects[Act Systems Eng],484)))</f>
        <v/>
      </c>
      <c r="BN485" s="5">
        <f>IF(A485="","",N(INDEX(Projects[Act Mechanical Eng],484)))</f>
        <v/>
      </c>
      <c r="BO485" s="5">
        <f>IF(A485="","",N(INDEX(Projects[Act Structural Engineering],484)))</f>
        <v/>
      </c>
      <c r="BP485" s="5">
        <f>IF(A485="","",N(INDEX(Projects[Act Site Sup],484)))</f>
        <v/>
      </c>
      <c r="BQ485" s="5">
        <f>IF(A485="","",N(INDEX(Projects[Act Controls Commissioning],484)))</f>
        <v/>
      </c>
      <c r="BR485" s="5">
        <f>IF(A485="","",N(INDEX(Projects[Act Systems Commissioning],484)))</f>
        <v/>
      </c>
      <c r="BS485" s="5">
        <f>IF(A485="","",N(INDEX(Projects[Act Service Commissioning],484)))</f>
        <v/>
      </c>
      <c r="BT485" s="5">
        <f>IF(A485="","",N(INDEX(Projects[Act Controls Eng],484)))</f>
        <v/>
      </c>
      <c r="BU485" s="5">
        <f>IF(A485="","",N(INDEX(Projects[Act Controls Purchase],484)))</f>
        <v/>
      </c>
      <c r="BV485" s="5">
        <f>IF(A485="","",N(INDEX(Projects[Act Software Eng],484)))</f>
        <v/>
      </c>
      <c r="BW485" s="5">
        <f>IF(A485="","",N(INDEX(Projects[Act 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  <c r="CE485" s="5">
        <f>INDEX(Projects[Act Data Status],484)&amp;""</f>
        <v/>
      </c>
      <c r="CF485" s="5">
        <f>IF(A485="","",N(INDEX(Projects[Est Mech Inst],484)))</f>
        <v/>
      </c>
      <c r="CG485" s="5">
        <f>IF(A485="","",N(INDEX(Projects[Est Elec Inst],484)))</f>
        <v/>
      </c>
      <c r="CH485" s="5">
        <f>IF(A485="","",N(INDEX(Projects[Est Project Management],484)))</f>
        <v/>
      </c>
      <c r="CI485" s="5">
        <f>IF(A485="","",N(INDEX(Projects[Est Systems Eng],484)))</f>
        <v/>
      </c>
      <c r="CJ485" s="5">
        <f>IF(A485="","",N(INDEX(Projects[Est Mechanical Eng],484)))</f>
        <v/>
      </c>
      <c r="CK485" s="5">
        <f>IF(A485="","",N(INDEX(Projects[Est Structural Engineering],484)))</f>
        <v/>
      </c>
      <c r="CL485" s="5">
        <f>IF(A485="","",N(INDEX(Projects[Est Site Sup],484)))</f>
        <v/>
      </c>
      <c r="CM485" s="5">
        <f>IF(A485="","",N(INDEX(Projects[Est Controls Commissioning],484)))</f>
        <v/>
      </c>
      <c r="CN485" s="5">
        <f>IF(A485="","",N(INDEX(Projects[Est Systems Commissioning],484)))</f>
        <v/>
      </c>
      <c r="CO485" s="5">
        <f>IF(A485="","",N(INDEX(Projects[Est Service Commissioning],484)))</f>
        <v/>
      </c>
      <c r="CP485" s="5">
        <f>IF(A485="","",N(INDEX(Projects[Est Controls Eng],484)))</f>
        <v/>
      </c>
      <c r="CQ485" s="5">
        <f>IF(A485="","",N(INDEX(Projects[Est Controls Purchase],484)))</f>
        <v/>
      </c>
      <c r="CR485" s="5">
        <f>IF(A485="","",N(INDEX(Projects[Est Software Eng],484)))</f>
        <v/>
      </c>
      <c r="CS485" s="5">
        <f>IF(A485="","",N(INDEX(Projects[Est Misc],484)))</f>
        <v/>
      </c>
      <c r="CT485" s="5">
        <f>IF(A485="","",SUM(CF485:CS485))</f>
        <v/>
      </c>
      <c r="CU485" s="5">
        <f>INDEX(Projects[Est Cost (M)],484)</f>
        <v/>
      </c>
      <c r="CV485" s="5">
        <f>INDEX(Projects[Act Cost (M)],484)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IF(A486="","",N(INDEX(Projects[Act Mech Inst],485)))</f>
        <v/>
      </c>
      <c r="BK486" s="5">
        <f>IF(A486="","",N(INDEX(Projects[Act Elec Inst],485)))</f>
        <v/>
      </c>
      <c r="BL486" s="5">
        <f>IF(A486="","",N(INDEX(Projects[Act Project Management],485)))</f>
        <v/>
      </c>
      <c r="BM486" s="5">
        <f>IF(A486="","",N(INDEX(Projects[Act Systems Eng],485)))</f>
        <v/>
      </c>
      <c r="BN486" s="5">
        <f>IF(A486="","",N(INDEX(Projects[Act Mechanical Eng],485)))</f>
        <v/>
      </c>
      <c r="BO486" s="5">
        <f>IF(A486="","",N(INDEX(Projects[Act Structural Engineering],485)))</f>
        <v/>
      </c>
      <c r="BP486" s="5">
        <f>IF(A486="","",N(INDEX(Projects[Act Site Sup],485)))</f>
        <v/>
      </c>
      <c r="BQ486" s="5">
        <f>IF(A486="","",N(INDEX(Projects[Act Controls Commissioning],485)))</f>
        <v/>
      </c>
      <c r="BR486" s="5">
        <f>IF(A486="","",N(INDEX(Projects[Act Systems Commissioning],485)))</f>
        <v/>
      </c>
      <c r="BS486" s="5">
        <f>IF(A486="","",N(INDEX(Projects[Act Service Commissioning],485)))</f>
        <v/>
      </c>
      <c r="BT486" s="5">
        <f>IF(A486="","",N(INDEX(Projects[Act Controls Eng],485)))</f>
        <v/>
      </c>
      <c r="BU486" s="5">
        <f>IF(A486="","",N(INDEX(Projects[Act Controls Purchase],485)))</f>
        <v/>
      </c>
      <c r="BV486" s="5">
        <f>IF(A486="","",N(INDEX(Projects[Act Software Eng],485)))</f>
        <v/>
      </c>
      <c r="BW486" s="5">
        <f>IF(A486="","",N(INDEX(Projects[Act 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  <c r="CE486" s="5">
        <f>INDEX(Projects[Act Data Status],485)&amp;""</f>
        <v/>
      </c>
      <c r="CF486" s="5">
        <f>IF(A486="","",N(INDEX(Projects[Est Mech Inst],485)))</f>
        <v/>
      </c>
      <c r="CG486" s="5">
        <f>IF(A486="","",N(INDEX(Projects[Est Elec Inst],485)))</f>
        <v/>
      </c>
      <c r="CH486" s="5">
        <f>IF(A486="","",N(INDEX(Projects[Est Project Management],485)))</f>
        <v/>
      </c>
      <c r="CI486" s="5">
        <f>IF(A486="","",N(INDEX(Projects[Est Systems Eng],485)))</f>
        <v/>
      </c>
      <c r="CJ486" s="5">
        <f>IF(A486="","",N(INDEX(Projects[Est Mechanical Eng],485)))</f>
        <v/>
      </c>
      <c r="CK486" s="5">
        <f>IF(A486="","",N(INDEX(Projects[Est Structural Engineering],485)))</f>
        <v/>
      </c>
      <c r="CL486" s="5">
        <f>IF(A486="","",N(INDEX(Projects[Est Site Sup],485)))</f>
        <v/>
      </c>
      <c r="CM486" s="5">
        <f>IF(A486="","",N(INDEX(Projects[Est Controls Commissioning],485)))</f>
        <v/>
      </c>
      <c r="CN486" s="5">
        <f>IF(A486="","",N(INDEX(Projects[Est Systems Commissioning],485)))</f>
        <v/>
      </c>
      <c r="CO486" s="5">
        <f>IF(A486="","",N(INDEX(Projects[Est Service Commissioning],485)))</f>
        <v/>
      </c>
      <c r="CP486" s="5">
        <f>IF(A486="","",N(INDEX(Projects[Est Controls Eng],485)))</f>
        <v/>
      </c>
      <c r="CQ486" s="5">
        <f>IF(A486="","",N(INDEX(Projects[Est Controls Purchase],485)))</f>
        <v/>
      </c>
      <c r="CR486" s="5">
        <f>IF(A486="","",N(INDEX(Projects[Est Software Eng],485)))</f>
        <v/>
      </c>
      <c r="CS486" s="5">
        <f>IF(A486="","",N(INDEX(Projects[Est Misc],485)))</f>
        <v/>
      </c>
      <c r="CT486" s="5">
        <f>IF(A486="","",SUM(CF486:CS486))</f>
        <v/>
      </c>
      <c r="CU486" s="5">
        <f>INDEX(Projects[Est Cost (M)],485)</f>
        <v/>
      </c>
      <c r="CV486" s="5">
        <f>INDEX(Projects[Act Cost (M)],485)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IF(A487="","",N(INDEX(Projects[Act Mech Inst],486)))</f>
        <v/>
      </c>
      <c r="BK487" s="5">
        <f>IF(A487="","",N(INDEX(Projects[Act Elec Inst],486)))</f>
        <v/>
      </c>
      <c r="BL487" s="5">
        <f>IF(A487="","",N(INDEX(Projects[Act Project Management],486)))</f>
        <v/>
      </c>
      <c r="BM487" s="5">
        <f>IF(A487="","",N(INDEX(Projects[Act Systems Eng],486)))</f>
        <v/>
      </c>
      <c r="BN487" s="5">
        <f>IF(A487="","",N(INDEX(Projects[Act Mechanical Eng],486)))</f>
        <v/>
      </c>
      <c r="BO487" s="5">
        <f>IF(A487="","",N(INDEX(Projects[Act Structural Engineering],486)))</f>
        <v/>
      </c>
      <c r="BP487" s="5">
        <f>IF(A487="","",N(INDEX(Projects[Act Site Sup],486)))</f>
        <v/>
      </c>
      <c r="BQ487" s="5">
        <f>IF(A487="","",N(INDEX(Projects[Act Controls Commissioning],486)))</f>
        <v/>
      </c>
      <c r="BR487" s="5">
        <f>IF(A487="","",N(INDEX(Projects[Act Systems Commissioning],486)))</f>
        <v/>
      </c>
      <c r="BS487" s="5">
        <f>IF(A487="","",N(INDEX(Projects[Act Service Commissioning],486)))</f>
        <v/>
      </c>
      <c r="BT487" s="5">
        <f>IF(A487="","",N(INDEX(Projects[Act Controls Eng],486)))</f>
        <v/>
      </c>
      <c r="BU487" s="5">
        <f>IF(A487="","",N(INDEX(Projects[Act Controls Purchase],486)))</f>
        <v/>
      </c>
      <c r="BV487" s="5">
        <f>IF(A487="","",N(INDEX(Projects[Act Software Eng],486)))</f>
        <v/>
      </c>
      <c r="BW487" s="5">
        <f>IF(A487="","",N(INDEX(Projects[Act 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  <c r="CE487" s="5">
        <f>INDEX(Projects[Act Data Status],486)&amp;""</f>
        <v/>
      </c>
      <c r="CF487" s="5">
        <f>IF(A487="","",N(INDEX(Projects[Est Mech Inst],486)))</f>
        <v/>
      </c>
      <c r="CG487" s="5">
        <f>IF(A487="","",N(INDEX(Projects[Est Elec Inst],486)))</f>
        <v/>
      </c>
      <c r="CH487" s="5">
        <f>IF(A487="","",N(INDEX(Projects[Est Project Management],486)))</f>
        <v/>
      </c>
      <c r="CI487" s="5">
        <f>IF(A487="","",N(INDEX(Projects[Est Systems Eng],486)))</f>
        <v/>
      </c>
      <c r="CJ487" s="5">
        <f>IF(A487="","",N(INDEX(Projects[Est Mechanical Eng],486)))</f>
        <v/>
      </c>
      <c r="CK487" s="5">
        <f>IF(A487="","",N(INDEX(Projects[Est Structural Engineering],486)))</f>
        <v/>
      </c>
      <c r="CL487" s="5">
        <f>IF(A487="","",N(INDEX(Projects[Est Site Sup],486)))</f>
        <v/>
      </c>
      <c r="CM487" s="5">
        <f>IF(A487="","",N(INDEX(Projects[Est Controls Commissioning],486)))</f>
        <v/>
      </c>
      <c r="CN487" s="5">
        <f>IF(A487="","",N(INDEX(Projects[Est Systems Commissioning],486)))</f>
        <v/>
      </c>
      <c r="CO487" s="5">
        <f>IF(A487="","",N(INDEX(Projects[Est Service Commissioning],486)))</f>
        <v/>
      </c>
      <c r="CP487" s="5">
        <f>IF(A487="","",N(INDEX(Projects[Est Controls Eng],486)))</f>
        <v/>
      </c>
      <c r="CQ487" s="5">
        <f>IF(A487="","",N(INDEX(Projects[Est Controls Purchase],486)))</f>
        <v/>
      </c>
      <c r="CR487" s="5">
        <f>IF(A487="","",N(INDEX(Projects[Est Software Eng],486)))</f>
        <v/>
      </c>
      <c r="CS487" s="5">
        <f>IF(A487="","",N(INDEX(Projects[Est Misc],486)))</f>
        <v/>
      </c>
      <c r="CT487" s="5">
        <f>IF(A487="","",SUM(CF487:CS487))</f>
        <v/>
      </c>
      <c r="CU487" s="5">
        <f>INDEX(Projects[Est Cost (M)],486)</f>
        <v/>
      </c>
      <c r="CV487" s="5">
        <f>INDEX(Projects[Act Cost (M)],486)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IF(A488="","",N(INDEX(Projects[Act Mech Inst],487)))</f>
        <v/>
      </c>
      <c r="BK488" s="5">
        <f>IF(A488="","",N(INDEX(Projects[Act Elec Inst],487)))</f>
        <v/>
      </c>
      <c r="BL488" s="5">
        <f>IF(A488="","",N(INDEX(Projects[Act Project Management],487)))</f>
        <v/>
      </c>
      <c r="BM488" s="5">
        <f>IF(A488="","",N(INDEX(Projects[Act Systems Eng],487)))</f>
        <v/>
      </c>
      <c r="BN488" s="5">
        <f>IF(A488="","",N(INDEX(Projects[Act Mechanical Eng],487)))</f>
        <v/>
      </c>
      <c r="BO488" s="5">
        <f>IF(A488="","",N(INDEX(Projects[Act Structural Engineering],487)))</f>
        <v/>
      </c>
      <c r="BP488" s="5">
        <f>IF(A488="","",N(INDEX(Projects[Act Site Sup],487)))</f>
        <v/>
      </c>
      <c r="BQ488" s="5">
        <f>IF(A488="","",N(INDEX(Projects[Act Controls Commissioning],487)))</f>
        <v/>
      </c>
      <c r="BR488" s="5">
        <f>IF(A488="","",N(INDEX(Projects[Act Systems Commissioning],487)))</f>
        <v/>
      </c>
      <c r="BS488" s="5">
        <f>IF(A488="","",N(INDEX(Projects[Act Service Commissioning],487)))</f>
        <v/>
      </c>
      <c r="BT488" s="5">
        <f>IF(A488="","",N(INDEX(Projects[Act Controls Eng],487)))</f>
        <v/>
      </c>
      <c r="BU488" s="5">
        <f>IF(A488="","",N(INDEX(Projects[Act Controls Purchase],487)))</f>
        <v/>
      </c>
      <c r="BV488" s="5">
        <f>IF(A488="","",N(INDEX(Projects[Act Software Eng],487)))</f>
        <v/>
      </c>
      <c r="BW488" s="5">
        <f>IF(A488="","",N(INDEX(Projects[Act 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  <c r="CE488" s="5">
        <f>INDEX(Projects[Act Data Status],487)&amp;""</f>
        <v/>
      </c>
      <c r="CF488" s="5">
        <f>IF(A488="","",N(INDEX(Projects[Est Mech Inst],487)))</f>
        <v/>
      </c>
      <c r="CG488" s="5">
        <f>IF(A488="","",N(INDEX(Projects[Est Elec Inst],487)))</f>
        <v/>
      </c>
      <c r="CH488" s="5">
        <f>IF(A488="","",N(INDEX(Projects[Est Project Management],487)))</f>
        <v/>
      </c>
      <c r="CI488" s="5">
        <f>IF(A488="","",N(INDEX(Projects[Est Systems Eng],487)))</f>
        <v/>
      </c>
      <c r="CJ488" s="5">
        <f>IF(A488="","",N(INDEX(Projects[Est Mechanical Eng],487)))</f>
        <v/>
      </c>
      <c r="CK488" s="5">
        <f>IF(A488="","",N(INDEX(Projects[Est Structural Engineering],487)))</f>
        <v/>
      </c>
      <c r="CL488" s="5">
        <f>IF(A488="","",N(INDEX(Projects[Est Site Sup],487)))</f>
        <v/>
      </c>
      <c r="CM488" s="5">
        <f>IF(A488="","",N(INDEX(Projects[Est Controls Commissioning],487)))</f>
        <v/>
      </c>
      <c r="CN488" s="5">
        <f>IF(A488="","",N(INDEX(Projects[Est Systems Commissioning],487)))</f>
        <v/>
      </c>
      <c r="CO488" s="5">
        <f>IF(A488="","",N(INDEX(Projects[Est Service Commissioning],487)))</f>
        <v/>
      </c>
      <c r="CP488" s="5">
        <f>IF(A488="","",N(INDEX(Projects[Est Controls Eng],487)))</f>
        <v/>
      </c>
      <c r="CQ488" s="5">
        <f>IF(A488="","",N(INDEX(Projects[Est Controls Purchase],487)))</f>
        <v/>
      </c>
      <c r="CR488" s="5">
        <f>IF(A488="","",N(INDEX(Projects[Est Software Eng],487)))</f>
        <v/>
      </c>
      <c r="CS488" s="5">
        <f>IF(A488="","",N(INDEX(Projects[Est Misc],487)))</f>
        <v/>
      </c>
      <c r="CT488" s="5">
        <f>IF(A488="","",SUM(CF488:CS488))</f>
        <v/>
      </c>
      <c r="CU488" s="5">
        <f>INDEX(Projects[Est Cost (M)],487)</f>
        <v/>
      </c>
      <c r="CV488" s="5">
        <f>INDEX(Projects[Act Cost (M)],487)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IF(A489="","",N(INDEX(Projects[Act Mech Inst],488)))</f>
        <v/>
      </c>
      <c r="BK489" s="5">
        <f>IF(A489="","",N(INDEX(Projects[Act Elec Inst],488)))</f>
        <v/>
      </c>
      <c r="BL489" s="5">
        <f>IF(A489="","",N(INDEX(Projects[Act Project Management],488)))</f>
        <v/>
      </c>
      <c r="BM489" s="5">
        <f>IF(A489="","",N(INDEX(Projects[Act Systems Eng],488)))</f>
        <v/>
      </c>
      <c r="BN489" s="5">
        <f>IF(A489="","",N(INDEX(Projects[Act Mechanical Eng],488)))</f>
        <v/>
      </c>
      <c r="BO489" s="5">
        <f>IF(A489="","",N(INDEX(Projects[Act Structural Engineering],488)))</f>
        <v/>
      </c>
      <c r="BP489" s="5">
        <f>IF(A489="","",N(INDEX(Projects[Act Site Sup],488)))</f>
        <v/>
      </c>
      <c r="BQ489" s="5">
        <f>IF(A489="","",N(INDEX(Projects[Act Controls Commissioning],488)))</f>
        <v/>
      </c>
      <c r="BR489" s="5">
        <f>IF(A489="","",N(INDEX(Projects[Act Systems Commissioning],488)))</f>
        <v/>
      </c>
      <c r="BS489" s="5">
        <f>IF(A489="","",N(INDEX(Projects[Act Service Commissioning],488)))</f>
        <v/>
      </c>
      <c r="BT489" s="5">
        <f>IF(A489="","",N(INDEX(Projects[Act Controls Eng],488)))</f>
        <v/>
      </c>
      <c r="BU489" s="5">
        <f>IF(A489="","",N(INDEX(Projects[Act Controls Purchase],488)))</f>
        <v/>
      </c>
      <c r="BV489" s="5">
        <f>IF(A489="","",N(INDEX(Projects[Act Software Eng],488)))</f>
        <v/>
      </c>
      <c r="BW489" s="5">
        <f>IF(A489="","",N(INDEX(Projects[Act 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  <c r="CE489" s="5">
        <f>INDEX(Projects[Act Data Status],488)&amp;""</f>
        <v/>
      </c>
      <c r="CF489" s="5">
        <f>IF(A489="","",N(INDEX(Projects[Est Mech Inst],488)))</f>
        <v/>
      </c>
      <c r="CG489" s="5">
        <f>IF(A489="","",N(INDEX(Projects[Est Elec Inst],488)))</f>
        <v/>
      </c>
      <c r="CH489" s="5">
        <f>IF(A489="","",N(INDEX(Projects[Est Project Management],488)))</f>
        <v/>
      </c>
      <c r="CI489" s="5">
        <f>IF(A489="","",N(INDEX(Projects[Est Systems Eng],488)))</f>
        <v/>
      </c>
      <c r="CJ489" s="5">
        <f>IF(A489="","",N(INDEX(Projects[Est Mechanical Eng],488)))</f>
        <v/>
      </c>
      <c r="CK489" s="5">
        <f>IF(A489="","",N(INDEX(Projects[Est Structural Engineering],488)))</f>
        <v/>
      </c>
      <c r="CL489" s="5">
        <f>IF(A489="","",N(INDEX(Projects[Est Site Sup],488)))</f>
        <v/>
      </c>
      <c r="CM489" s="5">
        <f>IF(A489="","",N(INDEX(Projects[Est Controls Commissioning],488)))</f>
        <v/>
      </c>
      <c r="CN489" s="5">
        <f>IF(A489="","",N(INDEX(Projects[Est Systems Commissioning],488)))</f>
        <v/>
      </c>
      <c r="CO489" s="5">
        <f>IF(A489="","",N(INDEX(Projects[Est Service Commissioning],488)))</f>
        <v/>
      </c>
      <c r="CP489" s="5">
        <f>IF(A489="","",N(INDEX(Projects[Est Controls Eng],488)))</f>
        <v/>
      </c>
      <c r="CQ489" s="5">
        <f>IF(A489="","",N(INDEX(Projects[Est Controls Purchase],488)))</f>
        <v/>
      </c>
      <c r="CR489" s="5">
        <f>IF(A489="","",N(INDEX(Projects[Est Software Eng],488)))</f>
        <v/>
      </c>
      <c r="CS489" s="5">
        <f>IF(A489="","",N(INDEX(Projects[Est Misc],488)))</f>
        <v/>
      </c>
      <c r="CT489" s="5">
        <f>IF(A489="","",SUM(CF489:CS489))</f>
        <v/>
      </c>
      <c r="CU489" s="5">
        <f>INDEX(Projects[Est Cost (M)],488)</f>
        <v/>
      </c>
      <c r="CV489" s="5">
        <f>INDEX(Projects[Act Cost (M)],488)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IF(A490="","",N(INDEX(Projects[Act Mech Inst],489)))</f>
        <v/>
      </c>
      <c r="BK490" s="5">
        <f>IF(A490="","",N(INDEX(Projects[Act Elec Inst],489)))</f>
        <v/>
      </c>
      <c r="BL490" s="5">
        <f>IF(A490="","",N(INDEX(Projects[Act Project Management],489)))</f>
        <v/>
      </c>
      <c r="BM490" s="5">
        <f>IF(A490="","",N(INDEX(Projects[Act Systems Eng],489)))</f>
        <v/>
      </c>
      <c r="BN490" s="5">
        <f>IF(A490="","",N(INDEX(Projects[Act Mechanical Eng],489)))</f>
        <v/>
      </c>
      <c r="BO490" s="5">
        <f>IF(A490="","",N(INDEX(Projects[Act Structural Engineering],489)))</f>
        <v/>
      </c>
      <c r="BP490" s="5">
        <f>IF(A490="","",N(INDEX(Projects[Act Site Sup],489)))</f>
        <v/>
      </c>
      <c r="BQ490" s="5">
        <f>IF(A490="","",N(INDEX(Projects[Act Controls Commissioning],489)))</f>
        <v/>
      </c>
      <c r="BR490" s="5">
        <f>IF(A490="","",N(INDEX(Projects[Act Systems Commissioning],489)))</f>
        <v/>
      </c>
      <c r="BS490" s="5">
        <f>IF(A490="","",N(INDEX(Projects[Act Service Commissioning],489)))</f>
        <v/>
      </c>
      <c r="BT490" s="5">
        <f>IF(A490="","",N(INDEX(Projects[Act Controls Eng],489)))</f>
        <v/>
      </c>
      <c r="BU490" s="5">
        <f>IF(A490="","",N(INDEX(Projects[Act Controls Purchase],489)))</f>
        <v/>
      </c>
      <c r="BV490" s="5">
        <f>IF(A490="","",N(INDEX(Projects[Act Software Eng],489)))</f>
        <v/>
      </c>
      <c r="BW490" s="5">
        <f>IF(A490="","",N(INDEX(Projects[Act 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  <c r="CE490" s="5">
        <f>INDEX(Projects[Act Data Status],489)&amp;""</f>
        <v/>
      </c>
      <c r="CF490" s="5">
        <f>IF(A490="","",N(INDEX(Projects[Est Mech Inst],489)))</f>
        <v/>
      </c>
      <c r="CG490" s="5">
        <f>IF(A490="","",N(INDEX(Projects[Est Elec Inst],489)))</f>
        <v/>
      </c>
      <c r="CH490" s="5">
        <f>IF(A490="","",N(INDEX(Projects[Est Project Management],489)))</f>
        <v/>
      </c>
      <c r="CI490" s="5">
        <f>IF(A490="","",N(INDEX(Projects[Est Systems Eng],489)))</f>
        <v/>
      </c>
      <c r="CJ490" s="5">
        <f>IF(A490="","",N(INDEX(Projects[Est Mechanical Eng],489)))</f>
        <v/>
      </c>
      <c r="CK490" s="5">
        <f>IF(A490="","",N(INDEX(Projects[Est Structural Engineering],489)))</f>
        <v/>
      </c>
      <c r="CL490" s="5">
        <f>IF(A490="","",N(INDEX(Projects[Est Site Sup],489)))</f>
        <v/>
      </c>
      <c r="CM490" s="5">
        <f>IF(A490="","",N(INDEX(Projects[Est Controls Commissioning],489)))</f>
        <v/>
      </c>
      <c r="CN490" s="5">
        <f>IF(A490="","",N(INDEX(Projects[Est Systems Commissioning],489)))</f>
        <v/>
      </c>
      <c r="CO490" s="5">
        <f>IF(A490="","",N(INDEX(Projects[Est Service Commissioning],489)))</f>
        <v/>
      </c>
      <c r="CP490" s="5">
        <f>IF(A490="","",N(INDEX(Projects[Est Controls Eng],489)))</f>
        <v/>
      </c>
      <c r="CQ490" s="5">
        <f>IF(A490="","",N(INDEX(Projects[Est Controls Purchase],489)))</f>
        <v/>
      </c>
      <c r="CR490" s="5">
        <f>IF(A490="","",N(INDEX(Projects[Est Software Eng],489)))</f>
        <v/>
      </c>
      <c r="CS490" s="5">
        <f>IF(A490="","",N(INDEX(Projects[Est Misc],489)))</f>
        <v/>
      </c>
      <c r="CT490" s="5">
        <f>IF(A490="","",SUM(CF490:CS490))</f>
        <v/>
      </c>
      <c r="CU490" s="5">
        <f>INDEX(Projects[Est Cost (M)],489)</f>
        <v/>
      </c>
      <c r="CV490" s="5">
        <f>INDEX(Projects[Act Cost (M)],489)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IF(A491="","",N(INDEX(Projects[Act Mech Inst],490)))</f>
        <v/>
      </c>
      <c r="BK491" s="5">
        <f>IF(A491="","",N(INDEX(Projects[Act Elec Inst],490)))</f>
        <v/>
      </c>
      <c r="BL491" s="5">
        <f>IF(A491="","",N(INDEX(Projects[Act Project Management],490)))</f>
        <v/>
      </c>
      <c r="BM491" s="5">
        <f>IF(A491="","",N(INDEX(Projects[Act Systems Eng],490)))</f>
        <v/>
      </c>
      <c r="BN491" s="5">
        <f>IF(A491="","",N(INDEX(Projects[Act Mechanical Eng],490)))</f>
        <v/>
      </c>
      <c r="BO491" s="5">
        <f>IF(A491="","",N(INDEX(Projects[Act Structural Engineering],490)))</f>
        <v/>
      </c>
      <c r="BP491" s="5">
        <f>IF(A491="","",N(INDEX(Projects[Act Site Sup],490)))</f>
        <v/>
      </c>
      <c r="BQ491" s="5">
        <f>IF(A491="","",N(INDEX(Projects[Act Controls Commissioning],490)))</f>
        <v/>
      </c>
      <c r="BR491" s="5">
        <f>IF(A491="","",N(INDEX(Projects[Act Systems Commissioning],490)))</f>
        <v/>
      </c>
      <c r="BS491" s="5">
        <f>IF(A491="","",N(INDEX(Projects[Act Service Commissioning],490)))</f>
        <v/>
      </c>
      <c r="BT491" s="5">
        <f>IF(A491="","",N(INDEX(Projects[Act Controls Eng],490)))</f>
        <v/>
      </c>
      <c r="BU491" s="5">
        <f>IF(A491="","",N(INDEX(Projects[Act Controls Purchase],490)))</f>
        <v/>
      </c>
      <c r="BV491" s="5">
        <f>IF(A491="","",N(INDEX(Projects[Act Software Eng],490)))</f>
        <v/>
      </c>
      <c r="BW491" s="5">
        <f>IF(A491="","",N(INDEX(Projects[Act 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  <c r="CE491" s="5">
        <f>INDEX(Projects[Act Data Status],490)&amp;""</f>
        <v/>
      </c>
      <c r="CF491" s="5">
        <f>IF(A491="","",N(INDEX(Projects[Est Mech Inst],490)))</f>
        <v/>
      </c>
      <c r="CG491" s="5">
        <f>IF(A491="","",N(INDEX(Projects[Est Elec Inst],490)))</f>
        <v/>
      </c>
      <c r="CH491" s="5">
        <f>IF(A491="","",N(INDEX(Projects[Est Project Management],490)))</f>
        <v/>
      </c>
      <c r="CI491" s="5">
        <f>IF(A491="","",N(INDEX(Projects[Est Systems Eng],490)))</f>
        <v/>
      </c>
      <c r="CJ491" s="5">
        <f>IF(A491="","",N(INDEX(Projects[Est Mechanical Eng],490)))</f>
        <v/>
      </c>
      <c r="CK491" s="5">
        <f>IF(A491="","",N(INDEX(Projects[Est Structural Engineering],490)))</f>
        <v/>
      </c>
      <c r="CL491" s="5">
        <f>IF(A491="","",N(INDEX(Projects[Est Site Sup],490)))</f>
        <v/>
      </c>
      <c r="CM491" s="5">
        <f>IF(A491="","",N(INDEX(Projects[Est Controls Commissioning],490)))</f>
        <v/>
      </c>
      <c r="CN491" s="5">
        <f>IF(A491="","",N(INDEX(Projects[Est Systems Commissioning],490)))</f>
        <v/>
      </c>
      <c r="CO491" s="5">
        <f>IF(A491="","",N(INDEX(Projects[Est Service Commissioning],490)))</f>
        <v/>
      </c>
      <c r="CP491" s="5">
        <f>IF(A491="","",N(INDEX(Projects[Est Controls Eng],490)))</f>
        <v/>
      </c>
      <c r="CQ491" s="5">
        <f>IF(A491="","",N(INDEX(Projects[Est Controls Purchase],490)))</f>
        <v/>
      </c>
      <c r="CR491" s="5">
        <f>IF(A491="","",N(INDEX(Projects[Est Software Eng],490)))</f>
        <v/>
      </c>
      <c r="CS491" s="5">
        <f>IF(A491="","",N(INDEX(Projects[Est Misc],490)))</f>
        <v/>
      </c>
      <c r="CT491" s="5">
        <f>IF(A491="","",SUM(CF491:CS491))</f>
        <v/>
      </c>
      <c r="CU491" s="5">
        <f>INDEX(Projects[Est Cost (M)],490)</f>
        <v/>
      </c>
      <c r="CV491" s="5">
        <f>INDEX(Projects[Act Cost (M)],490)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IF(A492="","",N(INDEX(Projects[Act Mech Inst],491)))</f>
        <v/>
      </c>
      <c r="BK492" s="5">
        <f>IF(A492="","",N(INDEX(Projects[Act Elec Inst],491)))</f>
        <v/>
      </c>
      <c r="BL492" s="5">
        <f>IF(A492="","",N(INDEX(Projects[Act Project Management],491)))</f>
        <v/>
      </c>
      <c r="BM492" s="5">
        <f>IF(A492="","",N(INDEX(Projects[Act Systems Eng],491)))</f>
        <v/>
      </c>
      <c r="BN492" s="5">
        <f>IF(A492="","",N(INDEX(Projects[Act Mechanical Eng],491)))</f>
        <v/>
      </c>
      <c r="BO492" s="5">
        <f>IF(A492="","",N(INDEX(Projects[Act Structural Engineering],491)))</f>
        <v/>
      </c>
      <c r="BP492" s="5">
        <f>IF(A492="","",N(INDEX(Projects[Act Site Sup],491)))</f>
        <v/>
      </c>
      <c r="BQ492" s="5">
        <f>IF(A492="","",N(INDEX(Projects[Act Controls Commissioning],491)))</f>
        <v/>
      </c>
      <c r="BR492" s="5">
        <f>IF(A492="","",N(INDEX(Projects[Act Systems Commissioning],491)))</f>
        <v/>
      </c>
      <c r="BS492" s="5">
        <f>IF(A492="","",N(INDEX(Projects[Act Service Commissioning],491)))</f>
        <v/>
      </c>
      <c r="BT492" s="5">
        <f>IF(A492="","",N(INDEX(Projects[Act Controls Eng],491)))</f>
        <v/>
      </c>
      <c r="BU492" s="5">
        <f>IF(A492="","",N(INDEX(Projects[Act Controls Purchase],491)))</f>
        <v/>
      </c>
      <c r="BV492" s="5">
        <f>IF(A492="","",N(INDEX(Projects[Act Software Eng],491)))</f>
        <v/>
      </c>
      <c r="BW492" s="5">
        <f>IF(A492="","",N(INDEX(Projects[Act 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  <c r="CE492" s="5">
        <f>INDEX(Projects[Act Data Status],491)&amp;""</f>
        <v/>
      </c>
      <c r="CF492" s="5">
        <f>IF(A492="","",N(INDEX(Projects[Est Mech Inst],491)))</f>
        <v/>
      </c>
      <c r="CG492" s="5">
        <f>IF(A492="","",N(INDEX(Projects[Est Elec Inst],491)))</f>
        <v/>
      </c>
      <c r="CH492" s="5">
        <f>IF(A492="","",N(INDEX(Projects[Est Project Management],491)))</f>
        <v/>
      </c>
      <c r="CI492" s="5">
        <f>IF(A492="","",N(INDEX(Projects[Est Systems Eng],491)))</f>
        <v/>
      </c>
      <c r="CJ492" s="5">
        <f>IF(A492="","",N(INDEX(Projects[Est Mechanical Eng],491)))</f>
        <v/>
      </c>
      <c r="CK492" s="5">
        <f>IF(A492="","",N(INDEX(Projects[Est Structural Engineering],491)))</f>
        <v/>
      </c>
      <c r="CL492" s="5">
        <f>IF(A492="","",N(INDEX(Projects[Est Site Sup],491)))</f>
        <v/>
      </c>
      <c r="CM492" s="5">
        <f>IF(A492="","",N(INDEX(Projects[Est Controls Commissioning],491)))</f>
        <v/>
      </c>
      <c r="CN492" s="5">
        <f>IF(A492="","",N(INDEX(Projects[Est Systems Commissioning],491)))</f>
        <v/>
      </c>
      <c r="CO492" s="5">
        <f>IF(A492="","",N(INDEX(Projects[Est Service Commissioning],491)))</f>
        <v/>
      </c>
      <c r="CP492" s="5">
        <f>IF(A492="","",N(INDEX(Projects[Est Controls Eng],491)))</f>
        <v/>
      </c>
      <c r="CQ492" s="5">
        <f>IF(A492="","",N(INDEX(Projects[Est Controls Purchase],491)))</f>
        <v/>
      </c>
      <c r="CR492" s="5">
        <f>IF(A492="","",N(INDEX(Projects[Est Software Eng],491)))</f>
        <v/>
      </c>
      <c r="CS492" s="5">
        <f>IF(A492="","",N(INDEX(Projects[Est Misc],491)))</f>
        <v/>
      </c>
      <c r="CT492" s="5">
        <f>IF(A492="","",SUM(CF492:CS492))</f>
        <v/>
      </c>
      <c r="CU492" s="5">
        <f>INDEX(Projects[Est Cost (M)],491)</f>
        <v/>
      </c>
      <c r="CV492" s="5">
        <f>INDEX(Projects[Act Cost (M)],491)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IF(A493="","",N(INDEX(Projects[Act Mech Inst],492)))</f>
        <v/>
      </c>
      <c r="BK493" s="5">
        <f>IF(A493="","",N(INDEX(Projects[Act Elec Inst],492)))</f>
        <v/>
      </c>
      <c r="BL493" s="5">
        <f>IF(A493="","",N(INDEX(Projects[Act Project Management],492)))</f>
        <v/>
      </c>
      <c r="BM493" s="5">
        <f>IF(A493="","",N(INDEX(Projects[Act Systems Eng],492)))</f>
        <v/>
      </c>
      <c r="BN493" s="5">
        <f>IF(A493="","",N(INDEX(Projects[Act Mechanical Eng],492)))</f>
        <v/>
      </c>
      <c r="BO493" s="5">
        <f>IF(A493="","",N(INDEX(Projects[Act Structural Engineering],492)))</f>
        <v/>
      </c>
      <c r="BP493" s="5">
        <f>IF(A493="","",N(INDEX(Projects[Act Site Sup],492)))</f>
        <v/>
      </c>
      <c r="BQ493" s="5">
        <f>IF(A493="","",N(INDEX(Projects[Act Controls Commissioning],492)))</f>
        <v/>
      </c>
      <c r="BR493" s="5">
        <f>IF(A493="","",N(INDEX(Projects[Act Systems Commissioning],492)))</f>
        <v/>
      </c>
      <c r="BS493" s="5">
        <f>IF(A493="","",N(INDEX(Projects[Act Service Commissioning],492)))</f>
        <v/>
      </c>
      <c r="BT493" s="5">
        <f>IF(A493="","",N(INDEX(Projects[Act Controls Eng],492)))</f>
        <v/>
      </c>
      <c r="BU493" s="5">
        <f>IF(A493="","",N(INDEX(Projects[Act Controls Purchase],492)))</f>
        <v/>
      </c>
      <c r="BV493" s="5">
        <f>IF(A493="","",N(INDEX(Projects[Act Software Eng],492)))</f>
        <v/>
      </c>
      <c r="BW493" s="5">
        <f>IF(A493="","",N(INDEX(Projects[Act 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  <c r="CE493" s="5">
        <f>INDEX(Projects[Act Data Status],492)&amp;""</f>
        <v/>
      </c>
      <c r="CF493" s="5">
        <f>IF(A493="","",N(INDEX(Projects[Est Mech Inst],492)))</f>
        <v/>
      </c>
      <c r="CG493" s="5">
        <f>IF(A493="","",N(INDEX(Projects[Est Elec Inst],492)))</f>
        <v/>
      </c>
      <c r="CH493" s="5">
        <f>IF(A493="","",N(INDEX(Projects[Est Project Management],492)))</f>
        <v/>
      </c>
      <c r="CI493" s="5">
        <f>IF(A493="","",N(INDEX(Projects[Est Systems Eng],492)))</f>
        <v/>
      </c>
      <c r="CJ493" s="5">
        <f>IF(A493="","",N(INDEX(Projects[Est Mechanical Eng],492)))</f>
        <v/>
      </c>
      <c r="CK493" s="5">
        <f>IF(A493="","",N(INDEX(Projects[Est Structural Engineering],492)))</f>
        <v/>
      </c>
      <c r="CL493" s="5">
        <f>IF(A493="","",N(INDEX(Projects[Est Site Sup],492)))</f>
        <v/>
      </c>
      <c r="CM493" s="5">
        <f>IF(A493="","",N(INDEX(Projects[Est Controls Commissioning],492)))</f>
        <v/>
      </c>
      <c r="CN493" s="5">
        <f>IF(A493="","",N(INDEX(Projects[Est Systems Commissioning],492)))</f>
        <v/>
      </c>
      <c r="CO493" s="5">
        <f>IF(A493="","",N(INDEX(Projects[Est Service Commissioning],492)))</f>
        <v/>
      </c>
      <c r="CP493" s="5">
        <f>IF(A493="","",N(INDEX(Projects[Est Controls Eng],492)))</f>
        <v/>
      </c>
      <c r="CQ493" s="5">
        <f>IF(A493="","",N(INDEX(Projects[Est Controls Purchase],492)))</f>
        <v/>
      </c>
      <c r="CR493" s="5">
        <f>IF(A493="","",N(INDEX(Projects[Est Software Eng],492)))</f>
        <v/>
      </c>
      <c r="CS493" s="5">
        <f>IF(A493="","",N(INDEX(Projects[Est Misc],492)))</f>
        <v/>
      </c>
      <c r="CT493" s="5">
        <f>IF(A493="","",SUM(CF493:CS493))</f>
        <v/>
      </c>
      <c r="CU493" s="5">
        <f>INDEX(Projects[Est Cost (M)],492)</f>
        <v/>
      </c>
      <c r="CV493" s="5">
        <f>INDEX(Projects[Act Cost (M)],492)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IF(A494="","",N(INDEX(Projects[Act Mech Inst],493)))</f>
        <v/>
      </c>
      <c r="BK494" s="5">
        <f>IF(A494="","",N(INDEX(Projects[Act Elec Inst],493)))</f>
        <v/>
      </c>
      <c r="BL494" s="5">
        <f>IF(A494="","",N(INDEX(Projects[Act Project Management],493)))</f>
        <v/>
      </c>
      <c r="BM494" s="5">
        <f>IF(A494="","",N(INDEX(Projects[Act Systems Eng],493)))</f>
        <v/>
      </c>
      <c r="BN494" s="5">
        <f>IF(A494="","",N(INDEX(Projects[Act Mechanical Eng],493)))</f>
        <v/>
      </c>
      <c r="BO494" s="5">
        <f>IF(A494="","",N(INDEX(Projects[Act Structural Engineering],493)))</f>
        <v/>
      </c>
      <c r="BP494" s="5">
        <f>IF(A494="","",N(INDEX(Projects[Act Site Sup],493)))</f>
        <v/>
      </c>
      <c r="BQ494" s="5">
        <f>IF(A494="","",N(INDEX(Projects[Act Controls Commissioning],493)))</f>
        <v/>
      </c>
      <c r="BR494" s="5">
        <f>IF(A494="","",N(INDEX(Projects[Act Systems Commissioning],493)))</f>
        <v/>
      </c>
      <c r="BS494" s="5">
        <f>IF(A494="","",N(INDEX(Projects[Act Service Commissioning],493)))</f>
        <v/>
      </c>
      <c r="BT494" s="5">
        <f>IF(A494="","",N(INDEX(Projects[Act Controls Eng],493)))</f>
        <v/>
      </c>
      <c r="BU494" s="5">
        <f>IF(A494="","",N(INDEX(Projects[Act Controls Purchase],493)))</f>
        <v/>
      </c>
      <c r="BV494" s="5">
        <f>IF(A494="","",N(INDEX(Projects[Act Software Eng],493)))</f>
        <v/>
      </c>
      <c r="BW494" s="5">
        <f>IF(A494="","",N(INDEX(Projects[Act 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  <c r="CE494" s="5">
        <f>INDEX(Projects[Act Data Status],493)&amp;""</f>
        <v/>
      </c>
      <c r="CF494" s="5">
        <f>IF(A494="","",N(INDEX(Projects[Est Mech Inst],493)))</f>
        <v/>
      </c>
      <c r="CG494" s="5">
        <f>IF(A494="","",N(INDEX(Projects[Est Elec Inst],493)))</f>
        <v/>
      </c>
      <c r="CH494" s="5">
        <f>IF(A494="","",N(INDEX(Projects[Est Project Management],493)))</f>
        <v/>
      </c>
      <c r="CI494" s="5">
        <f>IF(A494="","",N(INDEX(Projects[Est Systems Eng],493)))</f>
        <v/>
      </c>
      <c r="CJ494" s="5">
        <f>IF(A494="","",N(INDEX(Projects[Est Mechanical Eng],493)))</f>
        <v/>
      </c>
      <c r="CK494" s="5">
        <f>IF(A494="","",N(INDEX(Projects[Est Structural Engineering],493)))</f>
        <v/>
      </c>
      <c r="CL494" s="5">
        <f>IF(A494="","",N(INDEX(Projects[Est Site Sup],493)))</f>
        <v/>
      </c>
      <c r="CM494" s="5">
        <f>IF(A494="","",N(INDEX(Projects[Est Controls Commissioning],493)))</f>
        <v/>
      </c>
      <c r="CN494" s="5">
        <f>IF(A494="","",N(INDEX(Projects[Est Systems Commissioning],493)))</f>
        <v/>
      </c>
      <c r="CO494" s="5">
        <f>IF(A494="","",N(INDEX(Projects[Est Service Commissioning],493)))</f>
        <v/>
      </c>
      <c r="CP494" s="5">
        <f>IF(A494="","",N(INDEX(Projects[Est Controls Eng],493)))</f>
        <v/>
      </c>
      <c r="CQ494" s="5">
        <f>IF(A494="","",N(INDEX(Projects[Est Controls Purchase],493)))</f>
        <v/>
      </c>
      <c r="CR494" s="5">
        <f>IF(A494="","",N(INDEX(Projects[Est Software Eng],493)))</f>
        <v/>
      </c>
      <c r="CS494" s="5">
        <f>IF(A494="","",N(INDEX(Projects[Est Misc],493)))</f>
        <v/>
      </c>
      <c r="CT494" s="5">
        <f>IF(A494="","",SUM(CF494:CS494))</f>
        <v/>
      </c>
      <c r="CU494" s="5">
        <f>INDEX(Projects[Est Cost (M)],493)</f>
        <v/>
      </c>
      <c r="CV494" s="5">
        <f>INDEX(Projects[Act Cost (M)],493)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IF(A495="","",N(INDEX(Projects[Act Mech Inst],494)))</f>
        <v/>
      </c>
      <c r="BK495" s="5">
        <f>IF(A495="","",N(INDEX(Projects[Act Elec Inst],494)))</f>
        <v/>
      </c>
      <c r="BL495" s="5">
        <f>IF(A495="","",N(INDEX(Projects[Act Project Management],494)))</f>
        <v/>
      </c>
      <c r="BM495" s="5">
        <f>IF(A495="","",N(INDEX(Projects[Act Systems Eng],494)))</f>
        <v/>
      </c>
      <c r="BN495" s="5">
        <f>IF(A495="","",N(INDEX(Projects[Act Mechanical Eng],494)))</f>
        <v/>
      </c>
      <c r="BO495" s="5">
        <f>IF(A495="","",N(INDEX(Projects[Act Structural Engineering],494)))</f>
        <v/>
      </c>
      <c r="BP495" s="5">
        <f>IF(A495="","",N(INDEX(Projects[Act Site Sup],494)))</f>
        <v/>
      </c>
      <c r="BQ495" s="5">
        <f>IF(A495="","",N(INDEX(Projects[Act Controls Commissioning],494)))</f>
        <v/>
      </c>
      <c r="BR495" s="5">
        <f>IF(A495="","",N(INDEX(Projects[Act Systems Commissioning],494)))</f>
        <v/>
      </c>
      <c r="BS495" s="5">
        <f>IF(A495="","",N(INDEX(Projects[Act Service Commissioning],494)))</f>
        <v/>
      </c>
      <c r="BT495" s="5">
        <f>IF(A495="","",N(INDEX(Projects[Act Controls Eng],494)))</f>
        <v/>
      </c>
      <c r="BU495" s="5">
        <f>IF(A495="","",N(INDEX(Projects[Act Controls Purchase],494)))</f>
        <v/>
      </c>
      <c r="BV495" s="5">
        <f>IF(A495="","",N(INDEX(Projects[Act Software Eng],494)))</f>
        <v/>
      </c>
      <c r="BW495" s="5">
        <f>IF(A495="","",N(INDEX(Projects[Act 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  <c r="CE495" s="5">
        <f>INDEX(Projects[Act Data Status],494)&amp;""</f>
        <v/>
      </c>
      <c r="CF495" s="5">
        <f>IF(A495="","",N(INDEX(Projects[Est Mech Inst],494)))</f>
        <v/>
      </c>
      <c r="CG495" s="5">
        <f>IF(A495="","",N(INDEX(Projects[Est Elec Inst],494)))</f>
        <v/>
      </c>
      <c r="CH495" s="5">
        <f>IF(A495="","",N(INDEX(Projects[Est Project Management],494)))</f>
        <v/>
      </c>
      <c r="CI495" s="5">
        <f>IF(A495="","",N(INDEX(Projects[Est Systems Eng],494)))</f>
        <v/>
      </c>
      <c r="CJ495" s="5">
        <f>IF(A495="","",N(INDEX(Projects[Est Mechanical Eng],494)))</f>
        <v/>
      </c>
      <c r="CK495" s="5">
        <f>IF(A495="","",N(INDEX(Projects[Est Structural Engineering],494)))</f>
        <v/>
      </c>
      <c r="CL495" s="5">
        <f>IF(A495="","",N(INDEX(Projects[Est Site Sup],494)))</f>
        <v/>
      </c>
      <c r="CM495" s="5">
        <f>IF(A495="","",N(INDEX(Projects[Est Controls Commissioning],494)))</f>
        <v/>
      </c>
      <c r="CN495" s="5">
        <f>IF(A495="","",N(INDEX(Projects[Est Systems Commissioning],494)))</f>
        <v/>
      </c>
      <c r="CO495" s="5">
        <f>IF(A495="","",N(INDEX(Projects[Est Service Commissioning],494)))</f>
        <v/>
      </c>
      <c r="CP495" s="5">
        <f>IF(A495="","",N(INDEX(Projects[Est Controls Eng],494)))</f>
        <v/>
      </c>
      <c r="CQ495" s="5">
        <f>IF(A495="","",N(INDEX(Projects[Est Controls Purchase],494)))</f>
        <v/>
      </c>
      <c r="CR495" s="5">
        <f>IF(A495="","",N(INDEX(Projects[Est Software Eng],494)))</f>
        <v/>
      </c>
      <c r="CS495" s="5">
        <f>IF(A495="","",N(INDEX(Projects[Est Misc],494)))</f>
        <v/>
      </c>
      <c r="CT495" s="5">
        <f>IF(A495="","",SUM(CF495:CS495))</f>
        <v/>
      </c>
      <c r="CU495" s="5">
        <f>INDEX(Projects[Est Cost (M)],494)</f>
        <v/>
      </c>
      <c r="CV495" s="5">
        <f>INDEX(Projects[Act Cost (M)],494)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IF(A496="","",N(INDEX(Projects[Act Mech Inst],495)))</f>
        <v/>
      </c>
      <c r="BK496" s="5">
        <f>IF(A496="","",N(INDEX(Projects[Act Elec Inst],495)))</f>
        <v/>
      </c>
      <c r="BL496" s="5">
        <f>IF(A496="","",N(INDEX(Projects[Act Project Management],495)))</f>
        <v/>
      </c>
      <c r="BM496" s="5">
        <f>IF(A496="","",N(INDEX(Projects[Act Systems Eng],495)))</f>
        <v/>
      </c>
      <c r="BN496" s="5">
        <f>IF(A496="","",N(INDEX(Projects[Act Mechanical Eng],495)))</f>
        <v/>
      </c>
      <c r="BO496" s="5">
        <f>IF(A496="","",N(INDEX(Projects[Act Structural Engineering],495)))</f>
        <v/>
      </c>
      <c r="BP496" s="5">
        <f>IF(A496="","",N(INDEX(Projects[Act Site Sup],495)))</f>
        <v/>
      </c>
      <c r="BQ496" s="5">
        <f>IF(A496="","",N(INDEX(Projects[Act Controls Commissioning],495)))</f>
        <v/>
      </c>
      <c r="BR496" s="5">
        <f>IF(A496="","",N(INDEX(Projects[Act Systems Commissioning],495)))</f>
        <v/>
      </c>
      <c r="BS496" s="5">
        <f>IF(A496="","",N(INDEX(Projects[Act Service Commissioning],495)))</f>
        <v/>
      </c>
      <c r="BT496" s="5">
        <f>IF(A496="","",N(INDEX(Projects[Act Controls Eng],495)))</f>
        <v/>
      </c>
      <c r="BU496" s="5">
        <f>IF(A496="","",N(INDEX(Projects[Act Controls Purchase],495)))</f>
        <v/>
      </c>
      <c r="BV496" s="5">
        <f>IF(A496="","",N(INDEX(Projects[Act Software Eng],495)))</f>
        <v/>
      </c>
      <c r="BW496" s="5">
        <f>IF(A496="","",N(INDEX(Projects[Act 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  <c r="CE496" s="5">
        <f>INDEX(Projects[Act Data Status],495)&amp;""</f>
        <v/>
      </c>
      <c r="CF496" s="5">
        <f>IF(A496="","",N(INDEX(Projects[Est Mech Inst],495)))</f>
        <v/>
      </c>
      <c r="CG496" s="5">
        <f>IF(A496="","",N(INDEX(Projects[Est Elec Inst],495)))</f>
        <v/>
      </c>
      <c r="CH496" s="5">
        <f>IF(A496="","",N(INDEX(Projects[Est Project Management],495)))</f>
        <v/>
      </c>
      <c r="CI496" s="5">
        <f>IF(A496="","",N(INDEX(Projects[Est Systems Eng],495)))</f>
        <v/>
      </c>
      <c r="CJ496" s="5">
        <f>IF(A496="","",N(INDEX(Projects[Est Mechanical Eng],495)))</f>
        <v/>
      </c>
      <c r="CK496" s="5">
        <f>IF(A496="","",N(INDEX(Projects[Est Structural Engineering],495)))</f>
        <v/>
      </c>
      <c r="CL496" s="5">
        <f>IF(A496="","",N(INDEX(Projects[Est Site Sup],495)))</f>
        <v/>
      </c>
      <c r="CM496" s="5">
        <f>IF(A496="","",N(INDEX(Projects[Est Controls Commissioning],495)))</f>
        <v/>
      </c>
      <c r="CN496" s="5">
        <f>IF(A496="","",N(INDEX(Projects[Est Systems Commissioning],495)))</f>
        <v/>
      </c>
      <c r="CO496" s="5">
        <f>IF(A496="","",N(INDEX(Projects[Est Service Commissioning],495)))</f>
        <v/>
      </c>
      <c r="CP496" s="5">
        <f>IF(A496="","",N(INDEX(Projects[Est Controls Eng],495)))</f>
        <v/>
      </c>
      <c r="CQ496" s="5">
        <f>IF(A496="","",N(INDEX(Projects[Est Controls Purchase],495)))</f>
        <v/>
      </c>
      <c r="CR496" s="5">
        <f>IF(A496="","",N(INDEX(Projects[Est Software Eng],495)))</f>
        <v/>
      </c>
      <c r="CS496" s="5">
        <f>IF(A496="","",N(INDEX(Projects[Est Misc],495)))</f>
        <v/>
      </c>
      <c r="CT496" s="5">
        <f>IF(A496="","",SUM(CF496:CS496))</f>
        <v/>
      </c>
      <c r="CU496" s="5">
        <f>INDEX(Projects[Est Cost (M)],495)</f>
        <v/>
      </c>
      <c r="CV496" s="5">
        <f>INDEX(Projects[Act Cost (M)],495)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IF(A497="","",N(INDEX(Projects[Act Mech Inst],496)))</f>
        <v/>
      </c>
      <c r="BK497" s="5">
        <f>IF(A497="","",N(INDEX(Projects[Act Elec Inst],496)))</f>
        <v/>
      </c>
      <c r="BL497" s="5">
        <f>IF(A497="","",N(INDEX(Projects[Act Project Management],496)))</f>
        <v/>
      </c>
      <c r="BM497" s="5">
        <f>IF(A497="","",N(INDEX(Projects[Act Systems Eng],496)))</f>
        <v/>
      </c>
      <c r="BN497" s="5">
        <f>IF(A497="","",N(INDEX(Projects[Act Mechanical Eng],496)))</f>
        <v/>
      </c>
      <c r="BO497" s="5">
        <f>IF(A497="","",N(INDEX(Projects[Act Structural Engineering],496)))</f>
        <v/>
      </c>
      <c r="BP497" s="5">
        <f>IF(A497="","",N(INDEX(Projects[Act Site Sup],496)))</f>
        <v/>
      </c>
      <c r="BQ497" s="5">
        <f>IF(A497="","",N(INDEX(Projects[Act Controls Commissioning],496)))</f>
        <v/>
      </c>
      <c r="BR497" s="5">
        <f>IF(A497="","",N(INDEX(Projects[Act Systems Commissioning],496)))</f>
        <v/>
      </c>
      <c r="BS497" s="5">
        <f>IF(A497="","",N(INDEX(Projects[Act Service Commissioning],496)))</f>
        <v/>
      </c>
      <c r="BT497" s="5">
        <f>IF(A497="","",N(INDEX(Projects[Act Controls Eng],496)))</f>
        <v/>
      </c>
      <c r="BU497" s="5">
        <f>IF(A497="","",N(INDEX(Projects[Act Controls Purchase],496)))</f>
        <v/>
      </c>
      <c r="BV497" s="5">
        <f>IF(A497="","",N(INDEX(Projects[Act Software Eng],496)))</f>
        <v/>
      </c>
      <c r="BW497" s="5">
        <f>IF(A497="","",N(INDEX(Projects[Act 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  <c r="CE497" s="5">
        <f>INDEX(Projects[Act Data Status],496)&amp;""</f>
        <v/>
      </c>
      <c r="CF497" s="5">
        <f>IF(A497="","",N(INDEX(Projects[Est Mech Inst],496)))</f>
        <v/>
      </c>
      <c r="CG497" s="5">
        <f>IF(A497="","",N(INDEX(Projects[Est Elec Inst],496)))</f>
        <v/>
      </c>
      <c r="CH497" s="5">
        <f>IF(A497="","",N(INDEX(Projects[Est Project Management],496)))</f>
        <v/>
      </c>
      <c r="CI497" s="5">
        <f>IF(A497="","",N(INDEX(Projects[Est Systems Eng],496)))</f>
        <v/>
      </c>
      <c r="CJ497" s="5">
        <f>IF(A497="","",N(INDEX(Projects[Est Mechanical Eng],496)))</f>
        <v/>
      </c>
      <c r="CK497" s="5">
        <f>IF(A497="","",N(INDEX(Projects[Est Structural Engineering],496)))</f>
        <v/>
      </c>
      <c r="CL497" s="5">
        <f>IF(A497="","",N(INDEX(Projects[Est Site Sup],496)))</f>
        <v/>
      </c>
      <c r="CM497" s="5">
        <f>IF(A497="","",N(INDEX(Projects[Est Controls Commissioning],496)))</f>
        <v/>
      </c>
      <c r="CN497" s="5">
        <f>IF(A497="","",N(INDEX(Projects[Est Systems Commissioning],496)))</f>
        <v/>
      </c>
      <c r="CO497" s="5">
        <f>IF(A497="","",N(INDEX(Projects[Est Service Commissioning],496)))</f>
        <v/>
      </c>
      <c r="CP497" s="5">
        <f>IF(A497="","",N(INDEX(Projects[Est Controls Eng],496)))</f>
        <v/>
      </c>
      <c r="CQ497" s="5">
        <f>IF(A497="","",N(INDEX(Projects[Est Controls Purchase],496)))</f>
        <v/>
      </c>
      <c r="CR497" s="5">
        <f>IF(A497="","",N(INDEX(Projects[Est Software Eng],496)))</f>
        <v/>
      </c>
      <c r="CS497" s="5">
        <f>IF(A497="","",N(INDEX(Projects[Est Misc],496)))</f>
        <v/>
      </c>
      <c r="CT497" s="5">
        <f>IF(A497="","",SUM(CF497:CS497))</f>
        <v/>
      </c>
      <c r="CU497" s="5">
        <f>INDEX(Projects[Est Cost (M)],496)</f>
        <v/>
      </c>
      <c r="CV497" s="5">
        <f>INDEX(Projects[Act Cost (M)],496)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IF(A498="","",N(INDEX(Projects[Act Mech Inst],497)))</f>
        <v/>
      </c>
      <c r="BK498" s="5">
        <f>IF(A498="","",N(INDEX(Projects[Act Elec Inst],497)))</f>
        <v/>
      </c>
      <c r="BL498" s="5">
        <f>IF(A498="","",N(INDEX(Projects[Act Project Management],497)))</f>
        <v/>
      </c>
      <c r="BM498" s="5">
        <f>IF(A498="","",N(INDEX(Projects[Act Systems Eng],497)))</f>
        <v/>
      </c>
      <c r="BN498" s="5">
        <f>IF(A498="","",N(INDEX(Projects[Act Mechanical Eng],497)))</f>
        <v/>
      </c>
      <c r="BO498" s="5">
        <f>IF(A498="","",N(INDEX(Projects[Act Structural Engineering],497)))</f>
        <v/>
      </c>
      <c r="BP498" s="5">
        <f>IF(A498="","",N(INDEX(Projects[Act Site Sup],497)))</f>
        <v/>
      </c>
      <c r="BQ498" s="5">
        <f>IF(A498="","",N(INDEX(Projects[Act Controls Commissioning],497)))</f>
        <v/>
      </c>
      <c r="BR498" s="5">
        <f>IF(A498="","",N(INDEX(Projects[Act Systems Commissioning],497)))</f>
        <v/>
      </c>
      <c r="BS498" s="5">
        <f>IF(A498="","",N(INDEX(Projects[Act Service Commissioning],497)))</f>
        <v/>
      </c>
      <c r="BT498" s="5">
        <f>IF(A498="","",N(INDEX(Projects[Act Controls Eng],497)))</f>
        <v/>
      </c>
      <c r="BU498" s="5">
        <f>IF(A498="","",N(INDEX(Projects[Act Controls Purchase],497)))</f>
        <v/>
      </c>
      <c r="BV498" s="5">
        <f>IF(A498="","",N(INDEX(Projects[Act Software Eng],497)))</f>
        <v/>
      </c>
      <c r="BW498" s="5">
        <f>IF(A498="","",N(INDEX(Projects[Act 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  <c r="CE498" s="5">
        <f>INDEX(Projects[Act Data Status],497)&amp;""</f>
        <v/>
      </c>
      <c r="CF498" s="5">
        <f>IF(A498="","",N(INDEX(Projects[Est Mech Inst],497)))</f>
        <v/>
      </c>
      <c r="CG498" s="5">
        <f>IF(A498="","",N(INDEX(Projects[Est Elec Inst],497)))</f>
        <v/>
      </c>
      <c r="CH498" s="5">
        <f>IF(A498="","",N(INDEX(Projects[Est Project Management],497)))</f>
        <v/>
      </c>
      <c r="CI498" s="5">
        <f>IF(A498="","",N(INDEX(Projects[Est Systems Eng],497)))</f>
        <v/>
      </c>
      <c r="CJ498" s="5">
        <f>IF(A498="","",N(INDEX(Projects[Est Mechanical Eng],497)))</f>
        <v/>
      </c>
      <c r="CK498" s="5">
        <f>IF(A498="","",N(INDEX(Projects[Est Structural Engineering],497)))</f>
        <v/>
      </c>
      <c r="CL498" s="5">
        <f>IF(A498="","",N(INDEX(Projects[Est Site Sup],497)))</f>
        <v/>
      </c>
      <c r="CM498" s="5">
        <f>IF(A498="","",N(INDEX(Projects[Est Controls Commissioning],497)))</f>
        <v/>
      </c>
      <c r="CN498" s="5">
        <f>IF(A498="","",N(INDEX(Projects[Est Systems Commissioning],497)))</f>
        <v/>
      </c>
      <c r="CO498" s="5">
        <f>IF(A498="","",N(INDEX(Projects[Est Service Commissioning],497)))</f>
        <v/>
      </c>
      <c r="CP498" s="5">
        <f>IF(A498="","",N(INDEX(Projects[Est Controls Eng],497)))</f>
        <v/>
      </c>
      <c r="CQ498" s="5">
        <f>IF(A498="","",N(INDEX(Projects[Est Controls Purchase],497)))</f>
        <v/>
      </c>
      <c r="CR498" s="5">
        <f>IF(A498="","",N(INDEX(Projects[Est Software Eng],497)))</f>
        <v/>
      </c>
      <c r="CS498" s="5">
        <f>IF(A498="","",N(INDEX(Projects[Est Misc],497)))</f>
        <v/>
      </c>
      <c r="CT498" s="5">
        <f>IF(A498="","",SUM(CF498:CS498))</f>
        <v/>
      </c>
      <c r="CU498" s="5">
        <f>INDEX(Projects[Est Cost (M)],497)</f>
        <v/>
      </c>
      <c r="CV498" s="5">
        <f>INDEX(Projects[Act Cost (M)],497)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IF(A499="","",N(INDEX(Projects[Act Mech Inst],498)))</f>
        <v/>
      </c>
      <c r="BK499" s="5">
        <f>IF(A499="","",N(INDEX(Projects[Act Elec Inst],498)))</f>
        <v/>
      </c>
      <c r="BL499" s="5">
        <f>IF(A499="","",N(INDEX(Projects[Act Project Management],498)))</f>
        <v/>
      </c>
      <c r="BM499" s="5">
        <f>IF(A499="","",N(INDEX(Projects[Act Systems Eng],498)))</f>
        <v/>
      </c>
      <c r="BN499" s="5">
        <f>IF(A499="","",N(INDEX(Projects[Act Mechanical Eng],498)))</f>
        <v/>
      </c>
      <c r="BO499" s="5">
        <f>IF(A499="","",N(INDEX(Projects[Act Structural Engineering],498)))</f>
        <v/>
      </c>
      <c r="BP499" s="5">
        <f>IF(A499="","",N(INDEX(Projects[Act Site Sup],498)))</f>
        <v/>
      </c>
      <c r="BQ499" s="5">
        <f>IF(A499="","",N(INDEX(Projects[Act Controls Commissioning],498)))</f>
        <v/>
      </c>
      <c r="BR499" s="5">
        <f>IF(A499="","",N(INDEX(Projects[Act Systems Commissioning],498)))</f>
        <v/>
      </c>
      <c r="BS499" s="5">
        <f>IF(A499="","",N(INDEX(Projects[Act Service Commissioning],498)))</f>
        <v/>
      </c>
      <c r="BT499" s="5">
        <f>IF(A499="","",N(INDEX(Projects[Act Controls Eng],498)))</f>
        <v/>
      </c>
      <c r="BU499" s="5">
        <f>IF(A499="","",N(INDEX(Projects[Act Controls Purchase],498)))</f>
        <v/>
      </c>
      <c r="BV499" s="5">
        <f>IF(A499="","",N(INDEX(Projects[Act Software Eng],498)))</f>
        <v/>
      </c>
      <c r="BW499" s="5">
        <f>IF(A499="","",N(INDEX(Projects[Act 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  <c r="CE499" s="5">
        <f>INDEX(Projects[Act Data Status],498)&amp;""</f>
        <v/>
      </c>
      <c r="CF499" s="5">
        <f>IF(A499="","",N(INDEX(Projects[Est Mech Inst],498)))</f>
        <v/>
      </c>
      <c r="CG499" s="5">
        <f>IF(A499="","",N(INDEX(Projects[Est Elec Inst],498)))</f>
        <v/>
      </c>
      <c r="CH499" s="5">
        <f>IF(A499="","",N(INDEX(Projects[Est Project Management],498)))</f>
        <v/>
      </c>
      <c r="CI499" s="5">
        <f>IF(A499="","",N(INDEX(Projects[Est Systems Eng],498)))</f>
        <v/>
      </c>
      <c r="CJ499" s="5">
        <f>IF(A499="","",N(INDEX(Projects[Est Mechanical Eng],498)))</f>
        <v/>
      </c>
      <c r="CK499" s="5">
        <f>IF(A499="","",N(INDEX(Projects[Est Structural Engineering],498)))</f>
        <v/>
      </c>
      <c r="CL499" s="5">
        <f>IF(A499="","",N(INDEX(Projects[Est Site Sup],498)))</f>
        <v/>
      </c>
      <c r="CM499" s="5">
        <f>IF(A499="","",N(INDEX(Projects[Est Controls Commissioning],498)))</f>
        <v/>
      </c>
      <c r="CN499" s="5">
        <f>IF(A499="","",N(INDEX(Projects[Est Systems Commissioning],498)))</f>
        <v/>
      </c>
      <c r="CO499" s="5">
        <f>IF(A499="","",N(INDEX(Projects[Est Service Commissioning],498)))</f>
        <v/>
      </c>
      <c r="CP499" s="5">
        <f>IF(A499="","",N(INDEX(Projects[Est Controls Eng],498)))</f>
        <v/>
      </c>
      <c r="CQ499" s="5">
        <f>IF(A499="","",N(INDEX(Projects[Est Controls Purchase],498)))</f>
        <v/>
      </c>
      <c r="CR499" s="5">
        <f>IF(A499="","",N(INDEX(Projects[Est Software Eng],498)))</f>
        <v/>
      </c>
      <c r="CS499" s="5">
        <f>IF(A499="","",N(INDEX(Projects[Est Misc],498)))</f>
        <v/>
      </c>
      <c r="CT499" s="5">
        <f>IF(A499="","",SUM(CF499:CS499))</f>
        <v/>
      </c>
      <c r="CU499" s="5">
        <f>INDEX(Projects[Est Cost (M)],498)</f>
        <v/>
      </c>
      <c r="CV499" s="5">
        <f>INDEX(Projects[Act Cost (M)],498)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IF(A500="","",N(INDEX(Projects[Act Mech Inst],499)))</f>
        <v/>
      </c>
      <c r="BK500" s="5">
        <f>IF(A500="","",N(INDEX(Projects[Act Elec Inst],499)))</f>
        <v/>
      </c>
      <c r="BL500" s="5">
        <f>IF(A500="","",N(INDEX(Projects[Act Project Management],499)))</f>
        <v/>
      </c>
      <c r="BM500" s="5">
        <f>IF(A500="","",N(INDEX(Projects[Act Systems Eng],499)))</f>
        <v/>
      </c>
      <c r="BN500" s="5">
        <f>IF(A500="","",N(INDEX(Projects[Act Mechanical Eng],499)))</f>
        <v/>
      </c>
      <c r="BO500" s="5">
        <f>IF(A500="","",N(INDEX(Projects[Act Structural Engineering],499)))</f>
        <v/>
      </c>
      <c r="BP500" s="5">
        <f>IF(A500="","",N(INDEX(Projects[Act Site Sup],499)))</f>
        <v/>
      </c>
      <c r="BQ500" s="5">
        <f>IF(A500="","",N(INDEX(Projects[Act Controls Commissioning],499)))</f>
        <v/>
      </c>
      <c r="BR500" s="5">
        <f>IF(A500="","",N(INDEX(Projects[Act Systems Commissioning],499)))</f>
        <v/>
      </c>
      <c r="BS500" s="5">
        <f>IF(A500="","",N(INDEX(Projects[Act Service Commissioning],499)))</f>
        <v/>
      </c>
      <c r="BT500" s="5">
        <f>IF(A500="","",N(INDEX(Projects[Act Controls Eng],499)))</f>
        <v/>
      </c>
      <c r="BU500" s="5">
        <f>IF(A500="","",N(INDEX(Projects[Act Controls Purchase],499)))</f>
        <v/>
      </c>
      <c r="BV500" s="5">
        <f>IF(A500="","",N(INDEX(Projects[Act Software Eng],499)))</f>
        <v/>
      </c>
      <c r="BW500" s="5">
        <f>IF(A500="","",N(INDEX(Projects[Act 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  <c r="CE500" s="5">
        <f>INDEX(Projects[Act Data Status],499)&amp;""</f>
        <v/>
      </c>
      <c r="CF500" s="5">
        <f>IF(A500="","",N(INDEX(Projects[Est Mech Inst],499)))</f>
        <v/>
      </c>
      <c r="CG500" s="5">
        <f>IF(A500="","",N(INDEX(Projects[Est Elec Inst],499)))</f>
        <v/>
      </c>
      <c r="CH500" s="5">
        <f>IF(A500="","",N(INDEX(Projects[Est Project Management],499)))</f>
        <v/>
      </c>
      <c r="CI500" s="5">
        <f>IF(A500="","",N(INDEX(Projects[Est Systems Eng],499)))</f>
        <v/>
      </c>
      <c r="CJ500" s="5">
        <f>IF(A500="","",N(INDEX(Projects[Est Mechanical Eng],499)))</f>
        <v/>
      </c>
      <c r="CK500" s="5">
        <f>IF(A500="","",N(INDEX(Projects[Est Structural Engineering],499)))</f>
        <v/>
      </c>
      <c r="CL500" s="5">
        <f>IF(A500="","",N(INDEX(Projects[Est Site Sup],499)))</f>
        <v/>
      </c>
      <c r="CM500" s="5">
        <f>IF(A500="","",N(INDEX(Projects[Est Controls Commissioning],499)))</f>
        <v/>
      </c>
      <c r="CN500" s="5">
        <f>IF(A500="","",N(INDEX(Projects[Est Systems Commissioning],499)))</f>
        <v/>
      </c>
      <c r="CO500" s="5">
        <f>IF(A500="","",N(INDEX(Projects[Est Service Commissioning],499)))</f>
        <v/>
      </c>
      <c r="CP500" s="5">
        <f>IF(A500="","",N(INDEX(Projects[Est Controls Eng],499)))</f>
        <v/>
      </c>
      <c r="CQ500" s="5">
        <f>IF(A500="","",N(INDEX(Projects[Est Controls Purchase],499)))</f>
        <v/>
      </c>
      <c r="CR500" s="5">
        <f>IF(A500="","",N(INDEX(Projects[Est Software Eng],499)))</f>
        <v/>
      </c>
      <c r="CS500" s="5">
        <f>IF(A500="","",N(INDEX(Projects[Est Misc],499)))</f>
        <v/>
      </c>
      <c r="CT500" s="5">
        <f>IF(A500="","",SUM(CF500:CS500))</f>
        <v/>
      </c>
      <c r="CU500" s="5">
        <f>INDEX(Projects[Est Cost (M)],499)</f>
        <v/>
      </c>
      <c r="CV500" s="5">
        <f>INDEX(Projects[Act Cost (M)],499)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81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2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3" t="n"/>
      <c r="C3" s="174" t="inlineStr">
        <is>
          <t xml:space="preserve">  RANK 1  —  Best Match</t>
        </is>
      </c>
      <c r="I3" s="153" t="n"/>
      <c r="J3" s="175" t="inlineStr">
        <is>
          <t xml:space="preserve">  RANK 2  —  2nd Match</t>
        </is>
      </c>
      <c r="P3" s="153" t="n"/>
      <c r="Q3" s="176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7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Solution Type</t>
        </is>
      </c>
      <c r="B9" s="91" t="n"/>
      <c r="C9" s="135">
        <f>IFERROR(IF(INDEX(_Helper!BZ2:BZ501,MATCH(LARGE(_Helper!BH2:BH501,1),_Helper!BH2:BH501,0))="","(not set)",INDEX(_Helper!BZ2:BZ501,MATCH(LARGE(_Helper!BH2:BH501,1),_Helper!BH2:BH501,0))),"-")</f>
        <v/>
      </c>
      <c r="D9" s="91" t="n"/>
      <c r="E9" s="91" t="n"/>
      <c r="F9" s="91" t="n"/>
      <c r="G9" s="91" t="n"/>
      <c r="H9" s="91" t="n"/>
      <c r="I9" s="8" t="n"/>
      <c r="J9" s="136">
        <f>IFERROR(IF(INDEX(_Helper!BZ2:BZ501,MATCH(LARGE(_Helper!BH2:BH501,2),_Helper!BH2:BH501,0))="","(not set)",INDEX(_Helper!BZ2:BZ501,MATCH(LARGE(_Helper!BH2:BH501,2),_Helper!BH2:BH501,0))),"-")</f>
        <v/>
      </c>
      <c r="K9" s="91" t="n"/>
      <c r="L9" s="91" t="n"/>
      <c r="M9" s="91" t="n"/>
      <c r="N9" s="91" t="n"/>
      <c r="O9" s="91" t="n"/>
      <c r="P9" s="8" t="n"/>
      <c r="Q9" s="138">
        <f>IFERROR(IF(INDEX(_Helper!BZ2:BZ501,MATCH(LARGE(_Helper!BH2:BH501,3),_Helper!BH2:BH501,0))="","(not set)",INDEX(_Helper!BZ2:BZ501,MATCH(LARGE(_Helper!BH2:BH501,3),_Helper!BH2:BH501,0))),"-")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Year</t>
        </is>
      </c>
      <c r="B10" s="91" t="n"/>
      <c r="C10" s="135">
        <f>IFERROR(INDEX(_Helper!CB2:CB501,MATCH(LARGE(_Helper!BH2:BH501,1),_Helper!BH2:BH501,0)),"-")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IFERROR(INDEX(_Helper!CB2:CB501,MATCH(LARGE(_Helper!BH2:BH501,2),_Helper!BH2:BH501,0)),"-")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IFERROR(INDEX(_Helper!CB2:CB501,MATCH(LARGE(_Helper!BH2:BH501,3),_Helper!BH2:BH501,0)),"-")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Project Value</t>
        </is>
      </c>
      <c r="B11" s="91" t="n"/>
      <c r="C11" s="135">
        <f>IFERROR(INDEX(_Helper!T2:T501,MATCH(LARGE(_Helper!BH2:BH501,1),_Helper!BH2:BH501,0))&amp;" "&amp;TEXT(INDEX(_Helper!U2:U501,MATCH(LARGE(_Helper!BH2:BH501,1),_Helper!BH2:BH501,0)),"#,##0.00")&amp;" M","-")</f>
        <v/>
      </c>
      <c r="D11" s="91" t="n"/>
      <c r="E11" s="91" t="n"/>
      <c r="F11" s="91" t="n"/>
      <c r="G11" s="91" t="n"/>
      <c r="H11" s="91" t="n"/>
      <c r="I11" s="8" t="n"/>
      <c r="J11" s="136">
        <f>IFERROR(INDEX(_Helper!T2:T501,MATCH(LARGE(_Helper!BH2:BH501,2),_Helper!BH2:BH501,0))&amp;" "&amp;TEXT(INDEX(_Helper!U2:U501,MATCH(LARGE(_Helper!BH2:BH501,2),_Helper!BH2:BH501,0)),"#,##0.00")&amp;" M","-")</f>
        <v/>
      </c>
      <c r="K11" s="91" t="n"/>
      <c r="L11" s="91" t="n"/>
      <c r="M11" s="91" t="n"/>
      <c r="N11" s="91" t="n"/>
      <c r="O11" s="91" t="n"/>
      <c r="P11" s="8" t="n"/>
      <c r="Q11" s="138">
        <f>IFERROR(INDEX(_Helper!T2:T501,MATCH(LARGE(_Helper!BH2:BH501,3),_Helper!BH2:BH501,0))&amp;" "&amp;TEXT(INDEX(_Helper!U2:U501,MATCH(LARGE(_Helper!BH2:BH501,3),_Helper!BH2:BH501,0)),"#,##0.00")&amp;" M","-")</f>
        <v/>
      </c>
      <c r="R11" s="91" t="n"/>
      <c r="S11" s="91" t="n"/>
      <c r="T11" s="91" t="n"/>
      <c r="U11" s="91" t="n"/>
      <c r="V11" s="91" t="n"/>
    </row>
    <row r="12" ht="19.5" customHeight="1" s="74">
      <c r="A12" s="140" t="inlineStr">
        <is>
          <t>Value (USD equiv.)</t>
        </is>
      </c>
      <c r="B12" s="91" t="n"/>
      <c r="C12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1" t="n"/>
      <c r="E12" s="91" t="n"/>
      <c r="F12" s="91" t="n"/>
      <c r="G12" s="91" t="n"/>
      <c r="H12" s="91" t="n"/>
      <c r="I12" s="7" t="n"/>
      <c r="J12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1" t="n"/>
      <c r="L12" s="91" t="n"/>
      <c r="M12" s="91" t="n"/>
      <c r="N12" s="91" t="n"/>
      <c r="O12" s="91" t="n"/>
      <c r="P12" s="7" t="n"/>
      <c r="Q12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1" t="n"/>
      <c r="S12" s="91" t="n"/>
      <c r="T12" s="91" t="n"/>
      <c r="U12" s="91" t="n"/>
      <c r="V12" s="91" t="n"/>
    </row>
    <row r="13" ht="19.5" customHeight="1" s="74">
      <c r="A13" s="177" t="inlineStr">
        <is>
          <t xml:space="preserve">  SYSTEM SPECIFICATIONS</t>
        </is>
      </c>
    </row>
    <row r="14" ht="19.5" customHeight="1" s="74">
      <c r="A14" s="140" t="inlineStr">
        <is>
          <t>MS Shuttles</t>
        </is>
      </c>
      <c r="B14" s="91" t="n"/>
      <c r="C14" s="135">
        <f>IFERROR(INDEX(_Helper!C2:C501,MATCH(LARGE(_Helper!BH2:BH501,1),_Helper!BH2:BH501,0)),"-")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IFERROR(INDEX(_Helper!C2:C501,MATCH(LARGE(_Helper!BH2:BH501,2),_Helper!BH2:BH501,0)),"-")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IFERROR(INDEX(_Helper!C2:C501,MATCH(LARGE(_Helper!BH2:BH501,3),_Helper!BH2:BH501,0)),"-")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MS Tote Locations</t>
        </is>
      </c>
      <c r="B15" s="91" t="n"/>
      <c r="C15" s="135">
        <f>IFERROR(INDEX(_Helper!D2:D501,MATCH(LARGE(_Helper!BH2:BH501,1),_Helper!BH2:BH501,0)),"-")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IFERROR(INDEX(_Helper!D2:D501,MATCH(LARGE(_Helper!BH2:BH501,2),_Helper!BH2:BH501,0)),"-")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IFERROR(INDEX(_Helper!D2:D501,MATCH(LARGE(_Helper!BH2:BH501,3),_Helper!BH2:BH501,0)),"-")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AS Robots</t>
        </is>
      </c>
      <c r="B16" s="91" t="n"/>
      <c r="C16" s="135">
        <f>IFERROR(INDEX(_Helper!E2:E501,MATCH(LARGE(_Helper!BH2:BH501,1),_Helper!BH2:BH501,0)),"-")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IFERROR(INDEX(_Helper!E2:E501,MATCH(LARGE(_Helper!BH2:BH501,2),_Helper!BH2:BH501,0)),"-")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IFERROR(INDEX(_Helper!E2:E501,MATCH(LARGE(_Helper!BH2:BH501,3),_Helper!BH2:BH501,0)),"-")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AS Tote Locations</t>
        </is>
      </c>
      <c r="B17" s="91" t="n"/>
      <c r="C17" s="135">
        <f>IFERROR(INDEX(_Helper!F2:F501,MATCH(LARGE(_Helper!BH2:BH501,1),_Helper!BH2:BH501,0)),"-")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IFERROR(INDEX(_Helper!F2:F501,MATCH(LARGE(_Helper!BH2:BH501,2),_Helper!BH2:BH501,0)),"-")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IFERROR(INDEX(_Helper!F2:F501,MATCH(LARGE(_Helper!BH2:BH501,3),_Helper!BH2:BH501,0)),"-")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PS Shuttles</t>
        </is>
      </c>
      <c r="B18" s="91" t="n"/>
      <c r="C18" s="135">
        <f>IFERROR(INDEX(_Helper!G2:G501,MATCH(LARGE(_Helper!BH2:BH501,1),_Helper!BH2:BH501,0)),"-")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IFERROR(INDEX(_Helper!G2:G501,MATCH(LARGE(_Helper!BH2:BH501,2),_Helper!BH2:BH501,0)),"-")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IFERROR(INDEX(_Helper!G2:G501,MATCH(LARGE(_Helper!BH2:BH501,3),_Helper!BH2:BH501,0)),"-")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PS Pallet Locations</t>
        </is>
      </c>
      <c r="B19" s="91" t="n"/>
      <c r="C19" s="135">
        <f>IFERROR(INDEX(_Helper!H2:H501,MATCH(LARGE(_Helper!BH2:BH501,1),_Helper!BH2:BH501,0)),"-")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IFERROR(INDEX(_Helper!H2:H501,MATCH(LARGE(_Helper!BH2:BH501,2),_Helper!BH2:BH501,0)),"-")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IFERROR(INDEX(_Helper!H2:H501,MATCH(LARGE(_Helper!BH2:BH501,3),_Helper!BH2:BH501,0)),"-")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SRM Cranes</t>
        </is>
      </c>
      <c r="B20" s="91" t="n"/>
      <c r="C20" s="135">
        <f>IFERROR(INDEX(_Helper!I2:I501,MATCH(LARGE(_Helper!BH2:BH501,1),_Helper!BH2:BH501,0)),"-")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IFERROR(INDEX(_Helper!I2:I501,MATCH(LARGE(_Helper!BH2:BH501,2),_Helper!BH2:BH501,0)),"-")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IFERROR(INDEX(_Helper!I2:I501,MATCH(LARGE(_Helper!BH2:BH501,3),_Helper!BH2:BH501,0)),"-")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SRM Pallet Locations</t>
        </is>
      </c>
      <c r="B21" s="91" t="n"/>
      <c r="C21" s="135">
        <f>IFERROR(INDEX(_Helper!J2:J501,MATCH(LARGE(_Helper!BH2:BH501,1),_Helper!BH2:BH501,0)),"-")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IFERROR(INDEX(_Helper!J2:J501,MATCH(LARGE(_Helper!BH2:BH501,2),_Helper!BH2:BH501,0)),"-")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IFERROR(INDEX(_Helper!J2:J501,MATCH(LARGE(_Helper!BH2:BH501,3),_Helper!BH2:BH501,0)),"-")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40" t="inlineStr">
        <is>
          <t>Case Conveyor (m)</t>
        </is>
      </c>
      <c r="B22" s="91" t="n"/>
      <c r="C22" s="135">
        <f>IFERROR(INDEX(_Helper!K2:K501,MATCH(LARGE(_Helper!BH2:BH501,1),_Helper!BH2:BH501,0)),"-")</f>
        <v/>
      </c>
      <c r="D22" s="91" t="n"/>
      <c r="E22" s="91" t="n"/>
      <c r="F22" s="91" t="n"/>
      <c r="G22" s="91" t="n"/>
      <c r="H22" s="91" t="n"/>
      <c r="I22" s="7" t="n"/>
      <c r="J22" s="136">
        <f>IFERROR(INDEX(_Helper!K2:K501,MATCH(LARGE(_Helper!BH2:BH501,2),_Helper!BH2:BH501,0)),"-")</f>
        <v/>
      </c>
      <c r="K22" s="91" t="n"/>
      <c r="L22" s="91" t="n"/>
      <c r="M22" s="91" t="n"/>
      <c r="N22" s="91" t="n"/>
      <c r="O22" s="91" t="n"/>
      <c r="P22" s="7" t="n"/>
      <c r="Q22" s="138">
        <f>IFERROR(INDEX(_Helper!K2:K501,MATCH(LARGE(_Helper!BH2:BH501,3),_Helper!BH2:BH501,0)),"-")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37" t="inlineStr">
        <is>
          <t>Pallet Conveyor (m)</t>
        </is>
      </c>
      <c r="B23" s="91" t="n"/>
      <c r="C23" s="135">
        <f>IFERROR(INDEX(_Helper!L2:L501,MATCH(LARGE(_Helper!BH2:BH501,1),_Helper!BH2:BH501,0)),"-")</f>
        <v/>
      </c>
      <c r="D23" s="91" t="n"/>
      <c r="E23" s="91" t="n"/>
      <c r="F23" s="91" t="n"/>
      <c r="G23" s="91" t="n"/>
      <c r="H23" s="91" t="n"/>
      <c r="I23" s="8" t="n"/>
      <c r="J23" s="136">
        <f>IFERROR(INDEX(_Helper!L2:L501,MATCH(LARGE(_Helper!BH2:BH501,2),_Helper!BH2:BH501,0)),"-")</f>
        <v/>
      </c>
      <c r="K23" s="91" t="n"/>
      <c r="L23" s="91" t="n"/>
      <c r="M23" s="91" t="n"/>
      <c r="N23" s="91" t="n"/>
      <c r="O23" s="91" t="n"/>
      <c r="P23" s="8" t="n"/>
      <c r="Q23" s="138">
        <f>IFERROR(INDEX(_Helper!L2:L501,MATCH(LARGE(_Helper!BH2:BH501,3),_Helper!BH2:BH501,0)),"-")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77" t="inlineStr">
        <is>
          <t xml:space="preserve">  SCHEDULE  (weeks)</t>
        </is>
      </c>
    </row>
    <row r="25" ht="19.5" customHeight="1" s="74">
      <c r="A25" s="140" t="inlineStr">
        <is>
          <t>Mechanical Engineering</t>
        </is>
      </c>
      <c r="B25" s="91" t="n"/>
      <c r="C25" s="178">
        <f>IFERROR(INDEX(_Helper!M2:M501,MATCH(LARGE(_Helper!BH2:BH501,1),_Helper!BH2:BH501,0)),"-")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79">
        <f>IFERROR(INDEX(_Helper!M2:M501,MATCH(LARGE(_Helper!BH2:BH501,2),_Helper!BH2:BH501,0)),"-")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80">
        <f>IFERROR(INDEX(_Helper!M2:M501,MATCH(LARGE(_Helper!BH2:BH501,3),_Helper!BH2:BH501,0)),"-")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Controls Engineering</t>
        </is>
      </c>
      <c r="B26" s="91" t="n"/>
      <c r="C26" s="178">
        <f>IFERROR(INDEX(_Helper!N2:N501,MATCH(LARGE(_Helper!BH2:BH501,1),_Helper!BH2:BH501,0)),"-")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79">
        <f>IFERROR(INDEX(_Helper!N2:N501,MATCH(LARGE(_Helper!BH2:BH501,2),_Helper!BH2:BH501,0)),"-")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80">
        <f>IFERROR(INDEX(_Helper!N2:N501,MATCH(LARGE(_Helper!BH2:BH501,3),_Helper!BH2:BH501,0)),"-")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Systems Engineering</t>
        </is>
      </c>
      <c r="B27" s="91" t="n"/>
      <c r="C27" s="178">
        <f>IFERROR(INDEX(_Helper!O2:O501,MATCH(LARGE(_Helper!BH2:BH501,1),_Helper!BH2:BH501,0)),"-")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79">
        <f>IFERROR(INDEX(_Helper!O2:O501,MATCH(LARGE(_Helper!BH2:BH501,2),_Helper!BH2:BH501,0)),"-")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80">
        <f>IFERROR(INDEX(_Helper!O2:O501,MATCH(LARGE(_Helper!BH2:BH501,3),_Helper!BH2:BH501,0)),"-")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Software Engineering</t>
        </is>
      </c>
      <c r="B28" s="91" t="n"/>
      <c r="C28" s="178">
        <f>IFERROR(INDEX(_Helper!P2:P501,MATCH(LARGE(_Helper!BH2:BH501,1),_Helper!BH2:BH501,0)),"-")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79">
        <f>IFERROR(INDEX(_Helper!P2:P501,MATCH(LARGE(_Helper!BH2:BH501,2),_Helper!BH2:BH501,0)),"-")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80">
        <f>IFERROR(INDEX(_Helper!P2:P501,MATCH(LARGE(_Helper!BH2:BH501,3),_Helper!BH2:BH501,0)),"-")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40" t="inlineStr">
        <is>
          <t>M&amp;E Installation</t>
        </is>
      </c>
      <c r="B29" s="91" t="n"/>
      <c r="C29" s="135">
        <f>IFERROR(INDEX(_Helper!Q2:Q501,MATCH(LARGE(_Helper!BH2:BH501,1),_Helper!BH2:BH501,0)),"-")</f>
        <v/>
      </c>
      <c r="D29" s="91" t="n"/>
      <c r="E29" s="91" t="n"/>
      <c r="F29" s="91" t="n"/>
      <c r="G29" s="91" t="n"/>
      <c r="H29" s="91" t="n"/>
      <c r="I29" s="7" t="n"/>
      <c r="J29" s="136">
        <f>IFERROR(INDEX(_Helper!Q2:Q501,MATCH(LARGE(_Helper!BH2:BH501,2),_Helper!BH2:BH501,0)),"-")</f>
        <v/>
      </c>
      <c r="K29" s="91" t="n"/>
      <c r="L29" s="91" t="n"/>
      <c r="M29" s="91" t="n"/>
      <c r="N29" s="91" t="n"/>
      <c r="O29" s="91" t="n"/>
      <c r="P29" s="7" t="n"/>
      <c r="Q29" s="138">
        <f>IFERROR(INDEX(_Helper!Q2:Q501,MATCH(LARGE(_Helper!BH2:BH501,3),_Helper!BH2:BH501,0)),"-")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37" t="inlineStr">
        <is>
          <t>Commissioning</t>
        </is>
      </c>
      <c r="B30" s="91" t="n"/>
      <c r="C30" s="135">
        <f>IFERROR(INDEX(_Helper!R2:R501,MATCH(LARGE(_Helper!BH2:BH501,1),_Helper!BH2:BH501,0)),"-")</f>
        <v/>
      </c>
      <c r="D30" s="91" t="n"/>
      <c r="E30" s="91" t="n"/>
      <c r="F30" s="91" t="n"/>
      <c r="G30" s="91" t="n"/>
      <c r="H30" s="91" t="n"/>
      <c r="I30" s="8" t="n"/>
      <c r="J30" s="136">
        <f>IFERROR(INDEX(_Helper!R2:R501,MATCH(LARGE(_Helper!BH2:BH501,2),_Helper!BH2:BH501,0)),"-")</f>
        <v/>
      </c>
      <c r="K30" s="91" t="n"/>
      <c r="L30" s="91" t="n"/>
      <c r="M30" s="91" t="n"/>
      <c r="N30" s="91" t="n"/>
      <c r="O30" s="91" t="n"/>
      <c r="P30" s="8" t="n"/>
      <c r="Q30" s="138">
        <f>IFERROR(INDEX(_Helper!R2:R501,MATCH(LARGE(_Helper!BH2:BH501,3),_Helper!BH2:BH501,0)),"-")</f>
        <v/>
      </c>
      <c r="R30" s="91" t="n"/>
      <c r="S30" s="91" t="n"/>
      <c r="T30" s="91" t="n"/>
      <c r="U30" s="91" t="n"/>
      <c r="V30" s="91" t="n"/>
    </row>
    <row r="31" ht="19.5" customHeight="1" s="74">
      <c r="A31" s="134" t="inlineStr">
        <is>
          <t>TOTAL PROJECT TIMELINE</t>
        </is>
      </c>
      <c r="B31" s="91" t="n"/>
      <c r="C31" s="150">
        <f>IFERROR(INDEX(_Helper!S2:S501,MATCH(LARGE(_Helper!BH2:BH501,1),_Helper!BH2:BH501,0)),"-")</f>
        <v/>
      </c>
      <c r="D31" s="91" t="n"/>
      <c r="E31" s="91" t="n"/>
      <c r="F31" s="91" t="n"/>
      <c r="G31" s="91" t="n"/>
      <c r="H31" s="91" t="n"/>
      <c r="I31" s="9" t="n"/>
      <c r="J31" s="146">
        <f>IFERROR(INDEX(_Helper!S2:S501,MATCH(LARGE(_Helper!BH2:BH501,2),_Helper!BH2:BH501,0)),"-")</f>
        <v/>
      </c>
      <c r="K31" s="91" t="n"/>
      <c r="L31" s="91" t="n"/>
      <c r="M31" s="91" t="n"/>
      <c r="N31" s="91" t="n"/>
      <c r="O31" s="91" t="n"/>
      <c r="P31" s="9" t="n"/>
      <c r="Q31" s="151">
        <f>IFERROR(INDEX(_Helper!S2:S501,MATCH(LARGE(_Helper!BH2:BH501,3),_Helper!BH2:BH501,0)),"-")</f>
        <v/>
      </c>
      <c r="R31" s="91" t="n"/>
      <c r="S31" s="91" t="n"/>
      <c r="T31" s="91" t="n"/>
      <c r="U31" s="91" t="n"/>
      <c r="V31" s="91" t="n"/>
    </row>
    <row r="32" ht="19.5" customHeight="1" s="74">
      <c r="A32" s="177" t="inlineStr">
        <is>
          <t xml:space="preserve">  MANHOUR COST  (% of project cost)</t>
        </is>
      </c>
    </row>
    <row r="33" ht="21" customHeight="1" s="74">
      <c r="A33" s="149" t="n"/>
      <c r="B33" s="88" t="n"/>
      <c r="C33" s="143" t="inlineStr">
        <is>
          <t>Presales est.</t>
        </is>
      </c>
      <c r="D33" s="94" t="n"/>
      <c r="E33" s="94" t="n"/>
      <c r="F33" s="94" t="inlineStr">
        <is>
          <t>Actual</t>
        </is>
      </c>
      <c r="G33" s="94" t="n"/>
      <c r="H33" s="94" t="n"/>
      <c r="J33" s="141" t="inlineStr">
        <is>
          <t>Presales est.</t>
        </is>
      </c>
      <c r="K33" s="72" t="n"/>
      <c r="L33" s="72" t="n"/>
      <c r="M33" s="72" t="inlineStr">
        <is>
          <t>Actual</t>
        </is>
      </c>
      <c r="N33" s="72" t="n"/>
      <c r="O33" s="72" t="n"/>
      <c r="Q33" s="152" t="inlineStr">
        <is>
          <t>Presales est.</t>
        </is>
      </c>
      <c r="R33" s="72" t="n"/>
      <c r="S33" s="72" t="n"/>
      <c r="T33" s="72" t="inlineStr">
        <is>
          <t>Actual</t>
        </is>
      </c>
      <c r="U33" s="72" t="n"/>
      <c r="V33" s="72" t="n"/>
    </row>
    <row r="34" ht="19.5" customHeight="1" s="74">
      <c r="A34" s="140" t="inlineStr">
        <is>
          <t>Mechanical Installation</t>
        </is>
      </c>
      <c r="B34" s="91" t="n"/>
      <c r="C34" s="178">
        <f>IFERROR(IF(N(INDEX(_Helper!CT2:CT501,MATCH(LARGE(_Helper!BH2:BH501,1),_Helper!BH2:BH501,0)))=0,"—",INDEX(_Helper!CF2:CF501,MATCH(LARGE(_Helper!BH2:BH501,1),_Helper!BH2:BH501,0))),"-")</f>
        <v/>
      </c>
      <c r="D34" s="91" t="n"/>
      <c r="E34" s="91" t="n"/>
      <c r="F34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won"),INDEX(_Helper!BJ2:BJ501,MATCH(LARGE(_Helper!BH2:BH501,1),_Helper!BH2:BH501,0))),"-")</f>
        <v/>
      </c>
      <c r="G34" s="91" t="n"/>
      <c r="H34" s="91" t="n"/>
      <c r="I34" s="7" t="n"/>
      <c r="J34" s="179">
        <f>IFERROR(IF(N(INDEX(_Helper!CT2:CT501,MATCH(LARGE(_Helper!BH2:BH501,2),_Helper!BH2:BH501,0)))=0,"—",INDEX(_Helper!CF2:CF501,MATCH(LARGE(_Helper!BH2:BH501,2),_Helper!BH2:BH501,0))),"-")</f>
        <v/>
      </c>
      <c r="K34" s="91" t="n"/>
      <c r="L34" s="91" t="n"/>
      <c r="M34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won"),INDEX(_Helper!BJ2:BJ501,MATCH(LARGE(_Helper!BH2:BH501,2),_Helper!BH2:BH501,0))),"-")</f>
        <v/>
      </c>
      <c r="N34" s="91" t="n"/>
      <c r="O34" s="91" t="n"/>
      <c r="P34" s="7" t="n"/>
      <c r="Q34" s="180">
        <f>IFERROR(IF(N(INDEX(_Helper!CT2:CT501,MATCH(LARGE(_Helper!BH2:BH501,3),_Helper!BH2:BH501,0)))=0,"—",INDEX(_Helper!CF2:CF501,MATCH(LARGE(_Helper!BH2:BH501,3),_Helper!BH2:BH501,0))),"-")</f>
        <v/>
      </c>
      <c r="R34" s="91" t="n"/>
      <c r="S34" s="91" t="n"/>
      <c r="T34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won"),INDEX(_Helper!BJ2:BJ501,MATCH(LARGE(_Helper!BH2:BH501,3),_Helper!BH2:BH501,0))),"-")</f>
        <v/>
      </c>
      <c r="U34" s="91" t="n"/>
      <c r="V34" s="91" t="n"/>
    </row>
    <row r="35" ht="19.5" customHeight="1" s="74">
      <c r="A35" s="137" t="inlineStr">
        <is>
          <t>Electrical Installation</t>
        </is>
      </c>
      <c r="B35" s="91" t="n"/>
      <c r="C35" s="178">
        <f>IFERROR(IF(N(INDEX(_Helper!CT2:CT501,MATCH(LARGE(_Helper!BH2:BH501,1),_Helper!BH2:BH501,0)))=0,"—",INDEX(_Helper!CG2:CG501,MATCH(LARGE(_Helper!BH2:BH501,1),_Helper!BH2:BH501,0))),"-")</f>
        <v/>
      </c>
      <c r="D35" s="91" t="n"/>
      <c r="E35" s="91" t="n"/>
      <c r="F35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won"),INDEX(_Helper!BK2:BK501,MATCH(LARGE(_Helper!BH2:BH501,1),_Helper!BH2:BH501,0))),"-")</f>
        <v/>
      </c>
      <c r="G35" s="91" t="n"/>
      <c r="H35" s="91" t="n"/>
      <c r="I35" s="8" t="n"/>
      <c r="J35" s="179">
        <f>IFERROR(IF(N(INDEX(_Helper!CT2:CT501,MATCH(LARGE(_Helper!BH2:BH501,2),_Helper!BH2:BH501,0)))=0,"—",INDEX(_Helper!CG2:CG501,MATCH(LARGE(_Helper!BH2:BH501,2),_Helper!BH2:BH501,0))),"-")</f>
        <v/>
      </c>
      <c r="K35" s="91" t="n"/>
      <c r="L35" s="91" t="n"/>
      <c r="M35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won"),INDEX(_Helper!BK2:BK501,MATCH(LARGE(_Helper!BH2:BH501,2),_Helper!BH2:BH501,0))),"-")</f>
        <v/>
      </c>
      <c r="N35" s="91" t="n"/>
      <c r="O35" s="91" t="n"/>
      <c r="P35" s="8" t="n"/>
      <c r="Q35" s="180">
        <f>IFERROR(IF(N(INDEX(_Helper!CT2:CT501,MATCH(LARGE(_Helper!BH2:BH501,3),_Helper!BH2:BH501,0)))=0,"—",INDEX(_Helper!CG2:CG501,MATCH(LARGE(_Helper!BH2:BH501,3),_Helper!BH2:BH501,0))),"-")</f>
        <v/>
      </c>
      <c r="R35" s="91" t="n"/>
      <c r="S35" s="91" t="n"/>
      <c r="T35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won"),INDEX(_Helper!BK2:BK501,MATCH(LARGE(_Helper!BH2:BH501,3),_Helper!BH2:BH501,0))),"-")</f>
        <v/>
      </c>
      <c r="U35" s="91" t="n"/>
      <c r="V35" s="91" t="n"/>
    </row>
    <row r="36" ht="19.5" customHeight="1" s="74">
      <c r="A36" s="140" t="inlineStr">
        <is>
          <t>Project Management</t>
        </is>
      </c>
      <c r="B36" s="91" t="n"/>
      <c r="C36" s="178">
        <f>IFERROR(IF(N(INDEX(_Helper!CT2:CT501,MATCH(LARGE(_Helper!BH2:BH501,1),_Helper!BH2:BH501,0)))=0,"—",INDEX(_Helper!CH2:CH501,MATCH(LARGE(_Helper!BH2:BH501,1),_Helper!BH2:BH501,0))),"-")</f>
        <v/>
      </c>
      <c r="D36" s="91" t="n"/>
      <c r="E36" s="91" t="n"/>
      <c r="F36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won"),INDEX(_Helper!BL2:BL501,MATCH(LARGE(_Helper!BH2:BH501,1),_Helper!BH2:BH501,0))),"-")</f>
        <v/>
      </c>
      <c r="G36" s="91" t="n"/>
      <c r="H36" s="91" t="n"/>
      <c r="I36" s="7" t="n"/>
      <c r="J36" s="179">
        <f>IFERROR(IF(N(INDEX(_Helper!CT2:CT501,MATCH(LARGE(_Helper!BH2:BH501,2),_Helper!BH2:BH501,0)))=0,"—",INDEX(_Helper!CH2:CH501,MATCH(LARGE(_Helper!BH2:BH501,2),_Helper!BH2:BH501,0))),"-")</f>
        <v/>
      </c>
      <c r="K36" s="91" t="n"/>
      <c r="L36" s="91" t="n"/>
      <c r="M36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won"),INDEX(_Helper!BL2:BL501,MATCH(LARGE(_Helper!BH2:BH501,2),_Helper!BH2:BH501,0))),"-")</f>
        <v/>
      </c>
      <c r="N36" s="91" t="n"/>
      <c r="O36" s="91" t="n"/>
      <c r="P36" s="7" t="n"/>
      <c r="Q36" s="180">
        <f>IFERROR(IF(N(INDEX(_Helper!CT2:CT501,MATCH(LARGE(_Helper!BH2:BH501,3),_Helper!BH2:BH501,0)))=0,"—",INDEX(_Helper!CH2:CH501,MATCH(LARGE(_Helper!BH2:BH501,3),_Helper!BH2:BH501,0))),"-")</f>
        <v/>
      </c>
      <c r="R36" s="91" t="n"/>
      <c r="S36" s="91" t="n"/>
      <c r="T36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won"),INDEX(_Helper!BL2:BL501,MATCH(LARGE(_Helper!BH2:BH501,3),_Helper!BH2:BH501,0))),"-")</f>
        <v/>
      </c>
      <c r="U36" s="91" t="n"/>
      <c r="V36" s="91" t="n"/>
    </row>
    <row r="37" ht="19.5" customHeight="1" s="74">
      <c r="A37" s="137" t="inlineStr">
        <is>
          <t>Systems Engineering</t>
        </is>
      </c>
      <c r="B37" s="91" t="n"/>
      <c r="C37" s="178">
        <f>IFERROR(IF(N(INDEX(_Helper!CT2:CT501,MATCH(LARGE(_Helper!BH2:BH501,1),_Helper!BH2:BH501,0)))=0,"—",INDEX(_Helper!CI2:CI501,MATCH(LARGE(_Helper!BH2:BH501,1),_Helper!BH2:BH501,0))),"-")</f>
        <v/>
      </c>
      <c r="D37" s="91" t="n"/>
      <c r="E37" s="91" t="n"/>
      <c r="F37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won"),INDEX(_Helper!BM2:BM501,MATCH(LARGE(_Helper!BH2:BH501,1),_Helper!BH2:BH501,0))),"-")</f>
        <v/>
      </c>
      <c r="G37" s="91" t="n"/>
      <c r="H37" s="91" t="n"/>
      <c r="I37" s="8" t="n"/>
      <c r="J37" s="179">
        <f>IFERROR(IF(N(INDEX(_Helper!CT2:CT501,MATCH(LARGE(_Helper!BH2:BH501,2),_Helper!BH2:BH501,0)))=0,"—",INDEX(_Helper!CI2:CI501,MATCH(LARGE(_Helper!BH2:BH501,2),_Helper!BH2:BH501,0))),"-")</f>
        <v/>
      </c>
      <c r="K37" s="91" t="n"/>
      <c r="L37" s="91" t="n"/>
      <c r="M37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won"),INDEX(_Helper!BM2:BM501,MATCH(LARGE(_Helper!BH2:BH501,2),_Helper!BH2:BH501,0))),"-")</f>
        <v/>
      </c>
      <c r="N37" s="91" t="n"/>
      <c r="O37" s="91" t="n"/>
      <c r="P37" s="8" t="n"/>
      <c r="Q37" s="180">
        <f>IFERROR(IF(N(INDEX(_Helper!CT2:CT501,MATCH(LARGE(_Helper!BH2:BH501,3),_Helper!BH2:BH501,0)))=0,"—",INDEX(_Helper!CI2:CI501,MATCH(LARGE(_Helper!BH2:BH501,3),_Helper!BH2:BH501,0))),"-")</f>
        <v/>
      </c>
      <c r="R37" s="91" t="n"/>
      <c r="S37" s="91" t="n"/>
      <c r="T37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won"),INDEX(_Helper!BM2:BM501,MATCH(LARGE(_Helper!BH2:BH501,3),_Helper!BH2:BH501,0))),"-")</f>
        <v/>
      </c>
      <c r="U37" s="91" t="n"/>
      <c r="V37" s="91" t="n"/>
    </row>
    <row r="38" ht="19.5" customHeight="1" s="74">
      <c r="A38" s="140" t="inlineStr">
        <is>
          <t>Mechanical Engineering</t>
        </is>
      </c>
      <c r="B38" s="91" t="n"/>
      <c r="C38" s="178">
        <f>IFERROR(IF(N(INDEX(_Helper!CT2:CT501,MATCH(LARGE(_Helper!BH2:BH501,1),_Helper!BH2:BH501,0)))=0,"—",INDEX(_Helper!CJ2:CJ501,MATCH(LARGE(_Helper!BH2:BH501,1),_Helper!BH2:BH501,0))),"-")</f>
        <v/>
      </c>
      <c r="D38" s="91" t="n"/>
      <c r="E38" s="91" t="n"/>
      <c r="F38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won"),INDEX(_Helper!BN2:BN501,MATCH(LARGE(_Helper!BH2:BH501,1),_Helper!BH2:BH501,0))),"-")</f>
        <v/>
      </c>
      <c r="G38" s="91" t="n"/>
      <c r="H38" s="91" t="n"/>
      <c r="I38" s="7" t="n"/>
      <c r="J38" s="179">
        <f>IFERROR(IF(N(INDEX(_Helper!CT2:CT501,MATCH(LARGE(_Helper!BH2:BH501,2),_Helper!BH2:BH501,0)))=0,"—",INDEX(_Helper!CJ2:CJ501,MATCH(LARGE(_Helper!BH2:BH501,2),_Helper!BH2:BH501,0))),"-")</f>
        <v/>
      </c>
      <c r="K38" s="91" t="n"/>
      <c r="L38" s="91" t="n"/>
      <c r="M38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won"),INDEX(_Helper!BN2:BN501,MATCH(LARGE(_Helper!BH2:BH501,2),_Helper!BH2:BH501,0))),"-")</f>
        <v/>
      </c>
      <c r="N38" s="91" t="n"/>
      <c r="O38" s="91" t="n"/>
      <c r="P38" s="7" t="n"/>
      <c r="Q38" s="180">
        <f>IFERROR(IF(N(INDEX(_Helper!CT2:CT501,MATCH(LARGE(_Helper!BH2:BH501,3),_Helper!BH2:BH501,0)))=0,"—",INDEX(_Helper!CJ2:CJ501,MATCH(LARGE(_Helper!BH2:BH501,3),_Helper!BH2:BH501,0))),"-")</f>
        <v/>
      </c>
      <c r="R38" s="91" t="n"/>
      <c r="S38" s="91" t="n"/>
      <c r="T38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won"),INDEX(_Helper!BN2:BN501,MATCH(LARGE(_Helper!BH2:BH501,3),_Helper!BH2:BH501,0))),"-")</f>
        <v/>
      </c>
      <c r="U38" s="91" t="n"/>
      <c r="V38" s="91" t="n"/>
    </row>
    <row r="39" ht="19.5" customHeight="1" s="74">
      <c r="A39" s="137" t="inlineStr">
        <is>
          <t>Structural Engineering</t>
        </is>
      </c>
      <c r="B39" s="91" t="n"/>
      <c r="C39" s="178">
        <f>IFERROR(IF(N(INDEX(_Helper!CT2:CT501,MATCH(LARGE(_Helper!BH2:BH501,1),_Helper!BH2:BH501,0)))=0,"—",INDEX(_Helper!CK2:CK501,MATCH(LARGE(_Helper!BH2:BH501,1),_Helper!BH2:BH501,0))),"-")</f>
        <v/>
      </c>
      <c r="D39" s="91" t="n"/>
      <c r="E39" s="91" t="n"/>
      <c r="F39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won"),INDEX(_Helper!BO2:BO501,MATCH(LARGE(_Helper!BH2:BH501,1),_Helper!BH2:BH501,0))),"-")</f>
        <v/>
      </c>
      <c r="G39" s="91" t="n"/>
      <c r="H39" s="91" t="n"/>
      <c r="I39" s="8" t="n"/>
      <c r="J39" s="179">
        <f>IFERROR(IF(N(INDEX(_Helper!CT2:CT501,MATCH(LARGE(_Helper!BH2:BH501,2),_Helper!BH2:BH501,0)))=0,"—",INDEX(_Helper!CK2:CK501,MATCH(LARGE(_Helper!BH2:BH501,2),_Helper!BH2:BH501,0))),"-")</f>
        <v/>
      </c>
      <c r="K39" s="91" t="n"/>
      <c r="L39" s="91" t="n"/>
      <c r="M39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won"),INDEX(_Helper!BO2:BO501,MATCH(LARGE(_Helper!BH2:BH501,2),_Helper!BH2:BH501,0))),"-")</f>
        <v/>
      </c>
      <c r="N39" s="91" t="n"/>
      <c r="O39" s="91" t="n"/>
      <c r="P39" s="8" t="n"/>
      <c r="Q39" s="180">
        <f>IFERROR(IF(N(INDEX(_Helper!CT2:CT501,MATCH(LARGE(_Helper!BH2:BH501,3),_Helper!BH2:BH501,0)))=0,"—",INDEX(_Helper!CK2:CK501,MATCH(LARGE(_Helper!BH2:BH501,3),_Helper!BH2:BH501,0))),"-")</f>
        <v/>
      </c>
      <c r="R39" s="91" t="n"/>
      <c r="S39" s="91" t="n"/>
      <c r="T39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won"),INDEX(_Helper!BO2:BO501,MATCH(LARGE(_Helper!BH2:BH501,3),_Helper!BH2:BH501,0))),"-")</f>
        <v/>
      </c>
      <c r="U39" s="91" t="n"/>
      <c r="V39" s="91" t="n"/>
    </row>
    <row r="40" ht="19.5" customHeight="1" s="74">
      <c r="A40" s="140" t="inlineStr">
        <is>
          <t>Site Supervision</t>
        </is>
      </c>
      <c r="B40" s="91" t="n"/>
      <c r="C40" s="178">
        <f>IFERROR(IF(N(INDEX(_Helper!CT2:CT501,MATCH(LARGE(_Helper!BH2:BH501,1),_Helper!BH2:BH501,0)))=0,"—",INDEX(_Helper!CL2:CL501,MATCH(LARGE(_Helper!BH2:BH501,1),_Helper!BH2:BH501,0))),"-")</f>
        <v/>
      </c>
      <c r="D40" s="91" t="n"/>
      <c r="E40" s="91" t="n"/>
      <c r="F40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won"),INDEX(_Helper!BP2:BP501,MATCH(LARGE(_Helper!BH2:BH501,1),_Helper!BH2:BH501,0))),"-")</f>
        <v/>
      </c>
      <c r="G40" s="91" t="n"/>
      <c r="H40" s="91" t="n"/>
      <c r="I40" s="7" t="n"/>
      <c r="J40" s="179">
        <f>IFERROR(IF(N(INDEX(_Helper!CT2:CT501,MATCH(LARGE(_Helper!BH2:BH501,2),_Helper!BH2:BH501,0)))=0,"—",INDEX(_Helper!CL2:CL501,MATCH(LARGE(_Helper!BH2:BH501,2),_Helper!BH2:BH501,0))),"-")</f>
        <v/>
      </c>
      <c r="K40" s="91" t="n"/>
      <c r="L40" s="91" t="n"/>
      <c r="M40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won"),INDEX(_Helper!BP2:BP501,MATCH(LARGE(_Helper!BH2:BH501,2),_Helper!BH2:BH501,0))),"-")</f>
        <v/>
      </c>
      <c r="N40" s="91" t="n"/>
      <c r="O40" s="91" t="n"/>
      <c r="P40" s="7" t="n"/>
      <c r="Q40" s="180">
        <f>IFERROR(IF(N(INDEX(_Helper!CT2:CT501,MATCH(LARGE(_Helper!BH2:BH501,3),_Helper!BH2:BH501,0)))=0,"—",INDEX(_Helper!CL2:CL501,MATCH(LARGE(_Helper!BH2:BH501,3),_Helper!BH2:BH501,0))),"-")</f>
        <v/>
      </c>
      <c r="R40" s="91" t="n"/>
      <c r="S40" s="91" t="n"/>
      <c r="T40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won"),INDEX(_Helper!BP2:BP501,MATCH(LARGE(_Helper!BH2:BH501,3),_Helper!BH2:BH501,0))),"-")</f>
        <v/>
      </c>
      <c r="U40" s="91" t="n"/>
      <c r="V40" s="91" t="n"/>
    </row>
    <row r="41" ht="19.5" customHeight="1" s="74">
      <c r="A41" s="137" t="inlineStr">
        <is>
          <t>Controls Commissioning</t>
        </is>
      </c>
      <c r="B41" s="91" t="n"/>
      <c r="C41" s="178">
        <f>IFERROR(IF(N(INDEX(_Helper!CT2:CT501,MATCH(LARGE(_Helper!BH2:BH501,1),_Helper!BH2:BH501,0)))=0,"—",INDEX(_Helper!CM2:CM501,MATCH(LARGE(_Helper!BH2:BH501,1),_Helper!BH2:BH501,0))),"-")</f>
        <v/>
      </c>
      <c r="D41" s="91" t="n"/>
      <c r="E41" s="91" t="n"/>
      <c r="F41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won"),INDEX(_Helper!BQ2:BQ501,MATCH(LARGE(_Helper!BH2:BH501,1),_Helper!BH2:BH501,0))),"-")</f>
        <v/>
      </c>
      <c r="G41" s="91" t="n"/>
      <c r="H41" s="91" t="n"/>
      <c r="I41" s="8" t="n"/>
      <c r="J41" s="179">
        <f>IFERROR(IF(N(INDEX(_Helper!CT2:CT501,MATCH(LARGE(_Helper!BH2:BH501,2),_Helper!BH2:BH501,0)))=0,"—",INDEX(_Helper!CM2:CM501,MATCH(LARGE(_Helper!BH2:BH501,2),_Helper!BH2:BH501,0))),"-")</f>
        <v/>
      </c>
      <c r="K41" s="91" t="n"/>
      <c r="L41" s="91" t="n"/>
      <c r="M41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won"),INDEX(_Helper!BQ2:BQ501,MATCH(LARGE(_Helper!BH2:BH501,2),_Helper!BH2:BH501,0))),"-")</f>
        <v/>
      </c>
      <c r="N41" s="91" t="n"/>
      <c r="O41" s="91" t="n"/>
      <c r="P41" s="8" t="n"/>
      <c r="Q41" s="180">
        <f>IFERROR(IF(N(INDEX(_Helper!CT2:CT501,MATCH(LARGE(_Helper!BH2:BH501,3),_Helper!BH2:BH501,0)))=0,"—",INDEX(_Helper!CM2:CM501,MATCH(LARGE(_Helper!BH2:BH501,3),_Helper!BH2:BH501,0))),"-")</f>
        <v/>
      </c>
      <c r="R41" s="91" t="n"/>
      <c r="S41" s="91" t="n"/>
      <c r="T41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won"),INDEX(_Helper!BQ2:BQ501,MATCH(LARGE(_Helper!BH2:BH501,3),_Helper!BH2:BH501,0))),"-")</f>
        <v/>
      </c>
      <c r="U41" s="91" t="n"/>
      <c r="V41" s="91" t="n"/>
    </row>
    <row r="42" ht="19.5" customHeight="1" s="74">
      <c r="A42" s="140" t="inlineStr">
        <is>
          <t>Systems Commissioning</t>
        </is>
      </c>
      <c r="B42" s="91" t="n"/>
      <c r="C42" s="178">
        <f>IFERROR(IF(N(INDEX(_Helper!CT2:CT501,MATCH(LARGE(_Helper!BH2:BH501,1),_Helper!BH2:BH501,0)))=0,"—",INDEX(_Helper!CN2:CN501,MATCH(LARGE(_Helper!BH2:BH501,1),_Helper!BH2:BH501,0))),"-")</f>
        <v/>
      </c>
      <c r="D42" s="91" t="n"/>
      <c r="E42" s="91" t="n"/>
      <c r="F42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won"),INDEX(_Helper!BR2:BR501,MATCH(LARGE(_Helper!BH2:BH501,1),_Helper!BH2:BH501,0))),"-")</f>
        <v/>
      </c>
      <c r="G42" s="91" t="n"/>
      <c r="H42" s="91" t="n"/>
      <c r="I42" s="7" t="n"/>
      <c r="J42" s="179">
        <f>IFERROR(IF(N(INDEX(_Helper!CT2:CT501,MATCH(LARGE(_Helper!BH2:BH501,2),_Helper!BH2:BH501,0)))=0,"—",INDEX(_Helper!CN2:CN501,MATCH(LARGE(_Helper!BH2:BH501,2),_Helper!BH2:BH501,0))),"-")</f>
        <v/>
      </c>
      <c r="K42" s="91" t="n"/>
      <c r="L42" s="91" t="n"/>
      <c r="M42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won"),INDEX(_Helper!BR2:BR501,MATCH(LARGE(_Helper!BH2:BH501,2),_Helper!BH2:BH501,0))),"-")</f>
        <v/>
      </c>
      <c r="N42" s="91" t="n"/>
      <c r="O42" s="91" t="n"/>
      <c r="P42" s="7" t="n"/>
      <c r="Q42" s="180">
        <f>IFERROR(IF(N(INDEX(_Helper!CT2:CT501,MATCH(LARGE(_Helper!BH2:BH501,3),_Helper!BH2:BH501,0)))=0,"—",INDEX(_Helper!CN2:CN501,MATCH(LARGE(_Helper!BH2:BH501,3),_Helper!BH2:BH501,0))),"-")</f>
        <v/>
      </c>
      <c r="R42" s="91" t="n"/>
      <c r="S42" s="91" t="n"/>
      <c r="T42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won"),INDEX(_Helper!BR2:BR501,MATCH(LARGE(_Helper!BH2:BH501,3),_Helper!BH2:BH501,0))),"-")</f>
        <v/>
      </c>
      <c r="U42" s="91" t="n"/>
      <c r="V42" s="91" t="n"/>
    </row>
    <row r="43" ht="19.5" customHeight="1" s="74">
      <c r="A43" s="137" t="inlineStr">
        <is>
          <t>Service Commissioning</t>
        </is>
      </c>
      <c r="B43" s="91" t="n"/>
      <c r="C43" s="178">
        <f>IFERROR(IF(N(INDEX(_Helper!CT2:CT501,MATCH(LARGE(_Helper!BH2:BH501,1),_Helper!BH2:BH501,0)))=0,"—",INDEX(_Helper!CO2:CO501,MATCH(LARGE(_Helper!BH2:BH501,1),_Helper!BH2:BH501,0))),"-")</f>
        <v/>
      </c>
      <c r="D43" s="91" t="n"/>
      <c r="E43" s="91" t="n"/>
      <c r="F43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won"),INDEX(_Helper!BS2:BS501,MATCH(LARGE(_Helper!BH2:BH501,1),_Helper!BH2:BH501,0))),"-")</f>
        <v/>
      </c>
      <c r="G43" s="91" t="n"/>
      <c r="H43" s="91" t="n"/>
      <c r="I43" s="8" t="n"/>
      <c r="J43" s="179">
        <f>IFERROR(IF(N(INDEX(_Helper!CT2:CT501,MATCH(LARGE(_Helper!BH2:BH501,2),_Helper!BH2:BH501,0)))=0,"—",INDEX(_Helper!CO2:CO501,MATCH(LARGE(_Helper!BH2:BH501,2),_Helper!BH2:BH501,0))),"-")</f>
        <v/>
      </c>
      <c r="K43" s="91" t="n"/>
      <c r="L43" s="91" t="n"/>
      <c r="M43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won"),INDEX(_Helper!BS2:BS501,MATCH(LARGE(_Helper!BH2:BH501,2),_Helper!BH2:BH501,0))),"-")</f>
        <v/>
      </c>
      <c r="N43" s="91" t="n"/>
      <c r="O43" s="91" t="n"/>
      <c r="P43" s="8" t="n"/>
      <c r="Q43" s="180">
        <f>IFERROR(IF(N(INDEX(_Helper!CT2:CT501,MATCH(LARGE(_Helper!BH2:BH501,3),_Helper!BH2:BH501,0)))=0,"—",INDEX(_Helper!CO2:CO501,MATCH(LARGE(_Helper!BH2:BH501,3),_Helper!BH2:BH501,0))),"-")</f>
        <v/>
      </c>
      <c r="R43" s="91" t="n"/>
      <c r="S43" s="91" t="n"/>
      <c r="T43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won"),INDEX(_Helper!BS2:BS501,MATCH(LARGE(_Helper!BH2:BH501,3),_Helper!BH2:BH501,0))),"-")</f>
        <v/>
      </c>
      <c r="U43" s="91" t="n"/>
      <c r="V43" s="91" t="n"/>
    </row>
    <row r="44" ht="19.5" customHeight="1" s="74">
      <c r="A44" s="140" t="inlineStr">
        <is>
          <t>Controls Engineering</t>
        </is>
      </c>
      <c r="B44" s="91" t="n"/>
      <c r="C44" s="178">
        <f>IFERROR(IF(N(INDEX(_Helper!CT2:CT501,MATCH(LARGE(_Helper!BH2:BH501,1),_Helper!BH2:BH501,0)))=0,"—",INDEX(_Helper!CP2:CP501,MATCH(LARGE(_Helper!BH2:BH501,1),_Helper!BH2:BH501,0))),"-")</f>
        <v/>
      </c>
      <c r="D44" s="91" t="n"/>
      <c r="E44" s="91" t="n"/>
      <c r="F44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won"),INDEX(_Helper!BT2:BT501,MATCH(LARGE(_Helper!BH2:BH501,1),_Helper!BH2:BH501,0))),"-")</f>
        <v/>
      </c>
      <c r="G44" s="91" t="n"/>
      <c r="H44" s="91" t="n"/>
      <c r="I44" s="7" t="n"/>
      <c r="J44" s="179">
        <f>IFERROR(IF(N(INDEX(_Helper!CT2:CT501,MATCH(LARGE(_Helper!BH2:BH501,2),_Helper!BH2:BH501,0)))=0,"—",INDEX(_Helper!CP2:CP501,MATCH(LARGE(_Helper!BH2:BH501,2),_Helper!BH2:BH501,0))),"-")</f>
        <v/>
      </c>
      <c r="K44" s="91" t="n"/>
      <c r="L44" s="91" t="n"/>
      <c r="M44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won"),INDEX(_Helper!BT2:BT501,MATCH(LARGE(_Helper!BH2:BH501,2),_Helper!BH2:BH501,0))),"-")</f>
        <v/>
      </c>
      <c r="N44" s="91" t="n"/>
      <c r="O44" s="91" t="n"/>
      <c r="P44" s="7" t="n"/>
      <c r="Q44" s="180">
        <f>IFERROR(IF(N(INDEX(_Helper!CT2:CT501,MATCH(LARGE(_Helper!BH2:BH501,3),_Helper!BH2:BH501,0)))=0,"—",INDEX(_Helper!CP2:CP501,MATCH(LARGE(_Helper!BH2:BH501,3),_Helper!BH2:BH501,0))),"-")</f>
        <v/>
      </c>
      <c r="R44" s="91" t="n"/>
      <c r="S44" s="91" t="n"/>
      <c r="T44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won"),INDEX(_Helper!BT2:BT501,MATCH(LARGE(_Helper!BH2:BH501,3),_Helper!BH2:BH501,0))),"-")</f>
        <v/>
      </c>
      <c r="U44" s="91" t="n"/>
      <c r="V44" s="91" t="n"/>
    </row>
    <row r="45" ht="19.5" customHeight="1" s="74">
      <c r="A45" s="137" t="inlineStr">
        <is>
          <t>Controls Purchase</t>
        </is>
      </c>
      <c r="B45" s="91" t="n"/>
      <c r="C45" s="178">
        <f>IFERROR(IF(N(INDEX(_Helper!CT2:CT501,MATCH(LARGE(_Helper!BH2:BH501,1),_Helper!BH2:BH501,0)))=0,"—",INDEX(_Helper!CQ2:CQ501,MATCH(LARGE(_Helper!BH2:BH501,1),_Helper!BH2:BH501,0))),"-")</f>
        <v/>
      </c>
      <c r="D45" s="91" t="n"/>
      <c r="E45" s="91" t="n"/>
      <c r="F45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won"),INDEX(_Helper!BU2:BU501,MATCH(LARGE(_Helper!BH2:BH501,1),_Helper!BH2:BH501,0))),"-")</f>
        <v/>
      </c>
      <c r="G45" s="91" t="n"/>
      <c r="H45" s="91" t="n"/>
      <c r="I45" s="8" t="n"/>
      <c r="J45" s="179">
        <f>IFERROR(IF(N(INDEX(_Helper!CT2:CT501,MATCH(LARGE(_Helper!BH2:BH501,2),_Helper!BH2:BH501,0)))=0,"—",INDEX(_Helper!CQ2:CQ501,MATCH(LARGE(_Helper!BH2:BH501,2),_Helper!BH2:BH501,0))),"-")</f>
        <v/>
      </c>
      <c r="K45" s="91" t="n"/>
      <c r="L45" s="91" t="n"/>
      <c r="M45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won"),INDEX(_Helper!BU2:BU501,MATCH(LARGE(_Helper!BH2:BH501,2),_Helper!BH2:BH501,0))),"-")</f>
        <v/>
      </c>
      <c r="N45" s="91" t="n"/>
      <c r="O45" s="91" t="n"/>
      <c r="P45" s="8" t="n"/>
      <c r="Q45" s="180">
        <f>IFERROR(IF(N(INDEX(_Helper!CT2:CT501,MATCH(LARGE(_Helper!BH2:BH501,3),_Helper!BH2:BH501,0)))=0,"—",INDEX(_Helper!CQ2:CQ501,MATCH(LARGE(_Helper!BH2:BH501,3),_Helper!BH2:BH501,0))),"-")</f>
        <v/>
      </c>
      <c r="R45" s="91" t="n"/>
      <c r="S45" s="91" t="n"/>
      <c r="T45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won"),INDEX(_Helper!BU2:BU501,MATCH(LARGE(_Helper!BH2:BH501,3),_Helper!BH2:BH501,0))),"-")</f>
        <v/>
      </c>
      <c r="U45" s="91" t="n"/>
      <c r="V45" s="91" t="n"/>
    </row>
    <row r="46" ht="19.5" customHeight="1" s="74">
      <c r="A46" s="140" t="inlineStr">
        <is>
          <t>Software Engineering</t>
        </is>
      </c>
      <c r="B46" s="91" t="n"/>
      <c r="C46" s="178">
        <f>IFERROR(IF(N(INDEX(_Helper!CT2:CT501,MATCH(LARGE(_Helper!BH2:BH501,1),_Helper!BH2:BH501,0)))=0,"—",INDEX(_Helper!CR2:CR501,MATCH(LARGE(_Helper!BH2:BH501,1),_Helper!BH2:BH501,0))),"-")</f>
        <v/>
      </c>
      <c r="D46" s="91" t="n"/>
      <c r="E46" s="91" t="n"/>
      <c r="F46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won"),INDEX(_Helper!BV2:BV501,MATCH(LARGE(_Helper!BH2:BH501,1),_Helper!BH2:BH501,0))),"-")</f>
        <v/>
      </c>
      <c r="G46" s="91" t="n"/>
      <c r="H46" s="91" t="n"/>
      <c r="I46" s="7" t="n"/>
      <c r="J46" s="179">
        <f>IFERROR(IF(N(INDEX(_Helper!CT2:CT501,MATCH(LARGE(_Helper!BH2:BH501,2),_Helper!BH2:BH501,0)))=0,"—",INDEX(_Helper!CR2:CR501,MATCH(LARGE(_Helper!BH2:BH501,2),_Helper!BH2:BH501,0))),"-")</f>
        <v/>
      </c>
      <c r="K46" s="91" t="n"/>
      <c r="L46" s="91" t="n"/>
      <c r="M46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won"),INDEX(_Helper!BV2:BV501,MATCH(LARGE(_Helper!BH2:BH501,2),_Helper!BH2:BH501,0))),"-")</f>
        <v/>
      </c>
      <c r="N46" s="91" t="n"/>
      <c r="O46" s="91" t="n"/>
      <c r="P46" s="7" t="n"/>
      <c r="Q46" s="180">
        <f>IFERROR(IF(N(INDEX(_Helper!CT2:CT501,MATCH(LARGE(_Helper!BH2:BH501,3),_Helper!BH2:BH501,0)))=0,"—",INDEX(_Helper!CR2:CR501,MATCH(LARGE(_Helper!BH2:BH501,3),_Helper!BH2:BH501,0))),"-")</f>
        <v/>
      </c>
      <c r="R46" s="91" t="n"/>
      <c r="S46" s="91" t="n"/>
      <c r="T46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won"),INDEX(_Helper!BV2:BV501,MATCH(LARGE(_Helper!BH2:BH501,3),_Helper!BH2:BH501,0))),"-")</f>
        <v/>
      </c>
      <c r="U46" s="91" t="n"/>
      <c r="V46" s="91" t="n"/>
    </row>
    <row r="47" ht="19.5" customHeight="1" s="74">
      <c r="A47" s="137" t="inlineStr">
        <is>
          <t>Miscellaneous</t>
        </is>
      </c>
      <c r="B47" s="91" t="n"/>
      <c r="C47" s="178">
        <f>IFERROR(IF(N(INDEX(_Helper!CT2:CT501,MATCH(LARGE(_Helper!BH2:BH501,1),_Helper!BH2:BH501,0)))=0,"—",INDEX(_Helper!CS2:CS501,MATCH(LARGE(_Helper!BH2:BH501,1),_Helper!BH2:BH501,0))),"-")</f>
        <v/>
      </c>
      <c r="D47" s="91" t="n"/>
      <c r="E47" s="91" t="n"/>
      <c r="F47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won"),INDEX(_Helper!BW2:BW501,MATCH(LARGE(_Helper!BH2:BH501,1),_Helper!BH2:BH501,0))),"-")</f>
        <v/>
      </c>
      <c r="G47" s="91" t="n"/>
      <c r="H47" s="91" t="n"/>
      <c r="I47" s="8" t="n"/>
      <c r="J47" s="179">
        <f>IFERROR(IF(N(INDEX(_Helper!CT2:CT501,MATCH(LARGE(_Helper!BH2:BH501,2),_Helper!BH2:BH501,0)))=0,"—",INDEX(_Helper!CS2:CS501,MATCH(LARGE(_Helper!BH2:BH501,2),_Helper!BH2:BH501,0))),"-")</f>
        <v/>
      </c>
      <c r="K47" s="91" t="n"/>
      <c r="L47" s="91" t="n"/>
      <c r="M47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won"),INDEX(_Helper!BW2:BW501,MATCH(LARGE(_Helper!BH2:BH501,2),_Helper!BH2:BH501,0))),"-")</f>
        <v/>
      </c>
      <c r="N47" s="91" t="n"/>
      <c r="O47" s="91" t="n"/>
      <c r="P47" s="8" t="n"/>
      <c r="Q47" s="180">
        <f>IFERROR(IF(N(INDEX(_Helper!CT2:CT501,MATCH(LARGE(_Helper!BH2:BH501,3),_Helper!BH2:BH501,0)))=0,"—",INDEX(_Helper!CS2:CS501,MATCH(LARGE(_Helper!BH2:BH501,3),_Helper!BH2:BH501,0))),"-")</f>
        <v/>
      </c>
      <c r="R47" s="91" t="n"/>
      <c r="S47" s="91" t="n"/>
      <c r="T47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won"),INDEX(_Helper!BW2:BW501,MATCH(LARGE(_Helper!BH2:BH501,3),_Helper!BH2:BH501,0))),"-")</f>
        <v/>
      </c>
      <c r="U47" s="91" t="n"/>
      <c r="V47" s="91" t="n"/>
    </row>
    <row r="48" ht="19.5" customHeight="1" s="74">
      <c r="A48" s="134" t="inlineStr">
        <is>
          <t>TOTAL MANHOUR COST</t>
        </is>
      </c>
      <c r="B48" s="91" t="n"/>
      <c r="C48" s="181">
        <f>IFERROR(IF(N(INDEX(_Helper!CT2:CT501,MATCH(LARGE(_Helper!BH2:BH501,1),_Helper!BH2:BH501,0)))=0,"No data",INDEX(_Helper!CT2:CT501,MATCH(LARGE(_Helper!BH2:BH501,1),_Helper!BH2:BH501,0))),"-")</f>
        <v/>
      </c>
      <c r="D48" s="91" t="n"/>
      <c r="E48" s="91" t="n"/>
      <c r="F48" s="198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won"),INDEX(_Helper!BX2:BX501,MATCH(LARGE(_Helper!BH2:BH501,1),_Helper!BH2:BH501,0))),"-")</f>
        <v/>
      </c>
      <c r="G48" s="91" t="n"/>
      <c r="H48" s="91" t="n"/>
      <c r="I48" s="9" t="n"/>
      <c r="J48" s="182">
        <f>IFERROR(IF(N(INDEX(_Helper!CT2:CT501,MATCH(LARGE(_Helper!BH2:BH501,2),_Helper!BH2:BH501,0)))=0,"No data",INDEX(_Helper!CT2:CT501,MATCH(LARGE(_Helper!BH2:BH501,2),_Helper!BH2:BH501,0))),"-")</f>
        <v/>
      </c>
      <c r="K48" s="91" t="n"/>
      <c r="L48" s="91" t="n"/>
      <c r="M48" s="198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data",N(INDEX(_Helper!BX2:BX501,MATCH(LARGE(_Helper!BH2:BH501,2),_Helper!BH2:BH501,0)))=0),IF(INDEX(_Helper!CC2:CC501,MATCH(LARGE(_Helper!BH2:BH501,2),_Helper!BH2:BH501,0))="Yes","No data","Not won"),INDEX(_Helper!BX2:BX501,MATCH(LARGE(_Helper!BH2:BH501,2),_Helper!BH2:BH501,0))),"-")</f>
        <v/>
      </c>
      <c r="N48" s="91" t="n"/>
      <c r="O48" s="91" t="n"/>
      <c r="P48" s="9" t="n"/>
      <c r="Q48" s="183">
        <f>IFERROR(IF(N(INDEX(_Helper!CT2:CT501,MATCH(LARGE(_Helper!BH2:BH501,3),_Helper!BH2:BH501,0)))=0,"No data",INDEX(_Helper!CT2:CT501,MATCH(LARGE(_Helper!BH2:BH501,3),_Helper!BH2:BH501,0))),"-")</f>
        <v/>
      </c>
      <c r="R48" s="91" t="n"/>
      <c r="S48" s="91" t="n"/>
      <c r="T48" s="198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data",N(INDEX(_Helper!BX2:BX501,MATCH(LARGE(_Helper!BH2:BH501,3),_Helper!BH2:BH501,0)))=0),IF(INDEX(_Helper!CC2:CC501,MATCH(LARGE(_Helper!BH2:BH501,3),_Helper!BH2:BH501,0))="Yes","No data","Not won"),INDEX(_Helper!BX2:BX501,MATCH(LARGE(_Helper!BH2:BH501,3),_Helper!BH2:BH501,0))),"-")</f>
        <v/>
      </c>
      <c r="U48" s="91" t="n"/>
      <c r="V48" s="91" t="n"/>
    </row>
    <row r="49" ht="19.5" customHeight="1" s="74">
      <c r="A49" s="140" t="inlineStr">
        <is>
          <t>Project cost (M)</t>
        </is>
      </c>
      <c r="B49" s="91" t="n"/>
      <c r="C49" s="135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D49" s="91" t="n"/>
      <c r="E49" s="91" t="n"/>
      <c r="F49" s="91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G49" s="91" t="n"/>
      <c r="H49" s="91" t="n"/>
      <c r="I49" s="7" t="n"/>
      <c r="J49" s="136">
        <f>IFERROR(IF(N(INDEX(_Helper!CU2:CU501,MATCH(LARGE(_Helper!BH2:BH501,2),_Helper!BH2:BH501,0)))&gt;0,INDEX(_Helper!T2:T501,MATCH(LARGE(_Helper!BH2:BH501,2),_Helper!BH2:BH501,0))&amp;" "&amp;TEXT(INDEX(_Helper!CU2:CU501,MATCH(LARGE(_Helper!BH2:BH501,2),_Helper!BH2:BH501,0)),"#,##0.00")&amp;" M","—"),"-")</f>
        <v/>
      </c>
      <c r="K49" s="91" t="n"/>
      <c r="L49" s="91" t="n"/>
      <c r="M49" s="91">
        <f>IFERROR(IF(N(INDEX(_Helper!CV2:CV501,MATCH(LARGE(_Helper!BH2:BH501,2),_Helper!BH2:BH501,0)))&gt;0,INDEX(_Helper!T2:T501,MATCH(LARGE(_Helper!BH2:BH501,2),_Helper!BH2:BH501,0))&amp;" "&amp;TEXT(INDEX(_Helper!CV2:CV501,MATCH(LARGE(_Helper!BH2:BH501,2),_Helper!BH2:BH501,0)),"#,##0.00")&amp;" M","—"),"-")</f>
        <v/>
      </c>
      <c r="N49" s="91" t="n"/>
      <c r="O49" s="91" t="n"/>
      <c r="P49" s="7" t="n"/>
      <c r="Q49" s="138">
        <f>IFERROR(IF(N(INDEX(_Helper!CU2:CU501,MATCH(LARGE(_Helper!BH2:BH501,3),_Helper!BH2:BH501,0)))&gt;0,INDEX(_Helper!T2:T501,MATCH(LARGE(_Helper!BH2:BH501,3),_Helper!BH2:BH501,0))&amp;" "&amp;TEXT(INDEX(_Helper!CU2:CU501,MATCH(LARGE(_Helper!BH2:BH501,3),_Helper!BH2:BH501,0)),"#,##0.00")&amp;" M","—"),"-")</f>
        <v/>
      </c>
      <c r="R49" s="91" t="n"/>
      <c r="S49" s="91" t="n"/>
      <c r="T49" s="91">
        <f>IFERROR(IF(N(INDEX(_Helper!CV2:CV501,MATCH(LARGE(_Helper!BH2:BH501,3),_Helper!BH2:BH501,0)))&gt;0,INDEX(_Helper!T2:T501,MATCH(LARGE(_Helper!BH2:BH501,3),_Helper!BH2:BH501,0))&amp;" "&amp;TEXT(INDEX(_Helper!CV2:CV501,MATCH(LARGE(_Helper!BH2:BH501,3),_Helper!BH2:BH501,0)),"#,##0.00")&amp;" M","—"),"-")</f>
        <v/>
      </c>
      <c r="U49" s="91" t="n"/>
      <c r="V49" s="91" t="n"/>
    </row>
    <row r="50" ht="19.5" customHeight="1" s="74">
      <c r="A50" s="137" t="inlineStr">
        <is>
          <t>Manhour cost (M)</t>
        </is>
      </c>
      <c r="B50" s="91" t="n"/>
      <c r="C50" s="135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D50" s="91" t="n"/>
      <c r="E50" s="91" t="n"/>
      <c r="F50" s="91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G50" s="91" t="n"/>
      <c r="H50" s="91" t="n"/>
      <c r="I50" s="8" t="n"/>
      <c r="J50" s="136">
        <f>IFERROR(IF(OR(N(INDEX(_Helper!CT2:CT501,MATCH(LARGE(_Helper!BH2:BH501,2),_Helper!BH2:BH501,0)))=0,N(INDEX(_Helper!CU2:CU501,MATCH(LARGE(_Helper!BH2:BH501,2),_Helper!BH2:BH501,0)))=0),"—",INDEX(_Helper!T2:T501,MATCH(LARGE(_Helper!BH2:BH501,2),_Helper!BH2:BH501,0))&amp;" "&amp;TEXT(INDEX(_Helper!CT2:CT501,MATCH(LARGE(_Helper!BH2:BH501,2),_Helper!BH2:BH501,0))*INDEX(_Helper!CU2:CU501,MATCH(LARGE(_Helper!BH2:BH501,2),_Helper!BH2:BH501,0)),"#,##0.00")&amp;" M"),"-")</f>
        <v/>
      </c>
      <c r="K50" s="91" t="n"/>
      <c r="L50" s="91" t="n"/>
      <c r="M50" s="91">
        <f>IFERROR(IF(OR(OR(INDEX(_Helper!CE2:CE501,MATCH(LARGE(_Helper!BH2:BH501,2),_Helper!BH2:BH501,0))="",INDEX(_Helper!CE2:CE501,MATCH(LARGE(_Helper!BH2:BH501,2),_Helper!BH2:BH501,0))="No data",N(INDEX(_Helper!BX2:BX501,MATCH(LARGE(_Helper!BH2:BH501,2),_Helper!BH2:BH501,0)))=0),N(INDEX(_Helper!CV2:CV501,MATCH(LARGE(_Helper!BH2:BH501,2),_Helper!BH2:BH501,0)))=0),"—",INDEX(_Helper!T2:T501,MATCH(LARGE(_Helper!BH2:BH501,2),_Helper!BH2:BH501,0))&amp;" "&amp;TEXT(INDEX(_Helper!BX2:BX501,MATCH(LARGE(_Helper!BH2:BH501,2),_Helper!BH2:BH501,0))*INDEX(_Helper!CV2:CV501,MATCH(LARGE(_Helper!BH2:BH501,2),_Helper!BH2:BH501,0)),"#,##0.00")&amp;" M"),"-")</f>
        <v/>
      </c>
      <c r="N50" s="91" t="n"/>
      <c r="O50" s="91" t="n"/>
      <c r="P50" s="8" t="n"/>
      <c r="Q50" s="138">
        <f>IFERROR(IF(OR(N(INDEX(_Helper!CT2:CT501,MATCH(LARGE(_Helper!BH2:BH501,3),_Helper!BH2:BH501,0)))=0,N(INDEX(_Helper!CU2:CU501,MATCH(LARGE(_Helper!BH2:BH501,3),_Helper!BH2:BH501,0)))=0),"—",INDEX(_Helper!T2:T501,MATCH(LARGE(_Helper!BH2:BH501,3),_Helper!BH2:BH501,0))&amp;" "&amp;TEXT(INDEX(_Helper!CT2:CT501,MATCH(LARGE(_Helper!BH2:BH501,3),_Helper!BH2:BH501,0))*INDEX(_Helper!CU2:CU501,MATCH(LARGE(_Helper!BH2:BH501,3),_Helper!BH2:BH501,0)),"#,##0.00")&amp;" M"),"-")</f>
        <v/>
      </c>
      <c r="R50" s="91" t="n"/>
      <c r="S50" s="91" t="n"/>
      <c r="T50" s="91">
        <f>IFERROR(IF(OR(OR(INDEX(_Helper!CE2:CE501,MATCH(LARGE(_Helper!BH2:BH501,3),_Helper!BH2:BH501,0))="",INDEX(_Helper!CE2:CE501,MATCH(LARGE(_Helper!BH2:BH501,3),_Helper!BH2:BH501,0))="No data",N(INDEX(_Helper!BX2:BX501,MATCH(LARGE(_Helper!BH2:BH501,3),_Helper!BH2:BH501,0)))=0),N(INDEX(_Helper!CV2:CV501,MATCH(LARGE(_Helper!BH2:BH501,3),_Helper!BH2:BH501,0)))=0),"—",INDEX(_Helper!T2:T501,MATCH(LARGE(_Helper!BH2:BH501,3),_Helper!BH2:BH501,0))&amp;" "&amp;TEXT(INDEX(_Helper!BX2:BX501,MATCH(LARGE(_Helper!BH2:BH501,3),_Helper!BH2:BH501,0))*INDEX(_Helper!CV2:CV501,MATCH(LARGE(_Helper!BH2:BH501,3),_Helper!BH2:BH501,0)),"#,##0.00")&amp;" M"),"-")</f>
        <v/>
      </c>
      <c r="U50" s="91" t="n"/>
      <c r="V50" s="91" t="n"/>
    </row>
    <row r="51" ht="19.5" customHeight="1" s="74">
      <c r="A51" s="140" t="inlineStr">
        <is>
          <t>Actual data status</t>
        </is>
      </c>
      <c r="B51" s="91" t="n"/>
      <c r="C51" s="135" t="n"/>
      <c r="D51" s="91" t="n"/>
      <c r="E51" s="91" t="n"/>
      <c r="F51" s="91">
        <f>IFERROR(IF(INDEX(_Helper!CC2:CC501,MATCH(LARGE(_Helper!BH2:BH501,1),_Helper!BH2:BH501,0))&lt;&gt;"Yes","Not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set)",INDEX(_Helper!CE2:CE501,MATCH(LARGE(_Helper!BH2:BH501,1),_Helper!BH2:BH501,0)))),"-")</f>
        <v/>
      </c>
      <c r="G51" s="91" t="n"/>
      <c r="H51" s="91" t="n"/>
      <c r="I51" s="7" t="n"/>
      <c r="J51" s="136" t="n"/>
      <c r="K51" s="91" t="n"/>
      <c r="L51" s="91" t="n"/>
      <c r="M51" s="91">
        <f>IFERROR(IF(INDEX(_Helper!CC2:CC501,MATCH(LARGE(_Helper!BH2:BH501,2),_Helper!BH2:BH501,0))&lt;&gt;"Yes","Not won",IF(INDEX(_Helper!CE2:CE501,MATCH(LARGE(_Helper!BH2:BH501,2),_Helper!BH2:BH501,0))="","(not set)",INDEX(_Helper!CE2:CE501,MATCH(LARGE(_Helper!BH2:BH501,2),_Helper!BH2:BH501,0)))),"-")</f>
        <v/>
      </c>
      <c r="N51" s="91" t="n"/>
      <c r="O51" s="91" t="n"/>
      <c r="P51" s="7" t="n"/>
      <c r="Q51" s="138" t="n"/>
      <c r="R51" s="91" t="n"/>
      <c r="S51" s="91" t="n"/>
      <c r="T51" s="91">
        <f>IFERROR(IF(INDEX(_Helper!CC2:CC501,MATCH(LARGE(_Helper!BH2:BH501,3),_Helper!BH2:BH501,0))&lt;&gt;"Yes","Not won",IF(INDEX(_Helper!CE2:CE501,MATCH(LARGE(_Helper!BH2:BH501,3),_Helper!BH2:BH501,0))="","(not set)",INDEX(_Helper!CE2:CE501,MATCH(LARGE(_Helper!BH2:BH501,3),_Helper!BH2:BH501,0)))),"-")</f>
        <v/>
      </c>
      <c r="U51" s="91" t="n"/>
      <c r="V51" s="91" t="n"/>
    </row>
    <row r="52" ht="19.5" customHeight="1" s="74">
      <c r="A52" s="177" t="inlineStr">
        <is>
          <t xml:space="preserve">  AUTOMATION EQUIPMENT &amp; NOTES</t>
        </is>
      </c>
    </row>
    <row r="53" ht="39.75" customHeight="1" s="74">
      <c r="A53" s="140" t="inlineStr">
        <is>
          <t>Automation Equipment</t>
        </is>
      </c>
      <c r="B53" s="91" t="n"/>
      <c r="C53" s="135">
        <f>IFERROR(INDEX(_Helper!AZ2:AZ501,MATCH(LARGE(_Helper!BH2:BH501,1),_Helper!BH2:BH501,0)),"-")</f>
        <v/>
      </c>
      <c r="D53" s="91" t="n"/>
      <c r="E53" s="91" t="n"/>
      <c r="F53" s="91" t="n"/>
      <c r="G53" s="91" t="n"/>
      <c r="H53" s="91" t="n"/>
      <c r="I53" s="7" t="n"/>
      <c r="J53" s="136">
        <f>IFERROR(INDEX(_Helper!AZ2:AZ501,MATCH(LARGE(_Helper!BH2:BH501,2),_Helper!BH2:BH501,0)),"-")</f>
        <v/>
      </c>
      <c r="K53" s="91" t="n"/>
      <c r="L53" s="91" t="n"/>
      <c r="M53" s="91" t="n"/>
      <c r="N53" s="91" t="n"/>
      <c r="O53" s="91" t="n"/>
      <c r="P53" s="7" t="n"/>
      <c r="Q53" s="138">
        <f>IFERROR(INDEX(_Helper!AZ2:AZ501,MATCH(LARGE(_Helper!BH2:BH501,3),_Helper!BH2:BH501,0)),"-")</f>
        <v/>
      </c>
      <c r="R53" s="91" t="n"/>
      <c r="S53" s="91" t="n"/>
      <c r="T53" s="91" t="n"/>
      <c r="U53" s="91" t="n"/>
      <c r="V53" s="91" t="n"/>
    </row>
    <row r="54" ht="49.5" customHeight="1" s="74">
      <c r="A54" s="137" t="inlineStr">
        <is>
          <t>Notes / Lessons Learned</t>
        </is>
      </c>
      <c r="B54" s="91" t="n"/>
      <c r="C54" s="135">
        <f>IFERROR(INDEX(Projects[Notes / Lessons Learned],MATCH(LARGE(_Helper!BH2:BH501,1),_Helper!BH2:BH501,0))&amp;"","-")</f>
        <v/>
      </c>
      <c r="D54" s="91" t="n"/>
      <c r="E54" s="91" t="n"/>
      <c r="F54" s="91" t="n"/>
      <c r="G54" s="91" t="n"/>
      <c r="H54" s="91" t="n"/>
      <c r="I54" s="8" t="n"/>
      <c r="J54" s="136">
        <f>IFERROR(INDEX(Projects[Notes / Lessons Learned],MATCH(LARGE(_Helper!BH2:BH501,2),_Helper!BH2:BH501,0))&amp;"","-")</f>
        <v/>
      </c>
      <c r="K54" s="91" t="n"/>
      <c r="L54" s="91" t="n"/>
      <c r="M54" s="91" t="n"/>
      <c r="N54" s="91" t="n"/>
      <c r="O54" s="91" t="n"/>
      <c r="P54" s="8" t="n"/>
      <c r="Q54" s="138">
        <f>IFERROR(INDEX(Projects[Notes / Lessons Learned],MATCH(LARGE(_Helper!BH2:BH501,3),_Helper!BH2:BH501,0))&amp;"","-")</f>
        <v/>
      </c>
      <c r="R54" s="91" t="n"/>
      <c r="S54" s="91" t="n"/>
      <c r="T54" s="91" t="n"/>
      <c r="U54" s="91" t="n"/>
      <c r="V54" s="91" t="n"/>
    </row>
    <row r="55" ht="18" customHeight="1" s="74">
      <c r="A55" s="184" t="inlineStr">
        <is>
          <t>⚠  Results update automatically when search parameters change in the Smart Search tab.  Review all matches and apply engineering judgment before confirming schedules.</t>
        </is>
      </c>
    </row>
    <row r="56" s="74"/>
    <row r="57" s="74"/>
    <row r="58" s="74"/>
    <row r="59" s="74"/>
    <row r="60" s="74"/>
    <row r="61" s="74"/>
    <row r="62" s="74"/>
    <row r="63" s="74"/>
    <row r="64" s="74"/>
    <row r="65" s="74"/>
    <row r="66" s="74"/>
    <row r="67" s="74"/>
    <row r="68" s="74"/>
    <row r="69" s="74"/>
    <row r="70" s="74"/>
    <row r="71" s="74"/>
    <row r="72" s="74"/>
    <row r="73" s="74"/>
    <row r="74" s="74"/>
    <row r="75" s="74"/>
    <row r="76" s="74"/>
    <row r="77" s="74"/>
    <row r="78" s="74"/>
    <row r="79" s="74"/>
    <row r="80" s="74"/>
    <row r="81" s="74"/>
  </sheetData>
  <mergeCells count="253">
    <mergeCell ref="C25:H25"/>
    <mergeCell ref="J15:O15"/>
    <mergeCell ref="C44:E44"/>
    <mergeCell ref="A15:B15"/>
    <mergeCell ref="F36:H36"/>
    <mergeCell ref="Q10:V10"/>
    <mergeCell ref="F33:H33"/>
    <mergeCell ref="F45:H45"/>
    <mergeCell ref="C47:E47"/>
    <mergeCell ref="Q19:V19"/>
    <mergeCell ref="C9:H9"/>
    <mergeCell ref="A5:V5"/>
    <mergeCell ref="A32:V32"/>
    <mergeCell ref="C40:E40"/>
    <mergeCell ref="M40:O40"/>
    <mergeCell ref="A51:B51"/>
    <mergeCell ref="J35:L35"/>
    <mergeCell ref="C51:E51"/>
    <mergeCell ref="F47:H47"/>
    <mergeCell ref="J54:O54"/>
    <mergeCell ref="C11:H11"/>
    <mergeCell ref="J7:O7"/>
    <mergeCell ref="A54:B54"/>
    <mergeCell ref="Q22:V22"/>
    <mergeCell ref="A13:V13"/>
    <mergeCell ref="A7:B7"/>
    <mergeCell ref="A41:B41"/>
    <mergeCell ref="M41:O41"/>
    <mergeCell ref="J50:L50"/>
    <mergeCell ref="A27:B27"/>
    <mergeCell ref="F39:H39"/>
    <mergeCell ref="A24:V24"/>
    <mergeCell ref="T34:V34"/>
    <mergeCell ref="J46:L46"/>
    <mergeCell ref="T46:V46"/>
    <mergeCell ref="Q41:S41"/>
    <mergeCell ref="T37:V37"/>
    <mergeCell ref="A33:B33"/>
    <mergeCell ref="A42:B42"/>
    <mergeCell ref="C49:E49"/>
    <mergeCell ref="J39:L39"/>
    <mergeCell ref="J17:O17"/>
    <mergeCell ref="J48:L48"/>
    <mergeCell ref="A17:B17"/>
    <mergeCell ref="T48:V48"/>
    <mergeCell ref="Q7:V7"/>
    <mergeCell ref="C34:E34"/>
    <mergeCell ref="A53:B53"/>
    <mergeCell ref="A22:B22"/>
    <mergeCell ref="Q21:V21"/>
    <mergeCell ref="C15:H15"/>
    <mergeCell ref="A35:B35"/>
    <mergeCell ref="J38:L38"/>
    <mergeCell ref="C42:E42"/>
    <mergeCell ref="J19:O19"/>
    <mergeCell ref="Q33:S33"/>
    <mergeCell ref="A19:B19"/>
    <mergeCell ref="J28:O28"/>
    <mergeCell ref="Q42:S42"/>
    <mergeCell ref="A28:B28"/>
    <mergeCell ref="M39:O39"/>
    <mergeCell ref="J9:O9"/>
    <mergeCell ref="C26:H26"/>
    <mergeCell ref="A9:B9"/>
    <mergeCell ref="J40:L40"/>
    <mergeCell ref="Q8:V8"/>
    <mergeCell ref="A39:B39"/>
    <mergeCell ref="F51:H51"/>
    <mergeCell ref="A2:V2"/>
    <mergeCell ref="A48:B48"/>
    <mergeCell ref="A31:B31"/>
    <mergeCell ref="J30:O30"/>
    <mergeCell ref="A30:B30"/>
    <mergeCell ref="C16:H16"/>
    <mergeCell ref="C10:H10"/>
    <mergeCell ref="J53:O53"/>
    <mergeCell ref="A11:B11"/>
    <mergeCell ref="F41:H41"/>
    <mergeCell ref="F35:H35"/>
    <mergeCell ref="A45:B45"/>
    <mergeCell ref="F50:H50"/>
    <mergeCell ref="J4:O4"/>
    <mergeCell ref="C46:E46"/>
    <mergeCell ref="T40:V40"/>
    <mergeCell ref="A55:V55"/>
    <mergeCell ref="J41:L41"/>
    <mergeCell ref="M37:O37"/>
    <mergeCell ref="Q44:S44"/>
    <mergeCell ref="Q46:S46"/>
    <mergeCell ref="Q9:V9"/>
    <mergeCell ref="C39:E39"/>
    <mergeCell ref="A37:B37"/>
    <mergeCell ref="Q27:V27"/>
    <mergeCell ref="A46:B46"/>
    <mergeCell ref="C48:E48"/>
    <mergeCell ref="Q30:V30"/>
    <mergeCell ref="J43:L43"/>
    <mergeCell ref="Q17:V17"/>
    <mergeCell ref="Q48:S48"/>
    <mergeCell ref="Q11:V11"/>
    <mergeCell ref="C38:E38"/>
    <mergeCell ref="A26:B26"/>
    <mergeCell ref="C19:H19"/>
    <mergeCell ref="J33:L33"/>
    <mergeCell ref="M38:O38"/>
    <mergeCell ref="Q45:S45"/>
    <mergeCell ref="C28:H28"/>
    <mergeCell ref="J42:L42"/>
    <mergeCell ref="F49:H49"/>
    <mergeCell ref="J18:O18"/>
    <mergeCell ref="Q53:V53"/>
    <mergeCell ref="M43:O43"/>
    <mergeCell ref="J8:O8"/>
    <mergeCell ref="Q47:S47"/>
    <mergeCell ref="T39:V39"/>
    <mergeCell ref="A8:B8"/>
    <mergeCell ref="Q3:V3"/>
    <mergeCell ref="C30:H30"/>
    <mergeCell ref="J44:L44"/>
    <mergeCell ref="Q12:V12"/>
    <mergeCell ref="T49:V49"/>
    <mergeCell ref="C6:H6"/>
    <mergeCell ref="C33:E33"/>
    <mergeCell ref="C14:H14"/>
    <mergeCell ref="J6:O6"/>
    <mergeCell ref="J10:O10"/>
    <mergeCell ref="J37:L37"/>
    <mergeCell ref="A10:B10"/>
    <mergeCell ref="T45:V45"/>
    <mergeCell ref="T42:V42"/>
    <mergeCell ref="F40:H40"/>
    <mergeCell ref="C4:H4"/>
    <mergeCell ref="C35:E35"/>
    <mergeCell ref="M35:O35"/>
    <mergeCell ref="T47:V47"/>
    <mergeCell ref="Q54:V54"/>
    <mergeCell ref="A34:B34"/>
    <mergeCell ref="Q51:S51"/>
    <mergeCell ref="T50:V50"/>
    <mergeCell ref="C50:E50"/>
    <mergeCell ref="C54:H54"/>
    <mergeCell ref="T44:V44"/>
    <mergeCell ref="J27:O27"/>
    <mergeCell ref="A49:B49"/>
    <mergeCell ref="Q35:S35"/>
    <mergeCell ref="Q50:S50"/>
    <mergeCell ref="A36:B36"/>
    <mergeCell ref="Q26:V26"/>
    <mergeCell ref="J20:O20"/>
    <mergeCell ref="J11:O11"/>
    <mergeCell ref="Q34:S34"/>
    <mergeCell ref="T51:V51"/>
    <mergeCell ref="F38:H38"/>
    <mergeCell ref="C36:E36"/>
    <mergeCell ref="M46:O46"/>
    <mergeCell ref="M33:O33"/>
    <mergeCell ref="Q49:S49"/>
    <mergeCell ref="C27:H27"/>
    <mergeCell ref="T41:V41"/>
    <mergeCell ref="M42:O42"/>
    <mergeCell ref="J22:O22"/>
    <mergeCell ref="Q36:S36"/>
    <mergeCell ref="F43:H43"/>
    <mergeCell ref="J31:O31"/>
    <mergeCell ref="C8:H8"/>
    <mergeCell ref="J47:L47"/>
    <mergeCell ref="C17:H17"/>
    <mergeCell ref="A3:B3"/>
    <mergeCell ref="J12:O12"/>
    <mergeCell ref="F37:H37"/>
    <mergeCell ref="T43:V43"/>
    <mergeCell ref="J21:O21"/>
    <mergeCell ref="A12:B12"/>
    <mergeCell ref="A21:B21"/>
    <mergeCell ref="C37:E37"/>
    <mergeCell ref="A1:V1"/>
    <mergeCell ref="T36:V36"/>
    <mergeCell ref="C53:H53"/>
    <mergeCell ref="J23:O23"/>
    <mergeCell ref="A14:B14"/>
    <mergeCell ref="C3:H3"/>
    <mergeCell ref="F44:H44"/>
    <mergeCell ref="A23:B23"/>
    <mergeCell ref="T33:V33"/>
    <mergeCell ref="A4:B4"/>
    <mergeCell ref="F34:H34"/>
    <mergeCell ref="M44:O44"/>
    <mergeCell ref="A38:B38"/>
    <mergeCell ref="Q28:V28"/>
    <mergeCell ref="A43:B43"/>
    <mergeCell ref="T35:V35"/>
    <mergeCell ref="J34:L34"/>
    <mergeCell ref="C20:H20"/>
    <mergeCell ref="A40:B40"/>
    <mergeCell ref="M51:O51"/>
    <mergeCell ref="C29:H29"/>
    <mergeCell ref="Q38:S38"/>
    <mergeCell ref="Q20:V20"/>
    <mergeCell ref="J49:L49"/>
    <mergeCell ref="F42:H42"/>
    <mergeCell ref="Q14:V14"/>
    <mergeCell ref="Q29:V29"/>
    <mergeCell ref="C41:E41"/>
    <mergeCell ref="Q23:V23"/>
    <mergeCell ref="C22:H22"/>
    <mergeCell ref="J36:L36"/>
    <mergeCell ref="C31:H31"/>
    <mergeCell ref="J45:L45"/>
    <mergeCell ref="Q4:V4"/>
    <mergeCell ref="J26:O26"/>
    <mergeCell ref="Q40:S40"/>
    <mergeCell ref="C12:H12"/>
    <mergeCell ref="C43:E43"/>
    <mergeCell ref="Q31:V31"/>
    <mergeCell ref="C21:H21"/>
    <mergeCell ref="A6:B6"/>
    <mergeCell ref="A52:V52"/>
    <mergeCell ref="F46:H46"/>
    <mergeCell ref="J25:O25"/>
    <mergeCell ref="J16:O16"/>
    <mergeCell ref="A16:B16"/>
    <mergeCell ref="Q15:V15"/>
    <mergeCell ref="Q6:V6"/>
    <mergeCell ref="A25:B25"/>
    <mergeCell ref="M36:O36"/>
    <mergeCell ref="M45:O45"/>
    <mergeCell ref="C23:H23"/>
    <mergeCell ref="A18:B18"/>
    <mergeCell ref="F48:H48"/>
    <mergeCell ref="C7:H7"/>
    <mergeCell ref="J3:O3"/>
    <mergeCell ref="A50:B50"/>
    <mergeCell ref="J51:L51"/>
    <mergeCell ref="M47:O47"/>
    <mergeCell ref="M50:O50"/>
    <mergeCell ref="A47:B47"/>
    <mergeCell ref="C18:H18"/>
    <mergeCell ref="Q16:V16"/>
    <mergeCell ref="M34:O34"/>
    <mergeCell ref="Q25:V25"/>
    <mergeCell ref="J29:O29"/>
    <mergeCell ref="A20:B20"/>
    <mergeCell ref="J14:O14"/>
    <mergeCell ref="A29:B29"/>
    <mergeCell ref="Q37:S37"/>
    <mergeCell ref="T38:V38"/>
    <mergeCell ref="M49:O49"/>
    <mergeCell ref="C45:E45"/>
    <mergeCell ref="Q18:V18"/>
    <mergeCell ref="M48:O48"/>
    <mergeCell ref="A44:B44"/>
    <mergeCell ref="Q39:S39"/>
    <mergeCell ref="Q43:S43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2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85" t="inlineStr">
        <is>
          <t>USD</t>
        </is>
      </c>
      <c r="B5" s="186" t="n">
        <v>1</v>
      </c>
      <c r="C5" s="187">
        <f>IF(B5&gt;0,1/B5,"")</f>
        <v/>
      </c>
      <c r="D5" s="188" t="n">
        <v>46290</v>
      </c>
    </row>
    <row r="6">
      <c r="A6" s="185" t="inlineStr">
        <is>
          <t>EUR</t>
        </is>
      </c>
      <c r="B6" s="186" t="n">
        <v>1.136965</v>
      </c>
      <c r="C6" s="187">
        <f>IF(B6&gt;0,1/B6,"")</f>
        <v/>
      </c>
      <c r="D6" s="188" t="n">
        <v>46290</v>
      </c>
    </row>
    <row r="7">
      <c r="A7" s="185" t="inlineStr">
        <is>
          <t>SGD</t>
        </is>
      </c>
      <c r="B7" s="186" t="n">
        <v>0.781627</v>
      </c>
      <c r="C7" s="187">
        <f>IF(B7&gt;0,1/B7,"")</f>
        <v/>
      </c>
      <c r="D7" s="188" t="n">
        <v>46290</v>
      </c>
    </row>
    <row r="8">
      <c r="A8" s="185" t="inlineStr">
        <is>
          <t>AUD</t>
        </is>
      </c>
      <c r="B8" s="186" t="n">
        <v>0.701303</v>
      </c>
      <c r="C8" s="187">
        <f>IF(B8&gt;0,1/B8,"")</f>
        <v/>
      </c>
      <c r="D8" s="188" t="n">
        <v>46290</v>
      </c>
    </row>
    <row r="9">
      <c r="A9" s="185" t="inlineStr">
        <is>
          <t>GBP</t>
        </is>
      </c>
      <c r="B9" s="186" t="n">
        <v>1.32115</v>
      </c>
      <c r="C9" s="187">
        <f>IF(B9&gt;0,1/B9,"")</f>
        <v/>
      </c>
      <c r="D9" s="188" t="n">
        <v>46290</v>
      </c>
    </row>
    <row r="10">
      <c r="A10" s="185" t="inlineStr">
        <is>
          <t>JPY</t>
        </is>
      </c>
      <c r="B10" s="186" t="n">
        <v>0.006314</v>
      </c>
      <c r="C10" s="187">
        <f>IF(B10&gt;0,1/B10,"")</f>
        <v/>
      </c>
      <c r="D10" s="188" t="n">
        <v>46290</v>
      </c>
    </row>
    <row r="11">
      <c r="A11" s="185" t="inlineStr">
        <is>
          <t>CNY</t>
        </is>
      </c>
      <c r="B11" s="186" t="n">
        <v>0.148965</v>
      </c>
      <c r="C11" s="187">
        <f>IF(B11&gt;0,1/B11,"")</f>
        <v/>
      </c>
      <c r="D11" s="188" t="n">
        <v>46290</v>
      </c>
    </row>
    <row r="12">
      <c r="A12" s="185" t="inlineStr">
        <is>
          <t>INR</t>
        </is>
      </c>
      <c r="B12" s="186" t="n">
        <v>0.010424</v>
      </c>
      <c r="C12" s="187">
        <f>IF(B12&gt;0,1/B12,"")</f>
        <v/>
      </c>
      <c r="D12" s="188" t="n">
        <v>46290</v>
      </c>
    </row>
    <row r="13">
      <c r="A13" s="185" t="inlineStr">
        <is>
          <t>MYR</t>
        </is>
      </c>
      <c r="B13" s="186" t="n">
        <v>0.245222</v>
      </c>
      <c r="C13" s="187">
        <f>IF(B13&gt;0,1/B13,"")</f>
        <v/>
      </c>
      <c r="D13" s="188" t="n">
        <v>46290</v>
      </c>
    </row>
    <row r="14">
      <c r="A14" s="185" t="inlineStr">
        <is>
          <t>THB</t>
        </is>
      </c>
      <c r="B14" s="186" t="n">
        <v>0.029894</v>
      </c>
      <c r="C14" s="187">
        <f>IF(B14&gt;0,1/B14,"")</f>
        <v/>
      </c>
      <c r="D14" s="188" t="n">
        <v>46290</v>
      </c>
    </row>
    <row r="16" ht="30" customHeight="1" s="74">
      <c r="A16" s="189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9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69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2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8" t="inlineStr">
        <is>
          <t xml:space="preserve">  HOW THE SMART SEARCH WORKS</t>
        </is>
      </c>
    </row>
    <row r="4" ht="15.75" customHeight="1" s="74">
      <c r="A4" s="190" t="inlineStr">
        <is>
          <t xml:space="preserve">   Step 1:  Set Include? to YES for every system in your project, NO for the rest.</t>
        </is>
      </c>
    </row>
    <row r="5" ht="15.75" customHeight="1" s="74">
      <c r="A5" s="190" t="inlineStr">
        <is>
          <t xml:space="preserve">   Step 2:  Enter your quantities for the included systems.</t>
        </is>
      </c>
    </row>
    <row r="6" ht="15.75" customHeight="1" s="74">
      <c r="A6" s="190" t="inlineStr">
        <is>
          <t xml:space="preserve">   The tool automatically distributes equal weight across all active parameters and ranks the database.</t>
        </is>
      </c>
    </row>
    <row r="7" ht="15.75" customHeight="1" s="74">
      <c r="A7" s="190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8" t="inlineStr">
        <is>
          <t xml:space="preserve">  MATCH SCORE EXPLAINED</t>
        </is>
      </c>
    </row>
    <row r="10" ht="15.75" customHeight="1" s="74">
      <c r="A10" s="190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90" t="inlineStr">
        <is>
          <t xml:space="preserve">   All active parameters receive equal weight.  Final score = average of all active parameter scores.</t>
        </is>
      </c>
    </row>
    <row r="12" ht="15.75" customHeight="1" s="74">
      <c r="A12" s="190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90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90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8" t="inlineStr">
        <is>
          <t xml:space="preserve">  SYSTEMS SUPPORTED</t>
        </is>
      </c>
    </row>
    <row r="16" ht="15.75" customHeight="1" s="74">
      <c r="A16" s="190" t="inlineStr">
        <is>
          <t xml:space="preserve">   Multishuttle    — Shuttles + Tote Locations</t>
        </is>
      </c>
    </row>
    <row r="17" ht="15.75" customHeight="1" s="74">
      <c r="A17" s="190" t="inlineStr">
        <is>
          <t xml:space="preserve">   AutoStore       — Robots + Tote Locations</t>
        </is>
      </c>
    </row>
    <row r="18" ht="15.75" customHeight="1" s="74">
      <c r="A18" s="190" t="inlineStr">
        <is>
          <t xml:space="preserve">   Pallet Shuttle  — Shuttles + Pallet Locations</t>
        </is>
      </c>
    </row>
    <row r="19" ht="15.75" customHeight="1" s="74">
      <c r="A19" s="190" t="inlineStr">
        <is>
          <t xml:space="preserve">   SRM Crane       — Cranes + Pallet Locations</t>
        </is>
      </c>
    </row>
    <row r="20" ht="15.75" customHeight="1" s="74">
      <c r="A20" s="190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8" t="inlineStr">
        <is>
          <t xml:space="preserve">  ADDING A PROJECT TO THE DATABASE</t>
        </is>
      </c>
    </row>
    <row r="23" ht="15.75" customHeight="1" s="74">
      <c r="A23" s="190" t="inlineStr">
        <is>
          <t xml:space="preserve">   1.  Go to 'Project Database' and fill in the next empty row.</t>
        </is>
      </c>
    </row>
    <row r="24" ht="15.75" customHeight="1" s="74">
      <c r="A24" s="190" t="inlineStr">
        <is>
          <t xml:space="preserve">   2.  Enter data only for systems used — leave other system columns blank.</t>
        </is>
      </c>
    </row>
    <row r="25" ht="15.75" customHeight="1" s="74">
      <c r="A25" s="190" t="inlineStr">
        <is>
          <t xml:space="preserve">   3.  All schedule phases are in WEEKS.</t>
        </is>
      </c>
    </row>
    <row r="26" ht="15.75" customHeight="1" s="74">
      <c r="A26" s="190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90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90" t="inlineStr">
        <is>
          <t xml:space="preserve">   6.  Select the Solution Type from the dropdown in column D.</t>
        </is>
      </c>
    </row>
    <row r="29" ht="21.75" customHeight="1" s="74">
      <c r="A29" s="191" t="n"/>
    </row>
    <row r="30" ht="15.75" customHeight="1" s="74">
      <c r="A30" s="168" t="inlineStr">
        <is>
          <t xml:space="preserve">  MANHOUR COST (% OF PROJECT COST)</t>
        </is>
      </c>
    </row>
    <row r="31" ht="15.75" customHeight="1" s="74">
      <c r="A31" s="190" t="inlineStr">
        <is>
          <t xml:space="preserve">   The database holds two blocks of fourteen manhour categories, each as a % of project cost: Presales estimate (AE–AR) and Actual (AT–BG).</t>
        </is>
      </c>
    </row>
    <row r="32" ht="15.75" customHeight="1" s="74">
      <c r="A32" s="190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90" t="inlineStr">
        <is>
          <t xml:space="preserve">   Enter these as percentages (type 5% or 0.05 — not 5). Values must be between 0% and 100%.</t>
        </is>
      </c>
    </row>
    <row r="34" ht="15.75" customHeight="1" s="74">
      <c r="A34" s="190" t="inlineStr">
        <is>
          <t xml:space="preserve">   Smart Search shows the closest match’s presales estimate and actual for every category side by side,</t>
        </is>
      </c>
    </row>
    <row r="35" ht="15.75" customHeight="1" s="74">
      <c r="A35" s="190" t="inlineStr">
        <is>
          <t xml:space="preserve">   with the difference in percentage points (actual minus estimate).</t>
        </is>
      </c>
    </row>
    <row r="36">
      <c r="A36" s="154" t="inlineStr">
        <is>
          <t xml:space="preserve">   An estimate with every cell blank or 0, or actuals marked No data or all blank or 0, show “—” and “No data”; projects not won show “Not won” for actuals.</t>
        </is>
      </c>
    </row>
    <row r="37"/>
    <row r="38" ht="26.1" customHeight="1" s="74">
      <c r="A38" s="191" t="inlineStr">
        <is>
          <t>OPTIONAL SEARCH FILTERS</t>
        </is>
      </c>
    </row>
    <row r="39" ht="26.1" customHeight="1" s="74">
      <c r="A39" s="191" t="inlineStr">
        <is>
          <t>Use the four optional filters beside the Smart Search inputs. Blank or All includes all projects.</t>
        </is>
      </c>
    </row>
    <row r="40" ht="26.1" customHeight="1" s="74">
      <c r="A40" s="191" t="inlineStr">
        <is>
          <t>Solution Type and Won status: select a dropdown value. Year: enter an exact year (2000-2099), or clear it.</t>
        </is>
      </c>
    </row>
    <row r="41" ht="26.1" customHeight="1" s="74">
      <c r="A41" s="191" t="inlineStr">
        <is>
          <t>Region: enter text found in Client / Region, e.g. ME matches Turkey ME and KSA ME. Matching ignores letter case.</t>
        </is>
      </c>
    </row>
    <row r="42" ht="26.1" customHeight="1" s="74">
      <c r="A42" s="191" t="inlineStr">
        <is>
          <t>All selected filters must match. Projects with missing data are excluded only when that field is filtered.</t>
        </is>
      </c>
    </row>
    <row r="43" ht="26.1" customHeight="1" s="74">
      <c r="A43" s="191" t="inlineStr">
        <is>
          <t>The top five, closest-match estimate and top-three comparison all use the filtered results.</t>
        </is>
      </c>
    </row>
    <row r="44" ht="26.1" customHeight="1" s="74">
      <c r="A44" s="191" t="inlineStr">
        <is>
          <t>If no projects match, broaden or clear filters. Populate Solution Type in the database before filtering by it.</t>
        </is>
      </c>
    </row>
    <row r="45"/>
    <row r="46" ht="15.75" customHeight="1" s="74">
      <c r="A46" s="168" t="inlineStr">
        <is>
          <t xml:space="preserve">  PROJECT DATABASE TABLE</t>
        </is>
      </c>
    </row>
    <row r="47" ht="15.75" customHeight="1" s="74">
      <c r="A47" s="190" t="inlineStr">
        <is>
          <t xml:space="preserve">   The Project Database is an Excel Table named Projects. Use the header buttons to sort or filter.</t>
        </is>
      </c>
    </row>
    <row r="48" ht="15.75" customHeight="1" s="74">
      <c r="A48" s="190" t="inlineStr">
        <is>
          <t xml:space="preserve">   Add a project in the first empty row inside the table. Capacity: 499 projects (rows 6–504).</t>
        </is>
      </c>
    </row>
    <row r="49" ht="15.75" customHeight="1" s="74">
      <c r="A49" s="190" t="inlineStr">
        <is>
          <t xml:space="preserve">   Formulas find columns by header name, so inserting, moving or renaming columns in Excel is safe.</t>
        </is>
      </c>
    </row>
    <row r="50" ht="15.75" customHeight="1" s="74">
      <c r="A50" s="190" t="inlineStr">
        <is>
          <t xml:space="preserve">   Deleting a column that formulas use still breaks them, and a new manhour category must be added to Smart Search.</t>
        </is>
      </c>
    </row>
    <row r="51"/>
    <row r="52" ht="15.75" customHeight="1" s="74">
      <c r="A52" s="168" t="inlineStr">
        <is>
          <t xml:space="preserve">  PROJECT VALUE IN USD</t>
        </is>
      </c>
    </row>
    <row r="53" ht="15.75" customHeight="1" s="74">
      <c r="A53" s="190" t="inlineStr">
        <is>
          <t xml:space="preserve">   Value (USD M), column Z, is calculated: Value (M) × the rate on the FX Rates sheet. Do not type in it.</t>
        </is>
      </c>
    </row>
    <row r="54" ht="15.75" customHeight="1" s="74">
      <c r="A54" s="190" t="inlineStr">
        <is>
          <t xml:space="preserve">   Keep rates up to date on FX Rates (USD per one unit). A currency with no rate shows “No rate”.</t>
        </is>
      </c>
    </row>
    <row r="55" ht="15.75" customHeight="1" s="74">
      <c r="A55" s="190" t="inlineStr">
        <is>
          <t xml:space="preserve">   Every project is converted at the same current rate, so treat USD values as a rough comparison.</t>
        </is>
      </c>
    </row>
    <row r="56"/>
    <row r="57" ht="15.75" customHeight="1" s="74">
      <c r="A57" s="168" t="inlineStr">
        <is>
          <t xml:space="preserve">  MANHOUR DATA STATUS</t>
        </is>
      </c>
    </row>
    <row r="58" ht="15.75" customHeight="1" s="74">
      <c r="A58" s="190" t="inlineStr">
        <is>
          <t xml:space="preserve">   Act Data Status (column BH) records how far to trust a won project’s actual figures:</t>
        </is>
      </c>
    </row>
    <row r="59" ht="15.75" customHeight="1" s="74">
      <c r="A59" s="190" t="inlineStr">
        <is>
          <t xml:space="preserve">   Real = checked figures.   Unverified = older figures not yet checked.   No data = none entered yet.</t>
        </is>
      </c>
    </row>
    <row r="60" ht="15.75" customHeight="1" s="74">
      <c r="A60" s="190" t="inlineStr">
        <is>
          <t xml:space="preserve">   Leave it blank for projects not won. Smart Search and Project Comparison show it beside the actuals.</t>
        </is>
      </c>
    </row>
    <row r="62" ht="15.75" customHeight="1" s="74">
      <c r="A62" s="168" t="inlineStr">
        <is>
          <t xml:space="preserve">  VERSION</t>
        </is>
      </c>
    </row>
    <row r="63" ht="15.75" customHeight="1" s="74">
      <c r="A63" s="190" t="inlineStr">
        <is>
          <t xml:space="preserve">   This is version v42 (2026-09-25). The Change Log sheet lists every change.</t>
        </is>
      </c>
    </row>
    <row r="65" ht="15.75" customHeight="1" s="74">
      <c r="A65" s="168" t="inlineStr">
        <is>
          <t xml:space="preserve">  PRESALES ESTIMATE VS ACTUAL</t>
        </is>
      </c>
    </row>
    <row r="66" ht="15.75" customHeight="1" s="74">
      <c r="A66" s="190" t="inlineStr">
        <is>
          <t xml:space="preserve">   Every project has a Presales estimate block. Won projects also have an Actual block, from project cost at close-out.</t>
        </is>
      </c>
    </row>
    <row r="67" ht="15.75" customHeight="1" s="74">
      <c r="A67" s="190" t="inlineStr">
        <is>
          <t xml:space="preserve">   Est Cost (M), column AD, is the presales estimated project cost; Act Cost (M), column AS, is the final actual cost. Both in millions of the project currency.</t>
        </is>
      </c>
    </row>
    <row r="68" ht="15.75" customHeight="1" s="74">
      <c r="A68" s="190" t="inlineStr">
        <is>
          <t xml:space="preserve">   Manhour cost (M) = a block’s total % × its project cost, so estimate and actual can be compared in money as well as in percentages.</t>
        </is>
      </c>
    </row>
    <row r="69" ht="15.75" customHeight="1" s="74">
      <c r="A69" s="190" t="inlineStr">
        <is>
          <t xml:space="preserve">   On 2026-09-30 the existing figures were moved: won projects’ figures became Actual, all others became Presales estimate.</t>
        </is>
      </c>
    </row>
  </sheetData>
  <mergeCells count="60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6:B6"/>
    <mergeCell ref="A69:B69"/>
    <mergeCell ref="A16:B16"/>
    <mergeCell ref="A54:B54"/>
    <mergeCell ref="A7:B7"/>
    <mergeCell ref="A25:B25"/>
    <mergeCell ref="A65:B65"/>
    <mergeCell ref="A41:B41"/>
    <mergeCell ref="A46:B46"/>
    <mergeCell ref="A66:B6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62:B62"/>
    <mergeCell ref="A20:B20"/>
    <mergeCell ref="A38:B38"/>
    <mergeCell ref="A29:B29"/>
    <mergeCell ref="A52:B52"/>
    <mergeCell ref="A43:B43"/>
    <mergeCell ref="A19:B19"/>
    <mergeCell ref="A63:B63"/>
    <mergeCell ref="A68:B68"/>
    <mergeCell ref="A10:B10"/>
    <mergeCell ref="A28:B28"/>
    <mergeCell ref="A13:B13"/>
    <mergeCell ref="A44:B44"/>
    <mergeCell ref="A40:B40"/>
    <mergeCell ref="A9:B9"/>
    <mergeCell ref="A67:B67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style="74" min="1" max="1"/>
    <col width="12" customWidth="1" style="74" min="2" max="2"/>
    <col width="13" customWidth="1" style="74" min="3" max="3"/>
    <col width="95" customWidth="1" style="74" min="4" max="4"/>
  </cols>
  <sheetData>
    <row r="1" ht="36" customHeight="1" s="74">
      <c r="A1" s="172" t="inlineStr">
        <is>
          <t>DEMATIC  |  Change Log</t>
        </is>
      </c>
    </row>
    <row r="2">
      <c r="A2" s="156" t="inlineStr">
        <is>
          <t>Current version: v42  (2026-09-25). Newest first. Git commits are in the Thor repository.</t>
        </is>
      </c>
    </row>
    <row r="4" ht="24" customHeight="1" s="74">
      <c r="A4" s="23" t="inlineStr">
        <is>
          <t>Version</t>
        </is>
      </c>
      <c r="B4" s="23" t="inlineStr">
        <is>
          <t>Date</t>
        </is>
      </c>
      <c r="C4" s="23" t="inlineStr">
        <is>
          <t>Git commit</t>
        </is>
      </c>
      <c r="D4" s="23" t="inlineStr">
        <is>
          <t>Changes</t>
        </is>
      </c>
    </row>
    <row r="5" ht="150" customHeight="1" s="74">
      <c r="A5" s="192" t="inlineStr">
        <is>
          <t>v42</t>
        </is>
      </c>
      <c r="B5" s="192" t="inlineStr">
        <is>
          <t>2026-09-25</t>
        </is>
      </c>
      <c r="C5" s="192" t="inlineStr">
        <is>
          <t>this version</t>
        </is>
      </c>
      <c r="D5" s="193" t="inlineStr">
        <is>
          <t>• Keyword search: the 7th keyword is now searched (it was skipped).
• Reset macro also clears the four optional filters.
• Instructions: Total Timeline is the actual duration, not a formula.
• Project Database is an Excel Table (Projects); formulas find columns by header name.
• FX Rates sheet and Value (USD M) column; USD equivalents shown in results.
• MH Data Status column (Real / Unverified / No data), shown beside the manhour profile.
• Projects without manhour data show “No manhour data” instead of 0.0%.
• Solution Type shown in the top 5, the closest match and Project Comparison.
• Project Comparison: manhour breakdown for the top 3 matches.
• This Change Log and a version label on Smart Search.</t>
        </is>
      </c>
    </row>
    <row r="6" ht="18" customHeight="1" s="74">
      <c r="A6" s="192" t="inlineStr">
        <is>
          <t>v41b</t>
        </is>
      </c>
      <c r="B6" s="192" t="inlineStr">
        <is>
          <t>2026-09-25</t>
        </is>
      </c>
      <c r="C6" s="192" t="inlineStr">
        <is>
          <t>bec03d1</t>
        </is>
      </c>
      <c r="D6" s="193" t="inlineStr">
        <is>
          <t>• Instructions updated for manhour % of project cost.</t>
        </is>
      </c>
    </row>
    <row r="7" ht="30" customHeight="1" s="74">
      <c r="A7" s="192" t="inlineStr">
        <is>
          <t>v41b</t>
        </is>
      </c>
      <c r="B7" s="192" t="inlineStr">
        <is>
          <t>2026-09-25</t>
        </is>
      </c>
      <c r="C7" s="192" t="inlineStr">
        <is>
          <t>82818c0</t>
        </is>
      </c>
      <c r="D7" s="193" t="inlineStr">
        <is>
          <t>• Manhour costs recorded as % of project cost; real figures for five projects.
• Solution Types filled in; Estimated Cost column removed from Smart Search.</t>
        </is>
      </c>
    </row>
    <row r="8" ht="18" customHeight="1" s="74">
      <c r="A8" s="192" t="inlineStr">
        <is>
          <t>v41</t>
        </is>
      </c>
      <c r="B8" s="192" t="inlineStr">
        <is>
          <t>2026-09-11</t>
        </is>
      </c>
      <c r="C8" s="192" t="inlineStr">
        <is>
          <t>d11ec72</t>
        </is>
      </c>
      <c r="D8" s="193" t="inlineStr">
        <is>
          <t>• Optional search filters: Solution Type, region, year, won status.</t>
        </is>
      </c>
    </row>
    <row r="9" ht="18" customHeight="1" s="74">
      <c r="A9" s="192" t="inlineStr">
        <is>
          <t>v41</t>
        </is>
      </c>
      <c r="B9" s="192" t="inlineStr">
        <is>
          <t>2026-09-09</t>
        </is>
      </c>
      <c r="C9" s="192" t="inlineStr">
        <is>
          <t>3d48e82</t>
        </is>
      </c>
      <c r="D9" s="193" t="inlineStr">
        <is>
          <t>• Solution Type column with dropdown added to the database.</t>
        </is>
      </c>
    </row>
    <row r="10" ht="18" customHeight="1" s="74">
      <c r="A10" s="192" t="inlineStr">
        <is>
          <t>v41</t>
        </is>
      </c>
      <c r="B10" s="192" t="inlineStr">
        <is>
          <t>2026-08-27</t>
        </is>
      </c>
      <c r="C10" s="192" t="inlineStr">
        <is>
          <t>e34cc0c</t>
        </is>
      </c>
      <c r="D10" s="193" t="inlineStr">
        <is>
          <t>• Misc manhour category carried through to Smart Search.</t>
        </is>
      </c>
    </row>
    <row r="11" ht="18" customHeight="1" s="74">
      <c r="A11" s="192" t="inlineStr">
        <is>
          <t>v41</t>
        </is>
      </c>
      <c r="B11" s="192" t="inlineStr">
        <is>
          <t>2026-08-27</t>
        </is>
      </c>
      <c r="C11" s="192" t="inlineStr">
        <is>
          <t>b2569f1</t>
        </is>
      </c>
      <c r="D11" s="193" t="inlineStr">
        <is>
          <t>• Smart Search and Project Comparison repaired after the manhour column update (broken references, 13 categories).</t>
        </is>
      </c>
    </row>
  </sheetData>
  <mergeCells count="2">
    <mergeCell ref="A1:D1"/>
    <mergeCell ref="A2:D2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2026-09-30T06:17:36Z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